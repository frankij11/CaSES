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5.xml" ContentType="application/vnd.openxmlformats-officedocument.spreadsheetml.comments+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checkCompatibility="1" defaultThemeVersion="124226"/>
  <bookViews>
    <workbookView xWindow="120" yWindow="795" windowWidth="20730" windowHeight="10305" tabRatio="706"/>
  </bookViews>
  <sheets>
    <sheet name="CaSES Module List" sheetId="6" r:id="rId1"/>
    <sheet name="Sheet1" sheetId="1" state="hidden" r:id="rId2"/>
    <sheet name="Sheet2" sheetId="2" state="hidden" r:id="rId3"/>
    <sheet name="Sheet3" sheetId="3" state="hidden" r:id="rId4"/>
    <sheet name="Sheet4" sheetId="4" state="hidden" r:id="rId5"/>
    <sheet name="Comment Tracker" sheetId="37" r:id="rId6"/>
    <sheet name="Inputs" sheetId="18" state="hidden" r:id="rId7"/>
    <sheet name="Formulas in Estimate" sheetId="19" state="hidden" r:id="rId8"/>
    <sheet name="Inflation" sheetId="35" r:id="rId9"/>
    <sheet name="Calculation Template" sheetId="36" r:id="rId10"/>
    <sheet name="WBS" sheetId="42" r:id="rId11"/>
    <sheet name="VBA Functions" sheetId="40" r:id="rId12"/>
  </sheets>
  <calcPr calcId="145621"/>
</workbook>
</file>

<file path=xl/calcChain.xml><?xml version="1.0" encoding="utf-8"?>
<calcChain xmlns="http://schemas.openxmlformats.org/spreadsheetml/2006/main">
  <c r="D16" i="40" l="1"/>
  <c r="D4" i="40" l="1"/>
  <c r="D5" i="40"/>
  <c r="D6" i="40"/>
  <c r="D7" i="40"/>
  <c r="D8" i="40"/>
  <c r="D9" i="40"/>
  <c r="D10" i="40"/>
  <c r="D11" i="40"/>
  <c r="D12" i="40"/>
  <c r="D13" i="40"/>
  <c r="D14" i="40"/>
  <c r="D15" i="40"/>
  <c r="D3" i="40"/>
  <c r="CR84" i="35" l="1"/>
  <c r="CS84" i="35" s="1"/>
  <c r="CT84" i="35" s="1"/>
  <c r="CU84" i="35" s="1"/>
  <c r="CV84" i="35" s="1"/>
  <c r="CW84" i="35" s="1"/>
  <c r="CX84" i="35" s="1"/>
  <c r="CY84" i="35" s="1"/>
  <c r="CZ84" i="35" s="1"/>
  <c r="DA84" i="35" s="1"/>
  <c r="DB84" i="35" s="1"/>
  <c r="DC84" i="35" s="1"/>
  <c r="DD84" i="35" s="1"/>
  <c r="DE84" i="35" s="1"/>
  <c r="DF84" i="35" s="1"/>
  <c r="DG84" i="35" s="1"/>
  <c r="DH84" i="35" s="1"/>
  <c r="DI84" i="35" s="1"/>
  <c r="DJ84" i="35" s="1"/>
  <c r="DK84" i="35" s="1"/>
  <c r="DL84" i="35" s="1"/>
  <c r="DM84" i="35" s="1"/>
  <c r="DN84" i="35" s="1"/>
  <c r="DO84" i="35" s="1"/>
  <c r="DP84" i="35" s="1"/>
  <c r="DQ84" i="35" s="1"/>
  <c r="DR84" i="35" s="1"/>
  <c r="DS84" i="35" s="1"/>
  <c r="DT84" i="35" s="1"/>
  <c r="DU84" i="35" s="1"/>
  <c r="DV84" i="35" s="1"/>
  <c r="DW84" i="35" s="1"/>
  <c r="DX84" i="35" s="1"/>
  <c r="DY84" i="35" s="1"/>
  <c r="DZ84" i="35" s="1"/>
  <c r="EA84" i="35" s="1"/>
  <c r="EB84" i="35" s="1"/>
  <c r="D6" i="37" l="1"/>
  <c r="D5" i="37"/>
  <c r="D4" i="37"/>
  <c r="D3" i="37"/>
  <c r="D7" i="37" l="1"/>
  <c r="D8" i="37" s="1"/>
  <c r="E6" i="37"/>
  <c r="E5" i="37"/>
  <c r="E4" i="37"/>
  <c r="E3" i="37"/>
  <c r="E7" i="37" l="1"/>
  <c r="E8" i="37" s="1"/>
  <c r="F8" i="37" s="1"/>
  <c r="F5" i="37"/>
  <c r="F4" i="37"/>
  <c r="F3" i="37"/>
  <c r="F6" i="37"/>
  <c r="F7" i="37" l="1"/>
  <c r="B1" i="35"/>
  <c r="D6" i="35"/>
  <c r="E6" i="35"/>
  <c r="F6" i="35"/>
  <c r="G6" i="35"/>
  <c r="H6" i="35"/>
  <c r="I6" i="35"/>
  <c r="J6" i="35"/>
  <c r="K6" i="35"/>
  <c r="L6" i="35"/>
  <c r="M6" i="35"/>
  <c r="N6" i="35"/>
  <c r="O6" i="35"/>
  <c r="P6" i="35"/>
  <c r="Q6" i="35"/>
  <c r="R6" i="35"/>
  <c r="S6" i="35"/>
  <c r="T6" i="35"/>
  <c r="U6" i="35"/>
  <c r="V6" i="35"/>
  <c r="W6" i="35"/>
  <c r="X6" i="35"/>
  <c r="Y6" i="35"/>
  <c r="Z6" i="35"/>
  <c r="AA6" i="35"/>
  <c r="AB6" i="35"/>
  <c r="AC6" i="35"/>
  <c r="AD6" i="35"/>
  <c r="AE6" i="35"/>
  <c r="AF6" i="35"/>
  <c r="AG6" i="35"/>
  <c r="AH6" i="35"/>
  <c r="AI6" i="35"/>
  <c r="AJ6" i="35"/>
  <c r="AK6" i="35"/>
  <c r="AL6" i="35"/>
  <c r="AM6" i="35"/>
  <c r="AN6" i="35"/>
  <c r="AO6" i="35"/>
  <c r="AP6" i="35"/>
  <c r="AQ6" i="35"/>
  <c r="AR6" i="35"/>
  <c r="AS6" i="35"/>
  <c r="AT6" i="35"/>
  <c r="AU6" i="35"/>
  <c r="AV6" i="35"/>
  <c r="AW6" i="35"/>
  <c r="AX6" i="35"/>
  <c r="AY6" i="35"/>
  <c r="AZ6" i="35"/>
  <c r="BA6" i="35"/>
  <c r="BB6" i="35"/>
  <c r="BC6" i="35"/>
  <c r="BD6" i="35"/>
  <c r="BE6" i="35"/>
  <c r="BF6" i="35"/>
  <c r="BG6" i="35"/>
  <c r="BH6" i="35"/>
  <c r="BI6" i="35"/>
  <c r="BJ6" i="35"/>
  <c r="BK6" i="35"/>
  <c r="BL6" i="35"/>
  <c r="BM6" i="35"/>
  <c r="BN6" i="35"/>
  <c r="BO6" i="35"/>
  <c r="BP6" i="35"/>
  <c r="BQ6" i="35"/>
  <c r="BR6" i="35"/>
  <c r="BS6" i="35"/>
  <c r="BT6" i="35"/>
  <c r="BU6" i="35"/>
  <c r="BV6" i="35"/>
  <c r="BW6" i="35"/>
  <c r="BX6" i="35"/>
  <c r="BY6" i="35"/>
  <c r="BZ6" i="35"/>
  <c r="CA6" i="35"/>
  <c r="CB6" i="35"/>
  <c r="CC6" i="35"/>
  <c r="CD6" i="35"/>
  <c r="CE6" i="35"/>
  <c r="CF6" i="35"/>
  <c r="CG6" i="35"/>
  <c r="CH6" i="35"/>
  <c r="CI6" i="35"/>
  <c r="CJ6" i="35"/>
  <c r="CK6" i="35"/>
  <c r="CL6" i="35"/>
  <c r="CM6" i="35"/>
  <c r="CN6" i="35"/>
  <c r="CO6" i="35"/>
  <c r="CP6" i="35"/>
  <c r="CQ6" i="35"/>
  <c r="CR6" i="35"/>
  <c r="CS6" i="35"/>
  <c r="CT6" i="35"/>
  <c r="CU6" i="35"/>
  <c r="CV6" i="35"/>
  <c r="CW6" i="35"/>
  <c r="CX6" i="35"/>
  <c r="CY6" i="35"/>
  <c r="CZ6" i="35"/>
  <c r="DA6" i="35"/>
  <c r="DB6" i="35"/>
  <c r="DC6" i="35"/>
  <c r="DD6" i="35"/>
  <c r="DE6" i="35"/>
  <c r="DF6" i="35"/>
  <c r="DG6" i="35"/>
  <c r="DH6" i="35"/>
  <c r="DI6" i="35"/>
  <c r="DJ6" i="35"/>
  <c r="DK6" i="35"/>
  <c r="DL6" i="35"/>
  <c r="DM6" i="35"/>
  <c r="DN6" i="35"/>
  <c r="DO6" i="35"/>
  <c r="DP6" i="35"/>
  <c r="DQ6" i="35"/>
  <c r="DR6" i="35"/>
  <c r="DS6" i="35"/>
  <c r="DT6" i="35"/>
  <c r="DU6" i="35"/>
  <c r="DV6" i="35"/>
  <c r="DW6" i="35"/>
  <c r="DX6" i="35"/>
  <c r="DY6" i="35"/>
  <c r="DZ6" i="35"/>
  <c r="EA6" i="35"/>
  <c r="EB6" i="35"/>
  <c r="CR8" i="35"/>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CR9" i="35"/>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CR10" i="35"/>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CR11" i="35"/>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CR12" i="35"/>
  <c r="CS12" i="35" s="1"/>
  <c r="CT12" i="35" s="1"/>
  <c r="CU12" i="35" s="1"/>
  <c r="CV12" i="35" s="1"/>
  <c r="CW12" i="35" s="1"/>
  <c r="CX12" i="35" s="1"/>
  <c r="CY12" i="35" s="1"/>
  <c r="CZ12" i="35" s="1"/>
  <c r="DA12" i="35" s="1"/>
  <c r="DB12" i="35" s="1"/>
  <c r="DC12" i="35" s="1"/>
  <c r="DD12" i="35" s="1"/>
  <c r="DE12" i="35" s="1"/>
  <c r="DF12" i="35" s="1"/>
  <c r="DG12" i="35" s="1"/>
  <c r="DH12" i="35" s="1"/>
  <c r="DI12" i="35" s="1"/>
  <c r="DJ12" i="35" s="1"/>
  <c r="DK12" i="35" s="1"/>
  <c r="DL12" i="35" s="1"/>
  <c r="DM12" i="35" s="1"/>
  <c r="DN12" i="35" s="1"/>
  <c r="DO12" i="35" s="1"/>
  <c r="DP12" i="35" s="1"/>
  <c r="DQ12" i="35" s="1"/>
  <c r="DR12" i="35" s="1"/>
  <c r="DS12" i="35" s="1"/>
  <c r="DT12" i="35" s="1"/>
  <c r="DU12" i="35" s="1"/>
  <c r="DV12" i="35" s="1"/>
  <c r="DW12" i="35" s="1"/>
  <c r="DX12" i="35" s="1"/>
  <c r="DY12" i="35" s="1"/>
  <c r="DZ12" i="35" s="1"/>
  <c r="EA12" i="35" s="1"/>
  <c r="EB12" i="35" s="1"/>
  <c r="CR13" i="35"/>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CR14" i="35"/>
  <c r="CS14" i="35" s="1"/>
  <c r="CT14" i="35" s="1"/>
  <c r="CU14" i="35" s="1"/>
  <c r="CV14" i="35" s="1"/>
  <c r="CW14" i="35" s="1"/>
  <c r="CX14" i="35" s="1"/>
  <c r="CY14" i="35" s="1"/>
  <c r="CZ14" i="35" s="1"/>
  <c r="DA14" i="35" s="1"/>
  <c r="DB14" i="35" s="1"/>
  <c r="DC14" i="35" s="1"/>
  <c r="DD14" i="35" s="1"/>
  <c r="DE14" i="35" s="1"/>
  <c r="DF14" i="35" s="1"/>
  <c r="DG14" i="35" s="1"/>
  <c r="DH14" i="35" s="1"/>
  <c r="DI14" i="35" s="1"/>
  <c r="DJ14" i="35" s="1"/>
  <c r="DK14" i="35" s="1"/>
  <c r="DL14" i="35" s="1"/>
  <c r="DM14" i="35" s="1"/>
  <c r="DN14" i="35" s="1"/>
  <c r="DO14" i="35" s="1"/>
  <c r="DP14" i="35" s="1"/>
  <c r="DQ14" i="35" s="1"/>
  <c r="DR14" i="35" s="1"/>
  <c r="DS14" i="35" s="1"/>
  <c r="DT14" i="35" s="1"/>
  <c r="DU14" i="35" s="1"/>
  <c r="DV14" i="35" s="1"/>
  <c r="DW14" i="35" s="1"/>
  <c r="DX14" i="35" s="1"/>
  <c r="DY14" i="35" s="1"/>
  <c r="DZ14" i="35" s="1"/>
  <c r="EA14" i="35" s="1"/>
  <c r="EB14" i="35" s="1"/>
  <c r="CR15" i="35"/>
  <c r="CS15" i="35" s="1"/>
  <c r="CT15" i="35" s="1"/>
  <c r="CU15" i="35" s="1"/>
  <c r="CV15" i="35" s="1"/>
  <c r="CW15" i="35" s="1"/>
  <c r="CX15" i="35" s="1"/>
  <c r="CY15" i="35" s="1"/>
  <c r="CZ15" i="35" s="1"/>
  <c r="DA15" i="35" s="1"/>
  <c r="DB15" i="35" s="1"/>
  <c r="DC15" i="35" s="1"/>
  <c r="DD15" i="35" s="1"/>
  <c r="DE15" i="35" s="1"/>
  <c r="DF15" i="35" s="1"/>
  <c r="DG15" i="35" s="1"/>
  <c r="DH15" i="35" s="1"/>
  <c r="DI15" i="35" s="1"/>
  <c r="DJ15" i="35" s="1"/>
  <c r="DK15" i="35" s="1"/>
  <c r="DL15" i="35" s="1"/>
  <c r="DM15" i="35" s="1"/>
  <c r="DN15" i="35" s="1"/>
  <c r="DO15" i="35" s="1"/>
  <c r="DP15" i="35" s="1"/>
  <c r="DQ15" i="35" s="1"/>
  <c r="DR15" i="35" s="1"/>
  <c r="DS15" i="35" s="1"/>
  <c r="DT15" i="35" s="1"/>
  <c r="DU15" i="35" s="1"/>
  <c r="DV15" i="35" s="1"/>
  <c r="DW15" i="35" s="1"/>
  <c r="DX15" i="35" s="1"/>
  <c r="DY15" i="35" s="1"/>
  <c r="DZ15" i="35" s="1"/>
  <c r="EA15" i="35" s="1"/>
  <c r="EB15" i="35" s="1"/>
  <c r="CR16" i="35"/>
  <c r="CS16" i="35" s="1"/>
  <c r="CT16" i="35" s="1"/>
  <c r="CU16" i="35" s="1"/>
  <c r="CV16" i="35" s="1"/>
  <c r="CW16" i="35" s="1"/>
  <c r="CX16" i="35" s="1"/>
  <c r="CY16" i="35" s="1"/>
  <c r="CZ16" i="35" s="1"/>
  <c r="DA16" i="35" s="1"/>
  <c r="DB16" i="35" s="1"/>
  <c r="DC16" i="35" s="1"/>
  <c r="DD16" i="35" s="1"/>
  <c r="DE16" i="35" s="1"/>
  <c r="DF16" i="35" s="1"/>
  <c r="DG16" i="35" s="1"/>
  <c r="DH16" i="35" s="1"/>
  <c r="DI16" i="35" s="1"/>
  <c r="DJ16" i="35" s="1"/>
  <c r="DK16" i="35" s="1"/>
  <c r="DL16" i="35" s="1"/>
  <c r="DM16" i="35" s="1"/>
  <c r="DN16" i="35" s="1"/>
  <c r="DO16" i="35" s="1"/>
  <c r="DP16" i="35" s="1"/>
  <c r="DQ16" i="35" s="1"/>
  <c r="DR16" i="35" s="1"/>
  <c r="DS16" i="35" s="1"/>
  <c r="DT16" i="35" s="1"/>
  <c r="DU16" i="35" s="1"/>
  <c r="DV16" i="35" s="1"/>
  <c r="DW16" i="35" s="1"/>
  <c r="DX16" i="35" s="1"/>
  <c r="DY16" i="35" s="1"/>
  <c r="DZ16" i="35" s="1"/>
  <c r="EA16" i="35" s="1"/>
  <c r="EB16" i="35" s="1"/>
  <c r="CR17" i="35"/>
  <c r="CS17" i="35" s="1"/>
  <c r="CT17" i="35" s="1"/>
  <c r="CU17" i="35" s="1"/>
  <c r="CV17" i="35" s="1"/>
  <c r="CW17" i="35" s="1"/>
  <c r="CX17" i="35" s="1"/>
  <c r="CY17" i="35" s="1"/>
  <c r="CZ17" i="35" s="1"/>
  <c r="DA17" i="35" s="1"/>
  <c r="DB17" i="35" s="1"/>
  <c r="DC17" i="35" s="1"/>
  <c r="DD17" i="35" s="1"/>
  <c r="DE17" i="35" s="1"/>
  <c r="DF17" i="35" s="1"/>
  <c r="DG17" i="35" s="1"/>
  <c r="DH17" i="35" s="1"/>
  <c r="DI17" i="35" s="1"/>
  <c r="DJ17" i="35" s="1"/>
  <c r="DK17" i="35" s="1"/>
  <c r="DL17" i="35" s="1"/>
  <c r="DM17" i="35" s="1"/>
  <c r="DN17" i="35" s="1"/>
  <c r="DO17" i="35" s="1"/>
  <c r="DP17" i="35" s="1"/>
  <c r="DQ17" i="35" s="1"/>
  <c r="DR17" i="35" s="1"/>
  <c r="DS17" i="35" s="1"/>
  <c r="DT17" i="35" s="1"/>
  <c r="DU17" i="35" s="1"/>
  <c r="DV17" i="35" s="1"/>
  <c r="DW17" i="35" s="1"/>
  <c r="DX17" i="35" s="1"/>
  <c r="DY17" i="35" s="1"/>
  <c r="DZ17" i="35" s="1"/>
  <c r="EA17" i="35" s="1"/>
  <c r="EB17" i="35" s="1"/>
  <c r="CR18" i="35"/>
  <c r="CS18" i="35" s="1"/>
  <c r="CT18" i="35" s="1"/>
  <c r="CU18" i="35" s="1"/>
  <c r="CV18" i="35" s="1"/>
  <c r="CW18" i="35" s="1"/>
  <c r="CX18" i="35" s="1"/>
  <c r="CY18" i="35" s="1"/>
  <c r="CZ18" i="35" s="1"/>
  <c r="DA18" i="35" s="1"/>
  <c r="DB18" i="35" s="1"/>
  <c r="DC18" i="35" s="1"/>
  <c r="DD18" i="35" s="1"/>
  <c r="DE18" i="35" s="1"/>
  <c r="DF18" i="35" s="1"/>
  <c r="DG18" i="35" s="1"/>
  <c r="DH18" i="35" s="1"/>
  <c r="DI18" i="35" s="1"/>
  <c r="DJ18" i="35" s="1"/>
  <c r="DK18" i="35" s="1"/>
  <c r="DL18" i="35" s="1"/>
  <c r="DM18" i="35" s="1"/>
  <c r="DN18" i="35" s="1"/>
  <c r="DO18" i="35" s="1"/>
  <c r="DP18" i="35" s="1"/>
  <c r="DQ18" i="35" s="1"/>
  <c r="DR18" i="35" s="1"/>
  <c r="DS18" i="35" s="1"/>
  <c r="DT18" i="35" s="1"/>
  <c r="DU18" i="35" s="1"/>
  <c r="DV18" i="35" s="1"/>
  <c r="DW18" i="35" s="1"/>
  <c r="DX18" i="35" s="1"/>
  <c r="DY18" i="35" s="1"/>
  <c r="DZ18" i="35" s="1"/>
  <c r="EA18" i="35" s="1"/>
  <c r="EB18" i="35" s="1"/>
  <c r="CR19" i="35"/>
  <c r="CS19" i="35" s="1"/>
  <c r="CT19" i="35" s="1"/>
  <c r="CU19" i="35" s="1"/>
  <c r="CV19" i="35" s="1"/>
  <c r="CW19" i="35" s="1"/>
  <c r="CX19" i="35" s="1"/>
  <c r="CY19" i="35" s="1"/>
  <c r="CZ19" i="35" s="1"/>
  <c r="DA19" i="35" s="1"/>
  <c r="DB19" i="35" s="1"/>
  <c r="DC19" i="35" s="1"/>
  <c r="DD19" i="35" s="1"/>
  <c r="DE19" i="35" s="1"/>
  <c r="DF19" i="35" s="1"/>
  <c r="DG19" i="35" s="1"/>
  <c r="DH19" i="35" s="1"/>
  <c r="DI19" i="35" s="1"/>
  <c r="DJ19" i="35" s="1"/>
  <c r="DK19" i="35" s="1"/>
  <c r="DL19" i="35" s="1"/>
  <c r="DM19" i="35" s="1"/>
  <c r="DN19" i="35" s="1"/>
  <c r="DO19" i="35" s="1"/>
  <c r="DP19" i="35" s="1"/>
  <c r="DQ19" i="35" s="1"/>
  <c r="DR19" i="35" s="1"/>
  <c r="DS19" i="35" s="1"/>
  <c r="DT19" i="35" s="1"/>
  <c r="DU19" i="35" s="1"/>
  <c r="DV19" i="35" s="1"/>
  <c r="DW19" i="35" s="1"/>
  <c r="DX19" i="35" s="1"/>
  <c r="DY19" i="35" s="1"/>
  <c r="DZ19" i="35" s="1"/>
  <c r="EA19" i="35" s="1"/>
  <c r="EB19" i="35" s="1"/>
  <c r="CR20" i="35"/>
  <c r="CS20" i="35" s="1"/>
  <c r="CT20" i="35" s="1"/>
  <c r="CU20" i="35" s="1"/>
  <c r="CV20" i="35" s="1"/>
  <c r="CW20" i="35" s="1"/>
  <c r="CX20" i="35" s="1"/>
  <c r="CY20" i="35" s="1"/>
  <c r="CZ20" i="35" s="1"/>
  <c r="DA20" i="35" s="1"/>
  <c r="DB20" i="35" s="1"/>
  <c r="DC20" i="35" s="1"/>
  <c r="DD20" i="35" s="1"/>
  <c r="DE20" i="35" s="1"/>
  <c r="DF20" i="35" s="1"/>
  <c r="DG20" i="35" s="1"/>
  <c r="DH20" i="35" s="1"/>
  <c r="DI20" i="35" s="1"/>
  <c r="DJ20" i="35" s="1"/>
  <c r="DK20" i="35" s="1"/>
  <c r="DL20" i="35" s="1"/>
  <c r="DM20" i="35" s="1"/>
  <c r="DN20" i="35" s="1"/>
  <c r="DO20" i="35" s="1"/>
  <c r="DP20" i="35" s="1"/>
  <c r="DQ20" i="35" s="1"/>
  <c r="DR20" i="35" s="1"/>
  <c r="DS20" i="35" s="1"/>
  <c r="DT20" i="35" s="1"/>
  <c r="DU20" i="35" s="1"/>
  <c r="DV20" i="35" s="1"/>
  <c r="DW20" i="35" s="1"/>
  <c r="DX20" i="35" s="1"/>
  <c r="DY20" i="35" s="1"/>
  <c r="DZ20" i="35" s="1"/>
  <c r="EA20" i="35" s="1"/>
  <c r="EB20" i="35" s="1"/>
  <c r="CR21" i="35"/>
  <c r="CS21" i="35" s="1"/>
  <c r="CT21" i="35" s="1"/>
  <c r="CU21" i="35" s="1"/>
  <c r="CV21" i="35" s="1"/>
  <c r="CW21" i="35" s="1"/>
  <c r="CX21" i="35" s="1"/>
  <c r="CY21" i="35" s="1"/>
  <c r="CZ21" i="35" s="1"/>
  <c r="DA21" i="35" s="1"/>
  <c r="DB21" i="35" s="1"/>
  <c r="DC21" i="35" s="1"/>
  <c r="DD21" i="35" s="1"/>
  <c r="DE21" i="35" s="1"/>
  <c r="DF21" i="35" s="1"/>
  <c r="DG21" i="35" s="1"/>
  <c r="DH21" i="35" s="1"/>
  <c r="DI21" i="35" s="1"/>
  <c r="DJ21" i="35" s="1"/>
  <c r="DK21" i="35" s="1"/>
  <c r="DL21" i="35" s="1"/>
  <c r="DM21" i="35" s="1"/>
  <c r="DN21" i="35" s="1"/>
  <c r="DO21" i="35" s="1"/>
  <c r="DP21" i="35" s="1"/>
  <c r="DQ21" i="35" s="1"/>
  <c r="DR21" i="35" s="1"/>
  <c r="DS21" i="35" s="1"/>
  <c r="DT21" i="35" s="1"/>
  <c r="DU21" i="35" s="1"/>
  <c r="DV21" i="35" s="1"/>
  <c r="DW21" i="35" s="1"/>
  <c r="DX21" i="35" s="1"/>
  <c r="DY21" i="35" s="1"/>
  <c r="DZ21" i="35" s="1"/>
  <c r="EA21" i="35" s="1"/>
  <c r="EB21" i="35" s="1"/>
  <c r="CR22" i="35"/>
  <c r="CS22" i="35" s="1"/>
  <c r="CT22" i="35" s="1"/>
  <c r="CU22" i="35" s="1"/>
  <c r="CV22" i="35" s="1"/>
  <c r="CW22" i="35" s="1"/>
  <c r="CX22" i="35" s="1"/>
  <c r="CY22" i="35" s="1"/>
  <c r="CZ22" i="35" s="1"/>
  <c r="DA22" i="35" s="1"/>
  <c r="DB22" i="35" s="1"/>
  <c r="DC22" i="35" s="1"/>
  <c r="DD22" i="35" s="1"/>
  <c r="DE22" i="35" s="1"/>
  <c r="DF22" i="35" s="1"/>
  <c r="DG22" i="35" s="1"/>
  <c r="DH22" i="35" s="1"/>
  <c r="DI22" i="35" s="1"/>
  <c r="DJ22" i="35" s="1"/>
  <c r="DK22" i="35" s="1"/>
  <c r="DL22" i="35" s="1"/>
  <c r="DM22" i="35" s="1"/>
  <c r="DN22" i="35" s="1"/>
  <c r="DO22" i="35" s="1"/>
  <c r="DP22" i="35" s="1"/>
  <c r="DQ22" i="35" s="1"/>
  <c r="DR22" i="35" s="1"/>
  <c r="DS22" i="35" s="1"/>
  <c r="DT22" i="35" s="1"/>
  <c r="DU22" i="35" s="1"/>
  <c r="DV22" i="35" s="1"/>
  <c r="DW22" i="35" s="1"/>
  <c r="DX22" i="35" s="1"/>
  <c r="DY22" i="35" s="1"/>
  <c r="DZ22" i="35" s="1"/>
  <c r="EA22" i="35" s="1"/>
  <c r="EB22" i="35" s="1"/>
  <c r="CR23" i="35"/>
  <c r="CS23" i="35" s="1"/>
  <c r="CT23" i="35" s="1"/>
  <c r="CU23" i="35" s="1"/>
  <c r="CV23" i="35" s="1"/>
  <c r="CW23" i="35" s="1"/>
  <c r="CX23" i="35" s="1"/>
  <c r="CY23" i="35" s="1"/>
  <c r="CZ23" i="35" s="1"/>
  <c r="DA23" i="35" s="1"/>
  <c r="DB23" i="35" s="1"/>
  <c r="DC23" i="35" s="1"/>
  <c r="DD23" i="35" s="1"/>
  <c r="DE23" i="35" s="1"/>
  <c r="DF23" i="35" s="1"/>
  <c r="DG23" i="35" s="1"/>
  <c r="DH23" i="35" s="1"/>
  <c r="DI23" i="35" s="1"/>
  <c r="DJ23" i="35" s="1"/>
  <c r="DK23" i="35" s="1"/>
  <c r="DL23" i="35" s="1"/>
  <c r="DM23" i="35" s="1"/>
  <c r="DN23" i="35" s="1"/>
  <c r="DO23" i="35" s="1"/>
  <c r="DP23" i="35" s="1"/>
  <c r="DQ23" i="35" s="1"/>
  <c r="DR23" i="35" s="1"/>
  <c r="DS23" i="35" s="1"/>
  <c r="DT23" i="35" s="1"/>
  <c r="DU23" i="35" s="1"/>
  <c r="DV23" i="35" s="1"/>
  <c r="DW23" i="35" s="1"/>
  <c r="DX23" i="35" s="1"/>
  <c r="DY23" i="35" s="1"/>
  <c r="DZ23" i="35" s="1"/>
  <c r="EA23" i="35" s="1"/>
  <c r="EB23" i="35" s="1"/>
  <c r="CR24" i="35"/>
  <c r="CS24" i="35" s="1"/>
  <c r="CT24" i="35" s="1"/>
  <c r="CU24" i="35" s="1"/>
  <c r="CV24" i="35" s="1"/>
  <c r="CW24" i="35" s="1"/>
  <c r="CX24" i="35" s="1"/>
  <c r="CY24" i="35" s="1"/>
  <c r="CZ24" i="35" s="1"/>
  <c r="DA24" i="35" s="1"/>
  <c r="DB24" i="35" s="1"/>
  <c r="DC24" i="35" s="1"/>
  <c r="DD24" i="35" s="1"/>
  <c r="DE24" i="35" s="1"/>
  <c r="DF24" i="35" s="1"/>
  <c r="DG24" i="35" s="1"/>
  <c r="DH24" i="35" s="1"/>
  <c r="DI24" i="35" s="1"/>
  <c r="DJ24" i="35" s="1"/>
  <c r="DK24" i="35" s="1"/>
  <c r="DL24" i="35" s="1"/>
  <c r="DM24" i="35" s="1"/>
  <c r="DN24" i="35" s="1"/>
  <c r="DO24" i="35" s="1"/>
  <c r="DP24" i="35" s="1"/>
  <c r="DQ24" i="35" s="1"/>
  <c r="DR24" i="35" s="1"/>
  <c r="DS24" i="35" s="1"/>
  <c r="DT24" i="35" s="1"/>
  <c r="DU24" i="35" s="1"/>
  <c r="DV24" i="35" s="1"/>
  <c r="DW24" i="35" s="1"/>
  <c r="DX24" i="35" s="1"/>
  <c r="DY24" i="35" s="1"/>
  <c r="DZ24" i="35" s="1"/>
  <c r="EA24" i="35" s="1"/>
  <c r="EB24" i="35" s="1"/>
  <c r="CR25" i="35"/>
  <c r="CS25" i="35" s="1"/>
  <c r="CT25" i="35" s="1"/>
  <c r="CU25" i="35" s="1"/>
  <c r="CV25" i="35" s="1"/>
  <c r="CW25" i="35" s="1"/>
  <c r="CX25" i="35" s="1"/>
  <c r="CY25" i="35" s="1"/>
  <c r="CZ25" i="35" s="1"/>
  <c r="DA25" i="35" s="1"/>
  <c r="DB25" i="35" s="1"/>
  <c r="DC25" i="35" s="1"/>
  <c r="DD25" i="35" s="1"/>
  <c r="DE25" i="35" s="1"/>
  <c r="DF25" i="35" s="1"/>
  <c r="DG25" i="35" s="1"/>
  <c r="DH25" i="35" s="1"/>
  <c r="DI25" i="35" s="1"/>
  <c r="DJ25" i="35" s="1"/>
  <c r="DK25" i="35" s="1"/>
  <c r="DL25" i="35" s="1"/>
  <c r="DM25" i="35" s="1"/>
  <c r="DN25" i="35" s="1"/>
  <c r="DO25" i="35" s="1"/>
  <c r="DP25" i="35" s="1"/>
  <c r="DQ25" i="35" s="1"/>
  <c r="DR25" i="35" s="1"/>
  <c r="DS25" i="35" s="1"/>
  <c r="DT25" i="35" s="1"/>
  <c r="DU25" i="35" s="1"/>
  <c r="DV25" i="35" s="1"/>
  <c r="DW25" i="35" s="1"/>
  <c r="DX25" i="35" s="1"/>
  <c r="DY25" i="35" s="1"/>
  <c r="DZ25" i="35" s="1"/>
  <c r="EA25" i="35" s="1"/>
  <c r="EB25" i="35" s="1"/>
  <c r="CR26" i="35"/>
  <c r="CS26" i="35" s="1"/>
  <c r="CT26" i="35" s="1"/>
  <c r="CU26" i="35" s="1"/>
  <c r="CV26" i="35" s="1"/>
  <c r="CW26" i="35" s="1"/>
  <c r="CX26" i="35" s="1"/>
  <c r="CY26" i="35" s="1"/>
  <c r="CZ26" i="35" s="1"/>
  <c r="DA26" i="35" s="1"/>
  <c r="DB26" i="35" s="1"/>
  <c r="DC26" i="35" s="1"/>
  <c r="DD26" i="35" s="1"/>
  <c r="DE26" i="35" s="1"/>
  <c r="DF26" i="35" s="1"/>
  <c r="DG26" i="35" s="1"/>
  <c r="DH26" i="35" s="1"/>
  <c r="DI26" i="35" s="1"/>
  <c r="DJ26" i="35" s="1"/>
  <c r="DK26" i="35" s="1"/>
  <c r="DL26" i="35" s="1"/>
  <c r="DM26" i="35" s="1"/>
  <c r="DN26" i="35" s="1"/>
  <c r="DO26" i="35" s="1"/>
  <c r="DP26" i="35" s="1"/>
  <c r="DQ26" i="35" s="1"/>
  <c r="DR26" i="35" s="1"/>
  <c r="DS26" i="35" s="1"/>
  <c r="DT26" i="35" s="1"/>
  <c r="DU26" i="35" s="1"/>
  <c r="DV26" i="35" s="1"/>
  <c r="DW26" i="35" s="1"/>
  <c r="DX26" i="35" s="1"/>
  <c r="DY26" i="35" s="1"/>
  <c r="DZ26" i="35" s="1"/>
  <c r="EA26" i="35" s="1"/>
  <c r="EB26" i="35" s="1"/>
  <c r="CR66" i="35"/>
  <c r="CS66" i="35" s="1"/>
  <c r="CT66" i="35" s="1"/>
  <c r="CU66" i="35" s="1"/>
  <c r="CV66" i="35" s="1"/>
  <c r="CW66" i="35" s="1"/>
  <c r="CX66" i="35" s="1"/>
  <c r="CY66" i="35" s="1"/>
  <c r="CZ66" i="35" s="1"/>
  <c r="DA66" i="35" s="1"/>
  <c r="DB66" i="35" s="1"/>
  <c r="DC66" i="35" s="1"/>
  <c r="DD66" i="35" s="1"/>
  <c r="DE66" i="35" s="1"/>
  <c r="DF66" i="35" s="1"/>
  <c r="DG66" i="35" s="1"/>
  <c r="DH66" i="35" s="1"/>
  <c r="DI66" i="35" s="1"/>
  <c r="DJ66" i="35" s="1"/>
  <c r="DK66" i="35" s="1"/>
  <c r="DL66" i="35" s="1"/>
  <c r="DM66" i="35" s="1"/>
  <c r="DN66" i="35" s="1"/>
  <c r="DO66" i="35" s="1"/>
  <c r="DP66" i="35" s="1"/>
  <c r="DQ66" i="35" s="1"/>
  <c r="DR66" i="35" s="1"/>
  <c r="DS66" i="35" s="1"/>
  <c r="DT66" i="35" s="1"/>
  <c r="DU66" i="35" s="1"/>
  <c r="DV66" i="35" s="1"/>
  <c r="DW66" i="35" s="1"/>
  <c r="DX66" i="35" s="1"/>
  <c r="DY66" i="35" s="1"/>
  <c r="DZ66" i="35" s="1"/>
  <c r="EA66" i="35" s="1"/>
  <c r="EB66" i="35" s="1"/>
  <c r="CR67" i="35"/>
  <c r="CS67" i="35" s="1"/>
  <c r="CT67" i="35" s="1"/>
  <c r="CU67" i="35" s="1"/>
  <c r="CV67" i="35" s="1"/>
  <c r="CW67" i="35" s="1"/>
  <c r="CX67" i="35" s="1"/>
  <c r="CY67" i="35" s="1"/>
  <c r="CZ67" i="35" s="1"/>
  <c r="DA67" i="35" s="1"/>
  <c r="DB67" i="35" s="1"/>
  <c r="DC67" i="35" s="1"/>
  <c r="DD67" i="35" s="1"/>
  <c r="DE67" i="35" s="1"/>
  <c r="DF67" i="35" s="1"/>
  <c r="DG67" i="35" s="1"/>
  <c r="DH67" i="35" s="1"/>
  <c r="DI67" i="35" s="1"/>
  <c r="DJ67" i="35" s="1"/>
  <c r="DK67" i="35" s="1"/>
  <c r="DL67" i="35" s="1"/>
  <c r="DM67" i="35" s="1"/>
  <c r="DN67" i="35" s="1"/>
  <c r="DO67" i="35" s="1"/>
  <c r="DP67" i="35" s="1"/>
  <c r="DQ67" i="35" s="1"/>
  <c r="DR67" i="35" s="1"/>
  <c r="DS67" i="35" s="1"/>
  <c r="DT67" i="35" s="1"/>
  <c r="DU67" i="35" s="1"/>
  <c r="DV67" i="35" s="1"/>
  <c r="DW67" i="35" s="1"/>
  <c r="DX67" i="35" s="1"/>
  <c r="DY67" i="35" s="1"/>
  <c r="DZ67" i="35" s="1"/>
  <c r="EA67" i="35" s="1"/>
  <c r="EB67" i="35" s="1"/>
  <c r="CR68" i="35"/>
  <c r="CS68" i="35" s="1"/>
  <c r="CT68" i="35" s="1"/>
  <c r="CU68" i="35" s="1"/>
  <c r="CV68" i="35" s="1"/>
  <c r="CW68" i="35" s="1"/>
  <c r="CX68" i="35" s="1"/>
  <c r="CY68" i="35" s="1"/>
  <c r="CZ68" i="35" s="1"/>
  <c r="DA68" i="35" s="1"/>
  <c r="DB68" i="35" s="1"/>
  <c r="DC68" i="35" s="1"/>
  <c r="DD68" i="35" s="1"/>
  <c r="DE68" i="35" s="1"/>
  <c r="DF68" i="35" s="1"/>
  <c r="DG68" i="35" s="1"/>
  <c r="DH68" i="35" s="1"/>
  <c r="DI68" i="35" s="1"/>
  <c r="DJ68" i="35" s="1"/>
  <c r="DK68" i="35" s="1"/>
  <c r="DL68" i="35" s="1"/>
  <c r="DM68" i="35" s="1"/>
  <c r="DN68" i="35" s="1"/>
  <c r="DO68" i="35" s="1"/>
  <c r="DP68" i="35" s="1"/>
  <c r="DQ68" i="35" s="1"/>
  <c r="DR68" i="35" s="1"/>
  <c r="DS68" i="35" s="1"/>
  <c r="DT68" i="35" s="1"/>
  <c r="DU68" i="35" s="1"/>
  <c r="DV68" i="35" s="1"/>
  <c r="DW68" i="35" s="1"/>
  <c r="DX68" i="35" s="1"/>
  <c r="DY68" i="35" s="1"/>
  <c r="DZ68" i="35" s="1"/>
  <c r="EA68" i="35" s="1"/>
  <c r="EB68" i="35" s="1"/>
  <c r="CR69" i="35"/>
  <c r="CS69" i="35" s="1"/>
  <c r="CT69" i="35" s="1"/>
  <c r="CU69" i="35" s="1"/>
  <c r="CV69" i="35" s="1"/>
  <c r="CW69" i="35" s="1"/>
  <c r="CX69" i="35" s="1"/>
  <c r="CY69" i="35" s="1"/>
  <c r="CZ69" i="35" s="1"/>
  <c r="DA69" i="35" s="1"/>
  <c r="DB69" i="35" s="1"/>
  <c r="DC69" i="35" s="1"/>
  <c r="DD69" i="35" s="1"/>
  <c r="DE69" i="35" s="1"/>
  <c r="DF69" i="35" s="1"/>
  <c r="DG69" i="35" s="1"/>
  <c r="DH69" i="35" s="1"/>
  <c r="DI69" i="35" s="1"/>
  <c r="DJ69" i="35" s="1"/>
  <c r="DK69" i="35" s="1"/>
  <c r="DL69" i="35" s="1"/>
  <c r="DM69" i="35" s="1"/>
  <c r="DN69" i="35" s="1"/>
  <c r="DO69" i="35" s="1"/>
  <c r="DP69" i="35" s="1"/>
  <c r="DQ69" i="35" s="1"/>
  <c r="DR69" i="35" s="1"/>
  <c r="DS69" i="35" s="1"/>
  <c r="DT69" i="35" s="1"/>
  <c r="DU69" i="35" s="1"/>
  <c r="DV69" i="35" s="1"/>
  <c r="DW69" i="35" s="1"/>
  <c r="DX69" i="35" s="1"/>
  <c r="DY69" i="35" s="1"/>
  <c r="DZ69" i="35" s="1"/>
  <c r="EA69" i="35" s="1"/>
  <c r="EB69" i="35" s="1"/>
  <c r="CR70" i="35"/>
  <c r="CS70" i="35" s="1"/>
  <c r="CT70" i="35" s="1"/>
  <c r="CU70" i="35" s="1"/>
  <c r="CV70" i="35" s="1"/>
  <c r="CW70" i="35" s="1"/>
  <c r="CX70" i="35" s="1"/>
  <c r="CY70" i="35" s="1"/>
  <c r="CZ70" i="35" s="1"/>
  <c r="DA70" i="35" s="1"/>
  <c r="DB70" i="35" s="1"/>
  <c r="DC70" i="35" s="1"/>
  <c r="DD70" i="35" s="1"/>
  <c r="DE70" i="35" s="1"/>
  <c r="DF70" i="35" s="1"/>
  <c r="DG70" i="35" s="1"/>
  <c r="DH70" i="35" s="1"/>
  <c r="DI70" i="35" s="1"/>
  <c r="DJ70" i="35" s="1"/>
  <c r="DK70" i="35" s="1"/>
  <c r="DL70" i="35" s="1"/>
  <c r="DM70" i="35" s="1"/>
  <c r="DN70" i="35" s="1"/>
  <c r="DO70" i="35" s="1"/>
  <c r="DP70" i="35" s="1"/>
  <c r="DQ70" i="35" s="1"/>
  <c r="DR70" i="35" s="1"/>
  <c r="DS70" i="35" s="1"/>
  <c r="DT70" i="35" s="1"/>
  <c r="DU70" i="35" s="1"/>
  <c r="DV70" i="35" s="1"/>
  <c r="DW70" i="35" s="1"/>
  <c r="DX70" i="35" s="1"/>
  <c r="DY70" i="35" s="1"/>
  <c r="DZ70" i="35" s="1"/>
  <c r="EA70" i="35" s="1"/>
  <c r="EB70" i="35" s="1"/>
  <c r="CR71" i="35"/>
  <c r="CS71" i="35" s="1"/>
  <c r="CT71" i="35" s="1"/>
  <c r="CU71" i="35" s="1"/>
  <c r="CV71" i="35" s="1"/>
  <c r="CW71" i="35" s="1"/>
  <c r="CX71" i="35" s="1"/>
  <c r="CY71" i="35" s="1"/>
  <c r="CZ71" i="35" s="1"/>
  <c r="DA71" i="35" s="1"/>
  <c r="DB71" i="35" s="1"/>
  <c r="DC71" i="35" s="1"/>
  <c r="DD71" i="35" s="1"/>
  <c r="DE71" i="35" s="1"/>
  <c r="DF71" i="35" s="1"/>
  <c r="DG71" i="35" s="1"/>
  <c r="DH71" i="35" s="1"/>
  <c r="DI71" i="35" s="1"/>
  <c r="DJ71" i="35" s="1"/>
  <c r="DK71" i="35" s="1"/>
  <c r="DL71" i="35" s="1"/>
  <c r="DM71" i="35" s="1"/>
  <c r="DN71" i="35" s="1"/>
  <c r="DO71" i="35" s="1"/>
  <c r="DP71" i="35" s="1"/>
  <c r="DQ71" i="35" s="1"/>
  <c r="DR71" i="35" s="1"/>
  <c r="DS71" i="35" s="1"/>
  <c r="DT71" i="35" s="1"/>
  <c r="DU71" i="35" s="1"/>
  <c r="DV71" i="35" s="1"/>
  <c r="DW71" i="35" s="1"/>
  <c r="DX71" i="35" s="1"/>
  <c r="DY71" i="35" s="1"/>
  <c r="DZ71" i="35" s="1"/>
  <c r="EA71" i="35" s="1"/>
  <c r="EB71" i="35" s="1"/>
  <c r="CR72" i="35"/>
  <c r="CS72" i="35" s="1"/>
  <c r="CT72" i="35" s="1"/>
  <c r="CU72" i="35" s="1"/>
  <c r="CV72" i="35" s="1"/>
  <c r="CW72" i="35" s="1"/>
  <c r="CX72" i="35" s="1"/>
  <c r="CY72" i="35" s="1"/>
  <c r="CZ72" i="35" s="1"/>
  <c r="DA72" i="35" s="1"/>
  <c r="DB72" i="35" s="1"/>
  <c r="DC72" i="35" s="1"/>
  <c r="DD72" i="35" s="1"/>
  <c r="DE72" i="35" s="1"/>
  <c r="DF72" i="35" s="1"/>
  <c r="DG72" i="35" s="1"/>
  <c r="DH72" i="35" s="1"/>
  <c r="DI72" i="35" s="1"/>
  <c r="DJ72" i="35" s="1"/>
  <c r="DK72" i="35" s="1"/>
  <c r="DL72" i="35" s="1"/>
  <c r="DM72" i="35" s="1"/>
  <c r="DN72" i="35" s="1"/>
  <c r="DO72" i="35" s="1"/>
  <c r="DP72" i="35" s="1"/>
  <c r="DQ72" i="35" s="1"/>
  <c r="DR72" i="35" s="1"/>
  <c r="DS72" i="35" s="1"/>
  <c r="DT72" i="35" s="1"/>
  <c r="DU72" i="35" s="1"/>
  <c r="DV72" i="35" s="1"/>
  <c r="DW72" i="35" s="1"/>
  <c r="DX72" i="35" s="1"/>
  <c r="DY72" i="35" s="1"/>
  <c r="DZ72" i="35" s="1"/>
  <c r="EA72" i="35" s="1"/>
  <c r="EB72" i="35" s="1"/>
  <c r="CR73" i="35"/>
  <c r="CS73" i="35" s="1"/>
  <c r="CT73" i="35" s="1"/>
  <c r="CU73" i="35" s="1"/>
  <c r="CV73" i="35" s="1"/>
  <c r="CW73" i="35" s="1"/>
  <c r="CX73" i="35" s="1"/>
  <c r="CY73" i="35" s="1"/>
  <c r="CZ73" i="35" s="1"/>
  <c r="DA73" i="35" s="1"/>
  <c r="DB73" i="35" s="1"/>
  <c r="DC73" i="35" s="1"/>
  <c r="DD73" i="35" s="1"/>
  <c r="DE73" i="35" s="1"/>
  <c r="DF73" i="35" s="1"/>
  <c r="DG73" i="35" s="1"/>
  <c r="DH73" i="35" s="1"/>
  <c r="DI73" i="35" s="1"/>
  <c r="DJ73" i="35" s="1"/>
  <c r="DK73" i="35" s="1"/>
  <c r="DL73" i="35" s="1"/>
  <c r="DM73" i="35" s="1"/>
  <c r="DN73" i="35" s="1"/>
  <c r="DO73" i="35" s="1"/>
  <c r="DP73" i="35" s="1"/>
  <c r="DQ73" i="35" s="1"/>
  <c r="DR73" i="35" s="1"/>
  <c r="DS73" i="35" s="1"/>
  <c r="DT73" i="35" s="1"/>
  <c r="DU73" i="35" s="1"/>
  <c r="DV73" i="35" s="1"/>
  <c r="DW73" i="35" s="1"/>
  <c r="DX73" i="35" s="1"/>
  <c r="DY73" i="35" s="1"/>
  <c r="DZ73" i="35" s="1"/>
  <c r="EA73" i="35" s="1"/>
  <c r="EB73" i="35" s="1"/>
  <c r="CR74" i="35"/>
  <c r="CS74" i="35" s="1"/>
  <c r="CT74" i="35" s="1"/>
  <c r="CU74" i="35" s="1"/>
  <c r="CV74" i="35" s="1"/>
  <c r="CW74" i="35" s="1"/>
  <c r="CX74" i="35" s="1"/>
  <c r="CY74" i="35" s="1"/>
  <c r="CZ74" i="35" s="1"/>
  <c r="DA74" i="35" s="1"/>
  <c r="DB74" i="35" s="1"/>
  <c r="DC74" i="35" s="1"/>
  <c r="DD74" i="35" s="1"/>
  <c r="DE74" i="35" s="1"/>
  <c r="DF74" i="35" s="1"/>
  <c r="DG74" i="35" s="1"/>
  <c r="DH74" i="35" s="1"/>
  <c r="DI74" i="35" s="1"/>
  <c r="DJ74" i="35" s="1"/>
  <c r="DK74" i="35" s="1"/>
  <c r="DL74" i="35" s="1"/>
  <c r="DM74" i="35" s="1"/>
  <c r="DN74" i="35" s="1"/>
  <c r="DO74" i="35" s="1"/>
  <c r="DP74" i="35" s="1"/>
  <c r="DQ74" i="35" s="1"/>
  <c r="DR74" i="35" s="1"/>
  <c r="DS74" i="35" s="1"/>
  <c r="DT74" i="35" s="1"/>
  <c r="DU74" i="35" s="1"/>
  <c r="DV74" i="35" s="1"/>
  <c r="DW74" i="35" s="1"/>
  <c r="DX74" i="35" s="1"/>
  <c r="DY74" i="35" s="1"/>
  <c r="DZ74" i="35" s="1"/>
  <c r="EA74" i="35" s="1"/>
  <c r="EB74" i="35" s="1"/>
  <c r="CR75" i="35"/>
  <c r="CS75" i="35" s="1"/>
  <c r="CT75" i="35" s="1"/>
  <c r="CU75" i="35" s="1"/>
  <c r="CV75" i="35" s="1"/>
  <c r="CW75" i="35" s="1"/>
  <c r="CX75" i="35" s="1"/>
  <c r="CY75" i="35" s="1"/>
  <c r="CZ75" i="35" s="1"/>
  <c r="DA75" i="35" s="1"/>
  <c r="DB75" i="35" s="1"/>
  <c r="DC75" i="35" s="1"/>
  <c r="DD75" i="35" s="1"/>
  <c r="DE75" i="35" s="1"/>
  <c r="DF75" i="35" s="1"/>
  <c r="DG75" i="35" s="1"/>
  <c r="DH75" i="35" s="1"/>
  <c r="DI75" i="35" s="1"/>
  <c r="DJ75" i="35" s="1"/>
  <c r="DK75" i="35" s="1"/>
  <c r="DL75" i="35" s="1"/>
  <c r="DM75" i="35" s="1"/>
  <c r="DN75" i="35" s="1"/>
  <c r="DO75" i="35" s="1"/>
  <c r="DP75" i="35" s="1"/>
  <c r="DQ75" i="35" s="1"/>
  <c r="DR75" i="35" s="1"/>
  <c r="DS75" i="35" s="1"/>
  <c r="DT75" i="35" s="1"/>
  <c r="DU75" i="35" s="1"/>
  <c r="DV75" i="35" s="1"/>
  <c r="DW75" i="35" s="1"/>
  <c r="DX75" i="35" s="1"/>
  <c r="DY75" i="35" s="1"/>
  <c r="DZ75" i="35" s="1"/>
  <c r="EA75" i="35" s="1"/>
  <c r="EB75" i="35" s="1"/>
  <c r="CR76" i="35"/>
  <c r="CS76" i="35" s="1"/>
  <c r="CT76" i="35" s="1"/>
  <c r="CU76" i="35" s="1"/>
  <c r="CV76" i="35" s="1"/>
  <c r="CW76" i="35" s="1"/>
  <c r="CX76" i="35" s="1"/>
  <c r="CY76" i="35" s="1"/>
  <c r="CZ76" i="35" s="1"/>
  <c r="DA76" i="35" s="1"/>
  <c r="DB76" i="35" s="1"/>
  <c r="DC76" i="35" s="1"/>
  <c r="DD76" i="35" s="1"/>
  <c r="DE76" i="35" s="1"/>
  <c r="DF76" i="35" s="1"/>
  <c r="DG76" i="35" s="1"/>
  <c r="DH76" i="35" s="1"/>
  <c r="DI76" i="35" s="1"/>
  <c r="DJ76" i="35" s="1"/>
  <c r="DK76" i="35" s="1"/>
  <c r="DL76" i="35" s="1"/>
  <c r="DM76" i="35" s="1"/>
  <c r="DN76" i="35" s="1"/>
  <c r="DO76" i="35" s="1"/>
  <c r="DP76" i="35" s="1"/>
  <c r="DQ76" i="35" s="1"/>
  <c r="DR76" i="35" s="1"/>
  <c r="DS76" i="35" s="1"/>
  <c r="DT76" i="35" s="1"/>
  <c r="DU76" i="35" s="1"/>
  <c r="DV76" i="35" s="1"/>
  <c r="DW76" i="35" s="1"/>
  <c r="DX76" i="35" s="1"/>
  <c r="DY76" i="35" s="1"/>
  <c r="DZ76" i="35" s="1"/>
  <c r="EA76" i="35" s="1"/>
  <c r="EB76" i="35" s="1"/>
  <c r="CR77" i="35"/>
  <c r="CS77" i="35" s="1"/>
  <c r="CT77" i="35" s="1"/>
  <c r="CU77" i="35" s="1"/>
  <c r="CV77" i="35" s="1"/>
  <c r="CW77" i="35" s="1"/>
  <c r="CX77" i="35" s="1"/>
  <c r="CY77" i="35" s="1"/>
  <c r="CZ77" i="35" s="1"/>
  <c r="DA77" i="35" s="1"/>
  <c r="DB77" i="35" s="1"/>
  <c r="DC77" i="35" s="1"/>
  <c r="DD77" i="35" s="1"/>
  <c r="DE77" i="35" s="1"/>
  <c r="DF77" i="35" s="1"/>
  <c r="DG77" i="35" s="1"/>
  <c r="DH77" i="35" s="1"/>
  <c r="DI77" i="35" s="1"/>
  <c r="DJ77" i="35" s="1"/>
  <c r="DK77" i="35" s="1"/>
  <c r="DL77" i="35" s="1"/>
  <c r="DM77" i="35" s="1"/>
  <c r="DN77" i="35" s="1"/>
  <c r="DO77" i="35" s="1"/>
  <c r="DP77" i="35" s="1"/>
  <c r="DQ77" i="35" s="1"/>
  <c r="DR77" i="35" s="1"/>
  <c r="DS77" i="35" s="1"/>
  <c r="DT77" i="35" s="1"/>
  <c r="DU77" i="35" s="1"/>
  <c r="DV77" i="35" s="1"/>
  <c r="DW77" i="35" s="1"/>
  <c r="DX77" i="35" s="1"/>
  <c r="DY77" i="35" s="1"/>
  <c r="DZ77" i="35" s="1"/>
  <c r="EA77" i="35" s="1"/>
  <c r="EB77" i="35" s="1"/>
  <c r="CR78" i="35"/>
  <c r="CS78" i="35" s="1"/>
  <c r="CT78" i="35" s="1"/>
  <c r="CU78" i="35" s="1"/>
  <c r="CV78" i="35" s="1"/>
  <c r="CW78" i="35" s="1"/>
  <c r="CX78" i="35" s="1"/>
  <c r="CY78" i="35" s="1"/>
  <c r="CZ78" i="35" s="1"/>
  <c r="DA78" i="35" s="1"/>
  <c r="DB78" i="35" s="1"/>
  <c r="DC78" i="35" s="1"/>
  <c r="DD78" i="35" s="1"/>
  <c r="DE78" i="35" s="1"/>
  <c r="DF78" i="35" s="1"/>
  <c r="DG78" i="35" s="1"/>
  <c r="DH78" i="35" s="1"/>
  <c r="DI78" i="35" s="1"/>
  <c r="DJ78" i="35" s="1"/>
  <c r="DK78" i="35" s="1"/>
  <c r="DL78" i="35" s="1"/>
  <c r="DM78" i="35" s="1"/>
  <c r="DN78" i="35" s="1"/>
  <c r="DO78" i="35" s="1"/>
  <c r="DP78" i="35" s="1"/>
  <c r="DQ78" i="35" s="1"/>
  <c r="DR78" i="35" s="1"/>
  <c r="DS78" i="35" s="1"/>
  <c r="DT78" i="35" s="1"/>
  <c r="DU78" i="35" s="1"/>
  <c r="DV78" i="35" s="1"/>
  <c r="DW78" i="35" s="1"/>
  <c r="DX78" i="35" s="1"/>
  <c r="DY78" i="35" s="1"/>
  <c r="DZ78" i="35" s="1"/>
  <c r="EA78" i="35" s="1"/>
  <c r="EB78" i="35" s="1"/>
  <c r="CR79" i="35"/>
  <c r="CS79" i="35" s="1"/>
  <c r="CT79" i="35" s="1"/>
  <c r="CU79" i="35" s="1"/>
  <c r="CV79" i="35" s="1"/>
  <c r="CW79" i="35" s="1"/>
  <c r="CX79" i="35" s="1"/>
  <c r="CY79" i="35" s="1"/>
  <c r="CZ79" i="35" s="1"/>
  <c r="DA79" i="35" s="1"/>
  <c r="DB79" i="35" s="1"/>
  <c r="DC79" i="35" s="1"/>
  <c r="DD79" i="35" s="1"/>
  <c r="DE79" i="35" s="1"/>
  <c r="DF79" i="35" s="1"/>
  <c r="DG79" i="35" s="1"/>
  <c r="DH79" i="35" s="1"/>
  <c r="DI79" i="35" s="1"/>
  <c r="DJ79" i="35" s="1"/>
  <c r="DK79" i="35" s="1"/>
  <c r="DL79" i="35" s="1"/>
  <c r="DM79" i="35" s="1"/>
  <c r="DN79" i="35" s="1"/>
  <c r="DO79" i="35" s="1"/>
  <c r="DP79" i="35" s="1"/>
  <c r="DQ79" i="35" s="1"/>
  <c r="DR79" i="35" s="1"/>
  <c r="DS79" i="35" s="1"/>
  <c r="DT79" i="35" s="1"/>
  <c r="DU79" i="35" s="1"/>
  <c r="DV79" i="35" s="1"/>
  <c r="DW79" i="35" s="1"/>
  <c r="DX79" i="35" s="1"/>
  <c r="DY79" i="35" s="1"/>
  <c r="DZ79" i="35" s="1"/>
  <c r="EA79" i="35" s="1"/>
  <c r="EB79" i="35" s="1"/>
  <c r="CR80" i="35"/>
  <c r="CS80" i="35" s="1"/>
  <c r="CT80" i="35" s="1"/>
  <c r="CU80" i="35" s="1"/>
  <c r="CV80" i="35" s="1"/>
  <c r="CW80" i="35" s="1"/>
  <c r="CX80" i="35" s="1"/>
  <c r="CY80" i="35" s="1"/>
  <c r="CZ80" i="35" s="1"/>
  <c r="DA80" i="35" s="1"/>
  <c r="DB80" i="35" s="1"/>
  <c r="DC80" i="35" s="1"/>
  <c r="DD80" i="35" s="1"/>
  <c r="DE80" i="35" s="1"/>
  <c r="DF80" i="35" s="1"/>
  <c r="DG80" i="35" s="1"/>
  <c r="DH80" i="35" s="1"/>
  <c r="DI80" i="35" s="1"/>
  <c r="DJ80" i="35" s="1"/>
  <c r="DK80" i="35" s="1"/>
  <c r="DL80" i="35" s="1"/>
  <c r="DM80" i="35" s="1"/>
  <c r="DN80" i="35" s="1"/>
  <c r="DO80" i="35" s="1"/>
  <c r="DP80" i="35" s="1"/>
  <c r="DQ80" i="35" s="1"/>
  <c r="DR80" i="35" s="1"/>
  <c r="DS80" i="35" s="1"/>
  <c r="DT80" i="35" s="1"/>
  <c r="DU80" i="35" s="1"/>
  <c r="DV80" i="35" s="1"/>
  <c r="DW80" i="35" s="1"/>
  <c r="DX80" i="35" s="1"/>
  <c r="DY80" i="35" s="1"/>
  <c r="DZ80" i="35" s="1"/>
  <c r="EA80" i="35" s="1"/>
  <c r="EB80" i="35" s="1"/>
  <c r="CR81" i="35"/>
  <c r="CS81" i="35" s="1"/>
  <c r="CT81" i="35" s="1"/>
  <c r="CU81" i="35" s="1"/>
  <c r="CV81" i="35" s="1"/>
  <c r="CW81" i="35" s="1"/>
  <c r="CX81" i="35" s="1"/>
  <c r="CY81" i="35" s="1"/>
  <c r="CZ81" i="35" s="1"/>
  <c r="DA81" i="35" s="1"/>
  <c r="DB81" i="35" s="1"/>
  <c r="DC81" i="35" s="1"/>
  <c r="DD81" i="35" s="1"/>
  <c r="DE81" i="35" s="1"/>
  <c r="DF81" i="35" s="1"/>
  <c r="DG81" i="35" s="1"/>
  <c r="DH81" i="35" s="1"/>
  <c r="DI81" i="35" s="1"/>
  <c r="DJ81" i="35" s="1"/>
  <c r="DK81" i="35" s="1"/>
  <c r="DL81" i="35" s="1"/>
  <c r="DM81" i="35" s="1"/>
  <c r="DN81" i="35" s="1"/>
  <c r="DO81" i="35" s="1"/>
  <c r="DP81" i="35" s="1"/>
  <c r="DQ81" i="35" s="1"/>
  <c r="DR81" i="35" s="1"/>
  <c r="DS81" i="35" s="1"/>
  <c r="DT81" i="35" s="1"/>
  <c r="DU81" i="35" s="1"/>
  <c r="DV81" i="35" s="1"/>
  <c r="DW81" i="35" s="1"/>
  <c r="DX81" i="35" s="1"/>
  <c r="DY81" i="35" s="1"/>
  <c r="DZ81" i="35" s="1"/>
  <c r="EA81" i="35" s="1"/>
  <c r="EB81" i="35" s="1"/>
  <c r="CR82" i="35"/>
  <c r="CS82" i="35" s="1"/>
  <c r="CT82" i="35" s="1"/>
  <c r="CU82" i="35" s="1"/>
  <c r="CV82" i="35" s="1"/>
  <c r="CW82" i="35" s="1"/>
  <c r="CX82" i="35" s="1"/>
  <c r="CY82" i="35" s="1"/>
  <c r="CZ82" i="35" s="1"/>
  <c r="DA82" i="35" s="1"/>
  <c r="DB82" i="35" s="1"/>
  <c r="DC82" i="35" s="1"/>
  <c r="DD82" i="35" s="1"/>
  <c r="DE82" i="35" s="1"/>
  <c r="DF82" i="35" s="1"/>
  <c r="DG82" i="35" s="1"/>
  <c r="DH82" i="35" s="1"/>
  <c r="DI82" i="35" s="1"/>
  <c r="DJ82" i="35" s="1"/>
  <c r="DK82" i="35" s="1"/>
  <c r="DL82" i="35" s="1"/>
  <c r="DM82" i="35" s="1"/>
  <c r="DN82" i="35" s="1"/>
  <c r="DO82" i="35" s="1"/>
  <c r="DP82" i="35" s="1"/>
  <c r="DQ82" i="35" s="1"/>
  <c r="DR82" i="35" s="1"/>
  <c r="DS82" i="35" s="1"/>
  <c r="DT82" i="35" s="1"/>
  <c r="DU82" i="35" s="1"/>
  <c r="DV82" i="35" s="1"/>
  <c r="DW82" i="35" s="1"/>
  <c r="DX82" i="35" s="1"/>
  <c r="DY82" i="35" s="1"/>
  <c r="DZ82" i="35" s="1"/>
  <c r="EA82" i="35" s="1"/>
  <c r="EB82" i="35" s="1"/>
  <c r="CR83" i="35"/>
  <c r="CS83" i="35" s="1"/>
  <c r="CT83" i="35" s="1"/>
  <c r="CU83" i="35" s="1"/>
  <c r="CV83" i="35" s="1"/>
  <c r="CW83" i="35" s="1"/>
  <c r="CX83" i="35" s="1"/>
  <c r="CY83" i="35" s="1"/>
  <c r="CZ83" i="35" s="1"/>
  <c r="DA83" i="35" s="1"/>
  <c r="DB83" i="35" s="1"/>
  <c r="DC83" i="35" s="1"/>
  <c r="DD83" i="35" s="1"/>
  <c r="DE83" i="35" s="1"/>
  <c r="DF83" i="35" s="1"/>
  <c r="DG83" i="35" s="1"/>
  <c r="DH83" i="35" s="1"/>
  <c r="DI83" i="35" s="1"/>
  <c r="DJ83" i="35" s="1"/>
  <c r="DK83" i="35" s="1"/>
  <c r="DL83" i="35" s="1"/>
  <c r="DM83" i="35" s="1"/>
  <c r="DN83" i="35" s="1"/>
  <c r="DO83" i="35" s="1"/>
  <c r="DP83" i="35" s="1"/>
  <c r="DQ83" i="35" s="1"/>
  <c r="DR83" i="35" s="1"/>
  <c r="DS83" i="35" s="1"/>
  <c r="DT83" i="35" s="1"/>
  <c r="DU83" i="35" s="1"/>
  <c r="DV83" i="35" s="1"/>
  <c r="DW83" i="35" s="1"/>
  <c r="DX83" i="35" s="1"/>
  <c r="DY83" i="35" s="1"/>
  <c r="DZ83" i="35" s="1"/>
  <c r="EA83" i="35" s="1"/>
  <c r="EB83" i="35" s="1"/>
</calcChain>
</file>

<file path=xl/comments1.xml><?xml version="1.0" encoding="utf-8"?>
<comments xmlns="http://schemas.openxmlformats.org/spreadsheetml/2006/main">
  <authors>
    <author>Lanham, Nicholas A CIV OASN (FM&amp;C), NCCA</author>
  </authors>
  <commentList>
    <comment ref="A5" authorId="0">
      <text>
        <r>
          <rPr>
            <b/>
            <sz val="9"/>
            <color indexed="81"/>
            <rFont val="Tahoma"/>
            <family val="2"/>
          </rPr>
          <t>Lanham, Nicholas A CIV OASN (FM&amp;C), NCCA:</t>
        </r>
        <r>
          <rPr>
            <sz val="9"/>
            <color indexed="81"/>
            <rFont val="Tahoma"/>
            <family val="2"/>
          </rPr>
          <t xml:space="preserve">
Test
</t>
        </r>
      </text>
    </comment>
  </commentList>
</comments>
</file>

<file path=xl/comments2.xml><?xml version="1.0" encoding="utf-8"?>
<comments xmlns="http://schemas.openxmlformats.org/spreadsheetml/2006/main">
  <authors>
    <author>Lanham, Nicholas A CIV OASN (FM&amp;C), NCCA</author>
  </authors>
  <commentList>
    <comment ref="M38" authorId="0">
      <text>
        <r>
          <rPr>
            <b/>
            <sz val="9"/>
            <color indexed="81"/>
            <rFont val="Tahoma"/>
            <family val="2"/>
          </rPr>
          <t>Lanham, Nicholas A CIV OASN (FM&amp;C), NCCA:</t>
        </r>
        <r>
          <rPr>
            <sz val="9"/>
            <color indexed="81"/>
            <rFont val="Tahoma"/>
            <family val="2"/>
          </rPr>
          <t xml:space="preserve">
Test</t>
        </r>
      </text>
    </comment>
  </commentList>
</comments>
</file>

<file path=xl/comments3.xml><?xml version="1.0" encoding="utf-8"?>
<comments xmlns="http://schemas.openxmlformats.org/spreadsheetml/2006/main">
  <authors>
    <author>Lanham, Nicholas A CIV OASN (FM&amp;C), NCCA</author>
  </authors>
  <commentList>
    <comment ref="D17" authorId="0">
      <text>
        <r>
          <rPr>
            <b/>
            <sz val="9"/>
            <color indexed="81"/>
            <rFont val="Tahoma"/>
            <family val="2"/>
          </rPr>
          <t>Lanham, Nicholas A CIV OASN (FM&amp;C), NCCA:</t>
        </r>
        <r>
          <rPr>
            <sz val="9"/>
            <color indexed="81"/>
            <rFont val="Tahoma"/>
            <family val="2"/>
          </rPr>
          <t xml:space="preserve">
Test</t>
        </r>
      </text>
    </comment>
  </commentList>
</comments>
</file>

<file path=xl/comments4.xml><?xml version="1.0" encoding="utf-8"?>
<comments xmlns="http://schemas.openxmlformats.org/spreadsheetml/2006/main">
  <authors>
    <author>Lanham, Nicholas A CIV OASN (FM&amp;C), NCCA</author>
  </authors>
  <commentList>
    <comment ref="D3" authorId="0">
      <text>
        <r>
          <rPr>
            <b/>
            <sz val="9"/>
            <color indexed="81"/>
            <rFont val="Tahoma"/>
            <family val="2"/>
          </rPr>
          <t>Lanham, Nicholas A CIV OASN (FM&amp;C), NCCA:</t>
        </r>
        <r>
          <rPr>
            <sz val="9"/>
            <color indexed="81"/>
            <rFont val="Tahoma"/>
            <family val="2"/>
          </rPr>
          <t xml:space="preserve">
Test</t>
        </r>
      </text>
    </comment>
  </commentList>
</comments>
</file>

<file path=xl/comments5.xml><?xml version="1.0" encoding="utf-8"?>
<comments xmlns="http://schemas.openxmlformats.org/spreadsheetml/2006/main">
  <authors>
    <author>Lanham, Nicholas A CIV OASN (FM&amp;C), NCCA</author>
  </authors>
  <commentList>
    <comment ref="A53" authorId="0">
      <text>
        <r>
          <rPr>
            <b/>
            <sz val="12"/>
            <color indexed="81"/>
            <rFont val="Tahoma"/>
            <family val="2"/>
          </rPr>
          <t>Lanham, Nicholas A CIV OASN (FM&amp;C), NCCA:</t>
        </r>
        <r>
          <rPr>
            <sz val="12"/>
            <color indexed="81"/>
            <rFont val="Tahoma"/>
            <family val="2"/>
          </rPr>
          <t xml:space="preserve">
This cell links back to the flat file tab, summary tab for this specific element</t>
        </r>
      </text>
    </comment>
    <comment ref="C55" authorId="0">
      <text>
        <r>
          <rPr>
            <b/>
            <sz val="11"/>
            <color indexed="81"/>
            <rFont val="Tahoma"/>
            <family val="2"/>
          </rPr>
          <t>Lanham, Nicholas A CIV OASN (FM&amp;C), NCCA:</t>
        </r>
        <r>
          <rPr>
            <sz val="11"/>
            <color indexed="81"/>
            <rFont val="Tahoma"/>
            <family val="2"/>
          </rPr>
          <t xml:space="preserve">
This cell is linked back to the flat file table after risk/uncertainty adjustment.</t>
        </r>
      </text>
    </comment>
  </commentList>
</comments>
</file>

<file path=xl/sharedStrings.xml><?xml version="1.0" encoding="utf-8"?>
<sst xmlns="http://schemas.openxmlformats.org/spreadsheetml/2006/main" count="4582" uniqueCount="1750">
  <si>
    <t>SEPM</t>
  </si>
  <si>
    <t>Total</t>
  </si>
  <si>
    <t>Factors</t>
  </si>
  <si>
    <t>SEMP Factor</t>
  </si>
  <si>
    <t>I&amp;T Factor</t>
  </si>
  <si>
    <t>Labor Rate ($/HR)</t>
  </si>
  <si>
    <t>PMP Hours</t>
  </si>
  <si>
    <t>Address</t>
  </si>
  <si>
    <t>Formula</t>
  </si>
  <si>
    <t>Value</t>
  </si>
  <si>
    <t>C2</t>
  </si>
  <si>
    <t xml:space="preserve"> =(Inputs!B5*Inputs!B4)+52000</t>
  </si>
  <si>
    <t>C3</t>
  </si>
  <si>
    <t xml:space="preserve"> =Inputs!B3*C2</t>
  </si>
  <si>
    <t>C4</t>
  </si>
  <si>
    <t xml:space="preserve"> =C2*Inputs!B2</t>
  </si>
  <si>
    <t>C6</t>
  </si>
  <si>
    <t xml:space="preserve"> =SUM(C2:C4)</t>
  </si>
  <si>
    <t>C8</t>
  </si>
  <si>
    <t xml:space="preserve"> =IF(C6&gt;0, C2*C3,C4)</t>
  </si>
  <si>
    <t>Base Year</t>
  </si>
  <si>
    <t>Air Vehicle</t>
  </si>
  <si>
    <t>Wing</t>
  </si>
  <si>
    <t>Landing Gear</t>
  </si>
  <si>
    <t>WBS Element</t>
  </si>
  <si>
    <t>Purge Named Ranges</t>
  </si>
  <si>
    <t>No Inflation</t>
  </si>
  <si>
    <t>WPN</t>
  </si>
  <si>
    <t>WPN = Weapons Procurement, Navy (1507)</t>
  </si>
  <si>
    <t>SCN</t>
  </si>
  <si>
    <t>SCN = Shipbuilding &amp; Conversion, Navy (1611)</t>
  </si>
  <si>
    <t>RPN COMP</t>
  </si>
  <si>
    <t>RPN (COMPOSITE) Reserve Personnel, Navy (1405)</t>
  </si>
  <si>
    <t>RPMC COMP</t>
  </si>
  <si>
    <t>RPMC (COMPOSITE) Reserve Personnel, Marine Corps (1108)</t>
  </si>
  <si>
    <t>RDTEN Purch</t>
  </si>
  <si>
    <t>RDTEN COMP</t>
  </si>
  <si>
    <t>PMC</t>
  </si>
  <si>
    <t>PMC = Procurement, Marine Corps (1109)</t>
  </si>
  <si>
    <t>PAN   MC</t>
  </si>
  <si>
    <t>PANMC = Procurement of Ammunition, Navy &amp; Marine Corps (1508)</t>
  </si>
  <si>
    <t>OPN</t>
  </si>
  <si>
    <t>OPN = Other Procurement, Navy (1810)</t>
  </si>
  <si>
    <t>O&amp;MN/LF COMP</t>
  </si>
  <si>
    <t>O&amp;MN/LF (COMPOSITE) Operations &amp; Maintenance, Navy - Less Fuel (1804)</t>
  </si>
  <si>
    <t>MPN COMP</t>
  </si>
  <si>
    <t>MPN (COMPOSITE) Military Personnel, Navy (1453)</t>
  </si>
  <si>
    <t>MPMC COMP</t>
  </si>
  <si>
    <t>MPMC (COMPOSITE) Miltary Personnel, Marine Corps (1105)</t>
  </si>
  <si>
    <t>Milcon COMP</t>
  </si>
  <si>
    <t>MILCON (COMPOSITE) Military Construction, Navy (1205)</t>
  </si>
  <si>
    <t>Mil Pay*</t>
  </si>
  <si>
    <t>Military Pay only (OSD Cost Element)</t>
  </si>
  <si>
    <t>Fuel*</t>
  </si>
  <si>
    <t>Fuel for all services (OSD Cost Element)</t>
  </si>
  <si>
    <t>Civ Pay*</t>
  </si>
  <si>
    <t>Civ pay = Civilian Payroll for all services (OSD Cost Element)</t>
  </si>
  <si>
    <t>APN</t>
  </si>
  <si>
    <t>APN = Aircraft Procurement, Navy (1506)</t>
  </si>
  <si>
    <t>2097</t>
  </si>
  <si>
    <t>2096</t>
  </si>
  <si>
    <t>2095</t>
  </si>
  <si>
    <t>2094</t>
  </si>
  <si>
    <t>2093</t>
  </si>
  <si>
    <t>2092</t>
  </si>
  <si>
    <t>2091</t>
  </si>
  <si>
    <t>2090</t>
  </si>
  <si>
    <t>2089</t>
  </si>
  <si>
    <t>2088</t>
  </si>
  <si>
    <t>2087</t>
  </si>
  <si>
    <t>2086</t>
  </si>
  <si>
    <t>2085</t>
  </si>
  <si>
    <t>2084</t>
  </si>
  <si>
    <t>2083</t>
  </si>
  <si>
    <t>2082</t>
  </si>
  <si>
    <t>2081</t>
  </si>
  <si>
    <t>2080</t>
  </si>
  <si>
    <t>2079</t>
  </si>
  <si>
    <t>2078</t>
  </si>
  <si>
    <t>2077</t>
  </si>
  <si>
    <t>2076</t>
  </si>
  <si>
    <t>2075</t>
  </si>
  <si>
    <t>2074</t>
  </si>
  <si>
    <t>2073</t>
  </si>
  <si>
    <t>2072</t>
  </si>
  <si>
    <t>2071</t>
  </si>
  <si>
    <t>2070</t>
  </si>
  <si>
    <t>2069</t>
  </si>
  <si>
    <t>2068</t>
  </si>
  <si>
    <t>2067</t>
  </si>
  <si>
    <t>2066</t>
  </si>
  <si>
    <t>2065</t>
  </si>
  <si>
    <t>2064</t>
  </si>
  <si>
    <t>2063</t>
  </si>
  <si>
    <t>2062</t>
  </si>
  <si>
    <t>2061</t>
  </si>
  <si>
    <t>2060</t>
  </si>
  <si>
    <t>2059</t>
  </si>
  <si>
    <t>2058</t>
  </si>
  <si>
    <t>2057</t>
  </si>
  <si>
    <t>2056</t>
  </si>
  <si>
    <t>2055</t>
  </si>
  <si>
    <t>2054</t>
  </si>
  <si>
    <t>2053</t>
  </si>
  <si>
    <t>2052</t>
  </si>
  <si>
    <t>2051</t>
  </si>
  <si>
    <t>2050</t>
  </si>
  <si>
    <t>2049</t>
  </si>
  <si>
    <t>2048</t>
  </si>
  <si>
    <t>2047</t>
  </si>
  <si>
    <t>2046</t>
  </si>
  <si>
    <t>2045</t>
  </si>
  <si>
    <t>2044</t>
  </si>
  <si>
    <t>2043</t>
  </si>
  <si>
    <t>2042</t>
  </si>
  <si>
    <t>2041</t>
  </si>
  <si>
    <t>2040</t>
  </si>
  <si>
    <t>2039</t>
  </si>
  <si>
    <t>2038</t>
  </si>
  <si>
    <t>2037</t>
  </si>
  <si>
    <t>2036</t>
  </si>
  <si>
    <t>2035</t>
  </si>
  <si>
    <t>2034</t>
  </si>
  <si>
    <t>2033</t>
  </si>
  <si>
    <t>2032</t>
  </si>
  <si>
    <t>2031</t>
  </si>
  <si>
    <t>2030</t>
  </si>
  <si>
    <t>2029</t>
  </si>
  <si>
    <t>2028</t>
  </si>
  <si>
    <t>2027</t>
  </si>
  <si>
    <t>2026</t>
  </si>
  <si>
    <t>2025</t>
  </si>
  <si>
    <t>2024</t>
  </si>
  <si>
    <t>2023</t>
  </si>
  <si>
    <t>2022</t>
  </si>
  <si>
    <t>2021</t>
  </si>
  <si>
    <t>2020</t>
  </si>
  <si>
    <t>2019</t>
  </si>
  <si>
    <t>2018</t>
  </si>
  <si>
    <t>2017</t>
  </si>
  <si>
    <t>2016</t>
  </si>
  <si>
    <t>2015</t>
  </si>
  <si>
    <t>2014</t>
  </si>
  <si>
    <t>2013</t>
  </si>
  <si>
    <t>2012</t>
  </si>
  <si>
    <t>2011</t>
  </si>
  <si>
    <t>2010</t>
  </si>
  <si>
    <t>2009</t>
  </si>
  <si>
    <t>2008</t>
  </si>
  <si>
    <t>2007</t>
  </si>
  <si>
    <t>2006</t>
  </si>
  <si>
    <t>2005</t>
  </si>
  <si>
    <t>2004</t>
  </si>
  <si>
    <t>2003</t>
  </si>
  <si>
    <t>2002</t>
  </si>
  <si>
    <t>2001</t>
  </si>
  <si>
    <t>2000</t>
  </si>
  <si>
    <t>1999</t>
  </si>
  <si>
    <t>1998</t>
  </si>
  <si>
    <t>1997</t>
  </si>
  <si>
    <t>1996</t>
  </si>
  <si>
    <t>1995</t>
  </si>
  <si>
    <t>1994</t>
  </si>
  <si>
    <t>1993</t>
  </si>
  <si>
    <t>1992</t>
  </si>
  <si>
    <t>1991</t>
  </si>
  <si>
    <t>1990</t>
  </si>
  <si>
    <t>1989</t>
  </si>
  <si>
    <t>1988</t>
  </si>
  <si>
    <t>1987</t>
  </si>
  <si>
    <t>1986</t>
  </si>
  <si>
    <t>1985</t>
  </si>
  <si>
    <t>1984</t>
  </si>
  <si>
    <t>1983</t>
  </si>
  <si>
    <t>1982</t>
  </si>
  <si>
    <t>1981</t>
  </si>
  <si>
    <t>1980</t>
  </si>
  <si>
    <t>1979</t>
  </si>
  <si>
    <t>1978</t>
  </si>
  <si>
    <t>1977</t>
  </si>
  <si>
    <t>197T</t>
  </si>
  <si>
    <t>1976</t>
  </si>
  <si>
    <t>1975</t>
  </si>
  <si>
    <t>1974</t>
  </si>
  <si>
    <t>1973</t>
  </si>
  <si>
    <t>1972</t>
  </si>
  <si>
    <t>1971</t>
  </si>
  <si>
    <t>1970</t>
  </si>
  <si>
    <t>Weighted Index</t>
  </si>
  <si>
    <t>Weighed Description</t>
  </si>
  <si>
    <t>Raw Index</t>
  </si>
  <si>
    <t>Raw Description</t>
  </si>
  <si>
    <t>JIC Version</t>
  </si>
  <si>
    <t>Estimate Summary</t>
  </si>
  <si>
    <t>Talking Points</t>
  </si>
  <si>
    <t>Section 1.0 - Notes</t>
  </si>
  <si>
    <t>Raw Indices:</t>
  </si>
  <si>
    <t>Weighted Indices:</t>
  </si>
  <si>
    <t>Section 5.0 - Risk/Uncertainty Inputs</t>
  </si>
  <si>
    <t>Uncertainty Methodology</t>
  </si>
  <si>
    <t>Distribution</t>
  </si>
  <si>
    <t>Low</t>
  </si>
  <si>
    <t>Most Likely</t>
  </si>
  <si>
    <t>High</t>
  </si>
  <si>
    <t>Mean</t>
  </si>
  <si>
    <t>STDEV</t>
  </si>
  <si>
    <t>CV</t>
  </si>
  <si>
    <t>Appendix - Supporting Charts</t>
  </si>
  <si>
    <t>CY17$M</t>
  </si>
  <si>
    <t>Phase</t>
  </si>
  <si>
    <t>Service</t>
  </si>
  <si>
    <t>APPN</t>
  </si>
  <si>
    <t>Inflation</t>
  </si>
  <si>
    <t>PMO / NON PMO</t>
  </si>
  <si>
    <t>KTR / GOV</t>
  </si>
  <si>
    <t>TY$M</t>
  </si>
  <si>
    <t xml:space="preserve">Description </t>
  </si>
  <si>
    <t>Section 2.0 - Inflation Indices</t>
  </si>
  <si>
    <t>Section 3.0 - Data Source</t>
  </si>
  <si>
    <t>Source #1:</t>
  </si>
  <si>
    <t>Source #2:</t>
  </si>
  <si>
    <t>Section 4.0 - Calculations</t>
  </si>
  <si>
    <t>Model Input</t>
  </si>
  <si>
    <t>Element</t>
  </si>
  <si>
    <t>Median</t>
  </si>
  <si>
    <t>Alpha</t>
  </si>
  <si>
    <t>Beta</t>
  </si>
  <si>
    <t>Documentation</t>
  </si>
  <si>
    <t>Distribution Reasoning: Lognormal is default distribution 
Parameter Reasoning: based on 6 months of data from SDD EVM as of Sept. 2016</t>
  </si>
  <si>
    <t>Chart 1:</t>
  </si>
  <si>
    <t>Chart 2:</t>
  </si>
  <si>
    <t>O&amp;MN (Purchases) Operations &amp; Maintenance, Navy (1804)</t>
  </si>
  <si>
    <t>O&amp;MN Purch</t>
  </si>
  <si>
    <t>RDT&amp;EN (COMPOSITE) Research, Development, Test &amp; Evaluation, Navy (1319)</t>
  </si>
  <si>
    <t>RDT&amp;EN (Purchases) = Research, Development, Test &amp; Evaluation, Navy (1319)</t>
  </si>
  <si>
    <t>Open</t>
  </si>
  <si>
    <t>Closed</t>
  </si>
  <si>
    <t>% open</t>
  </si>
  <si>
    <t>Comprehensive</t>
  </si>
  <si>
    <t>Accuracy</t>
  </si>
  <si>
    <t>Credible</t>
  </si>
  <si>
    <t>Date Open</t>
  </si>
  <si>
    <t>Commenter POC</t>
  </si>
  <si>
    <t>Comment Type</t>
  </si>
  <si>
    <t>Critical</t>
  </si>
  <si>
    <t>Comment</t>
  </si>
  <si>
    <t>Adjudication</t>
  </si>
  <si>
    <t>Date Closed</t>
  </si>
  <si>
    <t>Summary</t>
  </si>
  <si>
    <t>ID</t>
  </si>
  <si>
    <t>Subject</t>
  </si>
  <si>
    <t>Date Due</t>
  </si>
  <si>
    <t>Impact ($)</t>
  </si>
  <si>
    <t>Document Type</t>
  </si>
  <si>
    <t>Document Name</t>
  </si>
  <si>
    <t>Reference</t>
  </si>
  <si>
    <t>Other</t>
  </si>
  <si>
    <t>CaSES</t>
  </si>
  <si>
    <t>Model Template</t>
  </si>
  <si>
    <t>Model Review Toolkit</t>
  </si>
  <si>
    <t>Estimating Toolkit</t>
  </si>
  <si>
    <t>About CaSES</t>
  </si>
  <si>
    <t>Open New Model</t>
  </si>
  <si>
    <t>Module Description</t>
  </si>
  <si>
    <t>Addin</t>
  </si>
  <si>
    <t>Provides a brief description about the CaSES tool, the file location on the user's computer, and the latest version information</t>
  </si>
  <si>
    <t>Open Uncertainty Template</t>
  </si>
  <si>
    <t>Opens new, DON cost estimating model template</t>
  </si>
  <si>
    <t>Opens new, DON cost estimating uncertainty template. Allows analysts to quickly to generate S-Curves, Joint Confidence Level (JCL) outputs, and other graphs using Crystal Ball, @Risk, or other uncertainty tool iteration/trial outputs.</t>
  </si>
  <si>
    <t>Model Comment Tracker (MCT)</t>
  </si>
  <si>
    <t>Convert Excel Charts to PowerPoint</t>
  </si>
  <si>
    <t>Model Properties</t>
  </si>
  <si>
    <t>Automatic Model Formatter (AMF) Tool</t>
  </si>
  <si>
    <t>Fix My Model</t>
  </si>
  <si>
    <t>Table of Contents (TOC)</t>
  </si>
  <si>
    <t>Get All Cell Comments</t>
  </si>
  <si>
    <t>Get All Formula Names</t>
  </si>
  <si>
    <t>Show Formatting Guide</t>
  </si>
  <si>
    <t>Format Entire Workbook</t>
  </si>
  <si>
    <t>Format Worksheet</t>
  </si>
  <si>
    <t>Format Cells Without Dependents</t>
  </si>
  <si>
    <t>Show Hidden Names</t>
  </si>
  <si>
    <t>Break All Links</t>
  </si>
  <si>
    <t>Delete Active Array</t>
  </si>
  <si>
    <t>Remove Unused Styles</t>
  </si>
  <si>
    <t>Add Inflation Worksheet</t>
  </si>
  <si>
    <t>Add Calculation Template</t>
  </si>
  <si>
    <t>WBS Tool</t>
  </si>
  <si>
    <t>Generic Template</t>
  </si>
  <si>
    <t>Outline WBS Elements</t>
  </si>
  <si>
    <t>Sum WBS Elements</t>
  </si>
  <si>
    <t>Add Time Phasing Functions</t>
  </si>
  <si>
    <t>Sum Pivot Fields</t>
  </si>
  <si>
    <t>Show formatting guide provides an example of how function will color-codes cells that are hardcoded, include formulas, have no dependents in order to improve model quality assessment process</t>
  </si>
  <si>
    <t>Format entire workbook will color codes cell based on content in every worksheet</t>
  </si>
  <si>
    <t>Format worksheet will color codes cells based on contents for active worksheet</t>
  </si>
  <si>
    <t>Format cells without dependents  only applies format to active worksheet to highlight cells not used in calculations</t>
  </si>
  <si>
    <t>Add inflation worksheet based on latest Joint Inflation Calculator (JIC) reference</t>
  </si>
  <si>
    <t>Add WBS Tabs</t>
  </si>
  <si>
    <t>Add DON cost model template analysis and calculation tab template to model</t>
  </si>
  <si>
    <t>Adds DON cost model template analysis and calculation tab template to model, for each WBS element or cell selected by user</t>
  </si>
  <si>
    <t>Creates MS Excel groupings for all WBS elements based on indenture or periods included in the WBS element text</t>
  </si>
  <si>
    <t>Add summation formulas based on WBS structure</t>
  </si>
  <si>
    <t>Convert All Charts to PowerPoint</t>
  </si>
  <si>
    <t>Convert Only Chart Sheets to PowerPoint</t>
  </si>
  <si>
    <t>Convert Only This Sheets Charts to PowerPoint</t>
  </si>
  <si>
    <t xml:space="preserve"> Convert all charts to PowerPoint from active workbook, worksheet, or graph tabs</t>
  </si>
  <si>
    <t xml:space="preserve"> Convert only charts to PowerPoint from active workbook that are formatted as graph tabs (e.g., chart sheets)</t>
  </si>
  <si>
    <t xml:space="preserve"> Convert only charts to PowerPoint from active sheet</t>
  </si>
  <si>
    <t>Adds new tab with all cell comments in workbook or model along with links back to specific cell</t>
  </si>
  <si>
    <t>Adds new tab with all formula names in workbook or model</t>
  </si>
  <si>
    <t>Shows all hidden names included in the “Name Manager”</t>
  </si>
  <si>
    <t>Purges all named ranges from active workbook</t>
  </si>
  <si>
    <t>Breaks all links in active workbook</t>
  </si>
  <si>
    <t>Deletes active array by  selecting only single cell vice entire array</t>
  </si>
  <si>
    <t>Removed unused styles reverse corrupted workbooks due to “too many cell formats”</t>
  </si>
  <si>
    <t>Button/Toolkit</t>
  </si>
  <si>
    <t>Level 1 Dropdown/Button</t>
  </si>
  <si>
    <t>Level 2 Dropdown/Button</t>
  </si>
  <si>
    <t>Trace back Navigator Tool (TNT)</t>
  </si>
  <si>
    <t>Powerful functions that allow analysts to quickly include dynamic time-phasing profiles for cost, labor hours, widgets, etc. 
   •Functions include fully customizable Weibull, Rayleigh, Beta, Uniform, and Custom distribution types
   •Allow for schedule logic to be included directly within cost estimate
   •Allow for uncertainty-adjusted duration and cost inputs</t>
  </si>
  <si>
    <t>Create Table of  Contents for any active workbook
   •Includes all tabs in the active workbook along with active link</t>
  </si>
  <si>
    <t>A tool that shows relevant information for a particular cell. And allows to navigate through the model:
   •Shows Cell Formula and replaces references with the values
   •Shows Precedents and Dependents
   •Shows Visible Worksheets and allows to quickly jump to worksheet
   •Creates a list of all formulas from active worksheet with their value</t>
  </si>
  <si>
    <t>A tool that allows for the generation of efficient and consistent CARD and Model comments. 
   •Allows for multiple documents to be reviewed 
   •Generates a standardized list of comments</t>
  </si>
  <si>
    <t>Function that automatically adds summations to PivotTables that are typically formatted as "Counts" within MS Excel</t>
  </si>
  <si>
    <t>As of 7 July 2017</t>
  </si>
  <si>
    <t>Launch Vehicle 1...n (Specify)</t>
  </si>
  <si>
    <t>Orbital Transfer Vehicle (OTV)</t>
  </si>
  <si>
    <t>Task Order 1...n (Specify)</t>
  </si>
  <si>
    <t>1.10.1</t>
  </si>
  <si>
    <t>Task Orders</t>
  </si>
  <si>
    <t>Insurance Settlements</t>
  </si>
  <si>
    <t>1.9.3</t>
  </si>
  <si>
    <t>Insurance Policy</t>
  </si>
  <si>
    <t>1.9.2</t>
  </si>
  <si>
    <t>1.9.1</t>
  </si>
  <si>
    <t>Insurance</t>
  </si>
  <si>
    <t>Pre-Operations Maintenance 1…n (Specify)</t>
  </si>
  <si>
    <t>1.8.4</t>
  </si>
  <si>
    <t>Shelter 1...n (Specify)</t>
  </si>
  <si>
    <t>1.8.3.1</t>
  </si>
  <si>
    <t>Shelters</t>
  </si>
  <si>
    <t>1.8.3</t>
  </si>
  <si>
    <t>Vehicle 1…n (Specify)</t>
  </si>
  <si>
    <t>1.8.2.1</t>
  </si>
  <si>
    <t>Vehicles</t>
  </si>
  <si>
    <t>1.8.2</t>
  </si>
  <si>
    <t>Support Equipment</t>
  </si>
  <si>
    <t>1.8.1.4</t>
  </si>
  <si>
    <t>Program Management</t>
  </si>
  <si>
    <t>1.8.1.3</t>
  </si>
  <si>
    <t>Assembly, Integration and Test</t>
  </si>
  <si>
    <t>1.8.1.2</t>
  </si>
  <si>
    <t>Systems Engineering</t>
  </si>
  <si>
    <t>1.8.1.1</t>
  </si>
  <si>
    <t>SEIT/PM and Support Equipment</t>
  </si>
  <si>
    <t>1.8.1</t>
  </si>
  <si>
    <t>Vehicles and Shelters</t>
  </si>
  <si>
    <t>1.7.6</t>
  </si>
  <si>
    <t>Equipment and Building Fit Out Other</t>
  </si>
  <si>
    <t>1.7.5.11</t>
  </si>
  <si>
    <t>Furniture</t>
  </si>
  <si>
    <t>1.7.5.10</t>
  </si>
  <si>
    <t>Appliances</t>
  </si>
  <si>
    <t>1.7.5.9</t>
  </si>
  <si>
    <t>Computer Flooring</t>
  </si>
  <si>
    <t>1.7.5.8</t>
  </si>
  <si>
    <t>Generators</t>
  </si>
  <si>
    <t>1.7.5.7</t>
  </si>
  <si>
    <t>network Wiring/Cable Trays</t>
  </si>
  <si>
    <t>1.7.5.6</t>
  </si>
  <si>
    <t>Power Conditioning/UPS</t>
  </si>
  <si>
    <t>1.7.5.5</t>
  </si>
  <si>
    <t>HVAC</t>
  </si>
  <si>
    <t>1.7.5.4</t>
  </si>
  <si>
    <t>1.7.5.3</t>
  </si>
  <si>
    <t>1.7.5.2</t>
  </si>
  <si>
    <t>1.7.5.1</t>
  </si>
  <si>
    <t>Equipment and Building Fit Out 1...n (Specify)</t>
  </si>
  <si>
    <t>1.7.5</t>
  </si>
  <si>
    <t>Buildings Other</t>
  </si>
  <si>
    <t>1.7.4.6</t>
  </si>
  <si>
    <t>Superstructure and Finishing</t>
  </si>
  <si>
    <t>1.7.4.5</t>
  </si>
  <si>
    <t>Foundation and Sub Structure</t>
  </si>
  <si>
    <t>1.7.4.4</t>
  </si>
  <si>
    <t>1.7.4.3</t>
  </si>
  <si>
    <t>1.7.4.2</t>
  </si>
  <si>
    <t>1.7.4.1</t>
  </si>
  <si>
    <t>Buildings 1…n (Specify)</t>
  </si>
  <si>
    <t>1.7.4</t>
  </si>
  <si>
    <t>Landscape</t>
  </si>
  <si>
    <t>1.7.3</t>
  </si>
  <si>
    <t>Site Preparation Other</t>
  </si>
  <si>
    <t>1.7.2.9</t>
  </si>
  <si>
    <t>Utilities</t>
  </si>
  <si>
    <t>1.7.2.8</t>
  </si>
  <si>
    <t>Retaining Walls / Fencing</t>
  </si>
  <si>
    <t>1.7.2.7</t>
  </si>
  <si>
    <t>Pads</t>
  </si>
  <si>
    <t>1.7.2.6</t>
  </si>
  <si>
    <t>Roads</t>
  </si>
  <si>
    <t>1.7.2.5</t>
  </si>
  <si>
    <t>Graded Land</t>
  </si>
  <si>
    <t>1.7.2.4</t>
  </si>
  <si>
    <t>1.7.2.3</t>
  </si>
  <si>
    <t>1.7.2.2</t>
  </si>
  <si>
    <t>1.7.2.1</t>
  </si>
  <si>
    <t>Site Preparation</t>
  </si>
  <si>
    <t>1.7.2</t>
  </si>
  <si>
    <t>1.7.1.4</t>
  </si>
  <si>
    <t>1.7.1.3</t>
  </si>
  <si>
    <t>1.7.1.2</t>
  </si>
  <si>
    <t>1.7.1.1</t>
  </si>
  <si>
    <t>1.7.1</t>
  </si>
  <si>
    <t>Facilities 1..n (Specify)</t>
  </si>
  <si>
    <t>Pre-Ops Maintenance 1…n (Specify)</t>
  </si>
  <si>
    <t>1.6.3</t>
  </si>
  <si>
    <t>CSCI 1…n (Specify)</t>
  </si>
  <si>
    <t>1.6.2.5</t>
  </si>
  <si>
    <t>Hardware Configured Item 1...n (Specify)</t>
  </si>
  <si>
    <t>1.6.2.4</t>
  </si>
  <si>
    <t>1.6.2.3</t>
  </si>
  <si>
    <t>1.6.2.2</t>
  </si>
  <si>
    <t>1.6.2.1</t>
  </si>
  <si>
    <t>Equipment 1..n (Specify)</t>
  </si>
  <si>
    <t>1.6.2</t>
  </si>
  <si>
    <t>1.6.1.4</t>
  </si>
  <si>
    <t>1.6.1.3</t>
  </si>
  <si>
    <t>1.6.1.2</t>
  </si>
  <si>
    <t>1.6.1.1</t>
  </si>
  <si>
    <t>1.6.1</t>
  </si>
  <si>
    <t>User Equipment</t>
  </si>
  <si>
    <t>1.5.3.2</t>
  </si>
  <si>
    <t>Purchased Circuit 1…n (Specify)</t>
  </si>
  <si>
    <t>1.5.3.1</t>
  </si>
  <si>
    <t>Purchased Circuits</t>
  </si>
  <si>
    <t>1.5.3</t>
  </si>
  <si>
    <t>Leased Circuit 1…n (Specify)</t>
  </si>
  <si>
    <t>1.5.2.1</t>
  </si>
  <si>
    <t>Leased Circuits</t>
  </si>
  <si>
    <t>1.5.2</t>
  </si>
  <si>
    <t>1.5.1.4</t>
  </si>
  <si>
    <t>1.5.1.3</t>
  </si>
  <si>
    <t>1.5.1.2</t>
  </si>
  <si>
    <t>1.5.1.1</t>
  </si>
  <si>
    <t>1.5.1</t>
  </si>
  <si>
    <t>External network (T-COMM)</t>
  </si>
  <si>
    <t>Pre-Operations Mission Support</t>
  </si>
  <si>
    <t>1.4.10</t>
  </si>
  <si>
    <t>1.4.9</t>
  </si>
  <si>
    <t>1.4.8.4</t>
  </si>
  <si>
    <t>1.4.8.3</t>
  </si>
  <si>
    <t>1.4.8.2</t>
  </si>
  <si>
    <t>1.4.8.1</t>
  </si>
  <si>
    <t>GT Software</t>
  </si>
  <si>
    <t>1.4.8</t>
  </si>
  <si>
    <t>Hardware Configured Item 1…n (Specify)</t>
  </si>
  <si>
    <t>1.4.7.6</t>
  </si>
  <si>
    <t>Servers 1…n (Specify)</t>
  </si>
  <si>
    <t>1.4.7.5</t>
  </si>
  <si>
    <t>Workstations 1…n (Specify)</t>
  </si>
  <si>
    <t>1.4.7.4</t>
  </si>
  <si>
    <t>1.4.7.3</t>
  </si>
  <si>
    <t>1.4.7.2</t>
  </si>
  <si>
    <t>1.4.7.1</t>
  </si>
  <si>
    <t>Monitor and Control Hardware</t>
  </si>
  <si>
    <t>1.4.7</t>
  </si>
  <si>
    <t>Baseband-network Other</t>
  </si>
  <si>
    <t>1.4.6.9</t>
  </si>
  <si>
    <t>Baseband-network Electronic Boxes 1…n (Specify)</t>
  </si>
  <si>
    <t>1.4.6.8</t>
  </si>
  <si>
    <t>Security/Encryption and Decryption Devices 1...n (Specify)</t>
  </si>
  <si>
    <t>1.4.6.7</t>
  </si>
  <si>
    <t>Modems</t>
  </si>
  <si>
    <t>1.4.6.6</t>
  </si>
  <si>
    <t>network Interface and Other Hardware</t>
  </si>
  <si>
    <t>1.4.6.5</t>
  </si>
  <si>
    <t>Switches/Hubs and Routers</t>
  </si>
  <si>
    <t>1.4.6.4</t>
  </si>
  <si>
    <t>1.4.6.3</t>
  </si>
  <si>
    <t>1.4.6.2</t>
  </si>
  <si>
    <t>1.4.6.1</t>
  </si>
  <si>
    <t>Baseband-network</t>
  </si>
  <si>
    <t>1.4.6</t>
  </si>
  <si>
    <t>Timing Other</t>
  </si>
  <si>
    <t>1.4.5.8</t>
  </si>
  <si>
    <t>Amplifier and Distribution 1…n (Specify)</t>
  </si>
  <si>
    <t>1.4.5.7</t>
  </si>
  <si>
    <t>Frequency and Timing Generators</t>
  </si>
  <si>
    <t>1.4.5.6</t>
  </si>
  <si>
    <t>Antenna 1...n (Specify)</t>
  </si>
  <si>
    <t>1.4.5.5</t>
  </si>
  <si>
    <t>Receiver</t>
  </si>
  <si>
    <t>1.4.5.4</t>
  </si>
  <si>
    <t>1.4.5.3</t>
  </si>
  <si>
    <t>1.4.5.2</t>
  </si>
  <si>
    <t>1.4.5.1</t>
  </si>
  <si>
    <t>Timing</t>
  </si>
  <si>
    <t>1.4.5</t>
  </si>
  <si>
    <t>RF Electronics Other</t>
  </si>
  <si>
    <t>1.4.4.13</t>
  </si>
  <si>
    <t>Focal Plane Array 1…n (Specify)</t>
  </si>
  <si>
    <t>1.4.4.12</t>
  </si>
  <si>
    <t>Signal Electronic Boxes 1…n (Specify)</t>
  </si>
  <si>
    <t>1.4.4.11</t>
  </si>
  <si>
    <t>Signal Conditioners 1…n (Specify)</t>
  </si>
  <si>
    <t>1.4.4.10</t>
  </si>
  <si>
    <t>Frequency Upconverters/Downconverters 1…n (Specify)</t>
  </si>
  <si>
    <t>1.4.4.9</t>
  </si>
  <si>
    <t>Power Amplifiers 1…n (Specify)</t>
  </si>
  <si>
    <t>1.4.4.8</t>
  </si>
  <si>
    <t>Multiplexers/Demultiplexers 1…n (Specify)</t>
  </si>
  <si>
    <t>1.4.4.7</t>
  </si>
  <si>
    <t>Modulators/Demodulators/Modems 1…n (Specify)</t>
  </si>
  <si>
    <t>1.4.4.6</t>
  </si>
  <si>
    <t>Transmitter/Receiver/Transceiver/Transponder 1…n (Specify)</t>
  </si>
  <si>
    <t>1.4.4.5</t>
  </si>
  <si>
    <t>Passive Signal Flow Control</t>
  </si>
  <si>
    <t>1.4.4.4</t>
  </si>
  <si>
    <t>1.4.4.3</t>
  </si>
  <si>
    <t>1.4.4.2</t>
  </si>
  <si>
    <t>1.4.4.1</t>
  </si>
  <si>
    <t>RF Electronics (Band 1…n (Specify))</t>
  </si>
  <si>
    <t>1.4.4</t>
  </si>
  <si>
    <t>Optical Assembly Other</t>
  </si>
  <si>
    <t>1.4.3.8</t>
  </si>
  <si>
    <t>Alignment Sensors/Calibration</t>
  </si>
  <si>
    <t>1.4.3.7</t>
  </si>
  <si>
    <t>Aft Optics and Bench</t>
  </si>
  <si>
    <t>1.4.3.6</t>
  </si>
  <si>
    <t>Mirror/Optics 1..n (Specify)</t>
  </si>
  <si>
    <t>1.4.3.5</t>
  </si>
  <si>
    <t>Structure/Outerbarrel/Cover</t>
  </si>
  <si>
    <t>1.4.3.4</t>
  </si>
  <si>
    <t>1.4.3.3</t>
  </si>
  <si>
    <t>1.4.3.2</t>
  </si>
  <si>
    <t>1.4.3.1</t>
  </si>
  <si>
    <t>Optical Communication Assembly 1...n (Specify)</t>
  </si>
  <si>
    <t>1.4.3</t>
  </si>
  <si>
    <t>Antenna Other</t>
  </si>
  <si>
    <t>1.4.2.10</t>
  </si>
  <si>
    <t>Waveguide/Coax/Cabling</t>
  </si>
  <si>
    <t>1.4.2.9</t>
  </si>
  <si>
    <t>Feed 1...n (Specify)</t>
  </si>
  <si>
    <t>1.4.2.8</t>
  </si>
  <si>
    <t>Aperture</t>
  </si>
  <si>
    <t>1.4.2.7</t>
  </si>
  <si>
    <t>Other Structure and Mechanisms</t>
  </si>
  <si>
    <t>1.4.2.6</t>
  </si>
  <si>
    <t>Radome</t>
  </si>
  <si>
    <t>1.4.2.5</t>
  </si>
  <si>
    <t>Pedestal</t>
  </si>
  <si>
    <t>1.4.2.4</t>
  </si>
  <si>
    <t>1.4.2.3</t>
  </si>
  <si>
    <t>1.4.2.2</t>
  </si>
  <si>
    <t>1.4.2.1</t>
  </si>
  <si>
    <t>Antenna 1..n (Specify)</t>
  </si>
  <si>
    <t>1.4.2</t>
  </si>
  <si>
    <t>1.4.1.4</t>
  </si>
  <si>
    <t>1.4.1.3</t>
  </si>
  <si>
    <t>1.4.1.2</t>
  </si>
  <si>
    <t>1.4.1.1</t>
  </si>
  <si>
    <t>1.4.1</t>
  </si>
  <si>
    <t>Ground Terminal/Gateway (GT) 1…n (Specify) 2</t>
  </si>
  <si>
    <t>1.3.2.5</t>
  </si>
  <si>
    <t>1.3.2.4.5</t>
  </si>
  <si>
    <t>CSCI 1..n (Specify)</t>
  </si>
  <si>
    <t>1.3.2.4.4</t>
  </si>
  <si>
    <t>1.3.2.4.3</t>
  </si>
  <si>
    <t>1.3.2.4.2</t>
  </si>
  <si>
    <t>1.3.2.4.1</t>
  </si>
  <si>
    <t>GOPC Software</t>
  </si>
  <si>
    <t>1.3.2.4</t>
  </si>
  <si>
    <t>1.3.2.3.5</t>
  </si>
  <si>
    <t>Custom Hardware Configured Item 1…n (Specify)</t>
  </si>
  <si>
    <t>1.3.2.3.4</t>
  </si>
  <si>
    <t>1.3.2.3.3</t>
  </si>
  <si>
    <t>1.3.2.3.2</t>
  </si>
  <si>
    <t>1.3.2.3.1</t>
  </si>
  <si>
    <t>Custom Hardware</t>
  </si>
  <si>
    <t>1.3.2.3</t>
  </si>
  <si>
    <t>1.3.2.2.12</t>
  </si>
  <si>
    <t>COTS Hardware Other</t>
  </si>
  <si>
    <t>1.3.2.2.11</t>
  </si>
  <si>
    <t>Data Processing 1…n (Specify)</t>
  </si>
  <si>
    <t>1.3.2.2.10</t>
  </si>
  <si>
    <t>Security Encryption/Decryption 1…n (Specify)</t>
  </si>
  <si>
    <t>1.3.2.2.9</t>
  </si>
  <si>
    <t>Interface Equipment</t>
  </si>
  <si>
    <t>1.3.2.2.8</t>
  </si>
  <si>
    <t>network Equipment</t>
  </si>
  <si>
    <t>1.3.2.2.7</t>
  </si>
  <si>
    <t>Storage and Archive 1…n (Specify)</t>
  </si>
  <si>
    <t>1.3.2.2.6</t>
  </si>
  <si>
    <t>1.3.2.2.5</t>
  </si>
  <si>
    <t>1.3.2.2.4</t>
  </si>
  <si>
    <t>1.3.2.2.3</t>
  </si>
  <si>
    <t>1.3.2.2.2</t>
  </si>
  <si>
    <t>1.3.2.2.1</t>
  </si>
  <si>
    <t>COTS Hardware</t>
  </si>
  <si>
    <t>1.3.2.2</t>
  </si>
  <si>
    <t>1.3.2.1.4</t>
  </si>
  <si>
    <t>1.3.2.1.3</t>
  </si>
  <si>
    <t>1.3.2.1.2</t>
  </si>
  <si>
    <t>1.3.2.1.1</t>
  </si>
  <si>
    <t>1.3.2.1</t>
  </si>
  <si>
    <t>Function (1…F) 3</t>
  </si>
  <si>
    <t>1.3.2</t>
  </si>
  <si>
    <t>1.3.1.4</t>
  </si>
  <si>
    <t>1.3.1.3</t>
  </si>
  <si>
    <t>1.3.1.2</t>
  </si>
  <si>
    <t>1.3.1.1</t>
  </si>
  <si>
    <t>1.3.1</t>
  </si>
  <si>
    <t>Ground Operations and Processing Center 1…n (Specify) 2</t>
  </si>
  <si>
    <t>Space Vehicle Other</t>
  </si>
  <si>
    <t>1.2.10</t>
  </si>
  <si>
    <t>Mission Operations Support</t>
  </si>
  <si>
    <t>1.2.9</t>
  </si>
  <si>
    <t>Launch Operations</t>
  </si>
  <si>
    <t>1.2.8</t>
  </si>
  <si>
    <t>Launch Systems Integration (LSI)</t>
  </si>
  <si>
    <t>1.2.7</t>
  </si>
  <si>
    <t>Space Vehicle Storage</t>
  </si>
  <si>
    <t>1.2.6</t>
  </si>
  <si>
    <t>Booster Adapter</t>
  </si>
  <si>
    <t>1.2.5</t>
  </si>
  <si>
    <t>Payload Other</t>
  </si>
  <si>
    <t>1.2.4.11</t>
  </si>
  <si>
    <t>1.2.4.10.4</t>
  </si>
  <si>
    <t>1.2.4.10.3</t>
  </si>
  <si>
    <t>1.2.4.10.2</t>
  </si>
  <si>
    <t>1.2.4.10.1</t>
  </si>
  <si>
    <t>Payload Flight Software</t>
  </si>
  <si>
    <t>1.2.4.10</t>
  </si>
  <si>
    <t>Mission Sensor Other</t>
  </si>
  <si>
    <t>1.2.4.9.15</t>
  </si>
  <si>
    <t>Other Sensor Types 1…n (Specify)</t>
  </si>
  <si>
    <t>1.2.4.9.14</t>
  </si>
  <si>
    <t>Sounder 1…n (Specify)</t>
  </si>
  <si>
    <t>1.2.4.9.13</t>
  </si>
  <si>
    <t>Camera 1…n (Specify)</t>
  </si>
  <si>
    <t>1.2.4.9.12</t>
  </si>
  <si>
    <t>Radiometer 1…n (Specify)</t>
  </si>
  <si>
    <t>1.2.4.9.11</t>
  </si>
  <si>
    <t>Spectrometer 1…n (Specify)</t>
  </si>
  <si>
    <t>1.2.4.9.10</t>
  </si>
  <si>
    <t>Magnetometer (1…n (Specify) )</t>
  </si>
  <si>
    <t>1.2.4.9.9</t>
  </si>
  <si>
    <t>Alignment and Calibration 1…n (Specify)</t>
  </si>
  <si>
    <t>1.2.4.9.8</t>
  </si>
  <si>
    <t>Sensor Electronics 1…n (Specify)</t>
  </si>
  <si>
    <t>1.2.4.9.7</t>
  </si>
  <si>
    <t>Sensor Positioners 1…n (Specify)</t>
  </si>
  <si>
    <t>1.2.4.9.6</t>
  </si>
  <si>
    <t>1.2.4.9.5</t>
  </si>
  <si>
    <t>Enclosure 1..n (Specify)</t>
  </si>
  <si>
    <t>1.2.4.9.4</t>
  </si>
  <si>
    <t>1.2.4.9.3</t>
  </si>
  <si>
    <t>1.2.4.9.2</t>
  </si>
  <si>
    <t>1.2.4.9.1</t>
  </si>
  <si>
    <t>Sensor</t>
  </si>
  <si>
    <t>1.2.4.9</t>
  </si>
  <si>
    <t>1.2.4.8.8</t>
  </si>
  <si>
    <t>1.2.4.8.7</t>
  </si>
  <si>
    <t>Aft Optics Assembly</t>
  </si>
  <si>
    <t>1.2.4.8.6</t>
  </si>
  <si>
    <t>Mirrors and Optics 1…n (Specify)</t>
  </si>
  <si>
    <t>1.2.4.8.5</t>
  </si>
  <si>
    <t>1.2.4.8.4</t>
  </si>
  <si>
    <t>1.2.4.8.3</t>
  </si>
  <si>
    <t>1.2.4.8.2</t>
  </si>
  <si>
    <t>1.2.4.8.1</t>
  </si>
  <si>
    <t>Optical Assembly</t>
  </si>
  <si>
    <t>1.2.4.8</t>
  </si>
  <si>
    <t>Signal Electronics Other</t>
  </si>
  <si>
    <t>1.2.4.7.13</t>
  </si>
  <si>
    <t>Multifunctional Signal Electronic Boxes 1…n (Specify)</t>
  </si>
  <si>
    <t>1.2.4.7.12</t>
  </si>
  <si>
    <t>1.2.4.7.11</t>
  </si>
  <si>
    <t>Frequency and Timing 1…n (Specify)</t>
  </si>
  <si>
    <t>1.2.4.7.10</t>
  </si>
  <si>
    <t>1.2.4.7.9</t>
  </si>
  <si>
    <t>Amplifiers 1…n (Specify)</t>
  </si>
  <si>
    <t>1.2.4.7.8</t>
  </si>
  <si>
    <t>1.2.4.7.7</t>
  </si>
  <si>
    <t>1.2.4.7.6</t>
  </si>
  <si>
    <t>1.2.4.7.5</t>
  </si>
  <si>
    <t>1.2.4.7.4</t>
  </si>
  <si>
    <t>1.2.4.7.3</t>
  </si>
  <si>
    <t>1.2.4.7.2</t>
  </si>
  <si>
    <t>1.2.4.7.1</t>
  </si>
  <si>
    <t>Payload Signal Electronics</t>
  </si>
  <si>
    <t>1.2.4.7</t>
  </si>
  <si>
    <t>1.2.4.6.10</t>
  </si>
  <si>
    <t>Transmit/Receive Modules</t>
  </si>
  <si>
    <t>1.2.4.6.9</t>
  </si>
  <si>
    <t>1.2.4.6.8</t>
  </si>
  <si>
    <t>Feed1…n (Specify)</t>
  </si>
  <si>
    <t>1.2.4.6.7</t>
  </si>
  <si>
    <t>Reflector/Horn1…n (Specify)</t>
  </si>
  <si>
    <t>1.2.4.6.6</t>
  </si>
  <si>
    <t>Antenna Positioners</t>
  </si>
  <si>
    <t>1.2.4.6.5</t>
  </si>
  <si>
    <t>Structures and Mechanisms</t>
  </si>
  <si>
    <t>1.2.4.6.4</t>
  </si>
  <si>
    <t>1.2.4.6.3</t>
  </si>
  <si>
    <t>1.2.4.6.2</t>
  </si>
  <si>
    <t>1.2.4.6.1</t>
  </si>
  <si>
    <t>Payload Antenna1..n (Specify)</t>
  </si>
  <si>
    <t>1.2.4.6</t>
  </si>
  <si>
    <t>Pointing, Command, and Control Interface Other</t>
  </si>
  <si>
    <t>1.2.4.5.12</t>
  </si>
  <si>
    <t>Multifunctional Digital Electronic Boxes 1…n (Specify)</t>
  </si>
  <si>
    <t>1.2.4.5.11</t>
  </si>
  <si>
    <t>Data Storage, Handling and Interface 1…n (Specify)</t>
  </si>
  <si>
    <t>1.2.4.5.10</t>
  </si>
  <si>
    <t>Security, Encryption and Decryption Devices1...n (Specify)</t>
  </si>
  <si>
    <t>1.2.4.5.9</t>
  </si>
  <si>
    <t>Payload Positioners1...n (Specify)</t>
  </si>
  <si>
    <t>1.2.4.5.8</t>
  </si>
  <si>
    <t>Pointing Sensors 1…n (Specify)</t>
  </si>
  <si>
    <t>1.2.4.5.7</t>
  </si>
  <si>
    <t>Control Electronics 1...n (Specify)</t>
  </si>
  <si>
    <t>1.2.4.5.6</t>
  </si>
  <si>
    <t>Command/Telemetry Units 1…n (Specify)</t>
  </si>
  <si>
    <t>1.2.4.5.5</t>
  </si>
  <si>
    <t>Computers and Processors 1…n (Specify)</t>
  </si>
  <si>
    <t>1.2.4.5.4</t>
  </si>
  <si>
    <t>1.2.4.5.3</t>
  </si>
  <si>
    <t>1.2.4.5.2</t>
  </si>
  <si>
    <t>1.2.4.5.1</t>
  </si>
  <si>
    <t>Pointing, Command, and Control Interface</t>
  </si>
  <si>
    <t>1.2.4.5</t>
  </si>
  <si>
    <t>Electrical Power Other</t>
  </si>
  <si>
    <t>1.2.4.4.8</t>
  </si>
  <si>
    <t>Harnesses and Cables</t>
  </si>
  <si>
    <t>1.2.4.4.7</t>
  </si>
  <si>
    <t>Power Conditioning, Conversion and Regulation</t>
  </si>
  <si>
    <t>1.2.4.4.6</t>
  </si>
  <si>
    <t>Power Control Switching and Distribution Electronics</t>
  </si>
  <si>
    <t>1.2.4.4.5</t>
  </si>
  <si>
    <t>Power Sources</t>
  </si>
  <si>
    <t>1.2.4.4.4</t>
  </si>
  <si>
    <t>1.2.4.4.3</t>
  </si>
  <si>
    <t>1.2.4.4.2</t>
  </si>
  <si>
    <t>1.2.4.4.1</t>
  </si>
  <si>
    <t>Electrical Power</t>
  </si>
  <si>
    <t>1.2.4.4</t>
  </si>
  <si>
    <t>Thermal Control Other</t>
  </si>
  <si>
    <t>1.2.4.3.10</t>
  </si>
  <si>
    <t>Sun Shields</t>
  </si>
  <si>
    <t>1.2.4.3.9</t>
  </si>
  <si>
    <t>Passive Devices</t>
  </si>
  <si>
    <t>1.2.4.3.8</t>
  </si>
  <si>
    <t>Electric Heaters, Thermisters and Thermostats</t>
  </si>
  <si>
    <t>1.2.4.3.7</t>
  </si>
  <si>
    <t>Electric Coolers</t>
  </si>
  <si>
    <t>1.2.4.3.6</t>
  </si>
  <si>
    <t>Liquid Loops</t>
  </si>
  <si>
    <t>1.2.4.3.5</t>
  </si>
  <si>
    <t>Cryogenic Devices</t>
  </si>
  <si>
    <t>1.2.4.3.4</t>
  </si>
  <si>
    <t>1.2.4.3.3</t>
  </si>
  <si>
    <t>1.2.4.3.2</t>
  </si>
  <si>
    <t>1.2.4.3.1</t>
  </si>
  <si>
    <t>Thermal Control</t>
  </si>
  <si>
    <t>1.2.4.3</t>
  </si>
  <si>
    <t>Structures and Mechanisms Other</t>
  </si>
  <si>
    <t>1.2.4.2.6</t>
  </si>
  <si>
    <t>Mechanisms and Pyrotechnics</t>
  </si>
  <si>
    <t>1.2.4.2.5</t>
  </si>
  <si>
    <t>Structures</t>
  </si>
  <si>
    <t>1.2.4.2.4</t>
  </si>
  <si>
    <t>1.2.4.2.3</t>
  </si>
  <si>
    <t>1.2.4.2.2</t>
  </si>
  <si>
    <t>Initial Spares and Repair Parts</t>
  </si>
  <si>
    <t>1.2.4.2.1</t>
  </si>
  <si>
    <t>Maintenance (Industrial Facilities)</t>
  </si>
  <si>
    <t>1.14.3</t>
  </si>
  <si>
    <t>1.2.4.2</t>
  </si>
  <si>
    <t>Equipment Acquisition or Modernization</t>
  </si>
  <si>
    <t>1.14.2</t>
  </si>
  <si>
    <t>1.2.4.1.4</t>
  </si>
  <si>
    <t>Construction/Conversion/Expansion</t>
  </si>
  <si>
    <t>1.14.1</t>
  </si>
  <si>
    <t>1.2.4.1.3</t>
  </si>
  <si>
    <t>Industrial Facilities</t>
  </si>
  <si>
    <t>1.2.4.1.2</t>
  </si>
  <si>
    <t>Sustainment/Interim Contractor Support</t>
  </si>
  <si>
    <t>1.13.5</t>
  </si>
  <si>
    <t>1.2.4.1.1</t>
  </si>
  <si>
    <t>Site/Ship/Vehicle Conversion</t>
  </si>
  <si>
    <t>1.13.4</t>
  </si>
  <si>
    <t>1.2.4.1</t>
  </si>
  <si>
    <t>Site Construction</t>
  </si>
  <si>
    <t>1.13.3</t>
  </si>
  <si>
    <t>Payload 1...n (Specify)</t>
  </si>
  <si>
    <t>1.2.4</t>
  </si>
  <si>
    <t>Contractor Technical Support</t>
  </si>
  <si>
    <t>1.13.2</t>
  </si>
  <si>
    <t>1.2.3.4</t>
  </si>
  <si>
    <t>System Assembly, Installation and Checkout on Site</t>
  </si>
  <si>
    <t>1.13.1</t>
  </si>
  <si>
    <t>1.2.3.3</t>
  </si>
  <si>
    <t>Operational/Site Activation</t>
  </si>
  <si>
    <t>1.2.3.2</t>
  </si>
  <si>
    <t>Support and Handling Equipment</t>
  </si>
  <si>
    <t>1.12.2</t>
  </si>
  <si>
    <t>1.2.3.1</t>
  </si>
  <si>
    <t>Test and Measurement Equipment</t>
  </si>
  <si>
    <t>1.12.1</t>
  </si>
  <si>
    <t>SEIT/PM and Support Equipment (If applicable for integration of Multiple Payloads)</t>
  </si>
  <si>
    <t>1.2.3</t>
  </si>
  <si>
    <t>Common Support Equipment</t>
  </si>
  <si>
    <t>1.2.2.8.4</t>
  </si>
  <si>
    <t>1.11.2</t>
  </si>
  <si>
    <t>1.2.2.8.3</t>
  </si>
  <si>
    <t>1.11.1</t>
  </si>
  <si>
    <t>1.2.2.8.2</t>
  </si>
  <si>
    <t>Peculiar Support Equipment</t>
  </si>
  <si>
    <t>1.2.2.8.1</t>
  </si>
  <si>
    <t>Data Depository</t>
  </si>
  <si>
    <t>1.10.5</t>
  </si>
  <si>
    <t>Bus Flight Software</t>
  </si>
  <si>
    <t>1.2.2.8</t>
  </si>
  <si>
    <t>Support Data</t>
  </si>
  <si>
    <t>1.10.4</t>
  </si>
  <si>
    <t>TTandC Other</t>
  </si>
  <si>
    <t>1.2.2.7.17</t>
  </si>
  <si>
    <t>Management Data</t>
  </si>
  <si>
    <t>1.10.3</t>
  </si>
  <si>
    <t>1.16.3</t>
  </si>
  <si>
    <t>1.2.2.7.16</t>
  </si>
  <si>
    <t>Engineering Data</t>
  </si>
  <si>
    <t>1.10.2</t>
  </si>
  <si>
    <t>1.16.2</t>
  </si>
  <si>
    <t>Communications Security 1…n (Specify)</t>
  </si>
  <si>
    <t>1.2.2.7.15</t>
  </si>
  <si>
    <t>Technical Publications</t>
  </si>
  <si>
    <t>1.16.1</t>
  </si>
  <si>
    <t>Signal Conditioners</t>
  </si>
  <si>
    <t>1.2.2.7.14</t>
  </si>
  <si>
    <t>Data</t>
  </si>
  <si>
    <t>Frequency and Timing</t>
  </si>
  <si>
    <t>1.2.2.7.13</t>
  </si>
  <si>
    <t>Facilities</t>
  </si>
  <si>
    <t>1.15.5</t>
  </si>
  <si>
    <t>Command Sensors 1…n (Specify)</t>
  </si>
  <si>
    <t>1.2.2.7.12</t>
  </si>
  <si>
    <t>Services</t>
  </si>
  <si>
    <t>1.15.4</t>
  </si>
  <si>
    <t>1.2.2.7.11</t>
  </si>
  <si>
    <t>Equipment</t>
  </si>
  <si>
    <t>1.15.3</t>
  </si>
  <si>
    <t>1.2.2.7.10</t>
  </si>
  <si>
    <t>Training</t>
  </si>
  <si>
    <t>1.15.2</t>
  </si>
  <si>
    <t>Frequency Upconverter/Downconverter</t>
  </si>
  <si>
    <t>1.2.2.7.9</t>
  </si>
  <si>
    <t>Test Facilities</t>
  </si>
  <si>
    <t>1.8.5</t>
  </si>
  <si>
    <t>1.15.1</t>
  </si>
  <si>
    <t>Amplifiers</t>
  </si>
  <si>
    <t>1.2.2.7.8</t>
  </si>
  <si>
    <t>Test and Evaluation Support</t>
  </si>
  <si>
    <t>Modulators/Demodulators/Modems</t>
  </si>
  <si>
    <t>1.2.2.7.7</t>
  </si>
  <si>
    <t>Mock-ups / System Integration Labs (SILs)</t>
  </si>
  <si>
    <t>Transmitter/Receiver/Transceiver/Transponder 1..n (Specify)</t>
  </si>
  <si>
    <t>1.2.2.7.6</t>
  </si>
  <si>
    <t>Operational Test and Evaluation</t>
  </si>
  <si>
    <t>1.2.2.7.5</t>
  </si>
  <si>
    <t>Development Test and Evaluation</t>
  </si>
  <si>
    <t>Antennas</t>
  </si>
  <si>
    <t>1.2.2.7.4</t>
  </si>
  <si>
    <t>System Test and Evaluation</t>
  </si>
  <si>
    <t>1.2.2.7.3</t>
  </si>
  <si>
    <t>1.11.3</t>
  </si>
  <si>
    <t>1.2.2.7.2</t>
  </si>
  <si>
    <t>System Engineering</t>
  </si>
  <si>
    <t>Equipment Acquisition or Modernizati</t>
  </si>
  <si>
    <t>1.2.2.7.1</t>
  </si>
  <si>
    <t>Missile System Integration, Assembly, Test and Checkout</t>
  </si>
  <si>
    <t>1.12.5</t>
  </si>
  <si>
    <t>Telemetry, Tracking, and Command (TTandC)</t>
  </si>
  <si>
    <t>1.2.2.7</t>
  </si>
  <si>
    <t>Missile System Software Release 1…n</t>
  </si>
  <si>
    <t>1.12.4</t>
  </si>
  <si>
    <t>Propulsion Other</t>
  </si>
  <si>
    <t>1.2.2.6.10</t>
  </si>
  <si>
    <t>Other Command and Launch 1…n (Specify)</t>
  </si>
  <si>
    <t>1.3.9</t>
  </si>
  <si>
    <t>1.12.3</t>
  </si>
  <si>
    <t>Power Electronics</t>
  </si>
  <si>
    <t>1.2.2.6.9</t>
  </si>
  <si>
    <t>Command and Launch Software Release 1…n</t>
  </si>
  <si>
    <t>1.3.8</t>
  </si>
  <si>
    <t>Liquid Propellant and Pressurant</t>
  </si>
  <si>
    <t>1.2.2.6.8</t>
  </si>
  <si>
    <t>1.3.7</t>
  </si>
  <si>
    <t>Solid Rocket Motors</t>
  </si>
  <si>
    <t>1.2.2.6.7</t>
  </si>
  <si>
    <t>Auxiliary Equipment</t>
  </si>
  <si>
    <t>1.3.6</t>
  </si>
  <si>
    <t>Thrusters 1…n (Specify)</t>
  </si>
  <si>
    <t>1.2.2.6.6</t>
  </si>
  <si>
    <t>Launcher Equipment</t>
  </si>
  <si>
    <t>1.3.5</t>
  </si>
  <si>
    <t>Plumbing</t>
  </si>
  <si>
    <t>1.2.2.6.5</t>
  </si>
  <si>
    <t>Ordnance System Integration, Assembly, Test and Checkout</t>
  </si>
  <si>
    <t>Communications</t>
  </si>
  <si>
    <t>1.3.4</t>
  </si>
  <si>
    <t>Tanks 1…n (Specify)</t>
  </si>
  <si>
    <t>1.2.2.6.4</t>
  </si>
  <si>
    <t>Ordnance System Software Release 1…n</t>
  </si>
  <si>
    <t>Launch and Guidance Control</t>
  </si>
  <si>
    <t>1.3.3</t>
  </si>
  <si>
    <t>1.9.5</t>
  </si>
  <si>
    <t>1.2.2.6.3</t>
  </si>
  <si>
    <t>Other Launch System 1…n</t>
  </si>
  <si>
    <t>Surveillance, Identification and Tracking Sensors</t>
  </si>
  <si>
    <t>1.9.4</t>
  </si>
  <si>
    <t>1.2.2.6.2</t>
  </si>
  <si>
    <t>Launch System Software Release 1…n</t>
  </si>
  <si>
    <t>Command and Launch Integration, Assembly, Test and Checkout</t>
  </si>
  <si>
    <t>1.2.2.6.1</t>
  </si>
  <si>
    <t>Adapter Kits</t>
  </si>
  <si>
    <t>Command and Launch</t>
  </si>
  <si>
    <t>Propulsion 1..n (Specify)</t>
  </si>
  <si>
    <t>1.2.2.6</t>
  </si>
  <si>
    <t>Ready Magazine</t>
  </si>
  <si>
    <t>Other Encasement Device Subsystems 1…n (Specify)</t>
  </si>
  <si>
    <t>Mock-ups/System Integration Labs (SILs)</t>
  </si>
  <si>
    <t>ACS Other</t>
  </si>
  <si>
    <t>1.2.2.5.17</t>
  </si>
  <si>
    <t>Fire Control</t>
  </si>
  <si>
    <t>Encasement Device Software Release 1…n</t>
  </si>
  <si>
    <t>Control Electronics 1…n (Specify)</t>
  </si>
  <si>
    <t>1.2.2.5.16</t>
  </si>
  <si>
    <t>Carriage</t>
  </si>
  <si>
    <t>Encasement Device Structure</t>
  </si>
  <si>
    <t>1.2.2</t>
  </si>
  <si>
    <t>Spin Control Devices</t>
  </si>
  <si>
    <t>1.2.2.5.15</t>
  </si>
  <si>
    <t>Launcher</t>
  </si>
  <si>
    <t>Encasement Device Integration, Assembly, Test and Checkout</t>
  </si>
  <si>
    <t>1.2.1</t>
  </si>
  <si>
    <t>Magnetic Control Devices</t>
  </si>
  <si>
    <t>1.2.2.5.14</t>
  </si>
  <si>
    <t>Launch System Integration, Assembly, Test and Checkout</t>
  </si>
  <si>
    <t>Encasement Device</t>
  </si>
  <si>
    <t>Attitude Control Wheels 1…n (Specify)</t>
  </si>
  <si>
    <t>1.2.2.5.13</t>
  </si>
  <si>
    <t>Launch System</t>
  </si>
  <si>
    <t>Air Vehicle Integration, Assembly, Test and Checkout</t>
  </si>
  <si>
    <t>1.1.16</t>
  </si>
  <si>
    <t>Bearing and Power Transfer Assy (BAPTA)</t>
  </si>
  <si>
    <t>1.2.2.5.12</t>
  </si>
  <si>
    <t>Air Vehicle Software Release 1…n</t>
  </si>
  <si>
    <t>1.1.15</t>
  </si>
  <si>
    <t>1.6.5</t>
  </si>
  <si>
    <t>UM System Integration, Assembly, Test and Checkout</t>
  </si>
  <si>
    <t>Accelerometers 1…n (Specify)</t>
  </si>
  <si>
    <t>1.2.2.5.11</t>
  </si>
  <si>
    <t>1.1.14</t>
  </si>
  <si>
    <t>1.6.4</t>
  </si>
  <si>
    <t>UM System Software Release 1…n</t>
  </si>
  <si>
    <t>Rate Gyros 1…n (Specify)</t>
  </si>
  <si>
    <t>1.2.2.5.10</t>
  </si>
  <si>
    <t>On Board Training Equipment</t>
  </si>
  <si>
    <t>1.1.13</t>
  </si>
  <si>
    <t xml:space="preserve"> Application of Common WBS Elements</t>
  </si>
  <si>
    <t>K.3.1</t>
  </si>
  <si>
    <t>Mock-ups/System Integration labs (SILs)</t>
  </si>
  <si>
    <t>Transportation Segment/Vehicles</t>
  </si>
  <si>
    <t>Inertial Reference Unit-IRU / Inertial Measurement Unit-IMU 1…n (Specify)</t>
  </si>
  <si>
    <t>1.2.2.5.9</t>
  </si>
  <si>
    <t>On Board Test Equipment</t>
  </si>
  <si>
    <t>1.1.12</t>
  </si>
  <si>
    <t>Shore Segment (Duplicate any shipboard segment elements as appropriate)</t>
  </si>
  <si>
    <t>Global Positioning System (GPS) Receiver</t>
  </si>
  <si>
    <t>1.2.2.5.8</t>
  </si>
  <si>
    <t>Ordnance Initiation Set</t>
  </si>
  <si>
    <t>1.1.11</t>
  </si>
  <si>
    <t>Other Shipboard Segment 1…n (Specify)</t>
  </si>
  <si>
    <t>1.3.10</t>
  </si>
  <si>
    <t>Magnetometers</t>
  </si>
  <si>
    <t>1.2.2.5.7</t>
  </si>
  <si>
    <t>Munition Integration, Assembly, Test and Checkout</t>
  </si>
  <si>
    <t>Post Boost System</t>
  </si>
  <si>
    <t>1.1.10</t>
  </si>
  <si>
    <t>Shipboard Software Release 1…n</t>
  </si>
  <si>
    <t>Sun Sensors 1…n (Specify)</t>
  </si>
  <si>
    <t>1.2.2.5.6</t>
  </si>
  <si>
    <t>Munition Software Release 1…n</t>
  </si>
  <si>
    <t>Reentry System</t>
  </si>
  <si>
    <t>1.1.9</t>
  </si>
  <si>
    <t>Other Ground 1…n (Specify)</t>
  </si>
  <si>
    <t>1.5.4.3</t>
  </si>
  <si>
    <t>Shipboard (or Shore Based) Auxiliary Equipment</t>
  </si>
  <si>
    <t>Earth (Horizon) Sensors 1…n (Specify)</t>
  </si>
  <si>
    <t>1.2.2.5.5</t>
  </si>
  <si>
    <t>Other Payload Subsystems 1…n (Specify)</t>
  </si>
  <si>
    <t>1.1.8.6</t>
  </si>
  <si>
    <t>Command, Control and Communication</t>
  </si>
  <si>
    <t>1.5.4.2</t>
  </si>
  <si>
    <t>Vehicle Handling Equipment</t>
  </si>
  <si>
    <t>UAV System Integration, Assembly, Test and Checkout</t>
  </si>
  <si>
    <t>1.11.5</t>
  </si>
  <si>
    <t>Star Tracker/Sensors 1…n (Specify)</t>
  </si>
  <si>
    <t>1.2.2.5.4</t>
  </si>
  <si>
    <t>Payload Software Release 1…n</t>
  </si>
  <si>
    <t>1.1.8.5</t>
  </si>
  <si>
    <t>Interim Logistics Support</t>
  </si>
  <si>
    <t>1.10.1.7</t>
  </si>
  <si>
    <t>SEIT/PM</t>
  </si>
  <si>
    <t>1.5.4.1</t>
  </si>
  <si>
    <t>Storage Subsystems</t>
  </si>
  <si>
    <t>UAV Software Release 1…n</t>
  </si>
  <si>
    <t>1.11.4</t>
  </si>
  <si>
    <t>1.2.2.5.3</t>
  </si>
  <si>
    <t>Fuze</t>
  </si>
  <si>
    <t>1.1.8.4</t>
  </si>
  <si>
    <t>Management/Engineering Support</t>
  </si>
  <si>
    <t>1.10.1.6</t>
  </si>
  <si>
    <t>Ground Command, Control and Communications (GC3)</t>
  </si>
  <si>
    <t>1.5.4</t>
  </si>
  <si>
    <t>Launch and Recovery Equipment</t>
  </si>
  <si>
    <t>Other Ground/Host Segment 1…n(Specify)</t>
  </si>
  <si>
    <t>1.2.2.5.2</t>
  </si>
  <si>
    <t>Target Detection Device</t>
  </si>
  <si>
    <t>1.1.8.3</t>
  </si>
  <si>
    <t>Data Migration</t>
  </si>
  <si>
    <t>1.10.1.5</t>
  </si>
  <si>
    <t>Shipboard Power Subsystem</t>
  </si>
  <si>
    <t>Ground Segment Software Release 1…n</t>
  </si>
  <si>
    <t>1.2.2.5.1</t>
  </si>
  <si>
    <t>Target Detection Mechanism</t>
  </si>
  <si>
    <t>1.1.8.2</t>
  </si>
  <si>
    <t>User Training</t>
  </si>
  <si>
    <t>1.10.1.4</t>
  </si>
  <si>
    <t>Shipboard Communication Subsystem</t>
  </si>
  <si>
    <t>Transport Vehicles</t>
  </si>
  <si>
    <t>Attitude Control (ACS)</t>
  </si>
  <si>
    <t>1.2.2.5</t>
  </si>
  <si>
    <t>Payload Integration, Assembly, Test and Checkout</t>
  </si>
  <si>
    <t>1.1.8.1</t>
  </si>
  <si>
    <t>Site Activation</t>
  </si>
  <si>
    <t>1.10.1.3</t>
  </si>
  <si>
    <t>Payload Control Console(s)</t>
  </si>
  <si>
    <t>EPS Other</t>
  </si>
  <si>
    <t>1.2.2.4.14</t>
  </si>
  <si>
    <t>Payload</t>
  </si>
  <si>
    <t>1.1.8</t>
  </si>
  <si>
    <t>User Documentation</t>
  </si>
  <si>
    <t>1.10.1.2</t>
  </si>
  <si>
    <t>Launch Site 1…n (Specify)</t>
  </si>
  <si>
    <t>UM Control Console(s)</t>
  </si>
  <si>
    <t>Command and Control Subsystem</t>
  </si>
  <si>
    <t>1.2.2.4.13</t>
  </si>
  <si>
    <t>Target Defeat Mechanism</t>
  </si>
  <si>
    <t>Other Communications Subsystems 1…n (Specify)</t>
  </si>
  <si>
    <t>1.1.7.4</t>
  </si>
  <si>
    <t>Deployment Hardware and Software</t>
  </si>
  <si>
    <t>1.10.1.1</t>
  </si>
  <si>
    <t>Range Operations</t>
  </si>
  <si>
    <t>1.4.9.2</t>
  </si>
  <si>
    <t>Shipboard UM Command and Control Subsystem</t>
  </si>
  <si>
    <t>Ground Control Systems</t>
  </si>
  <si>
    <t>Charge Control Electronics</t>
  </si>
  <si>
    <t>1.2.2.4.12</t>
  </si>
  <si>
    <t>Communications Software Release 1…n</t>
  </si>
  <si>
    <t>1.1.7.3</t>
  </si>
  <si>
    <t>Site Type 1</t>
  </si>
  <si>
    <t>Range Ground System</t>
  </si>
  <si>
    <t>1.4.9.1</t>
  </si>
  <si>
    <t>Shipboard Segment Integration, Assembly, Test and Checkout</t>
  </si>
  <si>
    <t>Ground Segment Integration, Assembly, Test and Checkout</t>
  </si>
  <si>
    <t>Rechargeable Batteries</t>
  </si>
  <si>
    <t>1.2.2.4.11</t>
  </si>
  <si>
    <t>Antenna Assembly</t>
  </si>
  <si>
    <t>1.1.7.2</t>
  </si>
  <si>
    <t>Range Tracking &amp; Safety (Ground)</t>
  </si>
  <si>
    <t>Shipboard Segment</t>
  </si>
  <si>
    <t>Ground/Host Segment</t>
  </si>
  <si>
    <t>Power Dissipation Devices</t>
  </si>
  <si>
    <t>1.2.2.4.10</t>
  </si>
  <si>
    <t>Communications Integration, Assembly, Test and Checkout</t>
  </si>
  <si>
    <t>1.1.7.1</t>
  </si>
  <si>
    <t>Base Support</t>
  </si>
  <si>
    <t>Other Payload 1…n (Specify)</t>
  </si>
  <si>
    <t>1.2.2.4.9</t>
  </si>
  <si>
    <t>1.1.7</t>
  </si>
  <si>
    <t>Site Maintenance</t>
  </si>
  <si>
    <t>Power Control, Switching and Distribution Electronics</t>
  </si>
  <si>
    <t>1.2.2.4.8</t>
  </si>
  <si>
    <t>Other Control Subsystems 1…n (Specify)</t>
  </si>
  <si>
    <t>1.1.6.7</t>
  </si>
  <si>
    <t>Post Launch Refurbishment</t>
  </si>
  <si>
    <t>Mission Payload 1…n (Specify)</t>
  </si>
  <si>
    <t>Armament/Weapons Delivery Payload 1..N (Specify)</t>
  </si>
  <si>
    <t>Other Power Sources</t>
  </si>
  <si>
    <t>1.2.2.4.7</t>
  </si>
  <si>
    <t>Controls Software Release 1…n</t>
  </si>
  <si>
    <t>1.1.6.6</t>
  </si>
  <si>
    <t>Air Vehicle Integration, Assembly, Test, and Checkout</t>
  </si>
  <si>
    <t>Recovery Operations and Services</t>
  </si>
  <si>
    <t>Armament/Weapons Delivery Payload 1…n (Specify)</t>
  </si>
  <si>
    <t>Electronic Warfare Payload 1...n (Specify)</t>
  </si>
  <si>
    <t>Radioisotope Thermionic Generator</t>
  </si>
  <si>
    <t>1.2.2.4.6</t>
  </si>
  <si>
    <t>Control Power</t>
  </si>
  <si>
    <t>1.1.6.5</t>
  </si>
  <si>
    <t>Post Launch</t>
  </si>
  <si>
    <t>Intelligence, Surveillance Reconnaissance (ISR) Payload 1...n (Specify)</t>
  </si>
  <si>
    <t>Reconnaissance Payload 1...n(Specify)</t>
  </si>
  <si>
    <t>Solar Array Positioner</t>
  </si>
  <si>
    <t>1.2.2.4.5</t>
  </si>
  <si>
    <t>Other Controls Subsystems 1…n (Specify)</t>
  </si>
  <si>
    <t>Actuators</t>
  </si>
  <si>
    <t>1.1.6.4</t>
  </si>
  <si>
    <t>Furnishings and Equipment</t>
  </si>
  <si>
    <t>Flight Operations</t>
  </si>
  <si>
    <t>Survivability Payload 1…n (Specify)</t>
  </si>
  <si>
    <t>Survivability Payload 1...n (Specify)</t>
  </si>
  <si>
    <t>Solar Array</t>
  </si>
  <si>
    <t>1.2.2.4.4</t>
  </si>
  <si>
    <t>Fin/Canard Deployment System</t>
  </si>
  <si>
    <t>1.1.6.3</t>
  </si>
  <si>
    <t>1.1.6</t>
  </si>
  <si>
    <t>Launch</t>
  </si>
  <si>
    <t>1.2.2.4.3</t>
  </si>
  <si>
    <t>Primary Structure</t>
  </si>
  <si>
    <t>1.1.6.2</t>
  </si>
  <si>
    <t>Armament/Weapons Delivery</t>
  </si>
  <si>
    <t>1.1.5</t>
  </si>
  <si>
    <t>Space Vehicle Processing</t>
  </si>
  <si>
    <t>Payload 1…n</t>
  </si>
  <si>
    <t>1.2.2.4.2</t>
  </si>
  <si>
    <t>Controls Integration, Assembly, Test and Checkout</t>
  </si>
  <si>
    <t>1.1.6.1</t>
  </si>
  <si>
    <t>Other Avionics Subsystems 1…n (Specify)</t>
  </si>
  <si>
    <t>1.1.4.13</t>
  </si>
  <si>
    <t>Mission Unique Hardware (Launch Operations) 1…n (Specify)</t>
  </si>
  <si>
    <t>Vehicle Integration, Assembly, Test and Checkout</t>
  </si>
  <si>
    <t>1.2.2.4.1</t>
  </si>
  <si>
    <t>Controls</t>
  </si>
  <si>
    <t>Avionics Software Release 1…n</t>
  </si>
  <si>
    <t>1.1.4.12</t>
  </si>
  <si>
    <t>Mission Services</t>
  </si>
  <si>
    <t>Vehicle Software Release 1…n</t>
  </si>
  <si>
    <t>Electrical Power (EPS)</t>
  </si>
  <si>
    <t>1.2.2.4</t>
  </si>
  <si>
    <t>Other Navigation Subsystems 1…n (Specify)</t>
  </si>
  <si>
    <t>1.1.5.4</t>
  </si>
  <si>
    <t>Stores Management</t>
  </si>
  <si>
    <t>1.1.4.11</t>
  </si>
  <si>
    <t>Vehicle Processing and Checkout</t>
  </si>
  <si>
    <t>Other Auxiliary Systems 1…n (Specify)</t>
  </si>
  <si>
    <t>1.1.9.8</t>
  </si>
  <si>
    <t>TCS Other</t>
  </si>
  <si>
    <t>1.2.2.3.9</t>
  </si>
  <si>
    <t>Navigation Software Release 1…n (Specify)</t>
  </si>
  <si>
    <t>1.1.5.3</t>
  </si>
  <si>
    <t>Health Monitoring System</t>
  </si>
  <si>
    <t>1.1.4.10</t>
  </si>
  <si>
    <t>Auxiliary Systems Software Release 1…n</t>
  </si>
  <si>
    <t>1.1.9.7</t>
  </si>
  <si>
    <t>1.2.2.3.8</t>
  </si>
  <si>
    <t>Sensor Assemblies</t>
  </si>
  <si>
    <t>1.1.5.2</t>
  </si>
  <si>
    <t>Automatic Flight Control</t>
  </si>
  <si>
    <t>1.1.4.9</t>
  </si>
  <si>
    <t>Launch Operations Site 1...n (Specify)</t>
  </si>
  <si>
    <t>Miscellaneous Fluid Systems</t>
  </si>
  <si>
    <t>1.1.9.6</t>
  </si>
  <si>
    <t>Heaters, Thermisters and Thermostats</t>
  </si>
  <si>
    <t>1.2.2.3.7</t>
  </si>
  <si>
    <t>Navigation Integration, Assembly, Test and Checkout</t>
  </si>
  <si>
    <t>1.1.5.1</t>
  </si>
  <si>
    <t>Reconnaissance</t>
  </si>
  <si>
    <t>1.1.4.8</t>
  </si>
  <si>
    <t>Mission Unique Integration &amp; Analysis 1...n (Specify)</t>
  </si>
  <si>
    <t>Anchoring, Mooring and Towing</t>
  </si>
  <si>
    <t>1.1.9.5</t>
  </si>
  <si>
    <t>1.2.2.3.6</t>
  </si>
  <si>
    <t>Navigation Software Release 1…n</t>
  </si>
  <si>
    <t>Navigation</t>
  </si>
  <si>
    <t>Survivability</t>
  </si>
  <si>
    <t>1.1.4.7</t>
  </si>
  <si>
    <t>Mission Standard Integration &amp; Analysis</t>
  </si>
  <si>
    <t>Environmental Control System</t>
  </si>
  <si>
    <t>1.1.9.4</t>
  </si>
  <si>
    <t>Mission Computer/Processing</t>
  </si>
  <si>
    <t>1.2.2.3.5</t>
  </si>
  <si>
    <t>Other Guidance Subsystems 1…n (Specify)</t>
  </si>
  <si>
    <t>1.1.4.5</t>
  </si>
  <si>
    <t>Data Display and Controls</t>
  </si>
  <si>
    <t>1.1.4.6</t>
  </si>
  <si>
    <t>Mission Integration and Analysis 1…f (Specify)</t>
  </si>
  <si>
    <t>Launch and Recovery System</t>
  </si>
  <si>
    <t>1.1.9.3</t>
  </si>
  <si>
    <t>1.2.2.3.4</t>
  </si>
  <si>
    <t>Navigation, Integration, Assembly, Test and Checkout</t>
  </si>
  <si>
    <t>Guidance Software Release 1…n</t>
  </si>
  <si>
    <t>1.1.4.4</t>
  </si>
  <si>
    <t>1.5.5</t>
  </si>
  <si>
    <t>Other Avionics 1…n (Specify)</t>
  </si>
  <si>
    <t>Emergency Systems</t>
  </si>
  <si>
    <t>1.1.9.2</t>
  </si>
  <si>
    <t>1.2.2.3.3</t>
  </si>
  <si>
    <t>Seeker Assemblies</t>
  </si>
  <si>
    <t>1.1.4.3</t>
  </si>
  <si>
    <t>Flight Software Release 1…n</t>
  </si>
  <si>
    <t>Auxiliary Equipment Integration, Assembly, Test and Checkout</t>
  </si>
  <si>
    <t>1.1.9.1</t>
  </si>
  <si>
    <t>1.2.2.3.2</t>
  </si>
  <si>
    <t>Dome Assembly</t>
  </si>
  <si>
    <t>1.1.4.2</t>
  </si>
  <si>
    <t>Navigation/Guidance</t>
  </si>
  <si>
    <t>Range Tracking &amp; Safety (Airborne)</t>
  </si>
  <si>
    <t>Auxiliary Systems</t>
  </si>
  <si>
    <t>1.2.2.3.1</t>
  </si>
  <si>
    <t>Guidance Integration, Assembly, Test and Checkout</t>
  </si>
  <si>
    <t>1.1.4.1</t>
  </si>
  <si>
    <t>Communication/Identification</t>
  </si>
  <si>
    <t>Data Acquisition and Telemetry</t>
  </si>
  <si>
    <t>Other Ship Control Systems 1…n (Specify)</t>
  </si>
  <si>
    <t>1.1.8.7</t>
  </si>
  <si>
    <t>Thermal Control (TCS)</t>
  </si>
  <si>
    <t>1.2.2.3</t>
  </si>
  <si>
    <t>Guidance</t>
  </si>
  <si>
    <t>1.1.4</t>
  </si>
  <si>
    <t>Avionics Integration, Assembly, Test, and Checkout</t>
  </si>
  <si>
    <t>Power</t>
  </si>
  <si>
    <t>Ship Control Systems Software Release 1…n</t>
  </si>
  <si>
    <t>Avionics Integration, Assembly, Test and Checkout</t>
  </si>
  <si>
    <t>Secondary Vehicle</t>
  </si>
  <si>
    <t>SMS Other</t>
  </si>
  <si>
    <t>1.2.2.2.6</t>
  </si>
  <si>
    <t>Other Power and Distribution Subsystems 1…n (Specify)</t>
  </si>
  <si>
    <t>1.1.3.6</t>
  </si>
  <si>
    <t>Avionics</t>
  </si>
  <si>
    <t>Guidance navigation and Control</t>
  </si>
  <si>
    <t>Maneuvering System</t>
  </si>
  <si>
    <t>Other Remote Control System 1…n (Specify)</t>
  </si>
  <si>
    <t>1.2.2.2.5</t>
  </si>
  <si>
    <t>Power and Distribution Software Release 1…n</t>
  </si>
  <si>
    <t>1.1.3.5</t>
  </si>
  <si>
    <t>Other Subsystems 1…n (Specify)</t>
  </si>
  <si>
    <t>1.1.3.13</t>
  </si>
  <si>
    <t>Change Management</t>
  </si>
  <si>
    <t>Ballast and Trim</t>
  </si>
  <si>
    <t>Other Vehicle Subsystems 1…n (Specify)</t>
  </si>
  <si>
    <t>1.1.3.12</t>
  </si>
  <si>
    <t>Remote Control System Software Release 1…n</t>
  </si>
  <si>
    <t>1.2.2.2.4</t>
  </si>
  <si>
    <t>Distribution Harness</t>
  </si>
  <si>
    <t>1.1.3.4</t>
  </si>
  <si>
    <t>Vehicle Subsystem Software</t>
  </si>
  <si>
    <t>Hovering and Depth Control</t>
  </si>
  <si>
    <t>Vehicle Subsystems Software Release 1…n</t>
  </si>
  <si>
    <t>1.1.3.11</t>
  </si>
  <si>
    <t>1.2.2.2.3</t>
  </si>
  <si>
    <t>Other Power and Distribution Subsystems 1…n</t>
  </si>
  <si>
    <t>Power Conditioning Electronics</t>
  </si>
  <si>
    <t>1.1.3.3</t>
  </si>
  <si>
    <t>Drive Group</t>
  </si>
  <si>
    <t>Mission Unique Hardware (Launch vehicle) 1…n (Specify)</t>
  </si>
  <si>
    <t>Steering and Dive Control</t>
  </si>
  <si>
    <t>Drive System</t>
  </si>
  <si>
    <t>1.1.3.10</t>
  </si>
  <si>
    <t>1.2.2.2.2</t>
  </si>
  <si>
    <t>Primary Power</t>
  </si>
  <si>
    <t>1.1.3.2</t>
  </si>
  <si>
    <t>Rotor Group</t>
  </si>
  <si>
    <t>System Level Integration</t>
  </si>
  <si>
    <t>Payload Adapter (Pedestals)</t>
  </si>
  <si>
    <t>Ship Control System Integration, Assembly, Test and Checkout</t>
  </si>
  <si>
    <t>1.1.3.9</t>
  </si>
  <si>
    <t>Remote Control System Integration, Assembly, Test and Checkout</t>
  </si>
  <si>
    <t>1.2.2.2.1</t>
  </si>
  <si>
    <t>Distribution Harnesses</t>
  </si>
  <si>
    <t>Power and Distribution Integration, Assembly, Test and Checkout</t>
  </si>
  <si>
    <t>1.1.3.1</t>
  </si>
  <si>
    <t>AIS Platform Hardware</t>
  </si>
  <si>
    <t>Payload Fairing</t>
  </si>
  <si>
    <t>Ship Control Systems</t>
  </si>
  <si>
    <t>1.1.3.8</t>
  </si>
  <si>
    <t>Remote Control System (UGV specific)</t>
  </si>
  <si>
    <t>Structures and Mechanisms (SMS)</t>
  </si>
  <si>
    <t>1.2.2.2</t>
  </si>
  <si>
    <t>Power and Distribution</t>
  </si>
  <si>
    <t>1.1.3</t>
  </si>
  <si>
    <t>Fuel Subsystem</t>
  </si>
  <si>
    <t>External System Interface Integration, Assembly, Test and Checkout</t>
  </si>
  <si>
    <t>Communications/Identification</t>
  </si>
  <si>
    <t>1.1.3.7</t>
  </si>
  <si>
    <t>1.2.2.1.4</t>
  </si>
  <si>
    <t>Other Propulsion Subsystems 1…n (Specify)</t>
  </si>
  <si>
    <t>1.1.2.9</t>
  </si>
  <si>
    <t>Environmental Control Subsystem</t>
  </si>
  <si>
    <t>External System Interface Software CSCI 1…n (Specify)</t>
  </si>
  <si>
    <t>Payload Accommodations 1…n (Specify)</t>
  </si>
  <si>
    <t>Surveillance</t>
  </si>
  <si>
    <t>Primary Vehicle Software Release 1…n</t>
  </si>
  <si>
    <t>1.2.2.1.3</t>
  </si>
  <si>
    <t>Propulsion Software Release 1…n</t>
  </si>
  <si>
    <t>1.1.2.8</t>
  </si>
  <si>
    <t>Crew Station Subsystem</t>
  </si>
  <si>
    <t>External System Interface Hardware</t>
  </si>
  <si>
    <t>Other Systems 1…n (Specify)</t>
  </si>
  <si>
    <t>Other Vehicle Command and Control 1…n (Specify)</t>
  </si>
  <si>
    <t>1.1.5.9</t>
  </si>
  <si>
    <t>Electrical Subsystem</t>
  </si>
  <si>
    <t>1.2.2.1.2</t>
  </si>
  <si>
    <t>Flight Termination/Mission Termination</t>
  </si>
  <si>
    <t>1.1.2.7</t>
  </si>
  <si>
    <t>External System Interface Development 1…n (Specify)</t>
  </si>
  <si>
    <t>Stage Peculiar Avionics</t>
  </si>
  <si>
    <t>Vehicle Command and Control Software Release 1…n</t>
  </si>
  <si>
    <t>1.1.5.8</t>
  </si>
  <si>
    <t>Hydraulic Subsystem</t>
  </si>
  <si>
    <t>Special Equipment</t>
  </si>
  <si>
    <t>1.2.2.1.1</t>
  </si>
  <si>
    <t>1.1.2.6</t>
  </si>
  <si>
    <t>Arm/Fire Device</t>
  </si>
  <si>
    <t>Business Area Integration, Assembly, Test and Checkout</t>
  </si>
  <si>
    <t>1.1.5.7</t>
  </si>
  <si>
    <t>Auxiliary Power Subsystem</t>
  </si>
  <si>
    <t>Navigation and Remote Piloting</t>
  </si>
  <si>
    <t>1.2.2.1</t>
  </si>
  <si>
    <t>1.1.2.5</t>
  </si>
  <si>
    <t>Fuel/Oxidizer Liquid Management</t>
  </si>
  <si>
    <t>Business Area Software CSCI 1…n (Specify)</t>
  </si>
  <si>
    <t>Recovery System</t>
  </si>
  <si>
    <t>Rendezvous, Homing and Docking Systems</t>
  </si>
  <si>
    <t>1.1.5.6</t>
  </si>
  <si>
    <t>Flight Control Subsystem</t>
  </si>
  <si>
    <t>Automatic Ammunition Handling</t>
  </si>
  <si>
    <t>Bus</t>
  </si>
  <si>
    <t>1.1.2.4</t>
  </si>
  <si>
    <t>Attitude Control System</t>
  </si>
  <si>
    <t>Business Area Hardware</t>
  </si>
  <si>
    <t>Reaction Control System</t>
  </si>
  <si>
    <t>Health Status Monitoring</t>
  </si>
  <si>
    <t>1.1.5.5</t>
  </si>
  <si>
    <t>Vehicle Subsystems Integration, Assembly, Test and Checkout</t>
  </si>
  <si>
    <t>Armament</t>
  </si>
  <si>
    <t>1.2.1.4</t>
  </si>
  <si>
    <t>Fuel Management</t>
  </si>
  <si>
    <t>1.1.2.3</t>
  </si>
  <si>
    <t>Thrust Vector Actuation</t>
  </si>
  <si>
    <t>Platform Integration, Assembly, Test and Checkout</t>
  </si>
  <si>
    <t>Vehicle Subsystem Integration, Assembly, Test, and Checkout</t>
  </si>
  <si>
    <t>Enterprise Information System 1…n (Specify)</t>
  </si>
  <si>
    <t>Propulsions System</t>
  </si>
  <si>
    <t>Guidance and Control</t>
  </si>
  <si>
    <t>Vehicle Subsystems</t>
  </si>
  <si>
    <t>1.2.1.3</t>
  </si>
  <si>
    <t>Ship Assembly and Support Services</t>
  </si>
  <si>
    <t>Motor/Engine</t>
  </si>
  <si>
    <t>1.1.2.2</t>
  </si>
  <si>
    <t>Motor/Engine (Specify)</t>
  </si>
  <si>
    <t>PMP Integration, Assembly, Test and Checkout</t>
  </si>
  <si>
    <t>Enterprise Service Element Integration, Assembly, Test and Checkout</t>
  </si>
  <si>
    <t>Propulsion</t>
  </si>
  <si>
    <t>1.1.2</t>
  </si>
  <si>
    <t>Auxiliary Automotive</t>
  </si>
  <si>
    <t>1.2.1.2</t>
  </si>
  <si>
    <t>Total Ship Integration/Engineering</t>
  </si>
  <si>
    <t>Propulsion Integration, Assembly, Test and Checkout</t>
  </si>
  <si>
    <t>1.1.2.1</t>
  </si>
  <si>
    <t>Subsystem Integration, Assembly, Test and Checkout</t>
  </si>
  <si>
    <t>Enterprise Service Element Software CSCI 1...n (Specify)</t>
  </si>
  <si>
    <t>Mission Control</t>
  </si>
  <si>
    <t>Other Airframe Components 1…n (Specify)</t>
  </si>
  <si>
    <t>1.1.1.6</t>
  </si>
  <si>
    <t>Power Package/Drive Train</t>
  </si>
  <si>
    <t>1.2.1.1</t>
  </si>
  <si>
    <t>Propulsion Subsystem (1…n) Specify</t>
  </si>
  <si>
    <t>Computer Software Configuration Item (CSCI) 1...n</t>
  </si>
  <si>
    <t>Other Airframe Components 1..n (Specify)</t>
  </si>
  <si>
    <t>Enterprise Service Element Hardware</t>
  </si>
  <si>
    <t>Stages 1…n (Specify)</t>
  </si>
  <si>
    <t>Vehicle Command and Control Integration, Assembly, Test and Checkout</t>
  </si>
  <si>
    <t>Nacelle</t>
  </si>
  <si>
    <t>1.1.1.5</t>
  </si>
  <si>
    <t>Vehicle Electronics</t>
  </si>
  <si>
    <t>Outfit and Furnishings</t>
  </si>
  <si>
    <t>Software Product Engineering</t>
  </si>
  <si>
    <t>Enterprise Service Element 1…n (Specify)</t>
  </si>
  <si>
    <t>Vehicle Command and Control</t>
  </si>
  <si>
    <t>Empennage</t>
  </si>
  <si>
    <t>1.1.1.4</t>
  </si>
  <si>
    <t>Suspension/Steering</t>
  </si>
  <si>
    <t>Space Vehicle 1..n (Specify)2</t>
  </si>
  <si>
    <t>Aero-Structures</t>
  </si>
  <si>
    <t>PMP Software Release 1...n (Specify)</t>
  </si>
  <si>
    <t>Subsystem Software Integration, Assembly, Test and Checkout</t>
  </si>
  <si>
    <t>1.1.1.3</t>
  </si>
  <si>
    <t>Launch Vehicle</t>
  </si>
  <si>
    <t>Turret Assembly</t>
  </si>
  <si>
    <t>Command, Communications and Surveillance</t>
  </si>
  <si>
    <t>Secondary Structure</t>
  </si>
  <si>
    <t>Subsystem Software CSCI 1…n (Specify)</t>
  </si>
  <si>
    <t>1.1.1.2</t>
  </si>
  <si>
    <t>Energy Storage / Conversion</t>
  </si>
  <si>
    <t>Fuselage</t>
  </si>
  <si>
    <t>System Survivability</t>
  </si>
  <si>
    <t>Electric Plant</t>
  </si>
  <si>
    <t>PMP Subsystem Software Release 1...n</t>
  </si>
  <si>
    <t>Subsystem Hardware</t>
  </si>
  <si>
    <t>1.1.1.1</t>
  </si>
  <si>
    <t>Integration and Test</t>
  </si>
  <si>
    <t>Airframe Integration, Assembly, Test and Checkout</t>
  </si>
  <si>
    <t>Hull/Frame/Body/Cab</t>
  </si>
  <si>
    <t>Propulsion Plant</t>
  </si>
  <si>
    <t>PMP Subsystem Hardware 1...n</t>
  </si>
  <si>
    <t>Custom Application Software 1…n (Specify)</t>
  </si>
  <si>
    <t>1.1.1</t>
  </si>
  <si>
    <t>System Engineering (SE)</t>
  </si>
  <si>
    <t>Hull and Structure</t>
  </si>
  <si>
    <t>Airframe</t>
  </si>
  <si>
    <t>Primary Vehicle Integration, Assembly, Test and Checkout</t>
  </si>
  <si>
    <t>Hull Structure</t>
  </si>
  <si>
    <t>PMP Subsystem 1...n (Specify)</t>
  </si>
  <si>
    <t>Automated Information System Prime Mission Product Release/Increment X</t>
  </si>
  <si>
    <t>System Engineering, Integration, Test, Program Management (SEIT/PM)</t>
  </si>
  <si>
    <t>Maritime Vehicle</t>
  </si>
  <si>
    <t>Primary Vehicle</t>
  </si>
  <si>
    <t>SEIT/PM and Support Equipment (1…s) 1</t>
  </si>
  <si>
    <t>Ship</t>
  </si>
  <si>
    <t>Munition</t>
  </si>
  <si>
    <t>Prime Mission Product (PMP) 1...n (Specify)</t>
  </si>
  <si>
    <t xml:space="preserve"> Automated Information System (AIS)</t>
  </si>
  <si>
    <t>Launch Vehicle System</t>
  </si>
  <si>
    <t>Unmanned Maritime System</t>
  </si>
  <si>
    <t xml:space="preserve"> UAV System</t>
  </si>
  <si>
    <t>Surface Vehicle System</t>
  </si>
  <si>
    <t>Space System</t>
  </si>
  <si>
    <t>Sea System</t>
  </si>
  <si>
    <t>Ordnance System</t>
  </si>
  <si>
    <t>Missile System</t>
  </si>
  <si>
    <t>Electronic System</t>
  </si>
  <si>
    <t>Aircraft System</t>
  </si>
  <si>
    <t>Element Title:</t>
  </si>
  <si>
    <t>APPENDIX K: AUTOMATED INFORMATION SYSTEMS</t>
  </si>
  <si>
    <t>APPENDIX J: LAUNCH VEHICLE SYSTEMS</t>
  </si>
  <si>
    <t>APPENDIX I: UNMANNED MARITIME SYSTEMS</t>
  </si>
  <si>
    <t>APPENDIX H: UNMANNED AIR VEHICLE SYSTEMS</t>
  </si>
  <si>
    <t>APPENDIX G: SURFACE VEHICLE SYSTEMS</t>
  </si>
  <si>
    <t>APPENDIX F: SPACE SYSTEMS</t>
  </si>
  <si>
    <t>APPENDIX E: SEA SYSTEMS</t>
  </si>
  <si>
    <t>APPENDIX D: ORDNANCE SYSTEMS</t>
  </si>
  <si>
    <t>APPENDIX C: MISSILE SYSTEMS</t>
  </si>
  <si>
    <t>APPENDIX B: ELECTRONIC SYSTEMS</t>
  </si>
  <si>
    <t>APPENDIX A: AIRCRAFT SYSTEMS</t>
  </si>
  <si>
    <t>Add 881C Tabs</t>
  </si>
  <si>
    <t>Adds WBS breakouts for standard MIL-STD-881C structures
   •Users can select from dropdown list of preloaded appendixes</t>
  </si>
  <si>
    <t>TOC</t>
  </si>
  <si>
    <t>Category</t>
  </si>
  <si>
    <t>Function</t>
  </si>
  <si>
    <t>Description</t>
  </si>
  <si>
    <t>CDF</t>
  </si>
  <si>
    <t>Notes</t>
  </si>
  <si>
    <t>Param 1</t>
  </si>
  <si>
    <t>Param 2</t>
  </si>
  <si>
    <t>Param 3</t>
  </si>
  <si>
    <t>Param 4</t>
  </si>
  <si>
    <t>Param 5</t>
  </si>
  <si>
    <t>Param 6</t>
  </si>
  <si>
    <t>Param 7</t>
  </si>
  <si>
    <r>
      <t>BYtoBY(</t>
    </r>
    <r>
      <rPr>
        <sz val="12"/>
        <color theme="1"/>
        <rFont val="Times New Roman"/>
        <family val="1"/>
      </rPr>
      <t>Index, From Year, To Year, Cost)</t>
    </r>
  </si>
  <si>
    <t>Returns a specified Base Year amount given a Base Year (uses Inflation tables located on inflation worksheet)</t>
  </si>
  <si>
    <r>
      <t>Index:</t>
    </r>
    <r>
      <rPr>
        <sz val="12"/>
        <color theme="1"/>
        <rFont val="Times New Roman"/>
        <family val="1"/>
      </rPr>
      <t xml:space="preserve"> Choose what Inflation Indice is appropriate</t>
    </r>
  </si>
  <si>
    <r>
      <t>FromYear:</t>
    </r>
    <r>
      <rPr>
        <sz val="12"/>
        <color theme="1"/>
        <rFont val="Times New Roman"/>
        <family val="1"/>
      </rPr>
      <t xml:space="preserve"> Choose Base Year the amount is currently in</t>
    </r>
  </si>
  <si>
    <r>
      <t>ToYear:</t>
    </r>
    <r>
      <rPr>
        <sz val="12"/>
        <color theme="1"/>
        <rFont val="Times New Roman"/>
        <family val="1"/>
      </rPr>
      <t xml:space="preserve"> Choose the Base Year you would like to convert amount to</t>
    </r>
  </si>
  <si>
    <r>
      <t>Cost:</t>
    </r>
    <r>
      <rPr>
        <sz val="12"/>
        <color theme="1"/>
        <rFont val="Times New Roman"/>
        <family val="1"/>
      </rPr>
      <t xml:space="preserve"> Enter the Amount that you would like to convert from Base Year to Base Year</t>
    </r>
  </si>
  <si>
    <r>
      <t>BYtoTY(</t>
    </r>
    <r>
      <rPr>
        <sz val="12"/>
        <color theme="1"/>
        <rFont val="Times New Roman"/>
        <family val="1"/>
      </rPr>
      <t>Index, From Year, To Year, Cost)</t>
    </r>
  </si>
  <si>
    <t>Returns a specified Then Year amount given a Base Year (uses Inflation tables located on inflation worksheet)</t>
  </si>
  <si>
    <r>
      <t>ToYear:</t>
    </r>
    <r>
      <rPr>
        <sz val="12"/>
        <color theme="1"/>
        <rFont val="Times New Roman"/>
        <family val="1"/>
      </rPr>
      <t xml:space="preserve"> Choose the Then Year you would like to convert amount to</t>
    </r>
  </si>
  <si>
    <r>
      <t>Cost:</t>
    </r>
    <r>
      <rPr>
        <sz val="12"/>
        <color theme="1"/>
        <rFont val="Times New Roman"/>
        <family val="1"/>
      </rPr>
      <t xml:space="preserve"> Enter the Amount that you would like to convert from Base Year to Then Year</t>
    </r>
  </si>
  <si>
    <r>
      <t>TYtoBY(</t>
    </r>
    <r>
      <rPr>
        <sz val="12"/>
        <color theme="1"/>
        <rFont val="Times New Roman"/>
        <family val="1"/>
      </rPr>
      <t>Index, From Year, To Year, Cost)</t>
    </r>
  </si>
  <si>
    <t>Returns a specified Base Year amount given a Then Year (uses Inflation tables located on inflation worksheet)</t>
  </si>
  <si>
    <r>
      <t>FromYear:</t>
    </r>
    <r>
      <rPr>
        <sz val="12"/>
        <color theme="1"/>
        <rFont val="Times New Roman"/>
        <family val="1"/>
      </rPr>
      <t xml:space="preserve"> Choose Then Year the amount is currently in</t>
    </r>
  </si>
  <si>
    <r>
      <t>Cost:</t>
    </r>
    <r>
      <rPr>
        <sz val="12"/>
        <color theme="1"/>
        <rFont val="Times New Roman"/>
        <family val="1"/>
      </rPr>
      <t xml:space="preserve"> Enter the Amount that you would like to convert from Then Year to Base Year</t>
    </r>
  </si>
  <si>
    <r>
      <t>TYCalc(</t>
    </r>
    <r>
      <rPr>
        <sz val="12"/>
        <color theme="1"/>
        <rFont val="Times New Roman"/>
        <family val="1"/>
      </rPr>
      <t>Cost, Indice, From Year, Start, Finish)</t>
    </r>
  </si>
  <si>
    <t>Returns a Then Year amount based on Base Year calculations. (optimized to run as an array)</t>
  </si>
  <si>
    <t>Cost</t>
  </si>
  <si>
    <t>Indice</t>
  </si>
  <si>
    <t>From Year</t>
  </si>
  <si>
    <t>Start</t>
  </si>
  <si>
    <t>Finish</t>
  </si>
  <si>
    <t>Unit Conversion</t>
  </si>
  <si>
    <r>
      <t>UnitC(</t>
    </r>
    <r>
      <rPr>
        <sz val="12"/>
        <color theme="1"/>
        <rFont val="Times New Roman"/>
        <family val="1"/>
      </rPr>
      <t>Cost, From Dollar, To Dollar)</t>
    </r>
  </si>
  <si>
    <t>Returns specified units (in $) based on a given unit</t>
  </si>
  <si>
    <r>
      <t>Cost:</t>
    </r>
    <r>
      <rPr>
        <sz val="12"/>
        <color theme="1"/>
        <rFont val="Times New Roman"/>
        <family val="1"/>
      </rPr>
      <t xml:space="preserve"> Choose amount that you would like to convert</t>
    </r>
  </si>
  <si>
    <r>
      <t>From Dollar:</t>
    </r>
    <r>
      <rPr>
        <sz val="12"/>
        <color theme="1"/>
        <rFont val="Times New Roman"/>
        <family val="1"/>
      </rPr>
      <t xml:space="preserve"> Choose the units ($, $K, $M, $B), the amount is currently in</t>
    </r>
  </si>
  <si>
    <r>
      <t>To Dollar:</t>
    </r>
    <r>
      <rPr>
        <sz val="12"/>
        <color theme="1"/>
        <rFont val="Times New Roman"/>
        <family val="1"/>
      </rPr>
      <t xml:space="preserve"> Choose the units you want the amount to be converted to ($, $K,$M,$B)</t>
    </r>
  </si>
  <si>
    <t>Phasing</t>
  </si>
  <si>
    <r>
      <t>BetaPhasing(</t>
    </r>
    <r>
      <rPr>
        <sz val="12"/>
        <color theme="1"/>
        <rFont val="Times New Roman"/>
        <family val="1"/>
      </rPr>
      <t>Start Date, Duration, Cost, Alpha, Beta, Fiscal Year)</t>
    </r>
  </si>
  <si>
    <t>Should be based on analogous programs, COSTAT allows a fit of actual data</t>
  </si>
  <si>
    <r>
      <t>RayleighPhasing(</t>
    </r>
    <r>
      <rPr>
        <sz val="12"/>
        <color theme="1"/>
        <rFont val="Times New Roman"/>
        <family val="1"/>
      </rPr>
      <t>Start Date, Duration, Cost, Delta, Fiscal Year)</t>
    </r>
  </si>
  <si>
    <t>Labor intensive programs</t>
  </si>
  <si>
    <r>
      <t>UniformPhasing(</t>
    </r>
    <r>
      <rPr>
        <sz val="12"/>
        <color theme="1"/>
        <rFont val="Times New Roman"/>
        <family val="1"/>
      </rPr>
      <t>Start Date, Duration Cost, Fiscal Year)</t>
    </r>
  </si>
  <si>
    <r>
      <t>CustomPhasing(</t>
    </r>
    <r>
      <rPr>
        <sz val="12"/>
        <color theme="1"/>
        <rFont val="Times New Roman"/>
        <family val="1"/>
      </rPr>
      <t>ExSD, ExDur, Estimated Start Date, Estimated Duration, Cost, Slip, Fiscal Year)</t>
    </r>
  </si>
  <si>
    <t>Ideal for phasing distributions that cannot be described by a single equation</t>
  </si>
  <si>
    <t>Expected Duration</t>
  </si>
  <si>
    <t>Estimated StartDate</t>
  </si>
  <si>
    <t>Estimated Duration</t>
  </si>
  <si>
    <r>
      <t>Cost:</t>
    </r>
    <r>
      <rPr>
        <sz val="12"/>
        <color theme="1"/>
        <rFont val="Times New Roman"/>
        <family val="1"/>
      </rPr>
      <t xml:space="preserve"> Estimated Cost of task (can be a range of cells, or a single cell)</t>
    </r>
  </si>
  <si>
    <r>
      <t xml:space="preserve">Slip: </t>
    </r>
    <r>
      <rPr>
        <sz val="12"/>
        <color theme="1"/>
        <rFont val="Times New Roman"/>
        <family val="1"/>
      </rPr>
      <t>Cumulative time at which schedule slip occurs</t>
    </r>
  </si>
  <si>
    <t>Fiscal Year Calculations</t>
  </si>
  <si>
    <t>Returns a Fiscal Year Date in format YYYY.Frac (i.e. 2014.25 reads as 2nd Quarter FY 2014)</t>
  </si>
  <si>
    <t>Returns an integer fiscal Year given a date</t>
  </si>
  <si>
    <t>NSA WBS</t>
  </si>
  <si>
    <t>1.0</t>
  </si>
  <si>
    <t>1.1</t>
  </si>
  <si>
    <t>1.2</t>
  </si>
  <si>
    <t>1.2.1.1.1</t>
  </si>
  <si>
    <t>1.2.1.1.2</t>
  </si>
  <si>
    <t>1.2.1.1.3</t>
  </si>
  <si>
    <t>1.2.1.1.4</t>
  </si>
  <si>
    <t>1.2.1.1.5</t>
  </si>
  <si>
    <t>1.2.1.1.6</t>
  </si>
  <si>
    <t>1.3</t>
  </si>
  <si>
    <t>1.3.1.1.1</t>
  </si>
  <si>
    <t>1.3.1.1.2</t>
  </si>
  <si>
    <t>1.3.1.1.3</t>
  </si>
  <si>
    <t>1.3.1.1.4</t>
  </si>
  <si>
    <t>1.3.1.1.5</t>
  </si>
  <si>
    <t>1.3.1.1.6</t>
  </si>
  <si>
    <t>System Development Environment</t>
  </si>
  <si>
    <t>1.4</t>
  </si>
  <si>
    <t>2.0</t>
  </si>
  <si>
    <t>2.1</t>
  </si>
  <si>
    <t>2.2</t>
  </si>
  <si>
    <t>2.3</t>
  </si>
  <si>
    <t>2.4</t>
  </si>
  <si>
    <t>3.0</t>
  </si>
  <si>
    <t>4.0</t>
  </si>
  <si>
    <t>5.0</t>
  </si>
  <si>
    <t>6.0</t>
  </si>
  <si>
    <t>7.0</t>
  </si>
  <si>
    <t>8.0</t>
  </si>
  <si>
    <t>9.0</t>
  </si>
  <si>
    <t>9.1</t>
  </si>
  <si>
    <t>Mission Equipment Installation</t>
  </si>
  <si>
    <t>9.2</t>
  </si>
  <si>
    <t>Facilities/Construction</t>
  </si>
  <si>
    <t>9.2.1</t>
  </si>
  <si>
    <t>Site Preparation/Acquisition Cost</t>
  </si>
  <si>
    <t>9.2.2</t>
  </si>
  <si>
    <t>Design</t>
  </si>
  <si>
    <t>9.2.3</t>
  </si>
  <si>
    <t>Demolition</t>
  </si>
  <si>
    <t>9.2.4</t>
  </si>
  <si>
    <t>Building Construction</t>
  </si>
  <si>
    <t>9.2.5</t>
  </si>
  <si>
    <t>Building Renovation</t>
  </si>
  <si>
    <t>9.2.6</t>
  </si>
  <si>
    <t>Special Security Provisions</t>
  </si>
  <si>
    <t>9.3</t>
  </si>
  <si>
    <t>Power and Cooling</t>
  </si>
  <si>
    <t>9.3.1</t>
  </si>
  <si>
    <t>Mechanical System Equipment</t>
  </si>
  <si>
    <t>9.3.1.1</t>
  </si>
  <si>
    <t>Fuel Oil System</t>
  </si>
  <si>
    <t>9.3.1.2</t>
  </si>
  <si>
    <t>9.3.1.3</t>
  </si>
  <si>
    <t>CRAC/CRAH</t>
  </si>
  <si>
    <t>9.3.1.4</t>
  </si>
  <si>
    <t>Water Cooled Cabinets</t>
  </si>
  <si>
    <t>9.3.1.5</t>
  </si>
  <si>
    <t>Chiller Plant</t>
  </si>
  <si>
    <t>9.3.1.5.1</t>
  </si>
  <si>
    <t>Chillers</t>
  </si>
  <si>
    <t>9.3.1.5.2</t>
  </si>
  <si>
    <t>Cooling Towers</t>
  </si>
  <si>
    <t>9.3.1.5.3</t>
  </si>
  <si>
    <t>Pumps</t>
  </si>
  <si>
    <t>9.3.1.6</t>
  </si>
  <si>
    <t>Fire Protection System</t>
  </si>
  <si>
    <t>9.3.2</t>
  </si>
  <si>
    <t>Electrical System Equipment</t>
  </si>
  <si>
    <t>9.3.2.1</t>
  </si>
  <si>
    <t>UPS System</t>
  </si>
  <si>
    <t>9.3.2.2</t>
  </si>
  <si>
    <t>Power Distribution System</t>
  </si>
  <si>
    <t>9.3.2.3</t>
  </si>
  <si>
    <t>Substations</t>
  </si>
  <si>
    <t>9.3.2.4</t>
  </si>
  <si>
    <t>9.4</t>
  </si>
  <si>
    <t>Tenant Fit-Up</t>
  </si>
  <si>
    <t>9.4.1</t>
  </si>
  <si>
    <t>Interior Construction</t>
  </si>
  <si>
    <t>9.4.2</t>
  </si>
  <si>
    <t>Mechanical Systems</t>
  </si>
  <si>
    <t>9.4.3</t>
  </si>
  <si>
    <t>Electrical Systems</t>
  </si>
  <si>
    <t>9.5</t>
  </si>
  <si>
    <t>Information Technology (IT)</t>
  </si>
  <si>
    <t>9.5.1</t>
  </si>
  <si>
    <t>Desktop Computing</t>
  </si>
  <si>
    <t>9.5.2</t>
  </si>
  <si>
    <t>Telephony &amp; VTC</t>
  </si>
  <si>
    <t>9.5.3</t>
  </si>
  <si>
    <t>Network Distribution</t>
  </si>
  <si>
    <t>9.5.4</t>
  </si>
  <si>
    <t>Network Access</t>
  </si>
  <si>
    <t>9.5.4.1</t>
  </si>
  <si>
    <t>Network Interface Cards</t>
  </si>
  <si>
    <t>9.5.4.2</t>
  </si>
  <si>
    <t>Network Encryption Hardware</t>
  </si>
  <si>
    <t>9.5.4.3</t>
  </si>
  <si>
    <t>9.5.5</t>
  </si>
  <si>
    <t>Firewall</t>
  </si>
  <si>
    <t>9.5.6</t>
  </si>
  <si>
    <t>10.0</t>
  </si>
  <si>
    <t>11.0</t>
  </si>
  <si>
    <t>12.0</t>
  </si>
  <si>
    <t>12.1</t>
  </si>
  <si>
    <t>12.2</t>
  </si>
  <si>
    <t>12.3</t>
  </si>
  <si>
    <t>12.4</t>
  </si>
  <si>
    <t>13.0</t>
  </si>
  <si>
    <t>13.1</t>
  </si>
  <si>
    <t>13.1.1</t>
  </si>
  <si>
    <t>13.1.2</t>
  </si>
  <si>
    <t>13.2</t>
  </si>
  <si>
    <t>13.2.1</t>
  </si>
  <si>
    <t>13.2.2</t>
  </si>
  <si>
    <t>13.2.3</t>
  </si>
  <si>
    <t>13.4.1</t>
  </si>
  <si>
    <t>13.4.2</t>
  </si>
  <si>
    <t>13.9</t>
  </si>
  <si>
    <t>13.11.1</t>
  </si>
  <si>
    <t>13.11.2</t>
  </si>
  <si>
    <t>13.11.3</t>
  </si>
  <si>
    <t>13.11.3.1</t>
  </si>
  <si>
    <t>Facilities Lease</t>
  </si>
  <si>
    <t>13.11.3.2</t>
  </si>
  <si>
    <t>14.0</t>
  </si>
  <si>
    <t>Prime Mission Product (PMP)</t>
  </si>
  <si>
    <t>Hardware Subsystem</t>
  </si>
  <si>
    <t>HWCI 1...95 (Specify Name for HWCI x)</t>
  </si>
  <si>
    <t>System Engineering of Hardware Configuration Items (HWCIs)</t>
  </si>
  <si>
    <t>Program Management of Hardware Configuration Items (HWCIs)</t>
  </si>
  <si>
    <t>Integration, Assembly, &amp; Checkout of subsystem HWCIs 1…95</t>
  </si>
  <si>
    <t>PMP Applications Software</t>
  </si>
  <si>
    <t>Applications Software Build 1 (Specify Name for Build/Spiral)</t>
  </si>
  <si>
    <t>CSCI 1…95 (Specify Name for CSCI)</t>
  </si>
  <si>
    <t>Requirements Analysis</t>
  </si>
  <si>
    <t>Coding and Design Entity Testing</t>
  </si>
  <si>
    <t>Design Entity Integration and Test</t>
  </si>
  <si>
    <t>Configuration Item Testing</t>
  </si>
  <si>
    <t>CSCI COTS Software</t>
  </si>
  <si>
    <t>System Engineering of Applications S/W Build 1 CSCIs 1…95</t>
  </si>
  <si>
    <t>Program Management of Applications S/W Build 1 CSCIs 1…95</t>
  </si>
  <si>
    <t>Integration &amp; Checkout of Applications S/W Build 1 CSCIs 1…95</t>
  </si>
  <si>
    <t>Application Software Builds 2…95 (Specify Name for Build/Spiral)</t>
  </si>
  <si>
    <t>Integration, Assembly, Test &amp; Checkout of All Application S/W Builds</t>
  </si>
  <si>
    <t>PMP Systems Software</t>
  </si>
  <si>
    <t>Systems Software Build 1 (Specify Name for Build/Spiral)</t>
  </si>
  <si>
    <t>System Engineering of System S/W Builds CSCIs 1…95</t>
  </si>
  <si>
    <t>Program Management of System S/W Builds CSCIs 1…95</t>
  </si>
  <si>
    <t>Integration &amp; Checkout of System S/W Builds CSCIs 1…95</t>
  </si>
  <si>
    <t>Systems Software Builds 2…95 (Specify Name for Build/Spiral)</t>
  </si>
  <si>
    <t>Integration, Assembly, Test &amp; Checkout of All System S/W Builds</t>
  </si>
  <si>
    <t>PMP Integration, Assembly, Test &amp; Checkout</t>
  </si>
  <si>
    <t>System Engineering/Program Management</t>
  </si>
  <si>
    <t>Mission Assurance</t>
  </si>
  <si>
    <t>Information Assurance</t>
  </si>
  <si>
    <t>System Integration, Assembly, Test &amp; Checkout</t>
  </si>
  <si>
    <t>4.1</t>
  </si>
  <si>
    <t>D T &amp; E</t>
  </si>
  <si>
    <t>4.2</t>
  </si>
  <si>
    <t>OT &amp; E</t>
  </si>
  <si>
    <t>4.3</t>
  </si>
  <si>
    <t>Test &amp; Eval Support</t>
  </si>
  <si>
    <t>4.4</t>
  </si>
  <si>
    <t>4.5</t>
  </si>
  <si>
    <t>Independent Verification and Validation</t>
  </si>
  <si>
    <t>Bandwidth Lease</t>
  </si>
  <si>
    <t>Initial Spares &amp; Repair Parts</t>
  </si>
  <si>
    <t>Government System Engineering/Program Management</t>
  </si>
  <si>
    <t>Mission Assurance Planning</t>
  </si>
  <si>
    <t>Operations &amp; Support</t>
  </si>
  <si>
    <t>Hardware Maintenance</t>
  </si>
  <si>
    <t>Licenses/Vendor Maintenance Agreements (COTS/GOTS)</t>
  </si>
  <si>
    <t>Spares/Repairs</t>
  </si>
  <si>
    <t>Software Maintenance</t>
  </si>
  <si>
    <t>Custom Software Maintenance</t>
  </si>
  <si>
    <t>Security Testing and Integration</t>
  </si>
  <si>
    <t>13.3</t>
  </si>
  <si>
    <t>Data Maintenance</t>
  </si>
  <si>
    <t>13.4</t>
  </si>
  <si>
    <t>Technical Refresh</t>
  </si>
  <si>
    <t>COTS Software Refresh</t>
  </si>
  <si>
    <t>COTS Hardware Refresh</t>
  </si>
  <si>
    <t>13.5</t>
  </si>
  <si>
    <t>System Security</t>
  </si>
  <si>
    <t>13.6</t>
  </si>
  <si>
    <t>Recurring Training</t>
  </si>
  <si>
    <t>13.7</t>
  </si>
  <si>
    <t>Help Desk</t>
  </si>
  <si>
    <t>13.8</t>
  </si>
  <si>
    <t>Sustaining Engineering and Program Management</t>
  </si>
  <si>
    <t>Mission Assurance Peculiar Activity Support</t>
  </si>
  <si>
    <t>13.11</t>
  </si>
  <si>
    <t>Site Operations</t>
  </si>
  <si>
    <t>Personnel</t>
  </si>
  <si>
    <t>Consumables</t>
  </si>
  <si>
    <t>Infrastructure Maintenance</t>
  </si>
  <si>
    <t>Disposal</t>
  </si>
  <si>
    <t>Macro</t>
  </si>
  <si>
    <t>FYtoDate(Date)</t>
  </si>
  <si>
    <r>
      <t>WeibullPhasing(</t>
    </r>
    <r>
      <rPr>
        <sz val="12"/>
        <color theme="1"/>
        <rFont val="Times New Roman"/>
        <family val="1"/>
      </rPr>
      <t>Start Date, Duration, Cost, Beta, Lambda, Fiscal Year)</t>
    </r>
  </si>
  <si>
    <t>Returns a specified phasing profile based on the modified beta distribution by Richard Whitlock of NASA
Should be based on analogous programs, COSTAT allows a fit of actual data</t>
  </si>
  <si>
    <r>
      <t>DATEtoFYFrac(</t>
    </r>
    <r>
      <rPr>
        <sz val="12"/>
        <color theme="1"/>
        <rFont val="Times New Roman"/>
        <family val="1"/>
      </rPr>
      <t>Date)</t>
    </r>
  </si>
  <si>
    <r>
      <t>DATEtoFYint(</t>
    </r>
    <r>
      <rPr>
        <sz val="12"/>
        <color theme="1"/>
        <rFont val="Times New Roman"/>
        <family val="1"/>
      </rPr>
      <t>Date)</t>
    </r>
  </si>
  <si>
    <t>Date: Jullian style date (i.e. "October 1, 2017")</t>
  </si>
  <si>
    <t>FY: Is fiscal year with fractional years (I.e. 2014.25 is the beginning of 2nd QTR FY2014)</t>
  </si>
  <si>
    <t>IndexCASES(Range, Row Lookup, Column)</t>
  </si>
  <si>
    <t>Looks up the value that corresponds to the Row and column specificied</t>
  </si>
  <si>
    <t>Range: A table that has descriptions in the first row and first column</t>
  </si>
  <si>
    <t>Row Lookup: Value to look up in the first row of Range</t>
  </si>
  <si>
    <t>Column Lookup: Value to lookup in the first Column of Range</t>
  </si>
  <si>
    <t>Estimated Duration of task</t>
  </si>
  <si>
    <t>Estimated Cost of task</t>
  </si>
  <si>
    <t>First Fiscal Year of estimate</t>
  </si>
  <si>
    <t>Shape Phasing parameter</t>
  </si>
  <si>
    <t>Area under the cumulative rayleigh curve that is unused</t>
  </si>
  <si>
    <t>Scale Phasing parameter</t>
  </si>
  <si>
    <t>First Fiscal Year of estimate. Fiscal Year Date in format YYYY.Frac (i.e. 2014.25 reads as 2nd Quarter FY 2014)</t>
  </si>
  <si>
    <t>Estimated Start Date of task. Fiscal Year Date in format YYYY.Frac (i.e. 2014.25 reads as 2nd Quarter FY 2014)</t>
  </si>
  <si>
    <t>Estimated Start Date of taskFiscal Year Date in format YYYY.Frac (i.e. 2014.25 reads as 2nd Quarter FY 2014)</t>
  </si>
  <si>
    <t>Expected StartDate. Fiscal Year Date in format YYYY.Frac (i.e. 2014.25 reads as 2nd Quarter FY 2014)</t>
  </si>
  <si>
    <r>
      <t>Fiscal Year:</t>
    </r>
    <r>
      <rPr>
        <sz val="12"/>
        <color theme="1"/>
        <rFont val="Times New Roman"/>
        <family val="1"/>
      </rPr>
      <t xml:space="preserve"> First Fiscal Year of estimate. Fiscal Year Date in format YYYY.Frac (i.e. 2014.25 reads as 2nd Quarter FY 2014)</t>
    </r>
  </si>
  <si>
    <t>Returns Julian date given a Fiscal Year  (YYYY.Frac).</t>
  </si>
  <si>
    <t>Returns a specified phasing profile based on the Rayleigh distribution.Time phasing functions allow for dynamic phasing of any cost estimate, cost element, or WBS element</t>
  </si>
  <si>
    <t>Returns a specified phasing profile based on the Weibull distribution.Time phasing functions allow for dynamic phasing of any cost estimate, cost element, or WBS element.</t>
  </si>
  <si>
    <t>Returns a specified phasing profile based on the Unifrom distribution.Time phasing functions allow for dynamic phasing of any cost estimate, cost element, or WBS element.</t>
  </si>
  <si>
    <t>Returns a specified phasing profile based on a custom (user defined) distribution. Time phasing functions allow for dynamic phasing of any cost estimate, element, or WBS element.</t>
  </si>
  <si>
    <t>Assigned To</t>
  </si>
  <si>
    <t>APPENDIX</t>
  </si>
  <si>
    <t>WBS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</si>
</sst>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5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_(&quot;$&quot;* #,##0.0_);_(&quot;$&quot;* \(#,##0.0\);_(&quot;$&quot;* &quot;-&quot;??_);_(@_)"/>
    <numFmt numFmtId="166" formatCode="0.0"/>
    <numFmt numFmtId="167" formatCode="_(* #,##0.0000_);_(* \(#,##0.0000\);_(* &quot;-&quot;??_);_(@_)"/>
    <numFmt numFmtId="168" formatCode="[$-409]mmm\-yy;@"/>
    <numFmt numFmtId="169" formatCode="[$-409]mmmm\-yy;@"/>
    <numFmt numFmtId="170" formatCode="[$-409]dd\-mmm\-yy;@"/>
    <numFmt numFmtId="171" formatCode="[$-409]d\-mmm\-yy;@"/>
    <numFmt numFmtId="172" formatCode="#,##0.000"/>
    <numFmt numFmtId="173" formatCode="#,##0.0000"/>
    <numFmt numFmtId="174" formatCode="#,##0.00000"/>
    <numFmt numFmtId="175" formatCode="#,##0.000000"/>
    <numFmt numFmtId="176" formatCode="0.0%"/>
    <numFmt numFmtId="177" formatCode="0.000"/>
    <numFmt numFmtId="178" formatCode="#,##0.0_);[Red]\(#,##0.0\)"/>
    <numFmt numFmtId="179" formatCode="#,##0.000_);[Red]\(#,##0.000\)"/>
    <numFmt numFmtId="180" formatCode="[$-F800]dddd\,\ mmmm\ dd\,\ yyyy"/>
    <numFmt numFmtId="181" formatCode="00\-0000\-00\-0000\-000"/>
    <numFmt numFmtId="182" formatCode="00000"/>
    <numFmt numFmtId="183" formatCode="0.000_)"/>
    <numFmt numFmtId="184" formatCode="_(* #,##0.00_);\(* #,##0.00\);_(* &quot;-&quot;??_);_(@_)"/>
    <numFmt numFmtId="185" formatCode="#."/>
    <numFmt numFmtId="186" formatCode="_-* #,##0.00\ &quot;DM&quot;_-;\-* #,##0.00\ &quot;DM&quot;_-;_-* &quot;-&quot;??\ &quot;DM&quot;_-;_-@_-"/>
    <numFmt numFmtId="187" formatCode="&quot;$&quot;#,##0\ ;\(&quot;$&quot;#,##0\)"/>
    <numFmt numFmtId="188" formatCode=".0"/>
    <numFmt numFmtId="189" formatCode="#&quot;hrs&quot;"/>
    <numFmt numFmtId="190" formatCode="0000"/>
    <numFmt numFmtId="191" formatCode="0.00_)"/>
    <numFmt numFmtId="192" formatCode="0.0_)"/>
    <numFmt numFmtId="193" formatCode="General_)"/>
    <numFmt numFmtId="194" formatCode="&quot;£&quot;#,##0.00;\-&quot;£&quot;#,##0.00"/>
    <numFmt numFmtId="195" formatCode="00\-0000\-00\-0000"/>
    <numFmt numFmtId="196" formatCode="0.0000%"/>
    <numFmt numFmtId="197" formatCode="m/d/yy\ h:mm:ss"/>
    <numFmt numFmtId="198" formatCode="0.00000&quot;  &quot;"/>
    <numFmt numFmtId="199" formatCode="#&quot; Systems&quot;"/>
    <numFmt numFmtId="200" formatCode="0.0000"/>
    <numFmt numFmtId="201" formatCode="###,###,###,###"/>
    <numFmt numFmtId="202" formatCode="_(* #,##0_);_(* \(#,##0\);_(* &quot;-&quot;??_);_(@_)"/>
    <numFmt numFmtId="203" formatCode="###,###,###,###.000"/>
    <numFmt numFmtId="204" formatCode="###,###,###,###.0"/>
    <numFmt numFmtId="205" formatCode="###,###,###,###.00"/>
    <numFmt numFmtId="206" formatCode="0.00000"/>
  </numFmts>
  <fonts count="153">
    <font>
      <sz val="11"/>
      <color theme="1"/>
      <name val="Calibri"/>
      <family val="2"/>
      <scheme val="minor"/>
    </font>
    <font>
      <sz val="11"/>
      <name val="Calibri"/>
      <family val="2"/>
    </font>
    <font>
      <b/>
      <sz val="11"/>
      <color theme="0"/>
      <name val="Calibri"/>
      <family val="2"/>
      <scheme val="minor"/>
    </font>
    <font>
      <sz val="9"/>
      <color indexed="81"/>
      <name val="Tahoma"/>
      <family val="2"/>
    </font>
    <font>
      <b/>
      <sz val="9"/>
      <color indexed="81"/>
      <name val="Tahoma"/>
      <family val="2"/>
    </font>
    <font>
      <sz val="11"/>
      <color theme="0"/>
      <name val="Calibri"/>
      <family val="2"/>
      <scheme val="minor"/>
    </font>
    <font>
      <b/>
      <sz val="11"/>
      <color theme="1"/>
      <name val="Calibri"/>
      <family val="2"/>
      <scheme val="minor"/>
    </font>
    <font>
      <sz val="12"/>
      <color theme="1"/>
      <name val="Times New Roman"/>
      <family val="2"/>
    </font>
    <font>
      <b/>
      <sz val="12"/>
      <color theme="1"/>
      <name val="Times New Roman"/>
      <family val="1"/>
    </font>
    <font>
      <b/>
      <sz val="12"/>
      <name val="Times New Roman"/>
      <family val="1"/>
    </font>
    <font>
      <sz val="12"/>
      <color theme="1"/>
      <name val="Times New Roman"/>
      <family val="1"/>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u/>
      <sz val="11"/>
      <color theme="10"/>
      <name val="Calibri"/>
      <family val="2"/>
      <scheme val="minor"/>
    </font>
    <font>
      <sz val="11"/>
      <color theme="1"/>
      <name val="Times New Roman"/>
      <family val="1"/>
    </font>
    <font>
      <sz val="10"/>
      <name val="Times New Roman"/>
      <family val="1"/>
    </font>
    <font>
      <b/>
      <sz val="11"/>
      <color theme="1"/>
      <name val="Times New Roman"/>
      <family val="1"/>
    </font>
    <font>
      <b/>
      <sz val="24"/>
      <color theme="1"/>
      <name val="Times New Roman"/>
      <family val="1"/>
    </font>
    <font>
      <sz val="10"/>
      <name val="Helv"/>
      <charset val="204"/>
    </font>
    <font>
      <sz val="11"/>
      <name val="Arial"/>
      <family val="1"/>
    </font>
    <font>
      <sz val="10"/>
      <name val="Arial"/>
      <family val="2"/>
    </font>
    <font>
      <b/>
      <sz val="8"/>
      <name val="Arial"/>
      <family val="2"/>
    </font>
    <font>
      <b/>
      <sz val="10"/>
      <color indexed="8"/>
      <name val="Times New Roman"/>
      <family val="1"/>
    </font>
    <font>
      <sz val="10"/>
      <name val="Univers (WN)"/>
    </font>
    <font>
      <sz val="9"/>
      <name val="Arial"/>
      <family val="2"/>
    </font>
    <font>
      <sz val="11"/>
      <color indexed="8"/>
      <name val="Calibri"/>
      <family val="2"/>
    </font>
    <font>
      <sz val="11"/>
      <color theme="1"/>
      <name val="Arial"/>
      <family val="2"/>
    </font>
    <font>
      <sz val="10"/>
      <name val="Helv"/>
    </font>
    <font>
      <sz val="11"/>
      <color indexed="9"/>
      <name val="Calibri"/>
      <family val="2"/>
    </font>
    <font>
      <sz val="11"/>
      <color theme="0"/>
      <name val="Arial"/>
      <family val="2"/>
    </font>
    <font>
      <sz val="8"/>
      <name val="Arial"/>
      <family val="2"/>
    </font>
    <font>
      <sz val="11"/>
      <color indexed="20"/>
      <name val="Calibri"/>
      <family val="2"/>
    </font>
    <font>
      <sz val="11"/>
      <color rgb="FF9C0006"/>
      <name val="Arial"/>
      <family val="2"/>
    </font>
    <font>
      <sz val="12"/>
      <name val="Tms Rmn"/>
    </font>
    <font>
      <b/>
      <sz val="11"/>
      <color indexed="52"/>
      <name val="Calibri"/>
      <family val="2"/>
    </font>
    <font>
      <b/>
      <sz val="11"/>
      <color indexed="10"/>
      <name val="Calibri"/>
      <family val="2"/>
    </font>
    <font>
      <b/>
      <sz val="11"/>
      <color rgb="FFFA7D00"/>
      <name val="Arial"/>
      <family val="2"/>
    </font>
    <font>
      <sz val="11"/>
      <name val="Calibri"/>
      <family val="2"/>
      <scheme val="minor"/>
    </font>
    <font>
      <b/>
      <sz val="11"/>
      <color indexed="9"/>
      <name val="Calibri"/>
      <family val="2"/>
    </font>
    <font>
      <b/>
      <sz val="11"/>
      <color theme="0"/>
      <name val="Arial"/>
      <family val="2"/>
    </font>
    <font>
      <sz val="11"/>
      <name val="Tms Rmn"/>
    </font>
    <font>
      <b/>
      <sz val="9"/>
      <color indexed="8"/>
      <name val="Times New Roman"/>
      <family val="1"/>
    </font>
    <font>
      <sz val="11"/>
      <color indexed="8"/>
      <name val="Arial"/>
      <family val="2"/>
    </font>
    <font>
      <sz val="10"/>
      <color indexed="8"/>
      <name val="Calibri"/>
      <family val="2"/>
    </font>
    <font>
      <sz val="9"/>
      <color indexed="8"/>
      <name val="Arial"/>
      <family val="2"/>
    </font>
    <font>
      <b/>
      <sz val="10"/>
      <name val="Arial"/>
      <family val="2"/>
    </font>
    <font>
      <sz val="10"/>
      <color indexed="8"/>
      <name val="Arial"/>
      <family val="2"/>
    </font>
    <font>
      <sz val="12"/>
      <name val="Arial"/>
      <family val="2"/>
    </font>
    <font>
      <b/>
      <sz val="12"/>
      <color indexed="8"/>
      <name val="Times New Roman"/>
      <family val="1"/>
    </font>
    <font>
      <sz val="10"/>
      <color indexed="24"/>
      <name val="Arial"/>
      <family val="2"/>
    </font>
    <font>
      <sz val="12"/>
      <name val="Helv"/>
    </font>
    <font>
      <sz val="1"/>
      <color indexed="16"/>
      <name val="Courier"/>
      <family val="3"/>
    </font>
    <font>
      <b/>
      <sz val="10"/>
      <name val="Courier"/>
      <family val="3"/>
    </font>
    <font>
      <sz val="12"/>
      <color theme="1"/>
      <name val="Calibri"/>
      <family val="2"/>
      <scheme val="minor"/>
    </font>
    <font>
      <sz val="10"/>
      <color indexed="8"/>
      <name val="MS Sans Serif"/>
      <family val="2"/>
    </font>
    <font>
      <sz val="11"/>
      <color indexed="8"/>
      <name val="Calibri"/>
      <family val="2"/>
      <scheme val="minor"/>
    </font>
    <font>
      <sz val="10"/>
      <name val="MS Sans Serif"/>
      <family val="2"/>
    </font>
    <font>
      <b/>
      <sz val="11"/>
      <color indexed="8"/>
      <name val="Calibri"/>
      <family val="2"/>
    </font>
    <font>
      <i/>
      <sz val="11"/>
      <color indexed="23"/>
      <name val="Calibri"/>
      <family val="2"/>
    </font>
    <font>
      <i/>
      <sz val="11"/>
      <color rgb="FF7F7F7F"/>
      <name val="Arial"/>
      <family val="2"/>
    </font>
    <font>
      <b/>
      <sz val="10"/>
      <name val="Helv"/>
    </font>
    <font>
      <b/>
      <sz val="9"/>
      <name val="Arial"/>
      <family val="2"/>
    </font>
    <font>
      <b/>
      <sz val="9"/>
      <name val="Geneva"/>
      <family val="2"/>
    </font>
    <font>
      <sz val="10"/>
      <color rgb="FF006100"/>
      <name val="Calibri"/>
      <family val="2"/>
      <scheme val="minor"/>
    </font>
    <font>
      <sz val="11"/>
      <color indexed="17"/>
      <name val="Calibri"/>
      <family val="2"/>
    </font>
    <font>
      <sz val="10"/>
      <color indexed="17"/>
      <name val="Arial"/>
      <family val="2"/>
    </font>
    <font>
      <sz val="11"/>
      <color rgb="FF006100"/>
      <name val="Tahoma"/>
      <family val="2"/>
    </font>
    <font>
      <sz val="11"/>
      <color rgb="FF006100"/>
      <name val="Arial"/>
      <family val="2"/>
    </font>
    <font>
      <sz val="11"/>
      <color rgb="FFFFFFFF"/>
      <name val="Calibri"/>
      <family val="2"/>
    </font>
    <font>
      <b/>
      <sz val="12"/>
      <name val="Arial"/>
      <family val="2"/>
    </font>
    <font>
      <b/>
      <sz val="18"/>
      <color indexed="24"/>
      <name val="Arial"/>
      <family val="2"/>
    </font>
    <font>
      <b/>
      <sz val="15"/>
      <color indexed="62"/>
      <name val="Calibri"/>
      <family val="2"/>
    </font>
    <font>
      <b/>
      <sz val="15"/>
      <color indexed="56"/>
      <name val="Calibri"/>
      <family val="2"/>
    </font>
    <font>
      <b/>
      <sz val="18"/>
      <name val="Arial"/>
      <family val="2"/>
    </font>
    <font>
      <b/>
      <sz val="15"/>
      <color theme="3"/>
      <name val="Arial"/>
      <family val="2"/>
    </font>
    <font>
      <b/>
      <sz val="12"/>
      <color indexed="24"/>
      <name val="Arial"/>
      <family val="2"/>
    </font>
    <font>
      <b/>
      <sz val="13"/>
      <color indexed="62"/>
      <name val="Calibri"/>
      <family val="2"/>
    </font>
    <font>
      <b/>
      <sz val="13"/>
      <color indexed="56"/>
      <name val="Calibri"/>
      <family val="2"/>
    </font>
    <font>
      <b/>
      <sz val="13"/>
      <color theme="3"/>
      <name val="Arial"/>
      <family val="2"/>
    </font>
    <font>
      <b/>
      <sz val="11"/>
      <color indexed="56"/>
      <name val="Calibri"/>
      <family val="2"/>
    </font>
    <font>
      <b/>
      <sz val="11"/>
      <color indexed="62"/>
      <name val="Calibri"/>
      <family val="2"/>
    </font>
    <font>
      <b/>
      <sz val="11"/>
      <color theme="3"/>
      <name val="Arial"/>
      <family val="2"/>
    </font>
    <font>
      <b/>
      <sz val="1"/>
      <color indexed="16"/>
      <name val="Courier"/>
      <family val="3"/>
    </font>
    <font>
      <sz val="9"/>
      <name val="Helv"/>
    </font>
    <font>
      <sz val="10"/>
      <name val="Courier New"/>
      <family val="3"/>
    </font>
    <font>
      <u/>
      <sz val="10"/>
      <color theme="10"/>
      <name val="Arial"/>
      <family val="2"/>
    </font>
    <font>
      <u/>
      <sz val="8.5"/>
      <color indexed="12"/>
      <name val="Arial"/>
      <family val="2"/>
    </font>
    <font>
      <u/>
      <sz val="11"/>
      <color theme="10"/>
      <name val="Calibri"/>
      <family val="2"/>
    </font>
    <font>
      <u/>
      <sz val="10"/>
      <color indexed="12"/>
      <name val="Arial"/>
      <family val="2"/>
    </font>
    <font>
      <u/>
      <sz val="9"/>
      <color indexed="12"/>
      <name val="Arial"/>
      <family val="2"/>
    </font>
    <font>
      <sz val="11"/>
      <color indexed="62"/>
      <name val="Calibri"/>
      <family val="2"/>
    </font>
    <font>
      <sz val="11"/>
      <color rgb="FF3F3F76"/>
      <name val="Arial"/>
      <family val="2"/>
    </font>
    <font>
      <sz val="11"/>
      <color indexed="52"/>
      <name val="Calibri"/>
      <family val="2"/>
    </font>
    <font>
      <sz val="11"/>
      <color indexed="10"/>
      <name val="Calibri"/>
      <family val="2"/>
    </font>
    <font>
      <sz val="11"/>
      <color rgb="FFFA7D00"/>
      <name val="Arial"/>
      <family val="2"/>
    </font>
    <font>
      <sz val="11"/>
      <color indexed="60"/>
      <name val="Calibri"/>
      <family val="2"/>
    </font>
    <font>
      <sz val="11"/>
      <color indexed="19"/>
      <name val="Calibri"/>
      <family val="2"/>
    </font>
    <font>
      <sz val="11"/>
      <color rgb="FF9C6500"/>
      <name val="Arial"/>
      <family val="2"/>
    </font>
    <font>
      <b/>
      <i/>
      <sz val="16"/>
      <name val="Helv"/>
    </font>
    <font>
      <sz val="8.5"/>
      <name val="LinePrinter"/>
      <family val="3"/>
    </font>
    <font>
      <sz val="10"/>
      <color theme="1"/>
      <name val="Arial"/>
      <family val="2"/>
    </font>
    <font>
      <sz val="10"/>
      <color theme="1"/>
      <name val="Calibri"/>
      <family val="2"/>
      <scheme val="minor"/>
    </font>
    <font>
      <sz val="8"/>
      <name val="Courier New"/>
      <family val="3"/>
    </font>
    <font>
      <sz val="12"/>
      <name val="Arial MT"/>
    </font>
    <font>
      <sz val="9"/>
      <color theme="1"/>
      <name val="Calibri"/>
      <family val="2"/>
    </font>
    <font>
      <sz val="10"/>
      <name val="Tahoma"/>
      <family val="2"/>
    </font>
    <font>
      <sz val="11"/>
      <name val="Arial"/>
      <family val="2"/>
    </font>
    <font>
      <sz val="11"/>
      <color theme="1"/>
      <name val="Tahoma"/>
      <family val="2"/>
    </font>
    <font>
      <b/>
      <sz val="11"/>
      <color indexed="63"/>
      <name val="Calibri"/>
      <family val="2"/>
    </font>
    <font>
      <b/>
      <sz val="11"/>
      <color rgb="FF3F3F3F"/>
      <name val="Arial"/>
      <family val="2"/>
    </font>
    <font>
      <b/>
      <sz val="10"/>
      <color indexed="8"/>
      <name val="Arial Narrow"/>
      <family val="2"/>
    </font>
    <font>
      <b/>
      <sz val="10"/>
      <name val="MS Sans Serif"/>
      <family val="2"/>
    </font>
    <font>
      <sz val="14"/>
      <name val="Arial"/>
      <family val="2"/>
    </font>
    <font>
      <i/>
      <sz val="10"/>
      <name val="Arial"/>
      <family val="2"/>
    </font>
    <font>
      <sz val="18"/>
      <name val="Arial"/>
      <family val="2"/>
    </font>
    <font>
      <b/>
      <sz val="12"/>
      <color indexed="8"/>
      <name val="Arial"/>
      <family val="2"/>
    </font>
    <font>
      <b/>
      <i/>
      <sz val="12"/>
      <color indexed="8"/>
      <name val="Arial"/>
      <family val="2"/>
    </font>
    <font>
      <sz val="12"/>
      <color indexed="8"/>
      <name val="Tahoma"/>
      <family val="2"/>
    </font>
    <font>
      <b/>
      <sz val="8"/>
      <color indexed="8"/>
      <name val="Arial"/>
      <family val="2"/>
    </font>
    <font>
      <sz val="10"/>
      <color indexed="8"/>
      <name val="Tahoma"/>
      <family val="2"/>
    </font>
    <font>
      <b/>
      <sz val="10"/>
      <color indexed="9"/>
      <name val="Tahoma"/>
      <family val="2"/>
    </font>
    <font>
      <sz val="12"/>
      <color indexed="8"/>
      <name val="Arial"/>
      <family val="2"/>
    </font>
    <font>
      <b/>
      <sz val="12"/>
      <color indexed="9"/>
      <name val="Arial"/>
      <family val="2"/>
    </font>
    <font>
      <b/>
      <sz val="14"/>
      <color indexed="8"/>
      <name val="Arial"/>
      <family val="2"/>
    </font>
    <font>
      <i/>
      <sz val="12"/>
      <color indexed="8"/>
      <name val="Arial"/>
      <family val="2"/>
    </font>
    <font>
      <sz val="8"/>
      <color indexed="8"/>
      <name val="Arial"/>
      <family val="2"/>
    </font>
    <font>
      <b/>
      <sz val="10"/>
      <color indexed="8"/>
      <name val="Tahoma"/>
      <family val="2"/>
    </font>
    <font>
      <b/>
      <sz val="16"/>
      <color indexed="24"/>
      <name val="Tahoma"/>
      <family val="2"/>
    </font>
    <font>
      <sz val="12"/>
      <color indexed="14"/>
      <name val="Arial"/>
      <family val="2"/>
    </font>
    <font>
      <b/>
      <sz val="18"/>
      <color indexed="62"/>
      <name val="Cambria"/>
      <family val="2"/>
    </font>
    <font>
      <sz val="8"/>
      <name val="Times New Roman"/>
      <family val="1"/>
    </font>
    <font>
      <b/>
      <sz val="12"/>
      <name val="Univers (WN)"/>
    </font>
    <font>
      <b/>
      <sz val="18"/>
      <color indexed="56"/>
      <name val="Cambria"/>
      <family val="2"/>
    </font>
    <font>
      <b/>
      <sz val="11"/>
      <color theme="1"/>
      <name val="Arial"/>
      <family val="2"/>
    </font>
    <font>
      <sz val="11"/>
      <color rgb="FFFF0000"/>
      <name val="Arial"/>
      <family val="2"/>
    </font>
    <font>
      <b/>
      <sz val="12"/>
      <color indexed="81"/>
      <name val="Tahoma"/>
      <family val="2"/>
    </font>
    <font>
      <sz val="12"/>
      <color indexed="81"/>
      <name val="Tahoma"/>
      <family val="2"/>
    </font>
    <font>
      <b/>
      <sz val="11"/>
      <color indexed="81"/>
      <name val="Tahoma"/>
      <family val="2"/>
    </font>
    <font>
      <sz val="11"/>
      <color indexed="81"/>
      <name val="Tahoma"/>
      <family val="2"/>
    </font>
    <font>
      <u/>
      <sz val="12"/>
      <color theme="10"/>
      <name val="Times New Roman"/>
      <family val="1"/>
    </font>
    <font>
      <b/>
      <sz val="12"/>
      <color theme="0"/>
      <name val="Times New Roman"/>
      <family val="1"/>
    </font>
  </fonts>
  <fills count="119">
    <fill>
      <patternFill patternType="none"/>
    </fill>
    <fill>
      <patternFill patternType="gray125"/>
    </fill>
    <fill>
      <patternFill patternType="solid">
        <fgColor theme="3"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indexed="6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
      <patternFill patternType="solid">
        <fgColor theme="0" tint="-4.9989318521683403E-2"/>
        <bgColor indexed="64"/>
      </patternFill>
    </fill>
    <fill>
      <patternFill patternType="mediumGray">
        <fgColor indexed="22"/>
        <bgColor indexed="9"/>
      </patternFill>
    </fill>
    <fill>
      <patternFill patternType="solid">
        <fgColor indexed="9"/>
        <bgColor indexed="64"/>
      </patternFill>
    </fill>
    <fill>
      <patternFill patternType="solid">
        <fgColor indexed="31"/>
      </patternFill>
    </fill>
    <fill>
      <patternFill patternType="solid">
        <fgColor indexed="44"/>
      </patternFill>
    </fill>
    <fill>
      <patternFill patternType="solid">
        <fgColor indexed="45"/>
      </patternFill>
    </fill>
    <fill>
      <patternFill patternType="solid">
        <fgColor indexed="29"/>
      </patternFill>
    </fill>
    <fill>
      <patternFill patternType="solid">
        <fgColor indexed="42"/>
      </patternFill>
    </fill>
    <fill>
      <patternFill patternType="solid">
        <fgColor indexed="26"/>
      </patternFill>
    </fill>
    <fill>
      <patternFill patternType="solid">
        <fgColor indexed="46"/>
      </patternFill>
    </fill>
    <fill>
      <patternFill patternType="solid">
        <fgColor indexed="47"/>
      </patternFill>
    </fill>
    <fill>
      <patternFill patternType="solid">
        <fgColor indexed="27"/>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62"/>
      </patternFill>
    </fill>
    <fill>
      <patternFill patternType="solid">
        <fgColor indexed="56"/>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10"/>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patternFill>
    </fill>
    <fill>
      <patternFill patternType="solid">
        <fgColor indexed="55"/>
        <bgColor indexed="55"/>
      </patternFill>
    </fill>
    <fill>
      <patternFill patternType="solid">
        <fgColor indexed="54"/>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rgb="FFEBEBEB"/>
      </patternFill>
    </fill>
    <fill>
      <patternFill patternType="solid">
        <fgColor indexed="22"/>
      </patternFill>
    </fill>
    <fill>
      <patternFill patternType="solid">
        <fgColor indexed="9"/>
      </patternFill>
    </fill>
    <fill>
      <patternFill patternType="solid">
        <fgColor rgb="FF92D050"/>
        <bgColor indexed="64"/>
      </patternFill>
    </fill>
    <fill>
      <patternFill patternType="solid">
        <fgColor indexed="5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rgb="FF5D5D5D"/>
      </patternFill>
    </fill>
    <fill>
      <patternFill patternType="solid">
        <fgColor indexed="60"/>
      </patternFill>
    </fill>
    <fill>
      <patternFill patternType="solid">
        <fgColor rgb="FFFF0000"/>
        <bgColor indexed="64"/>
      </patternFill>
    </fill>
    <fill>
      <patternFill patternType="solid">
        <fgColor rgb="FFFFFF00"/>
        <bgColor indexed="64"/>
      </patternFill>
    </fill>
    <fill>
      <patternFill patternType="solid">
        <fgColor indexed="22"/>
        <bgColor indexed="64"/>
      </patternFill>
    </fill>
    <fill>
      <patternFill patternType="mediumGray">
        <fgColor indexed="22"/>
      </patternFill>
    </fill>
    <fill>
      <patternFill patternType="solid">
        <fgColor indexed="34"/>
        <bgColor indexed="64"/>
      </patternFill>
    </fill>
    <fill>
      <patternFill patternType="solid">
        <fgColor indexed="54"/>
        <bgColor indexed="64"/>
      </patternFill>
    </fill>
    <fill>
      <patternFill patternType="solid">
        <fgColor indexed="62"/>
        <bgColor indexed="64"/>
      </patternFill>
    </fill>
    <fill>
      <patternFill patternType="solid">
        <fgColor indexed="10"/>
        <bgColor indexed="64"/>
      </patternFill>
    </fill>
    <fill>
      <patternFill patternType="solid">
        <fgColor indexed="14"/>
        <bgColor indexed="64"/>
      </patternFill>
    </fill>
    <fill>
      <patternFill patternType="solid">
        <fgColor indexed="47"/>
        <bgColor indexed="64"/>
      </patternFill>
    </fill>
    <fill>
      <patternFill patternType="solid">
        <fgColor indexed="51"/>
        <bgColor indexed="64"/>
      </patternFill>
    </fill>
    <fill>
      <patternFill patternType="solid">
        <fgColor indexed="15"/>
        <bgColor indexed="64"/>
      </patternFill>
    </fill>
    <fill>
      <patternFill patternType="solid">
        <fgColor indexed="21"/>
        <bgColor indexed="64"/>
      </patternFill>
    </fill>
    <fill>
      <patternFill patternType="lightUp">
        <fgColor indexed="48"/>
        <bgColor indexed="44"/>
      </patternFill>
    </fill>
    <fill>
      <patternFill patternType="mediumGray">
        <fgColor indexed="48"/>
        <bgColor indexed="15"/>
      </patternFill>
    </fill>
    <fill>
      <patternFill patternType="solid">
        <fgColor indexed="44"/>
        <bgColor indexed="64"/>
      </patternFill>
    </fill>
    <fill>
      <patternFill patternType="solid">
        <fgColor indexed="23"/>
      </patternFill>
    </fill>
    <fill>
      <patternFill patternType="solid">
        <fgColor indexed="40"/>
      </patternFill>
    </fill>
    <fill>
      <patternFill patternType="solid">
        <fgColor indexed="41"/>
      </patternFill>
    </fill>
    <fill>
      <patternFill patternType="solid">
        <fgColor indexed="26"/>
        <bgColor indexed="64"/>
      </patternFill>
    </fill>
    <fill>
      <patternFill patternType="solid">
        <fgColor indexed="41"/>
        <bgColor indexed="64"/>
      </patternFill>
    </fill>
    <fill>
      <patternFill patternType="solid">
        <fgColor indexed="11"/>
        <bgColor indexed="64"/>
      </patternFill>
    </fill>
    <fill>
      <patternFill patternType="solid">
        <fgColor indexed="20"/>
      </patternFill>
    </fill>
    <fill>
      <patternFill patternType="solid">
        <fgColor indexed="8"/>
        <bgColor indexed="64"/>
      </patternFill>
    </fill>
    <fill>
      <patternFill patternType="solid">
        <fgColor indexed="9"/>
        <bgColor indexed="9"/>
      </patternFill>
    </fill>
    <fill>
      <patternFill patternType="solid">
        <fgColor rgb="FF66FF66"/>
      </patternFill>
    </fill>
    <fill>
      <patternFill patternType="solid">
        <fgColor rgb="FF66FF66"/>
        <bgColor auto="1"/>
      </patternFill>
    </fill>
    <fill>
      <patternFill patternType="solid">
        <fgColor theme="9"/>
        <bgColor indexed="64"/>
      </patternFill>
    </fill>
    <fill>
      <patternFill patternType="mediumGray"/>
    </fill>
    <fill>
      <patternFill patternType="solid">
        <fgColor theme="0" tint="-0.249977111117893"/>
        <bgColor theme="4"/>
      </patternFill>
    </fill>
    <fill>
      <patternFill patternType="solid">
        <fgColor theme="0" tint="-0.249977111117893"/>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
      <left style="thin">
        <color indexed="55"/>
      </left>
      <right style="thin">
        <color indexed="55"/>
      </right>
      <top style="thin">
        <color indexed="55"/>
      </top>
      <bottom style="thin">
        <color indexed="55"/>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double">
        <color indexed="64"/>
      </top>
      <bottom style="double">
        <color indexed="64"/>
      </bottom>
      <diagonal/>
    </border>
    <border>
      <left/>
      <right/>
      <top/>
      <bottom style="medium">
        <color indexed="64"/>
      </bottom>
      <diagonal/>
    </border>
    <border>
      <left/>
      <right/>
      <top style="thin">
        <color rgb="FFFFFFFF"/>
      </top>
      <bottom/>
      <diagonal/>
    </border>
    <border>
      <left/>
      <right/>
      <top style="medium">
        <color indexed="64"/>
      </top>
      <bottom style="medium">
        <color indexed="64"/>
      </bottom>
      <diagonal/>
    </border>
    <border>
      <left/>
      <right/>
      <top/>
      <bottom style="thick">
        <color indexed="56"/>
      </bottom>
      <diagonal/>
    </border>
    <border>
      <left/>
      <right/>
      <top/>
      <bottom style="thick">
        <color indexed="62"/>
      </bottom>
      <diagonal/>
    </border>
    <border>
      <left/>
      <right/>
      <top/>
      <bottom style="thick">
        <color indexed="27"/>
      </bottom>
      <diagonal/>
    </border>
    <border>
      <left/>
      <right/>
      <top/>
      <bottom style="thick">
        <color indexed="22"/>
      </bottom>
      <diagonal/>
    </border>
    <border>
      <left/>
      <right/>
      <top/>
      <bottom style="medium">
        <color indexed="30"/>
      </bottom>
      <diagonal/>
    </border>
    <border>
      <left/>
      <right/>
      <top/>
      <bottom style="medium">
        <color indexed="27"/>
      </bottom>
      <diagonal/>
    </border>
    <border>
      <left style="thin">
        <color indexed="64"/>
      </left>
      <right style="thin">
        <color indexed="64"/>
      </right>
      <top/>
      <bottom style="dotted">
        <color indexed="64"/>
      </bottom>
      <diagonal/>
    </border>
    <border>
      <left/>
      <right/>
      <top/>
      <bottom style="double">
        <color indexed="52"/>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right/>
      <top/>
      <bottom style="thick">
        <color indexed="8"/>
      </bottom>
      <diagonal/>
    </border>
    <border>
      <left/>
      <right style="thick">
        <color indexed="8"/>
      </right>
      <top/>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style="thin">
        <color indexed="8"/>
      </bottom>
      <diagonal/>
    </border>
    <border>
      <left/>
      <right style="thin">
        <color indexed="8"/>
      </right>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48"/>
      </top>
      <bottom style="thin">
        <color indexed="48"/>
      </bottom>
      <diagonal/>
    </border>
    <border>
      <left/>
      <right/>
      <top/>
      <bottom style="double">
        <color indexed="64"/>
      </bottom>
      <diagonal/>
    </border>
    <border>
      <left style="medium">
        <color indexed="64"/>
      </left>
      <right/>
      <top style="thin">
        <color auto="1"/>
      </top>
      <bottom style="thin">
        <color auto="1"/>
      </bottom>
      <diagonal/>
    </border>
    <border>
      <left/>
      <right/>
      <top style="double">
        <color indexed="64"/>
      </top>
      <bottom/>
      <diagonal/>
    </border>
    <border>
      <left/>
      <right/>
      <top style="thin">
        <color indexed="56"/>
      </top>
      <bottom style="double">
        <color indexed="56"/>
      </bottom>
      <diagonal/>
    </border>
    <border>
      <left/>
      <right/>
      <top style="thin">
        <color indexed="62"/>
      </top>
      <bottom style="double">
        <color indexed="62"/>
      </bottom>
      <diagonal/>
    </border>
    <border>
      <left style="thin">
        <color auto="1"/>
      </left>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9075">
    <xf numFmtId="0" fontId="0" fillId="0" borderId="0"/>
    <xf numFmtId="0" fontId="7" fillId="0" borderId="0"/>
    <xf numFmtId="9" fontId="7" fillId="0" borderId="0" applyFont="0" applyFill="0" applyBorder="0" applyAlignment="0" applyProtection="0"/>
    <xf numFmtId="44" fontId="7" fillId="0" borderId="0" applyFont="0" applyFill="0" applyBorder="0" applyAlignment="0" applyProtection="0"/>
    <xf numFmtId="43" fontId="11" fillId="0" borderId="0" applyFont="0" applyFill="0" applyBorder="0" applyAlignment="0" applyProtection="0"/>
    <xf numFmtId="41" fontId="11" fillId="0" borderId="0" applyFont="0" applyFill="0" applyBorder="0" applyAlignment="0" applyProtection="0"/>
    <xf numFmtId="44" fontId="11" fillId="0" borderId="0" applyFont="0" applyFill="0" applyBorder="0" applyAlignment="0" applyProtection="0"/>
    <xf numFmtId="42" fontId="11" fillId="0" borderId="0" applyFont="0" applyFill="0" applyBorder="0" applyAlignment="0" applyProtection="0"/>
    <xf numFmtId="9" fontId="11" fillId="0" borderId="0" applyFont="0" applyFill="0" applyBorder="0" applyAlignment="0" applyProtection="0"/>
    <xf numFmtId="0" fontId="12" fillId="0" borderId="0" applyNumberFormat="0" applyFill="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6" fillId="6" borderId="0" applyNumberFormat="0" applyBorder="0" applyAlignment="0" applyProtection="0"/>
    <xf numFmtId="0" fontId="17" fillId="7" borderId="0" applyNumberFormat="0" applyBorder="0" applyAlignment="0" applyProtection="0"/>
    <xf numFmtId="0" fontId="18" fillId="8" borderId="0" applyNumberFormat="0" applyBorder="0" applyAlignment="0" applyProtection="0"/>
    <xf numFmtId="0" fontId="19" fillId="9" borderId="6" applyNumberFormat="0" applyAlignment="0" applyProtection="0"/>
    <xf numFmtId="0" fontId="20" fillId="10" borderId="7" applyNumberFormat="0" applyAlignment="0" applyProtection="0"/>
    <xf numFmtId="0" fontId="21" fillId="10" borderId="6" applyNumberFormat="0" applyAlignment="0" applyProtection="0"/>
    <xf numFmtId="0" fontId="22" fillId="0" borderId="8" applyNumberFormat="0" applyFill="0" applyAlignment="0" applyProtection="0"/>
    <xf numFmtId="0" fontId="2" fillId="11" borderId="9" applyNumberFormat="0" applyAlignment="0" applyProtection="0"/>
    <xf numFmtId="0" fontId="23" fillId="0" borderId="0" applyNumberFormat="0" applyFill="0" applyBorder="0" applyAlignment="0" applyProtection="0"/>
    <xf numFmtId="0" fontId="11" fillId="12" borderId="10" applyNumberFormat="0" applyFont="0" applyAlignment="0" applyProtection="0"/>
    <xf numFmtId="0" fontId="24" fillId="0" borderId="0" applyNumberFormat="0" applyFill="0" applyBorder="0" applyAlignment="0" applyProtection="0"/>
    <xf numFmtId="0" fontId="6" fillId="0" borderId="11" applyNumberFormat="0" applyFill="0" applyAlignment="0" applyProtection="0"/>
    <xf numFmtId="0" fontId="5"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11" fillId="26" borderId="0" applyNumberFormat="0" applyBorder="0" applyAlignment="0" applyProtection="0"/>
    <xf numFmtId="0" fontId="11" fillId="27" borderId="0" applyNumberFormat="0" applyBorder="0" applyAlignment="0" applyProtection="0"/>
    <xf numFmtId="0" fontId="5" fillId="28" borderId="0" applyNumberFormat="0" applyBorder="0" applyAlignment="0" applyProtection="0"/>
    <xf numFmtId="0" fontId="5" fillId="29" borderId="0" applyNumberFormat="0" applyBorder="0" applyAlignment="0" applyProtection="0"/>
    <xf numFmtId="0" fontId="11" fillId="30" borderId="0" applyNumberFormat="0" applyBorder="0" applyAlignment="0" applyProtection="0"/>
    <xf numFmtId="0" fontId="11" fillId="31" borderId="0" applyNumberFormat="0" applyBorder="0" applyAlignment="0" applyProtection="0"/>
    <xf numFmtId="0" fontId="5" fillId="32" borderId="0" applyNumberFormat="0" applyBorder="0" applyAlignment="0" applyProtection="0"/>
    <xf numFmtId="0" fontId="5" fillId="33" borderId="0" applyNumberFormat="0" applyBorder="0" applyAlignment="0" applyProtection="0"/>
    <xf numFmtId="0" fontId="11" fillId="34" borderId="0" applyNumberFormat="0" applyBorder="0" applyAlignment="0" applyProtection="0"/>
    <xf numFmtId="0" fontId="11" fillId="35" borderId="0" applyNumberFormat="0" applyBorder="0" applyAlignment="0" applyProtection="0"/>
    <xf numFmtId="0" fontId="5" fillId="36" borderId="0" applyNumberFormat="0" applyBorder="0" applyAlignment="0" applyProtection="0"/>
    <xf numFmtId="0" fontId="25" fillId="0" borderId="0" applyNumberFormat="0" applyFill="0" applyBorder="0" applyAlignment="0" applyProtection="0"/>
    <xf numFmtId="43" fontId="11" fillId="0" borderId="0" applyFont="0" applyFill="0" applyBorder="0" applyAlignment="0" applyProtection="0"/>
    <xf numFmtId="0" fontId="30" fillId="0" borderId="0"/>
    <xf numFmtId="38" fontId="31" fillId="0" borderId="0" applyProtection="0"/>
    <xf numFmtId="168" fontId="32" fillId="0" borderId="0"/>
    <xf numFmtId="169" fontId="32" fillId="0" borderId="0"/>
    <xf numFmtId="169" fontId="32" fillId="0" borderId="0"/>
    <xf numFmtId="170" fontId="32" fillId="0" borderId="0"/>
    <xf numFmtId="168" fontId="32" fillId="0" borderId="0"/>
    <xf numFmtId="169" fontId="32" fillId="0" borderId="0"/>
    <xf numFmtId="168" fontId="32" fillId="0" borderId="0"/>
    <xf numFmtId="169" fontId="32" fillId="0" borderId="0"/>
    <xf numFmtId="169" fontId="32" fillId="0" borderId="0"/>
    <xf numFmtId="170"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38" fontId="31" fillId="0" borderId="0" applyProtection="0"/>
    <xf numFmtId="38" fontId="31" fillId="0" borderId="0" applyProtection="0"/>
    <xf numFmtId="38" fontId="31" fillId="0" borderId="0" applyProtection="0"/>
    <xf numFmtId="38" fontId="31" fillId="0" borderId="0" applyProtection="0"/>
    <xf numFmtId="168" fontId="32" fillId="0" borderId="0"/>
    <xf numFmtId="168" fontId="32" fillId="0" borderId="0"/>
    <xf numFmtId="169" fontId="32" fillId="0" borderId="0"/>
    <xf numFmtId="38" fontId="31" fillId="0" borderId="0" applyProtection="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38" fontId="31" fillId="0" borderId="0" applyProtection="0"/>
    <xf numFmtId="38" fontId="31" fillId="0" borderId="0" applyProtection="0"/>
    <xf numFmtId="38" fontId="31" fillId="0" borderId="0" applyProtection="0"/>
    <xf numFmtId="38" fontId="31" fillId="0" borderId="0" applyProtection="0"/>
    <xf numFmtId="38" fontId="31" fillId="0" borderId="0" applyProtection="0"/>
    <xf numFmtId="38" fontId="31" fillId="0" borderId="0" applyProtection="0"/>
    <xf numFmtId="168" fontId="32" fillId="0" borderId="0"/>
    <xf numFmtId="168" fontId="32" fillId="0" borderId="0"/>
    <xf numFmtId="169" fontId="32" fillId="0" borderId="0"/>
    <xf numFmtId="38" fontId="31" fillId="0" borderId="0" applyProtection="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38" fontId="31" fillId="0" borderId="0" applyProtection="0"/>
    <xf numFmtId="38" fontId="31" fillId="0" borderId="0" applyProtection="0"/>
    <xf numFmtId="38" fontId="31" fillId="0" borderId="0" applyProtection="0"/>
    <xf numFmtId="38" fontId="31" fillId="0" borderId="0" applyProtection="0"/>
    <xf numFmtId="169" fontId="32" fillId="0" borderId="0"/>
    <xf numFmtId="169" fontId="32" fillId="0" borderId="0"/>
    <xf numFmtId="170" fontId="32" fillId="0" borderId="0"/>
    <xf numFmtId="38" fontId="31" fillId="0" borderId="0" applyProtection="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38" fontId="31" fillId="0" borderId="0" applyProtection="0"/>
    <xf numFmtId="169" fontId="32" fillId="0" borderId="0"/>
    <xf numFmtId="169" fontId="32" fillId="0" borderId="0"/>
    <xf numFmtId="170" fontId="32" fillId="0" borderId="0"/>
    <xf numFmtId="38" fontId="31" fillId="0" borderId="0" applyProtection="0"/>
    <xf numFmtId="169" fontId="32" fillId="0" borderId="0"/>
    <xf numFmtId="169" fontId="32" fillId="0" borderId="0"/>
    <xf numFmtId="170" fontId="32" fillId="0" borderId="0"/>
    <xf numFmtId="168" fontId="32" fillId="0" borderId="0"/>
    <xf numFmtId="169" fontId="32" fillId="0" borderId="0"/>
    <xf numFmtId="169" fontId="32" fillId="0" borderId="0"/>
    <xf numFmtId="170" fontId="32" fillId="0" borderId="0"/>
    <xf numFmtId="168" fontId="32" fillId="0" borderId="0"/>
    <xf numFmtId="169" fontId="32" fillId="0" borderId="0"/>
    <xf numFmtId="168" fontId="32" fillId="0" borderId="0"/>
    <xf numFmtId="38" fontId="31" fillId="0" borderId="0" applyProtection="0"/>
    <xf numFmtId="168" fontId="32" fillId="0" borderId="0"/>
    <xf numFmtId="169" fontId="32" fillId="0" borderId="0"/>
    <xf numFmtId="168" fontId="32" fillId="0" borderId="0"/>
    <xf numFmtId="38" fontId="31" fillId="0" borderId="0" applyProtection="0"/>
    <xf numFmtId="168" fontId="32" fillId="0" borderId="0"/>
    <xf numFmtId="169" fontId="32" fillId="0" borderId="0"/>
    <xf numFmtId="0" fontId="33" fillId="39" borderId="0"/>
    <xf numFmtId="169" fontId="33" fillId="39" borderId="0"/>
    <xf numFmtId="169" fontId="33" fillId="39" borderId="0"/>
    <xf numFmtId="170" fontId="33" fillId="39" borderId="0"/>
    <xf numFmtId="0" fontId="33" fillId="39" borderId="0"/>
    <xf numFmtId="169" fontId="33" fillId="39" borderId="0"/>
    <xf numFmtId="0"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1"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1" fontId="34" fillId="40" borderId="15">
      <alignment horizontal="left"/>
    </xf>
    <xf numFmtId="166" fontId="35" fillId="0" borderId="0"/>
    <xf numFmtId="172" fontId="32" fillId="0" borderId="0" applyFont="0" applyFill="0" applyBorder="0" applyAlignment="0" applyProtection="0"/>
    <xf numFmtId="172" fontId="32" fillId="0" borderId="0" applyFont="0" applyFill="0" applyBorder="0" applyAlignment="0" applyProtection="0"/>
    <xf numFmtId="172" fontId="32" fillId="0" borderId="0" applyFont="0" applyFill="0" applyBorder="0" applyAlignment="0" applyProtection="0"/>
    <xf numFmtId="172" fontId="32" fillId="0" borderId="0" applyFont="0" applyFill="0" applyBorder="0" applyAlignment="0" applyProtection="0"/>
    <xf numFmtId="172" fontId="32" fillId="0" borderId="0" applyFont="0" applyFill="0" applyBorder="0" applyAlignment="0" applyProtection="0"/>
    <xf numFmtId="173" fontId="32" fillId="0" borderId="0" applyFont="0" applyFill="0" applyBorder="0" applyAlignment="0" applyProtection="0"/>
    <xf numFmtId="173" fontId="32" fillId="0" borderId="0" applyFont="0" applyFill="0" applyBorder="0" applyAlignment="0" applyProtection="0"/>
    <xf numFmtId="173" fontId="32" fillId="0" borderId="0" applyFont="0" applyFill="0" applyBorder="0" applyAlignment="0" applyProtection="0"/>
    <xf numFmtId="173" fontId="32" fillId="0" borderId="0" applyFont="0" applyFill="0" applyBorder="0" applyAlignment="0" applyProtection="0"/>
    <xf numFmtId="173" fontId="32" fillId="0" borderId="0" applyFont="0" applyFill="0" applyBorder="0" applyAlignment="0" applyProtection="0"/>
    <xf numFmtId="174" fontId="32" fillId="0" borderId="0" applyFont="0" applyFill="0" applyBorder="0" applyAlignment="0" applyProtection="0"/>
    <xf numFmtId="174" fontId="32" fillId="0" borderId="0" applyFont="0" applyFill="0" applyBorder="0" applyAlignment="0" applyProtection="0"/>
    <xf numFmtId="174" fontId="32" fillId="0" borderId="0" applyFont="0" applyFill="0" applyBorder="0" applyAlignment="0" applyProtection="0"/>
    <xf numFmtId="174" fontId="32" fillId="0" borderId="0" applyFont="0" applyFill="0" applyBorder="0" applyAlignment="0" applyProtection="0"/>
    <xf numFmtId="174" fontId="32" fillId="0" borderId="0" applyFont="0" applyFill="0" applyBorder="0" applyAlignment="0" applyProtection="0"/>
    <xf numFmtId="175" fontId="32" fillId="0" borderId="0" applyFont="0" applyFill="0" applyBorder="0" applyAlignment="0" applyProtection="0"/>
    <xf numFmtId="175" fontId="32" fillId="0" borderId="0" applyFont="0" applyFill="0" applyBorder="0" applyAlignment="0" applyProtection="0"/>
    <xf numFmtId="175" fontId="32" fillId="0" borderId="0" applyFont="0" applyFill="0" applyBorder="0" applyAlignment="0" applyProtection="0"/>
    <xf numFmtId="175" fontId="32" fillId="0" borderId="0" applyFont="0" applyFill="0" applyBorder="0" applyAlignment="0" applyProtection="0"/>
    <xf numFmtId="175" fontId="32" fillId="0" borderId="0" applyFont="0" applyFill="0" applyBorder="0" applyAlignment="0" applyProtection="0"/>
    <xf numFmtId="166" fontId="32" fillId="0" borderId="0" applyFont="0" applyFill="0" applyBorder="0" applyAlignment="0" applyProtection="0"/>
    <xf numFmtId="166" fontId="32" fillId="0" borderId="0" applyFont="0" applyFill="0" applyBorder="0" applyAlignment="0" applyProtection="0"/>
    <xf numFmtId="166" fontId="32" fillId="0" borderId="0" applyFont="0" applyFill="0" applyBorder="0" applyAlignment="0" applyProtection="0"/>
    <xf numFmtId="166" fontId="32" fillId="0" borderId="0" applyFont="0" applyFill="0" applyBorder="0" applyAlignment="0" applyProtection="0"/>
    <xf numFmtId="166" fontId="32" fillId="0" borderId="0" applyFont="0" applyFill="0" applyBorder="0" applyAlignment="0" applyProtection="0"/>
    <xf numFmtId="176" fontId="32" fillId="0" borderId="0" applyFont="0" applyFill="0" applyBorder="0" applyAlignment="0" applyProtection="0"/>
    <xf numFmtId="176" fontId="32" fillId="0" borderId="0" applyFont="0" applyFill="0" applyBorder="0" applyAlignment="0" applyProtection="0"/>
    <xf numFmtId="176" fontId="32" fillId="0" borderId="0" applyFont="0" applyFill="0" applyBorder="0" applyAlignment="0" applyProtection="0"/>
    <xf numFmtId="176" fontId="32" fillId="0" borderId="0" applyFont="0" applyFill="0" applyBorder="0" applyAlignment="0" applyProtection="0"/>
    <xf numFmtId="176"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9" fontId="32" fillId="0" borderId="0" applyFont="0" applyFill="0" applyBorder="0" applyAlignment="0" applyProtection="0"/>
    <xf numFmtId="179" fontId="32" fillId="0" borderId="0" applyFont="0" applyFill="0" applyBorder="0" applyAlignment="0" applyProtection="0"/>
    <xf numFmtId="179" fontId="32" fillId="0" borderId="0" applyFont="0" applyFill="0" applyBorder="0" applyAlignment="0" applyProtection="0"/>
    <xf numFmtId="179" fontId="32" fillId="0" borderId="0" applyFont="0" applyFill="0" applyBorder="0" applyAlignment="0" applyProtection="0"/>
    <xf numFmtId="179" fontId="32" fillId="0" borderId="0" applyFont="0" applyFill="0" applyBorder="0" applyAlignment="0" applyProtection="0"/>
    <xf numFmtId="0" fontId="32" fillId="0" borderId="0"/>
    <xf numFmtId="0" fontId="32" fillId="0" borderId="0"/>
    <xf numFmtId="0" fontId="32" fillId="0" borderId="0"/>
    <xf numFmtId="0" fontId="32" fillId="0" borderId="0"/>
    <xf numFmtId="1" fontId="36" fillId="0" borderId="0">
      <alignment horizontal="center" vertical="center" wrapText="1"/>
    </xf>
    <xf numFmtId="0" fontId="37" fillId="4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168" fontId="37" fillId="42" borderId="0" applyNumberFormat="0" applyBorder="0" applyAlignment="0" applyProtection="0"/>
    <xf numFmtId="0" fontId="11" fillId="14" borderId="0" applyNumberFormat="0" applyBorder="0" applyAlignment="0" applyProtection="0"/>
    <xf numFmtId="17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11" fillId="14"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11" fillId="14"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180" fontId="11" fillId="14"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11" fillId="14"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168" fontId="37" fillId="42" borderId="0" applyNumberFormat="0" applyBorder="0" applyAlignment="0" applyProtection="0"/>
    <xf numFmtId="0" fontId="37" fillId="42"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8" fillId="14" borderId="0" applyNumberFormat="0" applyBorder="0" applyAlignment="0" applyProtection="0"/>
    <xf numFmtId="168" fontId="37" fillId="42" borderId="0" applyNumberFormat="0" applyBorder="0" applyAlignment="0" applyProtection="0"/>
    <xf numFmtId="0" fontId="38" fillId="14" borderId="0" applyNumberFormat="0" applyBorder="0" applyAlignment="0" applyProtection="0"/>
    <xf numFmtId="0" fontId="38" fillId="14" borderId="0" applyNumberFormat="0" applyBorder="0" applyAlignment="0" applyProtection="0"/>
    <xf numFmtId="168" fontId="37" fillId="42" borderId="0" applyNumberFormat="0" applyBorder="0" applyAlignment="0" applyProtection="0"/>
    <xf numFmtId="0" fontId="37" fillId="42" borderId="0" applyNumberFormat="0" applyBorder="0" applyAlignment="0" applyProtection="0"/>
    <xf numFmtId="0" fontId="38" fillId="14" borderId="0" applyNumberFormat="0" applyBorder="0" applyAlignment="0" applyProtection="0"/>
    <xf numFmtId="0" fontId="38" fillId="14" borderId="0" applyNumberFormat="0" applyBorder="0" applyAlignment="0" applyProtection="0"/>
    <xf numFmtId="0" fontId="38" fillId="14" borderId="0" applyNumberFormat="0" applyBorder="0" applyAlignment="0" applyProtection="0"/>
    <xf numFmtId="168" fontId="37" fillId="42" borderId="0" applyNumberFormat="0" applyBorder="0" applyAlignment="0" applyProtection="0"/>
    <xf numFmtId="0" fontId="37" fillId="42"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168" fontId="37" fillId="44" borderId="0" applyNumberFormat="0" applyBorder="0" applyAlignment="0" applyProtection="0"/>
    <xf numFmtId="0" fontId="11" fillId="18" borderId="0" applyNumberFormat="0" applyBorder="0" applyAlignment="0" applyProtection="0"/>
    <xf numFmtId="17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11" fillId="18"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11" fillId="18"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180" fontId="11" fillId="18"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11" fillId="18"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168" fontId="37" fillId="44" borderId="0" applyNumberFormat="0" applyBorder="0" applyAlignment="0" applyProtection="0"/>
    <xf numFmtId="0" fontId="37" fillId="44"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8" fillId="18" borderId="0" applyNumberFormat="0" applyBorder="0" applyAlignment="0" applyProtection="0"/>
    <xf numFmtId="168" fontId="37" fillId="44"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168" fontId="37" fillId="44" borderId="0" applyNumberFormat="0" applyBorder="0" applyAlignment="0" applyProtection="0"/>
    <xf numFmtId="0" fontId="37" fillId="44"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168" fontId="37" fillId="44"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168" fontId="37" fillId="46" borderId="0" applyNumberFormat="0" applyBorder="0" applyAlignment="0" applyProtection="0"/>
    <xf numFmtId="0" fontId="11" fillId="22" borderId="0" applyNumberFormat="0" applyBorder="0" applyAlignment="0" applyProtection="0"/>
    <xf numFmtId="17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11" fillId="22"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11" fillId="22"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180" fontId="11" fillId="22"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11" fillId="22"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8" fillId="22" borderId="0" applyNumberFormat="0" applyBorder="0" applyAlignment="0" applyProtection="0"/>
    <xf numFmtId="168" fontId="37" fillId="46" borderId="0" applyNumberFormat="0" applyBorder="0" applyAlignment="0" applyProtection="0"/>
    <xf numFmtId="0" fontId="38" fillId="22" borderId="0" applyNumberFormat="0" applyBorder="0" applyAlignment="0" applyProtection="0"/>
    <xf numFmtId="0" fontId="38" fillId="22"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8" fillId="22" borderId="0" applyNumberFormat="0" applyBorder="0" applyAlignment="0" applyProtection="0"/>
    <xf numFmtId="0" fontId="38" fillId="22" borderId="0" applyNumberFormat="0" applyBorder="0" applyAlignment="0" applyProtection="0"/>
    <xf numFmtId="0" fontId="38" fillId="22"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168" fontId="37" fillId="48" borderId="0" applyNumberFormat="0" applyBorder="0" applyAlignment="0" applyProtection="0"/>
    <xf numFmtId="0" fontId="11" fillId="26" borderId="0" applyNumberFormat="0" applyBorder="0" applyAlignment="0" applyProtection="0"/>
    <xf numFmtId="17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11" fillId="26"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11" fillId="26"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180" fontId="11" fillId="26"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11" fillId="26"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168" fontId="37" fillId="48" borderId="0" applyNumberFormat="0" applyBorder="0" applyAlignment="0" applyProtection="0"/>
    <xf numFmtId="0" fontId="37" fillId="48"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8" fillId="26" borderId="0" applyNumberFormat="0" applyBorder="0" applyAlignment="0" applyProtection="0"/>
    <xf numFmtId="168" fontId="37" fillId="48" borderId="0" applyNumberFormat="0" applyBorder="0" applyAlignment="0" applyProtection="0"/>
    <xf numFmtId="0" fontId="38" fillId="26" borderId="0" applyNumberFormat="0" applyBorder="0" applyAlignment="0" applyProtection="0"/>
    <xf numFmtId="0" fontId="38" fillId="26" borderId="0" applyNumberFormat="0" applyBorder="0" applyAlignment="0" applyProtection="0"/>
    <xf numFmtId="168" fontId="37" fillId="48" borderId="0" applyNumberFormat="0" applyBorder="0" applyAlignment="0" applyProtection="0"/>
    <xf numFmtId="0" fontId="37" fillId="48" borderId="0" applyNumberFormat="0" applyBorder="0" applyAlignment="0" applyProtection="0"/>
    <xf numFmtId="0" fontId="38" fillId="26" borderId="0" applyNumberFormat="0" applyBorder="0" applyAlignment="0" applyProtection="0"/>
    <xf numFmtId="0" fontId="38" fillId="26" borderId="0" applyNumberFormat="0" applyBorder="0" applyAlignment="0" applyProtection="0"/>
    <xf numFmtId="0" fontId="38" fillId="26" borderId="0" applyNumberFormat="0" applyBorder="0" applyAlignment="0" applyProtection="0"/>
    <xf numFmtId="168" fontId="37" fillId="48" borderId="0" applyNumberFormat="0" applyBorder="0" applyAlignment="0" applyProtection="0"/>
    <xf numFmtId="0" fontId="37" fillId="48"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168" fontId="37" fillId="49" borderId="0" applyNumberFormat="0" applyBorder="0" applyAlignment="0" applyProtection="0"/>
    <xf numFmtId="0" fontId="11" fillId="30" borderId="0" applyNumberFormat="0" applyBorder="0" applyAlignment="0" applyProtection="0"/>
    <xf numFmtId="17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169" fontId="37" fillId="49" borderId="0" applyNumberFormat="0" applyBorder="0" applyAlignment="0" applyProtection="0"/>
    <xf numFmtId="0" fontId="11" fillId="30"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11" fillId="30"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180" fontId="11" fillId="30"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11" fillId="30"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8" fillId="30" borderId="0" applyNumberFormat="0" applyBorder="0" applyAlignment="0" applyProtection="0"/>
    <xf numFmtId="168" fontId="37" fillId="49" borderId="0" applyNumberFormat="0" applyBorder="0" applyAlignment="0" applyProtection="0"/>
    <xf numFmtId="0" fontId="38" fillId="30" borderId="0" applyNumberFormat="0" applyBorder="0" applyAlignment="0" applyProtection="0"/>
    <xf numFmtId="0" fontId="38" fillId="30"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8" fillId="30" borderId="0" applyNumberFormat="0" applyBorder="0" applyAlignment="0" applyProtection="0"/>
    <xf numFmtId="0" fontId="38" fillId="30" borderId="0" applyNumberFormat="0" applyBorder="0" applyAlignment="0" applyProtection="0"/>
    <xf numFmtId="0" fontId="38" fillId="30"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7" fillId="48"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168" fontId="37" fillId="46" borderId="0" applyNumberFormat="0" applyBorder="0" applyAlignment="0" applyProtection="0"/>
    <xf numFmtId="0" fontId="11" fillId="34" borderId="0" applyNumberFormat="0" applyBorder="0" applyAlignment="0" applyProtection="0"/>
    <xf numFmtId="17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6" borderId="0" applyNumberFormat="0" applyBorder="0" applyAlignment="0" applyProtection="0"/>
    <xf numFmtId="0" fontId="11" fillId="34" borderId="0" applyNumberFormat="0" applyBorder="0" applyAlignment="0" applyProtection="0"/>
    <xf numFmtId="0" fontId="37" fillId="48" borderId="0" applyNumberFormat="0" applyBorder="0" applyAlignment="0" applyProtection="0"/>
    <xf numFmtId="0" fontId="37" fillId="46" borderId="0" applyNumberFormat="0" applyBorder="0" applyAlignment="0" applyProtection="0"/>
    <xf numFmtId="0" fontId="11" fillId="34"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180" fontId="11" fillId="34"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6" borderId="0" applyNumberFormat="0" applyBorder="0" applyAlignment="0" applyProtection="0"/>
    <xf numFmtId="0" fontId="11" fillId="34"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8" fillId="34" borderId="0" applyNumberFormat="0" applyBorder="0" applyAlignment="0" applyProtection="0"/>
    <xf numFmtId="168" fontId="37" fillId="46"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2" fontId="39" fillId="0" borderId="0"/>
    <xf numFmtId="177" fontId="39" fillId="0" borderId="0">
      <alignment horizontal="center"/>
    </xf>
    <xf numFmtId="0" fontId="37" fillId="42"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168" fontId="37" fillId="49"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37" fillId="42"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37" fillId="49"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37" fillId="42" borderId="0" applyNumberFormat="0" applyBorder="0" applyAlignment="0" applyProtection="0"/>
    <xf numFmtId="0" fontId="37" fillId="49" borderId="0" applyNumberFormat="0" applyBorder="0" applyAlignment="0" applyProtection="0"/>
    <xf numFmtId="0" fontId="11" fillId="15"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180" fontId="11" fillId="15"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9" borderId="0" applyNumberFormat="0" applyBorder="0" applyAlignment="0" applyProtection="0"/>
    <xf numFmtId="0" fontId="11" fillId="15"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8" fillId="15" borderId="0" applyNumberFormat="0" applyBorder="0" applyAlignment="0" applyProtection="0"/>
    <xf numFmtId="168" fontId="37" fillId="49"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168" fontId="37" fillId="44" borderId="0" applyNumberFormat="0" applyBorder="0" applyAlignment="0" applyProtection="0"/>
    <xf numFmtId="0" fontId="11" fillId="19" borderId="0" applyNumberFormat="0" applyBorder="0" applyAlignment="0" applyProtection="0"/>
    <xf numFmtId="17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169" fontId="37" fillId="44" borderId="0" applyNumberFormat="0" applyBorder="0" applyAlignment="0" applyProtection="0"/>
    <xf numFmtId="0" fontId="11" fillId="1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11" fillId="1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180" fontId="11" fillId="1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11" fillId="1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168"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8" fillId="19" borderId="0" applyNumberFormat="0" applyBorder="0" applyAlignment="0" applyProtection="0"/>
    <xf numFmtId="168" fontId="37" fillId="44"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168" fontId="37" fillId="44" borderId="0" applyNumberFormat="0" applyBorder="0" applyAlignment="0" applyProtection="0"/>
    <xf numFmtId="0" fontId="37" fillId="44"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168" fontId="37" fillId="44" borderId="0" applyNumberFormat="0" applyBorder="0" applyAlignment="0" applyProtection="0"/>
    <xf numFmtId="0" fontId="37" fillId="44" borderId="0" applyNumberFormat="0" applyBorder="0" applyAlignment="0" applyProtection="0"/>
    <xf numFmtId="0" fontId="37" fillId="50"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168" fontId="37" fillId="51" borderId="0" applyNumberFormat="0" applyBorder="0" applyAlignment="0" applyProtection="0"/>
    <xf numFmtId="0" fontId="11" fillId="23" borderId="0" applyNumberFormat="0" applyBorder="0" applyAlignment="0" applyProtection="0"/>
    <xf numFmtId="17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1" borderId="0" applyNumberFormat="0" applyBorder="0" applyAlignment="0" applyProtection="0"/>
    <xf numFmtId="0" fontId="11" fillId="23" borderId="0" applyNumberFormat="0" applyBorder="0" applyAlignment="0" applyProtection="0"/>
    <xf numFmtId="0" fontId="37" fillId="50" borderId="0" applyNumberFormat="0" applyBorder="0" applyAlignment="0" applyProtection="0"/>
    <xf numFmtId="0" fontId="37" fillId="51" borderId="0" applyNumberFormat="0" applyBorder="0" applyAlignment="0" applyProtection="0"/>
    <xf numFmtId="0" fontId="11" fillId="23"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180" fontId="11" fillId="23"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1" borderId="0" applyNumberFormat="0" applyBorder="0" applyAlignment="0" applyProtection="0"/>
    <xf numFmtId="0" fontId="11" fillId="23"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168" fontId="37" fillId="51" borderId="0" applyNumberFormat="0" applyBorder="0" applyAlignment="0" applyProtection="0"/>
    <xf numFmtId="0" fontId="37" fillId="51"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8" fillId="23" borderId="0" applyNumberFormat="0" applyBorder="0" applyAlignment="0" applyProtection="0"/>
    <xf numFmtId="168" fontId="37" fillId="51"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168" fontId="37" fillId="51" borderId="0" applyNumberFormat="0" applyBorder="0" applyAlignment="0" applyProtection="0"/>
    <xf numFmtId="0" fontId="37" fillId="51"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168" fontId="37" fillId="51" borderId="0" applyNumberFormat="0" applyBorder="0" applyAlignment="0" applyProtection="0"/>
    <xf numFmtId="0" fontId="37" fillId="51" borderId="0" applyNumberFormat="0" applyBorder="0" applyAlignment="0" applyProtection="0"/>
    <xf numFmtId="0" fontId="37" fillId="47"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168" fontId="37" fillId="43" borderId="0" applyNumberFormat="0" applyBorder="0" applyAlignment="0" applyProtection="0"/>
    <xf numFmtId="0" fontId="11" fillId="27" borderId="0" applyNumberFormat="0" applyBorder="0" applyAlignment="0" applyProtection="0"/>
    <xf numFmtId="17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3" borderId="0" applyNumberFormat="0" applyBorder="0" applyAlignment="0" applyProtection="0"/>
    <xf numFmtId="0" fontId="11" fillId="27" borderId="0" applyNumberFormat="0" applyBorder="0" applyAlignment="0" applyProtection="0"/>
    <xf numFmtId="0" fontId="37" fillId="47" borderId="0" applyNumberFormat="0" applyBorder="0" applyAlignment="0" applyProtection="0"/>
    <xf numFmtId="0" fontId="37" fillId="43" borderId="0" applyNumberFormat="0" applyBorder="0" applyAlignment="0" applyProtection="0"/>
    <xf numFmtId="0" fontId="11" fillId="2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180" fontId="11" fillId="2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3" borderId="0" applyNumberFormat="0" applyBorder="0" applyAlignment="0" applyProtection="0"/>
    <xf numFmtId="0" fontId="11" fillId="2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168" fontId="37" fillId="43" borderId="0" applyNumberFormat="0" applyBorder="0" applyAlignment="0" applyProtection="0"/>
    <xf numFmtId="0" fontId="37" fillId="43"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8" fillId="27" borderId="0" applyNumberFormat="0" applyBorder="0" applyAlignment="0" applyProtection="0"/>
    <xf numFmtId="168" fontId="37" fillId="43" borderId="0" applyNumberFormat="0" applyBorder="0" applyAlignment="0" applyProtection="0"/>
    <xf numFmtId="0" fontId="38" fillId="27" borderId="0" applyNumberFormat="0" applyBorder="0" applyAlignment="0" applyProtection="0"/>
    <xf numFmtId="0" fontId="38" fillId="27" borderId="0" applyNumberFormat="0" applyBorder="0" applyAlignment="0" applyProtection="0"/>
    <xf numFmtId="168" fontId="37" fillId="43" borderId="0" applyNumberFormat="0" applyBorder="0" applyAlignment="0" applyProtection="0"/>
    <xf numFmtId="0" fontId="37" fillId="43" borderId="0" applyNumberFormat="0" applyBorder="0" applyAlignment="0" applyProtection="0"/>
    <xf numFmtId="0" fontId="38" fillId="27" borderId="0" applyNumberFormat="0" applyBorder="0" applyAlignment="0" applyProtection="0"/>
    <xf numFmtId="0" fontId="38" fillId="27" borderId="0" applyNumberFormat="0" applyBorder="0" applyAlignment="0" applyProtection="0"/>
    <xf numFmtId="0" fontId="38" fillId="27" borderId="0" applyNumberFormat="0" applyBorder="0" applyAlignment="0" applyProtection="0"/>
    <xf numFmtId="168" fontId="37" fillId="43" borderId="0" applyNumberFormat="0" applyBorder="0" applyAlignment="0" applyProtection="0"/>
    <xf numFmtId="0" fontId="37" fillId="43" borderId="0" applyNumberFormat="0" applyBorder="0" applyAlignment="0" applyProtection="0"/>
    <xf numFmtId="0" fontId="37" fillId="42"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168" fontId="37" fillId="49" borderId="0" applyNumberFormat="0" applyBorder="0" applyAlignment="0" applyProtection="0"/>
    <xf numFmtId="0" fontId="11" fillId="31" borderId="0" applyNumberFormat="0" applyBorder="0" applyAlignment="0" applyProtection="0"/>
    <xf numFmtId="17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9" borderId="0" applyNumberFormat="0" applyBorder="0" applyAlignment="0" applyProtection="0"/>
    <xf numFmtId="0" fontId="11" fillId="31" borderId="0" applyNumberFormat="0" applyBorder="0" applyAlignment="0" applyProtection="0"/>
    <xf numFmtId="0" fontId="37" fillId="42" borderId="0" applyNumberFormat="0" applyBorder="0" applyAlignment="0" applyProtection="0"/>
    <xf numFmtId="0" fontId="37" fillId="49" borderId="0" applyNumberFormat="0" applyBorder="0" applyAlignment="0" applyProtection="0"/>
    <xf numFmtId="0" fontId="11" fillId="3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180" fontId="11" fillId="3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9" borderId="0" applyNumberFormat="0" applyBorder="0" applyAlignment="0" applyProtection="0"/>
    <xf numFmtId="0" fontId="11" fillId="3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8" fillId="31" borderId="0" applyNumberFormat="0" applyBorder="0" applyAlignment="0" applyProtection="0"/>
    <xf numFmtId="168" fontId="37" fillId="49" borderId="0" applyNumberFormat="0" applyBorder="0" applyAlignment="0" applyProtection="0"/>
    <xf numFmtId="0" fontId="38" fillId="31" borderId="0" applyNumberFormat="0" applyBorder="0" applyAlignment="0" applyProtection="0"/>
    <xf numFmtId="0" fontId="38" fillId="31"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8" fillId="31" borderId="0" applyNumberFormat="0" applyBorder="0" applyAlignment="0" applyProtection="0"/>
    <xf numFmtId="0" fontId="38" fillId="31" borderId="0" applyNumberFormat="0" applyBorder="0" applyAlignment="0" applyProtection="0"/>
    <xf numFmtId="0" fontId="38" fillId="31"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7" fillId="52"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168" fontId="37" fillId="46" borderId="0" applyNumberFormat="0" applyBorder="0" applyAlignment="0" applyProtection="0"/>
    <xf numFmtId="0" fontId="11" fillId="35" borderId="0" applyNumberFormat="0" applyBorder="0" applyAlignment="0" applyProtection="0"/>
    <xf numFmtId="170" fontId="37" fillId="52"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46" borderId="0" applyNumberFormat="0" applyBorder="0" applyAlignment="0" applyProtection="0"/>
    <xf numFmtId="0" fontId="11" fillId="35" borderId="0" applyNumberFormat="0" applyBorder="0" applyAlignment="0" applyProtection="0"/>
    <xf numFmtId="0" fontId="37" fillId="52" borderId="0" applyNumberFormat="0" applyBorder="0" applyAlignment="0" applyProtection="0"/>
    <xf numFmtId="0" fontId="37" fillId="46" borderId="0" applyNumberFormat="0" applyBorder="0" applyAlignment="0" applyProtection="0"/>
    <xf numFmtId="0" fontId="11" fillId="35"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180" fontId="11" fillId="35"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46" borderId="0" applyNumberFormat="0" applyBorder="0" applyAlignment="0" applyProtection="0"/>
    <xf numFmtId="0" fontId="11" fillId="35"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8" fillId="35" borderId="0" applyNumberFormat="0" applyBorder="0" applyAlignment="0" applyProtection="0"/>
    <xf numFmtId="168" fontId="37" fillId="46"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9" fillId="0" borderId="0"/>
    <xf numFmtId="0" fontId="40" fillId="53"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168" fontId="40" fillId="49" borderId="0" applyNumberFormat="0" applyBorder="0" applyAlignment="0" applyProtection="0"/>
    <xf numFmtId="0" fontId="40" fillId="53" borderId="0" applyNumberFormat="0" applyBorder="0" applyAlignment="0" applyProtection="0"/>
    <xf numFmtId="170" fontId="40" fillId="53" borderId="0" applyNumberFormat="0" applyBorder="0" applyAlignment="0" applyProtection="0"/>
    <xf numFmtId="0" fontId="40" fillId="53"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53" borderId="0" applyNumberFormat="0" applyBorder="0" applyAlignment="0" applyProtection="0"/>
    <xf numFmtId="180" fontId="5" fillId="16" borderId="0" applyNumberFormat="0" applyBorder="0" applyAlignment="0" applyProtection="0"/>
    <xf numFmtId="0" fontId="40" fillId="49" borderId="0" applyNumberFormat="0" applyBorder="0" applyAlignment="0" applyProtection="0"/>
    <xf numFmtId="0" fontId="5" fillId="16" borderId="0" applyNumberFormat="0" applyBorder="0" applyAlignment="0" applyProtection="0"/>
    <xf numFmtId="168" fontId="40" fillId="49" borderId="0" applyNumberFormat="0" applyBorder="0" applyAlignment="0" applyProtection="0"/>
    <xf numFmtId="0" fontId="40" fillId="49" borderId="0" applyNumberFormat="0" applyBorder="0" applyAlignment="0" applyProtection="0"/>
    <xf numFmtId="0" fontId="41" fillId="16" borderId="0" applyNumberFormat="0" applyBorder="0" applyAlignment="0" applyProtection="0"/>
    <xf numFmtId="168" fontId="40" fillId="49" borderId="0" applyNumberFormat="0" applyBorder="0" applyAlignment="0" applyProtection="0"/>
    <xf numFmtId="168" fontId="40" fillId="49" borderId="0" applyNumberFormat="0" applyBorder="0" applyAlignment="0" applyProtection="0"/>
    <xf numFmtId="0" fontId="40" fillId="49" borderId="0" applyNumberFormat="0" applyBorder="0" applyAlignment="0" applyProtection="0"/>
    <xf numFmtId="0" fontId="41" fillId="16" borderId="0" applyNumberFormat="0" applyBorder="0" applyAlignment="0" applyProtection="0"/>
    <xf numFmtId="0" fontId="40" fillId="49" borderId="0" applyNumberFormat="0" applyBorder="0" applyAlignment="0" applyProtection="0"/>
    <xf numFmtId="168" fontId="40" fillId="49" borderId="0" applyNumberFormat="0" applyBorder="0" applyAlignment="0" applyProtection="0"/>
    <xf numFmtId="0" fontId="40" fillId="49" borderId="0" applyNumberFormat="0" applyBorder="0" applyAlignment="0" applyProtection="0"/>
    <xf numFmtId="0" fontId="40" fillId="4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168" fontId="40" fillId="54" borderId="0" applyNumberFormat="0" applyBorder="0" applyAlignment="0" applyProtection="0"/>
    <xf numFmtId="0" fontId="40" fillId="44" borderId="0" applyNumberFormat="0" applyBorder="0" applyAlignment="0" applyProtection="0"/>
    <xf numFmtId="170" fontId="40" fillId="44" borderId="0" applyNumberFormat="0" applyBorder="0" applyAlignment="0" applyProtection="0"/>
    <xf numFmtId="0" fontId="40" fillId="4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44" borderId="0" applyNumberFormat="0" applyBorder="0" applyAlignment="0" applyProtection="0"/>
    <xf numFmtId="180" fontId="5" fillId="20" borderId="0" applyNumberFormat="0" applyBorder="0" applyAlignment="0" applyProtection="0"/>
    <xf numFmtId="0" fontId="40" fillId="54" borderId="0" applyNumberFormat="0" applyBorder="0" applyAlignment="0" applyProtection="0"/>
    <xf numFmtId="0" fontId="5" fillId="20" borderId="0" applyNumberFormat="0" applyBorder="0" applyAlignment="0" applyProtection="0"/>
    <xf numFmtId="168" fontId="40" fillId="54" borderId="0" applyNumberFormat="0" applyBorder="0" applyAlignment="0" applyProtection="0"/>
    <xf numFmtId="0" fontId="40" fillId="54" borderId="0" applyNumberFormat="0" applyBorder="0" applyAlignment="0" applyProtection="0"/>
    <xf numFmtId="0" fontId="41" fillId="20" borderId="0" applyNumberFormat="0" applyBorder="0" applyAlignment="0" applyProtection="0"/>
    <xf numFmtId="168" fontId="40" fillId="54" borderId="0" applyNumberFormat="0" applyBorder="0" applyAlignment="0" applyProtection="0"/>
    <xf numFmtId="168" fontId="40" fillId="54" borderId="0" applyNumberFormat="0" applyBorder="0" applyAlignment="0" applyProtection="0"/>
    <xf numFmtId="0" fontId="40" fillId="54" borderId="0" applyNumberFormat="0" applyBorder="0" applyAlignment="0" applyProtection="0"/>
    <xf numFmtId="0" fontId="41" fillId="20" borderId="0" applyNumberFormat="0" applyBorder="0" applyAlignment="0" applyProtection="0"/>
    <xf numFmtId="0" fontId="40" fillId="54" borderId="0" applyNumberFormat="0" applyBorder="0" applyAlignment="0" applyProtection="0"/>
    <xf numFmtId="168" fontId="40" fillId="54" borderId="0" applyNumberFormat="0" applyBorder="0" applyAlignment="0" applyProtection="0"/>
    <xf numFmtId="0" fontId="40" fillId="54" borderId="0" applyNumberFormat="0" applyBorder="0" applyAlignment="0" applyProtection="0"/>
    <xf numFmtId="0" fontId="40" fillId="50"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168" fontId="40" fillId="52" borderId="0" applyNumberFormat="0" applyBorder="0" applyAlignment="0" applyProtection="0"/>
    <xf numFmtId="0" fontId="40" fillId="50" borderId="0" applyNumberFormat="0" applyBorder="0" applyAlignment="0" applyProtection="0"/>
    <xf numFmtId="170" fontId="40" fillId="50" borderId="0" applyNumberFormat="0" applyBorder="0" applyAlignment="0" applyProtection="0"/>
    <xf numFmtId="0" fontId="40" fillId="50"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0" borderId="0" applyNumberFormat="0" applyBorder="0" applyAlignment="0" applyProtection="0"/>
    <xf numFmtId="180" fontId="5" fillId="24" borderId="0" applyNumberFormat="0" applyBorder="0" applyAlignment="0" applyProtection="0"/>
    <xf numFmtId="0" fontId="40" fillId="52" borderId="0" applyNumberFormat="0" applyBorder="0" applyAlignment="0" applyProtection="0"/>
    <xf numFmtId="0" fontId="5" fillId="24" borderId="0" applyNumberFormat="0" applyBorder="0" applyAlignment="0" applyProtection="0"/>
    <xf numFmtId="168" fontId="40" fillId="52" borderId="0" applyNumberFormat="0" applyBorder="0" applyAlignment="0" applyProtection="0"/>
    <xf numFmtId="0" fontId="40" fillId="52" borderId="0" applyNumberFormat="0" applyBorder="0" applyAlignment="0" applyProtection="0"/>
    <xf numFmtId="0" fontId="41" fillId="24" borderId="0" applyNumberFormat="0" applyBorder="0" applyAlignment="0" applyProtection="0"/>
    <xf numFmtId="168" fontId="40" fillId="52" borderId="0" applyNumberFormat="0" applyBorder="0" applyAlignment="0" applyProtection="0"/>
    <xf numFmtId="168" fontId="40" fillId="52" borderId="0" applyNumberFormat="0" applyBorder="0" applyAlignment="0" applyProtection="0"/>
    <xf numFmtId="0" fontId="40" fillId="52" borderId="0" applyNumberFormat="0" applyBorder="0" applyAlignment="0" applyProtection="0"/>
    <xf numFmtId="0" fontId="41" fillId="24" borderId="0" applyNumberFormat="0" applyBorder="0" applyAlignment="0" applyProtection="0"/>
    <xf numFmtId="0" fontId="40" fillId="52" borderId="0" applyNumberFormat="0" applyBorder="0" applyAlignment="0" applyProtection="0"/>
    <xf numFmtId="168" fontId="40" fillId="52" borderId="0" applyNumberFormat="0" applyBorder="0" applyAlignment="0" applyProtection="0"/>
    <xf numFmtId="0" fontId="40" fillId="52" borderId="0" applyNumberFormat="0" applyBorder="0" applyAlignment="0" applyProtection="0"/>
    <xf numFmtId="0" fontId="40" fillId="55"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168" fontId="40" fillId="43" borderId="0" applyNumberFormat="0" applyBorder="0" applyAlignment="0" applyProtection="0"/>
    <xf numFmtId="0" fontId="40" fillId="55" borderId="0" applyNumberFormat="0" applyBorder="0" applyAlignment="0" applyProtection="0"/>
    <xf numFmtId="170" fontId="40" fillId="55" borderId="0" applyNumberFormat="0" applyBorder="0" applyAlignment="0" applyProtection="0"/>
    <xf numFmtId="0" fontId="40" fillId="55"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55" borderId="0" applyNumberFormat="0" applyBorder="0" applyAlignment="0" applyProtection="0"/>
    <xf numFmtId="180" fontId="5" fillId="28" borderId="0" applyNumberFormat="0" applyBorder="0" applyAlignment="0" applyProtection="0"/>
    <xf numFmtId="0" fontId="40" fillId="43" borderId="0" applyNumberFormat="0" applyBorder="0" applyAlignment="0" applyProtection="0"/>
    <xf numFmtId="0" fontId="5" fillId="28" borderId="0" applyNumberFormat="0" applyBorder="0" applyAlignment="0" applyProtection="0"/>
    <xf numFmtId="168" fontId="40" fillId="43" borderId="0" applyNumberFormat="0" applyBorder="0" applyAlignment="0" applyProtection="0"/>
    <xf numFmtId="0" fontId="40" fillId="43" borderId="0" applyNumberFormat="0" applyBorder="0" applyAlignment="0" applyProtection="0"/>
    <xf numFmtId="0" fontId="41" fillId="28" borderId="0" applyNumberFormat="0" applyBorder="0" applyAlignment="0" applyProtection="0"/>
    <xf numFmtId="168" fontId="40" fillId="43" borderId="0" applyNumberFormat="0" applyBorder="0" applyAlignment="0" applyProtection="0"/>
    <xf numFmtId="168" fontId="40" fillId="43" borderId="0" applyNumberFormat="0" applyBorder="0" applyAlignment="0" applyProtection="0"/>
    <xf numFmtId="0" fontId="40" fillId="43" borderId="0" applyNumberFormat="0" applyBorder="0" applyAlignment="0" applyProtection="0"/>
    <xf numFmtId="0" fontId="41" fillId="28" borderId="0" applyNumberFormat="0" applyBorder="0" applyAlignment="0" applyProtection="0"/>
    <xf numFmtId="0" fontId="40" fillId="43" borderId="0" applyNumberFormat="0" applyBorder="0" applyAlignment="0" applyProtection="0"/>
    <xf numFmtId="168" fontId="40" fillId="43" borderId="0" applyNumberFormat="0" applyBorder="0" applyAlignment="0" applyProtection="0"/>
    <xf numFmtId="0" fontId="40" fillId="43" borderId="0" applyNumberFormat="0" applyBorder="0" applyAlignment="0" applyProtection="0"/>
    <xf numFmtId="0" fontId="40" fillId="56"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168" fontId="40" fillId="49" borderId="0" applyNumberFormat="0" applyBorder="0" applyAlignment="0" applyProtection="0"/>
    <xf numFmtId="0" fontId="40" fillId="56" borderId="0" applyNumberFormat="0" applyBorder="0" applyAlignment="0" applyProtection="0"/>
    <xf numFmtId="170" fontId="40" fillId="56" borderId="0" applyNumberFormat="0" applyBorder="0" applyAlignment="0" applyProtection="0"/>
    <xf numFmtId="0" fontId="40" fillId="56"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56" borderId="0" applyNumberFormat="0" applyBorder="0" applyAlignment="0" applyProtection="0"/>
    <xf numFmtId="180" fontId="5" fillId="32" borderId="0" applyNumberFormat="0" applyBorder="0" applyAlignment="0" applyProtection="0"/>
    <xf numFmtId="0" fontId="40" fillId="49" borderId="0" applyNumberFormat="0" applyBorder="0" applyAlignment="0" applyProtection="0"/>
    <xf numFmtId="0" fontId="5" fillId="32" borderId="0" applyNumberFormat="0" applyBorder="0" applyAlignment="0" applyProtection="0"/>
    <xf numFmtId="168" fontId="40" fillId="49" borderId="0" applyNumberFormat="0" applyBorder="0" applyAlignment="0" applyProtection="0"/>
    <xf numFmtId="0" fontId="40" fillId="49" borderId="0" applyNumberFormat="0" applyBorder="0" applyAlignment="0" applyProtection="0"/>
    <xf numFmtId="0" fontId="41" fillId="32" borderId="0" applyNumberFormat="0" applyBorder="0" applyAlignment="0" applyProtection="0"/>
    <xf numFmtId="168" fontId="40" fillId="49" borderId="0" applyNumberFormat="0" applyBorder="0" applyAlignment="0" applyProtection="0"/>
    <xf numFmtId="168" fontId="40" fillId="49" borderId="0" applyNumberFormat="0" applyBorder="0" applyAlignment="0" applyProtection="0"/>
    <xf numFmtId="0" fontId="40" fillId="49" borderId="0" applyNumberFormat="0" applyBorder="0" applyAlignment="0" applyProtection="0"/>
    <xf numFmtId="0" fontId="41" fillId="32" borderId="0" applyNumberFormat="0" applyBorder="0" applyAlignment="0" applyProtection="0"/>
    <xf numFmtId="0" fontId="40" fillId="49" borderId="0" applyNumberFormat="0" applyBorder="0" applyAlignment="0" applyProtection="0"/>
    <xf numFmtId="168" fontId="40" fillId="49" borderId="0" applyNumberFormat="0" applyBorder="0" applyAlignment="0" applyProtection="0"/>
    <xf numFmtId="0" fontId="40" fillId="49" borderId="0" applyNumberFormat="0" applyBorder="0" applyAlignment="0" applyProtection="0"/>
    <xf numFmtId="0" fontId="40" fillId="57"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168" fontId="40" fillId="44" borderId="0" applyNumberFormat="0" applyBorder="0" applyAlignment="0" applyProtection="0"/>
    <xf numFmtId="0" fontId="40" fillId="57" borderId="0" applyNumberFormat="0" applyBorder="0" applyAlignment="0" applyProtection="0"/>
    <xf numFmtId="170" fontId="40" fillId="57" borderId="0" applyNumberFormat="0" applyBorder="0" applyAlignment="0" applyProtection="0"/>
    <xf numFmtId="0" fontId="40" fillId="57"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57" borderId="0" applyNumberFormat="0" applyBorder="0" applyAlignment="0" applyProtection="0"/>
    <xf numFmtId="180" fontId="5" fillId="36" borderId="0" applyNumberFormat="0" applyBorder="0" applyAlignment="0" applyProtection="0"/>
    <xf numFmtId="0" fontId="40" fillId="44" borderId="0" applyNumberFormat="0" applyBorder="0" applyAlignment="0" applyProtection="0"/>
    <xf numFmtId="0" fontId="5" fillId="36" borderId="0" applyNumberFormat="0" applyBorder="0" applyAlignment="0" applyProtection="0"/>
    <xf numFmtId="168" fontId="40" fillId="44" borderId="0" applyNumberFormat="0" applyBorder="0" applyAlignment="0" applyProtection="0"/>
    <xf numFmtId="0" fontId="40" fillId="44" borderId="0" applyNumberFormat="0" applyBorder="0" applyAlignment="0" applyProtection="0"/>
    <xf numFmtId="0" fontId="41" fillId="36" borderId="0" applyNumberFormat="0" applyBorder="0" applyAlignment="0" applyProtection="0"/>
    <xf numFmtId="168" fontId="40" fillId="44" borderId="0" applyNumberFormat="0" applyBorder="0" applyAlignment="0" applyProtection="0"/>
    <xf numFmtId="168" fontId="40" fillId="44" borderId="0" applyNumberFormat="0" applyBorder="0" applyAlignment="0" applyProtection="0"/>
    <xf numFmtId="0" fontId="40" fillId="44" borderId="0" applyNumberFormat="0" applyBorder="0" applyAlignment="0" applyProtection="0"/>
    <xf numFmtId="0" fontId="41" fillId="36" borderId="0" applyNumberFormat="0" applyBorder="0" applyAlignment="0" applyProtection="0"/>
    <xf numFmtId="0" fontId="40" fillId="44" borderId="0" applyNumberFormat="0" applyBorder="0" applyAlignment="0" applyProtection="0"/>
    <xf numFmtId="168" fontId="40" fillId="44" borderId="0" applyNumberFormat="0" applyBorder="0" applyAlignment="0" applyProtection="0"/>
    <xf numFmtId="0" fontId="40" fillId="44" borderId="0" applyNumberFormat="0" applyBorder="0" applyAlignment="0" applyProtection="0"/>
    <xf numFmtId="0" fontId="37" fillId="58" borderId="0" applyNumberFormat="0" applyBorder="0" applyAlignment="0" applyProtection="0"/>
    <xf numFmtId="0" fontId="37" fillId="59" borderId="0" applyNumberFormat="0" applyBorder="0" applyAlignment="0" applyProtection="0"/>
    <xf numFmtId="0" fontId="40" fillId="60" borderId="0" applyNumberFormat="0" applyBorder="0" applyAlignment="0" applyProtection="0"/>
    <xf numFmtId="0" fontId="40" fillId="61"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168" fontId="40" fillId="62" borderId="0" applyNumberFormat="0" applyBorder="0" applyAlignment="0" applyProtection="0"/>
    <xf numFmtId="0" fontId="40" fillId="61" borderId="0" applyNumberFormat="0" applyBorder="0" applyAlignment="0" applyProtection="0"/>
    <xf numFmtId="170" fontId="40" fillId="61" borderId="0" applyNumberFormat="0" applyBorder="0" applyAlignment="0" applyProtection="0"/>
    <xf numFmtId="0" fontId="40" fillId="61"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1" borderId="0" applyNumberFormat="0" applyBorder="0" applyAlignment="0" applyProtection="0"/>
    <xf numFmtId="180" fontId="5" fillId="13" borderId="0" applyNumberFormat="0" applyBorder="0" applyAlignment="0" applyProtection="0"/>
    <xf numFmtId="0" fontId="40" fillId="62" borderId="0" applyNumberFormat="0" applyBorder="0" applyAlignment="0" applyProtection="0"/>
    <xf numFmtId="0" fontId="5" fillId="13" borderId="0" applyNumberFormat="0" applyBorder="0" applyAlignment="0" applyProtection="0"/>
    <xf numFmtId="168" fontId="40" fillId="62" borderId="0" applyNumberFormat="0" applyBorder="0" applyAlignment="0" applyProtection="0"/>
    <xf numFmtId="0" fontId="40" fillId="62" borderId="0" applyNumberFormat="0" applyBorder="0" applyAlignment="0" applyProtection="0"/>
    <xf numFmtId="0" fontId="41" fillId="13" borderId="0" applyNumberFormat="0" applyBorder="0" applyAlignment="0" applyProtection="0"/>
    <xf numFmtId="168" fontId="40" fillId="62" borderId="0" applyNumberFormat="0" applyBorder="0" applyAlignment="0" applyProtection="0"/>
    <xf numFmtId="168" fontId="40" fillId="62" borderId="0" applyNumberFormat="0" applyBorder="0" applyAlignment="0" applyProtection="0"/>
    <xf numFmtId="0" fontId="40" fillId="62" borderId="0" applyNumberFormat="0" applyBorder="0" applyAlignment="0" applyProtection="0"/>
    <xf numFmtId="0" fontId="41" fillId="13" borderId="0" applyNumberFormat="0" applyBorder="0" applyAlignment="0" applyProtection="0"/>
    <xf numFmtId="0" fontId="40" fillId="62" borderId="0" applyNumberFormat="0" applyBorder="0" applyAlignment="0" applyProtection="0"/>
    <xf numFmtId="168" fontId="40" fillId="62" borderId="0" applyNumberFormat="0" applyBorder="0" applyAlignment="0" applyProtection="0"/>
    <xf numFmtId="0" fontId="40" fillId="62" borderId="0" applyNumberFormat="0" applyBorder="0" applyAlignment="0" applyProtection="0"/>
    <xf numFmtId="0" fontId="37" fillId="63" borderId="0" applyNumberFormat="0" applyBorder="0" applyAlignment="0" applyProtection="0"/>
    <xf numFmtId="0" fontId="37" fillId="64" borderId="0" applyNumberFormat="0" applyBorder="0" applyAlignment="0" applyProtection="0"/>
    <xf numFmtId="0" fontId="40" fillId="65" borderId="0" applyNumberFormat="0" applyBorder="0" applyAlignment="0" applyProtection="0"/>
    <xf numFmtId="0" fontId="40" fillId="66"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168" fontId="40" fillId="54" borderId="0" applyNumberFormat="0" applyBorder="0" applyAlignment="0" applyProtection="0"/>
    <xf numFmtId="0" fontId="40" fillId="66" borderId="0" applyNumberFormat="0" applyBorder="0" applyAlignment="0" applyProtection="0"/>
    <xf numFmtId="170" fontId="40" fillId="66" borderId="0" applyNumberFormat="0" applyBorder="0" applyAlignment="0" applyProtection="0"/>
    <xf numFmtId="0" fontId="40" fillId="66"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66" borderId="0" applyNumberFormat="0" applyBorder="0" applyAlignment="0" applyProtection="0"/>
    <xf numFmtId="180" fontId="5" fillId="17" borderId="0" applyNumberFormat="0" applyBorder="0" applyAlignment="0" applyProtection="0"/>
    <xf numFmtId="0" fontId="40" fillId="54" borderId="0" applyNumberFormat="0" applyBorder="0" applyAlignment="0" applyProtection="0"/>
    <xf numFmtId="0" fontId="5" fillId="17" borderId="0" applyNumberFormat="0" applyBorder="0" applyAlignment="0" applyProtection="0"/>
    <xf numFmtId="168" fontId="40" fillId="54" borderId="0" applyNumberFormat="0" applyBorder="0" applyAlignment="0" applyProtection="0"/>
    <xf numFmtId="0" fontId="40" fillId="54" borderId="0" applyNumberFormat="0" applyBorder="0" applyAlignment="0" applyProtection="0"/>
    <xf numFmtId="0" fontId="41" fillId="17" borderId="0" applyNumberFormat="0" applyBorder="0" applyAlignment="0" applyProtection="0"/>
    <xf numFmtId="168" fontId="40" fillId="54" borderId="0" applyNumberFormat="0" applyBorder="0" applyAlignment="0" applyProtection="0"/>
    <xf numFmtId="168" fontId="40" fillId="54" borderId="0" applyNumberFormat="0" applyBorder="0" applyAlignment="0" applyProtection="0"/>
    <xf numFmtId="0" fontId="40" fillId="54" borderId="0" applyNumberFormat="0" applyBorder="0" applyAlignment="0" applyProtection="0"/>
    <xf numFmtId="0" fontId="41" fillId="17" borderId="0" applyNumberFormat="0" applyBorder="0" applyAlignment="0" applyProtection="0"/>
    <xf numFmtId="0" fontId="40" fillId="54" borderId="0" applyNumberFormat="0" applyBorder="0" applyAlignment="0" applyProtection="0"/>
    <xf numFmtId="168" fontId="40" fillId="54" borderId="0" applyNumberFormat="0" applyBorder="0" applyAlignment="0" applyProtection="0"/>
    <xf numFmtId="0" fontId="40" fillId="54" borderId="0" applyNumberFormat="0" applyBorder="0" applyAlignment="0" applyProtection="0"/>
    <xf numFmtId="0" fontId="37" fillId="67" borderId="0" applyNumberFormat="0" applyBorder="0" applyAlignment="0" applyProtection="0"/>
    <xf numFmtId="0" fontId="37" fillId="68" borderId="0" applyNumberFormat="0" applyBorder="0" applyAlignment="0" applyProtection="0"/>
    <xf numFmtId="0" fontId="40" fillId="69" borderId="0" applyNumberFormat="0" applyBorder="0" applyAlignment="0" applyProtection="0"/>
    <xf numFmtId="0" fontId="40" fillId="70"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168" fontId="40" fillId="52" borderId="0" applyNumberFormat="0" applyBorder="0" applyAlignment="0" applyProtection="0"/>
    <xf numFmtId="0" fontId="40" fillId="70" borderId="0" applyNumberFormat="0" applyBorder="0" applyAlignment="0" applyProtection="0"/>
    <xf numFmtId="170" fontId="40" fillId="70" borderId="0" applyNumberFormat="0" applyBorder="0" applyAlignment="0" applyProtection="0"/>
    <xf numFmtId="0" fontId="40" fillId="70"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70" borderId="0" applyNumberFormat="0" applyBorder="0" applyAlignment="0" applyProtection="0"/>
    <xf numFmtId="180" fontId="5" fillId="21" borderId="0" applyNumberFormat="0" applyBorder="0" applyAlignment="0" applyProtection="0"/>
    <xf numFmtId="0" fontId="40" fillId="52" borderId="0" applyNumberFormat="0" applyBorder="0" applyAlignment="0" applyProtection="0"/>
    <xf numFmtId="0" fontId="5" fillId="21" borderId="0" applyNumberFormat="0" applyBorder="0" applyAlignment="0" applyProtection="0"/>
    <xf numFmtId="168" fontId="40" fillId="52" borderId="0" applyNumberFormat="0" applyBorder="0" applyAlignment="0" applyProtection="0"/>
    <xf numFmtId="0" fontId="40" fillId="52" borderId="0" applyNumberFormat="0" applyBorder="0" applyAlignment="0" applyProtection="0"/>
    <xf numFmtId="0" fontId="41" fillId="21" borderId="0" applyNumberFormat="0" applyBorder="0" applyAlignment="0" applyProtection="0"/>
    <xf numFmtId="168" fontId="40" fillId="52" borderId="0" applyNumberFormat="0" applyBorder="0" applyAlignment="0" applyProtection="0"/>
    <xf numFmtId="168" fontId="40" fillId="52" borderId="0" applyNumberFormat="0" applyBorder="0" applyAlignment="0" applyProtection="0"/>
    <xf numFmtId="0" fontId="40" fillId="52" borderId="0" applyNumberFormat="0" applyBorder="0" applyAlignment="0" applyProtection="0"/>
    <xf numFmtId="0" fontId="41" fillId="21" borderId="0" applyNumberFormat="0" applyBorder="0" applyAlignment="0" applyProtection="0"/>
    <xf numFmtId="0" fontId="40" fillId="52" borderId="0" applyNumberFormat="0" applyBorder="0" applyAlignment="0" applyProtection="0"/>
    <xf numFmtId="168" fontId="40" fillId="52" borderId="0" applyNumberFormat="0" applyBorder="0" applyAlignment="0" applyProtection="0"/>
    <xf numFmtId="0" fontId="40" fillId="52" borderId="0" applyNumberFormat="0" applyBorder="0" applyAlignment="0" applyProtection="0"/>
    <xf numFmtId="0" fontId="37" fillId="63" borderId="0" applyNumberFormat="0" applyBorder="0" applyAlignment="0" applyProtection="0"/>
    <xf numFmtId="0" fontId="37" fillId="71" borderId="0" applyNumberFormat="0" applyBorder="0" applyAlignment="0" applyProtection="0"/>
    <xf numFmtId="0" fontId="40" fillId="64" borderId="0" applyNumberFormat="0" applyBorder="0" applyAlignment="0" applyProtection="0"/>
    <xf numFmtId="0" fontId="40" fillId="55"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168" fontId="40" fillId="72" borderId="0" applyNumberFormat="0" applyBorder="0" applyAlignment="0" applyProtection="0"/>
    <xf numFmtId="0" fontId="40" fillId="55" borderId="0" applyNumberFormat="0" applyBorder="0" applyAlignment="0" applyProtection="0"/>
    <xf numFmtId="170" fontId="40" fillId="55" borderId="0" applyNumberFormat="0" applyBorder="0" applyAlignment="0" applyProtection="0"/>
    <xf numFmtId="0" fontId="40" fillId="55"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55" borderId="0" applyNumberFormat="0" applyBorder="0" applyAlignment="0" applyProtection="0"/>
    <xf numFmtId="180" fontId="5" fillId="25" borderId="0" applyNumberFormat="0" applyBorder="0" applyAlignment="0" applyProtection="0"/>
    <xf numFmtId="0" fontId="40" fillId="72" borderId="0" applyNumberFormat="0" applyBorder="0" applyAlignment="0" applyProtection="0"/>
    <xf numFmtId="0" fontId="5" fillId="25" borderId="0" applyNumberFormat="0" applyBorder="0" applyAlignment="0" applyProtection="0"/>
    <xf numFmtId="168" fontId="40" fillId="72" borderId="0" applyNumberFormat="0" applyBorder="0" applyAlignment="0" applyProtection="0"/>
    <xf numFmtId="0" fontId="40" fillId="72" borderId="0" applyNumberFormat="0" applyBorder="0" applyAlignment="0" applyProtection="0"/>
    <xf numFmtId="0" fontId="41" fillId="25" borderId="0" applyNumberFormat="0" applyBorder="0" applyAlignment="0" applyProtection="0"/>
    <xf numFmtId="168" fontId="40" fillId="72" borderId="0" applyNumberFormat="0" applyBorder="0" applyAlignment="0" applyProtection="0"/>
    <xf numFmtId="168" fontId="40" fillId="72" borderId="0" applyNumberFormat="0" applyBorder="0" applyAlignment="0" applyProtection="0"/>
    <xf numFmtId="0" fontId="40" fillId="72" borderId="0" applyNumberFormat="0" applyBorder="0" applyAlignment="0" applyProtection="0"/>
    <xf numFmtId="0" fontId="41" fillId="25" borderId="0" applyNumberFormat="0" applyBorder="0" applyAlignment="0" applyProtection="0"/>
    <xf numFmtId="0" fontId="40" fillId="72" borderId="0" applyNumberFormat="0" applyBorder="0" applyAlignment="0" applyProtection="0"/>
    <xf numFmtId="168" fontId="40" fillId="72" borderId="0" applyNumberFormat="0" applyBorder="0" applyAlignment="0" applyProtection="0"/>
    <xf numFmtId="0" fontId="40" fillId="72" borderId="0" applyNumberFormat="0" applyBorder="0" applyAlignment="0" applyProtection="0"/>
    <xf numFmtId="0" fontId="37" fillId="73" borderId="0" applyNumberFormat="0" applyBorder="0" applyAlignment="0" applyProtection="0"/>
    <xf numFmtId="0" fontId="37" fillId="74" borderId="0" applyNumberFormat="0" applyBorder="0" applyAlignment="0" applyProtection="0"/>
    <xf numFmtId="0" fontId="40" fillId="60"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168" fontId="40" fillId="56" borderId="0" applyNumberFormat="0" applyBorder="0" applyAlignment="0" applyProtection="0"/>
    <xf numFmtId="0" fontId="40" fillId="56" borderId="0" applyNumberFormat="0" applyBorder="0" applyAlignment="0" applyProtection="0"/>
    <xf numFmtId="170" fontId="40" fillId="56" borderId="0" applyNumberFormat="0" applyBorder="0" applyAlignment="0" applyProtection="0"/>
    <xf numFmtId="0" fontId="40" fillId="56" borderId="0" applyNumberFormat="0" applyBorder="0" applyAlignment="0" applyProtection="0"/>
    <xf numFmtId="169"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180" fontId="5" fillId="29" borderId="0" applyNumberFormat="0" applyBorder="0" applyAlignment="0" applyProtection="0"/>
    <xf numFmtId="0" fontId="40" fillId="56" borderId="0" applyNumberFormat="0" applyBorder="0" applyAlignment="0" applyProtection="0"/>
    <xf numFmtId="0" fontId="5" fillId="29" borderId="0" applyNumberFormat="0" applyBorder="0" applyAlignment="0" applyProtection="0"/>
    <xf numFmtId="168" fontId="40" fillId="56" borderId="0" applyNumberFormat="0" applyBorder="0" applyAlignment="0" applyProtection="0"/>
    <xf numFmtId="0" fontId="40" fillId="56" borderId="0" applyNumberFormat="0" applyBorder="0" applyAlignment="0" applyProtection="0"/>
    <xf numFmtId="0" fontId="41" fillId="29" borderId="0" applyNumberFormat="0" applyBorder="0" applyAlignment="0" applyProtection="0"/>
    <xf numFmtId="168" fontId="40" fillId="56" borderId="0" applyNumberFormat="0" applyBorder="0" applyAlignment="0" applyProtection="0"/>
    <xf numFmtId="168" fontId="40" fillId="56" borderId="0" applyNumberFormat="0" applyBorder="0" applyAlignment="0" applyProtection="0"/>
    <xf numFmtId="0" fontId="40" fillId="56" borderId="0" applyNumberFormat="0" applyBorder="0" applyAlignment="0" applyProtection="0"/>
    <xf numFmtId="0" fontId="41" fillId="29" borderId="0" applyNumberFormat="0" applyBorder="0" applyAlignment="0" applyProtection="0"/>
    <xf numFmtId="0" fontId="40" fillId="56" borderId="0" applyNumberFormat="0" applyBorder="0" applyAlignment="0" applyProtection="0"/>
    <xf numFmtId="168" fontId="40" fillId="56" borderId="0" applyNumberFormat="0" applyBorder="0" applyAlignment="0" applyProtection="0"/>
    <xf numFmtId="0" fontId="40" fillId="56" borderId="0" applyNumberFormat="0" applyBorder="0" applyAlignment="0" applyProtection="0"/>
    <xf numFmtId="0" fontId="37" fillId="75" borderId="0" applyNumberFormat="0" applyBorder="0" applyAlignment="0" applyProtection="0"/>
    <xf numFmtId="0" fontId="37" fillId="76" borderId="0" applyNumberFormat="0" applyBorder="0" applyAlignment="0" applyProtection="0"/>
    <xf numFmtId="0" fontId="40" fillId="77" borderId="0" applyNumberFormat="0" applyBorder="0" applyAlignment="0" applyProtection="0"/>
    <xf numFmtId="0" fontId="40" fillId="54"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168" fontId="40" fillId="66" borderId="0" applyNumberFormat="0" applyBorder="0" applyAlignment="0" applyProtection="0"/>
    <xf numFmtId="0" fontId="40" fillId="54" borderId="0" applyNumberFormat="0" applyBorder="0" applyAlignment="0" applyProtection="0"/>
    <xf numFmtId="170" fontId="40" fillId="54" borderId="0" applyNumberFormat="0" applyBorder="0" applyAlignment="0" applyProtection="0"/>
    <xf numFmtId="0" fontId="40" fillId="54"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54" borderId="0" applyNumberFormat="0" applyBorder="0" applyAlignment="0" applyProtection="0"/>
    <xf numFmtId="180" fontId="5" fillId="33" borderId="0" applyNumberFormat="0" applyBorder="0" applyAlignment="0" applyProtection="0"/>
    <xf numFmtId="0" fontId="40" fillId="66" borderId="0" applyNumberFormat="0" applyBorder="0" applyAlignment="0" applyProtection="0"/>
    <xf numFmtId="0" fontId="5" fillId="33" borderId="0" applyNumberFormat="0" applyBorder="0" applyAlignment="0" applyProtection="0"/>
    <xf numFmtId="168" fontId="40" fillId="66" borderId="0" applyNumberFormat="0" applyBorder="0" applyAlignment="0" applyProtection="0"/>
    <xf numFmtId="0" fontId="40" fillId="66" borderId="0" applyNumberFormat="0" applyBorder="0" applyAlignment="0" applyProtection="0"/>
    <xf numFmtId="0" fontId="41" fillId="33" borderId="0" applyNumberFormat="0" applyBorder="0" applyAlignment="0" applyProtection="0"/>
    <xf numFmtId="168" fontId="40" fillId="66" borderId="0" applyNumberFormat="0" applyBorder="0" applyAlignment="0" applyProtection="0"/>
    <xf numFmtId="168" fontId="40" fillId="66" borderId="0" applyNumberFormat="0" applyBorder="0" applyAlignment="0" applyProtection="0"/>
    <xf numFmtId="0" fontId="40" fillId="66" borderId="0" applyNumberFormat="0" applyBorder="0" applyAlignment="0" applyProtection="0"/>
    <xf numFmtId="0" fontId="41" fillId="33" borderId="0" applyNumberFormat="0" applyBorder="0" applyAlignment="0" applyProtection="0"/>
    <xf numFmtId="0" fontId="40" fillId="66" borderId="0" applyNumberFormat="0" applyBorder="0" applyAlignment="0" applyProtection="0"/>
    <xf numFmtId="168" fontId="40" fillId="66" borderId="0" applyNumberFormat="0" applyBorder="0" applyAlignment="0" applyProtection="0"/>
    <xf numFmtId="0" fontId="40" fillId="66" borderId="0" applyNumberFormat="0" applyBorder="0" applyAlignment="0" applyProtection="0"/>
    <xf numFmtId="0" fontId="1" fillId="78" borderId="0">
      <alignment horizontal="center"/>
    </xf>
    <xf numFmtId="181" fontId="42" fillId="0" borderId="0" applyFont="0" applyFill="0" applyBorder="0" applyAlignment="0" applyProtection="0"/>
    <xf numFmtId="0" fontId="43" fillId="43"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168" fontId="43" fillId="47" borderId="0" applyNumberFormat="0" applyBorder="0" applyAlignment="0" applyProtection="0"/>
    <xf numFmtId="0" fontId="43" fillId="43" borderId="0" applyNumberFormat="0" applyBorder="0" applyAlignment="0" applyProtection="0"/>
    <xf numFmtId="170" fontId="43" fillId="43" borderId="0" applyNumberFormat="0" applyBorder="0" applyAlignment="0" applyProtection="0"/>
    <xf numFmtId="0" fontId="43" fillId="43"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171" fontId="17" fillId="7" borderId="0" applyNumberFormat="0" applyBorder="0" applyAlignment="0" applyProtection="0"/>
    <xf numFmtId="169" fontId="17" fillId="7" borderId="0" applyNumberFormat="0" applyBorder="0" applyAlignment="0" applyProtection="0"/>
    <xf numFmtId="0" fontId="43" fillId="47" borderId="0" applyNumberFormat="0" applyBorder="0" applyAlignment="0" applyProtection="0"/>
    <xf numFmtId="0" fontId="17" fillId="7" borderId="0" applyNumberFormat="0" applyBorder="0" applyAlignment="0" applyProtection="0"/>
    <xf numFmtId="168" fontId="43" fillId="47" borderId="0" applyNumberFormat="0" applyBorder="0" applyAlignment="0" applyProtection="0"/>
    <xf numFmtId="0" fontId="43" fillId="47" borderId="0" applyNumberFormat="0" applyBorder="0" applyAlignment="0" applyProtection="0"/>
    <xf numFmtId="0" fontId="44" fillId="7" borderId="0" applyNumberFormat="0" applyBorder="0" applyAlignment="0" applyProtection="0"/>
    <xf numFmtId="168" fontId="43" fillId="47" borderId="0" applyNumberFormat="0" applyBorder="0" applyAlignment="0" applyProtection="0"/>
    <xf numFmtId="168" fontId="43" fillId="47" borderId="0" applyNumberFormat="0" applyBorder="0" applyAlignment="0" applyProtection="0"/>
    <xf numFmtId="0" fontId="43" fillId="47" borderId="0" applyNumberFormat="0" applyBorder="0" applyAlignment="0" applyProtection="0"/>
    <xf numFmtId="0" fontId="44" fillId="7" borderId="0" applyNumberFormat="0" applyBorder="0" applyAlignment="0" applyProtection="0"/>
    <xf numFmtId="0" fontId="43" fillId="47" borderId="0" applyNumberFormat="0" applyBorder="0" applyAlignment="0" applyProtection="0"/>
    <xf numFmtId="168" fontId="43" fillId="47" borderId="0" applyNumberFormat="0" applyBorder="0" applyAlignment="0" applyProtection="0"/>
    <xf numFmtId="0" fontId="43" fillId="47" borderId="0" applyNumberFormat="0" applyBorder="0" applyAlignment="0" applyProtection="0"/>
    <xf numFmtId="0" fontId="45" fillId="0" borderId="0" applyNumberFormat="0" applyFill="0" applyBorder="0" applyAlignment="0" applyProtection="0"/>
    <xf numFmtId="182" fontId="32" fillId="0" borderId="0" applyFill="0" applyBorder="0" applyAlignment="0"/>
    <xf numFmtId="182" fontId="32" fillId="0" borderId="0" applyFill="0" applyBorder="0" applyAlignment="0"/>
    <xf numFmtId="182" fontId="32" fillId="0" borderId="0" applyFill="0" applyBorder="0" applyAlignment="0"/>
    <xf numFmtId="182" fontId="27"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0" fontId="46" fillId="79"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6" fillId="79"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171" fontId="46" fillId="79" borderId="16" applyNumberFormat="0" applyAlignment="0" applyProtection="0"/>
    <xf numFmtId="168" fontId="47" fillId="80" borderId="16" applyNumberFormat="0" applyAlignment="0" applyProtection="0"/>
    <xf numFmtId="169" fontId="21" fillId="10" borderId="6" applyNumberFormat="0" applyAlignment="0" applyProtection="0"/>
    <xf numFmtId="0" fontId="46" fillId="79" borderId="16" applyNumberFormat="0" applyAlignment="0" applyProtection="0"/>
    <xf numFmtId="170" fontId="21" fillId="10" borderId="6" applyNumberFormat="0" applyAlignment="0" applyProtection="0"/>
    <xf numFmtId="18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8" fontId="47" fillId="80" borderId="16" applyNumberFormat="0" applyAlignment="0" applyProtection="0"/>
    <xf numFmtId="0" fontId="47" fillId="80" borderId="16" applyNumberFormat="0" applyAlignment="0" applyProtection="0"/>
    <xf numFmtId="0" fontId="46" fillId="79" borderId="16" applyNumberFormat="0" applyAlignment="0" applyProtection="0"/>
    <xf numFmtId="0"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0" fontId="47" fillId="80" borderId="16" applyNumberFormat="0" applyAlignment="0" applyProtection="0"/>
    <xf numFmtId="0" fontId="46" fillId="79" borderId="16" applyNumberFormat="0" applyAlignment="0" applyProtection="0"/>
    <xf numFmtId="0" fontId="47" fillId="80" borderId="16" applyNumberFormat="0" applyAlignment="0" applyProtection="0"/>
    <xf numFmtId="169"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6" fillId="79" borderId="16" applyNumberFormat="0" applyAlignment="0" applyProtection="0"/>
    <xf numFmtId="0" fontId="47" fillId="80" borderId="16" applyNumberFormat="0" applyAlignment="0" applyProtection="0"/>
    <xf numFmtId="169"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6" fillId="79" borderId="16" applyNumberFormat="0" applyAlignment="0" applyProtection="0"/>
    <xf numFmtId="0" fontId="47" fillId="80" borderId="16" applyNumberFormat="0" applyAlignment="0" applyProtection="0"/>
    <xf numFmtId="169"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7" fillId="80" borderId="16" applyNumberFormat="0" applyAlignment="0" applyProtection="0"/>
    <xf numFmtId="0" fontId="47" fillId="80"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7" fillId="80"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6" fillId="79" borderId="16" applyNumberFormat="0" applyAlignment="0" applyProtection="0"/>
    <xf numFmtId="168" fontId="47" fillId="80" borderId="16" applyNumberFormat="0" applyAlignment="0" applyProtection="0"/>
    <xf numFmtId="168" fontId="47" fillId="80" borderId="16" applyNumberFormat="0" applyAlignment="0" applyProtection="0"/>
    <xf numFmtId="168" fontId="47" fillId="80" borderId="16" applyNumberFormat="0" applyAlignment="0" applyProtection="0"/>
    <xf numFmtId="0" fontId="48" fillId="10" borderId="6" applyNumberFormat="0" applyAlignment="0" applyProtection="0"/>
    <xf numFmtId="168" fontId="47" fillId="80" borderId="16" applyNumberFormat="0" applyAlignment="0" applyProtection="0"/>
    <xf numFmtId="168" fontId="47" fillId="80" borderId="16" applyNumberFormat="0" applyAlignment="0" applyProtection="0"/>
    <xf numFmtId="168" fontId="47" fillId="80" borderId="16" applyNumberFormat="0" applyAlignment="0" applyProtection="0"/>
    <xf numFmtId="168" fontId="47" fillId="80" borderId="16" applyNumberFormat="0" applyAlignment="0" applyProtection="0"/>
    <xf numFmtId="0" fontId="48" fillId="10" borderId="6" applyNumberFormat="0" applyAlignment="0" applyProtection="0"/>
    <xf numFmtId="168" fontId="47" fillId="80" borderId="16" applyNumberFormat="0" applyAlignment="0" applyProtection="0"/>
    <xf numFmtId="168" fontId="47" fillId="80" borderId="16" applyNumberFormat="0" applyAlignment="0" applyProtection="0"/>
    <xf numFmtId="0" fontId="49" fillId="81" borderId="0">
      <protection locked="0"/>
    </xf>
    <xf numFmtId="0" fontId="50" fillId="82" borderId="17" applyNumberFormat="0" applyAlignment="0" applyProtection="0"/>
    <xf numFmtId="168" fontId="50" fillId="82" borderId="17" applyNumberFormat="0" applyAlignment="0" applyProtection="0"/>
    <xf numFmtId="0" fontId="50" fillId="82" borderId="17" applyNumberFormat="0" applyAlignment="0" applyProtection="0"/>
    <xf numFmtId="170" fontId="50" fillId="82" borderId="17" applyNumberFormat="0" applyAlignment="0" applyProtection="0"/>
    <xf numFmtId="0" fontId="50" fillId="82" borderId="17" applyNumberFormat="0" applyAlignment="0" applyProtection="0"/>
    <xf numFmtId="169" fontId="50" fillId="82" borderId="17" applyNumberFormat="0" applyAlignment="0" applyProtection="0"/>
    <xf numFmtId="0" fontId="50" fillId="82" borderId="17" applyNumberFormat="0" applyAlignment="0" applyProtection="0"/>
    <xf numFmtId="0" fontId="50" fillId="82" borderId="17" applyNumberFormat="0" applyAlignment="0" applyProtection="0"/>
    <xf numFmtId="180" fontId="2" fillId="11" borderId="9" applyNumberFormat="0" applyAlignment="0" applyProtection="0"/>
    <xf numFmtId="0" fontId="50" fillId="82" borderId="17" applyNumberFormat="0" applyAlignment="0" applyProtection="0"/>
    <xf numFmtId="0" fontId="2" fillId="11" borderId="9" applyNumberFormat="0" applyAlignment="0" applyProtection="0"/>
    <xf numFmtId="168" fontId="50" fillId="82" borderId="17" applyNumberFormat="0" applyAlignment="0" applyProtection="0"/>
    <xf numFmtId="0" fontId="51" fillId="11" borderId="9" applyNumberFormat="0" applyAlignment="0" applyProtection="0"/>
    <xf numFmtId="168" fontId="50" fillId="82" borderId="17" applyNumberFormat="0" applyAlignment="0" applyProtection="0"/>
    <xf numFmtId="168" fontId="50" fillId="82" borderId="17" applyNumberFormat="0" applyAlignment="0" applyProtection="0"/>
    <xf numFmtId="0" fontId="51" fillId="11" borderId="9" applyNumberFormat="0" applyAlignment="0" applyProtection="0"/>
    <xf numFmtId="168" fontId="50" fillId="82" borderId="17" applyNumberFormat="0" applyAlignment="0" applyProtection="0"/>
    <xf numFmtId="183" fontId="52" fillId="0" borderId="0"/>
    <xf numFmtId="183" fontId="52" fillId="0" borderId="0"/>
    <xf numFmtId="183" fontId="52" fillId="0" borderId="0"/>
    <xf numFmtId="183" fontId="52" fillId="0" borderId="0"/>
    <xf numFmtId="183" fontId="52" fillId="0" borderId="0"/>
    <xf numFmtId="183" fontId="52" fillId="0" borderId="0"/>
    <xf numFmtId="183" fontId="52" fillId="0" borderId="0"/>
    <xf numFmtId="183" fontId="52" fillId="0" borderId="0"/>
    <xf numFmtId="41" fontId="32" fillId="0" borderId="0" applyFont="0" applyFill="0" applyBorder="0" applyAlignment="0" applyProtection="0"/>
    <xf numFmtId="182" fontId="32" fillId="0" borderId="0" applyFont="0" applyFill="0" applyBorder="0" applyAlignment="0" applyProtection="0"/>
    <xf numFmtId="43" fontId="32" fillId="0" borderId="0" applyFont="0" applyFill="0" applyBorder="0" applyAlignment="0" applyProtection="0"/>
    <xf numFmtId="43" fontId="37" fillId="0" borderId="0" applyFont="0" applyFill="0" applyBorder="0" applyAlignment="0" applyProtection="0"/>
    <xf numFmtId="43" fontId="32"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53"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5"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6"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55"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84" fontId="57"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8" fontId="32" fillId="0" borderId="0" applyFont="0" applyFill="0" applyProtection="0"/>
    <xf numFmtId="8" fontId="32" fillId="0" borderId="0" applyFont="0" applyFill="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0" fontId="58"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2"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59"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59"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59"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37"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55" fillId="0" borderId="0" applyFont="0" applyFill="0" applyBorder="0" applyAlignment="0" applyProtection="0"/>
    <xf numFmtId="43" fontId="54"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60"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53"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84" fontId="57"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38" fontId="32" fillId="0" borderId="0"/>
    <xf numFmtId="178" fontId="32" fillId="0" borderId="0"/>
    <xf numFmtId="40" fontId="32" fillId="0" borderId="0"/>
    <xf numFmtId="3" fontId="61" fillId="0" borderId="0" applyFont="0" applyFill="0" applyBorder="0" applyAlignment="0" applyProtection="0"/>
    <xf numFmtId="0" fontId="62" fillId="0" borderId="0"/>
    <xf numFmtId="169" fontId="62" fillId="0" borderId="0"/>
    <xf numFmtId="169" fontId="62" fillId="0" borderId="0"/>
    <xf numFmtId="170" fontId="62" fillId="0" borderId="0"/>
    <xf numFmtId="0" fontId="62" fillId="0" borderId="0"/>
    <xf numFmtId="169" fontId="62" fillId="0" borderId="0"/>
    <xf numFmtId="0" fontId="39" fillId="0" borderId="0"/>
    <xf numFmtId="169" fontId="39" fillId="0" borderId="0"/>
    <xf numFmtId="169" fontId="39" fillId="0" borderId="0"/>
    <xf numFmtId="170" fontId="39" fillId="0" borderId="0"/>
    <xf numFmtId="0" fontId="39" fillId="0" borderId="0"/>
    <xf numFmtId="169" fontId="39" fillId="0" borderId="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185" fontId="63" fillId="0" borderId="0">
      <protection locked="0"/>
    </xf>
    <xf numFmtId="0" fontId="62" fillId="0" borderId="0"/>
    <xf numFmtId="169" fontId="62" fillId="0" borderId="0"/>
    <xf numFmtId="169" fontId="62" fillId="0" borderId="0"/>
    <xf numFmtId="170" fontId="62" fillId="0" borderId="0"/>
    <xf numFmtId="0" fontId="62" fillId="0" borderId="0"/>
    <xf numFmtId="169" fontId="62" fillId="0" borderId="0"/>
    <xf numFmtId="0" fontId="39" fillId="0" borderId="0"/>
    <xf numFmtId="169" fontId="39" fillId="0" borderId="0"/>
    <xf numFmtId="169" fontId="39" fillId="0" borderId="0"/>
    <xf numFmtId="170" fontId="39" fillId="0" borderId="0"/>
    <xf numFmtId="0" fontId="39" fillId="0" borderId="0"/>
    <xf numFmtId="169" fontId="39" fillId="0" borderId="0"/>
    <xf numFmtId="0" fontId="62" fillId="0" borderId="0"/>
    <xf numFmtId="169" fontId="62" fillId="0" borderId="0"/>
    <xf numFmtId="169" fontId="62" fillId="0" borderId="0"/>
    <xf numFmtId="170" fontId="62" fillId="0" borderId="0"/>
    <xf numFmtId="0" fontId="62" fillId="0" borderId="0"/>
    <xf numFmtId="169" fontId="62" fillId="0" borderId="0"/>
    <xf numFmtId="0" fontId="39" fillId="0" borderId="0"/>
    <xf numFmtId="169" fontId="39" fillId="0" borderId="0"/>
    <xf numFmtId="169" fontId="39" fillId="0" borderId="0"/>
    <xf numFmtId="170" fontId="39" fillId="0" borderId="0"/>
    <xf numFmtId="0" fontId="39" fillId="0" borderId="0"/>
    <xf numFmtId="169" fontId="39" fillId="0" borderId="0"/>
    <xf numFmtId="42" fontId="32" fillId="0" borderId="0" applyFont="0" applyFill="0" applyBorder="0" applyAlignment="0" applyProtection="0"/>
    <xf numFmtId="182" fontId="32" fillId="0" borderId="0" applyFont="0" applyFill="0" applyBorder="0" applyAlignment="0" applyProtection="0"/>
    <xf numFmtId="6" fontId="64" fillId="0" borderId="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0" fontId="58"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59"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59" fillId="0" borderId="0" applyFont="0" applyFill="0" applyBorder="0" applyAlignment="0" applyProtection="0"/>
    <xf numFmtId="44" fontId="59" fillId="0" borderId="0" applyFont="0" applyFill="0" applyBorder="0" applyAlignment="0" applyProtection="0"/>
    <xf numFmtId="44" fontId="59"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NumberFormat="0" applyFill="0" applyBorder="0" applyAlignment="0" applyProtection="0"/>
    <xf numFmtId="44" fontId="32" fillId="0" borderId="0" applyNumberFormat="0" applyFill="0" applyBorder="0" applyAlignment="0" applyProtection="0"/>
    <xf numFmtId="44" fontId="59"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0" fontId="58"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186" fontId="32" fillId="0" borderId="0" applyFont="0" applyFill="0" applyBorder="0" applyAlignment="0" applyProtection="0"/>
    <xf numFmtId="186"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65"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54"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54"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60" fillId="0" borderId="0" applyFont="0" applyFill="0" applyBorder="0" applyAlignment="0" applyProtection="0"/>
    <xf numFmtId="44" fontId="32"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53"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66"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66"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37" fillId="0" borderId="0" applyFont="0" applyFill="0" applyBorder="0" applyAlignment="0" applyProtection="0"/>
    <xf numFmtId="44" fontId="6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alignment vertical="center"/>
    </xf>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187" fontId="61"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0" fontId="61" fillId="0" borderId="0" applyFont="0" applyFill="0" applyBorder="0" applyAlignment="0" applyProtection="0"/>
    <xf numFmtId="0" fontId="39" fillId="0" borderId="0"/>
    <xf numFmtId="169" fontId="39" fillId="0" borderId="0"/>
    <xf numFmtId="169" fontId="39" fillId="0" borderId="0"/>
    <xf numFmtId="170" fontId="39" fillId="0" borderId="0"/>
    <xf numFmtId="0" fontId="39" fillId="0" borderId="0"/>
    <xf numFmtId="169" fontId="39" fillId="0" borderId="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4" fontId="58" fillId="0" borderId="0" applyFill="0" applyBorder="0" applyAlignment="0"/>
    <xf numFmtId="185" fontId="63" fillId="0" borderId="0">
      <protection locked="0"/>
    </xf>
    <xf numFmtId="178" fontId="36" fillId="0" borderId="0"/>
    <xf numFmtId="38" fontId="68" fillId="0" borderId="18">
      <alignment vertical="center"/>
    </xf>
    <xf numFmtId="0" fontId="69" fillId="83" borderId="0" applyNumberFormat="0" applyBorder="0" applyAlignment="0" applyProtection="0"/>
    <xf numFmtId="0" fontId="69" fillId="84" borderId="0" applyNumberFormat="0" applyBorder="0" applyAlignment="0" applyProtection="0"/>
    <xf numFmtId="0" fontId="69" fillId="85" borderId="0" applyNumberFormat="0" applyBorder="0" applyAlignment="0" applyProtection="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168" fontId="32" fillId="0" borderId="0" applyFont="0" applyFill="0" applyBorder="0" applyAlignment="0" applyProtection="0"/>
    <xf numFmtId="168" fontId="32" fillId="0" borderId="0" applyFont="0" applyFill="0" applyBorder="0" applyAlignment="0" applyProtection="0"/>
    <xf numFmtId="169" fontId="32" fillId="0" borderId="0" applyFont="0" applyFill="0" applyBorder="0" applyAlignment="0" applyProtection="0"/>
    <xf numFmtId="0" fontId="70" fillId="0" borderId="0" applyNumberFormat="0" applyFill="0" applyBorder="0" applyAlignment="0" applyProtection="0"/>
    <xf numFmtId="168" fontId="70" fillId="0" borderId="0" applyNumberFormat="0" applyFill="0" applyBorder="0" applyAlignment="0" applyProtection="0"/>
    <xf numFmtId="0" fontId="70" fillId="0" borderId="0" applyNumberFormat="0" applyFill="0" applyBorder="0" applyAlignment="0" applyProtection="0"/>
    <xf numFmtId="170" fontId="70" fillId="0" borderId="0" applyNumberFormat="0" applyFill="0" applyBorder="0" applyAlignment="0" applyProtection="0"/>
    <xf numFmtId="0" fontId="70" fillId="0" borderId="0" applyNumberFormat="0" applyFill="0" applyBorder="0" applyAlignment="0" applyProtection="0"/>
    <xf numFmtId="169"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180" fontId="24" fillId="0" borderId="0" applyNumberFormat="0" applyFill="0" applyBorder="0" applyAlignment="0" applyProtection="0"/>
    <xf numFmtId="0" fontId="70" fillId="0" borderId="0" applyNumberFormat="0" applyFill="0" applyBorder="0" applyAlignment="0" applyProtection="0"/>
    <xf numFmtId="0" fontId="24" fillId="0" borderId="0" applyNumberFormat="0" applyFill="0" applyBorder="0" applyAlignment="0" applyProtection="0"/>
    <xf numFmtId="168" fontId="70" fillId="0" borderId="0" applyNumberFormat="0" applyFill="0" applyBorder="0" applyAlignment="0" applyProtection="0"/>
    <xf numFmtId="0" fontId="71" fillId="0" borderId="0" applyNumberFormat="0" applyFill="0" applyBorder="0" applyAlignment="0" applyProtection="0"/>
    <xf numFmtId="168" fontId="70" fillId="0" borderId="0" applyNumberFormat="0" applyFill="0" applyBorder="0" applyAlignment="0" applyProtection="0"/>
    <xf numFmtId="168" fontId="70" fillId="0" borderId="0" applyNumberFormat="0" applyFill="0" applyBorder="0" applyAlignment="0" applyProtection="0"/>
    <xf numFmtId="0" fontId="71" fillId="0" borderId="0" applyNumberFormat="0" applyFill="0" applyBorder="0" applyAlignment="0" applyProtection="0"/>
    <xf numFmtId="168" fontId="70" fillId="0" borderId="0" applyNumberFormat="0" applyFill="0" applyBorder="0" applyAlignment="0" applyProtection="0"/>
    <xf numFmtId="168" fontId="72" fillId="0" borderId="0"/>
    <xf numFmtId="0" fontId="72" fillId="0" borderId="0"/>
    <xf numFmtId="168" fontId="72" fillId="0" borderId="0"/>
    <xf numFmtId="0" fontId="72" fillId="0" borderId="0"/>
    <xf numFmtId="0" fontId="72" fillId="0" borderId="0"/>
    <xf numFmtId="188" fontId="72" fillId="0" borderId="0">
      <alignment wrapText="1"/>
      <protection locked="0"/>
    </xf>
    <xf numFmtId="2" fontId="61"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0" fontId="62" fillId="0" borderId="0"/>
    <xf numFmtId="169" fontId="62" fillId="0" borderId="0"/>
    <xf numFmtId="169" fontId="62" fillId="0" borderId="0"/>
    <xf numFmtId="170" fontId="62" fillId="0" borderId="0"/>
    <xf numFmtId="0" fontId="62" fillId="0" borderId="0"/>
    <xf numFmtId="169" fontId="62" fillId="0" borderId="0"/>
    <xf numFmtId="168" fontId="73" fillId="1" borderId="0"/>
    <xf numFmtId="0" fontId="73" fillId="1" borderId="0"/>
    <xf numFmtId="168" fontId="73" fillId="1" borderId="0"/>
    <xf numFmtId="0" fontId="73" fillId="1" borderId="0"/>
    <xf numFmtId="0" fontId="73" fillId="1" borderId="0"/>
    <xf numFmtId="14" fontId="74" fillId="0" borderId="19" applyNumberFormat="0" applyBorder="0" applyAlignment="0">
      <alignment horizontal="center" wrapText="1"/>
    </xf>
    <xf numFmtId="14" fontId="74" fillId="0" borderId="19" applyNumberFormat="0" applyBorder="0" applyAlignment="0">
      <alignment horizontal="center" wrapText="1"/>
    </xf>
    <xf numFmtId="49" fontId="74" fillId="0" borderId="19" applyNumberFormat="0" applyBorder="0" applyAlignment="0">
      <alignment horizontal="center" wrapText="1"/>
    </xf>
    <xf numFmtId="49" fontId="74" fillId="0" borderId="19" applyNumberFormat="0" applyBorder="0" applyAlignment="0">
      <alignment horizontal="center" wrapText="1"/>
    </xf>
    <xf numFmtId="0" fontId="75" fillId="6" borderId="0" applyNumberFormat="0" applyBorder="0" applyAlignment="0" applyProtection="0"/>
    <xf numFmtId="0" fontId="76" fillId="45" borderId="0" applyNumberFormat="0" applyBorder="0" applyAlignment="0" applyProtection="0"/>
    <xf numFmtId="0" fontId="77" fillId="45" borderId="0" applyNumberFormat="0" applyBorder="0" applyAlignment="0" applyProtection="0"/>
    <xf numFmtId="0" fontId="76" fillId="49" borderId="0" applyNumberFormat="0" applyBorder="0" applyAlignment="0" applyProtection="0"/>
    <xf numFmtId="168" fontId="76" fillId="49" borderId="0" applyNumberFormat="0" applyBorder="0" applyAlignment="0" applyProtection="0"/>
    <xf numFmtId="169" fontId="76" fillId="45" borderId="0" applyNumberFormat="0" applyBorder="0" applyAlignment="0" applyProtection="0"/>
    <xf numFmtId="170" fontId="76" fillId="45" borderId="0" applyNumberFormat="0" applyBorder="0" applyAlignment="0" applyProtection="0"/>
    <xf numFmtId="0" fontId="76" fillId="45" borderId="0" applyNumberFormat="0" applyBorder="0" applyAlignment="0" applyProtection="0"/>
    <xf numFmtId="0" fontId="75" fillId="6" borderId="0" applyNumberFormat="0" applyBorder="0" applyAlignment="0" applyProtection="0"/>
    <xf numFmtId="0" fontId="76" fillId="49" borderId="0" applyNumberFormat="0" applyBorder="0" applyAlignment="0" applyProtection="0"/>
    <xf numFmtId="0" fontId="76" fillId="45" borderId="0" applyNumberFormat="0" applyBorder="0" applyAlignment="0" applyProtection="0"/>
    <xf numFmtId="0" fontId="78" fillId="6" borderId="0" applyNumberFormat="0" applyBorder="0" applyAlignment="0" applyProtection="0"/>
    <xf numFmtId="0" fontId="76" fillId="49" borderId="0" applyNumberFormat="0" applyBorder="0" applyAlignment="0" applyProtection="0"/>
    <xf numFmtId="171" fontId="16" fillId="6" borderId="0" applyNumberFormat="0" applyBorder="0" applyAlignment="0" applyProtection="0"/>
    <xf numFmtId="169" fontId="16" fillId="6" borderId="0" applyNumberFormat="0" applyBorder="0" applyAlignment="0" applyProtection="0"/>
    <xf numFmtId="0" fontId="76" fillId="49" borderId="0" applyNumberFormat="0" applyBorder="0" applyAlignment="0" applyProtection="0"/>
    <xf numFmtId="0" fontId="16" fillId="6" borderId="0" applyNumberFormat="0" applyBorder="0" applyAlignment="0" applyProtection="0"/>
    <xf numFmtId="168" fontId="76" fillId="49" borderId="0" applyNumberFormat="0" applyBorder="0" applyAlignment="0" applyProtection="0"/>
    <xf numFmtId="0" fontId="79" fillId="6" borderId="0" applyNumberFormat="0" applyBorder="0" applyAlignment="0" applyProtection="0"/>
    <xf numFmtId="168" fontId="76" fillId="49" borderId="0" applyNumberFormat="0" applyBorder="0" applyAlignment="0" applyProtection="0"/>
    <xf numFmtId="168" fontId="76" fillId="49" borderId="0" applyNumberFormat="0" applyBorder="0" applyAlignment="0" applyProtection="0"/>
    <xf numFmtId="0" fontId="79" fillId="6" borderId="0" applyNumberFormat="0" applyBorder="0" applyAlignment="0" applyProtection="0"/>
    <xf numFmtId="168" fontId="76" fillId="49" borderId="0" applyNumberFormat="0" applyBorder="0" applyAlignment="0" applyProtection="0"/>
    <xf numFmtId="0" fontId="80" fillId="86" borderId="20">
      <alignment horizontal="center"/>
    </xf>
    <xf numFmtId="168" fontId="81" fillId="0" borderId="21" applyNumberFormat="0" applyAlignment="0" applyProtection="0">
      <alignment horizontal="left" vertical="center"/>
    </xf>
    <xf numFmtId="168" fontId="81" fillId="0" borderId="21" applyNumberFormat="0" applyAlignment="0" applyProtection="0">
      <alignment horizontal="left" vertical="center"/>
    </xf>
    <xf numFmtId="168" fontId="81" fillId="0" borderId="21" applyNumberFormat="0" applyAlignment="0" applyProtection="0">
      <alignment horizontal="left" vertical="center"/>
    </xf>
    <xf numFmtId="169" fontId="81" fillId="0" borderId="21" applyNumberFormat="0" applyAlignment="0" applyProtection="0">
      <alignment horizontal="left" vertical="center"/>
    </xf>
    <xf numFmtId="169" fontId="81" fillId="0" borderId="21" applyNumberFormat="0" applyAlignment="0" applyProtection="0">
      <alignment horizontal="left" vertical="center"/>
    </xf>
    <xf numFmtId="168" fontId="81" fillId="0" borderId="21" applyNumberFormat="0" applyAlignment="0" applyProtection="0">
      <alignment horizontal="left" vertical="center"/>
    </xf>
    <xf numFmtId="168" fontId="81" fillId="0" borderId="2">
      <alignment horizontal="left" vertical="center"/>
    </xf>
    <xf numFmtId="168" fontId="81" fillId="0" borderId="2">
      <alignment horizontal="left" vertical="center"/>
    </xf>
    <xf numFmtId="168" fontId="81" fillId="0" borderId="2">
      <alignment horizontal="left" vertical="center"/>
    </xf>
    <xf numFmtId="169" fontId="81" fillId="0" borderId="2">
      <alignment horizontal="left" vertical="center"/>
    </xf>
    <xf numFmtId="169" fontId="81" fillId="0" borderId="2">
      <alignment horizontal="left" vertical="center"/>
    </xf>
    <xf numFmtId="168" fontId="81" fillId="0" borderId="2">
      <alignment horizontal="left" vertical="center"/>
    </xf>
    <xf numFmtId="0" fontId="82" fillId="0" borderId="0" applyNumberFormat="0" applyFill="0" applyBorder="0" applyAlignment="0" applyProtection="0"/>
    <xf numFmtId="0" fontId="83" fillId="0" borderId="22"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68" fontId="83" fillId="0" borderId="22"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80" fontId="84" fillId="0" borderId="23" applyNumberFormat="0" applyFill="0" applyAlignment="0" applyProtection="0"/>
    <xf numFmtId="180" fontId="84" fillId="0" borderId="23" applyNumberFormat="0" applyFill="0" applyAlignment="0" applyProtection="0"/>
    <xf numFmtId="180" fontId="84" fillId="0" borderId="23" applyNumberFormat="0" applyFill="0" applyAlignment="0" applyProtection="0"/>
    <xf numFmtId="18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2"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69"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70"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69"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69" fontId="85" fillId="0" borderId="0" applyNumberFormat="0" applyFill="0" applyBorder="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0" fontId="85" fillId="0" borderId="0" applyNumberFormat="0" applyFill="0" applyBorder="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0" fontId="83" fillId="0" borderId="22" applyNumberFormat="0" applyFill="0" applyAlignment="0" applyProtection="0"/>
    <xf numFmtId="0" fontId="13" fillId="0" borderId="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69" fontId="85" fillId="0" borderId="0" applyNumberFormat="0" applyFill="0" applyBorder="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0" fontId="83" fillId="0" borderId="22" applyNumberFormat="0" applyFill="0" applyAlignment="0" applyProtection="0"/>
    <xf numFmtId="169"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69"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70"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5" fillId="0" borderId="0" applyNumberFormat="0" applyFill="0" applyBorder="0" applyAlignment="0" applyProtection="0"/>
    <xf numFmtId="169" fontId="85" fillId="0" borderId="0" applyNumberFormat="0" applyFill="0" applyBorder="0" applyAlignment="0" applyProtection="0"/>
    <xf numFmtId="0" fontId="83" fillId="0" borderId="22" applyNumberFormat="0" applyFill="0" applyAlignment="0" applyProtection="0"/>
    <xf numFmtId="0" fontId="13" fillId="0" borderId="3" applyNumberFormat="0" applyFill="0" applyAlignment="0" applyProtection="0"/>
    <xf numFmtId="168" fontId="83" fillId="0" borderId="22" applyNumberFormat="0" applyFill="0" applyAlignment="0" applyProtection="0"/>
    <xf numFmtId="0" fontId="86" fillId="0" borderId="3" applyNumberFormat="0" applyFill="0" applyAlignment="0" applyProtection="0"/>
    <xf numFmtId="168" fontId="83" fillId="0" borderId="22" applyNumberFormat="0" applyFill="0" applyAlignment="0" applyProtection="0"/>
    <xf numFmtId="168" fontId="83" fillId="0" borderId="22" applyNumberFormat="0" applyFill="0" applyAlignment="0" applyProtection="0"/>
    <xf numFmtId="0" fontId="86" fillId="0" borderId="3" applyNumberFormat="0" applyFill="0" applyAlignment="0" applyProtection="0"/>
    <xf numFmtId="168" fontId="83" fillId="0" borderId="22" applyNumberFormat="0" applyFill="0" applyAlignment="0" applyProtection="0"/>
    <xf numFmtId="0" fontId="87" fillId="0" borderId="0" applyNumberFormat="0" applyFill="0" applyBorder="0" applyAlignment="0" applyProtection="0"/>
    <xf numFmtId="0" fontId="88" fillId="0" borderId="24"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68" fontId="88" fillId="0" borderId="24"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80" fontId="89" fillId="0" borderId="25" applyNumberFormat="0" applyFill="0" applyAlignment="0" applyProtection="0"/>
    <xf numFmtId="180" fontId="89" fillId="0" borderId="25" applyNumberFormat="0" applyFill="0" applyAlignment="0" applyProtection="0"/>
    <xf numFmtId="180" fontId="89" fillId="0" borderId="25" applyNumberFormat="0" applyFill="0" applyAlignment="0" applyProtection="0"/>
    <xf numFmtId="18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7"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69"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70"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69"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69" fontId="81" fillId="0" borderId="0" applyNumberFormat="0" applyFill="0" applyBorder="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0" fontId="81" fillId="0" borderId="0" applyNumberFormat="0" applyFill="0" applyBorder="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0" fontId="88" fillId="0" borderId="24" applyNumberFormat="0" applyFill="0" applyAlignment="0" applyProtection="0"/>
    <xf numFmtId="0" fontId="14" fillId="0" borderId="4"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69" fontId="81" fillId="0" borderId="0" applyNumberFormat="0" applyFill="0" applyBorder="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0" fontId="88" fillId="0" borderId="24" applyNumberFormat="0" applyFill="0" applyAlignment="0" applyProtection="0"/>
    <xf numFmtId="169"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69"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70"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1" fillId="0" borderId="0" applyNumberFormat="0" applyFill="0" applyBorder="0" applyAlignment="0" applyProtection="0"/>
    <xf numFmtId="169" fontId="81" fillId="0" borderId="0" applyNumberFormat="0" applyFill="0" applyBorder="0" applyAlignment="0" applyProtection="0"/>
    <xf numFmtId="0" fontId="88" fillId="0" borderId="24" applyNumberFormat="0" applyFill="0" applyAlignment="0" applyProtection="0"/>
    <xf numFmtId="0" fontId="14" fillId="0" borderId="4" applyNumberFormat="0" applyFill="0" applyAlignment="0" applyProtection="0"/>
    <xf numFmtId="168" fontId="88" fillId="0" borderId="24" applyNumberFormat="0" applyFill="0" applyAlignment="0" applyProtection="0"/>
    <xf numFmtId="0" fontId="90" fillId="0" borderId="4" applyNumberFormat="0" applyFill="0" applyAlignment="0" applyProtection="0"/>
    <xf numFmtId="168" fontId="88" fillId="0" borderId="24" applyNumberFormat="0" applyFill="0" applyAlignment="0" applyProtection="0"/>
    <xf numFmtId="168" fontId="88" fillId="0" borderId="24" applyNumberFormat="0" applyFill="0" applyAlignment="0" applyProtection="0"/>
    <xf numFmtId="0" fontId="90" fillId="0" borderId="4" applyNumberFormat="0" applyFill="0" applyAlignment="0" applyProtection="0"/>
    <xf numFmtId="168" fontId="88" fillId="0" borderId="24" applyNumberFormat="0" applyFill="0" applyAlignment="0" applyProtection="0"/>
    <xf numFmtId="0" fontId="91" fillId="0" borderId="26" applyNumberFormat="0" applyFill="0" applyAlignment="0" applyProtection="0"/>
    <xf numFmtId="0" fontId="92" fillId="0" borderId="27" applyNumberFormat="0" applyFill="0" applyAlignment="0" applyProtection="0"/>
    <xf numFmtId="168" fontId="92" fillId="0" borderId="27" applyNumberFormat="0" applyFill="0" applyAlignment="0" applyProtection="0"/>
    <xf numFmtId="0" fontId="91" fillId="0" borderId="26" applyNumberFormat="0" applyFill="0" applyAlignment="0" applyProtection="0"/>
    <xf numFmtId="170" fontId="91" fillId="0" borderId="26" applyNumberFormat="0" applyFill="0" applyAlignment="0" applyProtection="0"/>
    <xf numFmtId="0" fontId="91" fillId="0" borderId="26" applyNumberFormat="0" applyFill="0" applyAlignment="0" applyProtection="0"/>
    <xf numFmtId="0" fontId="92" fillId="0" borderId="27" applyNumberFormat="0" applyFill="0" applyAlignment="0" applyProtection="0"/>
    <xf numFmtId="0" fontId="92" fillId="0" borderId="27" applyNumberFormat="0" applyFill="0" applyAlignment="0" applyProtection="0"/>
    <xf numFmtId="0" fontId="91" fillId="0" borderId="26" applyNumberFormat="0" applyFill="0" applyAlignment="0" applyProtection="0"/>
    <xf numFmtId="180" fontId="15" fillId="0" borderId="5" applyNumberFormat="0" applyFill="0" applyAlignment="0" applyProtection="0"/>
    <xf numFmtId="0" fontId="92" fillId="0" borderId="27" applyNumberFormat="0" applyFill="0" applyAlignment="0" applyProtection="0"/>
    <xf numFmtId="0" fontId="15" fillId="0" borderId="5" applyNumberFormat="0" applyFill="0" applyAlignment="0" applyProtection="0"/>
    <xf numFmtId="168" fontId="92" fillId="0" borderId="27" applyNumberFormat="0" applyFill="0" applyAlignment="0" applyProtection="0"/>
    <xf numFmtId="0" fontId="93" fillId="0" borderId="5" applyNumberFormat="0" applyFill="0" applyAlignment="0" applyProtection="0"/>
    <xf numFmtId="168" fontId="92" fillId="0" borderId="27" applyNumberFormat="0" applyFill="0" applyAlignment="0" applyProtection="0"/>
    <xf numFmtId="168" fontId="92" fillId="0" borderId="27" applyNumberFormat="0" applyFill="0" applyAlignment="0" applyProtection="0"/>
    <xf numFmtId="0" fontId="93" fillId="0" borderId="5" applyNumberFormat="0" applyFill="0" applyAlignment="0" applyProtection="0"/>
    <xf numFmtId="168" fontId="92" fillId="0" borderId="27" applyNumberFormat="0" applyFill="0" applyAlignment="0" applyProtection="0"/>
    <xf numFmtId="0" fontId="91" fillId="0" borderId="0" applyNumberFormat="0" applyFill="0" applyBorder="0" applyAlignment="0" applyProtection="0"/>
    <xf numFmtId="0" fontId="92" fillId="0" borderId="0" applyNumberFormat="0" applyFill="0" applyBorder="0" applyAlignment="0" applyProtection="0"/>
    <xf numFmtId="168" fontId="92" fillId="0" borderId="0" applyNumberFormat="0" applyFill="0" applyBorder="0" applyAlignment="0" applyProtection="0"/>
    <xf numFmtId="0" fontId="91" fillId="0" borderId="0" applyNumberFormat="0" applyFill="0" applyBorder="0" applyAlignment="0" applyProtection="0"/>
    <xf numFmtId="170" fontId="91" fillId="0" borderId="0" applyNumberFormat="0" applyFill="0" applyBorder="0" applyAlignment="0" applyProtection="0"/>
    <xf numFmtId="0" fontId="91"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1" fillId="0" borderId="0" applyNumberFormat="0" applyFill="0" applyBorder="0" applyAlignment="0" applyProtection="0"/>
    <xf numFmtId="180" fontId="15" fillId="0" borderId="0" applyNumberFormat="0" applyFill="0" applyBorder="0" applyAlignment="0" applyProtection="0"/>
    <xf numFmtId="0" fontId="92" fillId="0" borderId="0" applyNumberFormat="0" applyFill="0" applyBorder="0" applyAlignment="0" applyProtection="0"/>
    <xf numFmtId="0" fontId="15" fillId="0" borderId="0" applyNumberFormat="0" applyFill="0" applyBorder="0" applyAlignment="0" applyProtection="0"/>
    <xf numFmtId="168" fontId="92" fillId="0" borderId="0" applyNumberFormat="0" applyFill="0" applyBorder="0" applyAlignment="0" applyProtection="0"/>
    <xf numFmtId="0" fontId="93" fillId="0" borderId="0" applyNumberFormat="0" applyFill="0" applyBorder="0" applyAlignment="0" applyProtection="0"/>
    <xf numFmtId="168" fontId="92" fillId="0" borderId="0" applyNumberFormat="0" applyFill="0" applyBorder="0" applyAlignment="0" applyProtection="0"/>
    <xf numFmtId="168" fontId="92" fillId="0" borderId="0" applyNumberFormat="0" applyFill="0" applyBorder="0" applyAlignment="0" applyProtection="0"/>
    <xf numFmtId="0" fontId="93" fillId="0" borderId="0" applyNumberFormat="0" applyFill="0" applyBorder="0" applyAlignment="0" applyProtection="0"/>
    <xf numFmtId="168" fontId="92" fillId="0" borderId="0" applyNumberFormat="0" applyFill="0" applyBorder="0" applyAlignment="0" applyProtection="0"/>
    <xf numFmtId="185" fontId="94" fillId="0" borderId="0">
      <protection locked="0"/>
    </xf>
    <xf numFmtId="185" fontId="94" fillId="0" borderId="0">
      <protection locked="0"/>
    </xf>
    <xf numFmtId="168" fontId="95" fillId="0" borderId="0" applyNumberFormat="0" applyFill="0" applyBorder="0" applyProtection="0">
      <alignment horizontal="center"/>
    </xf>
    <xf numFmtId="168" fontId="95" fillId="0" borderId="0" applyNumberFormat="0" applyFill="0" applyBorder="0" applyProtection="0">
      <alignment horizontal="center"/>
    </xf>
    <xf numFmtId="169" fontId="95" fillId="0" borderId="0" applyNumberFormat="0" applyFill="0" applyBorder="0" applyProtection="0">
      <alignment horizontal="center"/>
    </xf>
    <xf numFmtId="168" fontId="39" fillId="0" borderId="28" applyNumberFormat="0" applyFill="0" applyBorder="0" applyProtection="0">
      <alignment horizontal="center"/>
    </xf>
    <xf numFmtId="168" fontId="39" fillId="0" borderId="28" applyNumberFormat="0" applyFill="0" applyBorder="0" applyProtection="0">
      <alignment horizontal="center"/>
    </xf>
    <xf numFmtId="169" fontId="39" fillId="0" borderId="28" applyNumberFormat="0" applyFill="0" applyBorder="0" applyProtection="0">
      <alignment horizontal="center"/>
    </xf>
    <xf numFmtId="189" fontId="96" fillId="0" borderId="0"/>
    <xf numFmtId="0" fontId="32" fillId="0" borderId="0" applyNumberFormat="0" applyFill="0" applyBorder="0" applyAlignment="0" applyProtection="0">
      <alignment vertical="top"/>
      <protection locked="0"/>
    </xf>
    <xf numFmtId="0" fontId="97" fillId="0" borderId="0" applyNumberFormat="0" applyFill="0" applyBorder="0" applyAlignment="0" applyProtection="0">
      <alignment vertical="top"/>
      <protection locked="0"/>
    </xf>
    <xf numFmtId="169" fontId="98" fillId="0" borderId="0" applyNumberFormat="0" applyFill="0" applyBorder="0" applyAlignment="0" applyProtection="0">
      <alignment vertical="top"/>
      <protection locked="0"/>
    </xf>
    <xf numFmtId="170" fontId="98"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169" fontId="98"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0" fontId="101" fillId="0" borderId="0" applyNumberFormat="0" applyFill="0" applyBorder="0" applyAlignment="0" applyProtection="0">
      <alignment vertical="top"/>
      <protection locked="0"/>
    </xf>
    <xf numFmtId="168" fontId="97" fillId="0" borderId="0" applyNumberFormat="0" applyFill="0" applyBorder="0" applyAlignment="0" applyProtection="0">
      <alignment vertical="top"/>
      <protection locked="0"/>
    </xf>
    <xf numFmtId="169" fontId="97" fillId="0" borderId="0" applyNumberFormat="0" applyFill="0" applyBorder="0" applyAlignment="0" applyProtection="0">
      <alignment vertical="top"/>
      <protection locked="0"/>
    </xf>
    <xf numFmtId="0" fontId="102" fillId="48" borderId="16" applyNumberFormat="0" applyAlignment="0" applyProtection="0"/>
    <xf numFmtId="0" fontId="102" fillId="51" borderId="16" applyNumberFormat="0" applyAlignment="0" applyProtection="0"/>
    <xf numFmtId="171" fontId="102" fillId="48" borderId="16" applyNumberFormat="0" applyAlignment="0" applyProtection="0"/>
    <xf numFmtId="168" fontId="102" fillId="51" borderId="16" applyNumberFormat="0" applyAlignment="0" applyProtection="0"/>
    <xf numFmtId="169" fontId="19" fillId="9" borderId="6" applyNumberFormat="0" applyAlignment="0" applyProtection="0"/>
    <xf numFmtId="0" fontId="102" fillId="48" borderId="16" applyNumberFormat="0" applyAlignment="0" applyProtection="0"/>
    <xf numFmtId="170" fontId="19" fillId="9" borderId="6" applyNumberFormat="0" applyAlignment="0" applyProtection="0"/>
    <xf numFmtId="18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8" fontId="102" fillId="51" borderId="16" applyNumberFormat="0" applyAlignment="0" applyProtection="0"/>
    <xf numFmtId="0" fontId="102" fillId="51" borderId="16" applyNumberFormat="0" applyAlignment="0" applyProtection="0"/>
    <xf numFmtId="0" fontId="102" fillId="48" borderId="16" applyNumberFormat="0" applyAlignment="0" applyProtection="0"/>
    <xf numFmtId="0"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0" fontId="102" fillId="51" borderId="16" applyNumberFormat="0" applyAlignment="0" applyProtection="0"/>
    <xf numFmtId="0" fontId="102" fillId="48" borderId="16" applyNumberFormat="0" applyAlignment="0" applyProtection="0"/>
    <xf numFmtId="0" fontId="102" fillId="51" borderId="16" applyNumberFormat="0" applyAlignment="0" applyProtection="0"/>
    <xf numFmtId="169"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48" borderId="16" applyNumberFormat="0" applyAlignment="0" applyProtection="0"/>
    <xf numFmtId="0" fontId="102" fillId="51" borderId="16" applyNumberFormat="0" applyAlignment="0" applyProtection="0"/>
    <xf numFmtId="169"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48" borderId="16" applyNumberFormat="0" applyAlignment="0" applyProtection="0"/>
    <xf numFmtId="0" fontId="102" fillId="51" borderId="16" applyNumberFormat="0" applyAlignment="0" applyProtection="0"/>
    <xf numFmtId="169"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51" borderId="16" applyNumberFormat="0" applyAlignment="0" applyProtection="0"/>
    <xf numFmtId="0" fontId="102" fillId="51"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51"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48" borderId="16" applyNumberFormat="0" applyAlignment="0" applyProtection="0"/>
    <xf numFmtId="168" fontId="102" fillId="51" borderId="16" applyNumberFormat="0" applyAlignment="0" applyProtection="0"/>
    <xf numFmtId="168" fontId="102" fillId="51" borderId="16" applyNumberFormat="0" applyAlignment="0" applyProtection="0"/>
    <xf numFmtId="168" fontId="102" fillId="51" borderId="16" applyNumberFormat="0" applyAlignment="0" applyProtection="0"/>
    <xf numFmtId="0" fontId="103" fillId="9" borderId="6" applyNumberFormat="0" applyAlignment="0" applyProtection="0"/>
    <xf numFmtId="168" fontId="102" fillId="51" borderId="16" applyNumberFormat="0" applyAlignment="0" applyProtection="0"/>
    <xf numFmtId="168" fontId="102" fillId="51" borderId="16" applyNumberFormat="0" applyAlignment="0" applyProtection="0"/>
    <xf numFmtId="168" fontId="102" fillId="51" borderId="16" applyNumberFormat="0" applyAlignment="0" applyProtection="0"/>
    <xf numFmtId="168" fontId="102" fillId="51" borderId="16" applyNumberFormat="0" applyAlignment="0" applyProtection="0"/>
    <xf numFmtId="168" fontId="102" fillId="51" borderId="16" applyNumberFormat="0" applyAlignment="0" applyProtection="0"/>
    <xf numFmtId="0" fontId="102" fillId="48" borderId="16" applyNumberFormat="0" applyAlignment="0" applyProtection="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0" fontId="104" fillId="0" borderId="29" applyNumberFormat="0" applyFill="0" applyAlignment="0" applyProtection="0"/>
    <xf numFmtId="0" fontId="105" fillId="0" borderId="30" applyNumberFormat="0" applyFill="0" applyAlignment="0" applyProtection="0"/>
    <xf numFmtId="168" fontId="105" fillId="0" borderId="30" applyNumberFormat="0" applyFill="0" applyAlignment="0" applyProtection="0"/>
    <xf numFmtId="0" fontId="104" fillId="0" borderId="29" applyNumberFormat="0" applyFill="0" applyAlignment="0" applyProtection="0"/>
    <xf numFmtId="170" fontId="104" fillId="0" borderId="29" applyNumberFormat="0" applyFill="0" applyAlignment="0" applyProtection="0"/>
    <xf numFmtId="0" fontId="104" fillId="0" borderId="29" applyNumberFormat="0" applyFill="0" applyAlignment="0" applyProtection="0"/>
    <xf numFmtId="0" fontId="105" fillId="0" borderId="30" applyNumberFormat="0" applyFill="0" applyAlignment="0" applyProtection="0"/>
    <xf numFmtId="0" fontId="105" fillId="0" borderId="30" applyNumberFormat="0" applyFill="0" applyAlignment="0" applyProtection="0"/>
    <xf numFmtId="0" fontId="104" fillId="0" borderId="29" applyNumberFormat="0" applyFill="0" applyAlignment="0" applyProtection="0"/>
    <xf numFmtId="180" fontId="22" fillId="0" borderId="8" applyNumberFormat="0" applyFill="0" applyAlignment="0" applyProtection="0"/>
    <xf numFmtId="0" fontId="105" fillId="0" borderId="30" applyNumberFormat="0" applyFill="0" applyAlignment="0" applyProtection="0"/>
    <xf numFmtId="0" fontId="22" fillId="0" borderId="8" applyNumberFormat="0" applyFill="0" applyAlignment="0" applyProtection="0"/>
    <xf numFmtId="168" fontId="105" fillId="0" borderId="30" applyNumberFormat="0" applyFill="0" applyAlignment="0" applyProtection="0"/>
    <xf numFmtId="0" fontId="106" fillId="0" borderId="8" applyNumberFormat="0" applyFill="0" applyAlignment="0" applyProtection="0"/>
    <xf numFmtId="168" fontId="105" fillId="0" borderId="30" applyNumberFormat="0" applyFill="0" applyAlignment="0" applyProtection="0"/>
    <xf numFmtId="168" fontId="105" fillId="0" borderId="30" applyNumberFormat="0" applyFill="0" applyAlignment="0" applyProtection="0"/>
    <xf numFmtId="0" fontId="106" fillId="0" borderId="8" applyNumberFormat="0" applyFill="0" applyAlignment="0" applyProtection="0"/>
    <xf numFmtId="168" fontId="105" fillId="0" borderId="30" applyNumberFormat="0" applyFill="0" applyAlignment="0" applyProtection="0"/>
    <xf numFmtId="190" fontId="42" fillId="0" borderId="0" applyBorder="0">
      <alignment horizontal="center"/>
    </xf>
    <xf numFmtId="1" fontId="36" fillId="0" borderId="0">
      <alignment horizontal="center" vertical="center" wrapText="1"/>
    </xf>
    <xf numFmtId="0" fontId="107" fillId="51" borderId="0" applyNumberFormat="0" applyBorder="0" applyAlignment="0" applyProtection="0"/>
    <xf numFmtId="0" fontId="108" fillId="51" borderId="0" applyNumberFormat="0" applyBorder="0" applyAlignment="0" applyProtection="0"/>
    <xf numFmtId="168" fontId="108" fillId="51" borderId="0" applyNumberFormat="0" applyBorder="0" applyAlignment="0" applyProtection="0"/>
    <xf numFmtId="0" fontId="109" fillId="8" borderId="0" applyNumberFormat="0" applyBorder="0" applyAlignment="0" applyProtection="0"/>
    <xf numFmtId="0" fontId="107" fillId="51" borderId="0" applyNumberFormat="0" applyBorder="0" applyAlignment="0" applyProtection="0"/>
    <xf numFmtId="0" fontId="107" fillId="51" borderId="0" applyNumberFormat="0" applyBorder="0" applyAlignment="0" applyProtection="0"/>
    <xf numFmtId="0" fontId="108" fillId="51" borderId="0" applyNumberFormat="0" applyBorder="0" applyAlignment="0" applyProtection="0"/>
    <xf numFmtId="0" fontId="108" fillId="51" borderId="0" applyNumberFormat="0" applyBorder="0" applyAlignment="0" applyProtection="0"/>
    <xf numFmtId="171" fontId="18" fillId="8" borderId="0" applyNumberFormat="0" applyBorder="0" applyAlignment="0" applyProtection="0"/>
    <xf numFmtId="169" fontId="18" fillId="8" borderId="0" applyNumberFormat="0" applyBorder="0" applyAlignment="0" applyProtection="0"/>
    <xf numFmtId="0" fontId="108" fillId="51" borderId="0" applyNumberFormat="0" applyBorder="0" applyAlignment="0" applyProtection="0"/>
    <xf numFmtId="0" fontId="18" fillId="8" borderId="0" applyNumberFormat="0" applyBorder="0" applyAlignment="0" applyProtection="0"/>
    <xf numFmtId="168" fontId="108" fillId="51" borderId="0" applyNumberFormat="0" applyBorder="0" applyAlignment="0" applyProtection="0"/>
    <xf numFmtId="0" fontId="109" fillId="8" borderId="0" applyNumberFormat="0" applyBorder="0" applyAlignment="0" applyProtection="0"/>
    <xf numFmtId="168" fontId="108" fillId="51" borderId="0" applyNumberFormat="0" applyBorder="0" applyAlignment="0" applyProtection="0"/>
    <xf numFmtId="168" fontId="108" fillId="51" borderId="0" applyNumberFormat="0" applyBorder="0" applyAlignment="0" applyProtection="0"/>
    <xf numFmtId="0" fontId="109" fillId="8" borderId="0" applyNumberFormat="0" applyBorder="0" applyAlignment="0" applyProtection="0"/>
    <xf numFmtId="168" fontId="108" fillId="51" borderId="0" applyNumberFormat="0" applyBorder="0" applyAlignment="0" applyProtection="0"/>
    <xf numFmtId="168" fontId="68" fillId="0" borderId="0"/>
    <xf numFmtId="191" fontId="110" fillId="0" borderId="0"/>
    <xf numFmtId="0" fontId="62" fillId="0" borderId="0"/>
    <xf numFmtId="169" fontId="62" fillId="0" borderId="0"/>
    <xf numFmtId="169" fontId="62" fillId="0" borderId="0"/>
    <xf numFmtId="170" fontId="62" fillId="0" borderId="0"/>
    <xf numFmtId="0" fontId="62" fillId="0" borderId="0"/>
    <xf numFmtId="169" fontId="62" fillId="0" borderId="0"/>
    <xf numFmtId="0" fontId="32" fillId="0" borderId="0"/>
    <xf numFmtId="0" fontId="32" fillId="0" borderId="0"/>
    <xf numFmtId="0" fontId="11" fillId="0" borderId="0"/>
    <xf numFmtId="0" fontId="11" fillId="0" borderId="0"/>
    <xf numFmtId="0" fontId="11" fillId="0" borderId="0"/>
    <xf numFmtId="169"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70" fontId="11" fillId="0" borderId="0"/>
    <xf numFmtId="0" fontId="11" fillId="0" borderId="0"/>
    <xf numFmtId="170" fontId="11" fillId="0" borderId="0"/>
    <xf numFmtId="0" fontId="11" fillId="0" borderId="0"/>
    <xf numFmtId="0"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70" fontId="11" fillId="0" borderId="0"/>
    <xf numFmtId="0" fontId="11" fillId="0" borderId="0"/>
    <xf numFmtId="17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0" fontId="32"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2"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168" fontId="11" fillId="0" borderId="0"/>
    <xf numFmtId="169" fontId="11" fillId="0" borderId="0"/>
    <xf numFmtId="0" fontId="32"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2" fillId="0" borderId="0"/>
    <xf numFmtId="0" fontId="11" fillId="0" borderId="0"/>
    <xf numFmtId="169" fontId="11" fillId="0" borderId="0"/>
    <xf numFmtId="170" fontId="11" fillId="0" borderId="0"/>
    <xf numFmtId="169" fontId="11" fillId="0" borderId="0"/>
    <xf numFmtId="170" fontId="11" fillId="0" borderId="0"/>
    <xf numFmtId="0" fontId="32" fillId="0" borderId="0"/>
    <xf numFmtId="169" fontId="11" fillId="0" borderId="0"/>
    <xf numFmtId="169" fontId="11" fillId="0" borderId="0"/>
    <xf numFmtId="170" fontId="11" fillId="0" borderId="0"/>
    <xf numFmtId="169" fontId="11" fillId="0" borderId="0"/>
    <xf numFmtId="170" fontId="11" fillId="0" borderId="0"/>
    <xf numFmtId="0" fontId="32" fillId="0" borderId="0"/>
    <xf numFmtId="169" fontId="11" fillId="0" borderId="0"/>
    <xf numFmtId="170" fontId="11" fillId="0" borderId="0"/>
    <xf numFmtId="0" fontId="32" fillId="0" borderId="0"/>
    <xf numFmtId="169" fontId="11" fillId="0" borderId="0"/>
    <xf numFmtId="170" fontId="11" fillId="0" borderId="0"/>
    <xf numFmtId="0" fontId="37" fillId="0" borderId="0"/>
    <xf numFmtId="0" fontId="38" fillId="0" borderId="0"/>
    <xf numFmtId="0" fontId="38" fillId="0" borderId="0"/>
    <xf numFmtId="171" fontId="32" fillId="0" borderId="0"/>
    <xf numFmtId="169" fontId="32" fillId="0" borderId="0"/>
    <xf numFmtId="171" fontId="32" fillId="0" borderId="0"/>
    <xf numFmtId="168" fontId="32" fillId="0" borderId="0"/>
    <xf numFmtId="0" fontId="38" fillId="0" borderId="0"/>
    <xf numFmtId="169" fontId="32" fillId="0" borderId="0"/>
    <xf numFmtId="170" fontId="32" fillId="0" borderId="0"/>
    <xf numFmtId="0" fontId="32" fillId="0" borderId="0"/>
    <xf numFmtId="169" fontId="32" fillId="0" borderId="0"/>
    <xf numFmtId="0" fontId="38" fillId="0" borderId="0"/>
    <xf numFmtId="0" fontId="38" fillId="0" borderId="0"/>
    <xf numFmtId="171" fontId="32" fillId="0" borderId="0"/>
    <xf numFmtId="169" fontId="32" fillId="0" borderId="0"/>
    <xf numFmtId="0" fontId="38" fillId="0" borderId="0"/>
    <xf numFmtId="169" fontId="32" fillId="0" borderId="0"/>
    <xf numFmtId="170" fontId="32" fillId="0" borderId="0"/>
    <xf numFmtId="0" fontId="32" fillId="0" borderId="0"/>
    <xf numFmtId="169" fontId="32" fillId="0" borderId="0"/>
    <xf numFmtId="0" fontId="38" fillId="0" borderId="0"/>
    <xf numFmtId="0" fontId="38" fillId="0" borderId="0"/>
    <xf numFmtId="171" fontId="32" fillId="0" borderId="0"/>
    <xf numFmtId="169" fontId="32" fillId="0" borderId="0"/>
    <xf numFmtId="0" fontId="38" fillId="0" borderId="0"/>
    <xf numFmtId="169" fontId="32" fillId="0" borderId="0"/>
    <xf numFmtId="170" fontId="32" fillId="0" borderId="0"/>
    <xf numFmtId="0" fontId="32" fillId="0" borderId="0"/>
    <xf numFmtId="169" fontId="32" fillId="0" borderId="0"/>
    <xf numFmtId="0" fontId="38" fillId="0" borderId="0"/>
    <xf numFmtId="0" fontId="38" fillId="0" borderId="0"/>
    <xf numFmtId="171" fontId="32" fillId="0" borderId="0"/>
    <xf numFmtId="169" fontId="32" fillId="0" borderId="0"/>
    <xf numFmtId="0" fontId="38" fillId="0" borderId="0"/>
    <xf numFmtId="169" fontId="32" fillId="0" borderId="0"/>
    <xf numFmtId="170" fontId="32" fillId="0" borderId="0"/>
    <xf numFmtId="0" fontId="32" fillId="0" borderId="0"/>
    <xf numFmtId="169" fontId="32" fillId="0" borderId="0"/>
    <xf numFmtId="0" fontId="38" fillId="0" borderId="0"/>
    <xf numFmtId="0" fontId="38" fillId="0" borderId="0"/>
    <xf numFmtId="171" fontId="32" fillId="0" borderId="0"/>
    <xf numFmtId="169" fontId="32" fillId="0" borderId="0"/>
    <xf numFmtId="0" fontId="38" fillId="0" borderId="0"/>
    <xf numFmtId="169" fontId="32" fillId="0" borderId="0"/>
    <xf numFmtId="170" fontId="32" fillId="0" borderId="0"/>
    <xf numFmtId="0" fontId="32" fillId="0" borderId="0"/>
    <xf numFmtId="169" fontId="32" fillId="0" borderId="0"/>
    <xf numFmtId="0" fontId="38" fillId="0" borderId="0"/>
    <xf numFmtId="0" fontId="38" fillId="0" borderId="0"/>
    <xf numFmtId="171" fontId="32" fillId="0" borderId="0"/>
    <xf numFmtId="169" fontId="32" fillId="0" borderId="0"/>
    <xf numFmtId="0" fontId="38"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58"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0" fontId="32" fillId="0" borderId="0"/>
    <xf numFmtId="192" fontId="111" fillId="0" borderId="0"/>
    <xf numFmtId="192" fontId="111" fillId="0" borderId="0"/>
    <xf numFmtId="0" fontId="11" fillId="0" borderId="0"/>
    <xf numFmtId="169" fontId="11" fillId="0" borderId="0"/>
    <xf numFmtId="0" fontId="11" fillId="0" borderId="0"/>
    <xf numFmtId="0" fontId="11" fillId="0" borderId="0"/>
    <xf numFmtId="169" fontId="11" fillId="0" borderId="0"/>
    <xf numFmtId="0" fontId="32"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2"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171" fontId="11" fillId="0" borderId="0"/>
    <xf numFmtId="169" fontId="11" fillId="0" borderId="0"/>
    <xf numFmtId="0" fontId="32" fillId="0" borderId="0"/>
    <xf numFmtId="171" fontId="32"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7"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7"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11" fillId="0" borderId="0"/>
    <xf numFmtId="169" fontId="11" fillId="0" borderId="0"/>
    <xf numFmtId="0" fontId="11" fillId="0" borderId="0"/>
    <xf numFmtId="0" fontId="11" fillId="0" borderId="0"/>
    <xf numFmtId="169"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70" fontId="11" fillId="0" borderId="0"/>
    <xf numFmtId="0" fontId="11" fillId="0" borderId="0"/>
    <xf numFmtId="170" fontId="11" fillId="0" borderId="0"/>
    <xf numFmtId="0" fontId="11" fillId="0" borderId="0"/>
    <xf numFmtId="0" fontId="11" fillId="0" borderId="0"/>
    <xf numFmtId="170" fontId="11" fillId="0" borderId="0"/>
    <xf numFmtId="0"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7"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0" fontId="11" fillId="0" borderId="0"/>
    <xf numFmtId="169" fontId="11" fillId="0" borderId="0"/>
    <xf numFmtId="0" fontId="38" fillId="0" borderId="0"/>
    <xf numFmtId="0" fontId="11" fillId="0" borderId="0"/>
    <xf numFmtId="169" fontId="11" fillId="0" borderId="0"/>
    <xf numFmtId="0"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70" fontId="11" fillId="0" borderId="0"/>
    <xf numFmtId="0" fontId="11" fillId="0" borderId="0"/>
    <xf numFmtId="170" fontId="11" fillId="0" borderId="0"/>
    <xf numFmtId="0" fontId="11" fillId="0" borderId="0"/>
    <xf numFmtId="0" fontId="11" fillId="0" borderId="0"/>
    <xf numFmtId="170" fontId="11" fillId="0" borderId="0"/>
    <xf numFmtId="0"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0" fontId="11" fillId="0" borderId="0"/>
    <xf numFmtId="169" fontId="11" fillId="0" borderId="0"/>
    <xf numFmtId="0" fontId="11" fillId="0" borderId="0"/>
    <xf numFmtId="169" fontId="11" fillId="0" borderId="0"/>
    <xf numFmtId="0"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0" fontId="32" fillId="0" borderId="0"/>
    <xf numFmtId="0" fontId="11"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0" fontId="11" fillId="0" borderId="0"/>
    <xf numFmtId="169" fontId="11" fillId="0" borderId="0"/>
    <xf numFmtId="0" fontId="66" fillId="0" borderId="0"/>
    <xf numFmtId="0" fontId="11" fillId="0" borderId="0"/>
    <xf numFmtId="169"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42"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0" fontId="11" fillId="0" borderId="0"/>
    <xf numFmtId="169" fontId="11" fillId="0" borderId="0"/>
    <xf numFmtId="0" fontId="11" fillId="0" borderId="0"/>
    <xf numFmtId="169" fontId="11" fillId="0" borderId="0"/>
    <xf numFmtId="0" fontId="113"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3"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71" fontId="32" fillId="0" borderId="0"/>
    <xf numFmtId="169" fontId="32" fillId="0" borderId="0"/>
    <xf numFmtId="171" fontId="112"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71" fontId="112" fillId="0" borderId="0"/>
    <xf numFmtId="169" fontId="112" fillId="0" borderId="0"/>
    <xf numFmtId="171" fontId="32" fillId="0" borderId="0"/>
    <xf numFmtId="171" fontId="32" fillId="0" borderId="0"/>
    <xf numFmtId="169" fontId="32" fillId="0" borderId="0"/>
    <xf numFmtId="171" fontId="32" fillId="0" borderId="0"/>
    <xf numFmtId="168" fontId="32" fillId="0" borderId="0"/>
    <xf numFmtId="168" fontId="32" fillId="0" borderId="0"/>
    <xf numFmtId="169" fontId="32" fillId="0" borderId="0"/>
    <xf numFmtId="171" fontId="32" fillId="0" borderId="0"/>
    <xf numFmtId="169" fontId="32" fillId="0" borderId="0"/>
    <xf numFmtId="171" fontId="32" fillId="0" borderId="0"/>
    <xf numFmtId="168" fontId="32" fillId="0" borderId="0"/>
    <xf numFmtId="168" fontId="32" fillId="0" borderId="0"/>
    <xf numFmtId="168" fontId="32" fillId="0" borderId="0"/>
    <xf numFmtId="169" fontId="32" fillId="0" borderId="0"/>
    <xf numFmtId="168" fontId="32" fillId="0" borderId="0"/>
    <xf numFmtId="168" fontId="32" fillId="0" borderId="0"/>
    <xf numFmtId="170" fontId="32" fillId="0" borderId="0"/>
    <xf numFmtId="169" fontId="32" fillId="0" borderId="0"/>
    <xf numFmtId="170" fontId="32" fillId="0" borderId="0"/>
    <xf numFmtId="168" fontId="32" fillId="0" borderId="0"/>
    <xf numFmtId="168" fontId="32" fillId="0" borderId="0"/>
    <xf numFmtId="169" fontId="32" fillId="0" borderId="0"/>
    <xf numFmtId="171" fontId="32" fillId="0" borderId="0"/>
    <xf numFmtId="169" fontId="32"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169" fontId="11" fillId="0" borderId="0"/>
    <xf numFmtId="0" fontId="32" fillId="0" borderId="0"/>
    <xf numFmtId="0" fontId="32" fillId="0" borderId="0"/>
    <xf numFmtId="169" fontId="11" fillId="0" borderId="0"/>
    <xf numFmtId="0" fontId="113"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3"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32" fillId="0" borderId="0"/>
    <xf numFmtId="171" fontId="32" fillId="0" borderId="0"/>
    <xf numFmtId="169" fontId="32"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0" fontId="11" fillId="0" borderId="0"/>
    <xf numFmtId="0" fontId="11" fillId="0" borderId="0"/>
    <xf numFmtId="169" fontId="11" fillId="0" borderId="0"/>
    <xf numFmtId="168" fontId="32" fillId="0" borderId="0"/>
    <xf numFmtId="0" fontId="32" fillId="0" borderId="0"/>
    <xf numFmtId="169" fontId="11" fillId="0" borderId="0"/>
    <xf numFmtId="0" fontId="38"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8" fillId="0" borderId="0"/>
    <xf numFmtId="0" fontId="38" fillId="0" borderId="0"/>
    <xf numFmtId="0" fontId="38" fillId="0" borderId="0"/>
    <xf numFmtId="0" fontId="38" fillId="0" borderId="0"/>
    <xf numFmtId="169" fontId="11" fillId="0" borderId="0"/>
    <xf numFmtId="170" fontId="11" fillId="0" borderId="0"/>
    <xf numFmtId="0" fontId="38" fillId="0" borderId="0"/>
    <xf numFmtId="0" fontId="11" fillId="0" borderId="0"/>
    <xf numFmtId="0" fontId="38" fillId="0" borderId="0"/>
    <xf numFmtId="169" fontId="11" fillId="0" borderId="0"/>
    <xf numFmtId="170" fontId="11" fillId="0" borderId="0"/>
    <xf numFmtId="0" fontId="38" fillId="0" borderId="0"/>
    <xf numFmtId="169" fontId="11" fillId="0" borderId="0"/>
    <xf numFmtId="170" fontId="11" fillId="0" borderId="0"/>
    <xf numFmtId="0" fontId="11" fillId="0" borderId="0"/>
    <xf numFmtId="169" fontId="11" fillId="0" borderId="0"/>
    <xf numFmtId="0" fontId="38" fillId="0" borderId="0"/>
    <xf numFmtId="0" fontId="38" fillId="0" borderId="0"/>
    <xf numFmtId="169" fontId="11" fillId="0" borderId="0"/>
    <xf numFmtId="169" fontId="11" fillId="0" borderId="0"/>
    <xf numFmtId="170" fontId="11" fillId="0" borderId="0"/>
    <xf numFmtId="169" fontId="11" fillId="0" borderId="0"/>
    <xf numFmtId="170" fontId="11" fillId="0" borderId="0"/>
    <xf numFmtId="0" fontId="38" fillId="0" borderId="0"/>
    <xf numFmtId="169" fontId="11" fillId="0" borderId="0"/>
    <xf numFmtId="170" fontId="11" fillId="0" borderId="0"/>
    <xf numFmtId="0" fontId="11" fillId="0" borderId="0"/>
    <xf numFmtId="169" fontId="11" fillId="0" borderId="0"/>
    <xf numFmtId="170" fontId="11" fillId="0" borderId="0"/>
    <xf numFmtId="168" fontId="11" fillId="0" borderId="0"/>
    <xf numFmtId="169" fontId="11" fillId="0" borderId="0"/>
    <xf numFmtId="0" fontId="113" fillId="0" borderId="0"/>
    <xf numFmtId="169" fontId="11" fillId="0" borderId="0"/>
    <xf numFmtId="169" fontId="11" fillId="0" borderId="0"/>
    <xf numFmtId="170" fontId="11" fillId="0" borderId="0"/>
    <xf numFmtId="169" fontId="11" fillId="0" borderId="0"/>
    <xf numFmtId="170" fontId="11" fillId="0" borderId="0"/>
    <xf numFmtId="0" fontId="38" fillId="0" borderId="0"/>
    <xf numFmtId="169" fontId="11" fillId="0" borderId="0"/>
    <xf numFmtId="170" fontId="11" fillId="0" borderId="0"/>
    <xf numFmtId="0" fontId="38" fillId="0" borderId="0"/>
    <xf numFmtId="169" fontId="11" fillId="0" borderId="0"/>
    <xf numFmtId="170" fontId="11" fillId="0" borderId="0"/>
    <xf numFmtId="0" fontId="11" fillId="0" borderId="0"/>
    <xf numFmtId="169" fontId="11" fillId="0" borderId="0"/>
    <xf numFmtId="0" fontId="32"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168" fontId="11" fillId="0" borderId="0"/>
    <xf numFmtId="169" fontId="11" fillId="0" borderId="0"/>
    <xf numFmtId="0" fontId="32"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70" fontId="11" fillId="0" borderId="0"/>
    <xf numFmtId="170" fontId="11" fillId="0" borderId="0"/>
    <xf numFmtId="170" fontId="11" fillId="0" borderId="0"/>
    <xf numFmtId="168" fontId="11" fillId="0" borderId="0"/>
    <xf numFmtId="170" fontId="11" fillId="0" borderId="0"/>
    <xf numFmtId="170"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32" fillId="0" borderId="0"/>
    <xf numFmtId="168" fontId="32" fillId="0" borderId="0"/>
    <xf numFmtId="168" fontId="32" fillId="0" borderId="0"/>
    <xf numFmtId="169" fontId="32" fillId="0" borderId="0"/>
    <xf numFmtId="171" fontId="32" fillId="0" borderId="0"/>
    <xf numFmtId="169" fontId="32" fillId="0" borderId="0"/>
    <xf numFmtId="168"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9" fontId="32" fillId="0" borderId="0"/>
    <xf numFmtId="168" fontId="11" fillId="0" borderId="0"/>
    <xf numFmtId="168"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65" fillId="0" borderId="0"/>
    <xf numFmtId="168" fontId="65" fillId="0" borderId="0"/>
    <xf numFmtId="169" fontId="65" fillId="0" borderId="0"/>
    <xf numFmtId="168" fontId="32" fillId="0" borderId="0"/>
    <xf numFmtId="168" fontId="32" fillId="0" borderId="0"/>
    <xf numFmtId="168" fontId="32" fillId="0" borderId="0"/>
    <xf numFmtId="168" fontId="32" fillId="0" borderId="0"/>
    <xf numFmtId="170" fontId="32" fillId="0" borderId="0"/>
    <xf numFmtId="169" fontId="32" fillId="0" borderId="0"/>
    <xf numFmtId="168" fontId="32" fillId="0" borderId="0"/>
    <xf numFmtId="169" fontId="32" fillId="0" borderId="0"/>
    <xf numFmtId="168" fontId="32" fillId="0" borderId="0"/>
    <xf numFmtId="168" fontId="32" fillId="0" borderId="0"/>
    <xf numFmtId="169" fontId="32"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32" fillId="0" borderId="0"/>
    <xf numFmtId="168" fontId="32" fillId="0" borderId="0"/>
    <xf numFmtId="168" fontId="32" fillId="0" borderId="0"/>
    <xf numFmtId="169" fontId="32" fillId="0" borderId="0"/>
    <xf numFmtId="168" fontId="32" fillId="0" borderId="0"/>
    <xf numFmtId="169" fontId="32" fillId="0" borderId="0"/>
    <xf numFmtId="168" fontId="32" fillId="0" borderId="0"/>
    <xf numFmtId="0" fontId="11" fillId="0" borderId="0"/>
    <xf numFmtId="169" fontId="11" fillId="0" borderId="0"/>
    <xf numFmtId="0" fontId="38" fillId="0" borderId="0"/>
    <xf numFmtId="169" fontId="11" fillId="0" borderId="0"/>
    <xf numFmtId="0" fontId="38"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3"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8"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2"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32" fillId="0" borderId="0"/>
    <xf numFmtId="168" fontId="32" fillId="0" borderId="0"/>
    <xf numFmtId="169" fontId="32"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42" fillId="0" borderId="0"/>
    <xf numFmtId="0" fontId="113" fillId="0" borderId="0"/>
    <xf numFmtId="0" fontId="32" fillId="0" borderId="0"/>
    <xf numFmtId="0" fontId="32" fillId="0" borderId="0"/>
    <xf numFmtId="0" fontId="11" fillId="0" borderId="0"/>
    <xf numFmtId="0" fontId="11" fillId="0" borderId="0"/>
    <xf numFmtId="0" fontId="11" fillId="0" borderId="0"/>
    <xf numFmtId="168" fontId="32" fillId="0" borderId="0"/>
    <xf numFmtId="0" fontId="114" fillId="0" borderId="0"/>
    <xf numFmtId="0" fontId="11" fillId="0" borderId="0"/>
    <xf numFmtId="0" fontId="11" fillId="0" borderId="0"/>
    <xf numFmtId="0" fontId="11" fillId="0" borderId="0"/>
    <xf numFmtId="0" fontId="32" fillId="0" borderId="0"/>
    <xf numFmtId="0" fontId="11" fillId="0" borderId="0"/>
    <xf numFmtId="0" fontId="11"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4" fillId="0" borderId="0"/>
    <xf numFmtId="0" fontId="11" fillId="0" borderId="0"/>
    <xf numFmtId="0" fontId="11"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113" fillId="0" borderId="0"/>
    <xf numFmtId="17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58" fillId="0" borderId="0"/>
    <xf numFmtId="0" fontId="114" fillId="0" borderId="0"/>
    <xf numFmtId="0" fontId="11" fillId="0" borderId="0"/>
    <xf numFmtId="0" fontId="11" fillId="0" borderId="0"/>
    <xf numFmtId="168" fontId="58" fillId="0" borderId="0"/>
    <xf numFmtId="0" fontId="32" fillId="0" borderId="0"/>
    <xf numFmtId="0" fontId="11" fillId="0" borderId="0"/>
    <xf numFmtId="0" fontId="11"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169"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32" fillId="0" borderId="0"/>
    <xf numFmtId="0" fontId="32" fillId="0" borderId="0"/>
    <xf numFmtId="168" fontId="32" fillId="0" borderId="0"/>
    <xf numFmtId="193" fontId="115" fillId="0" borderId="0"/>
    <xf numFmtId="168" fontId="32" fillId="0" borderId="0"/>
    <xf numFmtId="0" fontId="113" fillId="0" borderId="0"/>
    <xf numFmtId="168" fontId="113" fillId="0" borderId="0"/>
    <xf numFmtId="168" fontId="113" fillId="0" borderId="0"/>
    <xf numFmtId="0" fontId="11" fillId="0" borderId="0"/>
    <xf numFmtId="169" fontId="32" fillId="0" borderId="0"/>
    <xf numFmtId="169" fontId="32" fillId="0" borderId="0"/>
    <xf numFmtId="171" fontId="32" fillId="0" borderId="0"/>
    <xf numFmtId="0" fontId="11" fillId="0" borderId="0"/>
    <xf numFmtId="0" fontId="32" fillId="0" borderId="0"/>
    <xf numFmtId="0" fontId="32" fillId="0" borderId="0"/>
    <xf numFmtId="170" fontId="32" fillId="0" borderId="0"/>
    <xf numFmtId="169" fontId="32" fillId="0" borderId="0"/>
    <xf numFmtId="0" fontId="11" fillId="0" borderId="0"/>
    <xf numFmtId="0" fontId="11" fillId="0" borderId="0"/>
    <xf numFmtId="0" fontId="32" fillId="0" borderId="0"/>
    <xf numFmtId="169" fontId="32" fillId="0" borderId="0"/>
    <xf numFmtId="0" fontId="32" fillId="0" borderId="0"/>
    <xf numFmtId="171" fontId="32" fillId="0" borderId="0"/>
    <xf numFmtId="169" fontId="32" fillId="0" borderId="0"/>
    <xf numFmtId="0" fontId="113" fillId="0" borderId="0"/>
    <xf numFmtId="169" fontId="32" fillId="0" borderId="0"/>
    <xf numFmtId="170" fontId="32" fillId="0" borderId="0"/>
    <xf numFmtId="171" fontId="32" fillId="0" borderId="0"/>
    <xf numFmtId="169" fontId="32" fillId="0" borderId="0"/>
    <xf numFmtId="169" fontId="32" fillId="0" borderId="0"/>
    <xf numFmtId="0" fontId="112" fillId="0" borderId="0"/>
    <xf numFmtId="0" fontId="32" fillId="0" borderId="0"/>
    <xf numFmtId="0" fontId="32" fillId="0" borderId="0"/>
    <xf numFmtId="0" fontId="11" fillId="0" borderId="0"/>
    <xf numFmtId="0" fontId="11" fillId="0" borderId="0"/>
    <xf numFmtId="0" fontId="32" fillId="0" borderId="0"/>
    <xf numFmtId="0" fontId="11" fillId="0" borderId="0"/>
    <xf numFmtId="0" fontId="11" fillId="0" borderId="0"/>
    <xf numFmtId="0" fontId="32"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32" fillId="0" borderId="0"/>
    <xf numFmtId="0" fontId="11" fillId="0" borderId="0"/>
    <xf numFmtId="0" fontId="32"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168" fontId="113" fillId="0" borderId="0"/>
    <xf numFmtId="0" fontId="32" fillId="0" borderId="0"/>
    <xf numFmtId="0" fontId="11" fillId="0" borderId="0"/>
    <xf numFmtId="168" fontId="32" fillId="0" borderId="0"/>
    <xf numFmtId="168" fontId="32"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32" fillId="0" borderId="0"/>
    <xf numFmtId="168" fontId="32" fillId="0" borderId="0"/>
    <xf numFmtId="170" fontId="32" fillId="0" borderId="0"/>
    <xf numFmtId="170" fontId="32" fillId="0" borderId="0"/>
    <xf numFmtId="169" fontId="32" fillId="0" borderId="0"/>
    <xf numFmtId="0" fontId="11" fillId="0" borderId="0"/>
    <xf numFmtId="0" fontId="11" fillId="0" borderId="0"/>
    <xf numFmtId="0" fontId="11" fillId="0" borderId="0"/>
    <xf numFmtId="0" fontId="11" fillId="0" borderId="0"/>
    <xf numFmtId="169" fontId="32" fillId="0" borderId="0"/>
    <xf numFmtId="0" fontId="11" fillId="0" borderId="0"/>
    <xf numFmtId="0" fontId="11" fillId="0" borderId="0"/>
    <xf numFmtId="0" fontId="11" fillId="0" borderId="0"/>
    <xf numFmtId="0" fontId="11" fillId="0" borderId="0"/>
    <xf numFmtId="171" fontId="32"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32" fillId="0" borderId="0"/>
    <xf numFmtId="0" fontId="32" fillId="0" borderId="0"/>
    <xf numFmtId="0" fontId="32"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32" fillId="0" borderId="0"/>
    <xf numFmtId="168" fontId="113" fillId="0" borderId="0"/>
    <xf numFmtId="0" fontId="32" fillId="0" borderId="0"/>
    <xf numFmtId="170" fontId="116" fillId="0" borderId="0"/>
    <xf numFmtId="0" fontId="42" fillId="0" borderId="0"/>
    <xf numFmtId="0" fontId="32" fillId="0" borderId="0"/>
    <xf numFmtId="0" fontId="42" fillId="0" borderId="0"/>
    <xf numFmtId="0" fontId="32" fillId="0" borderId="0"/>
    <xf numFmtId="0" fontId="32" fillId="0" borderId="0"/>
    <xf numFmtId="0" fontId="112" fillId="0" borderId="0"/>
    <xf numFmtId="0" fontId="32" fillId="0" borderId="0"/>
    <xf numFmtId="0" fontId="32" fillId="0" borderId="0"/>
    <xf numFmtId="0" fontId="11" fillId="0" borderId="0"/>
    <xf numFmtId="169" fontId="11" fillId="0" borderId="0"/>
    <xf numFmtId="0" fontId="11" fillId="0" borderId="0"/>
    <xf numFmtId="169" fontId="11" fillId="0" borderId="0"/>
    <xf numFmtId="0" fontId="32"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8"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32" fillId="0" borderId="0"/>
    <xf numFmtId="168" fontId="32" fillId="0" borderId="0"/>
    <xf numFmtId="169" fontId="32"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112" fillId="0" borderId="0"/>
    <xf numFmtId="168" fontId="112" fillId="0" borderId="0"/>
    <xf numFmtId="169" fontId="112"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32" fillId="0" borderId="0"/>
    <xf numFmtId="168" fontId="32" fillId="0" borderId="0"/>
    <xf numFmtId="169" fontId="32" fillId="0" borderId="0"/>
    <xf numFmtId="0" fontId="32" fillId="0" borderId="0"/>
    <xf numFmtId="0" fontId="11" fillId="0" borderId="0"/>
    <xf numFmtId="169" fontId="11" fillId="0" borderId="0"/>
    <xf numFmtId="0" fontId="32" fillId="0" borderId="0"/>
    <xf numFmtId="169"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7"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169" fontId="11" fillId="0" borderId="0"/>
    <xf numFmtId="0" fontId="32" fillId="0" borderId="0"/>
    <xf numFmtId="169" fontId="11" fillId="0" borderId="0"/>
    <xf numFmtId="169" fontId="11" fillId="0" borderId="0"/>
    <xf numFmtId="170" fontId="11" fillId="0" borderId="0"/>
    <xf numFmtId="0" fontId="32" fillId="0" borderId="0"/>
    <xf numFmtId="169" fontId="11" fillId="0" borderId="0"/>
    <xf numFmtId="0" fontId="32" fillId="0" borderId="0"/>
    <xf numFmtId="0" fontId="32" fillId="0" borderId="0"/>
    <xf numFmtId="169" fontId="32" fillId="0" borderId="0"/>
    <xf numFmtId="0" fontId="32" fillId="0" borderId="0"/>
    <xf numFmtId="0" fontId="32" fillId="0" borderId="0"/>
    <xf numFmtId="169" fontId="32" fillId="0" borderId="0"/>
    <xf numFmtId="0" fontId="11" fillId="0" borderId="0"/>
    <xf numFmtId="169" fontId="32" fillId="0" borderId="0"/>
    <xf numFmtId="169" fontId="32" fillId="0" borderId="0"/>
    <xf numFmtId="0" fontId="32" fillId="0" borderId="0"/>
    <xf numFmtId="170" fontId="32" fillId="0" borderId="0"/>
    <xf numFmtId="169" fontId="32" fillId="0" borderId="0"/>
    <xf numFmtId="169" fontId="32" fillId="0" borderId="0"/>
    <xf numFmtId="170" fontId="32" fillId="0" borderId="0"/>
    <xf numFmtId="0" fontId="11" fillId="0" borderId="0"/>
    <xf numFmtId="0" fontId="11" fillId="0" borderId="0"/>
    <xf numFmtId="170" fontId="32" fillId="0" borderId="0"/>
    <xf numFmtId="169" fontId="32" fillId="0" borderId="0"/>
    <xf numFmtId="0" fontId="11" fillId="0" borderId="0"/>
    <xf numFmtId="0" fontId="66" fillId="0" borderId="0"/>
    <xf numFmtId="0" fontId="11" fillId="0" borderId="0"/>
    <xf numFmtId="0" fontId="11" fillId="0" borderId="0"/>
    <xf numFmtId="169" fontId="32" fillId="0" borderId="0"/>
    <xf numFmtId="0" fontId="11" fillId="0" borderId="0"/>
    <xf numFmtId="170" fontId="32"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32" fillId="0" borderId="0"/>
    <xf numFmtId="0" fontId="11" fillId="0" borderId="0"/>
    <xf numFmtId="169" fontId="11" fillId="0" borderId="0"/>
    <xf numFmtId="0" fontId="11" fillId="0" borderId="0"/>
    <xf numFmtId="0" fontId="32" fillId="0" borderId="0"/>
    <xf numFmtId="169"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2"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32" fillId="0" borderId="0"/>
    <xf numFmtId="0" fontId="11" fillId="0" borderId="0"/>
    <xf numFmtId="169" fontId="11" fillId="0" borderId="0"/>
    <xf numFmtId="0" fontId="38" fillId="0" borderId="0"/>
    <xf numFmtId="0" fontId="38" fillId="0" borderId="0"/>
    <xf numFmtId="169" fontId="11" fillId="0" borderId="0"/>
    <xf numFmtId="0" fontId="38"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8"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11" fillId="0" borderId="0"/>
    <xf numFmtId="0" fontId="11" fillId="0" borderId="0"/>
    <xf numFmtId="170" fontId="11"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38" fillId="0" borderId="0"/>
    <xf numFmtId="0" fontId="11" fillId="0" borderId="0"/>
    <xf numFmtId="169" fontId="11" fillId="0" borderId="0"/>
    <xf numFmtId="0" fontId="38" fillId="0" borderId="0"/>
    <xf numFmtId="169" fontId="11" fillId="0" borderId="0"/>
    <xf numFmtId="0" fontId="38"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8"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32" fillId="0" borderId="0"/>
    <xf numFmtId="0" fontId="32" fillId="0" borderId="0"/>
    <xf numFmtId="169" fontId="32" fillId="0" borderId="0"/>
    <xf numFmtId="0" fontId="32" fillId="0" borderId="0"/>
    <xf numFmtId="170" fontId="32" fillId="0" borderId="0"/>
    <xf numFmtId="169" fontId="32" fillId="0" borderId="0"/>
    <xf numFmtId="169" fontId="32" fillId="0" borderId="0"/>
    <xf numFmtId="170" fontId="32" fillId="0" borderId="0"/>
    <xf numFmtId="169" fontId="32" fillId="0" borderId="0"/>
    <xf numFmtId="169" fontId="32" fillId="0" borderId="0"/>
    <xf numFmtId="170" fontId="32" fillId="0" borderId="0"/>
    <xf numFmtId="169" fontId="32" fillId="0" borderId="0"/>
    <xf numFmtId="169" fontId="32" fillId="0" borderId="0"/>
    <xf numFmtId="170" fontId="32" fillId="0" borderId="0"/>
    <xf numFmtId="169" fontId="32" fillId="0" borderId="0"/>
    <xf numFmtId="169" fontId="32" fillId="0" borderId="0"/>
    <xf numFmtId="170" fontId="32" fillId="0" borderId="0"/>
    <xf numFmtId="169" fontId="32" fillId="0" borderId="0"/>
    <xf numFmtId="169" fontId="32" fillId="0" borderId="0"/>
    <xf numFmtId="170"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169" fontId="32" fillId="0" borderId="0"/>
    <xf numFmtId="170"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11" fillId="0" borderId="0"/>
    <xf numFmtId="169" fontId="32" fillId="0" borderId="0"/>
    <xf numFmtId="169" fontId="32" fillId="0" borderId="0"/>
    <xf numFmtId="170" fontId="32" fillId="0" borderId="0"/>
    <xf numFmtId="169" fontId="32" fillId="0" borderId="0"/>
    <xf numFmtId="169" fontId="32" fillId="0" borderId="0"/>
    <xf numFmtId="170" fontId="32" fillId="0" borderId="0"/>
    <xf numFmtId="169" fontId="32" fillId="0" borderId="0"/>
    <xf numFmtId="169" fontId="32" fillId="0" borderId="0"/>
    <xf numFmtId="170" fontId="32" fillId="0" borderId="0"/>
    <xf numFmtId="169" fontId="11" fillId="0" borderId="0"/>
    <xf numFmtId="169" fontId="11" fillId="0" borderId="0"/>
    <xf numFmtId="170" fontId="11" fillId="0" borderId="0"/>
    <xf numFmtId="0" fontId="11" fillId="0" borderId="0"/>
    <xf numFmtId="170" fontId="11" fillId="0" borderId="0"/>
    <xf numFmtId="0" fontId="11" fillId="0" borderId="0"/>
    <xf numFmtId="170" fontId="11" fillId="0" borderId="0"/>
    <xf numFmtId="0" fontId="11" fillId="0" borderId="0"/>
    <xf numFmtId="0" fontId="11" fillId="0" borderId="0"/>
    <xf numFmtId="170" fontId="11" fillId="0" borderId="0"/>
    <xf numFmtId="0" fontId="11" fillId="0" borderId="0"/>
    <xf numFmtId="0" fontId="11" fillId="0" borderId="0"/>
    <xf numFmtId="170" fontId="11" fillId="0" borderId="0"/>
    <xf numFmtId="0" fontId="11" fillId="0" borderId="0"/>
    <xf numFmtId="0" fontId="11" fillId="0" borderId="0"/>
    <xf numFmtId="170" fontId="11" fillId="0" borderId="0"/>
    <xf numFmtId="169" fontId="32" fillId="0" borderId="0"/>
    <xf numFmtId="169" fontId="32" fillId="0" borderId="0"/>
    <xf numFmtId="170" fontId="11" fillId="0" borderId="0"/>
    <xf numFmtId="0" fontId="11" fillId="0" borderId="0"/>
    <xf numFmtId="0" fontId="11" fillId="0" borderId="0"/>
    <xf numFmtId="170" fontId="11" fillId="0" borderId="0"/>
    <xf numFmtId="0" fontId="32" fillId="0" borderId="0"/>
    <xf numFmtId="0" fontId="32" fillId="0" borderId="0"/>
    <xf numFmtId="171" fontId="32" fillId="0" borderId="0"/>
    <xf numFmtId="169" fontId="32" fillId="0" borderId="0"/>
    <xf numFmtId="0" fontId="113" fillId="0" borderId="0"/>
    <xf numFmtId="169" fontId="32" fillId="0" borderId="0"/>
    <xf numFmtId="170" fontId="32" fillId="0" borderId="0"/>
    <xf numFmtId="0" fontId="11" fillId="0" borderId="0"/>
    <xf numFmtId="169" fontId="32" fillId="0" borderId="0"/>
    <xf numFmtId="0" fontId="11" fillId="0" borderId="0"/>
    <xf numFmtId="0" fontId="11" fillId="0" borderId="0"/>
    <xf numFmtId="170" fontId="11" fillId="0" borderId="0"/>
    <xf numFmtId="0" fontId="11" fillId="0" borderId="0"/>
    <xf numFmtId="0" fontId="11" fillId="0" borderId="0"/>
    <xf numFmtId="170" fontId="66" fillId="0" borderId="0"/>
    <xf numFmtId="0" fontId="32" fillId="0" borderId="0"/>
    <xf numFmtId="0" fontId="32" fillId="0" borderId="0"/>
    <xf numFmtId="0" fontId="32" fillId="0" borderId="0"/>
    <xf numFmtId="170" fontId="11" fillId="0" borderId="0"/>
    <xf numFmtId="0" fontId="11" fillId="0" borderId="0"/>
    <xf numFmtId="0" fontId="11" fillId="0" borderId="0"/>
    <xf numFmtId="0" fontId="11" fillId="0" borderId="0"/>
    <xf numFmtId="170" fontId="11" fillId="0" borderId="0"/>
    <xf numFmtId="0" fontId="32" fillId="0" borderId="0"/>
    <xf numFmtId="0" fontId="32" fillId="0" borderId="0"/>
    <xf numFmtId="0" fontId="32" fillId="0" borderId="0"/>
    <xf numFmtId="170" fontId="32" fillId="0" borderId="0"/>
    <xf numFmtId="0" fontId="32" fillId="0" borderId="0"/>
    <xf numFmtId="0" fontId="32" fillId="0" borderId="0"/>
    <xf numFmtId="0" fontId="32" fillId="0" borderId="0"/>
    <xf numFmtId="0" fontId="66" fillId="0" borderId="0"/>
    <xf numFmtId="0" fontId="11" fillId="0" borderId="0"/>
    <xf numFmtId="0" fontId="11" fillId="0" borderId="0"/>
    <xf numFmtId="0" fontId="32" fillId="0" borderId="0"/>
    <xf numFmtId="0" fontId="11" fillId="0" borderId="0"/>
    <xf numFmtId="0" fontId="11" fillId="0" borderId="0"/>
    <xf numFmtId="0" fontId="11" fillId="0" borderId="0"/>
    <xf numFmtId="0" fontId="32" fillId="0" borderId="0"/>
    <xf numFmtId="0" fontId="11" fillId="0" borderId="0"/>
    <xf numFmtId="0" fontId="32" fillId="0" borderId="0"/>
    <xf numFmtId="0" fontId="32" fillId="0" borderId="0"/>
    <xf numFmtId="171" fontId="32" fillId="0" borderId="0"/>
    <xf numFmtId="169" fontId="32" fillId="0" borderId="0"/>
    <xf numFmtId="0" fontId="113" fillId="0" borderId="0"/>
    <xf numFmtId="169" fontId="32" fillId="0" borderId="0"/>
    <xf numFmtId="170" fontId="32" fillId="0" borderId="0"/>
    <xf numFmtId="0" fontId="11" fillId="0" borderId="0"/>
    <xf numFmtId="169" fontId="32" fillId="0" borderId="0"/>
    <xf numFmtId="0" fontId="1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11" fillId="0" borderId="0"/>
    <xf numFmtId="169" fontId="32" fillId="0" borderId="0"/>
    <xf numFmtId="0" fontId="32" fillId="0" borderId="0"/>
    <xf numFmtId="0" fontId="32" fillId="0" borderId="0"/>
    <xf numFmtId="0" fontId="32" fillId="0" borderId="0"/>
    <xf numFmtId="0" fontId="11" fillId="0" borderId="0"/>
    <xf numFmtId="0" fontId="67" fillId="0" borderId="0"/>
    <xf numFmtId="0" fontId="32" fillId="0" borderId="0"/>
    <xf numFmtId="0" fontId="32" fillId="0" borderId="0"/>
    <xf numFmtId="0" fontId="67" fillId="0" borderId="0"/>
    <xf numFmtId="170" fontId="32" fillId="0" borderId="0"/>
    <xf numFmtId="0" fontId="67" fillId="0" borderId="0"/>
    <xf numFmtId="0" fontId="32" fillId="0" borderId="0"/>
    <xf numFmtId="0" fontId="32" fillId="0" borderId="0"/>
    <xf numFmtId="171" fontId="32" fillId="0" borderId="0"/>
    <xf numFmtId="169" fontId="32" fillId="0" borderId="0"/>
    <xf numFmtId="0" fontId="42" fillId="0" borderId="0"/>
    <xf numFmtId="169" fontId="32" fillId="0" borderId="0"/>
    <xf numFmtId="170" fontId="32" fillId="0" borderId="0"/>
    <xf numFmtId="0" fontId="11" fillId="0" borderId="0"/>
    <xf numFmtId="169" fontId="32" fillId="0" borderId="0"/>
    <xf numFmtId="168" fontId="32"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2" fillId="0" borderId="0"/>
    <xf numFmtId="0" fontId="11" fillId="0" borderId="0"/>
    <xf numFmtId="0" fontId="37" fillId="0" borderId="0"/>
    <xf numFmtId="0" fontId="32" fillId="0" borderId="0"/>
    <xf numFmtId="0" fontId="11" fillId="0" borderId="0"/>
    <xf numFmtId="0" fontId="11" fillId="0" borderId="0"/>
    <xf numFmtId="168" fontId="32" fillId="0" borderId="0"/>
    <xf numFmtId="168"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11"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11" fillId="0" borderId="0"/>
    <xf numFmtId="0" fontId="38" fillId="0" borderId="0"/>
    <xf numFmtId="0" fontId="38" fillId="0" borderId="0"/>
    <xf numFmtId="0" fontId="38" fillId="0" borderId="0"/>
    <xf numFmtId="0" fontId="38" fillId="0" borderId="0"/>
    <xf numFmtId="0" fontId="38" fillId="0" borderId="0"/>
    <xf numFmtId="0" fontId="32" fillId="0" borderId="0"/>
    <xf numFmtId="0" fontId="11" fillId="0" borderId="0"/>
    <xf numFmtId="0" fontId="11" fillId="0" borderId="0"/>
    <xf numFmtId="0" fontId="32"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3"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67" fillId="0" borderId="0"/>
    <xf numFmtId="0" fontId="68" fillId="0" borderId="0"/>
    <xf numFmtId="0" fontId="67" fillId="0" borderId="0"/>
    <xf numFmtId="0" fontId="67" fillId="0" borderId="0"/>
    <xf numFmtId="0" fontId="67" fillId="0" borderId="0"/>
    <xf numFmtId="0" fontId="32" fillId="0" borderId="0">
      <alignment vertical="center"/>
    </xf>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68" fontId="32" fillId="0" borderId="0"/>
    <xf numFmtId="0" fontId="32" fillId="0" borderId="0"/>
    <xf numFmtId="0" fontId="32" fillId="0" borderId="0"/>
    <xf numFmtId="0"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11" fillId="0" borderId="0"/>
    <xf numFmtId="169" fontId="32" fillId="0" borderId="0"/>
    <xf numFmtId="0" fontId="32" fillId="0" borderId="0"/>
    <xf numFmtId="0" fontId="32" fillId="0" borderId="0"/>
    <xf numFmtId="0" fontId="11" fillId="0" borderId="0"/>
    <xf numFmtId="0" fontId="11" fillId="0" borderId="0"/>
    <xf numFmtId="168" fontId="32" fillId="0" borderId="0"/>
    <xf numFmtId="0" fontId="11" fillId="0" borderId="0"/>
    <xf numFmtId="0" fontId="11" fillId="0" borderId="0"/>
    <xf numFmtId="0" fontId="11" fillId="0" borderId="0"/>
    <xf numFmtId="168" fontId="32" fillId="0" borderId="0"/>
    <xf numFmtId="0" fontId="11" fillId="0" borderId="0"/>
    <xf numFmtId="168" fontId="32" fillId="0" borderId="0"/>
    <xf numFmtId="0" fontId="11" fillId="0" borderId="0"/>
    <xf numFmtId="0" fontId="11" fillId="0" borderId="0"/>
    <xf numFmtId="0" fontId="11" fillId="0" borderId="0"/>
    <xf numFmtId="0" fontId="11" fillId="0" borderId="0"/>
    <xf numFmtId="169" fontId="32" fillId="0" borderId="0">
      <alignment wrapText="1"/>
    </xf>
    <xf numFmtId="0" fontId="11" fillId="0" borderId="0"/>
    <xf numFmtId="0" fontId="11" fillId="0" borderId="0"/>
    <xf numFmtId="0" fontId="11" fillId="0" borderId="0"/>
    <xf numFmtId="0" fontId="11" fillId="0" borderId="0"/>
    <xf numFmtId="0" fontId="11" fillId="0" borderId="0"/>
    <xf numFmtId="168" fontId="32" fillId="0" borderId="0"/>
    <xf numFmtId="168" fontId="32" fillId="0" borderId="0"/>
    <xf numFmtId="169" fontId="32" fillId="0" borderId="0">
      <alignment wrapText="1"/>
    </xf>
    <xf numFmtId="0" fontId="11" fillId="0" borderId="0"/>
    <xf numFmtId="0" fontId="11" fillId="0" borderId="0"/>
    <xf numFmtId="0" fontId="11" fillId="0" borderId="0"/>
    <xf numFmtId="0" fontId="11" fillId="0" borderId="0"/>
    <xf numFmtId="170" fontId="32" fillId="0" borderId="0">
      <alignment wrapText="1"/>
    </xf>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169" fontId="32" fillId="0" borderId="0">
      <alignment wrapText="1"/>
    </xf>
    <xf numFmtId="0" fontId="11" fillId="0" borderId="0"/>
    <xf numFmtId="0" fontId="11" fillId="0" borderId="0"/>
    <xf numFmtId="0" fontId="11" fillId="0" borderId="0"/>
    <xf numFmtId="0" fontId="11" fillId="0" borderId="0"/>
    <xf numFmtId="0" fontId="11" fillId="0" borderId="0"/>
    <xf numFmtId="0" fontId="5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5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168"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59" fillId="0" borderId="0"/>
    <xf numFmtId="0" fontId="11" fillId="0" borderId="0"/>
    <xf numFmtId="169" fontId="118" fillId="0" borderId="0"/>
    <xf numFmtId="0" fontId="11" fillId="0" borderId="0"/>
    <xf numFmtId="0" fontId="11" fillId="0" borderId="0"/>
    <xf numFmtId="0" fontId="11" fillId="0" borderId="0"/>
    <xf numFmtId="0" fontId="32" fillId="0" borderId="0">
      <alignment wrapText="1"/>
    </xf>
    <xf numFmtId="169" fontId="32" fillId="0" borderId="0">
      <alignment wrapText="1"/>
    </xf>
    <xf numFmtId="0" fontId="32" fillId="0" borderId="0">
      <alignment wrapText="1"/>
    </xf>
    <xf numFmtId="170" fontId="32" fillId="0" borderId="0">
      <alignment wrapText="1"/>
    </xf>
    <xf numFmtId="0" fontId="11" fillId="0" borderId="0"/>
    <xf numFmtId="0" fontId="11" fillId="0" borderId="0"/>
    <xf numFmtId="0" fontId="32" fillId="0" borderId="0">
      <alignment wrapText="1"/>
    </xf>
    <xf numFmtId="169" fontId="32" fillId="0" borderId="0">
      <alignment wrapText="1"/>
    </xf>
    <xf numFmtId="169" fontId="32" fillId="0" borderId="0">
      <alignment wrapText="1"/>
    </xf>
    <xf numFmtId="0" fontId="11" fillId="0" borderId="0"/>
    <xf numFmtId="168" fontId="32" fillId="0" borderId="0"/>
    <xf numFmtId="0"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11" fillId="0" borderId="0"/>
    <xf numFmtId="169"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7"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66"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11" fillId="0" borderId="0"/>
    <xf numFmtId="0" fontId="11" fillId="0" borderId="0"/>
    <xf numFmtId="0" fontId="11" fillId="0" borderId="0"/>
    <xf numFmtId="168" fontId="32" fillId="0" borderId="0"/>
    <xf numFmtId="0" fontId="11" fillId="0" borderId="0"/>
    <xf numFmtId="0" fontId="11" fillId="0" borderId="0"/>
    <xf numFmtId="0" fontId="11" fillId="0" borderId="0"/>
    <xf numFmtId="168" fontId="32"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2" fillId="0" borderId="0"/>
    <xf numFmtId="168" fontId="32" fillId="0" borderId="0"/>
    <xf numFmtId="168" fontId="32" fillId="0" borderId="0"/>
    <xf numFmtId="169" fontId="11" fillId="0" borderId="0"/>
    <xf numFmtId="169" fontId="11" fillId="0" borderId="0"/>
    <xf numFmtId="170" fontId="11" fillId="0" borderId="0"/>
    <xf numFmtId="169" fontId="11" fillId="0" borderId="0"/>
    <xf numFmtId="170" fontId="11" fillId="0" borderId="0"/>
    <xf numFmtId="0" fontId="32" fillId="0" borderId="0"/>
    <xf numFmtId="169" fontId="11" fillId="0" borderId="0"/>
    <xf numFmtId="170" fontId="11" fillId="0" borderId="0"/>
    <xf numFmtId="0"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71" fontId="11" fillId="0" borderId="0"/>
    <xf numFmtId="169" fontId="11" fillId="0" borderId="0"/>
    <xf numFmtId="171"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 fillId="0" borderId="0"/>
    <xf numFmtId="171" fontId="11" fillId="0" borderId="0"/>
    <xf numFmtId="169" fontId="11" fillId="0" borderId="0"/>
    <xf numFmtId="169" fontId="11" fillId="0" borderId="0"/>
    <xf numFmtId="0" fontId="11" fillId="0" borderId="0"/>
    <xf numFmtId="0" fontId="32" fillId="0" borderId="0"/>
    <xf numFmtId="0" fontId="59" fillId="0" borderId="0"/>
    <xf numFmtId="0" fontId="5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169" fontId="32" fillId="0" borderId="0">
      <alignment wrapText="1"/>
    </xf>
    <xf numFmtId="0" fontId="42" fillId="87" borderId="0"/>
    <xf numFmtId="0" fontId="11" fillId="0" borderId="0"/>
    <xf numFmtId="0" fontId="11" fillId="0" borderId="0"/>
    <xf numFmtId="0" fontId="59" fillId="0" borderId="0"/>
    <xf numFmtId="0" fontId="11" fillId="0" borderId="0"/>
    <xf numFmtId="0" fontId="11"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0" fontId="32" fillId="0" borderId="0"/>
    <xf numFmtId="171" fontId="32" fillId="0" borderId="0"/>
    <xf numFmtId="169" fontId="32" fillId="0" borderId="0"/>
    <xf numFmtId="168" fontId="32" fillId="0" borderId="0"/>
    <xf numFmtId="169" fontId="32" fillId="0" borderId="0"/>
    <xf numFmtId="170" fontId="32" fillId="0" borderId="0"/>
    <xf numFmtId="0" fontId="32" fillId="0" borderId="0"/>
    <xf numFmtId="169" fontId="32" fillId="0" borderId="0"/>
    <xf numFmtId="168" fontId="32" fillId="0" borderId="0"/>
    <xf numFmtId="0" fontId="32" fillId="0" borderId="0"/>
    <xf numFmtId="171" fontId="32" fillId="0" borderId="0"/>
    <xf numFmtId="169" fontId="32" fillId="0" borderId="0"/>
    <xf numFmtId="168"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32" fillId="0" borderId="0"/>
    <xf numFmtId="0"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32" fillId="0" borderId="0"/>
    <xf numFmtId="0"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32" fillId="0" borderId="0"/>
    <xf numFmtId="0"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32" fillId="0" borderId="0"/>
    <xf numFmtId="0" fontId="32" fillId="0" borderId="0"/>
    <xf numFmtId="170" fontId="32" fillId="0" borderId="0"/>
    <xf numFmtId="0"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0"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169" fontId="32" fillId="0" borderId="0"/>
    <xf numFmtId="0" fontId="32"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2" fillId="0" borderId="0"/>
    <xf numFmtId="0" fontId="32" fillId="0" borderId="0"/>
    <xf numFmtId="0" fontId="11" fillId="0" borderId="0"/>
    <xf numFmtId="169" fontId="11" fillId="0" borderId="0"/>
    <xf numFmtId="0" fontId="11" fillId="0" borderId="0"/>
    <xf numFmtId="0" fontId="11" fillId="0" borderId="0"/>
    <xf numFmtId="0" fontId="32" fillId="0" borderId="0"/>
    <xf numFmtId="0" fontId="11"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11"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11" fillId="0" borderId="0"/>
    <xf numFmtId="0" fontId="11" fillId="0" borderId="0"/>
    <xf numFmtId="0" fontId="59" fillId="0" borderId="0"/>
    <xf numFmtId="168" fontId="32" fillId="0" borderId="0"/>
    <xf numFmtId="0" fontId="11" fillId="0" borderId="0"/>
    <xf numFmtId="0" fontId="11" fillId="0" borderId="0"/>
    <xf numFmtId="0" fontId="11" fillId="0" borderId="0"/>
    <xf numFmtId="0" fontId="11" fillId="0" borderId="0"/>
    <xf numFmtId="168" fontId="32"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32" fillId="0" borderId="0"/>
    <xf numFmtId="168" fontId="32" fillId="0" borderId="0"/>
    <xf numFmtId="0" fontId="11" fillId="0" borderId="0"/>
    <xf numFmtId="0" fontId="11" fillId="0" borderId="0"/>
    <xf numFmtId="0" fontId="11" fillId="0" borderId="0"/>
    <xf numFmtId="0" fontId="11" fillId="0" borderId="0"/>
    <xf numFmtId="0" fontId="42"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59"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32" fillId="0" borderId="0"/>
    <xf numFmtId="169" fontId="11" fillId="0" borderId="0"/>
    <xf numFmtId="169" fontId="11" fillId="0" borderId="0"/>
    <xf numFmtId="170" fontId="11" fillId="0" borderId="0"/>
    <xf numFmtId="169" fontId="32" fillId="0" borderId="0"/>
    <xf numFmtId="169" fontId="32" fillId="0" borderId="0"/>
    <xf numFmtId="170" fontId="32" fillId="0" borderId="0"/>
    <xf numFmtId="169" fontId="32" fillId="0" borderId="0"/>
    <xf numFmtId="170" fontId="32"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0" fontId="32" fillId="0" borderId="0"/>
    <xf numFmtId="168" fontId="32" fillId="0" borderId="0"/>
    <xf numFmtId="168" fontId="32" fillId="0" borderId="0"/>
    <xf numFmtId="171" fontId="32" fillId="0" borderId="0"/>
    <xf numFmtId="169" fontId="32" fillId="0" borderId="0"/>
    <xf numFmtId="168" fontId="32" fillId="0" borderId="0"/>
    <xf numFmtId="168"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7" fillId="0" borderId="0"/>
    <xf numFmtId="169" fontId="32" fillId="0" borderId="0"/>
    <xf numFmtId="0" fontId="32" fillId="0" borderId="0"/>
    <xf numFmtId="0"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7" fillId="0" borderId="0"/>
    <xf numFmtId="169" fontId="32" fillId="0" borderId="0"/>
    <xf numFmtId="0" fontId="32" fillId="0" borderId="0"/>
    <xf numFmtId="0"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7" fillId="0" borderId="0"/>
    <xf numFmtId="169" fontId="32" fillId="0" borderId="0"/>
    <xf numFmtId="168" fontId="32" fillId="0" borderId="0"/>
    <xf numFmtId="168"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7" fillId="0" borderId="0"/>
    <xf numFmtId="169" fontId="32" fillId="0" borderId="0"/>
    <xf numFmtId="168" fontId="32" fillId="0" borderId="0"/>
    <xf numFmtId="168" fontId="32" fillId="0" borderId="0"/>
    <xf numFmtId="171" fontId="32" fillId="0" borderId="0"/>
    <xf numFmtId="169" fontId="32" fillId="0" borderId="0"/>
    <xf numFmtId="0" fontId="32" fillId="0" borderId="0"/>
    <xf numFmtId="169" fontId="32" fillId="0" borderId="0"/>
    <xf numFmtId="170" fontId="32" fillId="0" borderId="0"/>
    <xf numFmtId="0" fontId="38" fillId="0" borderId="0"/>
    <xf numFmtId="0" fontId="38" fillId="0" borderId="0"/>
    <xf numFmtId="0" fontId="38" fillId="0" borderId="0"/>
    <xf numFmtId="169" fontId="32" fillId="0" borderId="0"/>
    <xf numFmtId="168" fontId="32" fillId="0" borderId="0"/>
    <xf numFmtId="168" fontId="32" fillId="0" borderId="0"/>
    <xf numFmtId="171" fontId="32" fillId="0" borderId="0"/>
    <xf numFmtId="169" fontId="32" fillId="0" borderId="0"/>
    <xf numFmtId="0" fontId="32" fillId="0" borderId="0"/>
    <xf numFmtId="169" fontId="32" fillId="0" borderId="0"/>
    <xf numFmtId="170" fontId="32" fillId="0" borderId="0"/>
    <xf numFmtId="0" fontId="37" fillId="0" borderId="0"/>
    <xf numFmtId="169" fontId="32" fillId="0" borderId="0"/>
    <xf numFmtId="168" fontId="32" fillId="0" borderId="0"/>
    <xf numFmtId="168"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169" fontId="32" fillId="0" borderId="0"/>
    <xf numFmtId="168" fontId="32" fillId="0" borderId="0"/>
    <xf numFmtId="168"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169" fontId="32" fillId="0" borderId="0"/>
    <xf numFmtId="168" fontId="32" fillId="0" borderId="0"/>
    <xf numFmtId="168"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169" fontId="32" fillId="0" borderId="0"/>
    <xf numFmtId="0" fontId="11" fillId="0" borderId="0"/>
    <xf numFmtId="0" fontId="11" fillId="0" borderId="0"/>
    <xf numFmtId="0" fontId="32" fillId="0" borderId="0"/>
    <xf numFmtId="0" fontId="11" fillId="0" borderId="0"/>
    <xf numFmtId="0" fontId="11" fillId="0" borderId="0"/>
    <xf numFmtId="169" fontId="11" fillId="0" borderId="0"/>
    <xf numFmtId="0" fontId="11" fillId="0" borderId="0"/>
    <xf numFmtId="0" fontId="11" fillId="0" borderId="0"/>
    <xf numFmtId="0" fontId="11" fillId="0" borderId="0"/>
    <xf numFmtId="0" fontId="11" fillId="0" borderId="0"/>
    <xf numFmtId="17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0" fontId="11" fillId="0" borderId="0"/>
    <xf numFmtId="0"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171" fontId="11" fillId="0" borderId="0"/>
    <xf numFmtId="169"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7" fillId="0" borderId="0"/>
    <xf numFmtId="0" fontId="11" fillId="0" borderId="0"/>
    <xf numFmtId="0" fontId="11" fillId="0" borderId="0"/>
    <xf numFmtId="0" fontId="32" fillId="0" borderId="0"/>
    <xf numFmtId="0" fontId="38" fillId="0" borderId="0"/>
    <xf numFmtId="0" fontId="38" fillId="0" borderId="0"/>
    <xf numFmtId="0" fontId="38" fillId="0" borderId="0"/>
    <xf numFmtId="0" fontId="38" fillId="0" borderId="0"/>
    <xf numFmtId="0" fontId="38" fillId="0" borderId="0"/>
    <xf numFmtId="168" fontId="32" fillId="0" borderId="0"/>
    <xf numFmtId="0" fontId="38" fillId="0" borderId="0"/>
    <xf numFmtId="0" fontId="38" fillId="0" borderId="0"/>
    <xf numFmtId="0" fontId="38" fillId="0" borderId="0"/>
    <xf numFmtId="168" fontId="32" fillId="0" borderId="0"/>
    <xf numFmtId="0" fontId="38" fillId="0" borderId="0"/>
    <xf numFmtId="0" fontId="38" fillId="0" borderId="0"/>
    <xf numFmtId="168"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168"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168" fontId="32" fillId="0" borderId="0"/>
    <xf numFmtId="0" fontId="38" fillId="0" borderId="0"/>
    <xf numFmtId="0" fontId="38" fillId="0" borderId="0"/>
    <xf numFmtId="0" fontId="38" fillId="0" borderId="0"/>
    <xf numFmtId="0" fontId="32" fillId="0" borderId="0"/>
    <xf numFmtId="0" fontId="38" fillId="0" borderId="0"/>
    <xf numFmtId="0" fontId="38" fillId="0" borderId="0"/>
    <xf numFmtId="168" fontId="32" fillId="0" borderId="0"/>
    <xf numFmtId="168"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168"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168" fontId="32" fillId="0" borderId="0"/>
    <xf numFmtId="171" fontId="32" fillId="0" borderId="0"/>
    <xf numFmtId="169" fontId="32" fillId="0" borderId="0"/>
    <xf numFmtId="168"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0" fontId="32" fillId="0" borderId="0"/>
    <xf numFmtId="0" fontId="11" fillId="0" borderId="0"/>
    <xf numFmtId="169" fontId="11" fillId="0" borderId="0"/>
    <xf numFmtId="169" fontId="11" fillId="0" borderId="0"/>
    <xf numFmtId="0" fontId="32" fillId="0" borderId="0"/>
    <xf numFmtId="0" fontId="11" fillId="0" borderId="0"/>
    <xf numFmtId="0" fontId="11" fillId="0" borderId="0"/>
    <xf numFmtId="169" fontId="11" fillId="0" borderId="0"/>
    <xf numFmtId="0" fontId="32"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2"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7"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68"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11" fillId="0" borderId="0"/>
    <xf numFmtId="0" fontId="11"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0" fontId="11" fillId="0" borderId="0"/>
    <xf numFmtId="171" fontId="32" fillId="0" borderId="0"/>
    <xf numFmtId="169" fontId="32" fillId="0" borderId="0"/>
    <xf numFmtId="0" fontId="42" fillId="0" borderId="0"/>
    <xf numFmtId="169" fontId="32" fillId="0" borderId="0"/>
    <xf numFmtId="170" fontId="32" fillId="0" borderId="0"/>
    <xf numFmtId="0" fontId="32" fillId="0" borderId="0"/>
    <xf numFmtId="169" fontId="32" fillId="0" borderId="0"/>
    <xf numFmtId="0" fontId="11" fillId="0" borderId="0"/>
    <xf numFmtId="0" fontId="11" fillId="0" borderId="0"/>
    <xf numFmtId="171" fontId="32" fillId="0" borderId="0"/>
    <xf numFmtId="169" fontId="32" fillId="0" borderId="0"/>
    <xf numFmtId="168" fontId="32" fillId="0" borderId="0"/>
    <xf numFmtId="169" fontId="32" fillId="0" borderId="0"/>
    <xf numFmtId="170" fontId="32" fillId="0" borderId="0"/>
    <xf numFmtId="0" fontId="32" fillId="0" borderId="0"/>
    <xf numFmtId="169" fontId="32" fillId="0" borderId="0"/>
    <xf numFmtId="0" fontId="11" fillId="0" borderId="0"/>
    <xf numFmtId="168"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0" fontId="11" fillId="0" borderId="0"/>
    <xf numFmtId="171" fontId="32" fillId="0" borderId="0"/>
    <xf numFmtId="169" fontId="32" fillId="0" borderId="0"/>
    <xf numFmtId="169" fontId="32" fillId="0" borderId="0"/>
    <xf numFmtId="169" fontId="32" fillId="0" borderId="0"/>
    <xf numFmtId="170" fontId="32" fillId="0" borderId="0"/>
    <xf numFmtId="168" fontId="32" fillId="0" borderId="0"/>
    <xf numFmtId="169" fontId="32" fillId="0" borderId="0"/>
    <xf numFmtId="168" fontId="32" fillId="0" borderId="0"/>
    <xf numFmtId="0" fontId="11"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68"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68"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9" fillId="0" borderId="0"/>
    <xf numFmtId="0" fontId="119" fillId="0" borderId="0"/>
    <xf numFmtId="0" fontId="11" fillId="0" borderId="0"/>
    <xf numFmtId="169" fontId="11" fillId="0" borderId="0"/>
    <xf numFmtId="169" fontId="11" fillId="0" borderId="0"/>
    <xf numFmtId="0" fontId="119" fillId="0" borderId="0"/>
    <xf numFmtId="0" fontId="11" fillId="0" borderId="0"/>
    <xf numFmtId="169" fontId="11" fillId="0" borderId="0"/>
    <xf numFmtId="168" fontId="32"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2"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168" fontId="11" fillId="0" borderId="0"/>
    <xf numFmtId="169" fontId="11" fillId="0" borderId="0"/>
    <xf numFmtId="168" fontId="32"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32" fillId="0" borderId="0"/>
    <xf numFmtId="0" fontId="11" fillId="0" borderId="0"/>
    <xf numFmtId="0" fontId="11" fillId="0" borderId="0"/>
    <xf numFmtId="0" fontId="11" fillId="0" borderId="0"/>
    <xf numFmtId="170" fontId="11" fillId="0" borderId="0"/>
    <xf numFmtId="0" fontId="11" fillId="0" borderId="0"/>
    <xf numFmtId="17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0" fontId="11" fillId="0" borderId="0"/>
    <xf numFmtId="0" fontId="11" fillId="0" borderId="0"/>
    <xf numFmtId="0" fontId="11" fillId="0" borderId="0"/>
    <xf numFmtId="168" fontId="32" fillId="0" borderId="0"/>
    <xf numFmtId="0" fontId="11" fillId="0" borderId="0"/>
    <xf numFmtId="0" fontId="11" fillId="0" borderId="0"/>
    <xf numFmtId="17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0" fontId="11" fillId="0" borderId="0"/>
    <xf numFmtId="0" fontId="11" fillId="0" borderId="0"/>
    <xf numFmtId="0" fontId="11" fillId="0" borderId="0"/>
    <xf numFmtId="168" fontId="32" fillId="0" borderId="0"/>
    <xf numFmtId="168"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49" fillId="88" borderId="0">
      <protection locked="0"/>
    </xf>
    <xf numFmtId="0" fontId="32" fillId="46" borderId="31" applyNumberFormat="0" applyFont="0" applyAlignment="0" applyProtection="0"/>
    <xf numFmtId="0" fontId="32" fillId="46" borderId="31" applyNumberFormat="0" applyFont="0" applyAlignment="0" applyProtection="0"/>
    <xf numFmtId="0" fontId="37" fillId="46" borderId="31" applyNumberFormat="0" applyFont="0" applyAlignment="0" applyProtection="0"/>
    <xf numFmtId="0" fontId="11" fillId="12" borderId="10" applyNumberFormat="0" applyFont="0" applyAlignment="0" applyProtection="0"/>
    <xf numFmtId="168" fontId="32" fillId="46" borderId="31" applyNumberFormat="0" applyFont="0" applyAlignment="0" applyProtection="0"/>
    <xf numFmtId="0" fontId="37" fillId="12" borderId="10" applyNumberFormat="0" applyFont="0" applyAlignment="0" applyProtection="0"/>
    <xf numFmtId="0" fontId="37" fillId="12" borderId="10" applyNumberFormat="0" applyFont="0" applyAlignment="0" applyProtection="0"/>
    <xf numFmtId="169" fontId="37" fillId="46" borderId="31" applyNumberFormat="0" applyFont="0" applyAlignment="0" applyProtection="0"/>
    <xf numFmtId="170" fontId="37" fillId="46" borderId="31" applyNumberFormat="0" applyFont="0" applyAlignment="0" applyProtection="0"/>
    <xf numFmtId="0" fontId="37" fillId="12" borderId="10" applyNumberFormat="0" applyFont="0" applyAlignment="0" applyProtection="0"/>
    <xf numFmtId="0" fontId="37" fillId="12" borderId="10"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0" fontId="37" fillId="46" borderId="31" applyNumberFormat="0" applyFont="0" applyAlignment="0" applyProtection="0"/>
    <xf numFmtId="0" fontId="32" fillId="46" borderId="31" applyNumberFormat="0" applyFont="0" applyAlignment="0" applyProtection="0"/>
    <xf numFmtId="0" fontId="11" fillId="12" borderId="10"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7" fillId="46" borderId="31" applyNumberFormat="0" applyFont="0" applyAlignment="0" applyProtection="0"/>
    <xf numFmtId="0" fontId="37" fillId="12" borderId="10" applyNumberFormat="0" applyFont="0" applyAlignment="0" applyProtection="0"/>
    <xf numFmtId="0" fontId="37" fillId="12" borderId="10" applyNumberFormat="0" applyFont="0" applyAlignment="0" applyProtection="0"/>
    <xf numFmtId="169" fontId="37" fillId="46" borderId="31" applyNumberFormat="0" applyFont="0" applyAlignment="0" applyProtection="0"/>
    <xf numFmtId="170" fontId="37" fillId="46" borderId="31" applyNumberFormat="0" applyFont="0" applyAlignment="0" applyProtection="0"/>
    <xf numFmtId="0" fontId="37" fillId="46" borderId="31" applyNumberFormat="0" applyFont="0" applyAlignment="0" applyProtection="0"/>
    <xf numFmtId="0"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0" fontId="37" fillId="46" borderId="31" applyNumberFormat="0" applyFont="0" applyAlignment="0" applyProtection="0"/>
    <xf numFmtId="0" fontId="32" fillId="46" borderId="31" applyNumberFormat="0" applyFont="0" applyAlignment="0" applyProtection="0"/>
    <xf numFmtId="168" fontId="32"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70" fontId="37" fillId="46" borderId="31" applyNumberFormat="0" applyFont="0" applyAlignment="0" applyProtection="0"/>
    <xf numFmtId="0" fontId="37" fillId="46" borderId="31" applyNumberFormat="0" applyFont="0" applyAlignment="0" applyProtection="0"/>
    <xf numFmtId="0"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0" fontId="37" fillId="46" borderId="31" applyNumberFormat="0" applyFont="0" applyAlignment="0" applyProtection="0"/>
    <xf numFmtId="168" fontId="32"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70" fontId="37" fillId="46" borderId="31" applyNumberFormat="0" applyFont="0" applyAlignment="0" applyProtection="0"/>
    <xf numFmtId="0" fontId="37" fillId="46" borderId="31" applyNumberFormat="0" applyFont="0" applyAlignment="0" applyProtection="0"/>
    <xf numFmtId="0"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0" fontId="37" fillId="46" borderId="31" applyNumberFormat="0" applyFont="0" applyAlignment="0" applyProtection="0"/>
    <xf numFmtId="0" fontId="32"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70" fontId="37" fillId="46" borderId="31" applyNumberFormat="0" applyFont="0" applyAlignment="0" applyProtection="0"/>
    <xf numFmtId="0" fontId="37" fillId="46" borderId="31" applyNumberFormat="0" applyFont="0" applyAlignment="0" applyProtection="0"/>
    <xf numFmtId="0"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0" fontId="37" fillId="46" borderId="31" applyNumberFormat="0" applyFont="0" applyAlignment="0" applyProtection="0"/>
    <xf numFmtId="0" fontId="32"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70" fontId="37" fillId="46" borderId="31" applyNumberFormat="0" applyFont="0" applyAlignment="0" applyProtection="0"/>
    <xf numFmtId="0" fontId="37" fillId="46" borderId="31" applyNumberFormat="0" applyFont="0" applyAlignment="0" applyProtection="0"/>
    <xf numFmtId="0"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0" fontId="42" fillId="75" borderId="32" applyNumberFormat="0" applyFont="0" applyAlignment="0" applyProtection="0"/>
    <xf numFmtId="0" fontId="32" fillId="46" borderId="31" applyNumberFormat="0" applyFont="0" applyAlignment="0" applyProtection="0"/>
    <xf numFmtId="0" fontId="37" fillId="12" borderId="10" applyNumberFormat="0" applyFont="0" applyAlignment="0" applyProtection="0"/>
    <xf numFmtId="0" fontId="37" fillId="12" borderId="10" applyNumberFormat="0" applyFont="0" applyAlignment="0" applyProtection="0"/>
    <xf numFmtId="0" fontId="32" fillId="46" borderId="31" applyNumberFormat="0" applyFont="0" applyAlignment="0" applyProtection="0"/>
    <xf numFmtId="169" fontId="37" fillId="46" borderId="31" applyNumberFormat="0" applyFont="0" applyAlignment="0" applyProtection="0"/>
    <xf numFmtId="0" fontId="32" fillId="46" borderId="31" applyNumberFormat="0" applyFont="0" applyAlignment="0" applyProtection="0"/>
    <xf numFmtId="170" fontId="37"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7" fillId="46" borderId="31" applyNumberFormat="0" applyFont="0" applyAlignment="0" applyProtection="0"/>
    <xf numFmtId="0" fontId="32" fillId="46" borderId="31" applyNumberFormat="0" applyFont="0" applyAlignment="0" applyProtection="0"/>
    <xf numFmtId="169" fontId="37"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168" fontId="32" fillId="46" borderId="31" applyNumberFormat="0" applyFont="0" applyAlignment="0" applyProtection="0"/>
    <xf numFmtId="168" fontId="32" fillId="46" borderId="31" applyNumberFormat="0" applyFont="0" applyAlignment="0" applyProtection="0"/>
    <xf numFmtId="168" fontId="32" fillId="46" borderId="31" applyNumberFormat="0" applyFont="0" applyAlignment="0" applyProtection="0"/>
    <xf numFmtId="0" fontId="54" fillId="12" borderId="10" applyNumberFormat="0" applyFont="0" applyAlignment="0" applyProtection="0"/>
    <xf numFmtId="168" fontId="32" fillId="46" borderId="31" applyNumberFormat="0" applyFont="0" applyAlignment="0" applyProtection="0"/>
    <xf numFmtId="0" fontId="54" fillId="12" borderId="10" applyNumberFormat="0" applyFont="0" applyAlignment="0" applyProtection="0"/>
    <xf numFmtId="168" fontId="32" fillId="46" borderId="31" applyNumberFormat="0" applyFont="0" applyAlignment="0" applyProtection="0"/>
    <xf numFmtId="0" fontId="54" fillId="12" borderId="10" applyNumberFormat="0" applyFont="0" applyAlignment="0" applyProtection="0"/>
    <xf numFmtId="0" fontId="54" fillId="12" borderId="10" applyNumberFormat="0" applyFont="0" applyAlignment="0" applyProtection="0"/>
    <xf numFmtId="168" fontId="32" fillId="46" borderId="31" applyNumberFormat="0" applyFont="0" applyAlignment="0" applyProtection="0"/>
    <xf numFmtId="168" fontId="32" fillId="46" borderId="31" applyNumberFormat="0" applyFont="0" applyAlignment="0" applyProtection="0"/>
    <xf numFmtId="0" fontId="54" fillId="12" borderId="10" applyNumberFormat="0" applyFont="0" applyAlignment="0" applyProtection="0"/>
    <xf numFmtId="0" fontId="54" fillId="12" borderId="10" applyNumberFormat="0" applyFont="0" applyAlignment="0" applyProtection="0"/>
    <xf numFmtId="0" fontId="54" fillId="12" borderId="10" applyNumberFormat="0" applyFont="0" applyAlignment="0" applyProtection="0"/>
    <xf numFmtId="0" fontId="54" fillId="12" borderId="10" applyNumberFormat="0" applyFont="0" applyAlignment="0" applyProtection="0"/>
    <xf numFmtId="168" fontId="32" fillId="46" borderId="31" applyNumberFormat="0" applyFont="0" applyAlignment="0" applyProtection="0"/>
    <xf numFmtId="168" fontId="32" fillId="46" borderId="31" applyNumberFormat="0" applyFont="0" applyAlignment="0" applyProtection="0"/>
    <xf numFmtId="0" fontId="32" fillId="0" borderId="0"/>
    <xf numFmtId="168" fontId="32" fillId="0" borderId="0"/>
    <xf numFmtId="0" fontId="120" fillId="79" borderId="33" applyNumberFormat="0" applyAlignment="0" applyProtection="0"/>
    <xf numFmtId="0" fontId="120" fillId="79" borderId="33" applyNumberFormat="0" applyAlignment="0" applyProtection="0"/>
    <xf numFmtId="0" fontId="120" fillId="80" borderId="33" applyNumberFormat="0" applyAlignment="0" applyProtection="0"/>
    <xf numFmtId="0" fontId="120" fillId="79" borderId="33" applyNumberFormat="0" applyAlignment="0" applyProtection="0"/>
    <xf numFmtId="168" fontId="120" fillId="80" borderId="33" applyNumberFormat="0" applyAlignment="0" applyProtection="0"/>
    <xf numFmtId="169"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79" borderId="33" applyNumberFormat="0" applyAlignment="0" applyProtection="0"/>
    <xf numFmtId="0" fontId="120" fillId="80"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80" borderId="33" applyNumberFormat="0" applyAlignment="0" applyProtection="0"/>
    <xf numFmtId="0" fontId="120" fillId="80"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80"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79" borderId="33" applyNumberFormat="0" applyAlignment="0" applyProtection="0"/>
    <xf numFmtId="0" fontId="120" fillId="80" borderId="33" applyNumberFormat="0" applyAlignment="0" applyProtection="0"/>
    <xf numFmtId="0" fontId="120" fillId="80" borderId="33" applyNumberFormat="0" applyAlignment="0" applyProtection="0"/>
    <xf numFmtId="0" fontId="120" fillId="80" borderId="33" applyNumberFormat="0" applyAlignment="0" applyProtection="0"/>
    <xf numFmtId="168" fontId="120" fillId="80" borderId="33" applyNumberFormat="0" applyAlignment="0" applyProtection="0"/>
    <xf numFmtId="168" fontId="120" fillId="80" borderId="33" applyNumberFormat="0" applyAlignment="0" applyProtection="0"/>
    <xf numFmtId="168" fontId="120" fillId="80" borderId="33" applyNumberFormat="0" applyAlignment="0" applyProtection="0"/>
    <xf numFmtId="0" fontId="121" fillId="10" borderId="7" applyNumberFormat="0" applyAlignment="0" applyProtection="0"/>
    <xf numFmtId="168" fontId="120" fillId="80" borderId="33" applyNumberFormat="0" applyAlignment="0" applyProtection="0"/>
    <xf numFmtId="168" fontId="120" fillId="80" borderId="33" applyNumberFormat="0" applyAlignment="0" applyProtection="0"/>
    <xf numFmtId="168" fontId="120" fillId="80" borderId="33" applyNumberFormat="0" applyAlignment="0" applyProtection="0"/>
    <xf numFmtId="168" fontId="120" fillId="80" borderId="33" applyNumberFormat="0" applyAlignment="0" applyProtection="0"/>
    <xf numFmtId="0" fontId="121" fillId="10" borderId="7" applyNumberFormat="0" applyAlignment="0" applyProtection="0"/>
    <xf numFmtId="168" fontId="120" fillId="80" borderId="33" applyNumberFormat="0" applyAlignment="0" applyProtection="0"/>
    <xf numFmtId="168" fontId="120" fillId="80" borderId="33" applyNumberFormat="0" applyAlignment="0" applyProtection="0"/>
    <xf numFmtId="0" fontId="49" fillId="89" borderId="0">
      <protection locked="0"/>
    </xf>
    <xf numFmtId="0" fontId="39" fillId="0" borderId="0"/>
    <xf numFmtId="169" fontId="39" fillId="0" borderId="0"/>
    <xf numFmtId="169" fontId="39" fillId="0" borderId="0"/>
    <xf numFmtId="170" fontId="39" fillId="0" borderId="0"/>
    <xf numFmtId="0" fontId="39" fillId="0" borderId="0"/>
    <xf numFmtId="169" fontId="39" fillId="0" borderId="0"/>
    <xf numFmtId="0" fontId="62" fillId="0" borderId="0"/>
    <xf numFmtId="169" fontId="62" fillId="0" borderId="0"/>
    <xf numFmtId="169" fontId="62" fillId="0" borderId="0"/>
    <xf numFmtId="170" fontId="62" fillId="0" borderId="0"/>
    <xf numFmtId="0" fontId="62" fillId="0" borderId="0"/>
    <xf numFmtId="169" fontId="62" fillId="0" borderId="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194" fontId="27"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57"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0" fontId="58"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59"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3"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alignment vertical="center"/>
    </xf>
    <xf numFmtId="9" fontId="53"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11" fillId="0" borderId="0" applyFont="0" applyFill="0" applyBorder="0" applyAlignment="0" applyProtection="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168" fontId="122" fillId="90" borderId="0"/>
    <xf numFmtId="168" fontId="122" fillId="90" borderId="0"/>
    <xf numFmtId="169" fontId="122" fillId="90" borderId="0"/>
    <xf numFmtId="195" fontId="42" fillId="0" borderId="0" applyFont="0" applyFill="0" applyBorder="0" applyAlignment="0" applyProtection="0"/>
    <xf numFmtId="0" fontId="68" fillId="0" borderId="0" applyNumberFormat="0" applyFont="0" applyFill="0" applyBorder="0" applyAlignment="0" applyProtection="0">
      <alignment horizontal="left"/>
    </xf>
    <xf numFmtId="0" fontId="68" fillId="0" borderId="0" applyNumberFormat="0" applyFont="0" applyFill="0" applyBorder="0" applyAlignment="0" applyProtection="0">
      <alignment horizontal="left"/>
    </xf>
    <xf numFmtId="0"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70" fontId="68" fillId="0" borderId="0" applyNumberFormat="0" applyFont="0" applyFill="0" applyBorder="0" applyAlignment="0" applyProtection="0">
      <alignment horizontal="left"/>
    </xf>
    <xf numFmtId="0"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70" fontId="68" fillId="0" borderId="0" applyNumberFormat="0" applyFont="0" applyFill="0" applyBorder="0" applyAlignment="0" applyProtection="0">
      <alignment horizontal="left"/>
    </xf>
    <xf numFmtId="0"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70" fontId="68" fillId="0" borderId="0" applyNumberFormat="0" applyFont="0" applyFill="0" applyBorder="0" applyAlignment="0" applyProtection="0">
      <alignment horizontal="left"/>
    </xf>
    <xf numFmtId="0"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5" fontId="68" fillId="0" borderId="0" applyFont="0" applyFill="0" applyBorder="0" applyAlignment="0" applyProtection="0"/>
    <xf numFmtId="15" fontId="68" fillId="0" borderId="0" applyFont="0" applyFill="0" applyBorder="0" applyAlignment="0" applyProtection="0"/>
    <xf numFmtId="15" fontId="68" fillId="0" borderId="0" applyFont="0" applyFill="0" applyBorder="0" applyAlignment="0" applyProtection="0"/>
    <xf numFmtId="4" fontId="68" fillId="0" borderId="0" applyFont="0" applyFill="0" applyBorder="0" applyAlignment="0" applyProtection="0"/>
    <xf numFmtId="4" fontId="68" fillId="0" borderId="0" applyFont="0" applyFill="0" applyBorder="0" applyAlignment="0" applyProtection="0"/>
    <xf numFmtId="4" fontId="68" fillId="0" borderId="0" applyFont="0" applyFill="0" applyBorder="0" applyAlignment="0" applyProtection="0"/>
    <xf numFmtId="0" fontId="123" fillId="0" borderId="19">
      <alignment horizontal="center"/>
    </xf>
    <xf numFmtId="0" fontId="123" fillId="0" borderId="19">
      <alignment horizontal="center"/>
    </xf>
    <xf numFmtId="0" fontId="123" fillId="0" borderId="19">
      <alignment horizontal="center"/>
    </xf>
    <xf numFmtId="169" fontId="123" fillId="0" borderId="19">
      <alignment horizontal="center"/>
    </xf>
    <xf numFmtId="169" fontId="123" fillId="0" borderId="19">
      <alignment horizontal="center"/>
    </xf>
    <xf numFmtId="170" fontId="123" fillId="0" borderId="19">
      <alignment horizontal="center"/>
    </xf>
    <xf numFmtId="0" fontId="123" fillId="0" borderId="19">
      <alignment horizontal="center"/>
    </xf>
    <xf numFmtId="0" fontId="123" fillId="0" borderId="19">
      <alignment horizontal="center"/>
    </xf>
    <xf numFmtId="169" fontId="123" fillId="0" borderId="19">
      <alignment horizontal="center"/>
    </xf>
    <xf numFmtId="169" fontId="123" fillId="0" borderId="19">
      <alignment horizontal="center"/>
    </xf>
    <xf numFmtId="0" fontId="123" fillId="0" borderId="19">
      <alignment horizontal="center"/>
    </xf>
    <xf numFmtId="169" fontId="123" fillId="0" borderId="19">
      <alignment horizontal="center"/>
    </xf>
    <xf numFmtId="169" fontId="123" fillId="0" borderId="19">
      <alignment horizontal="center"/>
    </xf>
    <xf numFmtId="170" fontId="123" fillId="0" borderId="19">
      <alignment horizontal="center"/>
    </xf>
    <xf numFmtId="0" fontId="123" fillId="0" borderId="19">
      <alignment horizontal="center"/>
    </xf>
    <xf numFmtId="0" fontId="123" fillId="0" borderId="19">
      <alignment horizontal="center"/>
    </xf>
    <xf numFmtId="169" fontId="123" fillId="0" borderId="19">
      <alignment horizontal="center"/>
    </xf>
    <xf numFmtId="169" fontId="123" fillId="0" borderId="19">
      <alignment horizontal="center"/>
    </xf>
    <xf numFmtId="0" fontId="123" fillId="0" borderId="19">
      <alignment horizontal="center"/>
    </xf>
    <xf numFmtId="169" fontId="123" fillId="0" borderId="19">
      <alignment horizontal="center"/>
    </xf>
    <xf numFmtId="169" fontId="123" fillId="0" borderId="19">
      <alignment horizontal="center"/>
    </xf>
    <xf numFmtId="170" fontId="123" fillId="0" borderId="19">
      <alignment horizontal="center"/>
    </xf>
    <xf numFmtId="0" fontId="123" fillId="0" borderId="19">
      <alignment horizontal="center"/>
    </xf>
    <xf numFmtId="0" fontId="123" fillId="0" borderId="19">
      <alignment horizontal="center"/>
    </xf>
    <xf numFmtId="169" fontId="123" fillId="0" borderId="19">
      <alignment horizontal="center"/>
    </xf>
    <xf numFmtId="169" fontId="123" fillId="0" borderId="19">
      <alignment horizontal="center"/>
    </xf>
    <xf numFmtId="0" fontId="123" fillId="0" borderId="19">
      <alignment horizontal="center"/>
    </xf>
    <xf numFmtId="3" fontId="68" fillId="0" borderId="0" applyFont="0" applyFill="0" applyBorder="0" applyAlignment="0" applyProtection="0"/>
    <xf numFmtId="3" fontId="68" fillId="0" borderId="0" applyFont="0" applyFill="0" applyBorder="0" applyAlignment="0" applyProtection="0"/>
    <xf numFmtId="3" fontId="68" fillId="0" borderId="0" applyFont="0" applyFill="0" applyBorder="0" applyAlignment="0" applyProtection="0"/>
    <xf numFmtId="0" fontId="68" fillId="91" borderId="0" applyNumberFormat="0" applyFont="0" applyBorder="0" applyAlignment="0" applyProtection="0"/>
    <xf numFmtId="0" fontId="68" fillId="91" borderId="0" applyNumberFormat="0" applyFont="0" applyBorder="0" applyAlignment="0" applyProtection="0"/>
    <xf numFmtId="0" fontId="68" fillId="91" borderId="0" applyNumberFormat="0" applyFont="0" applyBorder="0" applyAlignment="0" applyProtection="0"/>
    <xf numFmtId="169" fontId="68" fillId="91" borderId="0" applyNumberFormat="0" applyFont="0" applyBorder="0" applyAlignment="0" applyProtection="0"/>
    <xf numFmtId="169" fontId="68" fillId="91" borderId="0" applyNumberFormat="0" applyFont="0" applyBorder="0" applyAlignment="0" applyProtection="0"/>
    <xf numFmtId="170" fontId="68" fillId="91" borderId="0" applyNumberFormat="0" applyFont="0" applyBorder="0" applyAlignment="0" applyProtection="0"/>
    <xf numFmtId="0" fontId="68" fillId="91" borderId="0" applyNumberFormat="0" applyFont="0" applyBorder="0" applyAlignment="0" applyProtection="0"/>
    <xf numFmtId="169" fontId="68" fillId="91" borderId="0" applyNumberFormat="0" applyFont="0" applyBorder="0" applyAlignment="0" applyProtection="0"/>
    <xf numFmtId="169" fontId="68" fillId="91" borderId="0" applyNumberFormat="0" applyFont="0" applyBorder="0" applyAlignment="0" applyProtection="0"/>
    <xf numFmtId="169" fontId="68" fillId="91" borderId="0" applyNumberFormat="0" applyFont="0" applyBorder="0" applyAlignment="0" applyProtection="0"/>
    <xf numFmtId="170" fontId="68" fillId="91" borderId="0" applyNumberFormat="0" applyFont="0" applyBorder="0" applyAlignment="0" applyProtection="0"/>
    <xf numFmtId="0" fontId="68" fillId="91" borderId="0" applyNumberFormat="0" applyFont="0" applyBorder="0" applyAlignment="0" applyProtection="0"/>
    <xf numFmtId="169" fontId="68" fillId="91" borderId="0" applyNumberFormat="0" applyFont="0" applyBorder="0" applyAlignment="0" applyProtection="0"/>
    <xf numFmtId="169" fontId="68" fillId="91" borderId="0" applyNumberFormat="0" applyFont="0" applyBorder="0" applyAlignment="0" applyProtection="0"/>
    <xf numFmtId="169" fontId="68" fillId="91" borderId="0" applyNumberFormat="0" applyFont="0" applyBorder="0" applyAlignment="0" applyProtection="0"/>
    <xf numFmtId="170" fontId="68" fillId="91" borderId="0" applyNumberFormat="0" applyFont="0" applyBorder="0" applyAlignment="0" applyProtection="0"/>
    <xf numFmtId="0" fontId="68" fillId="91" borderId="0" applyNumberFormat="0" applyFont="0" applyBorder="0" applyAlignment="0" applyProtection="0"/>
    <xf numFmtId="169" fontId="68" fillId="91" borderId="0" applyNumberFormat="0" applyFont="0" applyBorder="0" applyAlignment="0" applyProtection="0"/>
    <xf numFmtId="168" fontId="66" fillId="0" borderId="12" applyNumberFormat="0" applyBorder="0"/>
    <xf numFmtId="168" fontId="66" fillId="0" borderId="12" applyNumberFormat="0" applyBorder="0"/>
    <xf numFmtId="169" fontId="66" fillId="0" borderId="12" applyNumberFormat="0" applyBorder="0"/>
    <xf numFmtId="196" fontId="32" fillId="0" borderId="0" applyFont="0" applyFill="0" applyBorder="0" applyAlignment="0" applyProtection="0"/>
    <xf numFmtId="0" fontId="32" fillId="0" borderId="34" applyNumberFormat="0" applyFont="0" applyFill="0" applyAlignment="0" applyProtection="0"/>
    <xf numFmtId="0" fontId="32" fillId="0" borderId="35" applyNumberFormat="0" applyFont="0" applyFill="0" applyAlignment="0" applyProtection="0"/>
    <xf numFmtId="0" fontId="32" fillId="0" borderId="36" applyNumberFormat="0" applyFont="0" applyFill="0" applyAlignment="0" applyProtection="0"/>
    <xf numFmtId="0" fontId="32" fillId="0" borderId="37" applyNumberFormat="0" applyFont="0" applyFill="0" applyAlignment="0" applyProtection="0"/>
    <xf numFmtId="0" fontId="32" fillId="0" borderId="38" applyNumberFormat="0" applyFont="0" applyFill="0" applyAlignment="0" applyProtection="0"/>
    <xf numFmtId="0" fontId="32" fillId="80" borderId="0" applyNumberFormat="0" applyFont="0" applyBorder="0" applyAlignment="0" applyProtection="0"/>
    <xf numFmtId="0" fontId="32" fillId="0" borderId="39" applyNumberFormat="0" applyFont="0" applyFill="0" applyAlignment="0" applyProtection="0"/>
    <xf numFmtId="0" fontId="32" fillId="0" borderId="40" applyNumberFormat="0" applyFont="0" applyFill="0" applyAlignment="0" applyProtection="0"/>
    <xf numFmtId="46" fontId="32" fillId="0" borderId="0" applyFon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2" fillId="0" borderId="41" applyNumberFormat="0" applyFont="0" applyFill="0" applyAlignment="0" applyProtection="0"/>
    <xf numFmtId="0" fontId="32" fillId="0" borderId="42" applyNumberFormat="0" applyFont="0" applyFill="0" applyAlignment="0" applyProtection="0"/>
    <xf numFmtId="0" fontId="32" fillId="0" borderId="31" applyNumberFormat="0" applyFont="0" applyFill="0" applyAlignment="0" applyProtection="0"/>
    <xf numFmtId="0" fontId="32" fillId="0" borderId="43" applyNumberFormat="0" applyFont="0" applyFill="0" applyAlignment="0" applyProtection="0"/>
    <xf numFmtId="0" fontId="32" fillId="0" borderId="31" applyNumberFormat="0" applyFont="0" applyFill="0" applyAlignment="0" applyProtection="0"/>
    <xf numFmtId="0" fontId="32" fillId="0" borderId="0" applyNumberFormat="0" applyFont="0" applyFill="0" applyBorder="0" applyProtection="0">
      <alignment horizontal="center"/>
    </xf>
    <xf numFmtId="0" fontId="124" fillId="0" borderId="0" applyNumberFormat="0" applyFill="0" applyBorder="0" applyAlignment="0" applyProtection="0"/>
    <xf numFmtId="0" fontId="125" fillId="0" borderId="0" applyNumberFormat="0" applyFill="0" applyBorder="0" applyAlignment="0" applyProtection="0"/>
    <xf numFmtId="0" fontId="73" fillId="0" borderId="0" applyNumberFormat="0" applyFill="0" applyBorder="0" applyProtection="0">
      <alignment horizontal="left"/>
    </xf>
    <xf numFmtId="0" fontId="32" fillId="80" borderId="0" applyNumberFormat="0" applyFont="0" applyBorder="0" applyAlignment="0" applyProtection="0"/>
    <xf numFmtId="0" fontId="126"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2" fillId="0" borderId="44" applyNumberFormat="0" applyFont="0" applyFill="0" applyAlignment="0" applyProtection="0"/>
    <xf numFmtId="0" fontId="32" fillId="0" borderId="45" applyNumberFormat="0" applyFont="0" applyFill="0" applyAlignment="0" applyProtection="0"/>
    <xf numFmtId="197" fontId="32" fillId="0" borderId="0" applyFont="0" applyFill="0" applyBorder="0" applyAlignment="0" applyProtection="0"/>
    <xf numFmtId="0" fontId="32" fillId="0" borderId="46" applyNumberFormat="0" applyFont="0" applyFill="0" applyAlignment="0" applyProtection="0"/>
    <xf numFmtId="0" fontId="32" fillId="0" borderId="47" applyNumberFormat="0" applyFont="0" applyFill="0" applyAlignment="0" applyProtection="0"/>
    <xf numFmtId="0" fontId="32" fillId="0" borderId="48" applyNumberFormat="0" applyFont="0" applyFill="0" applyAlignment="0" applyProtection="0"/>
    <xf numFmtId="0" fontId="32" fillId="0" borderId="49" applyNumberFormat="0" applyFont="0" applyFill="0" applyAlignment="0" applyProtection="0"/>
    <xf numFmtId="0" fontId="32" fillId="0" borderId="50" applyNumberFormat="0" applyFont="0" applyFill="0" applyAlignment="0" applyProtection="0"/>
    <xf numFmtId="0" fontId="1" fillId="0" borderId="0">
      <alignment horizontal="center"/>
    </xf>
    <xf numFmtId="0" fontId="1" fillId="0" borderId="0">
      <alignment horizont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0" fontId="130" fillId="51" borderId="51" applyNumberFormat="0" applyProtection="0">
      <alignment horizontal="left" vertical="top" indent="1"/>
    </xf>
    <xf numFmtId="4" fontId="131" fillId="93" borderId="0">
      <alignment horizontal="left" vertical="center" indent="1"/>
    </xf>
    <xf numFmtId="4" fontId="132" fillId="94" borderId="0">
      <alignment horizontal="left" vertical="center" indent="1"/>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5" fillId="101" borderId="52" applyNumberFormat="0" applyProtection="0">
      <alignment horizontal="left" vertical="center" wrapText="1" indent="1"/>
    </xf>
    <xf numFmtId="4" fontId="135" fillId="101" borderId="52" applyNumberFormat="0" applyProtection="0">
      <alignment horizontal="left" vertical="center" wrapText="1" indent="1"/>
    </xf>
    <xf numFmtId="4" fontId="135" fillId="101" borderId="52" applyNumberFormat="0" applyProtection="0">
      <alignment horizontal="left" vertical="center" wrapText="1" indent="1"/>
    </xf>
    <xf numFmtId="4" fontId="135" fillId="101" borderId="52" applyNumberFormat="0" applyProtection="0">
      <alignment horizontal="left" vertical="center" wrapText="1" indent="1"/>
    </xf>
    <xf numFmtId="4" fontId="135" fillId="101" borderId="52" applyNumberFormat="0" applyProtection="0">
      <alignment horizontal="left" vertical="center" wrapText="1" indent="1"/>
    </xf>
    <xf numFmtId="4" fontId="135" fillId="102" borderId="38" applyNumberFormat="0" applyProtection="0">
      <alignment horizontal="left" vertical="center" wrapText="1" indent="1"/>
    </xf>
    <xf numFmtId="4" fontId="135" fillId="102" borderId="38" applyNumberFormat="0" applyProtection="0">
      <alignment horizontal="left" vertical="center" wrapText="1" indent="1"/>
    </xf>
    <xf numFmtId="4" fontId="135" fillId="102" borderId="38" applyNumberFormat="0" applyProtection="0">
      <alignment horizontal="left" vertical="center" wrapText="1" indent="1"/>
    </xf>
    <xf numFmtId="4" fontId="135" fillId="102" borderId="38" applyNumberFormat="0" applyProtection="0">
      <alignment horizontal="left" vertical="center" wrapText="1" indent="1"/>
    </xf>
    <xf numFmtId="4" fontId="135" fillId="102" borderId="38" applyNumberFormat="0" applyProtection="0">
      <alignment horizontal="left" vertical="center" wrapText="1" indent="1"/>
    </xf>
    <xf numFmtId="4" fontId="135" fillId="101" borderId="52" applyNumberFormat="0" applyProtection="0">
      <alignment horizontal="left" vertical="center" wrapText="1" indent="1"/>
    </xf>
    <xf numFmtId="4" fontId="127" fillId="103" borderId="0" applyNumberFormat="0" applyProtection="0">
      <alignment horizontal="left" vertical="center" wrapText="1" indent="1"/>
    </xf>
    <xf numFmtId="4" fontId="127" fillId="90" borderId="1" applyNumberFormat="0" applyProtection="0">
      <alignment horizontal="left" vertical="center" wrapText="1" indent="1"/>
    </xf>
    <xf numFmtId="4" fontId="127" fillId="103" borderId="0" applyNumberFormat="0" applyProtection="0">
      <alignment horizontal="left" vertical="center" wrapText="1" indent="1"/>
    </xf>
    <xf numFmtId="4" fontId="127" fillId="90" borderId="1" applyNumberFormat="0" applyProtection="0">
      <alignment horizontal="left" vertical="center" wrapText="1" indent="1"/>
    </xf>
    <xf numFmtId="4" fontId="127" fillId="90" borderId="1" applyNumberFormat="0" applyProtection="0">
      <alignment horizontal="left" vertical="center" wrapText="1" indent="1"/>
    </xf>
    <xf numFmtId="4" fontId="127" fillId="90" borderId="1" applyNumberFormat="0" applyProtection="0">
      <alignment horizontal="left" vertical="center" wrapText="1" indent="1"/>
    </xf>
    <xf numFmtId="4" fontId="127" fillId="90" borderId="1" applyNumberFormat="0" applyProtection="0">
      <alignment horizontal="left" vertical="center" wrapText="1" indent="1"/>
    </xf>
    <xf numFmtId="4" fontId="127" fillId="90" borderId="1" applyNumberFormat="0" applyProtection="0">
      <alignment horizontal="left" vertical="center" wrapText="1" indent="1"/>
    </xf>
    <xf numFmtId="4" fontId="127" fillId="90" borderId="1" applyNumberFormat="0" applyProtection="0">
      <alignment horizontal="left" vertical="center" wrapText="1" indent="1"/>
    </xf>
    <xf numFmtId="4" fontId="127" fillId="93" borderId="0">
      <alignment horizontal="left" vertical="center" indent="1"/>
    </xf>
    <xf numFmtId="4" fontId="127" fillId="93" borderId="0">
      <alignment horizontal="left" vertical="center" indent="1"/>
    </xf>
    <xf numFmtId="4" fontId="127" fillId="93" borderId="0">
      <alignment horizontal="left" vertical="center" indent="1"/>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1" fillId="103" borderId="0" applyFill="0">
      <alignment horizontal="left" vertical="center" indent="1"/>
    </xf>
    <xf numFmtId="4" fontId="131" fillId="103" borderId="0" applyFill="0">
      <alignment horizontal="left" vertical="center" indent="1"/>
    </xf>
    <xf numFmtId="4" fontId="58" fillId="93" borderId="0">
      <alignment horizontal="left" vertical="center" indent="1"/>
    </xf>
    <xf numFmtId="4" fontId="58" fillId="93" borderId="0">
      <alignment horizontal="left" vertical="center" indent="1"/>
    </xf>
    <xf numFmtId="0" fontId="42" fillId="79" borderId="32" applyNumberFormat="0" applyProtection="0">
      <alignment horizontal="left" vertical="center" indent="1"/>
    </xf>
    <xf numFmtId="0" fontId="42" fillId="72" borderId="51" applyNumberFormat="0" applyProtection="0">
      <alignment horizontal="left" vertical="top" indent="1"/>
    </xf>
    <xf numFmtId="0" fontId="42" fillId="104" borderId="32" applyNumberFormat="0" applyProtection="0">
      <alignment horizontal="left" vertical="center" indent="1"/>
    </xf>
    <xf numFmtId="0" fontId="42" fillId="105" borderId="51" applyNumberFormat="0" applyProtection="0">
      <alignment horizontal="left" vertical="top" indent="1"/>
    </xf>
    <xf numFmtId="0" fontId="42" fillId="42" borderId="32" applyNumberFormat="0" applyProtection="0">
      <alignment horizontal="left" vertical="center" indent="1"/>
    </xf>
    <xf numFmtId="0" fontId="42" fillId="42" borderId="51" applyNumberFormat="0" applyProtection="0">
      <alignment horizontal="left" vertical="top" indent="1"/>
    </xf>
    <xf numFmtId="0" fontId="42" fillId="106" borderId="32" applyNumberFormat="0" applyProtection="0">
      <alignment horizontal="left" vertical="center" indent="1"/>
    </xf>
    <xf numFmtId="0" fontId="42" fillId="106" borderId="51" applyNumberFormat="0" applyProtection="0">
      <alignment horizontal="left" vertical="top" indent="1"/>
    </xf>
    <xf numFmtId="0" fontId="42" fillId="80" borderId="53" applyNumberFormat="0">
      <protection locked="0"/>
    </xf>
    <xf numFmtId="0" fontId="42" fillId="80" borderId="53" applyNumberFormat="0">
      <protection locked="0"/>
    </xf>
    <xf numFmtId="0" fontId="33" fillId="72" borderId="54" applyBorder="0"/>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0" fontId="137" fillId="46" borderId="51" applyNumberFormat="0" applyProtection="0">
      <alignment horizontal="left" vertical="top" inden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40"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0" fontId="137" fillId="105" borderId="51" applyNumberFormat="0" applyProtection="0">
      <alignment horizontal="left" vertical="top" indent="1"/>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0" fontId="42" fillId="110" borderId="1"/>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37" fontId="32" fillId="5" borderId="56" applyBorder="0"/>
    <xf numFmtId="0" fontId="141" fillId="0" borderId="0" applyNumberFormat="0" applyFill="0" applyBorder="0" applyAlignment="0" applyProtection="0"/>
    <xf numFmtId="198" fontId="27" fillId="0" borderId="0" applyFont="0" applyFill="0" applyBorder="0" applyAlignment="0" applyProtection="0"/>
    <xf numFmtId="168" fontId="32" fillId="111" borderId="57" applyBorder="0"/>
    <xf numFmtId="0" fontId="142" fillId="0" borderId="0"/>
    <xf numFmtId="0" fontId="142" fillId="0" borderId="0"/>
    <xf numFmtId="0" fontId="142" fillId="0" borderId="0"/>
    <xf numFmtId="169" fontId="142" fillId="0" borderId="0"/>
    <xf numFmtId="169" fontId="142" fillId="0" borderId="0"/>
    <xf numFmtId="170" fontId="142" fillId="0" borderId="0"/>
    <xf numFmtId="0" fontId="142" fillId="0" borderId="0"/>
    <xf numFmtId="169" fontId="142" fillId="0" borderId="0"/>
    <xf numFmtId="169" fontId="142" fillId="0" borderId="0"/>
    <xf numFmtId="169" fontId="142" fillId="0" borderId="0"/>
    <xf numFmtId="170" fontId="142" fillId="0" borderId="0"/>
    <xf numFmtId="0" fontId="142" fillId="0" borderId="0"/>
    <xf numFmtId="169" fontId="142" fillId="0" borderId="0"/>
    <xf numFmtId="169" fontId="142" fillId="0" borderId="0"/>
    <xf numFmtId="169" fontId="142" fillId="0" borderId="0"/>
    <xf numFmtId="170" fontId="142" fillId="0" borderId="0"/>
    <xf numFmtId="0" fontId="142" fillId="0" borderId="0"/>
    <xf numFmtId="169" fontId="142" fillId="0" borderId="0"/>
    <xf numFmtId="38" fontId="31" fillId="0" borderId="0" applyProtection="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38" fontId="31" fillId="0" borderId="0" applyProtection="0"/>
    <xf numFmtId="38" fontId="31" fillId="0" borderId="0" applyProtection="0"/>
    <xf numFmtId="38" fontId="31" fillId="0" borderId="0" applyProtection="0"/>
    <xf numFmtId="38" fontId="31" fillId="0" borderId="0" applyProtection="0"/>
    <xf numFmtId="168" fontId="32" fillId="0" borderId="0"/>
    <xf numFmtId="168" fontId="32" fillId="0" borderId="0"/>
    <xf numFmtId="169" fontId="32" fillId="0" borderId="0"/>
    <xf numFmtId="38" fontId="31" fillId="0" borderId="0" applyProtection="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38" fontId="31" fillId="0" borderId="0" applyProtection="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32" fillId="0" borderId="0"/>
    <xf numFmtId="0" fontId="32" fillId="0" borderId="0"/>
    <xf numFmtId="0" fontId="32" fillId="0" borderId="0"/>
    <xf numFmtId="38" fontId="31" fillId="0" borderId="0" applyProtection="0"/>
    <xf numFmtId="38" fontId="31" fillId="0" borderId="0" applyProtection="0"/>
    <xf numFmtId="38" fontId="143" fillId="0" borderId="0"/>
    <xf numFmtId="199" fontId="96" fillId="0" borderId="0"/>
    <xf numFmtId="0" fontId="142" fillId="112" borderId="0" applyNumberFormat="0" applyFont="0" applyAlignment="0"/>
    <xf numFmtId="0" fontId="142" fillId="112" borderId="0" applyNumberFormat="0" applyFont="0" applyAlignment="0"/>
    <xf numFmtId="0" fontId="142" fillId="112" borderId="0" applyNumberFormat="0" applyFont="0" applyAlignment="0"/>
    <xf numFmtId="169" fontId="142" fillId="112" borderId="0" applyNumberFormat="0" applyFont="0" applyAlignment="0"/>
    <xf numFmtId="169" fontId="142" fillId="112" borderId="0" applyNumberFormat="0" applyFont="0" applyAlignment="0"/>
    <xf numFmtId="170" fontId="142" fillId="112" borderId="0" applyNumberFormat="0" applyFont="0" applyAlignment="0"/>
    <xf numFmtId="0" fontId="142" fillId="112" borderId="0" applyNumberFormat="0" applyFont="0" applyAlignment="0"/>
    <xf numFmtId="169" fontId="142" fillId="112" borderId="0" applyNumberFormat="0" applyFont="0" applyAlignment="0"/>
    <xf numFmtId="169" fontId="142" fillId="112" borderId="0" applyNumberFormat="0" applyFont="0" applyAlignment="0"/>
    <xf numFmtId="169" fontId="142" fillId="112" borderId="0" applyNumberFormat="0" applyFont="0" applyAlignment="0"/>
    <xf numFmtId="170" fontId="142" fillId="112" borderId="0" applyNumberFormat="0" applyFont="0" applyAlignment="0"/>
    <xf numFmtId="0" fontId="142" fillId="112" borderId="0" applyNumberFormat="0" applyFont="0" applyAlignment="0"/>
    <xf numFmtId="169" fontId="142" fillId="112" borderId="0" applyNumberFormat="0" applyFont="0" applyAlignment="0"/>
    <xf numFmtId="169" fontId="142" fillId="112" borderId="0" applyNumberFormat="0" applyFont="0" applyAlignment="0"/>
    <xf numFmtId="169" fontId="142" fillId="112" borderId="0" applyNumberFormat="0" applyFont="0" applyAlignment="0"/>
    <xf numFmtId="170" fontId="142" fillId="112" borderId="0" applyNumberFormat="0" applyFont="0" applyAlignment="0"/>
    <xf numFmtId="0" fontId="142" fillId="112" borderId="0" applyNumberFormat="0" applyFont="0" applyAlignment="0"/>
    <xf numFmtId="169" fontId="142" fillId="112" borderId="0" applyNumberFormat="0" applyFont="0" applyAlignment="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49" fontId="58" fillId="0" borderId="0" applyFill="0" applyBorder="0" applyAlignment="0"/>
    <xf numFmtId="182" fontId="32" fillId="0" borderId="0" applyFill="0" applyBorder="0" applyAlignment="0"/>
    <xf numFmtId="182" fontId="32" fillId="0" borderId="0" applyFill="0" applyBorder="0" applyAlignment="0"/>
    <xf numFmtId="0" fontId="144" fillId="0" borderId="0" applyNumberFormat="0" applyFill="0" applyBorder="0" applyAlignment="0" applyProtection="0"/>
    <xf numFmtId="0" fontId="141" fillId="0" borderId="0" applyNumberFormat="0" applyFill="0" applyBorder="0" applyAlignment="0" applyProtection="0"/>
    <xf numFmtId="168" fontId="141" fillId="0" borderId="0" applyNumberFormat="0" applyFill="0" applyBorder="0" applyAlignment="0" applyProtection="0"/>
    <xf numFmtId="0" fontId="144" fillId="0" borderId="0" applyNumberFormat="0" applyFill="0" applyBorder="0" applyAlignment="0" applyProtection="0"/>
    <xf numFmtId="170" fontId="144" fillId="0" borderId="0" applyNumberFormat="0" applyFill="0" applyBorder="0" applyAlignment="0" applyProtection="0"/>
    <xf numFmtId="0" fontId="144"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4" fillId="0" borderId="0" applyNumberFormat="0" applyFill="0" applyBorder="0" applyAlignment="0" applyProtection="0"/>
    <xf numFmtId="180" fontId="12" fillId="0" borderId="0" applyNumberFormat="0" applyFill="0" applyBorder="0" applyAlignment="0" applyProtection="0"/>
    <xf numFmtId="0" fontId="141" fillId="0" borderId="0" applyNumberFormat="0" applyFill="0" applyBorder="0" applyAlignment="0" applyProtection="0"/>
    <xf numFmtId="0" fontId="12" fillId="0" borderId="0" applyNumberFormat="0" applyFill="0" applyBorder="0" applyAlignment="0" applyProtection="0"/>
    <xf numFmtId="168" fontId="141" fillId="0" borderId="0" applyNumberFormat="0" applyFill="0" applyBorder="0" applyAlignment="0" applyProtection="0"/>
    <xf numFmtId="0" fontId="12" fillId="0" borderId="0" applyNumberFormat="0" applyFill="0" applyBorder="0" applyAlignment="0" applyProtection="0"/>
    <xf numFmtId="168" fontId="141" fillId="0" borderId="0" applyNumberFormat="0" applyFill="0" applyBorder="0" applyAlignment="0" applyProtection="0"/>
    <xf numFmtId="168" fontId="141" fillId="0" borderId="0" applyNumberFormat="0" applyFill="0" applyBorder="0" applyAlignment="0" applyProtection="0"/>
    <xf numFmtId="0" fontId="12" fillId="0" borderId="0" applyNumberFormat="0" applyFill="0" applyBorder="0" applyAlignment="0" applyProtection="0"/>
    <xf numFmtId="168" fontId="141" fillId="0" borderId="0" applyNumberFormat="0" applyFill="0" applyBorder="0" applyAlignment="0" applyProtection="0"/>
    <xf numFmtId="0" fontId="61" fillId="0" borderId="58" applyNumberFormat="0" applyFont="0" applyFill="0" applyAlignment="0" applyProtection="0"/>
    <xf numFmtId="0" fontId="69" fillId="0" borderId="59" applyNumberFormat="0" applyFill="0" applyAlignment="0" applyProtection="0"/>
    <xf numFmtId="171" fontId="69" fillId="0" borderId="60" applyNumberFormat="0" applyFill="0" applyAlignment="0" applyProtection="0"/>
    <xf numFmtId="168" fontId="69" fillId="0" borderId="59" applyNumberFormat="0" applyFill="0" applyAlignment="0" applyProtection="0"/>
    <xf numFmtId="171" fontId="32" fillId="0" borderId="58" applyNumberFormat="0" applyFont="0" applyFill="0" applyAlignment="0" applyProtection="0"/>
    <xf numFmtId="171"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70" fontId="32" fillId="0" borderId="58" applyNumberFormat="0" applyFont="0" applyFill="0" applyAlignment="0" applyProtection="0"/>
    <xf numFmtId="0" fontId="32" fillId="0" borderId="58" applyNumberFormat="0" applyFont="0" applyFill="0" applyAlignment="0" applyProtection="0"/>
    <xf numFmtId="0" fontId="69" fillId="0" borderId="60" applyNumberFormat="0" applyFill="0" applyAlignment="0" applyProtection="0"/>
    <xf numFmtId="169" fontId="32" fillId="0" borderId="58" applyNumberFormat="0" applyFon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168" fontId="69" fillId="0" borderId="59" applyNumberFormat="0" applyFill="0" applyAlignment="0" applyProtection="0"/>
    <xf numFmtId="169" fontId="32" fillId="0" borderId="58" applyNumberFormat="0" applyFont="0" applyFill="0" applyAlignment="0" applyProtection="0"/>
    <xf numFmtId="0" fontId="69" fillId="0" borderId="59" applyNumberFormat="0" applyFill="0" applyAlignment="0" applyProtection="0"/>
    <xf numFmtId="0" fontId="61" fillId="0" borderId="58" applyNumberFormat="0" applyFont="0" applyFill="0" applyAlignment="0" applyProtection="0"/>
    <xf numFmtId="170" fontId="32" fillId="0" borderId="58" applyNumberFormat="0" applyFont="0" applyFill="0" applyAlignment="0" applyProtection="0"/>
    <xf numFmtId="0" fontId="32" fillId="0" borderId="58" applyNumberFormat="0" applyFont="0" applyFill="0" applyAlignment="0" applyProtection="0"/>
    <xf numFmtId="171" fontId="69" fillId="0" borderId="60" applyNumberFormat="0" applyFill="0" applyAlignment="0" applyProtection="0"/>
    <xf numFmtId="169" fontId="32" fillId="0" borderId="58" applyNumberFormat="0" applyFont="0" applyFill="0" applyAlignment="0" applyProtection="0"/>
    <xf numFmtId="171" fontId="69" fillId="0" borderId="60" applyNumberFormat="0" applyFill="0" applyAlignment="0" applyProtection="0"/>
    <xf numFmtId="171" fontId="69" fillId="0" borderId="60" applyNumberFormat="0" applyFill="0" applyAlignment="0" applyProtection="0"/>
    <xf numFmtId="171" fontId="69" fillId="0" borderId="60" applyNumberFormat="0" applyFill="0" applyAlignment="0" applyProtection="0"/>
    <xf numFmtId="171" fontId="69" fillId="0" borderId="60" applyNumberFormat="0" applyFill="0" applyAlignment="0" applyProtection="0"/>
    <xf numFmtId="171" fontId="69" fillId="0" borderId="60" applyNumberFormat="0" applyFill="0" applyAlignment="0" applyProtection="0"/>
    <xf numFmtId="171" fontId="69" fillId="0" borderId="60" applyNumberFormat="0" applyFill="0" applyAlignment="0" applyProtection="0"/>
    <xf numFmtId="171" fontId="69" fillId="0" borderId="60" applyNumberFormat="0" applyFill="0" applyAlignment="0" applyProtection="0"/>
    <xf numFmtId="0" fontId="69" fillId="0" borderId="59" applyNumberFormat="0" applyFill="0" applyAlignment="0" applyProtection="0"/>
    <xf numFmtId="0" fontId="69" fillId="0" borderId="59" applyNumberFormat="0" applyFill="0" applyAlignment="0" applyProtection="0"/>
    <xf numFmtId="171" fontId="32" fillId="0" borderId="58" applyNumberFormat="0" applyFont="0" applyFill="0" applyAlignment="0" applyProtection="0"/>
    <xf numFmtId="171"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70" fontId="32" fillId="0" borderId="58" applyNumberFormat="0" applyFont="0" applyFill="0" applyAlignment="0" applyProtection="0"/>
    <xf numFmtId="0" fontId="32" fillId="0" borderId="58" applyNumberFormat="0" applyFont="0" applyFill="0" applyAlignment="0" applyProtection="0"/>
    <xf numFmtId="169" fontId="32" fillId="0" borderId="58" applyNumberFormat="0" applyFont="0" applyFill="0" applyAlignment="0" applyProtection="0"/>
    <xf numFmtId="0" fontId="69" fillId="0" borderId="59" applyNumberFormat="0" applyFill="0" applyAlignment="0" applyProtection="0"/>
    <xf numFmtId="171"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70" fontId="32" fillId="0" borderId="58" applyNumberFormat="0" applyFont="0" applyFill="0" applyAlignment="0" applyProtection="0"/>
    <xf numFmtId="0" fontId="32" fillId="0" borderId="58" applyNumberFormat="0" applyFont="0" applyFill="0" applyAlignment="0" applyProtection="0"/>
    <xf numFmtId="169" fontId="32" fillId="0" borderId="58" applyNumberFormat="0" applyFont="0" applyFill="0" applyAlignment="0" applyProtection="0"/>
    <xf numFmtId="0" fontId="69" fillId="0" borderId="59" applyNumberFormat="0" applyFill="0" applyAlignment="0" applyProtection="0"/>
    <xf numFmtId="0" fontId="69" fillId="0" borderId="59" applyNumberFormat="0" applyFill="0" applyAlignment="0" applyProtection="0"/>
    <xf numFmtId="171" fontId="32" fillId="0" borderId="58" applyNumberFormat="0" applyFont="0" applyFill="0" applyAlignment="0" applyProtection="0"/>
    <xf numFmtId="171"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70" fontId="32" fillId="0" borderId="58" applyNumberFormat="0" applyFont="0" applyFill="0" applyAlignment="0" applyProtection="0"/>
    <xf numFmtId="0" fontId="32" fillId="0" borderId="58" applyNumberFormat="0" applyFont="0" applyFill="0" applyAlignment="0" applyProtection="0"/>
    <xf numFmtId="169" fontId="32" fillId="0" borderId="58" applyNumberFormat="0" applyFont="0" applyFill="0" applyAlignment="0" applyProtection="0"/>
    <xf numFmtId="171" fontId="32" fillId="0" borderId="58" applyNumberFormat="0" applyFont="0" applyFill="0" applyAlignment="0" applyProtection="0"/>
    <xf numFmtId="171"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70" fontId="32" fillId="0" borderId="58" applyNumberFormat="0" applyFont="0" applyFill="0" applyAlignment="0" applyProtection="0"/>
    <xf numFmtId="0" fontId="32" fillId="0" borderId="58" applyNumberFormat="0" applyFont="0" applyFill="0" applyAlignment="0" applyProtection="0"/>
    <xf numFmtId="169" fontId="32" fillId="0" borderId="58" applyNumberFormat="0" applyFont="0" applyFill="0" applyAlignment="0" applyProtection="0"/>
    <xf numFmtId="168" fontId="69" fillId="0" borderId="59" applyNumberFormat="0" applyFill="0" applyAlignment="0" applyProtection="0"/>
    <xf numFmtId="168" fontId="69" fillId="0" borderId="59" applyNumberFormat="0" applyFill="0" applyAlignment="0" applyProtection="0"/>
    <xf numFmtId="0" fontId="145" fillId="0" borderId="11" applyNumberFormat="0" applyFill="0" applyAlignment="0" applyProtection="0"/>
    <xf numFmtId="168" fontId="69" fillId="0" borderId="59" applyNumberFormat="0" applyFill="0" applyAlignment="0" applyProtection="0"/>
    <xf numFmtId="168" fontId="69" fillId="0" borderId="59" applyNumberFormat="0" applyFill="0" applyAlignment="0" applyProtection="0"/>
    <xf numFmtId="168" fontId="69" fillId="0" borderId="59" applyNumberFormat="0" applyFill="0" applyAlignment="0" applyProtection="0"/>
    <xf numFmtId="0" fontId="145" fillId="0" borderId="11" applyNumberFormat="0" applyFill="0" applyAlignment="0" applyProtection="0"/>
    <xf numFmtId="168" fontId="69" fillId="0" borderId="59" applyNumberFormat="0" applyFill="0" applyAlignment="0" applyProtection="0"/>
    <xf numFmtId="168" fontId="69" fillId="0" borderId="59" applyNumberFormat="0" applyFill="0" applyAlignment="0" applyProtection="0"/>
    <xf numFmtId="0" fontId="105" fillId="0" borderId="0" applyNumberFormat="0" applyFill="0" applyBorder="0" applyAlignment="0" applyProtection="0"/>
    <xf numFmtId="168" fontId="105" fillId="0" borderId="0" applyNumberFormat="0" applyFill="0" applyBorder="0" applyAlignment="0" applyProtection="0"/>
    <xf numFmtId="0" fontId="105" fillId="0" borderId="0" applyNumberFormat="0" applyFill="0" applyBorder="0" applyAlignment="0" applyProtection="0"/>
    <xf numFmtId="170" fontId="105" fillId="0" borderId="0" applyNumberFormat="0" applyFill="0" applyBorder="0" applyAlignment="0" applyProtection="0"/>
    <xf numFmtId="0" fontId="105" fillId="0" borderId="0" applyNumberFormat="0" applyFill="0" applyBorder="0" applyAlignment="0" applyProtection="0"/>
    <xf numFmtId="169" fontId="105" fillId="0" borderId="0" applyNumberFormat="0" applyFill="0" applyBorder="0" applyAlignment="0" applyProtection="0"/>
    <xf numFmtId="0" fontId="105" fillId="0" borderId="0" applyNumberFormat="0" applyFill="0" applyBorder="0" applyAlignment="0" applyProtection="0"/>
    <xf numFmtId="0" fontId="105" fillId="0" borderId="0" applyNumberFormat="0" applyFill="0" applyBorder="0" applyAlignment="0" applyProtection="0"/>
    <xf numFmtId="180" fontId="23" fillId="0" borderId="0" applyNumberFormat="0" applyFill="0" applyBorder="0" applyAlignment="0" applyProtection="0"/>
    <xf numFmtId="0" fontId="105" fillId="0" borderId="0" applyNumberFormat="0" applyFill="0" applyBorder="0" applyAlignment="0" applyProtection="0"/>
    <xf numFmtId="0" fontId="23" fillId="0" borderId="0" applyNumberFormat="0" applyFill="0" applyBorder="0" applyAlignment="0" applyProtection="0"/>
    <xf numFmtId="168" fontId="105" fillId="0" borderId="0" applyNumberFormat="0" applyFill="0" applyBorder="0" applyAlignment="0" applyProtection="0"/>
    <xf numFmtId="0" fontId="146" fillId="0" borderId="0" applyNumberFormat="0" applyFill="0" applyBorder="0" applyAlignment="0" applyProtection="0"/>
    <xf numFmtId="168" fontId="105" fillId="0" borderId="0" applyNumberFormat="0" applyFill="0" applyBorder="0" applyAlignment="0" applyProtection="0"/>
    <xf numFmtId="168" fontId="105" fillId="0" borderId="0" applyNumberFormat="0" applyFill="0" applyBorder="0" applyAlignment="0" applyProtection="0"/>
    <xf numFmtId="0" fontId="146" fillId="0" borderId="0" applyNumberFormat="0" applyFill="0" applyBorder="0" applyAlignment="0" applyProtection="0"/>
    <xf numFmtId="168" fontId="105" fillId="0" borderId="0" applyNumberFormat="0" applyFill="0" applyBorder="0" applyAlignment="0" applyProtection="0"/>
    <xf numFmtId="0" fontId="25" fillId="0" borderId="0" applyNumberFormat="0" applyFill="0" applyBorder="0" applyAlignment="0" applyProtection="0"/>
    <xf numFmtId="0" fontId="68" fillId="0" borderId="0" applyFont="0" applyFill="0" applyBorder="0" applyAlignment="0" applyProtection="0"/>
    <xf numFmtId="0" fontId="32" fillId="0" borderId="0"/>
    <xf numFmtId="8" fontId="68" fillId="0" borderId="0" applyFont="0" applyFill="0" applyBorder="0" applyAlignment="0" applyProtection="0"/>
    <xf numFmtId="0" fontId="32" fillId="0" borderId="0">
      <alignment vertical="top"/>
    </xf>
    <xf numFmtId="193" fontId="32" fillId="0" borderId="0"/>
    <xf numFmtId="0" fontId="67" fillId="0" borderId="0"/>
    <xf numFmtId="0" fontId="67" fillId="0" borderId="0"/>
    <xf numFmtId="0" fontId="67" fillId="0" borderId="0"/>
    <xf numFmtId="0" fontId="67" fillId="0" borderId="0"/>
    <xf numFmtId="0" fontId="7" fillId="0" borderId="0"/>
  </cellStyleXfs>
  <cellXfs count="130">
    <xf numFmtId="0" fontId="0" fillId="0" borderId="0" xfId="0"/>
    <xf numFmtId="0" fontId="0" fillId="0" borderId="1" xfId="0" applyBorder="1" applyAlignment="1">
      <alignment vertical="center" wrapText="1"/>
    </xf>
    <xf numFmtId="0" fontId="0" fillId="0" borderId="1" xfId="0" applyBorder="1" applyAlignment="1">
      <alignment horizontal="center" vertical="center" wrapText="1"/>
    </xf>
    <xf numFmtId="0" fontId="0" fillId="2" borderId="0" xfId="0" applyFill="1"/>
    <xf numFmtId="0" fontId="0" fillId="3" borderId="0" xfId="0" applyFill="1"/>
    <xf numFmtId="0" fontId="8" fillId="0" borderId="0" xfId="1" applyFont="1"/>
    <xf numFmtId="0" fontId="7" fillId="0" borderId="0" xfId="1"/>
    <xf numFmtId="10" fontId="0" fillId="0" borderId="0" xfId="2" applyNumberFormat="1" applyFont="1"/>
    <xf numFmtId="44" fontId="0" fillId="0" borderId="0" xfId="3" applyFont="1"/>
    <xf numFmtId="7" fontId="7" fillId="0" borderId="0" xfId="1" applyNumberFormat="1"/>
    <xf numFmtId="0" fontId="5" fillId="2" borderId="1" xfId="0" applyFont="1" applyFill="1" applyBorder="1" applyAlignment="1">
      <alignment horizontal="center" vertical="center"/>
    </xf>
    <xf numFmtId="0" fontId="26" fillId="0" borderId="0" xfId="0" applyFont="1"/>
    <xf numFmtId="167" fontId="26" fillId="0" borderId="0" xfId="51" applyNumberFormat="1" applyFont="1"/>
    <xf numFmtId="167" fontId="27" fillId="0" borderId="1" xfId="51" applyNumberFormat="1" applyFont="1" applyBorder="1" applyProtection="1"/>
    <xf numFmtId="0" fontId="26" fillId="37" borderId="1" xfId="0" applyFont="1" applyFill="1" applyBorder="1" applyAlignment="1" applyProtection="1">
      <alignment horizontal="left" wrapText="1"/>
    </xf>
    <xf numFmtId="0" fontId="26" fillId="37" borderId="1" xfId="0" applyFont="1" applyFill="1" applyBorder="1" applyProtection="1"/>
    <xf numFmtId="167" fontId="26" fillId="4" borderId="0" xfId="51" applyNumberFormat="1" applyFont="1" applyFill="1"/>
    <xf numFmtId="0" fontId="26" fillId="37" borderId="12" xfId="0" applyFont="1" applyFill="1" applyBorder="1" applyProtection="1"/>
    <xf numFmtId="0" fontId="26" fillId="37" borderId="0" xfId="0" applyFont="1" applyFill="1" applyBorder="1" applyProtection="1"/>
    <xf numFmtId="0" fontId="26" fillId="37" borderId="13" xfId="0" applyFont="1" applyFill="1" applyBorder="1" applyProtection="1"/>
    <xf numFmtId="0" fontId="26" fillId="37" borderId="14" xfId="0" applyFont="1" applyFill="1" applyBorder="1" applyProtection="1"/>
    <xf numFmtId="0" fontId="26" fillId="37" borderId="1" xfId="0" applyFont="1" applyFill="1" applyBorder="1" applyAlignment="1" applyProtection="1">
      <alignment horizontal="right"/>
    </xf>
    <xf numFmtId="167" fontId="26" fillId="38" borderId="0" xfId="51" applyNumberFormat="1" applyFont="1" applyFill="1" applyBorder="1"/>
    <xf numFmtId="167" fontId="26" fillId="0" borderId="0" xfId="0" applyNumberFormat="1" applyFont="1"/>
    <xf numFmtId="0" fontId="29" fillId="0" borderId="0" xfId="0" applyFont="1" applyAlignment="1"/>
    <xf numFmtId="0" fontId="151" fillId="0" borderId="0" xfId="59064" applyFont="1"/>
    <xf numFmtId="0" fontId="10" fillId="0" borderId="0" xfId="0" applyFont="1"/>
    <xf numFmtId="0" fontId="8" fillId="0" borderId="0" xfId="0" applyFont="1"/>
    <xf numFmtId="0" fontId="8" fillId="4" borderId="1" xfId="0" applyFont="1" applyFill="1" applyBorder="1" applyAlignment="1">
      <alignment vertical="center"/>
    </xf>
    <xf numFmtId="0" fontId="9" fillId="4" borderId="1" xfId="0" applyFont="1" applyFill="1" applyBorder="1" applyAlignment="1">
      <alignment horizontal="center" vertical="center" wrapText="1"/>
    </xf>
    <xf numFmtId="0" fontId="8" fillId="4" borderId="1" xfId="0" applyFont="1" applyFill="1" applyBorder="1" applyAlignment="1">
      <alignment horizontal="center" vertical="center"/>
    </xf>
    <xf numFmtId="0" fontId="10" fillId="4" borderId="1" xfId="0" applyFont="1" applyFill="1" applyBorder="1"/>
    <xf numFmtId="0" fontId="0" fillId="4" borderId="1" xfId="0" applyFill="1" applyBorder="1"/>
    <xf numFmtId="165" fontId="10" fillId="4" borderId="1" xfId="0" applyNumberFormat="1" applyFont="1" applyFill="1" applyBorder="1"/>
    <xf numFmtId="0" fontId="0" fillId="4" borderId="61" xfId="0" applyFill="1" applyBorder="1"/>
    <xf numFmtId="165" fontId="10" fillId="0" borderId="1" xfId="3768" applyNumberFormat="1" applyFont="1" applyBorder="1" applyAlignment="1">
      <alignment horizontal="left"/>
    </xf>
    <xf numFmtId="0" fontId="10" fillId="0" borderId="0" xfId="0" applyFont="1" applyBorder="1"/>
    <xf numFmtId="165" fontId="10" fillId="0" borderId="0" xfId="3768" applyNumberFormat="1" applyFont="1" applyBorder="1" applyAlignment="1">
      <alignment horizontal="left"/>
    </xf>
    <xf numFmtId="0" fontId="8" fillId="0" borderId="0" xfId="0" applyFont="1" applyBorder="1"/>
    <xf numFmtId="164" fontId="10" fillId="0" borderId="0" xfId="3768" applyNumberFormat="1" applyFont="1" applyBorder="1" applyAlignment="1">
      <alignment horizontal="left"/>
    </xf>
    <xf numFmtId="0" fontId="10" fillId="0" borderId="0" xfId="0" applyFont="1" applyBorder="1" applyAlignment="1">
      <alignment horizontal="left" indent="1"/>
    </xf>
    <xf numFmtId="0" fontId="10" fillId="0" borderId="0" xfId="0" applyFont="1" applyAlignment="1">
      <alignment horizontal="left" indent="1"/>
    </xf>
    <xf numFmtId="0" fontId="10" fillId="0" borderId="0" xfId="0" applyFont="1" applyAlignment="1">
      <alignment horizontal="center"/>
    </xf>
    <xf numFmtId="14" fontId="10" fillId="0" borderId="0" xfId="0" applyNumberFormat="1" applyFont="1" applyBorder="1" applyAlignment="1">
      <alignment horizontal="center"/>
    </xf>
    <xf numFmtId="0" fontId="10" fillId="0" borderId="0" xfId="0" applyFont="1" applyBorder="1" applyAlignment="1">
      <alignment horizontal="center"/>
    </xf>
    <xf numFmtId="0" fontId="10" fillId="4" borderId="1" xfId="0" applyFont="1" applyFill="1" applyBorder="1" applyAlignment="1">
      <alignment horizontal="center"/>
    </xf>
    <xf numFmtId="0" fontId="10" fillId="0" borderId="1" xfId="0" applyFont="1" applyBorder="1" applyAlignment="1">
      <alignment horizontal="center"/>
    </xf>
    <xf numFmtId="200" fontId="10" fillId="0" borderId="1" xfId="0" applyNumberFormat="1" applyFont="1" applyBorder="1" applyAlignment="1">
      <alignment horizontal="center"/>
    </xf>
    <xf numFmtId="200" fontId="10" fillId="0" borderId="0" xfId="0" applyNumberFormat="1" applyFont="1" applyBorder="1" applyAlignment="1">
      <alignment horizontal="center"/>
    </xf>
    <xf numFmtId="16" fontId="10" fillId="0" borderId="0" xfId="0" applyNumberFormat="1" applyFont="1"/>
    <xf numFmtId="0" fontId="8" fillId="4" borderId="1" xfId="0" applyFont="1" applyFill="1" applyBorder="1" applyAlignment="1">
      <alignment horizontal="center" vertical="center" wrapText="1"/>
    </xf>
    <xf numFmtId="0" fontId="10" fillId="0" borderId="1" xfId="0" applyFont="1" applyBorder="1" applyAlignment="1">
      <alignment horizontal="left" wrapText="1"/>
    </xf>
    <xf numFmtId="2" fontId="10" fillId="115" borderId="1" xfId="2892" applyNumberFormat="1" applyFont="1" applyFill="1" applyBorder="1" applyAlignment="1">
      <alignment horizontal="center" vertical="center"/>
    </xf>
    <xf numFmtId="0" fontId="10" fillId="0" borderId="1" xfId="0" applyFont="1" applyBorder="1" applyAlignment="1">
      <alignment horizontal="center" vertical="center"/>
    </xf>
    <xf numFmtId="201" fontId="10" fillId="0" borderId="1" xfId="0" applyNumberFormat="1" applyFont="1" applyBorder="1" applyAlignment="1">
      <alignment horizontal="center"/>
    </xf>
    <xf numFmtId="2" fontId="10" fillId="0" borderId="1" xfId="0" applyNumberFormat="1" applyFont="1" applyBorder="1" applyAlignment="1">
      <alignment horizontal="center"/>
    </xf>
    <xf numFmtId="172" fontId="10" fillId="0" borderId="1" xfId="0" applyNumberFormat="1" applyFont="1" applyBorder="1" applyAlignment="1">
      <alignment horizontal="center"/>
    </xf>
    <xf numFmtId="2" fontId="10" fillId="0" borderId="1" xfId="2892" applyNumberFormat="1" applyFont="1" applyBorder="1" applyAlignment="1">
      <alignment horizontal="center"/>
    </xf>
    <xf numFmtId="202" fontId="10" fillId="115" borderId="1" xfId="2892" applyNumberFormat="1" applyFont="1" applyFill="1" applyBorder="1" applyAlignment="1">
      <alignment horizontal="center" vertical="center"/>
    </xf>
    <xf numFmtId="202" fontId="10" fillId="0" borderId="1" xfId="2892" applyNumberFormat="1" applyFont="1" applyBorder="1" applyAlignment="1">
      <alignment horizontal="center"/>
    </xf>
    <xf numFmtId="4" fontId="10" fillId="115" borderId="1" xfId="0" applyNumberFormat="1" applyFont="1" applyFill="1" applyBorder="1" applyAlignment="1">
      <alignment horizontal="center" vertical="center"/>
    </xf>
    <xf numFmtId="203" fontId="10" fillId="0" borderId="1" xfId="0" applyNumberFormat="1" applyFont="1" applyBorder="1" applyAlignment="1">
      <alignment horizontal="center"/>
    </xf>
    <xf numFmtId="204" fontId="10" fillId="0" borderId="1" xfId="0" applyNumberFormat="1" applyFont="1" applyBorder="1" applyAlignment="1">
      <alignment horizontal="center"/>
    </xf>
    <xf numFmtId="205" fontId="10" fillId="0" borderId="1" xfId="0" applyNumberFormat="1" applyFont="1" applyBorder="1" applyAlignment="1">
      <alignment horizontal="center"/>
    </xf>
    <xf numFmtId="203" fontId="10" fillId="0" borderId="0" xfId="0" applyNumberFormat="1" applyFont="1"/>
    <xf numFmtId="6" fontId="10" fillId="0" borderId="0" xfId="0" applyNumberFormat="1" applyFont="1"/>
    <xf numFmtId="0" fontId="28" fillId="0" borderId="1" xfId="0" applyFont="1" applyBorder="1"/>
    <xf numFmtId="17" fontId="8" fillId="0" borderId="1" xfId="0" applyNumberFormat="1" applyFont="1" applyBorder="1"/>
    <xf numFmtId="0" fontId="28" fillId="4" borderId="1" xfId="0" applyFont="1" applyFill="1" applyBorder="1"/>
    <xf numFmtId="0" fontId="8" fillId="4" borderId="1" xfId="0" applyFont="1" applyFill="1" applyBorder="1"/>
    <xf numFmtId="9" fontId="10" fillId="0" borderId="0" xfId="56636" applyFont="1" applyBorder="1" applyAlignment="1">
      <alignment horizontal="center" vertical="center"/>
    </xf>
    <xf numFmtId="0" fontId="10" fillId="0" borderId="1" xfId="0" applyFont="1" applyBorder="1" applyAlignment="1">
      <alignment horizontal="left" indent="1"/>
    </xf>
    <xf numFmtId="9" fontId="10" fillId="0" borderId="1" xfId="56636" applyFont="1" applyBorder="1" applyAlignment="1">
      <alignment horizontal="center" vertical="center"/>
    </xf>
    <xf numFmtId="0" fontId="8" fillId="0" borderId="1" xfId="0" applyFont="1" applyBorder="1"/>
    <xf numFmtId="0" fontId="8" fillId="0" borderId="1" xfId="0" applyFont="1" applyBorder="1" applyAlignment="1">
      <alignment horizontal="center" vertical="center"/>
    </xf>
    <xf numFmtId="9" fontId="8" fillId="0" borderId="1" xfId="56636" applyFont="1" applyBorder="1" applyAlignment="1">
      <alignment horizontal="center" vertical="center"/>
    </xf>
    <xf numFmtId="9" fontId="8" fillId="0" borderId="0" xfId="56636" applyFont="1" applyBorder="1" applyAlignment="1">
      <alignment horizontal="center" vertical="center"/>
    </xf>
    <xf numFmtId="0" fontId="8" fillId="4" borderId="62" xfId="0" applyFont="1" applyFill="1" applyBorder="1" applyAlignment="1">
      <alignment horizontal="center" vertical="center" wrapText="1"/>
    </xf>
    <xf numFmtId="0" fontId="8" fillId="4" borderId="63" xfId="0" applyFont="1" applyFill="1" applyBorder="1" applyAlignment="1">
      <alignment horizontal="center" vertical="center" wrapText="1"/>
    </xf>
    <xf numFmtId="0" fontId="8" fillId="4" borderId="64" xfId="0" applyFont="1" applyFill="1" applyBorder="1" applyAlignment="1">
      <alignment horizontal="center" vertical="center" wrapText="1"/>
    </xf>
    <xf numFmtId="0" fontId="10" fillId="0" borderId="65" xfId="0" applyFont="1" applyFill="1" applyBorder="1" applyAlignment="1">
      <alignment horizontal="center" vertical="center"/>
    </xf>
    <xf numFmtId="14" fontId="10"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Font="1" applyFill="1" applyBorder="1" applyAlignment="1">
      <alignment vertical="center" wrapText="1"/>
    </xf>
    <xf numFmtId="0" fontId="10" fillId="0" borderId="61" xfId="0" applyFont="1" applyFill="1" applyBorder="1" applyAlignment="1">
      <alignment horizontal="left" vertical="center" wrapText="1" indent="1"/>
    </xf>
    <xf numFmtId="0" fontId="10" fillId="0" borderId="1" xfId="0" applyFont="1" applyFill="1" applyBorder="1" applyAlignment="1">
      <alignment horizontal="left" vertical="center" wrapText="1"/>
    </xf>
    <xf numFmtId="0" fontId="10" fillId="0" borderId="1" xfId="0" applyFont="1" applyFill="1" applyBorder="1" applyAlignment="1">
      <alignment horizontal="center" vertical="center" wrapText="1"/>
    </xf>
    <xf numFmtId="0" fontId="5" fillId="2" borderId="1" xfId="0" applyFont="1" applyFill="1" applyBorder="1"/>
    <xf numFmtId="0" fontId="0" fillId="0" borderId="1" xfId="0" applyBorder="1" applyAlignment="1">
      <alignment horizontal="left" vertical="center" wrapText="1"/>
    </xf>
    <xf numFmtId="0" fontId="5" fillId="2" borderId="0" xfId="0" applyFont="1" applyFill="1" applyAlignment="1">
      <alignment horizontal="center" vertical="center"/>
    </xf>
    <xf numFmtId="0" fontId="0" fillId="116" borderId="1" xfId="0" applyFill="1" applyBorder="1" applyAlignment="1">
      <alignment horizontal="left" vertical="center"/>
    </xf>
    <xf numFmtId="0" fontId="0" fillId="116" borderId="1" xfId="0" applyFill="1" applyBorder="1" applyAlignment="1">
      <alignment horizontal="center" vertical="center" wrapText="1"/>
    </xf>
    <xf numFmtId="0" fontId="6" fillId="0" borderId="0" xfId="0" applyFont="1" applyFill="1" applyBorder="1" applyAlignment="1">
      <alignment horizontal="center" vertical="center" wrapText="1"/>
    </xf>
    <xf numFmtId="0" fontId="32" fillId="0" borderId="0" xfId="47842"/>
    <xf numFmtId="0" fontId="32" fillId="0" borderId="0" xfId="47842" applyAlignment="1">
      <alignment horizontal="left"/>
    </xf>
    <xf numFmtId="166" fontId="32" fillId="0" borderId="1" xfId="47842" applyNumberFormat="1" applyBorder="1" applyAlignment="1">
      <alignment horizontal="left"/>
    </xf>
    <xf numFmtId="0" fontId="32" fillId="0" borderId="1" xfId="47842" applyBorder="1" applyAlignment="1">
      <alignment horizontal="left"/>
    </xf>
    <xf numFmtId="2" fontId="32" fillId="0" borderId="1" xfId="47842" applyNumberFormat="1" applyBorder="1" applyAlignment="1">
      <alignment horizontal="left"/>
    </xf>
    <xf numFmtId="0" fontId="152" fillId="0" borderId="0" xfId="47844" applyNumberFormat="1" applyFont="1" applyFill="1" applyBorder="1" applyAlignment="1">
      <alignment horizontal="center" vertical="center" wrapText="1"/>
    </xf>
    <xf numFmtId="0" fontId="25" fillId="0" borderId="0" xfId="59064" applyFill="1" applyBorder="1"/>
    <xf numFmtId="0" fontId="11" fillId="0" borderId="0" xfId="47844" applyFill="1" applyBorder="1"/>
    <xf numFmtId="0" fontId="152" fillId="0" borderId="0" xfId="47844" applyNumberFormat="1" applyFont="1" applyFill="1" applyBorder="1" applyAlignment="1">
      <alignment wrapText="1"/>
    </xf>
    <xf numFmtId="2" fontId="11" fillId="0" borderId="0" xfId="47844" applyNumberFormat="1" applyFill="1" applyBorder="1"/>
    <xf numFmtId="15" fontId="11" fillId="0" borderId="0" xfId="47844" applyNumberFormat="1" applyFill="1" applyBorder="1"/>
    <xf numFmtId="43" fontId="0" fillId="0" borderId="0" xfId="2892" applyFont="1" applyFill="1" applyBorder="1"/>
    <xf numFmtId="14" fontId="11" fillId="0" borderId="0" xfId="47844" applyNumberFormat="1" applyFill="1" applyBorder="1"/>
    <xf numFmtId="0" fontId="10" fillId="0" borderId="1" xfId="47844" applyNumberFormat="1" applyFont="1" applyFill="1" applyBorder="1" applyAlignment="1">
      <alignment horizontal="center" vertical="center" wrapText="1"/>
    </xf>
    <xf numFmtId="0" fontId="8" fillId="0" borderId="1" xfId="47844" applyNumberFormat="1" applyFont="1" applyFill="1" applyBorder="1" applyAlignment="1">
      <alignment horizontal="left" vertical="center" wrapText="1"/>
    </xf>
    <xf numFmtId="0" fontId="10" fillId="0" borderId="1" xfId="47844" applyNumberFormat="1" applyFont="1" applyFill="1" applyBorder="1" applyAlignment="1">
      <alignment horizontal="left" vertical="center" wrapText="1"/>
    </xf>
    <xf numFmtId="0" fontId="11" fillId="0" borderId="1" xfId="47844" applyNumberFormat="1" applyFont="1" applyFill="1" applyBorder="1" applyAlignment="1"/>
    <xf numFmtId="2" fontId="0" fillId="0" borderId="0" xfId="47844" applyNumberFormat="1" applyFont="1" applyFill="1" applyBorder="1"/>
    <xf numFmtId="206" fontId="0" fillId="0" borderId="0" xfId="47844" applyNumberFormat="1" applyFont="1" applyFill="1" applyBorder="1"/>
    <xf numFmtId="0" fontId="0" fillId="0" borderId="0" xfId="47844" applyFont="1" applyFill="1" applyBorder="1"/>
    <xf numFmtId="0" fontId="10" fillId="0" borderId="66" xfId="47844" applyNumberFormat="1" applyFont="1" applyFill="1" applyBorder="1" applyAlignment="1">
      <alignment horizontal="center" vertical="center" wrapText="1"/>
    </xf>
    <xf numFmtId="0" fontId="8" fillId="0" borderId="66" xfId="47844" applyNumberFormat="1" applyFont="1" applyFill="1" applyBorder="1" applyAlignment="1">
      <alignment horizontal="left" vertical="center" wrapText="1"/>
    </xf>
    <xf numFmtId="0" fontId="10" fillId="0" borderId="66" xfId="47844" applyNumberFormat="1" applyFont="1" applyFill="1" applyBorder="1" applyAlignment="1">
      <alignment horizontal="left" vertical="center" wrapText="1"/>
    </xf>
    <xf numFmtId="0" fontId="11" fillId="0" borderId="66" xfId="47844" applyFill="1" applyBorder="1"/>
    <xf numFmtId="0" fontId="0" fillId="0" borderId="66" xfId="47844" applyFont="1" applyFill="1" applyBorder="1"/>
    <xf numFmtId="0" fontId="32" fillId="0" borderId="67" xfId="47842" applyBorder="1" applyAlignment="1">
      <alignment horizontal="left"/>
    </xf>
    <xf numFmtId="0" fontId="32" fillId="0" borderId="70" xfId="47842" applyBorder="1" applyAlignment="1">
      <alignment horizontal="left"/>
    </xf>
    <xf numFmtId="0" fontId="32" fillId="0" borderId="68" xfId="47842" applyBorder="1" applyAlignment="1">
      <alignment horizontal="left"/>
    </xf>
    <xf numFmtId="0" fontId="32" fillId="0" borderId="69" xfId="47842" applyBorder="1" applyAlignment="1">
      <alignment horizontal="left"/>
    </xf>
    <xf numFmtId="0" fontId="32" fillId="0" borderId="70" xfId="47842" applyFont="1" applyBorder="1" applyAlignment="1">
      <alignment horizontal="left"/>
    </xf>
    <xf numFmtId="0" fontId="32" fillId="0" borderId="71" xfId="47842" applyBorder="1" applyAlignment="1">
      <alignment horizontal="left"/>
    </xf>
    <xf numFmtId="0" fontId="57" fillId="117" borderId="62" xfId="47842" applyNumberFormat="1" applyFont="1" applyFill="1" applyBorder="1" applyAlignment="1">
      <alignment horizontal="left"/>
    </xf>
    <xf numFmtId="0" fontId="32" fillId="118" borderId="63" xfId="47842" applyFont="1" applyFill="1" applyBorder="1" applyAlignment="1">
      <alignment horizontal="left"/>
    </xf>
    <xf numFmtId="0" fontId="32" fillId="118" borderId="64" xfId="47842" applyFont="1" applyFill="1" applyBorder="1" applyAlignment="1">
      <alignment horizontal="left"/>
    </xf>
    <xf numFmtId="0" fontId="10" fillId="0" borderId="1" xfId="0" applyFont="1" applyBorder="1" applyAlignment="1">
      <alignment horizontal="left" vertical="center" wrapText="1"/>
    </xf>
    <xf numFmtId="0" fontId="10" fillId="0" borderId="0" xfId="0" applyFont="1" applyAlignment="1">
      <alignment horizontal="left" wrapText="1" indent="1"/>
    </xf>
    <xf numFmtId="0" fontId="8" fillId="4" borderId="1" xfId="0" applyFont="1" applyFill="1" applyBorder="1" applyAlignment="1">
      <alignment horizontal="center" vertical="center" wrapText="1"/>
    </xf>
  </cellXfs>
  <cellStyles count="59075">
    <cellStyle name=" 1" xfId="52"/>
    <cellStyle name=" 1 2" xfId="53"/>
    <cellStyle name=" 10" xfId="54"/>
    <cellStyle name=" 10 2" xfId="55"/>
    <cellStyle name=" 10 2 2" xfId="56"/>
    <cellStyle name=" 10 2 3" xfId="57"/>
    <cellStyle name=" 10 3" xfId="58"/>
    <cellStyle name=" 10 4" xfId="59"/>
    <cellStyle name=" 11" xfId="60"/>
    <cellStyle name=" 11 2" xfId="61"/>
    <cellStyle name=" 11 2 2" xfId="62"/>
    <cellStyle name=" 11 2 3" xfId="63"/>
    <cellStyle name=" 11 3" xfId="64"/>
    <cellStyle name=" 11 4" xfId="65"/>
    <cellStyle name=" 12" xfId="66"/>
    <cellStyle name=" 12 2" xfId="67"/>
    <cellStyle name=" 12 3" xfId="68"/>
    <cellStyle name=" 13" xfId="69"/>
    <cellStyle name=" 13 2" xfId="70"/>
    <cellStyle name=" 13 3" xfId="71"/>
    <cellStyle name=" 14" xfId="72"/>
    <cellStyle name=" 14 2" xfId="73"/>
    <cellStyle name=" 14 3" xfId="74"/>
    <cellStyle name=" 15" xfId="75"/>
    <cellStyle name=" 16" xfId="76"/>
    <cellStyle name=" 17" xfId="77"/>
    <cellStyle name=" 18" xfId="78"/>
    <cellStyle name=" 19" xfId="79"/>
    <cellStyle name=" 19 2" xfId="80"/>
    <cellStyle name=" 19 3" xfId="81"/>
    <cellStyle name=" 2" xfId="82"/>
    <cellStyle name=" 20" xfId="83"/>
    <cellStyle name=" 20 2" xfId="84"/>
    <cellStyle name=" 20 3" xfId="85"/>
    <cellStyle name=" 21" xfId="86"/>
    <cellStyle name=" 21 2" xfId="87"/>
    <cellStyle name=" 21 3" xfId="88"/>
    <cellStyle name=" 22" xfId="89"/>
    <cellStyle name=" 22 2" xfId="90"/>
    <cellStyle name=" 22 3" xfId="91"/>
    <cellStyle name=" 23" xfId="92"/>
    <cellStyle name=" 24" xfId="93"/>
    <cellStyle name=" 25" xfId="94"/>
    <cellStyle name=" 26" xfId="95"/>
    <cellStyle name=" 27" xfId="96"/>
    <cellStyle name=" 28" xfId="97"/>
    <cellStyle name=" 29" xfId="98"/>
    <cellStyle name=" 29 2" xfId="99"/>
    <cellStyle name=" 29 3" xfId="100"/>
    <cellStyle name=" 3" xfId="101"/>
    <cellStyle name=" 30" xfId="102"/>
    <cellStyle name=" 30 2" xfId="103"/>
    <cellStyle name=" 30 3" xfId="104"/>
    <cellStyle name=" 31" xfId="105"/>
    <cellStyle name=" 31 2" xfId="106"/>
    <cellStyle name=" 31 3" xfId="107"/>
    <cellStyle name=" 32" xfId="108"/>
    <cellStyle name=" 32 2" xfId="109"/>
    <cellStyle name=" 32 3" xfId="110"/>
    <cellStyle name=" 33" xfId="111"/>
    <cellStyle name=" 33 2" xfId="112"/>
    <cellStyle name=" 33 3" xfId="113"/>
    <cellStyle name=" 34" xfId="114"/>
    <cellStyle name=" 34 2" xfId="115"/>
    <cellStyle name=" 34 3" xfId="116"/>
    <cellStyle name=" 35" xfId="117"/>
    <cellStyle name=" 35 2" xfId="118"/>
    <cellStyle name=" 35 3" xfId="119"/>
    <cellStyle name=" 36" xfId="120"/>
    <cellStyle name=" 36 2" xfId="121"/>
    <cellStyle name=" 36 3" xfId="122"/>
    <cellStyle name=" 37" xfId="123"/>
    <cellStyle name=" 38" xfId="124"/>
    <cellStyle name=" 39" xfId="125"/>
    <cellStyle name=" 4" xfId="126"/>
    <cellStyle name=" 4 2" xfId="127"/>
    <cellStyle name=" 4 2 2" xfId="128"/>
    <cellStyle name=" 4 2 3" xfId="129"/>
    <cellStyle name=" 40" xfId="130"/>
    <cellStyle name=" 41" xfId="131"/>
    <cellStyle name=" 41 2" xfId="132"/>
    <cellStyle name=" 41 3" xfId="133"/>
    <cellStyle name=" 42" xfId="134"/>
    <cellStyle name=" 42 2" xfId="135"/>
    <cellStyle name=" 42 3" xfId="136"/>
    <cellStyle name=" 43" xfId="137"/>
    <cellStyle name=" 43 2" xfId="138"/>
    <cellStyle name=" 43 3" xfId="139"/>
    <cellStyle name=" 44" xfId="140"/>
    <cellStyle name=" 44 2" xfId="141"/>
    <cellStyle name=" 44 3" xfId="142"/>
    <cellStyle name=" 5" xfId="143"/>
    <cellStyle name=" 5 2" xfId="144"/>
    <cellStyle name=" 5 2 2" xfId="145"/>
    <cellStyle name=" 5 2 3" xfId="146"/>
    <cellStyle name=" 6" xfId="147"/>
    <cellStyle name=" 6 2" xfId="148"/>
    <cellStyle name=" 6 2 2" xfId="149"/>
    <cellStyle name=" 6 2 3" xfId="150"/>
    <cellStyle name=" 7" xfId="151"/>
    <cellStyle name=" 7 2" xfId="152"/>
    <cellStyle name=" 7 2 2" xfId="153"/>
    <cellStyle name=" 7 2 3" xfId="154"/>
    <cellStyle name=" 7 3" xfId="155"/>
    <cellStyle name=" 7 4" xfId="156"/>
    <cellStyle name=" 8" xfId="157"/>
    <cellStyle name=" 8 2" xfId="158"/>
    <cellStyle name=" 8 3" xfId="159"/>
    <cellStyle name=" 8 4" xfId="160"/>
    <cellStyle name=" 9" xfId="161"/>
    <cellStyle name=" 9 2" xfId="162"/>
    <cellStyle name=" 9 3" xfId="163"/>
    <cellStyle name=" 9 4" xfId="164"/>
    <cellStyle name="!top/bottom" xfId="165"/>
    <cellStyle name="!top/bottom 2" xfId="166"/>
    <cellStyle name="!top/bottom 2 2" xfId="167"/>
    <cellStyle name="!top/bottom 2 3" xfId="168"/>
    <cellStyle name="!top/bottom 3" xfId="169"/>
    <cellStyle name="!top/bottom 4" xfId="170"/>
    <cellStyle name="!user entry" xfId="171"/>
    <cellStyle name="!user entry 10" xfId="172"/>
    <cellStyle name="!user entry 10 2" xfId="173"/>
    <cellStyle name="!user entry 10 2 2" xfId="174"/>
    <cellStyle name="!user entry 10 2 2 2" xfId="175"/>
    <cellStyle name="!user entry 10 2 3" xfId="176"/>
    <cellStyle name="!user entry 10 3" xfId="177"/>
    <cellStyle name="!user entry 10 3 2" xfId="178"/>
    <cellStyle name="!user entry 10 3 2 2" xfId="179"/>
    <cellStyle name="!user entry 10 3 3" xfId="180"/>
    <cellStyle name="!user entry 10 4" xfId="181"/>
    <cellStyle name="!user entry 10 4 2" xfId="182"/>
    <cellStyle name="!user entry 10 5" xfId="183"/>
    <cellStyle name="!user entry 11" xfId="184"/>
    <cellStyle name="!user entry 11 2" xfId="185"/>
    <cellStyle name="!user entry 11 2 2" xfId="186"/>
    <cellStyle name="!user entry 11 2 2 2" xfId="187"/>
    <cellStyle name="!user entry 11 2 3" xfId="188"/>
    <cellStyle name="!user entry 11 3" xfId="189"/>
    <cellStyle name="!user entry 11 3 2" xfId="190"/>
    <cellStyle name="!user entry 11 3 2 2" xfId="191"/>
    <cellStyle name="!user entry 11 3 3" xfId="192"/>
    <cellStyle name="!user entry 11 4" xfId="193"/>
    <cellStyle name="!user entry 11 4 2" xfId="194"/>
    <cellStyle name="!user entry 11 5" xfId="195"/>
    <cellStyle name="!user entry 12" xfId="196"/>
    <cellStyle name="!user entry 12 2" xfId="197"/>
    <cellStyle name="!user entry 12 2 2" xfId="198"/>
    <cellStyle name="!user entry 12 3" xfId="199"/>
    <cellStyle name="!user entry 12 4" xfId="200"/>
    <cellStyle name="!user entry 12 5" xfId="201"/>
    <cellStyle name="!user entry 13" xfId="202"/>
    <cellStyle name="!user entry 13 2" xfId="203"/>
    <cellStyle name="!user entry 13 2 2" xfId="204"/>
    <cellStyle name="!user entry 13 3" xfId="205"/>
    <cellStyle name="!user entry 14" xfId="206"/>
    <cellStyle name="!user entry 14 2" xfId="207"/>
    <cellStyle name="!user entry 14 2 2" xfId="208"/>
    <cellStyle name="!user entry 14 3" xfId="209"/>
    <cellStyle name="!user entry 15" xfId="210"/>
    <cellStyle name="!user entry 15 2" xfId="211"/>
    <cellStyle name="!user entry 16" xfId="212"/>
    <cellStyle name="!user entry 2" xfId="213"/>
    <cellStyle name="!user entry 2 2" xfId="214"/>
    <cellStyle name="!user entry 2 2 2" xfId="215"/>
    <cellStyle name="!user entry 2 2 2 2" xfId="216"/>
    <cellStyle name="!user entry 2 2 3" xfId="217"/>
    <cellStyle name="!user entry 2 2 4" xfId="218"/>
    <cellStyle name="!user entry 2 2 5" xfId="219"/>
    <cellStyle name="!user entry 2 3" xfId="220"/>
    <cellStyle name="!user entry 2 3 2" xfId="221"/>
    <cellStyle name="!user entry 2 3 2 2" xfId="222"/>
    <cellStyle name="!user entry 2 3 3" xfId="223"/>
    <cellStyle name="!user entry 2 4" xfId="224"/>
    <cellStyle name="!user entry 2 4 2" xfId="225"/>
    <cellStyle name="!user entry 2 4 2 2" xfId="226"/>
    <cellStyle name="!user entry 2 4 3" xfId="227"/>
    <cellStyle name="!user entry 2 5" xfId="228"/>
    <cellStyle name="!user entry 2 5 2" xfId="229"/>
    <cellStyle name="!user entry 2 6" xfId="230"/>
    <cellStyle name="!user entry 3" xfId="231"/>
    <cellStyle name="!user entry 3 2" xfId="232"/>
    <cellStyle name="!user entry 3 2 2" xfId="233"/>
    <cellStyle name="!user entry 3 2 2 2" xfId="234"/>
    <cellStyle name="!user entry 3 2 3" xfId="235"/>
    <cellStyle name="!user entry 3 2 4" xfId="236"/>
    <cellStyle name="!user entry 3 2 5" xfId="237"/>
    <cellStyle name="!user entry 3 3" xfId="238"/>
    <cellStyle name="!user entry 3 3 2" xfId="239"/>
    <cellStyle name="!user entry 3 3 2 2" xfId="240"/>
    <cellStyle name="!user entry 3 3 3" xfId="241"/>
    <cellStyle name="!user entry 3 4" xfId="242"/>
    <cellStyle name="!user entry 3 4 2" xfId="243"/>
    <cellStyle name="!user entry 3 4 2 2" xfId="244"/>
    <cellStyle name="!user entry 3 4 3" xfId="245"/>
    <cellStyle name="!user entry 3 5" xfId="246"/>
    <cellStyle name="!user entry 3 5 2" xfId="247"/>
    <cellStyle name="!user entry 3 6" xfId="248"/>
    <cellStyle name="!user entry 4" xfId="249"/>
    <cellStyle name="!user entry 4 2" xfId="250"/>
    <cellStyle name="!user entry 4 2 2" xfId="251"/>
    <cellStyle name="!user entry 4 2 2 2" xfId="252"/>
    <cellStyle name="!user entry 4 2 3" xfId="253"/>
    <cellStyle name="!user entry 4 2 4" xfId="254"/>
    <cellStyle name="!user entry 4 2 5" xfId="255"/>
    <cellStyle name="!user entry 4 3" xfId="256"/>
    <cellStyle name="!user entry 4 3 2" xfId="257"/>
    <cellStyle name="!user entry 4 3 2 2" xfId="258"/>
    <cellStyle name="!user entry 4 3 3" xfId="259"/>
    <cellStyle name="!user entry 4 4" xfId="260"/>
    <cellStyle name="!user entry 4 4 2" xfId="261"/>
    <cellStyle name="!user entry 4 4 2 2" xfId="262"/>
    <cellStyle name="!user entry 4 4 3" xfId="263"/>
    <cellStyle name="!user entry 4 5" xfId="264"/>
    <cellStyle name="!user entry 4 5 2" xfId="265"/>
    <cellStyle name="!user entry 4 6" xfId="266"/>
    <cellStyle name="!user entry 5" xfId="267"/>
    <cellStyle name="!user entry 5 2" xfId="268"/>
    <cellStyle name="!user entry 5 2 2" xfId="269"/>
    <cellStyle name="!user entry 5 2 2 2" xfId="270"/>
    <cellStyle name="!user entry 5 2 3" xfId="271"/>
    <cellStyle name="!user entry 5 2 4" xfId="272"/>
    <cellStyle name="!user entry 5 2 5" xfId="273"/>
    <cellStyle name="!user entry 5 3" xfId="274"/>
    <cellStyle name="!user entry 5 3 2" xfId="275"/>
    <cellStyle name="!user entry 5 3 2 2" xfId="276"/>
    <cellStyle name="!user entry 5 3 3" xfId="277"/>
    <cellStyle name="!user entry 5 4" xfId="278"/>
    <cellStyle name="!user entry 5 4 2" xfId="279"/>
    <cellStyle name="!user entry 5 4 2 2" xfId="280"/>
    <cellStyle name="!user entry 5 4 3" xfId="281"/>
    <cellStyle name="!user entry 5 5" xfId="282"/>
    <cellStyle name="!user entry 5 5 2" xfId="283"/>
    <cellStyle name="!user entry 5 6" xfId="284"/>
    <cellStyle name="!user entry 6" xfId="285"/>
    <cellStyle name="!user entry 6 2" xfId="286"/>
    <cellStyle name="!user entry 6 2 2" xfId="287"/>
    <cellStyle name="!user entry 6 2 2 2" xfId="288"/>
    <cellStyle name="!user entry 6 2 3" xfId="289"/>
    <cellStyle name="!user entry 6 3" xfId="290"/>
    <cellStyle name="!user entry 6 3 2" xfId="291"/>
    <cellStyle name="!user entry 6 3 2 2" xfId="292"/>
    <cellStyle name="!user entry 6 3 3" xfId="293"/>
    <cellStyle name="!user entry 6 4" xfId="294"/>
    <cellStyle name="!user entry 6 4 2" xfId="295"/>
    <cellStyle name="!user entry 6 4 2 2" xfId="296"/>
    <cellStyle name="!user entry 6 4 3" xfId="297"/>
    <cellStyle name="!user entry 6 5" xfId="298"/>
    <cellStyle name="!user entry 6 5 2" xfId="299"/>
    <cellStyle name="!user entry 6 6" xfId="300"/>
    <cellStyle name="!user entry 7" xfId="301"/>
    <cellStyle name="!user entry 7 2" xfId="302"/>
    <cellStyle name="!user entry 7 2 2" xfId="303"/>
    <cellStyle name="!user entry 7 2 2 2" xfId="304"/>
    <cellStyle name="!user entry 7 2 3" xfId="305"/>
    <cellStyle name="!user entry 7 3" xfId="306"/>
    <cellStyle name="!user entry 7 3 2" xfId="307"/>
    <cellStyle name="!user entry 7 3 2 2" xfId="308"/>
    <cellStyle name="!user entry 7 3 3" xfId="309"/>
    <cellStyle name="!user entry 7 4" xfId="310"/>
    <cellStyle name="!user entry 7 4 2" xfId="311"/>
    <cellStyle name="!user entry 7 4 2 2" xfId="312"/>
    <cellStyle name="!user entry 7 4 3" xfId="313"/>
    <cellStyle name="!user entry 7 5" xfId="314"/>
    <cellStyle name="!user entry 7 5 2" xfId="315"/>
    <cellStyle name="!user entry 7 6" xfId="316"/>
    <cellStyle name="!user entry 8" xfId="317"/>
    <cellStyle name="!user entry 8 2" xfId="318"/>
    <cellStyle name="!user entry 8 2 2" xfId="319"/>
    <cellStyle name="!user entry 8 2 2 2" xfId="320"/>
    <cellStyle name="!user entry 8 2 3" xfId="321"/>
    <cellStyle name="!user entry 8 3" xfId="322"/>
    <cellStyle name="!user entry 8 3 2" xfId="323"/>
    <cellStyle name="!user entry 8 3 2 2" xfId="324"/>
    <cellStyle name="!user entry 8 3 3" xfId="325"/>
    <cellStyle name="!user entry 8 4" xfId="326"/>
    <cellStyle name="!user entry 8 4 2" xfId="327"/>
    <cellStyle name="!user entry 8 4 2 2" xfId="328"/>
    <cellStyle name="!user entry 8 4 3" xfId="329"/>
    <cellStyle name="!user entry 8 5" xfId="330"/>
    <cellStyle name="!user entry 8 5 2" xfId="331"/>
    <cellStyle name="!user entry 8 6" xfId="332"/>
    <cellStyle name="!user entry 9" xfId="333"/>
    <cellStyle name="!user entry 9 2" xfId="334"/>
    <cellStyle name="!user entry 9 2 2" xfId="335"/>
    <cellStyle name="!user entry 9 2 2 2" xfId="336"/>
    <cellStyle name="!user entry 9 2 3" xfId="337"/>
    <cellStyle name="!user entry 9 3" xfId="338"/>
    <cellStyle name="!user entry 9 3 2" xfId="339"/>
    <cellStyle name="!user entry 9 3 2 2" xfId="340"/>
    <cellStyle name="!user entry 9 3 3" xfId="341"/>
    <cellStyle name="!user entry 9 4" xfId="342"/>
    <cellStyle name="!user entry 9 4 2" xfId="343"/>
    <cellStyle name="!user entry 9 5" xfId="344"/>
    <cellStyle name="&quot;oh3" xfId="345"/>
    <cellStyle name="$0" xfId="346"/>
    <cellStyle name="$0 2" xfId="347"/>
    <cellStyle name="$0 3" xfId="348"/>
    <cellStyle name="$0 4" xfId="349"/>
    <cellStyle name="$0 4 2" xfId="350"/>
    <cellStyle name="$2" xfId="351"/>
    <cellStyle name="$2 2" xfId="352"/>
    <cellStyle name="$2 3" xfId="353"/>
    <cellStyle name="$2 4" xfId="354"/>
    <cellStyle name="$2 4 2" xfId="355"/>
    <cellStyle name="%0" xfId="356"/>
    <cellStyle name="%0 2" xfId="357"/>
    <cellStyle name="%0 3" xfId="358"/>
    <cellStyle name="%0 4" xfId="359"/>
    <cellStyle name="%0 4 2" xfId="360"/>
    <cellStyle name="%1" xfId="361"/>
    <cellStyle name="%1 2" xfId="362"/>
    <cellStyle name="%1 3" xfId="363"/>
    <cellStyle name="%1 4" xfId="364"/>
    <cellStyle name="%1 4 2" xfId="365"/>
    <cellStyle name="%2" xfId="366"/>
    <cellStyle name="%2 2" xfId="367"/>
    <cellStyle name="%2 3" xfId="368"/>
    <cellStyle name="%2 4" xfId="369"/>
    <cellStyle name="%2 4 2" xfId="370"/>
    <cellStyle name=",0" xfId="371"/>
    <cellStyle name=",0 2" xfId="372"/>
    <cellStyle name=",0 3" xfId="373"/>
    <cellStyle name=",0 4" xfId="374"/>
    <cellStyle name=",0 4 2" xfId="375"/>
    <cellStyle name=",1" xfId="376"/>
    <cellStyle name=",1 2" xfId="377"/>
    <cellStyle name=",1 3" xfId="378"/>
    <cellStyle name=",1 4" xfId="379"/>
    <cellStyle name=",1 4 2" xfId="380"/>
    <cellStyle name=",2" xfId="381"/>
    <cellStyle name=",2 2" xfId="382"/>
    <cellStyle name=",2 3" xfId="383"/>
    <cellStyle name=",2 4" xfId="384"/>
    <cellStyle name=",2 4 2" xfId="385"/>
    <cellStyle name="±0" xfId="386"/>
    <cellStyle name="±0 2" xfId="387"/>
    <cellStyle name="±0 3" xfId="388"/>
    <cellStyle name="±0 4" xfId="389"/>
    <cellStyle name="±0 4 2" xfId="390"/>
    <cellStyle name="±2" xfId="391"/>
    <cellStyle name="±2 2" xfId="392"/>
    <cellStyle name="±2 3" xfId="393"/>
    <cellStyle name="±2 4" xfId="394"/>
    <cellStyle name="±2 4 2" xfId="395"/>
    <cellStyle name="0,0_x000d__x000a_NA_x000d__x000a_" xfId="396"/>
    <cellStyle name="0,0_x000d__x000a_NA_x000d__x000a_ 2" xfId="397"/>
    <cellStyle name="0,0_x000d__x000a_NA_x000d__x000a_ 2 2" xfId="398"/>
    <cellStyle name="0,0_x000d__x000a_NA_x000d__x000a_ 3" xfId="399"/>
    <cellStyle name="0,0_x000d__x000a_NA_x000d__x000a_ 5 2" xfId="59066"/>
    <cellStyle name="1" xfId="400"/>
    <cellStyle name="20% - Accent1" xfId="27" builtinId="30" hidden="1"/>
    <cellStyle name="20% - Accent1 10" xfId="401"/>
    <cellStyle name="20% - Accent1 10 2" xfId="402"/>
    <cellStyle name="20% - Accent1 11" xfId="403"/>
    <cellStyle name="20% - Accent1 11 2" xfId="404"/>
    <cellStyle name="20% - Accent1 12" xfId="405"/>
    <cellStyle name="20% - Accent1 12 2" xfId="406"/>
    <cellStyle name="20% - Accent1 13" xfId="407"/>
    <cellStyle name="20% - Accent1 13 2" xfId="408"/>
    <cellStyle name="20% - Accent1 14" xfId="409"/>
    <cellStyle name="20% - Accent1 2" xfId="410"/>
    <cellStyle name="20% - Accent1 2 2" xfId="411"/>
    <cellStyle name="20% - Accent1 2 2 2" xfId="412"/>
    <cellStyle name="20% - Accent1 2 2 3" xfId="413"/>
    <cellStyle name="20% - Accent1 2 3" xfId="414"/>
    <cellStyle name="20% - Accent1 2 3 2" xfId="415"/>
    <cellStyle name="20% - Accent1 2 4" xfId="416"/>
    <cellStyle name="20% - Accent1 2 5" xfId="417"/>
    <cellStyle name="20% - Accent1 2_P-8A FRP Make Parts Detail Estimate 08,06,2012" xfId="418"/>
    <cellStyle name="20% - Accent1 3" xfId="419"/>
    <cellStyle name="20% - Accent1 3 2" xfId="420"/>
    <cellStyle name="20% - Accent1 3 2 2" xfId="421"/>
    <cellStyle name="20% - Accent1 3 2_P-8A FRP Make Parts Detail Estimate 08,06,2012" xfId="422"/>
    <cellStyle name="20% - Accent1 3 3" xfId="423"/>
    <cellStyle name="20% - Accent1 3 4" xfId="424"/>
    <cellStyle name="20% - Accent1 3_P-8A FRP Make Parts Detail Estimate 08,06,2012" xfId="425"/>
    <cellStyle name="20% - Accent1 4" xfId="426"/>
    <cellStyle name="20% - Accent1 4 2" xfId="427"/>
    <cellStyle name="20% - Accent1 4 2 2" xfId="428"/>
    <cellStyle name="20% - Accent1 4 3" xfId="429"/>
    <cellStyle name="20% - Accent1 5" xfId="430"/>
    <cellStyle name="20% - Accent1 5 2" xfId="431"/>
    <cellStyle name="20% - Accent1 5 2 2" xfId="432"/>
    <cellStyle name="20% - Accent1 5 3" xfId="433"/>
    <cellStyle name="20% - Accent1 6" xfId="434"/>
    <cellStyle name="20% - Accent1 6 2" xfId="435"/>
    <cellStyle name="20% - Accent1 6 2 2" xfId="436"/>
    <cellStyle name="20% - Accent1 6 3" xfId="437"/>
    <cellStyle name="20% - Accent1 7" xfId="438"/>
    <cellStyle name="20% - Accent1 7 2" xfId="439"/>
    <cellStyle name="20% - Accent1 8" xfId="440"/>
    <cellStyle name="20% - Accent1 8 2" xfId="441"/>
    <cellStyle name="20% - Accent1 8 3" xfId="442"/>
    <cellStyle name="20% - Accent1 9" xfId="443"/>
    <cellStyle name="20% - Accent1 9 2" xfId="444"/>
    <cellStyle name="20% - Accent2" xfId="31" builtinId="34" hidden="1"/>
    <cellStyle name="20% - Accent2 10" xfId="445"/>
    <cellStyle name="20% - Accent2 10 2" xfId="446"/>
    <cellStyle name="20% - Accent2 11" xfId="447"/>
    <cellStyle name="20% - Accent2 11 2" xfId="448"/>
    <cellStyle name="20% - Accent2 12" xfId="449"/>
    <cellStyle name="20% - Accent2 12 2" xfId="450"/>
    <cellStyle name="20% - Accent2 13" xfId="451"/>
    <cellStyle name="20% - Accent2 13 2" xfId="452"/>
    <cellStyle name="20% - Accent2 14" xfId="453"/>
    <cellStyle name="20% - Accent2 2" xfId="454"/>
    <cellStyle name="20% - Accent2 2 2" xfId="455"/>
    <cellStyle name="20% - Accent2 2 2 2" xfId="456"/>
    <cellStyle name="20% - Accent2 2 2 3" xfId="457"/>
    <cellStyle name="20% - Accent2 2 3" xfId="458"/>
    <cellStyle name="20% - Accent2 2 3 2" xfId="459"/>
    <cellStyle name="20% - Accent2 2 4" xfId="460"/>
    <cellStyle name="20% - Accent2 2 5" xfId="461"/>
    <cellStyle name="20% - Accent2 2_P-8A FRP Make Parts Detail Estimate 08,06,2012" xfId="462"/>
    <cellStyle name="20% - Accent2 3" xfId="463"/>
    <cellStyle name="20% - Accent2 3 2" xfId="464"/>
    <cellStyle name="20% - Accent2 3 2 2" xfId="465"/>
    <cellStyle name="20% - Accent2 3 2_P-8A FRP Make Parts Detail Estimate 08,06,2012" xfId="466"/>
    <cellStyle name="20% - Accent2 3 3" xfId="467"/>
    <cellStyle name="20% - Accent2 3 4" xfId="468"/>
    <cellStyle name="20% - Accent2 3_P-8A FRP Make Parts Detail Estimate 08,06,2012" xfId="469"/>
    <cellStyle name="20% - Accent2 4" xfId="470"/>
    <cellStyle name="20% - Accent2 4 2" xfId="471"/>
    <cellStyle name="20% - Accent2 4 2 2" xfId="472"/>
    <cellStyle name="20% - Accent2 4 3" xfId="473"/>
    <cellStyle name="20% - Accent2 5" xfId="474"/>
    <cellStyle name="20% - Accent2 5 2" xfId="475"/>
    <cellStyle name="20% - Accent2 5 2 2" xfId="476"/>
    <cellStyle name="20% - Accent2 5 3" xfId="477"/>
    <cellStyle name="20% - Accent2 6" xfId="478"/>
    <cellStyle name="20% - Accent2 6 2" xfId="479"/>
    <cellStyle name="20% - Accent2 6 2 2" xfId="480"/>
    <cellStyle name="20% - Accent2 6 3" xfId="481"/>
    <cellStyle name="20% - Accent2 7" xfId="482"/>
    <cellStyle name="20% - Accent2 7 2" xfId="483"/>
    <cellStyle name="20% - Accent2 8" xfId="484"/>
    <cellStyle name="20% - Accent2 8 2" xfId="485"/>
    <cellStyle name="20% - Accent2 8 3" xfId="486"/>
    <cellStyle name="20% - Accent2 9" xfId="487"/>
    <cellStyle name="20% - Accent2 9 2" xfId="488"/>
    <cellStyle name="20% - Accent3" xfId="35" builtinId="38" hidden="1"/>
    <cellStyle name="20% - Accent3 10" xfId="489"/>
    <cellStyle name="20% - Accent3 10 2" xfId="490"/>
    <cellStyle name="20% - Accent3 11" xfId="491"/>
    <cellStyle name="20% - Accent3 11 2" xfId="492"/>
    <cellStyle name="20% - Accent3 12" xfId="493"/>
    <cellStyle name="20% - Accent3 12 2" xfId="494"/>
    <cellStyle name="20% - Accent3 13" xfId="495"/>
    <cellStyle name="20% - Accent3 13 2" xfId="496"/>
    <cellStyle name="20% - Accent3 14" xfId="497"/>
    <cellStyle name="20% - Accent3 2" xfId="498"/>
    <cellStyle name="20% - Accent3 2 2" xfId="499"/>
    <cellStyle name="20% - Accent3 2 2 2" xfId="500"/>
    <cellStyle name="20% - Accent3 2 2 3" xfId="501"/>
    <cellStyle name="20% - Accent3 2 3" xfId="502"/>
    <cellStyle name="20% - Accent3 2 3 2" xfId="503"/>
    <cellStyle name="20% - Accent3 2 4" xfId="504"/>
    <cellStyle name="20% - Accent3 2 5" xfId="505"/>
    <cellStyle name="20% - Accent3 2_P-8A FRP Make Parts Detail Estimate 08,06,2012" xfId="506"/>
    <cellStyle name="20% - Accent3 3" xfId="507"/>
    <cellStyle name="20% - Accent3 3 2" xfId="508"/>
    <cellStyle name="20% - Accent3 3 2 2" xfId="509"/>
    <cellStyle name="20% - Accent3 3 2_P-8A FRP Make Parts Detail Estimate 08,06,2012" xfId="510"/>
    <cellStyle name="20% - Accent3 3 3" xfId="511"/>
    <cellStyle name="20% - Accent3 3 4" xfId="512"/>
    <cellStyle name="20% - Accent3 3_P-8A FRP Make Parts Detail Estimate 08,06,2012" xfId="513"/>
    <cellStyle name="20% - Accent3 4" xfId="514"/>
    <cellStyle name="20% - Accent3 4 2" xfId="515"/>
    <cellStyle name="20% - Accent3 4 2 2" xfId="516"/>
    <cellStyle name="20% - Accent3 4 3" xfId="517"/>
    <cellStyle name="20% - Accent3 5" xfId="518"/>
    <cellStyle name="20% - Accent3 5 2" xfId="519"/>
    <cellStyle name="20% - Accent3 5 2 2" xfId="520"/>
    <cellStyle name="20% - Accent3 5 3" xfId="521"/>
    <cellStyle name="20% - Accent3 6" xfId="522"/>
    <cellStyle name="20% - Accent3 6 2" xfId="523"/>
    <cellStyle name="20% - Accent3 6 2 2" xfId="524"/>
    <cellStyle name="20% - Accent3 6 3" xfId="525"/>
    <cellStyle name="20% - Accent3 7" xfId="526"/>
    <cellStyle name="20% - Accent3 7 2" xfId="527"/>
    <cellStyle name="20% - Accent3 8" xfId="528"/>
    <cellStyle name="20% - Accent3 8 2" xfId="529"/>
    <cellStyle name="20% - Accent3 8 3" xfId="530"/>
    <cellStyle name="20% - Accent3 9" xfId="531"/>
    <cellStyle name="20% - Accent3 9 2" xfId="532"/>
    <cellStyle name="20% - Accent4" xfId="39" builtinId="42" hidden="1"/>
    <cellStyle name="20% - Accent4 10" xfId="533"/>
    <cellStyle name="20% - Accent4 10 2" xfId="534"/>
    <cellStyle name="20% - Accent4 11" xfId="535"/>
    <cellStyle name="20% - Accent4 11 2" xfId="536"/>
    <cellStyle name="20% - Accent4 12" xfId="537"/>
    <cellStyle name="20% - Accent4 12 2" xfId="538"/>
    <cellStyle name="20% - Accent4 13" xfId="539"/>
    <cellStyle name="20% - Accent4 13 2" xfId="540"/>
    <cellStyle name="20% - Accent4 14" xfId="541"/>
    <cellStyle name="20% - Accent4 2" xfId="542"/>
    <cellStyle name="20% - Accent4 2 2" xfId="543"/>
    <cellStyle name="20% - Accent4 2 2 2" xfId="544"/>
    <cellStyle name="20% - Accent4 2 2 3" xfId="545"/>
    <cellStyle name="20% - Accent4 2 3" xfId="546"/>
    <cellStyle name="20% - Accent4 2 3 2" xfId="547"/>
    <cellStyle name="20% - Accent4 2 4" xfId="548"/>
    <cellStyle name="20% - Accent4 2 5" xfId="549"/>
    <cellStyle name="20% - Accent4 2_P-8A FRP Make Parts Detail Estimate 08,06,2012" xfId="550"/>
    <cellStyle name="20% - Accent4 3" xfId="551"/>
    <cellStyle name="20% - Accent4 3 2" xfId="552"/>
    <cellStyle name="20% - Accent4 3 2 2" xfId="553"/>
    <cellStyle name="20% - Accent4 3 2_P-8A FRP Make Parts Detail Estimate 08,06,2012" xfId="554"/>
    <cellStyle name="20% - Accent4 3 3" xfId="555"/>
    <cellStyle name="20% - Accent4 3 4" xfId="556"/>
    <cellStyle name="20% - Accent4 3_P-8A FRP Make Parts Detail Estimate 08,06,2012" xfId="557"/>
    <cellStyle name="20% - Accent4 4" xfId="558"/>
    <cellStyle name="20% - Accent4 4 2" xfId="559"/>
    <cellStyle name="20% - Accent4 4 2 2" xfId="560"/>
    <cellStyle name="20% - Accent4 4 3" xfId="561"/>
    <cellStyle name="20% - Accent4 5" xfId="562"/>
    <cellStyle name="20% - Accent4 5 2" xfId="563"/>
    <cellStyle name="20% - Accent4 5 2 2" xfId="564"/>
    <cellStyle name="20% - Accent4 5 3" xfId="565"/>
    <cellStyle name="20% - Accent4 6" xfId="566"/>
    <cellStyle name="20% - Accent4 6 2" xfId="567"/>
    <cellStyle name="20% - Accent4 6 2 2" xfId="568"/>
    <cellStyle name="20% - Accent4 6 3" xfId="569"/>
    <cellStyle name="20% - Accent4 7" xfId="570"/>
    <cellStyle name="20% - Accent4 7 2" xfId="571"/>
    <cellStyle name="20% - Accent4 8" xfId="572"/>
    <cellStyle name="20% - Accent4 8 2" xfId="573"/>
    <cellStyle name="20% - Accent4 8 3" xfId="574"/>
    <cellStyle name="20% - Accent4 9" xfId="575"/>
    <cellStyle name="20% - Accent4 9 2" xfId="576"/>
    <cellStyle name="20% - Accent5" xfId="43" builtinId="46" hidden="1"/>
    <cellStyle name="20% - Accent5 10" xfId="577"/>
    <cellStyle name="20% - Accent5 10 2" xfId="578"/>
    <cellStyle name="20% - Accent5 11" xfId="579"/>
    <cellStyle name="20% - Accent5 11 2" xfId="580"/>
    <cellStyle name="20% - Accent5 12" xfId="581"/>
    <cellStyle name="20% - Accent5 12 2" xfId="582"/>
    <cellStyle name="20% - Accent5 13" xfId="583"/>
    <cellStyle name="20% - Accent5 13 2" xfId="584"/>
    <cellStyle name="20% - Accent5 14" xfId="585"/>
    <cellStyle name="20% - Accent5 2" xfId="586"/>
    <cellStyle name="20% - Accent5 2 2" xfId="587"/>
    <cellStyle name="20% - Accent5 2 2 2" xfId="588"/>
    <cellStyle name="20% - Accent5 2 2 3" xfId="589"/>
    <cellStyle name="20% - Accent5 2 3" xfId="590"/>
    <cellStyle name="20% - Accent5 2 3 2" xfId="591"/>
    <cellStyle name="20% - Accent5 2 4" xfId="592"/>
    <cellStyle name="20% - Accent5 2 5" xfId="593"/>
    <cellStyle name="20% - Accent5 2_P-8A FRP Make Parts Detail Estimate 08,06,2012" xfId="594"/>
    <cellStyle name="20% - Accent5 3" xfId="595"/>
    <cellStyle name="20% - Accent5 3 2" xfId="596"/>
    <cellStyle name="20% - Accent5 3 2 2" xfId="597"/>
    <cellStyle name="20% - Accent5 3 2_P-8A FRP Make Parts Detail Estimate 08,06,2012" xfId="598"/>
    <cellStyle name="20% - Accent5 3 3" xfId="599"/>
    <cellStyle name="20% - Accent5 3 4" xfId="600"/>
    <cellStyle name="20% - Accent5 3_P-8A FRP Make Parts Detail Estimate 08,06,2012" xfId="601"/>
    <cellStyle name="20% - Accent5 4" xfId="602"/>
    <cellStyle name="20% - Accent5 4 2" xfId="603"/>
    <cellStyle name="20% - Accent5 4 2 2" xfId="604"/>
    <cellStyle name="20% - Accent5 4 3" xfId="605"/>
    <cellStyle name="20% - Accent5 5" xfId="606"/>
    <cellStyle name="20% - Accent5 5 2" xfId="607"/>
    <cellStyle name="20% - Accent5 5 2 2" xfId="608"/>
    <cellStyle name="20% - Accent5 5 3" xfId="609"/>
    <cellStyle name="20% - Accent5 6" xfId="610"/>
    <cellStyle name="20% - Accent5 6 2" xfId="611"/>
    <cellStyle name="20% - Accent5 6 2 2" xfId="612"/>
    <cellStyle name="20% - Accent5 6 3" xfId="613"/>
    <cellStyle name="20% - Accent5 7" xfId="614"/>
    <cellStyle name="20% - Accent5 7 2" xfId="615"/>
    <cellStyle name="20% - Accent5 8" xfId="616"/>
    <cellStyle name="20% - Accent5 8 2" xfId="617"/>
    <cellStyle name="20% - Accent5 8 3" xfId="618"/>
    <cellStyle name="20% - Accent5 9" xfId="619"/>
    <cellStyle name="20% - Accent5 9 2" xfId="620"/>
    <cellStyle name="20% - Accent6" xfId="47" builtinId="50" hidden="1"/>
    <cellStyle name="20% - Accent6 10" xfId="621"/>
    <cellStyle name="20% - Accent6 10 2" xfId="622"/>
    <cellStyle name="20% - Accent6 11" xfId="623"/>
    <cellStyle name="20% - Accent6 11 2" xfId="624"/>
    <cellStyle name="20% - Accent6 12" xfId="625"/>
    <cellStyle name="20% - Accent6 12 2" xfId="626"/>
    <cellStyle name="20% - Accent6 13" xfId="627"/>
    <cellStyle name="20% - Accent6 13 2" xfId="628"/>
    <cellStyle name="20% - Accent6 14" xfId="629"/>
    <cellStyle name="20% - Accent6 2" xfId="630"/>
    <cellStyle name="20% - Accent6 2 2" xfId="631"/>
    <cellStyle name="20% - Accent6 2 2 2" xfId="632"/>
    <cellStyle name="20% - Accent6 2 2 3" xfId="633"/>
    <cellStyle name="20% - Accent6 2 3" xfId="634"/>
    <cellStyle name="20% - Accent6 2 3 2" xfId="635"/>
    <cellStyle name="20% - Accent6 2 4" xfId="636"/>
    <cellStyle name="20% - Accent6 2 5" xfId="637"/>
    <cellStyle name="20% - Accent6 2_P-8A FRP Make Parts Detail Estimate 08,06,2012" xfId="638"/>
    <cellStyle name="20% - Accent6 3" xfId="639"/>
    <cellStyle name="20% - Accent6 3 2" xfId="640"/>
    <cellStyle name="20% - Accent6 3 2 2" xfId="641"/>
    <cellStyle name="20% - Accent6 3 2_P-8A FRP Make Parts Detail Estimate 08,06,2012" xfId="642"/>
    <cellStyle name="20% - Accent6 3 3" xfId="643"/>
    <cellStyle name="20% - Accent6 3 4" xfId="644"/>
    <cellStyle name="20% - Accent6 3_P-8A FRP Make Parts Detail Estimate 08,06,2012" xfId="645"/>
    <cellStyle name="20% - Accent6 4" xfId="646"/>
    <cellStyle name="20% - Accent6 4 2" xfId="647"/>
    <cellStyle name="20% - Accent6 4 2 2" xfId="648"/>
    <cellStyle name="20% - Accent6 4 3" xfId="649"/>
    <cellStyle name="20% - Accent6 5" xfId="650"/>
    <cellStyle name="20% - Accent6 5 2" xfId="651"/>
    <cellStyle name="20% - Accent6 5 2 2" xfId="652"/>
    <cellStyle name="20% - Accent6 5 3" xfId="653"/>
    <cellStyle name="20% - Accent6 6" xfId="654"/>
    <cellStyle name="20% - Accent6 6 2" xfId="655"/>
    <cellStyle name="20% - Accent6 6 2 2" xfId="656"/>
    <cellStyle name="20% - Accent6 6 3" xfId="657"/>
    <cellStyle name="20% - Accent6 7" xfId="658"/>
    <cellStyle name="20% - Accent6 7 2" xfId="659"/>
    <cellStyle name="20% - Accent6 8" xfId="660"/>
    <cellStyle name="20% - Accent6 8 2" xfId="661"/>
    <cellStyle name="20% - Accent6 8 3" xfId="662"/>
    <cellStyle name="20% - Accent6 9" xfId="663"/>
    <cellStyle name="20% - Accent6 9 2" xfId="664"/>
    <cellStyle name="2DRATES" xfId="665"/>
    <cellStyle name="3DRATES" xfId="666"/>
    <cellStyle name="40% - Accent1" xfId="28" builtinId="31" hidden="1"/>
    <cellStyle name="40% - Accent1 10" xfId="667"/>
    <cellStyle name="40% - Accent1 10 2" xfId="668"/>
    <cellStyle name="40% - Accent1 11" xfId="669"/>
    <cellStyle name="40% - Accent1 11 2" xfId="670"/>
    <cellStyle name="40% - Accent1 12" xfId="671"/>
    <cellStyle name="40% - Accent1 12 2" xfId="672"/>
    <cellStyle name="40% - Accent1 13" xfId="673"/>
    <cellStyle name="40% - Accent1 13 2" xfId="674"/>
    <cellStyle name="40% - Accent1 14" xfId="675"/>
    <cellStyle name="40% - Accent1 2" xfId="676"/>
    <cellStyle name="40% - Accent1 2 2" xfId="677"/>
    <cellStyle name="40% - Accent1 2 2 2" xfId="678"/>
    <cellStyle name="40% - Accent1 2 2 2 2" xfId="679"/>
    <cellStyle name="40% - Accent1 2 2 2 3" xfId="680"/>
    <cellStyle name="40% - Accent1 2 2 3" xfId="681"/>
    <cellStyle name="40% - Accent1 2 2 4" xfId="682"/>
    <cellStyle name="40% - Accent1 2 3" xfId="683"/>
    <cellStyle name="40% - Accent1 2 3 2" xfId="684"/>
    <cellStyle name="40% - Accent1 2 3 2 2" xfId="685"/>
    <cellStyle name="40% - Accent1 2 3 3" xfId="686"/>
    <cellStyle name="40% - Accent1 2 3 4" xfId="687"/>
    <cellStyle name="40% - Accent1 2 4" xfId="688"/>
    <cellStyle name="40% - Accent1 2 4 2" xfId="689"/>
    <cellStyle name="40% - Accent1 2 4 3" xfId="690"/>
    <cellStyle name="40% - Accent1 2 5" xfId="691"/>
    <cellStyle name="40% - Accent1 2 6" xfId="692"/>
    <cellStyle name="40% - Accent1 2_P-8A FRP Make Parts Detail Estimate 08,06,2012" xfId="693"/>
    <cellStyle name="40% - Accent1 3" xfId="694"/>
    <cellStyle name="40% - Accent1 3 2" xfId="695"/>
    <cellStyle name="40% - Accent1 3 2 2" xfId="696"/>
    <cellStyle name="40% - Accent1 3 2_P-8A FRP Make Parts Detail Estimate 08,06,2012" xfId="697"/>
    <cellStyle name="40% - Accent1 3 3" xfId="698"/>
    <cellStyle name="40% - Accent1 3 4" xfId="699"/>
    <cellStyle name="40% - Accent1 3_P-8A FRP Make Parts Detail Estimate 08,06,2012" xfId="700"/>
    <cellStyle name="40% - Accent1 4" xfId="701"/>
    <cellStyle name="40% - Accent1 4 2" xfId="702"/>
    <cellStyle name="40% - Accent1 4 2 2" xfId="703"/>
    <cellStyle name="40% - Accent1 4 3" xfId="704"/>
    <cellStyle name="40% - Accent1 5" xfId="705"/>
    <cellStyle name="40% - Accent1 5 2" xfId="706"/>
    <cellStyle name="40% - Accent1 5 2 2" xfId="707"/>
    <cellStyle name="40% - Accent1 5 3" xfId="708"/>
    <cellStyle name="40% - Accent1 6" xfId="709"/>
    <cellStyle name="40% - Accent1 6 2" xfId="710"/>
    <cellStyle name="40% - Accent1 6 2 2" xfId="711"/>
    <cellStyle name="40% - Accent1 6 3" xfId="712"/>
    <cellStyle name="40% - Accent1 7" xfId="713"/>
    <cellStyle name="40% - Accent1 7 2" xfId="714"/>
    <cellStyle name="40% - Accent1 8" xfId="715"/>
    <cellStyle name="40% - Accent1 8 2" xfId="716"/>
    <cellStyle name="40% - Accent1 8 3" xfId="717"/>
    <cellStyle name="40% - Accent1 9" xfId="718"/>
    <cellStyle name="40% - Accent1 9 2" xfId="719"/>
    <cellStyle name="40% - Accent2" xfId="32" builtinId="35" hidden="1"/>
    <cellStyle name="40% - Accent2 10" xfId="720"/>
    <cellStyle name="40% - Accent2 10 2" xfId="721"/>
    <cellStyle name="40% - Accent2 11" xfId="722"/>
    <cellStyle name="40% - Accent2 11 2" xfId="723"/>
    <cellStyle name="40% - Accent2 12" xfId="724"/>
    <cellStyle name="40% - Accent2 12 2" xfId="725"/>
    <cellStyle name="40% - Accent2 13" xfId="726"/>
    <cellStyle name="40% - Accent2 13 2" xfId="727"/>
    <cellStyle name="40% - Accent2 14" xfId="728"/>
    <cellStyle name="40% - Accent2 2" xfId="729"/>
    <cellStyle name="40% - Accent2 2 2" xfId="730"/>
    <cellStyle name="40% - Accent2 2 2 2" xfId="731"/>
    <cellStyle name="40% - Accent2 2 2 3" xfId="732"/>
    <cellStyle name="40% - Accent2 2 3" xfId="733"/>
    <cellStyle name="40% - Accent2 2 3 2" xfId="734"/>
    <cellStyle name="40% - Accent2 2 4" xfId="735"/>
    <cellStyle name="40% - Accent2 2 5" xfId="736"/>
    <cellStyle name="40% - Accent2 2_P-8A FRP Make Parts Detail Estimate 08,06,2012" xfId="737"/>
    <cellStyle name="40% - Accent2 3" xfId="738"/>
    <cellStyle name="40% - Accent2 3 2" xfId="739"/>
    <cellStyle name="40% - Accent2 3 2 2" xfId="740"/>
    <cellStyle name="40% - Accent2 3 2_P-8A FRP Make Parts Detail Estimate 08,06,2012" xfId="741"/>
    <cellStyle name="40% - Accent2 3 3" xfId="742"/>
    <cellStyle name="40% - Accent2 3 4" xfId="743"/>
    <cellStyle name="40% - Accent2 3_P-8A FRP Make Parts Detail Estimate 08,06,2012" xfId="744"/>
    <cellStyle name="40% - Accent2 4" xfId="745"/>
    <cellStyle name="40% - Accent2 4 2" xfId="746"/>
    <cellStyle name="40% - Accent2 4 2 2" xfId="747"/>
    <cellStyle name="40% - Accent2 4 3" xfId="748"/>
    <cellStyle name="40% - Accent2 5" xfId="749"/>
    <cellStyle name="40% - Accent2 5 2" xfId="750"/>
    <cellStyle name="40% - Accent2 5 2 2" xfId="751"/>
    <cellStyle name="40% - Accent2 5 3" xfId="752"/>
    <cellStyle name="40% - Accent2 6" xfId="753"/>
    <cellStyle name="40% - Accent2 6 2" xfId="754"/>
    <cellStyle name="40% - Accent2 6 2 2" xfId="755"/>
    <cellStyle name="40% - Accent2 6 3" xfId="756"/>
    <cellStyle name="40% - Accent2 7" xfId="757"/>
    <cellStyle name="40% - Accent2 7 2" xfId="758"/>
    <cellStyle name="40% - Accent2 8" xfId="759"/>
    <cellStyle name="40% - Accent2 8 2" xfId="760"/>
    <cellStyle name="40% - Accent2 8 3" xfId="761"/>
    <cellStyle name="40% - Accent2 9" xfId="762"/>
    <cellStyle name="40% - Accent2 9 2" xfId="763"/>
    <cellStyle name="40% - Accent3" xfId="36" builtinId="39" hidden="1"/>
    <cellStyle name="40% - Accent3 10" xfId="764"/>
    <cellStyle name="40% - Accent3 10 2" xfId="765"/>
    <cellStyle name="40% - Accent3 11" xfId="766"/>
    <cellStyle name="40% - Accent3 11 2" xfId="767"/>
    <cellStyle name="40% - Accent3 12" xfId="768"/>
    <cellStyle name="40% - Accent3 12 2" xfId="769"/>
    <cellStyle name="40% - Accent3 13" xfId="770"/>
    <cellStyle name="40% - Accent3 13 2" xfId="771"/>
    <cellStyle name="40% - Accent3 14" xfId="772"/>
    <cellStyle name="40% - Accent3 2" xfId="773"/>
    <cellStyle name="40% - Accent3 2 2" xfId="774"/>
    <cellStyle name="40% - Accent3 2 2 2" xfId="775"/>
    <cellStyle name="40% - Accent3 2 2 3" xfId="776"/>
    <cellStyle name="40% - Accent3 2 3" xfId="777"/>
    <cellStyle name="40% - Accent3 2 3 2" xfId="778"/>
    <cellStyle name="40% - Accent3 2 4" xfId="779"/>
    <cellStyle name="40% - Accent3 2 5" xfId="780"/>
    <cellStyle name="40% - Accent3 2_P-8A FRP Make Parts Detail Estimate 08,06,2012" xfId="781"/>
    <cellStyle name="40% - Accent3 3" xfId="782"/>
    <cellStyle name="40% - Accent3 3 2" xfId="783"/>
    <cellStyle name="40% - Accent3 3 2 2" xfId="784"/>
    <cellStyle name="40% - Accent3 3 2_P-8A FRP Make Parts Detail Estimate 08,06,2012" xfId="785"/>
    <cellStyle name="40% - Accent3 3 3" xfId="786"/>
    <cellStyle name="40% - Accent3 3 4" xfId="787"/>
    <cellStyle name="40% - Accent3 3_P-8A FRP Make Parts Detail Estimate 08,06,2012" xfId="788"/>
    <cellStyle name="40% - Accent3 4" xfId="789"/>
    <cellStyle name="40% - Accent3 4 2" xfId="790"/>
    <cellStyle name="40% - Accent3 4 2 2" xfId="791"/>
    <cellStyle name="40% - Accent3 4 3" xfId="792"/>
    <cellStyle name="40% - Accent3 5" xfId="793"/>
    <cellStyle name="40% - Accent3 5 2" xfId="794"/>
    <cellStyle name="40% - Accent3 5 2 2" xfId="795"/>
    <cellStyle name="40% - Accent3 5 3" xfId="796"/>
    <cellStyle name="40% - Accent3 6" xfId="797"/>
    <cellStyle name="40% - Accent3 6 2" xfId="798"/>
    <cellStyle name="40% - Accent3 6 2 2" xfId="799"/>
    <cellStyle name="40% - Accent3 6 3" xfId="800"/>
    <cellStyle name="40% - Accent3 7" xfId="801"/>
    <cellStyle name="40% - Accent3 7 2" xfId="802"/>
    <cellStyle name="40% - Accent3 8" xfId="803"/>
    <cellStyle name="40% - Accent3 8 2" xfId="804"/>
    <cellStyle name="40% - Accent3 8 3" xfId="805"/>
    <cellStyle name="40% - Accent3 9" xfId="806"/>
    <cellStyle name="40% - Accent3 9 2" xfId="807"/>
    <cellStyle name="40% - Accent4" xfId="40" builtinId="43" hidden="1"/>
    <cellStyle name="40% - Accent4 10" xfId="808"/>
    <cellStyle name="40% - Accent4 10 2" xfId="809"/>
    <cellStyle name="40% - Accent4 11" xfId="810"/>
    <cellStyle name="40% - Accent4 11 2" xfId="811"/>
    <cellStyle name="40% - Accent4 12" xfId="812"/>
    <cellStyle name="40% - Accent4 12 2" xfId="813"/>
    <cellStyle name="40% - Accent4 13" xfId="814"/>
    <cellStyle name="40% - Accent4 13 2" xfId="815"/>
    <cellStyle name="40% - Accent4 14" xfId="816"/>
    <cellStyle name="40% - Accent4 2" xfId="817"/>
    <cellStyle name="40% - Accent4 2 2" xfId="818"/>
    <cellStyle name="40% - Accent4 2 2 2" xfId="819"/>
    <cellStyle name="40% - Accent4 2 2 3" xfId="820"/>
    <cellStyle name="40% - Accent4 2 3" xfId="821"/>
    <cellStyle name="40% - Accent4 2 3 2" xfId="822"/>
    <cellStyle name="40% - Accent4 2 4" xfId="823"/>
    <cellStyle name="40% - Accent4 2 5" xfId="824"/>
    <cellStyle name="40% - Accent4 2_P-8A FRP Make Parts Detail Estimate 08,06,2012" xfId="825"/>
    <cellStyle name="40% - Accent4 3" xfId="826"/>
    <cellStyle name="40% - Accent4 3 2" xfId="827"/>
    <cellStyle name="40% - Accent4 3 2 2" xfId="828"/>
    <cellStyle name="40% - Accent4 3 2_P-8A FRP Make Parts Detail Estimate 08,06,2012" xfId="829"/>
    <cellStyle name="40% - Accent4 3 3" xfId="830"/>
    <cellStyle name="40% - Accent4 3 4" xfId="831"/>
    <cellStyle name="40% - Accent4 3_P-8A FRP Make Parts Detail Estimate 08,06,2012" xfId="832"/>
    <cellStyle name="40% - Accent4 4" xfId="833"/>
    <cellStyle name="40% - Accent4 4 2" xfId="834"/>
    <cellStyle name="40% - Accent4 4 2 2" xfId="835"/>
    <cellStyle name="40% - Accent4 4 3" xfId="836"/>
    <cellStyle name="40% - Accent4 5" xfId="837"/>
    <cellStyle name="40% - Accent4 5 2" xfId="838"/>
    <cellStyle name="40% - Accent4 5 2 2" xfId="839"/>
    <cellStyle name="40% - Accent4 5 3" xfId="840"/>
    <cellStyle name="40% - Accent4 6" xfId="841"/>
    <cellStyle name="40% - Accent4 6 2" xfId="842"/>
    <cellStyle name="40% - Accent4 6 2 2" xfId="843"/>
    <cellStyle name="40% - Accent4 6 3" xfId="844"/>
    <cellStyle name="40% - Accent4 7" xfId="845"/>
    <cellStyle name="40% - Accent4 7 2" xfId="846"/>
    <cellStyle name="40% - Accent4 8" xfId="847"/>
    <cellStyle name="40% - Accent4 8 2" xfId="848"/>
    <cellStyle name="40% - Accent4 8 3" xfId="849"/>
    <cellStyle name="40% - Accent4 9" xfId="850"/>
    <cellStyle name="40% - Accent4 9 2" xfId="851"/>
    <cellStyle name="40% - Accent5" xfId="44" builtinId="47" hidden="1"/>
    <cellStyle name="40% - Accent5 10" xfId="852"/>
    <cellStyle name="40% - Accent5 10 2" xfId="853"/>
    <cellStyle name="40% - Accent5 11" xfId="854"/>
    <cellStyle name="40% - Accent5 11 2" xfId="855"/>
    <cellStyle name="40% - Accent5 12" xfId="856"/>
    <cellStyle name="40% - Accent5 12 2" xfId="857"/>
    <cellStyle name="40% - Accent5 13" xfId="858"/>
    <cellStyle name="40% - Accent5 13 2" xfId="859"/>
    <cellStyle name="40% - Accent5 14" xfId="860"/>
    <cellStyle name="40% - Accent5 2" xfId="861"/>
    <cellStyle name="40% - Accent5 2 2" xfId="862"/>
    <cellStyle name="40% - Accent5 2 2 2" xfId="863"/>
    <cellStyle name="40% - Accent5 2 2 3" xfId="864"/>
    <cellStyle name="40% - Accent5 2 3" xfId="865"/>
    <cellStyle name="40% - Accent5 2 3 2" xfId="866"/>
    <cellStyle name="40% - Accent5 2 4" xfId="867"/>
    <cellStyle name="40% - Accent5 2 5" xfId="868"/>
    <cellStyle name="40% - Accent5 2_P-8A FRP Make Parts Detail Estimate 08,06,2012" xfId="869"/>
    <cellStyle name="40% - Accent5 3" xfId="870"/>
    <cellStyle name="40% - Accent5 3 2" xfId="871"/>
    <cellStyle name="40% - Accent5 3 2 2" xfId="872"/>
    <cellStyle name="40% - Accent5 3 2_P-8A FRP Make Parts Detail Estimate 08,06,2012" xfId="873"/>
    <cellStyle name="40% - Accent5 3 3" xfId="874"/>
    <cellStyle name="40% - Accent5 3 4" xfId="875"/>
    <cellStyle name="40% - Accent5 3_P-8A FRP Make Parts Detail Estimate 08,06,2012" xfId="876"/>
    <cellStyle name="40% - Accent5 4" xfId="877"/>
    <cellStyle name="40% - Accent5 4 2" xfId="878"/>
    <cellStyle name="40% - Accent5 4 2 2" xfId="879"/>
    <cellStyle name="40% - Accent5 4 3" xfId="880"/>
    <cellStyle name="40% - Accent5 5" xfId="881"/>
    <cellStyle name="40% - Accent5 5 2" xfId="882"/>
    <cellStyle name="40% - Accent5 5 2 2" xfId="883"/>
    <cellStyle name="40% - Accent5 5 3" xfId="884"/>
    <cellStyle name="40% - Accent5 6" xfId="885"/>
    <cellStyle name="40% - Accent5 6 2" xfId="886"/>
    <cellStyle name="40% - Accent5 6 2 2" xfId="887"/>
    <cellStyle name="40% - Accent5 6 3" xfId="888"/>
    <cellStyle name="40% - Accent5 7" xfId="889"/>
    <cellStyle name="40% - Accent5 7 2" xfId="890"/>
    <cellStyle name="40% - Accent5 8" xfId="891"/>
    <cellStyle name="40% - Accent5 8 2" xfId="892"/>
    <cellStyle name="40% - Accent5 8 3" xfId="893"/>
    <cellStyle name="40% - Accent5 9" xfId="894"/>
    <cellStyle name="40% - Accent5 9 2" xfId="895"/>
    <cellStyle name="40% - Accent6" xfId="48" builtinId="51" hidden="1"/>
    <cellStyle name="40% - Accent6 10" xfId="896"/>
    <cellStyle name="40% - Accent6 10 2" xfId="897"/>
    <cellStyle name="40% - Accent6 11" xfId="898"/>
    <cellStyle name="40% - Accent6 11 2" xfId="899"/>
    <cellStyle name="40% - Accent6 12" xfId="900"/>
    <cellStyle name="40% - Accent6 12 2" xfId="901"/>
    <cellStyle name="40% - Accent6 13" xfId="902"/>
    <cellStyle name="40% - Accent6 13 2" xfId="903"/>
    <cellStyle name="40% - Accent6 14" xfId="904"/>
    <cellStyle name="40% - Accent6 2" xfId="905"/>
    <cellStyle name="40% - Accent6 2 2" xfId="906"/>
    <cellStyle name="40% - Accent6 2 2 2" xfId="907"/>
    <cellStyle name="40% - Accent6 2 2 3" xfId="908"/>
    <cellStyle name="40% - Accent6 2 3" xfId="909"/>
    <cellStyle name="40% - Accent6 2 3 2" xfId="910"/>
    <cellStyle name="40% - Accent6 2 4" xfId="911"/>
    <cellStyle name="40% - Accent6 2 5" xfId="912"/>
    <cellStyle name="40% - Accent6 2_P-8A FRP Make Parts Detail Estimate 08,06,2012" xfId="913"/>
    <cellStyle name="40% - Accent6 3" xfId="914"/>
    <cellStyle name="40% - Accent6 3 2" xfId="915"/>
    <cellStyle name="40% - Accent6 3 2 2" xfId="916"/>
    <cellStyle name="40% - Accent6 3 2_P-8A FRP Make Parts Detail Estimate 08,06,2012" xfId="917"/>
    <cellStyle name="40% - Accent6 3 3" xfId="918"/>
    <cellStyle name="40% - Accent6 3 4" xfId="919"/>
    <cellStyle name="40% - Accent6 3_P-8A FRP Make Parts Detail Estimate 08,06,2012" xfId="920"/>
    <cellStyle name="40% - Accent6 4" xfId="921"/>
    <cellStyle name="40% - Accent6 4 2" xfId="922"/>
    <cellStyle name="40% - Accent6 4 2 2" xfId="923"/>
    <cellStyle name="40% - Accent6 4 3" xfId="924"/>
    <cellStyle name="40% - Accent6 5" xfId="925"/>
    <cellStyle name="40% - Accent6 5 2" xfId="926"/>
    <cellStyle name="40% - Accent6 5 2 2" xfId="927"/>
    <cellStyle name="40% - Accent6 5 3" xfId="928"/>
    <cellStyle name="40% - Accent6 6" xfId="929"/>
    <cellStyle name="40% - Accent6 6 2" xfId="930"/>
    <cellStyle name="40% - Accent6 6 2 2" xfId="931"/>
    <cellStyle name="40% - Accent6 6 3" xfId="932"/>
    <cellStyle name="40% - Accent6 7" xfId="933"/>
    <cellStyle name="40% - Accent6 7 2" xfId="934"/>
    <cellStyle name="40% - Accent6 8" xfId="935"/>
    <cellStyle name="40% - Accent6 8 2" xfId="936"/>
    <cellStyle name="40% - Accent6 8 3" xfId="937"/>
    <cellStyle name="40% - Accent6 9" xfId="938"/>
    <cellStyle name="40% - Accent6 9 2" xfId="939"/>
    <cellStyle name="4DRATES" xfId="940"/>
    <cellStyle name="60% - Accent1" xfId="29" builtinId="32" hidden="1"/>
    <cellStyle name="60% - Accent1 10" xfId="941"/>
    <cellStyle name="60% - Accent1 10 2" xfId="942"/>
    <cellStyle name="60% - Accent1 11" xfId="943"/>
    <cellStyle name="60% - Accent1 11 2" xfId="944"/>
    <cellStyle name="60% - Accent1 12" xfId="945"/>
    <cellStyle name="60% - Accent1 12 2" xfId="946"/>
    <cellStyle name="60% - Accent1 13" xfId="947"/>
    <cellStyle name="60% - Accent1 13 2" xfId="948"/>
    <cellStyle name="60% - Accent1 14" xfId="949"/>
    <cellStyle name="60% - Accent1 2" xfId="950"/>
    <cellStyle name="60% - Accent1 2 2" xfId="951"/>
    <cellStyle name="60% - Accent1 2 2 2" xfId="952"/>
    <cellStyle name="60% - Accent1 2 2 3" xfId="953"/>
    <cellStyle name="60% - Accent1 2 3" xfId="954"/>
    <cellStyle name="60% - Accent1 2 4" xfId="955"/>
    <cellStyle name="60% - Accent1 3" xfId="956"/>
    <cellStyle name="60% - Accent1 3 2" xfId="957"/>
    <cellStyle name="60% - Accent1 3 3" xfId="958"/>
    <cellStyle name="60% - Accent1 4" xfId="959"/>
    <cellStyle name="60% - Accent1 4 2" xfId="960"/>
    <cellStyle name="60% - Accent1 5" xfId="961"/>
    <cellStyle name="60% - Accent1 5 2" xfId="962"/>
    <cellStyle name="60% - Accent1 6" xfId="963"/>
    <cellStyle name="60% - Accent1 6 2" xfId="964"/>
    <cellStyle name="60% - Accent1 7" xfId="965"/>
    <cellStyle name="60% - Accent1 7 2" xfId="966"/>
    <cellStyle name="60% - Accent1 8" xfId="967"/>
    <cellStyle name="60% - Accent1 8 2" xfId="968"/>
    <cellStyle name="60% - Accent1 9" xfId="969"/>
    <cellStyle name="60% - Accent1 9 2" xfId="970"/>
    <cellStyle name="60% - Accent2" xfId="33" builtinId="36" hidden="1"/>
    <cellStyle name="60% - Accent2 10" xfId="971"/>
    <cellStyle name="60% - Accent2 10 2" xfId="972"/>
    <cellStyle name="60% - Accent2 11" xfId="973"/>
    <cellStyle name="60% - Accent2 11 2" xfId="974"/>
    <cellStyle name="60% - Accent2 12" xfId="975"/>
    <cellStyle name="60% - Accent2 12 2" xfId="976"/>
    <cellStyle name="60% - Accent2 13" xfId="977"/>
    <cellStyle name="60% - Accent2 13 2" xfId="978"/>
    <cellStyle name="60% - Accent2 14" xfId="979"/>
    <cellStyle name="60% - Accent2 2" xfId="980"/>
    <cellStyle name="60% - Accent2 2 2" xfId="981"/>
    <cellStyle name="60% - Accent2 2 2 2" xfId="982"/>
    <cellStyle name="60% - Accent2 2 2 3" xfId="983"/>
    <cellStyle name="60% - Accent2 2 3" xfId="984"/>
    <cellStyle name="60% - Accent2 2 4" xfId="985"/>
    <cellStyle name="60% - Accent2 3" xfId="986"/>
    <cellStyle name="60% - Accent2 3 2" xfId="987"/>
    <cellStyle name="60% - Accent2 3 3" xfId="988"/>
    <cellStyle name="60% - Accent2 4" xfId="989"/>
    <cellStyle name="60% - Accent2 4 2" xfId="990"/>
    <cellStyle name="60% - Accent2 5" xfId="991"/>
    <cellStyle name="60% - Accent2 5 2" xfId="992"/>
    <cellStyle name="60% - Accent2 6" xfId="993"/>
    <cellStyle name="60% - Accent2 6 2" xfId="994"/>
    <cellStyle name="60% - Accent2 7" xfId="995"/>
    <cellStyle name="60% - Accent2 7 2" xfId="996"/>
    <cellStyle name="60% - Accent2 8" xfId="997"/>
    <cellStyle name="60% - Accent2 8 2" xfId="998"/>
    <cellStyle name="60% - Accent2 9" xfId="999"/>
    <cellStyle name="60% - Accent2 9 2" xfId="1000"/>
    <cellStyle name="60% - Accent3" xfId="37" builtinId="40" hidden="1"/>
    <cellStyle name="60% - Accent3 10" xfId="1001"/>
    <cellStyle name="60% - Accent3 10 2" xfId="1002"/>
    <cellStyle name="60% - Accent3 11" xfId="1003"/>
    <cellStyle name="60% - Accent3 11 2" xfId="1004"/>
    <cellStyle name="60% - Accent3 12" xfId="1005"/>
    <cellStyle name="60% - Accent3 12 2" xfId="1006"/>
    <cellStyle name="60% - Accent3 13" xfId="1007"/>
    <cellStyle name="60% - Accent3 13 2" xfId="1008"/>
    <cellStyle name="60% - Accent3 14" xfId="1009"/>
    <cellStyle name="60% - Accent3 2" xfId="1010"/>
    <cellStyle name="60% - Accent3 2 2" xfId="1011"/>
    <cellStyle name="60% - Accent3 2 2 2" xfId="1012"/>
    <cellStyle name="60% - Accent3 2 2 3" xfId="1013"/>
    <cellStyle name="60% - Accent3 2 3" xfId="1014"/>
    <cellStyle name="60% - Accent3 2 4" xfId="1015"/>
    <cellStyle name="60% - Accent3 3" xfId="1016"/>
    <cellStyle name="60% - Accent3 3 2" xfId="1017"/>
    <cellStyle name="60% - Accent3 3 3" xfId="1018"/>
    <cellStyle name="60% - Accent3 4" xfId="1019"/>
    <cellStyle name="60% - Accent3 4 2" xfId="1020"/>
    <cellStyle name="60% - Accent3 5" xfId="1021"/>
    <cellStyle name="60% - Accent3 5 2" xfId="1022"/>
    <cellStyle name="60% - Accent3 6" xfId="1023"/>
    <cellStyle name="60% - Accent3 6 2" xfId="1024"/>
    <cellStyle name="60% - Accent3 7" xfId="1025"/>
    <cellStyle name="60% - Accent3 7 2" xfId="1026"/>
    <cellStyle name="60% - Accent3 8" xfId="1027"/>
    <cellStyle name="60% - Accent3 8 2" xfId="1028"/>
    <cellStyle name="60% - Accent3 9" xfId="1029"/>
    <cellStyle name="60% - Accent3 9 2" xfId="1030"/>
    <cellStyle name="60% - Accent4" xfId="41" builtinId="44" hidden="1"/>
    <cellStyle name="60% - Accent4 10" xfId="1031"/>
    <cellStyle name="60% - Accent4 10 2" xfId="1032"/>
    <cellStyle name="60% - Accent4 11" xfId="1033"/>
    <cellStyle name="60% - Accent4 11 2" xfId="1034"/>
    <cellStyle name="60% - Accent4 12" xfId="1035"/>
    <cellStyle name="60% - Accent4 12 2" xfId="1036"/>
    <cellStyle name="60% - Accent4 13" xfId="1037"/>
    <cellStyle name="60% - Accent4 13 2" xfId="1038"/>
    <cellStyle name="60% - Accent4 14" xfId="1039"/>
    <cellStyle name="60% - Accent4 2" xfId="1040"/>
    <cellStyle name="60% - Accent4 2 2" xfId="1041"/>
    <cellStyle name="60% - Accent4 2 2 2" xfId="1042"/>
    <cellStyle name="60% - Accent4 2 2 3" xfId="1043"/>
    <cellStyle name="60% - Accent4 2 3" xfId="1044"/>
    <cellStyle name="60% - Accent4 2 4" xfId="1045"/>
    <cellStyle name="60% - Accent4 3" xfId="1046"/>
    <cellStyle name="60% - Accent4 3 2" xfId="1047"/>
    <cellStyle name="60% - Accent4 3 3" xfId="1048"/>
    <cellStyle name="60% - Accent4 4" xfId="1049"/>
    <cellStyle name="60% - Accent4 4 2" xfId="1050"/>
    <cellStyle name="60% - Accent4 5" xfId="1051"/>
    <cellStyle name="60% - Accent4 5 2" xfId="1052"/>
    <cellStyle name="60% - Accent4 6" xfId="1053"/>
    <cellStyle name="60% - Accent4 6 2" xfId="1054"/>
    <cellStyle name="60% - Accent4 7" xfId="1055"/>
    <cellStyle name="60% - Accent4 7 2" xfId="1056"/>
    <cellStyle name="60% - Accent4 8" xfId="1057"/>
    <cellStyle name="60% - Accent4 8 2" xfId="1058"/>
    <cellStyle name="60% - Accent4 9" xfId="1059"/>
    <cellStyle name="60% - Accent4 9 2" xfId="1060"/>
    <cellStyle name="60% - Accent5" xfId="45" builtinId="48" hidden="1"/>
    <cellStyle name="60% - Accent5 10" xfId="1061"/>
    <cellStyle name="60% - Accent5 10 2" xfId="1062"/>
    <cellStyle name="60% - Accent5 11" xfId="1063"/>
    <cellStyle name="60% - Accent5 11 2" xfId="1064"/>
    <cellStyle name="60% - Accent5 12" xfId="1065"/>
    <cellStyle name="60% - Accent5 12 2" xfId="1066"/>
    <cellStyle name="60% - Accent5 13" xfId="1067"/>
    <cellStyle name="60% - Accent5 13 2" xfId="1068"/>
    <cellStyle name="60% - Accent5 14" xfId="1069"/>
    <cellStyle name="60% - Accent5 2" xfId="1070"/>
    <cellStyle name="60% - Accent5 2 2" xfId="1071"/>
    <cellStyle name="60% - Accent5 2 2 2" xfId="1072"/>
    <cellStyle name="60% - Accent5 2 2 3" xfId="1073"/>
    <cellStyle name="60% - Accent5 2 3" xfId="1074"/>
    <cellStyle name="60% - Accent5 2 4" xfId="1075"/>
    <cellStyle name="60% - Accent5 3" xfId="1076"/>
    <cellStyle name="60% - Accent5 3 2" xfId="1077"/>
    <cellStyle name="60% - Accent5 3 3" xfId="1078"/>
    <cellStyle name="60% - Accent5 4" xfId="1079"/>
    <cellStyle name="60% - Accent5 4 2" xfId="1080"/>
    <cellStyle name="60% - Accent5 5" xfId="1081"/>
    <cellStyle name="60% - Accent5 5 2" xfId="1082"/>
    <cellStyle name="60% - Accent5 6" xfId="1083"/>
    <cellStyle name="60% - Accent5 6 2" xfId="1084"/>
    <cellStyle name="60% - Accent5 7" xfId="1085"/>
    <cellStyle name="60% - Accent5 7 2" xfId="1086"/>
    <cellStyle name="60% - Accent5 8" xfId="1087"/>
    <cellStyle name="60% - Accent5 8 2" xfId="1088"/>
    <cellStyle name="60% - Accent5 9" xfId="1089"/>
    <cellStyle name="60% - Accent5 9 2" xfId="1090"/>
    <cellStyle name="60% - Accent6" xfId="49" builtinId="52" hidden="1"/>
    <cellStyle name="60% - Accent6 10" xfId="1091"/>
    <cellStyle name="60% - Accent6 10 2" xfId="1092"/>
    <cellStyle name="60% - Accent6 11" xfId="1093"/>
    <cellStyle name="60% - Accent6 11 2" xfId="1094"/>
    <cellStyle name="60% - Accent6 12" xfId="1095"/>
    <cellStyle name="60% - Accent6 12 2" xfId="1096"/>
    <cellStyle name="60% - Accent6 13" xfId="1097"/>
    <cellStyle name="60% - Accent6 13 2" xfId="1098"/>
    <cellStyle name="60% - Accent6 14" xfId="1099"/>
    <cellStyle name="60% - Accent6 2" xfId="1100"/>
    <cellStyle name="60% - Accent6 2 2" xfId="1101"/>
    <cellStyle name="60% - Accent6 2 2 2" xfId="1102"/>
    <cellStyle name="60% - Accent6 2 2 3" xfId="1103"/>
    <cellStyle name="60% - Accent6 2 3" xfId="1104"/>
    <cellStyle name="60% - Accent6 2 4" xfId="1105"/>
    <cellStyle name="60% - Accent6 3" xfId="1106"/>
    <cellStyle name="60% - Accent6 3 2" xfId="1107"/>
    <cellStyle name="60% - Accent6 3 3" xfId="1108"/>
    <cellStyle name="60% - Accent6 4" xfId="1109"/>
    <cellStyle name="60% - Accent6 4 2" xfId="1110"/>
    <cellStyle name="60% - Accent6 5" xfId="1111"/>
    <cellStyle name="60% - Accent6 5 2" xfId="1112"/>
    <cellStyle name="60% - Accent6 6" xfId="1113"/>
    <cellStyle name="60% - Accent6 6 2" xfId="1114"/>
    <cellStyle name="60% - Accent6 7" xfId="1115"/>
    <cellStyle name="60% - Accent6 7 2" xfId="1116"/>
    <cellStyle name="60% - Accent6 8" xfId="1117"/>
    <cellStyle name="60% - Accent6 8 2" xfId="1118"/>
    <cellStyle name="60% - Accent6 9" xfId="1119"/>
    <cellStyle name="60% - Accent6 9 2" xfId="1120"/>
    <cellStyle name="Accent1" xfId="26" builtinId="29" hidden="1"/>
    <cellStyle name="Accent1 - 20%" xfId="1121"/>
    <cellStyle name="Accent1 - 40%" xfId="1122"/>
    <cellStyle name="Accent1 - 60%" xfId="1123"/>
    <cellStyle name="Accent1 10" xfId="1124"/>
    <cellStyle name="Accent1 10 2" xfId="1125"/>
    <cellStyle name="Accent1 11" xfId="1126"/>
    <cellStyle name="Accent1 11 2" xfId="1127"/>
    <cellStyle name="Accent1 12" xfId="1128"/>
    <cellStyle name="Accent1 12 2" xfId="1129"/>
    <cellStyle name="Accent1 13" xfId="1130"/>
    <cellStyle name="Accent1 13 2" xfId="1131"/>
    <cellStyle name="Accent1 14" xfId="1132"/>
    <cellStyle name="Accent1 2" xfId="1133"/>
    <cellStyle name="Accent1 2 2" xfId="1134"/>
    <cellStyle name="Accent1 2 2 2" xfId="1135"/>
    <cellStyle name="Accent1 2 2 3" xfId="1136"/>
    <cellStyle name="Accent1 2 3" xfId="1137"/>
    <cellStyle name="Accent1 2 4" xfId="1138"/>
    <cellStyle name="Accent1 3" xfId="1139"/>
    <cellStyle name="Accent1 3 2" xfId="1140"/>
    <cellStyle name="Accent1 3 3" xfId="1141"/>
    <cellStyle name="Accent1 4" xfId="1142"/>
    <cellStyle name="Accent1 4 2" xfId="1143"/>
    <cellStyle name="Accent1 5" xfId="1144"/>
    <cellStyle name="Accent1 5 2" xfId="1145"/>
    <cellStyle name="Accent1 6" xfId="1146"/>
    <cellStyle name="Accent1 6 2" xfId="1147"/>
    <cellStyle name="Accent1 7" xfId="1148"/>
    <cellStyle name="Accent1 7 2" xfId="1149"/>
    <cellStyle name="Accent1 8" xfId="1150"/>
    <cellStyle name="Accent1 8 2" xfId="1151"/>
    <cellStyle name="Accent1 9" xfId="1152"/>
    <cellStyle name="Accent1 9 2" xfId="1153"/>
    <cellStyle name="Accent2" xfId="30" builtinId="33" hidden="1"/>
    <cellStyle name="Accent2 - 20%" xfId="1154"/>
    <cellStyle name="Accent2 - 40%" xfId="1155"/>
    <cellStyle name="Accent2 - 60%" xfId="1156"/>
    <cellStyle name="Accent2 10" xfId="1157"/>
    <cellStyle name="Accent2 10 2" xfId="1158"/>
    <cellStyle name="Accent2 11" xfId="1159"/>
    <cellStyle name="Accent2 11 2" xfId="1160"/>
    <cellStyle name="Accent2 12" xfId="1161"/>
    <cellStyle name="Accent2 12 2" xfId="1162"/>
    <cellStyle name="Accent2 13" xfId="1163"/>
    <cellStyle name="Accent2 13 2" xfId="1164"/>
    <cellStyle name="Accent2 14" xfId="1165"/>
    <cellStyle name="Accent2 2" xfId="1166"/>
    <cellStyle name="Accent2 2 2" xfId="1167"/>
    <cellStyle name="Accent2 2 2 2" xfId="1168"/>
    <cellStyle name="Accent2 2 2 3" xfId="1169"/>
    <cellStyle name="Accent2 2 3" xfId="1170"/>
    <cellStyle name="Accent2 2 4" xfId="1171"/>
    <cellStyle name="Accent2 3" xfId="1172"/>
    <cellStyle name="Accent2 3 2" xfId="1173"/>
    <cellStyle name="Accent2 3 3" xfId="1174"/>
    <cellStyle name="Accent2 4" xfId="1175"/>
    <cellStyle name="Accent2 4 2" xfId="1176"/>
    <cellStyle name="Accent2 5" xfId="1177"/>
    <cellStyle name="Accent2 5 2" xfId="1178"/>
    <cellStyle name="Accent2 6" xfId="1179"/>
    <cellStyle name="Accent2 6 2" xfId="1180"/>
    <cellStyle name="Accent2 7" xfId="1181"/>
    <cellStyle name="Accent2 7 2" xfId="1182"/>
    <cellStyle name="Accent2 8" xfId="1183"/>
    <cellStyle name="Accent2 8 2" xfId="1184"/>
    <cellStyle name="Accent2 9" xfId="1185"/>
    <cellStyle name="Accent2 9 2" xfId="1186"/>
    <cellStyle name="Accent3" xfId="34" builtinId="37" hidden="1"/>
    <cellStyle name="Accent3 - 20%" xfId="1187"/>
    <cellStyle name="Accent3 - 40%" xfId="1188"/>
    <cellStyle name="Accent3 - 60%" xfId="1189"/>
    <cellStyle name="Accent3 10" xfId="1190"/>
    <cellStyle name="Accent3 10 2" xfId="1191"/>
    <cellStyle name="Accent3 11" xfId="1192"/>
    <cellStyle name="Accent3 11 2" xfId="1193"/>
    <cellStyle name="Accent3 12" xfId="1194"/>
    <cellStyle name="Accent3 12 2" xfId="1195"/>
    <cellStyle name="Accent3 13" xfId="1196"/>
    <cellStyle name="Accent3 13 2" xfId="1197"/>
    <cellStyle name="Accent3 14" xfId="1198"/>
    <cellStyle name="Accent3 2" xfId="1199"/>
    <cellStyle name="Accent3 2 2" xfId="1200"/>
    <cellStyle name="Accent3 2 2 2" xfId="1201"/>
    <cellStyle name="Accent3 2 2 3" xfId="1202"/>
    <cellStyle name="Accent3 2 3" xfId="1203"/>
    <cellStyle name="Accent3 2 4" xfId="1204"/>
    <cellStyle name="Accent3 3" xfId="1205"/>
    <cellStyle name="Accent3 3 2" xfId="1206"/>
    <cellStyle name="Accent3 3 3" xfId="1207"/>
    <cellStyle name="Accent3 4" xfId="1208"/>
    <cellStyle name="Accent3 4 2" xfId="1209"/>
    <cellStyle name="Accent3 5" xfId="1210"/>
    <cellStyle name="Accent3 5 2" xfId="1211"/>
    <cellStyle name="Accent3 6" xfId="1212"/>
    <cellStyle name="Accent3 6 2" xfId="1213"/>
    <cellStyle name="Accent3 7" xfId="1214"/>
    <cellStyle name="Accent3 7 2" xfId="1215"/>
    <cellStyle name="Accent3 8" xfId="1216"/>
    <cellStyle name="Accent3 8 2" xfId="1217"/>
    <cellStyle name="Accent3 9" xfId="1218"/>
    <cellStyle name="Accent3 9 2" xfId="1219"/>
    <cellStyle name="Accent4" xfId="38" builtinId="41" hidden="1"/>
    <cellStyle name="Accent4 - 20%" xfId="1220"/>
    <cellStyle name="Accent4 - 40%" xfId="1221"/>
    <cellStyle name="Accent4 - 60%" xfId="1222"/>
    <cellStyle name="Accent4 10" xfId="1223"/>
    <cellStyle name="Accent4 10 2" xfId="1224"/>
    <cellStyle name="Accent4 11" xfId="1225"/>
    <cellStyle name="Accent4 11 2" xfId="1226"/>
    <cellStyle name="Accent4 12" xfId="1227"/>
    <cellStyle name="Accent4 12 2" xfId="1228"/>
    <cellStyle name="Accent4 13" xfId="1229"/>
    <cellStyle name="Accent4 13 2" xfId="1230"/>
    <cellStyle name="Accent4 14" xfId="1231"/>
    <cellStyle name="Accent4 2" xfId="1232"/>
    <cellStyle name="Accent4 2 2" xfId="1233"/>
    <cellStyle name="Accent4 2 2 2" xfId="1234"/>
    <cellStyle name="Accent4 2 2 3" xfId="1235"/>
    <cellStyle name="Accent4 2 3" xfId="1236"/>
    <cellStyle name="Accent4 2 4" xfId="1237"/>
    <cellStyle name="Accent4 3" xfId="1238"/>
    <cellStyle name="Accent4 3 2" xfId="1239"/>
    <cellStyle name="Accent4 3 3" xfId="1240"/>
    <cellStyle name="Accent4 4" xfId="1241"/>
    <cellStyle name="Accent4 4 2" xfId="1242"/>
    <cellStyle name="Accent4 5" xfId="1243"/>
    <cellStyle name="Accent4 5 2" xfId="1244"/>
    <cellStyle name="Accent4 6" xfId="1245"/>
    <cellStyle name="Accent4 6 2" xfId="1246"/>
    <cellStyle name="Accent4 7" xfId="1247"/>
    <cellStyle name="Accent4 7 2" xfId="1248"/>
    <cellStyle name="Accent4 8" xfId="1249"/>
    <cellStyle name="Accent4 8 2" xfId="1250"/>
    <cellStyle name="Accent4 9" xfId="1251"/>
    <cellStyle name="Accent4 9 2" xfId="1252"/>
    <cellStyle name="Accent5" xfId="42" builtinId="45" hidden="1"/>
    <cellStyle name="Accent5 - 20%" xfId="1253"/>
    <cellStyle name="Accent5 - 40%" xfId="1254"/>
    <cellStyle name="Accent5 - 60%" xfId="1255"/>
    <cellStyle name="Accent5 10" xfId="1256"/>
    <cellStyle name="Accent5 10 2" xfId="1257"/>
    <cellStyle name="Accent5 11" xfId="1258"/>
    <cellStyle name="Accent5 11 2" xfId="1259"/>
    <cellStyle name="Accent5 12" xfId="1260"/>
    <cellStyle name="Accent5 12 2" xfId="1261"/>
    <cellStyle name="Accent5 13" xfId="1262"/>
    <cellStyle name="Accent5 13 2" xfId="1263"/>
    <cellStyle name="Accent5 14" xfId="1264"/>
    <cellStyle name="Accent5 2" xfId="1265"/>
    <cellStyle name="Accent5 2 2" xfId="1266"/>
    <cellStyle name="Accent5 2 2 2" xfId="1267"/>
    <cellStyle name="Accent5 2 2 3" xfId="1268"/>
    <cellStyle name="Accent5 2 3" xfId="1269"/>
    <cellStyle name="Accent5 2 4" xfId="1270"/>
    <cellStyle name="Accent5 3" xfId="1271"/>
    <cellStyle name="Accent5 3 2" xfId="1272"/>
    <cellStyle name="Accent5 3 3" xfId="1273"/>
    <cellStyle name="Accent5 4" xfId="1274"/>
    <cellStyle name="Accent5 4 2" xfId="1275"/>
    <cellStyle name="Accent5 5" xfId="1276"/>
    <cellStyle name="Accent5 5 2" xfId="1277"/>
    <cellStyle name="Accent5 6" xfId="1278"/>
    <cellStyle name="Accent5 6 2" xfId="1279"/>
    <cellStyle name="Accent5 7" xfId="1280"/>
    <cellStyle name="Accent5 7 2" xfId="1281"/>
    <cellStyle name="Accent5 8" xfId="1282"/>
    <cellStyle name="Accent5 8 2" xfId="1283"/>
    <cellStyle name="Accent5 9" xfId="1284"/>
    <cellStyle name="Accent5 9 2" xfId="1285"/>
    <cellStyle name="Accent6" xfId="46" builtinId="49" hidden="1"/>
    <cellStyle name="Accent6 - 20%" xfId="1286"/>
    <cellStyle name="Accent6 - 40%" xfId="1287"/>
    <cellStyle name="Accent6 - 60%" xfId="1288"/>
    <cellStyle name="Accent6 10" xfId="1289"/>
    <cellStyle name="Accent6 10 2" xfId="1290"/>
    <cellStyle name="Accent6 11" xfId="1291"/>
    <cellStyle name="Accent6 11 2" xfId="1292"/>
    <cellStyle name="Accent6 12" xfId="1293"/>
    <cellStyle name="Accent6 12 2" xfId="1294"/>
    <cellStyle name="Accent6 13" xfId="1295"/>
    <cellStyle name="Accent6 13 2" xfId="1296"/>
    <cellStyle name="Accent6 14" xfId="1297"/>
    <cellStyle name="Accent6 2" xfId="1298"/>
    <cellStyle name="Accent6 2 2" xfId="1299"/>
    <cellStyle name="Accent6 2 2 2" xfId="1300"/>
    <cellStyle name="Accent6 2 2 3" xfId="1301"/>
    <cellStyle name="Accent6 2 3" xfId="1302"/>
    <cellStyle name="Accent6 2 4" xfId="1303"/>
    <cellStyle name="Accent6 3" xfId="1304"/>
    <cellStyle name="Accent6 3 2" xfId="1305"/>
    <cellStyle name="Accent6 3 3" xfId="1306"/>
    <cellStyle name="Accent6 4" xfId="1307"/>
    <cellStyle name="Accent6 4 2" xfId="1308"/>
    <cellStyle name="Accent6 5" xfId="1309"/>
    <cellStyle name="Accent6 5 2" xfId="1310"/>
    <cellStyle name="Accent6 6" xfId="1311"/>
    <cellStyle name="Accent6 6 2" xfId="1312"/>
    <cellStyle name="Accent6 7" xfId="1313"/>
    <cellStyle name="Accent6 7 2" xfId="1314"/>
    <cellStyle name="Accent6 8" xfId="1315"/>
    <cellStyle name="Accent6 8 2" xfId="1316"/>
    <cellStyle name="Accent6 9" xfId="1317"/>
    <cellStyle name="Accent6 9 2" xfId="1318"/>
    <cellStyle name="AlternatingRow" xfId="1319"/>
    <cellStyle name="B&amp;P" xfId="1320"/>
    <cellStyle name="Bad" xfId="15" builtinId="27" hidden="1"/>
    <cellStyle name="Bad 10" xfId="1321"/>
    <cellStyle name="Bad 10 2" xfId="1322"/>
    <cellStyle name="Bad 11" xfId="1323"/>
    <cellStyle name="Bad 11 2" xfId="1324"/>
    <cellStyle name="Bad 12" xfId="1325"/>
    <cellStyle name="Bad 12 2" xfId="1326"/>
    <cellStyle name="Bad 13" xfId="1327"/>
    <cellStyle name="Bad 13 2" xfId="1328"/>
    <cellStyle name="Bad 14" xfId="1329"/>
    <cellStyle name="Bad 2" xfId="1330"/>
    <cellStyle name="Bad 2 2" xfId="1331"/>
    <cellStyle name="Bad 2 2 2" xfId="1332"/>
    <cellStyle name="Bad 2 2 3" xfId="1333"/>
    <cellStyle name="Bad 2 3" xfId="1334"/>
    <cellStyle name="Bad 2 4" xfId="1335"/>
    <cellStyle name="Bad 3" xfId="1336"/>
    <cellStyle name="Bad 3 2" xfId="1337"/>
    <cellStyle name="Bad 3 3" xfId="1338"/>
    <cellStyle name="Bad 4" xfId="1339"/>
    <cellStyle name="Bad 4 2" xfId="1340"/>
    <cellStyle name="Bad 5" xfId="1341"/>
    <cellStyle name="Bad 5 2" xfId="1342"/>
    <cellStyle name="Bad 6" xfId="1343"/>
    <cellStyle name="Bad 6 2" xfId="1344"/>
    <cellStyle name="Bad 7" xfId="1345"/>
    <cellStyle name="Bad 7 2" xfId="1346"/>
    <cellStyle name="Bad 8" xfId="1347"/>
    <cellStyle name="Bad 8 2" xfId="1348"/>
    <cellStyle name="Bad 9" xfId="1349"/>
    <cellStyle name="Bad 9 2" xfId="1350"/>
    <cellStyle name="Body" xfId="1351"/>
    <cellStyle name="Calc Currency (0)" xfId="1352"/>
    <cellStyle name="Calc Currency (2)" xfId="1353"/>
    <cellStyle name="Calc Percent (0)" xfId="1354"/>
    <cellStyle name="Calc Percent (1)" xfId="1355"/>
    <cellStyle name="Calc Percent (2)" xfId="1356"/>
    <cellStyle name="Calc Units (0)" xfId="1357"/>
    <cellStyle name="Calc Units (1)" xfId="1358"/>
    <cellStyle name="Calc Units (2)" xfId="1359"/>
    <cellStyle name="Calculation" xfId="19" builtinId="22" hidden="1"/>
    <cellStyle name="Calculation 10" xfId="1360"/>
    <cellStyle name="Calculation 10 2" xfId="1361"/>
    <cellStyle name="Calculation 10 2 2" xfId="1362"/>
    <cellStyle name="Calculation 10 2 2 2" xfId="1363"/>
    <cellStyle name="Calculation 10 2 2 2 2" xfId="1364"/>
    <cellStyle name="Calculation 10 2 2 2 2 2" xfId="1365"/>
    <cellStyle name="Calculation 10 2 2 2 2 3" xfId="1366"/>
    <cellStyle name="Calculation 10 2 2 2 2 4" xfId="1367"/>
    <cellStyle name="Calculation 10 2 2 2 2 5" xfId="1368"/>
    <cellStyle name="Calculation 10 2 2 2 2 6" xfId="1369"/>
    <cellStyle name="Calculation 10 2 2 2 2 7" xfId="1370"/>
    <cellStyle name="Calculation 10 2 2 2 2 8" xfId="1371"/>
    <cellStyle name="Calculation 10 2 2 2 3" xfId="1372"/>
    <cellStyle name="Calculation 10 2 2 2 3 2" xfId="1373"/>
    <cellStyle name="Calculation 10 2 2 2 3 3" xfId="1374"/>
    <cellStyle name="Calculation 10 2 2 2 3 4" xfId="1375"/>
    <cellStyle name="Calculation 10 2 2 2 3 5" xfId="1376"/>
    <cellStyle name="Calculation 10 2 2 2 3 6" xfId="1377"/>
    <cellStyle name="Calculation 10 2 2 2 3 7" xfId="1378"/>
    <cellStyle name="Calculation 10 2 2 2 3 8" xfId="1379"/>
    <cellStyle name="Calculation 10 2 2 2 4" xfId="1380"/>
    <cellStyle name="Calculation 10 2 2 2 4 2" xfId="1381"/>
    <cellStyle name="Calculation 10 2 2 2 4 3" xfId="1382"/>
    <cellStyle name="Calculation 10 2 2 2 4 4" xfId="1383"/>
    <cellStyle name="Calculation 10 2 2 2 4 5" xfId="1384"/>
    <cellStyle name="Calculation 10 2 2 2 4 6" xfId="1385"/>
    <cellStyle name="Calculation 10 2 2 2 4 7" xfId="1386"/>
    <cellStyle name="Calculation 10 2 2 2 4 8" xfId="1387"/>
    <cellStyle name="Calculation 10 2 2 2 5" xfId="1388"/>
    <cellStyle name="Calculation 10 2 2 3" xfId="1389"/>
    <cellStyle name="Calculation 10 2 2 3 2" xfId="1390"/>
    <cellStyle name="Calculation 10 2 2 3 2 2" xfId="1391"/>
    <cellStyle name="Calculation 10 2 2 3 2 3" xfId="1392"/>
    <cellStyle name="Calculation 10 2 2 3 2 4" xfId="1393"/>
    <cellStyle name="Calculation 10 2 2 3 2 5" xfId="1394"/>
    <cellStyle name="Calculation 10 2 2 3 2 6" xfId="1395"/>
    <cellStyle name="Calculation 10 2 2 3 2 7" xfId="1396"/>
    <cellStyle name="Calculation 10 2 2 3 2 8" xfId="1397"/>
    <cellStyle name="Calculation 10 2 2 3 3" xfId="1398"/>
    <cellStyle name="Calculation 10 2 2 3 3 2" xfId="1399"/>
    <cellStyle name="Calculation 10 2 2 3 3 3" xfId="1400"/>
    <cellStyle name="Calculation 10 2 2 3 3 4" xfId="1401"/>
    <cellStyle name="Calculation 10 2 2 3 3 5" xfId="1402"/>
    <cellStyle name="Calculation 10 2 2 3 3 6" xfId="1403"/>
    <cellStyle name="Calculation 10 2 2 3 3 7" xfId="1404"/>
    <cellStyle name="Calculation 10 2 2 3 3 8" xfId="1405"/>
    <cellStyle name="Calculation 10 2 2 3 4" xfId="1406"/>
    <cellStyle name="Calculation 10 2 2 3 4 2" xfId="1407"/>
    <cellStyle name="Calculation 10 2 2 3 4 3" xfId="1408"/>
    <cellStyle name="Calculation 10 2 2 3 4 4" xfId="1409"/>
    <cellStyle name="Calculation 10 2 2 3 4 5" xfId="1410"/>
    <cellStyle name="Calculation 10 2 2 3 4 6" xfId="1411"/>
    <cellStyle name="Calculation 10 2 2 3 4 7" xfId="1412"/>
    <cellStyle name="Calculation 10 2 2 3 4 8" xfId="1413"/>
    <cellStyle name="Calculation 10 2 2 3 5" xfId="1414"/>
    <cellStyle name="Calculation 10 2 2 4" xfId="1415"/>
    <cellStyle name="Calculation 10 2 2 4 2" xfId="1416"/>
    <cellStyle name="Calculation 10 2 2 4 2 2" xfId="1417"/>
    <cellStyle name="Calculation 10 2 2 4 2 3" xfId="1418"/>
    <cellStyle name="Calculation 10 2 2 4 2 4" xfId="1419"/>
    <cellStyle name="Calculation 10 2 2 4 2 5" xfId="1420"/>
    <cellStyle name="Calculation 10 2 2 4 2 6" xfId="1421"/>
    <cellStyle name="Calculation 10 2 2 4 2 7" xfId="1422"/>
    <cellStyle name="Calculation 10 2 2 4 2 8" xfId="1423"/>
    <cellStyle name="Calculation 10 2 2 4 3" xfId="1424"/>
    <cellStyle name="Calculation 10 2 2 4 3 2" xfId="1425"/>
    <cellStyle name="Calculation 10 2 2 4 3 3" xfId="1426"/>
    <cellStyle name="Calculation 10 2 2 4 3 4" xfId="1427"/>
    <cellStyle name="Calculation 10 2 2 4 3 5" xfId="1428"/>
    <cellStyle name="Calculation 10 2 2 4 3 6" xfId="1429"/>
    <cellStyle name="Calculation 10 2 2 4 3 7" xfId="1430"/>
    <cellStyle name="Calculation 10 2 2 4 3 8" xfId="1431"/>
    <cellStyle name="Calculation 10 2 2 4 4" xfId="1432"/>
    <cellStyle name="Calculation 10 2 2 4 4 2" xfId="1433"/>
    <cellStyle name="Calculation 10 2 2 4 4 3" xfId="1434"/>
    <cellStyle name="Calculation 10 2 2 4 4 4" xfId="1435"/>
    <cellStyle name="Calculation 10 2 2 4 4 5" xfId="1436"/>
    <cellStyle name="Calculation 10 2 2 4 4 6" xfId="1437"/>
    <cellStyle name="Calculation 10 2 2 4 4 7" xfId="1438"/>
    <cellStyle name="Calculation 10 2 2 4 4 8" xfId="1439"/>
    <cellStyle name="Calculation 10 2 2 5" xfId="1440"/>
    <cellStyle name="Calculation 10 2 2 5 2" xfId="1441"/>
    <cellStyle name="Calculation 10 2 2 5 3" xfId="1442"/>
    <cellStyle name="Calculation 10 2 2 5 4" xfId="1443"/>
    <cellStyle name="Calculation 10 2 2 5 5" xfId="1444"/>
    <cellStyle name="Calculation 10 2 2 5 6" xfId="1445"/>
    <cellStyle name="Calculation 10 2 2 5 7" xfId="1446"/>
    <cellStyle name="Calculation 10 2 2 5 8" xfId="1447"/>
    <cellStyle name="Calculation 10 2 2 6" xfId="1448"/>
    <cellStyle name="Calculation 10 2 2 6 2" xfId="1449"/>
    <cellStyle name="Calculation 10 2 2 6 3" xfId="1450"/>
    <cellStyle name="Calculation 10 2 2 6 4" xfId="1451"/>
    <cellStyle name="Calculation 10 2 2 6 5" xfId="1452"/>
    <cellStyle name="Calculation 10 2 2 6 6" xfId="1453"/>
    <cellStyle name="Calculation 10 2 2 6 7" xfId="1454"/>
    <cellStyle name="Calculation 10 2 2 6 8" xfId="1455"/>
    <cellStyle name="Calculation 10 2 2 7" xfId="1456"/>
    <cellStyle name="Calculation 10 2 2 7 2" xfId="1457"/>
    <cellStyle name="Calculation 10 2 2 7 3" xfId="1458"/>
    <cellStyle name="Calculation 10 2 2 7 4" xfId="1459"/>
    <cellStyle name="Calculation 10 2 2 7 5" xfId="1460"/>
    <cellStyle name="Calculation 10 2 2 7 6" xfId="1461"/>
    <cellStyle name="Calculation 10 2 2 7 7" xfId="1462"/>
    <cellStyle name="Calculation 10 2 2 7 8" xfId="1463"/>
    <cellStyle name="Calculation 10 2 3" xfId="1464"/>
    <cellStyle name="Calculation 10 2 3 2" xfId="1465"/>
    <cellStyle name="Calculation 10 2 3 2 2" xfId="1466"/>
    <cellStyle name="Calculation 10 2 3 2 2 2" xfId="1467"/>
    <cellStyle name="Calculation 10 2 3 2 2 3" xfId="1468"/>
    <cellStyle name="Calculation 10 2 3 2 2 4" xfId="1469"/>
    <cellStyle name="Calculation 10 2 3 2 2 5" xfId="1470"/>
    <cellStyle name="Calculation 10 2 3 2 2 6" xfId="1471"/>
    <cellStyle name="Calculation 10 2 3 2 2 7" xfId="1472"/>
    <cellStyle name="Calculation 10 2 3 2 2 8" xfId="1473"/>
    <cellStyle name="Calculation 10 2 3 2 3" xfId="1474"/>
    <cellStyle name="Calculation 10 2 3 2 3 2" xfId="1475"/>
    <cellStyle name="Calculation 10 2 3 2 3 3" xfId="1476"/>
    <cellStyle name="Calculation 10 2 3 2 3 4" xfId="1477"/>
    <cellStyle name="Calculation 10 2 3 2 3 5" xfId="1478"/>
    <cellStyle name="Calculation 10 2 3 2 3 6" xfId="1479"/>
    <cellStyle name="Calculation 10 2 3 2 3 7" xfId="1480"/>
    <cellStyle name="Calculation 10 2 3 2 3 8" xfId="1481"/>
    <cellStyle name="Calculation 10 2 3 2 4" xfId="1482"/>
    <cellStyle name="Calculation 10 2 3 2 4 2" xfId="1483"/>
    <cellStyle name="Calculation 10 2 3 2 4 3" xfId="1484"/>
    <cellStyle name="Calculation 10 2 3 2 4 4" xfId="1485"/>
    <cellStyle name="Calculation 10 2 3 2 4 5" xfId="1486"/>
    <cellStyle name="Calculation 10 2 3 2 4 6" xfId="1487"/>
    <cellStyle name="Calculation 10 2 3 2 4 7" xfId="1488"/>
    <cellStyle name="Calculation 10 2 3 2 4 8" xfId="1489"/>
    <cellStyle name="Calculation 10 2 3 2 5" xfId="1490"/>
    <cellStyle name="Calculation 10 2 3 3" xfId="1491"/>
    <cellStyle name="Calculation 10 2 3 3 2" xfId="1492"/>
    <cellStyle name="Calculation 10 2 3 3 3" xfId="1493"/>
    <cellStyle name="Calculation 10 2 3 3 4" xfId="1494"/>
    <cellStyle name="Calculation 10 2 3 3 5" xfId="1495"/>
    <cellStyle name="Calculation 10 2 3 3 6" xfId="1496"/>
    <cellStyle name="Calculation 10 2 3 3 7" xfId="1497"/>
    <cellStyle name="Calculation 10 2 3 3 8" xfId="1498"/>
    <cellStyle name="Calculation 10 2 3 4" xfId="1499"/>
    <cellStyle name="Calculation 10 2 3 4 2" xfId="1500"/>
    <cellStyle name="Calculation 10 2 3 4 3" xfId="1501"/>
    <cellStyle name="Calculation 10 2 3 4 4" xfId="1502"/>
    <cellStyle name="Calculation 10 2 3 4 5" xfId="1503"/>
    <cellStyle name="Calculation 10 2 3 4 6" xfId="1504"/>
    <cellStyle name="Calculation 10 2 3 4 7" xfId="1505"/>
    <cellStyle name="Calculation 10 2 3 4 8" xfId="1506"/>
    <cellStyle name="Calculation 10 2 3 5" xfId="1507"/>
    <cellStyle name="Calculation 10 2 3 5 2" xfId="1508"/>
    <cellStyle name="Calculation 10 2 3 5 3" xfId="1509"/>
    <cellStyle name="Calculation 10 2 3 5 4" xfId="1510"/>
    <cellStyle name="Calculation 10 2 3 5 5" xfId="1511"/>
    <cellStyle name="Calculation 10 2 3 5 6" xfId="1512"/>
    <cellStyle name="Calculation 10 2 3 5 7" xfId="1513"/>
    <cellStyle name="Calculation 10 2 3 5 8" xfId="1514"/>
    <cellStyle name="Calculation 10 2 3 6" xfId="1515"/>
    <cellStyle name="Calculation 10 2 4" xfId="1516"/>
    <cellStyle name="Calculation 10 2 4 2" xfId="1517"/>
    <cellStyle name="Calculation 10 2 4 3" xfId="1518"/>
    <cellStyle name="Calculation 10 2 4 4" xfId="1519"/>
    <cellStyle name="Calculation 10 2 4 5" xfId="1520"/>
    <cellStyle name="Calculation 10 2 4 6" xfId="1521"/>
    <cellStyle name="Calculation 10 2 4 7" xfId="1522"/>
    <cellStyle name="Calculation 10 2 4 8" xfId="1523"/>
    <cellStyle name="Calculation 10 2 5" xfId="1524"/>
    <cellStyle name="Calculation 10 2 5 2" xfId="1525"/>
    <cellStyle name="Calculation 10 2 5 3" xfId="1526"/>
    <cellStyle name="Calculation 10 2 5 4" xfId="1527"/>
    <cellStyle name="Calculation 10 2 5 5" xfId="1528"/>
    <cellStyle name="Calculation 10 2 5 6" xfId="1529"/>
    <cellStyle name="Calculation 10 2 5 7" xfId="1530"/>
    <cellStyle name="Calculation 10 2 5 8" xfId="1531"/>
    <cellStyle name="Calculation 10 2 6" xfId="1532"/>
    <cellStyle name="Calculation 10 2 6 2" xfId="1533"/>
    <cellStyle name="Calculation 10 2 6 3" xfId="1534"/>
    <cellStyle name="Calculation 10 2 6 4" xfId="1535"/>
    <cellStyle name="Calculation 10 2 6 5" xfId="1536"/>
    <cellStyle name="Calculation 10 2 6 6" xfId="1537"/>
    <cellStyle name="Calculation 10 2 6 7" xfId="1538"/>
    <cellStyle name="Calculation 10 2 6 8" xfId="1539"/>
    <cellStyle name="Calculation 10 3" xfId="1540"/>
    <cellStyle name="Calculation 10 3 2" xfId="1541"/>
    <cellStyle name="Calculation 10 3 2 2" xfId="1542"/>
    <cellStyle name="Calculation 10 3 2 2 2" xfId="1543"/>
    <cellStyle name="Calculation 10 3 2 2 3" xfId="1544"/>
    <cellStyle name="Calculation 10 3 2 2 4" xfId="1545"/>
    <cellStyle name="Calculation 10 3 2 2 5" xfId="1546"/>
    <cellStyle name="Calculation 10 3 2 2 6" xfId="1547"/>
    <cellStyle name="Calculation 10 3 2 2 7" xfId="1548"/>
    <cellStyle name="Calculation 10 3 2 2 8" xfId="1549"/>
    <cellStyle name="Calculation 10 3 2 3" xfId="1550"/>
    <cellStyle name="Calculation 10 3 2 3 2" xfId="1551"/>
    <cellStyle name="Calculation 10 3 2 3 3" xfId="1552"/>
    <cellStyle name="Calculation 10 3 2 3 4" xfId="1553"/>
    <cellStyle name="Calculation 10 3 2 3 5" xfId="1554"/>
    <cellStyle name="Calculation 10 3 2 3 6" xfId="1555"/>
    <cellStyle name="Calculation 10 3 2 3 7" xfId="1556"/>
    <cellStyle name="Calculation 10 3 2 3 8" xfId="1557"/>
    <cellStyle name="Calculation 10 3 2 4" xfId="1558"/>
    <cellStyle name="Calculation 10 3 2 4 2" xfId="1559"/>
    <cellStyle name="Calculation 10 3 2 4 3" xfId="1560"/>
    <cellStyle name="Calculation 10 3 2 4 4" xfId="1561"/>
    <cellStyle name="Calculation 10 3 2 4 5" xfId="1562"/>
    <cellStyle name="Calculation 10 3 2 4 6" xfId="1563"/>
    <cellStyle name="Calculation 10 3 2 4 7" xfId="1564"/>
    <cellStyle name="Calculation 10 3 2 4 8" xfId="1565"/>
    <cellStyle name="Calculation 10 3 2 5" xfId="1566"/>
    <cellStyle name="Calculation 10 3 3" xfId="1567"/>
    <cellStyle name="Calculation 10 3 3 2" xfId="1568"/>
    <cellStyle name="Calculation 10 3 3 2 2" xfId="1569"/>
    <cellStyle name="Calculation 10 3 3 2 3" xfId="1570"/>
    <cellStyle name="Calculation 10 3 3 2 4" xfId="1571"/>
    <cellStyle name="Calculation 10 3 3 2 5" xfId="1572"/>
    <cellStyle name="Calculation 10 3 3 2 6" xfId="1573"/>
    <cellStyle name="Calculation 10 3 3 2 7" xfId="1574"/>
    <cellStyle name="Calculation 10 3 3 2 8" xfId="1575"/>
    <cellStyle name="Calculation 10 3 3 3" xfId="1576"/>
    <cellStyle name="Calculation 10 3 3 3 2" xfId="1577"/>
    <cellStyle name="Calculation 10 3 3 3 3" xfId="1578"/>
    <cellStyle name="Calculation 10 3 3 3 4" xfId="1579"/>
    <cellStyle name="Calculation 10 3 3 3 5" xfId="1580"/>
    <cellStyle name="Calculation 10 3 3 3 6" xfId="1581"/>
    <cellStyle name="Calculation 10 3 3 3 7" xfId="1582"/>
    <cellStyle name="Calculation 10 3 3 3 8" xfId="1583"/>
    <cellStyle name="Calculation 10 3 3 4" xfId="1584"/>
    <cellStyle name="Calculation 10 3 3 4 2" xfId="1585"/>
    <cellStyle name="Calculation 10 3 3 4 3" xfId="1586"/>
    <cellStyle name="Calculation 10 3 3 4 4" xfId="1587"/>
    <cellStyle name="Calculation 10 3 3 4 5" xfId="1588"/>
    <cellStyle name="Calculation 10 3 3 4 6" xfId="1589"/>
    <cellStyle name="Calculation 10 3 3 4 7" xfId="1590"/>
    <cellStyle name="Calculation 10 3 3 4 8" xfId="1591"/>
    <cellStyle name="Calculation 10 3 3 5" xfId="1592"/>
    <cellStyle name="Calculation 10 3 4" xfId="1593"/>
    <cellStyle name="Calculation 10 3 4 2" xfId="1594"/>
    <cellStyle name="Calculation 10 3 4 2 2" xfId="1595"/>
    <cellStyle name="Calculation 10 3 4 2 3" xfId="1596"/>
    <cellStyle name="Calculation 10 3 4 2 4" xfId="1597"/>
    <cellStyle name="Calculation 10 3 4 2 5" xfId="1598"/>
    <cellStyle name="Calculation 10 3 4 2 6" xfId="1599"/>
    <cellStyle name="Calculation 10 3 4 2 7" xfId="1600"/>
    <cellStyle name="Calculation 10 3 4 2 8" xfId="1601"/>
    <cellStyle name="Calculation 10 3 4 3" xfId="1602"/>
    <cellStyle name="Calculation 10 3 4 3 2" xfId="1603"/>
    <cellStyle name="Calculation 10 3 4 3 3" xfId="1604"/>
    <cellStyle name="Calculation 10 3 4 3 4" xfId="1605"/>
    <cellStyle name="Calculation 10 3 4 3 5" xfId="1606"/>
    <cellStyle name="Calculation 10 3 4 3 6" xfId="1607"/>
    <cellStyle name="Calculation 10 3 4 3 7" xfId="1608"/>
    <cellStyle name="Calculation 10 3 4 3 8" xfId="1609"/>
    <cellStyle name="Calculation 10 3 4 4" xfId="1610"/>
    <cellStyle name="Calculation 10 3 4 4 2" xfId="1611"/>
    <cellStyle name="Calculation 10 3 4 4 3" xfId="1612"/>
    <cellStyle name="Calculation 10 3 4 4 4" xfId="1613"/>
    <cellStyle name="Calculation 10 3 4 4 5" xfId="1614"/>
    <cellStyle name="Calculation 10 3 4 4 6" xfId="1615"/>
    <cellStyle name="Calculation 10 3 4 4 7" xfId="1616"/>
    <cellStyle name="Calculation 10 3 4 4 8" xfId="1617"/>
    <cellStyle name="Calculation 10 3 5" xfId="1618"/>
    <cellStyle name="Calculation 10 3 5 2" xfId="1619"/>
    <cellStyle name="Calculation 10 3 5 3" xfId="1620"/>
    <cellStyle name="Calculation 10 3 5 4" xfId="1621"/>
    <cellStyle name="Calculation 10 3 5 5" xfId="1622"/>
    <cellStyle name="Calculation 10 3 5 6" xfId="1623"/>
    <cellStyle name="Calculation 10 3 5 7" xfId="1624"/>
    <cellStyle name="Calculation 10 3 5 8" xfId="1625"/>
    <cellStyle name="Calculation 10 3 6" xfId="1626"/>
    <cellStyle name="Calculation 10 3 6 2" xfId="1627"/>
    <cellStyle name="Calculation 10 3 6 3" xfId="1628"/>
    <cellStyle name="Calculation 10 3 6 4" xfId="1629"/>
    <cellStyle name="Calculation 10 3 6 5" xfId="1630"/>
    <cellStyle name="Calculation 10 3 6 6" xfId="1631"/>
    <cellStyle name="Calculation 10 3 6 7" xfId="1632"/>
    <cellStyle name="Calculation 10 3 6 8" xfId="1633"/>
    <cellStyle name="Calculation 10 3 7" xfId="1634"/>
    <cellStyle name="Calculation 10 3 7 2" xfId="1635"/>
    <cellStyle name="Calculation 10 3 7 3" xfId="1636"/>
    <cellStyle name="Calculation 10 3 7 4" xfId="1637"/>
    <cellStyle name="Calculation 10 3 7 5" xfId="1638"/>
    <cellStyle name="Calculation 10 3 7 6" xfId="1639"/>
    <cellStyle name="Calculation 10 3 7 7" xfId="1640"/>
    <cellStyle name="Calculation 10 3 7 8" xfId="1641"/>
    <cellStyle name="Calculation 10 4" xfId="1642"/>
    <cellStyle name="Calculation 10 4 2" xfId="1643"/>
    <cellStyle name="Calculation 10 4 2 2" xfId="1644"/>
    <cellStyle name="Calculation 10 4 2 2 2" xfId="1645"/>
    <cellStyle name="Calculation 10 4 2 2 3" xfId="1646"/>
    <cellStyle name="Calculation 10 4 2 2 4" xfId="1647"/>
    <cellStyle name="Calculation 10 4 2 2 5" xfId="1648"/>
    <cellStyle name="Calculation 10 4 2 2 6" xfId="1649"/>
    <cellStyle name="Calculation 10 4 2 2 7" xfId="1650"/>
    <cellStyle name="Calculation 10 4 2 2 8" xfId="1651"/>
    <cellStyle name="Calculation 10 4 2 3" xfId="1652"/>
    <cellStyle name="Calculation 10 4 2 3 2" xfId="1653"/>
    <cellStyle name="Calculation 10 4 2 3 3" xfId="1654"/>
    <cellStyle name="Calculation 10 4 2 3 4" xfId="1655"/>
    <cellStyle name="Calculation 10 4 2 3 5" xfId="1656"/>
    <cellStyle name="Calculation 10 4 2 3 6" xfId="1657"/>
    <cellStyle name="Calculation 10 4 2 3 7" xfId="1658"/>
    <cellStyle name="Calculation 10 4 2 3 8" xfId="1659"/>
    <cellStyle name="Calculation 10 4 2 4" xfId="1660"/>
    <cellStyle name="Calculation 10 4 2 4 2" xfId="1661"/>
    <cellStyle name="Calculation 10 4 2 4 3" xfId="1662"/>
    <cellStyle name="Calculation 10 4 2 4 4" xfId="1663"/>
    <cellStyle name="Calculation 10 4 2 4 5" xfId="1664"/>
    <cellStyle name="Calculation 10 4 2 4 6" xfId="1665"/>
    <cellStyle name="Calculation 10 4 2 4 7" xfId="1666"/>
    <cellStyle name="Calculation 10 4 2 4 8" xfId="1667"/>
    <cellStyle name="Calculation 10 4 2 5" xfId="1668"/>
    <cellStyle name="Calculation 10 4 3" xfId="1669"/>
    <cellStyle name="Calculation 10 4 3 2" xfId="1670"/>
    <cellStyle name="Calculation 10 4 3 3" xfId="1671"/>
    <cellStyle name="Calculation 10 4 3 4" xfId="1672"/>
    <cellStyle name="Calculation 10 4 3 5" xfId="1673"/>
    <cellStyle name="Calculation 10 4 3 6" xfId="1674"/>
    <cellStyle name="Calculation 10 4 3 7" xfId="1675"/>
    <cellStyle name="Calculation 10 4 3 8" xfId="1676"/>
    <cellStyle name="Calculation 10 4 4" xfId="1677"/>
    <cellStyle name="Calculation 10 4 4 2" xfId="1678"/>
    <cellStyle name="Calculation 10 4 4 3" xfId="1679"/>
    <cellStyle name="Calculation 10 4 4 4" xfId="1680"/>
    <cellStyle name="Calculation 10 4 4 5" xfId="1681"/>
    <cellStyle name="Calculation 10 4 4 6" xfId="1682"/>
    <cellStyle name="Calculation 10 4 4 7" xfId="1683"/>
    <cellStyle name="Calculation 10 4 4 8" xfId="1684"/>
    <cellStyle name="Calculation 10 4 5" xfId="1685"/>
    <cellStyle name="Calculation 10 4 5 2" xfId="1686"/>
    <cellStyle name="Calculation 10 4 5 3" xfId="1687"/>
    <cellStyle name="Calculation 10 4 5 4" xfId="1688"/>
    <cellStyle name="Calculation 10 4 5 5" xfId="1689"/>
    <cellStyle name="Calculation 10 4 5 6" xfId="1690"/>
    <cellStyle name="Calculation 10 4 5 7" xfId="1691"/>
    <cellStyle name="Calculation 10 4 5 8" xfId="1692"/>
    <cellStyle name="Calculation 10 4 6" xfId="1693"/>
    <cellStyle name="Calculation 10 5" xfId="1694"/>
    <cellStyle name="Calculation 10 5 2" xfId="1695"/>
    <cellStyle name="Calculation 10 5 3" xfId="1696"/>
    <cellStyle name="Calculation 10 5 4" xfId="1697"/>
    <cellStyle name="Calculation 10 5 5" xfId="1698"/>
    <cellStyle name="Calculation 10 5 6" xfId="1699"/>
    <cellStyle name="Calculation 10 5 7" xfId="1700"/>
    <cellStyle name="Calculation 10 5 8" xfId="1701"/>
    <cellStyle name="Calculation 10 6" xfId="1702"/>
    <cellStyle name="Calculation 10 6 2" xfId="1703"/>
    <cellStyle name="Calculation 10 6 3" xfId="1704"/>
    <cellStyle name="Calculation 10 6 4" xfId="1705"/>
    <cellStyle name="Calculation 10 6 5" xfId="1706"/>
    <cellStyle name="Calculation 10 6 6" xfId="1707"/>
    <cellStyle name="Calculation 10 6 7" xfId="1708"/>
    <cellStyle name="Calculation 10 6 8" xfId="1709"/>
    <cellStyle name="Calculation 10 7" xfId="1710"/>
    <cellStyle name="Calculation 10 7 2" xfId="1711"/>
    <cellStyle name="Calculation 10 7 3" xfId="1712"/>
    <cellStyle name="Calculation 10 7 4" xfId="1713"/>
    <cellStyle name="Calculation 10 7 5" xfId="1714"/>
    <cellStyle name="Calculation 10 7 6" xfId="1715"/>
    <cellStyle name="Calculation 10 7 7" xfId="1716"/>
    <cellStyle name="Calculation 10 7 8" xfId="1717"/>
    <cellStyle name="Calculation 11" xfId="1718"/>
    <cellStyle name="Calculation 11 2" xfId="1719"/>
    <cellStyle name="Calculation 11 2 2" xfId="1720"/>
    <cellStyle name="Calculation 11 2 2 2" xfId="1721"/>
    <cellStyle name="Calculation 11 2 2 2 2" xfId="1722"/>
    <cellStyle name="Calculation 11 2 2 2 2 2" xfId="1723"/>
    <cellStyle name="Calculation 11 2 2 2 2 3" xfId="1724"/>
    <cellStyle name="Calculation 11 2 2 2 2 4" xfId="1725"/>
    <cellStyle name="Calculation 11 2 2 2 2 5" xfId="1726"/>
    <cellStyle name="Calculation 11 2 2 2 2 6" xfId="1727"/>
    <cellStyle name="Calculation 11 2 2 2 2 7" xfId="1728"/>
    <cellStyle name="Calculation 11 2 2 2 2 8" xfId="1729"/>
    <cellStyle name="Calculation 11 2 2 2 3" xfId="1730"/>
    <cellStyle name="Calculation 11 2 2 2 3 2" xfId="1731"/>
    <cellStyle name="Calculation 11 2 2 2 3 3" xfId="1732"/>
    <cellStyle name="Calculation 11 2 2 2 3 4" xfId="1733"/>
    <cellStyle name="Calculation 11 2 2 2 3 5" xfId="1734"/>
    <cellStyle name="Calculation 11 2 2 2 3 6" xfId="1735"/>
    <cellStyle name="Calculation 11 2 2 2 3 7" xfId="1736"/>
    <cellStyle name="Calculation 11 2 2 2 3 8" xfId="1737"/>
    <cellStyle name="Calculation 11 2 2 2 4" xfId="1738"/>
    <cellStyle name="Calculation 11 2 2 2 4 2" xfId="1739"/>
    <cellStyle name="Calculation 11 2 2 2 4 3" xfId="1740"/>
    <cellStyle name="Calculation 11 2 2 2 4 4" xfId="1741"/>
    <cellStyle name="Calculation 11 2 2 2 4 5" xfId="1742"/>
    <cellStyle name="Calculation 11 2 2 2 4 6" xfId="1743"/>
    <cellStyle name="Calculation 11 2 2 2 4 7" xfId="1744"/>
    <cellStyle name="Calculation 11 2 2 2 4 8" xfId="1745"/>
    <cellStyle name="Calculation 11 2 2 2 5" xfId="1746"/>
    <cellStyle name="Calculation 11 2 2 3" xfId="1747"/>
    <cellStyle name="Calculation 11 2 2 3 2" xfId="1748"/>
    <cellStyle name="Calculation 11 2 2 3 2 2" xfId="1749"/>
    <cellStyle name="Calculation 11 2 2 3 2 3" xfId="1750"/>
    <cellStyle name="Calculation 11 2 2 3 2 4" xfId="1751"/>
    <cellStyle name="Calculation 11 2 2 3 2 5" xfId="1752"/>
    <cellStyle name="Calculation 11 2 2 3 2 6" xfId="1753"/>
    <cellStyle name="Calculation 11 2 2 3 2 7" xfId="1754"/>
    <cellStyle name="Calculation 11 2 2 3 2 8" xfId="1755"/>
    <cellStyle name="Calculation 11 2 2 3 3" xfId="1756"/>
    <cellStyle name="Calculation 11 2 2 3 3 2" xfId="1757"/>
    <cellStyle name="Calculation 11 2 2 3 3 3" xfId="1758"/>
    <cellStyle name="Calculation 11 2 2 3 3 4" xfId="1759"/>
    <cellStyle name="Calculation 11 2 2 3 3 5" xfId="1760"/>
    <cellStyle name="Calculation 11 2 2 3 3 6" xfId="1761"/>
    <cellStyle name="Calculation 11 2 2 3 3 7" xfId="1762"/>
    <cellStyle name="Calculation 11 2 2 3 3 8" xfId="1763"/>
    <cellStyle name="Calculation 11 2 2 3 4" xfId="1764"/>
    <cellStyle name="Calculation 11 2 2 3 4 2" xfId="1765"/>
    <cellStyle name="Calculation 11 2 2 3 4 3" xfId="1766"/>
    <cellStyle name="Calculation 11 2 2 3 4 4" xfId="1767"/>
    <cellStyle name="Calculation 11 2 2 3 4 5" xfId="1768"/>
    <cellStyle name="Calculation 11 2 2 3 4 6" xfId="1769"/>
    <cellStyle name="Calculation 11 2 2 3 4 7" xfId="1770"/>
    <cellStyle name="Calculation 11 2 2 3 4 8" xfId="1771"/>
    <cellStyle name="Calculation 11 2 2 3 5" xfId="1772"/>
    <cellStyle name="Calculation 11 2 2 4" xfId="1773"/>
    <cellStyle name="Calculation 11 2 2 4 2" xfId="1774"/>
    <cellStyle name="Calculation 11 2 2 4 2 2" xfId="1775"/>
    <cellStyle name="Calculation 11 2 2 4 2 3" xfId="1776"/>
    <cellStyle name="Calculation 11 2 2 4 2 4" xfId="1777"/>
    <cellStyle name="Calculation 11 2 2 4 2 5" xfId="1778"/>
    <cellStyle name="Calculation 11 2 2 4 2 6" xfId="1779"/>
    <cellStyle name="Calculation 11 2 2 4 2 7" xfId="1780"/>
    <cellStyle name="Calculation 11 2 2 4 2 8" xfId="1781"/>
    <cellStyle name="Calculation 11 2 2 4 3" xfId="1782"/>
    <cellStyle name="Calculation 11 2 2 4 3 2" xfId="1783"/>
    <cellStyle name="Calculation 11 2 2 4 3 3" xfId="1784"/>
    <cellStyle name="Calculation 11 2 2 4 3 4" xfId="1785"/>
    <cellStyle name="Calculation 11 2 2 4 3 5" xfId="1786"/>
    <cellStyle name="Calculation 11 2 2 4 3 6" xfId="1787"/>
    <cellStyle name="Calculation 11 2 2 4 3 7" xfId="1788"/>
    <cellStyle name="Calculation 11 2 2 4 3 8" xfId="1789"/>
    <cellStyle name="Calculation 11 2 2 4 4" xfId="1790"/>
    <cellStyle name="Calculation 11 2 2 4 4 2" xfId="1791"/>
    <cellStyle name="Calculation 11 2 2 4 4 3" xfId="1792"/>
    <cellStyle name="Calculation 11 2 2 4 4 4" xfId="1793"/>
    <cellStyle name="Calculation 11 2 2 4 4 5" xfId="1794"/>
    <cellStyle name="Calculation 11 2 2 4 4 6" xfId="1795"/>
    <cellStyle name="Calculation 11 2 2 4 4 7" xfId="1796"/>
    <cellStyle name="Calculation 11 2 2 4 4 8" xfId="1797"/>
    <cellStyle name="Calculation 11 2 2 5" xfId="1798"/>
    <cellStyle name="Calculation 11 2 2 5 2" xfId="1799"/>
    <cellStyle name="Calculation 11 2 2 5 3" xfId="1800"/>
    <cellStyle name="Calculation 11 2 2 5 4" xfId="1801"/>
    <cellStyle name="Calculation 11 2 2 5 5" xfId="1802"/>
    <cellStyle name="Calculation 11 2 2 5 6" xfId="1803"/>
    <cellStyle name="Calculation 11 2 2 5 7" xfId="1804"/>
    <cellStyle name="Calculation 11 2 2 5 8" xfId="1805"/>
    <cellStyle name="Calculation 11 2 2 6" xfId="1806"/>
    <cellStyle name="Calculation 11 2 2 6 2" xfId="1807"/>
    <cellStyle name="Calculation 11 2 2 6 3" xfId="1808"/>
    <cellStyle name="Calculation 11 2 2 6 4" xfId="1809"/>
    <cellStyle name="Calculation 11 2 2 6 5" xfId="1810"/>
    <cellStyle name="Calculation 11 2 2 6 6" xfId="1811"/>
    <cellStyle name="Calculation 11 2 2 6 7" xfId="1812"/>
    <cellStyle name="Calculation 11 2 2 6 8" xfId="1813"/>
    <cellStyle name="Calculation 11 2 2 7" xfId="1814"/>
    <cellStyle name="Calculation 11 2 2 7 2" xfId="1815"/>
    <cellStyle name="Calculation 11 2 2 7 3" xfId="1816"/>
    <cellStyle name="Calculation 11 2 2 7 4" xfId="1817"/>
    <cellStyle name="Calculation 11 2 2 7 5" xfId="1818"/>
    <cellStyle name="Calculation 11 2 2 7 6" xfId="1819"/>
    <cellStyle name="Calculation 11 2 2 7 7" xfId="1820"/>
    <cellStyle name="Calculation 11 2 2 7 8" xfId="1821"/>
    <cellStyle name="Calculation 11 2 3" xfId="1822"/>
    <cellStyle name="Calculation 11 2 3 2" xfId="1823"/>
    <cellStyle name="Calculation 11 2 3 2 2" xfId="1824"/>
    <cellStyle name="Calculation 11 2 3 2 2 2" xfId="1825"/>
    <cellStyle name="Calculation 11 2 3 2 2 3" xfId="1826"/>
    <cellStyle name="Calculation 11 2 3 2 2 4" xfId="1827"/>
    <cellStyle name="Calculation 11 2 3 2 2 5" xfId="1828"/>
    <cellStyle name="Calculation 11 2 3 2 2 6" xfId="1829"/>
    <cellStyle name="Calculation 11 2 3 2 2 7" xfId="1830"/>
    <cellStyle name="Calculation 11 2 3 2 2 8" xfId="1831"/>
    <cellStyle name="Calculation 11 2 3 2 3" xfId="1832"/>
    <cellStyle name="Calculation 11 2 3 2 3 2" xfId="1833"/>
    <cellStyle name="Calculation 11 2 3 2 3 3" xfId="1834"/>
    <cellStyle name="Calculation 11 2 3 2 3 4" xfId="1835"/>
    <cellStyle name="Calculation 11 2 3 2 3 5" xfId="1836"/>
    <cellStyle name="Calculation 11 2 3 2 3 6" xfId="1837"/>
    <cellStyle name="Calculation 11 2 3 2 3 7" xfId="1838"/>
    <cellStyle name="Calculation 11 2 3 2 3 8" xfId="1839"/>
    <cellStyle name="Calculation 11 2 3 2 4" xfId="1840"/>
    <cellStyle name="Calculation 11 2 3 2 4 2" xfId="1841"/>
    <cellStyle name="Calculation 11 2 3 2 4 3" xfId="1842"/>
    <cellStyle name="Calculation 11 2 3 2 4 4" xfId="1843"/>
    <cellStyle name="Calculation 11 2 3 2 4 5" xfId="1844"/>
    <cellStyle name="Calculation 11 2 3 2 4 6" xfId="1845"/>
    <cellStyle name="Calculation 11 2 3 2 4 7" xfId="1846"/>
    <cellStyle name="Calculation 11 2 3 2 4 8" xfId="1847"/>
    <cellStyle name="Calculation 11 2 3 2 5" xfId="1848"/>
    <cellStyle name="Calculation 11 2 3 3" xfId="1849"/>
    <cellStyle name="Calculation 11 2 3 3 2" xfId="1850"/>
    <cellStyle name="Calculation 11 2 3 3 3" xfId="1851"/>
    <cellStyle name="Calculation 11 2 3 3 4" xfId="1852"/>
    <cellStyle name="Calculation 11 2 3 3 5" xfId="1853"/>
    <cellStyle name="Calculation 11 2 3 3 6" xfId="1854"/>
    <cellStyle name="Calculation 11 2 3 3 7" xfId="1855"/>
    <cellStyle name="Calculation 11 2 3 3 8" xfId="1856"/>
    <cellStyle name="Calculation 11 2 3 4" xfId="1857"/>
    <cellStyle name="Calculation 11 2 3 4 2" xfId="1858"/>
    <cellStyle name="Calculation 11 2 3 4 3" xfId="1859"/>
    <cellStyle name="Calculation 11 2 3 4 4" xfId="1860"/>
    <cellStyle name="Calculation 11 2 3 4 5" xfId="1861"/>
    <cellStyle name="Calculation 11 2 3 4 6" xfId="1862"/>
    <cellStyle name="Calculation 11 2 3 4 7" xfId="1863"/>
    <cellStyle name="Calculation 11 2 3 4 8" xfId="1864"/>
    <cellStyle name="Calculation 11 2 3 5" xfId="1865"/>
    <cellStyle name="Calculation 11 2 3 5 2" xfId="1866"/>
    <cellStyle name="Calculation 11 2 3 5 3" xfId="1867"/>
    <cellStyle name="Calculation 11 2 3 5 4" xfId="1868"/>
    <cellStyle name="Calculation 11 2 3 5 5" xfId="1869"/>
    <cellStyle name="Calculation 11 2 3 5 6" xfId="1870"/>
    <cellStyle name="Calculation 11 2 3 5 7" xfId="1871"/>
    <cellStyle name="Calculation 11 2 3 5 8" xfId="1872"/>
    <cellStyle name="Calculation 11 2 3 6" xfId="1873"/>
    <cellStyle name="Calculation 11 2 4" xfId="1874"/>
    <cellStyle name="Calculation 11 2 4 2" xfId="1875"/>
    <cellStyle name="Calculation 11 2 4 3" xfId="1876"/>
    <cellStyle name="Calculation 11 2 4 4" xfId="1877"/>
    <cellStyle name="Calculation 11 2 4 5" xfId="1878"/>
    <cellStyle name="Calculation 11 2 4 6" xfId="1879"/>
    <cellStyle name="Calculation 11 2 4 7" xfId="1880"/>
    <cellStyle name="Calculation 11 2 4 8" xfId="1881"/>
    <cellStyle name="Calculation 11 2 5" xfId="1882"/>
    <cellStyle name="Calculation 11 2 5 2" xfId="1883"/>
    <cellStyle name="Calculation 11 2 5 3" xfId="1884"/>
    <cellStyle name="Calculation 11 2 5 4" xfId="1885"/>
    <cellStyle name="Calculation 11 2 5 5" xfId="1886"/>
    <cellStyle name="Calculation 11 2 5 6" xfId="1887"/>
    <cellStyle name="Calculation 11 2 5 7" xfId="1888"/>
    <cellStyle name="Calculation 11 2 5 8" xfId="1889"/>
    <cellStyle name="Calculation 11 2 6" xfId="1890"/>
    <cellStyle name="Calculation 11 2 6 2" xfId="1891"/>
    <cellStyle name="Calculation 11 2 6 3" xfId="1892"/>
    <cellStyle name="Calculation 11 2 6 4" xfId="1893"/>
    <cellStyle name="Calculation 11 2 6 5" xfId="1894"/>
    <cellStyle name="Calculation 11 2 6 6" xfId="1895"/>
    <cellStyle name="Calculation 11 2 6 7" xfId="1896"/>
    <cellStyle name="Calculation 11 2 6 8" xfId="1897"/>
    <cellStyle name="Calculation 11 3" xfId="1898"/>
    <cellStyle name="Calculation 11 3 2" xfId="1899"/>
    <cellStyle name="Calculation 11 3 2 2" xfId="1900"/>
    <cellStyle name="Calculation 11 3 2 2 2" xfId="1901"/>
    <cellStyle name="Calculation 11 3 2 2 3" xfId="1902"/>
    <cellStyle name="Calculation 11 3 2 2 4" xfId="1903"/>
    <cellStyle name="Calculation 11 3 2 2 5" xfId="1904"/>
    <cellStyle name="Calculation 11 3 2 2 6" xfId="1905"/>
    <cellStyle name="Calculation 11 3 2 2 7" xfId="1906"/>
    <cellStyle name="Calculation 11 3 2 2 8" xfId="1907"/>
    <cellStyle name="Calculation 11 3 2 3" xfId="1908"/>
    <cellStyle name="Calculation 11 3 2 3 2" xfId="1909"/>
    <cellStyle name="Calculation 11 3 2 3 3" xfId="1910"/>
    <cellStyle name="Calculation 11 3 2 3 4" xfId="1911"/>
    <cellStyle name="Calculation 11 3 2 3 5" xfId="1912"/>
    <cellStyle name="Calculation 11 3 2 3 6" xfId="1913"/>
    <cellStyle name="Calculation 11 3 2 3 7" xfId="1914"/>
    <cellStyle name="Calculation 11 3 2 3 8" xfId="1915"/>
    <cellStyle name="Calculation 11 3 2 4" xfId="1916"/>
    <cellStyle name="Calculation 11 3 2 4 2" xfId="1917"/>
    <cellStyle name="Calculation 11 3 2 4 3" xfId="1918"/>
    <cellStyle name="Calculation 11 3 2 4 4" xfId="1919"/>
    <cellStyle name="Calculation 11 3 2 4 5" xfId="1920"/>
    <cellStyle name="Calculation 11 3 2 4 6" xfId="1921"/>
    <cellStyle name="Calculation 11 3 2 4 7" xfId="1922"/>
    <cellStyle name="Calculation 11 3 2 4 8" xfId="1923"/>
    <cellStyle name="Calculation 11 3 2 5" xfId="1924"/>
    <cellStyle name="Calculation 11 3 3" xfId="1925"/>
    <cellStyle name="Calculation 11 3 3 2" xfId="1926"/>
    <cellStyle name="Calculation 11 3 3 2 2" xfId="1927"/>
    <cellStyle name="Calculation 11 3 3 2 3" xfId="1928"/>
    <cellStyle name="Calculation 11 3 3 2 4" xfId="1929"/>
    <cellStyle name="Calculation 11 3 3 2 5" xfId="1930"/>
    <cellStyle name="Calculation 11 3 3 2 6" xfId="1931"/>
    <cellStyle name="Calculation 11 3 3 2 7" xfId="1932"/>
    <cellStyle name="Calculation 11 3 3 2 8" xfId="1933"/>
    <cellStyle name="Calculation 11 3 3 3" xfId="1934"/>
    <cellStyle name="Calculation 11 3 3 3 2" xfId="1935"/>
    <cellStyle name="Calculation 11 3 3 3 3" xfId="1936"/>
    <cellStyle name="Calculation 11 3 3 3 4" xfId="1937"/>
    <cellStyle name="Calculation 11 3 3 3 5" xfId="1938"/>
    <cellStyle name="Calculation 11 3 3 3 6" xfId="1939"/>
    <cellStyle name="Calculation 11 3 3 3 7" xfId="1940"/>
    <cellStyle name="Calculation 11 3 3 3 8" xfId="1941"/>
    <cellStyle name="Calculation 11 3 3 4" xfId="1942"/>
    <cellStyle name="Calculation 11 3 3 4 2" xfId="1943"/>
    <cellStyle name="Calculation 11 3 3 4 3" xfId="1944"/>
    <cellStyle name="Calculation 11 3 3 4 4" xfId="1945"/>
    <cellStyle name="Calculation 11 3 3 4 5" xfId="1946"/>
    <cellStyle name="Calculation 11 3 3 4 6" xfId="1947"/>
    <cellStyle name="Calculation 11 3 3 4 7" xfId="1948"/>
    <cellStyle name="Calculation 11 3 3 4 8" xfId="1949"/>
    <cellStyle name="Calculation 11 3 3 5" xfId="1950"/>
    <cellStyle name="Calculation 11 3 4" xfId="1951"/>
    <cellStyle name="Calculation 11 3 4 2" xfId="1952"/>
    <cellStyle name="Calculation 11 3 4 2 2" xfId="1953"/>
    <cellStyle name="Calculation 11 3 4 2 3" xfId="1954"/>
    <cellStyle name="Calculation 11 3 4 2 4" xfId="1955"/>
    <cellStyle name="Calculation 11 3 4 2 5" xfId="1956"/>
    <cellStyle name="Calculation 11 3 4 2 6" xfId="1957"/>
    <cellStyle name="Calculation 11 3 4 2 7" xfId="1958"/>
    <cellStyle name="Calculation 11 3 4 2 8" xfId="1959"/>
    <cellStyle name="Calculation 11 3 4 3" xfId="1960"/>
    <cellStyle name="Calculation 11 3 4 3 2" xfId="1961"/>
    <cellStyle name="Calculation 11 3 4 3 3" xfId="1962"/>
    <cellStyle name="Calculation 11 3 4 3 4" xfId="1963"/>
    <cellStyle name="Calculation 11 3 4 3 5" xfId="1964"/>
    <cellStyle name="Calculation 11 3 4 3 6" xfId="1965"/>
    <cellStyle name="Calculation 11 3 4 3 7" xfId="1966"/>
    <cellStyle name="Calculation 11 3 4 3 8" xfId="1967"/>
    <cellStyle name="Calculation 11 3 4 4" xfId="1968"/>
    <cellStyle name="Calculation 11 3 4 4 2" xfId="1969"/>
    <cellStyle name="Calculation 11 3 4 4 3" xfId="1970"/>
    <cellStyle name="Calculation 11 3 4 4 4" xfId="1971"/>
    <cellStyle name="Calculation 11 3 4 4 5" xfId="1972"/>
    <cellStyle name="Calculation 11 3 4 4 6" xfId="1973"/>
    <cellStyle name="Calculation 11 3 4 4 7" xfId="1974"/>
    <cellStyle name="Calculation 11 3 4 4 8" xfId="1975"/>
    <cellStyle name="Calculation 11 3 5" xfId="1976"/>
    <cellStyle name="Calculation 11 3 5 2" xfId="1977"/>
    <cellStyle name="Calculation 11 3 5 3" xfId="1978"/>
    <cellStyle name="Calculation 11 3 5 4" xfId="1979"/>
    <cellStyle name="Calculation 11 3 5 5" xfId="1980"/>
    <cellStyle name="Calculation 11 3 5 6" xfId="1981"/>
    <cellStyle name="Calculation 11 3 5 7" xfId="1982"/>
    <cellStyle name="Calculation 11 3 5 8" xfId="1983"/>
    <cellStyle name="Calculation 11 3 6" xfId="1984"/>
    <cellStyle name="Calculation 11 3 6 2" xfId="1985"/>
    <cellStyle name="Calculation 11 3 6 3" xfId="1986"/>
    <cellStyle name="Calculation 11 3 6 4" xfId="1987"/>
    <cellStyle name="Calculation 11 3 6 5" xfId="1988"/>
    <cellStyle name="Calculation 11 3 6 6" xfId="1989"/>
    <cellStyle name="Calculation 11 3 6 7" xfId="1990"/>
    <cellStyle name="Calculation 11 3 6 8" xfId="1991"/>
    <cellStyle name="Calculation 11 3 7" xfId="1992"/>
    <cellStyle name="Calculation 11 3 7 2" xfId="1993"/>
    <cellStyle name="Calculation 11 3 7 3" xfId="1994"/>
    <cellStyle name="Calculation 11 3 7 4" xfId="1995"/>
    <cellStyle name="Calculation 11 3 7 5" xfId="1996"/>
    <cellStyle name="Calculation 11 3 7 6" xfId="1997"/>
    <cellStyle name="Calculation 11 3 7 7" xfId="1998"/>
    <cellStyle name="Calculation 11 3 7 8" xfId="1999"/>
    <cellStyle name="Calculation 11 4" xfId="2000"/>
    <cellStyle name="Calculation 11 4 2" xfId="2001"/>
    <cellStyle name="Calculation 11 4 2 2" xfId="2002"/>
    <cellStyle name="Calculation 11 4 2 2 2" xfId="2003"/>
    <cellStyle name="Calculation 11 4 2 2 3" xfId="2004"/>
    <cellStyle name="Calculation 11 4 2 2 4" xfId="2005"/>
    <cellStyle name="Calculation 11 4 2 2 5" xfId="2006"/>
    <cellStyle name="Calculation 11 4 2 2 6" xfId="2007"/>
    <cellStyle name="Calculation 11 4 2 2 7" xfId="2008"/>
    <cellStyle name="Calculation 11 4 2 2 8" xfId="2009"/>
    <cellStyle name="Calculation 11 4 2 3" xfId="2010"/>
    <cellStyle name="Calculation 11 4 2 3 2" xfId="2011"/>
    <cellStyle name="Calculation 11 4 2 3 3" xfId="2012"/>
    <cellStyle name="Calculation 11 4 2 3 4" xfId="2013"/>
    <cellStyle name="Calculation 11 4 2 3 5" xfId="2014"/>
    <cellStyle name="Calculation 11 4 2 3 6" xfId="2015"/>
    <cellStyle name="Calculation 11 4 2 3 7" xfId="2016"/>
    <cellStyle name="Calculation 11 4 2 3 8" xfId="2017"/>
    <cellStyle name="Calculation 11 4 2 4" xfId="2018"/>
    <cellStyle name="Calculation 11 4 2 4 2" xfId="2019"/>
    <cellStyle name="Calculation 11 4 2 4 3" xfId="2020"/>
    <cellStyle name="Calculation 11 4 2 4 4" xfId="2021"/>
    <cellStyle name="Calculation 11 4 2 4 5" xfId="2022"/>
    <cellStyle name="Calculation 11 4 2 4 6" xfId="2023"/>
    <cellStyle name="Calculation 11 4 2 4 7" xfId="2024"/>
    <cellStyle name="Calculation 11 4 2 4 8" xfId="2025"/>
    <cellStyle name="Calculation 11 4 2 5" xfId="2026"/>
    <cellStyle name="Calculation 11 4 3" xfId="2027"/>
    <cellStyle name="Calculation 11 4 3 2" xfId="2028"/>
    <cellStyle name="Calculation 11 4 3 3" xfId="2029"/>
    <cellStyle name="Calculation 11 4 3 4" xfId="2030"/>
    <cellStyle name="Calculation 11 4 3 5" xfId="2031"/>
    <cellStyle name="Calculation 11 4 3 6" xfId="2032"/>
    <cellStyle name="Calculation 11 4 3 7" xfId="2033"/>
    <cellStyle name="Calculation 11 4 3 8" xfId="2034"/>
    <cellStyle name="Calculation 11 4 4" xfId="2035"/>
    <cellStyle name="Calculation 11 4 4 2" xfId="2036"/>
    <cellStyle name="Calculation 11 4 4 3" xfId="2037"/>
    <cellStyle name="Calculation 11 4 4 4" xfId="2038"/>
    <cellStyle name="Calculation 11 4 4 5" xfId="2039"/>
    <cellStyle name="Calculation 11 4 4 6" xfId="2040"/>
    <cellStyle name="Calculation 11 4 4 7" xfId="2041"/>
    <cellStyle name="Calculation 11 4 4 8" xfId="2042"/>
    <cellStyle name="Calculation 11 4 5" xfId="2043"/>
    <cellStyle name="Calculation 11 4 5 2" xfId="2044"/>
    <cellStyle name="Calculation 11 4 5 3" xfId="2045"/>
    <cellStyle name="Calculation 11 4 5 4" xfId="2046"/>
    <cellStyle name="Calculation 11 4 5 5" xfId="2047"/>
    <cellStyle name="Calculation 11 4 5 6" xfId="2048"/>
    <cellStyle name="Calculation 11 4 5 7" xfId="2049"/>
    <cellStyle name="Calculation 11 4 5 8" xfId="2050"/>
    <cellStyle name="Calculation 11 4 6" xfId="2051"/>
    <cellStyle name="Calculation 11 5" xfId="2052"/>
    <cellStyle name="Calculation 11 5 2" xfId="2053"/>
    <cellStyle name="Calculation 11 5 3" xfId="2054"/>
    <cellStyle name="Calculation 11 5 4" xfId="2055"/>
    <cellStyle name="Calculation 11 5 5" xfId="2056"/>
    <cellStyle name="Calculation 11 5 6" xfId="2057"/>
    <cellStyle name="Calculation 11 5 7" xfId="2058"/>
    <cellStyle name="Calculation 11 5 8" xfId="2059"/>
    <cellStyle name="Calculation 11 6" xfId="2060"/>
    <cellStyle name="Calculation 11 6 2" xfId="2061"/>
    <cellStyle name="Calculation 11 6 3" xfId="2062"/>
    <cellStyle name="Calculation 11 6 4" xfId="2063"/>
    <cellStyle name="Calculation 11 6 5" xfId="2064"/>
    <cellStyle name="Calculation 11 6 6" xfId="2065"/>
    <cellStyle name="Calculation 11 6 7" xfId="2066"/>
    <cellStyle name="Calculation 11 6 8" xfId="2067"/>
    <cellStyle name="Calculation 11 7" xfId="2068"/>
    <cellStyle name="Calculation 11 7 2" xfId="2069"/>
    <cellStyle name="Calculation 11 7 3" xfId="2070"/>
    <cellStyle name="Calculation 11 7 4" xfId="2071"/>
    <cellStyle name="Calculation 11 7 5" xfId="2072"/>
    <cellStyle name="Calculation 11 7 6" xfId="2073"/>
    <cellStyle name="Calculation 11 7 7" xfId="2074"/>
    <cellStyle name="Calculation 11 7 8" xfId="2075"/>
    <cellStyle name="Calculation 12" xfId="2076"/>
    <cellStyle name="Calculation 12 2" xfId="2077"/>
    <cellStyle name="Calculation 12 2 2" xfId="2078"/>
    <cellStyle name="Calculation 12 2 2 2" xfId="2079"/>
    <cellStyle name="Calculation 12 2 2 2 2" xfId="2080"/>
    <cellStyle name="Calculation 12 2 2 2 2 2" xfId="2081"/>
    <cellStyle name="Calculation 12 2 2 2 2 3" xfId="2082"/>
    <cellStyle name="Calculation 12 2 2 2 2 4" xfId="2083"/>
    <cellStyle name="Calculation 12 2 2 2 2 5" xfId="2084"/>
    <cellStyle name="Calculation 12 2 2 2 2 6" xfId="2085"/>
    <cellStyle name="Calculation 12 2 2 2 2 7" xfId="2086"/>
    <cellStyle name="Calculation 12 2 2 2 2 8" xfId="2087"/>
    <cellStyle name="Calculation 12 2 2 2 3" xfId="2088"/>
    <cellStyle name="Calculation 12 2 2 2 3 2" xfId="2089"/>
    <cellStyle name="Calculation 12 2 2 2 3 3" xfId="2090"/>
    <cellStyle name="Calculation 12 2 2 2 3 4" xfId="2091"/>
    <cellStyle name="Calculation 12 2 2 2 3 5" xfId="2092"/>
    <cellStyle name="Calculation 12 2 2 2 3 6" xfId="2093"/>
    <cellStyle name="Calculation 12 2 2 2 3 7" xfId="2094"/>
    <cellStyle name="Calculation 12 2 2 2 3 8" xfId="2095"/>
    <cellStyle name="Calculation 12 2 2 2 4" xfId="2096"/>
    <cellStyle name="Calculation 12 2 2 2 4 2" xfId="2097"/>
    <cellStyle name="Calculation 12 2 2 2 4 3" xfId="2098"/>
    <cellStyle name="Calculation 12 2 2 2 4 4" xfId="2099"/>
    <cellStyle name="Calculation 12 2 2 2 4 5" xfId="2100"/>
    <cellStyle name="Calculation 12 2 2 2 4 6" xfId="2101"/>
    <cellStyle name="Calculation 12 2 2 2 4 7" xfId="2102"/>
    <cellStyle name="Calculation 12 2 2 2 4 8" xfId="2103"/>
    <cellStyle name="Calculation 12 2 2 2 5" xfId="2104"/>
    <cellStyle name="Calculation 12 2 2 3" xfId="2105"/>
    <cellStyle name="Calculation 12 2 2 3 2" xfId="2106"/>
    <cellStyle name="Calculation 12 2 2 3 2 2" xfId="2107"/>
    <cellStyle name="Calculation 12 2 2 3 2 3" xfId="2108"/>
    <cellStyle name="Calculation 12 2 2 3 2 4" xfId="2109"/>
    <cellStyle name="Calculation 12 2 2 3 2 5" xfId="2110"/>
    <cellStyle name="Calculation 12 2 2 3 2 6" xfId="2111"/>
    <cellStyle name="Calculation 12 2 2 3 2 7" xfId="2112"/>
    <cellStyle name="Calculation 12 2 2 3 2 8" xfId="2113"/>
    <cellStyle name="Calculation 12 2 2 3 3" xfId="2114"/>
    <cellStyle name="Calculation 12 2 2 3 3 2" xfId="2115"/>
    <cellStyle name="Calculation 12 2 2 3 3 3" xfId="2116"/>
    <cellStyle name="Calculation 12 2 2 3 3 4" xfId="2117"/>
    <cellStyle name="Calculation 12 2 2 3 3 5" xfId="2118"/>
    <cellStyle name="Calculation 12 2 2 3 3 6" xfId="2119"/>
    <cellStyle name="Calculation 12 2 2 3 3 7" xfId="2120"/>
    <cellStyle name="Calculation 12 2 2 3 3 8" xfId="2121"/>
    <cellStyle name="Calculation 12 2 2 3 4" xfId="2122"/>
    <cellStyle name="Calculation 12 2 2 3 4 2" xfId="2123"/>
    <cellStyle name="Calculation 12 2 2 3 4 3" xfId="2124"/>
    <cellStyle name="Calculation 12 2 2 3 4 4" xfId="2125"/>
    <cellStyle name="Calculation 12 2 2 3 4 5" xfId="2126"/>
    <cellStyle name="Calculation 12 2 2 3 4 6" xfId="2127"/>
    <cellStyle name="Calculation 12 2 2 3 4 7" xfId="2128"/>
    <cellStyle name="Calculation 12 2 2 3 4 8" xfId="2129"/>
    <cellStyle name="Calculation 12 2 2 3 5" xfId="2130"/>
    <cellStyle name="Calculation 12 2 2 4" xfId="2131"/>
    <cellStyle name="Calculation 12 2 2 4 2" xfId="2132"/>
    <cellStyle name="Calculation 12 2 2 4 2 2" xfId="2133"/>
    <cellStyle name="Calculation 12 2 2 4 2 3" xfId="2134"/>
    <cellStyle name="Calculation 12 2 2 4 2 4" xfId="2135"/>
    <cellStyle name="Calculation 12 2 2 4 2 5" xfId="2136"/>
    <cellStyle name="Calculation 12 2 2 4 2 6" xfId="2137"/>
    <cellStyle name="Calculation 12 2 2 4 2 7" xfId="2138"/>
    <cellStyle name="Calculation 12 2 2 4 2 8" xfId="2139"/>
    <cellStyle name="Calculation 12 2 2 4 3" xfId="2140"/>
    <cellStyle name="Calculation 12 2 2 4 3 2" xfId="2141"/>
    <cellStyle name="Calculation 12 2 2 4 3 3" xfId="2142"/>
    <cellStyle name="Calculation 12 2 2 4 3 4" xfId="2143"/>
    <cellStyle name="Calculation 12 2 2 4 3 5" xfId="2144"/>
    <cellStyle name="Calculation 12 2 2 4 3 6" xfId="2145"/>
    <cellStyle name="Calculation 12 2 2 4 3 7" xfId="2146"/>
    <cellStyle name="Calculation 12 2 2 4 3 8" xfId="2147"/>
    <cellStyle name="Calculation 12 2 2 4 4" xfId="2148"/>
    <cellStyle name="Calculation 12 2 2 4 4 2" xfId="2149"/>
    <cellStyle name="Calculation 12 2 2 4 4 3" xfId="2150"/>
    <cellStyle name="Calculation 12 2 2 4 4 4" xfId="2151"/>
    <cellStyle name="Calculation 12 2 2 4 4 5" xfId="2152"/>
    <cellStyle name="Calculation 12 2 2 4 4 6" xfId="2153"/>
    <cellStyle name="Calculation 12 2 2 4 4 7" xfId="2154"/>
    <cellStyle name="Calculation 12 2 2 4 4 8" xfId="2155"/>
    <cellStyle name="Calculation 12 2 2 5" xfId="2156"/>
    <cellStyle name="Calculation 12 2 2 5 2" xfId="2157"/>
    <cellStyle name="Calculation 12 2 2 5 3" xfId="2158"/>
    <cellStyle name="Calculation 12 2 2 5 4" xfId="2159"/>
    <cellStyle name="Calculation 12 2 2 5 5" xfId="2160"/>
    <cellStyle name="Calculation 12 2 2 5 6" xfId="2161"/>
    <cellStyle name="Calculation 12 2 2 5 7" xfId="2162"/>
    <cellStyle name="Calculation 12 2 2 5 8" xfId="2163"/>
    <cellStyle name="Calculation 12 2 2 6" xfId="2164"/>
    <cellStyle name="Calculation 12 2 2 6 2" xfId="2165"/>
    <cellStyle name="Calculation 12 2 2 6 3" xfId="2166"/>
    <cellStyle name="Calculation 12 2 2 6 4" xfId="2167"/>
    <cellStyle name="Calculation 12 2 2 6 5" xfId="2168"/>
    <cellStyle name="Calculation 12 2 2 6 6" xfId="2169"/>
    <cellStyle name="Calculation 12 2 2 6 7" xfId="2170"/>
    <cellStyle name="Calculation 12 2 2 6 8" xfId="2171"/>
    <cellStyle name="Calculation 12 2 2 7" xfId="2172"/>
    <cellStyle name="Calculation 12 2 2 7 2" xfId="2173"/>
    <cellStyle name="Calculation 12 2 2 7 3" xfId="2174"/>
    <cellStyle name="Calculation 12 2 2 7 4" xfId="2175"/>
    <cellStyle name="Calculation 12 2 2 7 5" xfId="2176"/>
    <cellStyle name="Calculation 12 2 2 7 6" xfId="2177"/>
    <cellStyle name="Calculation 12 2 2 7 7" xfId="2178"/>
    <cellStyle name="Calculation 12 2 2 7 8" xfId="2179"/>
    <cellStyle name="Calculation 12 2 3" xfId="2180"/>
    <cellStyle name="Calculation 12 2 3 2" xfId="2181"/>
    <cellStyle name="Calculation 12 2 3 2 2" xfId="2182"/>
    <cellStyle name="Calculation 12 2 3 2 2 2" xfId="2183"/>
    <cellStyle name="Calculation 12 2 3 2 2 3" xfId="2184"/>
    <cellStyle name="Calculation 12 2 3 2 2 4" xfId="2185"/>
    <cellStyle name="Calculation 12 2 3 2 2 5" xfId="2186"/>
    <cellStyle name="Calculation 12 2 3 2 2 6" xfId="2187"/>
    <cellStyle name="Calculation 12 2 3 2 2 7" xfId="2188"/>
    <cellStyle name="Calculation 12 2 3 2 2 8" xfId="2189"/>
    <cellStyle name="Calculation 12 2 3 2 3" xfId="2190"/>
    <cellStyle name="Calculation 12 2 3 2 3 2" xfId="2191"/>
    <cellStyle name="Calculation 12 2 3 2 3 3" xfId="2192"/>
    <cellStyle name="Calculation 12 2 3 2 3 4" xfId="2193"/>
    <cellStyle name="Calculation 12 2 3 2 3 5" xfId="2194"/>
    <cellStyle name="Calculation 12 2 3 2 3 6" xfId="2195"/>
    <cellStyle name="Calculation 12 2 3 2 3 7" xfId="2196"/>
    <cellStyle name="Calculation 12 2 3 2 3 8" xfId="2197"/>
    <cellStyle name="Calculation 12 2 3 2 4" xfId="2198"/>
    <cellStyle name="Calculation 12 2 3 2 4 2" xfId="2199"/>
    <cellStyle name="Calculation 12 2 3 2 4 3" xfId="2200"/>
    <cellStyle name="Calculation 12 2 3 2 4 4" xfId="2201"/>
    <cellStyle name="Calculation 12 2 3 2 4 5" xfId="2202"/>
    <cellStyle name="Calculation 12 2 3 2 4 6" xfId="2203"/>
    <cellStyle name="Calculation 12 2 3 2 4 7" xfId="2204"/>
    <cellStyle name="Calculation 12 2 3 2 4 8" xfId="2205"/>
    <cellStyle name="Calculation 12 2 3 2 5" xfId="2206"/>
    <cellStyle name="Calculation 12 2 3 3" xfId="2207"/>
    <cellStyle name="Calculation 12 2 3 3 2" xfId="2208"/>
    <cellStyle name="Calculation 12 2 3 3 3" xfId="2209"/>
    <cellStyle name="Calculation 12 2 3 3 4" xfId="2210"/>
    <cellStyle name="Calculation 12 2 3 3 5" xfId="2211"/>
    <cellStyle name="Calculation 12 2 3 3 6" xfId="2212"/>
    <cellStyle name="Calculation 12 2 3 3 7" xfId="2213"/>
    <cellStyle name="Calculation 12 2 3 3 8" xfId="2214"/>
    <cellStyle name="Calculation 12 2 3 4" xfId="2215"/>
    <cellStyle name="Calculation 12 2 3 4 2" xfId="2216"/>
    <cellStyle name="Calculation 12 2 3 4 3" xfId="2217"/>
    <cellStyle name="Calculation 12 2 3 4 4" xfId="2218"/>
    <cellStyle name="Calculation 12 2 3 4 5" xfId="2219"/>
    <cellStyle name="Calculation 12 2 3 4 6" xfId="2220"/>
    <cellStyle name="Calculation 12 2 3 4 7" xfId="2221"/>
    <cellStyle name="Calculation 12 2 3 4 8" xfId="2222"/>
    <cellStyle name="Calculation 12 2 3 5" xfId="2223"/>
    <cellStyle name="Calculation 12 2 3 5 2" xfId="2224"/>
    <cellStyle name="Calculation 12 2 3 5 3" xfId="2225"/>
    <cellStyle name="Calculation 12 2 3 5 4" xfId="2226"/>
    <cellStyle name="Calculation 12 2 3 5 5" xfId="2227"/>
    <cellStyle name="Calculation 12 2 3 5 6" xfId="2228"/>
    <cellStyle name="Calculation 12 2 3 5 7" xfId="2229"/>
    <cellStyle name="Calculation 12 2 3 5 8" xfId="2230"/>
    <cellStyle name="Calculation 12 2 3 6" xfId="2231"/>
    <cellStyle name="Calculation 12 2 4" xfId="2232"/>
    <cellStyle name="Calculation 12 2 4 2" xfId="2233"/>
    <cellStyle name="Calculation 12 2 4 3" xfId="2234"/>
    <cellStyle name="Calculation 12 2 4 4" xfId="2235"/>
    <cellStyle name="Calculation 12 2 4 5" xfId="2236"/>
    <cellStyle name="Calculation 12 2 4 6" xfId="2237"/>
    <cellStyle name="Calculation 12 2 4 7" xfId="2238"/>
    <cellStyle name="Calculation 12 2 4 8" xfId="2239"/>
    <cellStyle name="Calculation 12 2 5" xfId="2240"/>
    <cellStyle name="Calculation 12 2 5 2" xfId="2241"/>
    <cellStyle name="Calculation 12 2 5 3" xfId="2242"/>
    <cellStyle name="Calculation 12 2 5 4" xfId="2243"/>
    <cellStyle name="Calculation 12 2 5 5" xfId="2244"/>
    <cellStyle name="Calculation 12 2 5 6" xfId="2245"/>
    <cellStyle name="Calculation 12 2 5 7" xfId="2246"/>
    <cellStyle name="Calculation 12 2 5 8" xfId="2247"/>
    <cellStyle name="Calculation 12 2 6" xfId="2248"/>
    <cellStyle name="Calculation 12 2 6 2" xfId="2249"/>
    <cellStyle name="Calculation 12 2 6 3" xfId="2250"/>
    <cellStyle name="Calculation 12 2 6 4" xfId="2251"/>
    <cellStyle name="Calculation 12 2 6 5" xfId="2252"/>
    <cellStyle name="Calculation 12 2 6 6" xfId="2253"/>
    <cellStyle name="Calculation 12 2 6 7" xfId="2254"/>
    <cellStyle name="Calculation 12 2 6 8" xfId="2255"/>
    <cellStyle name="Calculation 12 3" xfId="2256"/>
    <cellStyle name="Calculation 12 3 2" xfId="2257"/>
    <cellStyle name="Calculation 12 3 2 2" xfId="2258"/>
    <cellStyle name="Calculation 12 3 2 2 2" xfId="2259"/>
    <cellStyle name="Calculation 12 3 2 2 3" xfId="2260"/>
    <cellStyle name="Calculation 12 3 2 2 4" xfId="2261"/>
    <cellStyle name="Calculation 12 3 2 2 5" xfId="2262"/>
    <cellStyle name="Calculation 12 3 2 2 6" xfId="2263"/>
    <cellStyle name="Calculation 12 3 2 2 7" xfId="2264"/>
    <cellStyle name="Calculation 12 3 2 2 8" xfId="2265"/>
    <cellStyle name="Calculation 12 3 2 3" xfId="2266"/>
    <cellStyle name="Calculation 12 3 2 3 2" xfId="2267"/>
    <cellStyle name="Calculation 12 3 2 3 3" xfId="2268"/>
    <cellStyle name="Calculation 12 3 2 3 4" xfId="2269"/>
    <cellStyle name="Calculation 12 3 2 3 5" xfId="2270"/>
    <cellStyle name="Calculation 12 3 2 3 6" xfId="2271"/>
    <cellStyle name="Calculation 12 3 2 3 7" xfId="2272"/>
    <cellStyle name="Calculation 12 3 2 3 8" xfId="2273"/>
    <cellStyle name="Calculation 12 3 2 4" xfId="2274"/>
    <cellStyle name="Calculation 12 3 2 4 2" xfId="2275"/>
    <cellStyle name="Calculation 12 3 2 4 3" xfId="2276"/>
    <cellStyle name="Calculation 12 3 2 4 4" xfId="2277"/>
    <cellStyle name="Calculation 12 3 2 4 5" xfId="2278"/>
    <cellStyle name="Calculation 12 3 2 4 6" xfId="2279"/>
    <cellStyle name="Calculation 12 3 2 4 7" xfId="2280"/>
    <cellStyle name="Calculation 12 3 2 4 8" xfId="2281"/>
    <cellStyle name="Calculation 12 3 2 5" xfId="2282"/>
    <cellStyle name="Calculation 12 3 3" xfId="2283"/>
    <cellStyle name="Calculation 12 3 3 2" xfId="2284"/>
    <cellStyle name="Calculation 12 3 3 2 2" xfId="2285"/>
    <cellStyle name="Calculation 12 3 3 2 3" xfId="2286"/>
    <cellStyle name="Calculation 12 3 3 2 4" xfId="2287"/>
    <cellStyle name="Calculation 12 3 3 2 5" xfId="2288"/>
    <cellStyle name="Calculation 12 3 3 2 6" xfId="2289"/>
    <cellStyle name="Calculation 12 3 3 2 7" xfId="2290"/>
    <cellStyle name="Calculation 12 3 3 2 8" xfId="2291"/>
    <cellStyle name="Calculation 12 3 3 3" xfId="2292"/>
    <cellStyle name="Calculation 12 3 3 3 2" xfId="2293"/>
    <cellStyle name="Calculation 12 3 3 3 3" xfId="2294"/>
    <cellStyle name="Calculation 12 3 3 3 4" xfId="2295"/>
    <cellStyle name="Calculation 12 3 3 3 5" xfId="2296"/>
    <cellStyle name="Calculation 12 3 3 3 6" xfId="2297"/>
    <cellStyle name="Calculation 12 3 3 3 7" xfId="2298"/>
    <cellStyle name="Calculation 12 3 3 3 8" xfId="2299"/>
    <cellStyle name="Calculation 12 3 3 4" xfId="2300"/>
    <cellStyle name="Calculation 12 3 3 4 2" xfId="2301"/>
    <cellStyle name="Calculation 12 3 3 4 3" xfId="2302"/>
    <cellStyle name="Calculation 12 3 3 4 4" xfId="2303"/>
    <cellStyle name="Calculation 12 3 3 4 5" xfId="2304"/>
    <cellStyle name="Calculation 12 3 3 4 6" xfId="2305"/>
    <cellStyle name="Calculation 12 3 3 4 7" xfId="2306"/>
    <cellStyle name="Calculation 12 3 3 4 8" xfId="2307"/>
    <cellStyle name="Calculation 12 3 3 5" xfId="2308"/>
    <cellStyle name="Calculation 12 3 4" xfId="2309"/>
    <cellStyle name="Calculation 12 3 4 2" xfId="2310"/>
    <cellStyle name="Calculation 12 3 4 2 2" xfId="2311"/>
    <cellStyle name="Calculation 12 3 4 2 3" xfId="2312"/>
    <cellStyle name="Calculation 12 3 4 2 4" xfId="2313"/>
    <cellStyle name="Calculation 12 3 4 2 5" xfId="2314"/>
    <cellStyle name="Calculation 12 3 4 2 6" xfId="2315"/>
    <cellStyle name="Calculation 12 3 4 2 7" xfId="2316"/>
    <cellStyle name="Calculation 12 3 4 2 8" xfId="2317"/>
    <cellStyle name="Calculation 12 3 4 3" xfId="2318"/>
    <cellStyle name="Calculation 12 3 4 3 2" xfId="2319"/>
    <cellStyle name="Calculation 12 3 4 3 3" xfId="2320"/>
    <cellStyle name="Calculation 12 3 4 3 4" xfId="2321"/>
    <cellStyle name="Calculation 12 3 4 3 5" xfId="2322"/>
    <cellStyle name="Calculation 12 3 4 3 6" xfId="2323"/>
    <cellStyle name="Calculation 12 3 4 3 7" xfId="2324"/>
    <cellStyle name="Calculation 12 3 4 3 8" xfId="2325"/>
    <cellStyle name="Calculation 12 3 4 4" xfId="2326"/>
    <cellStyle name="Calculation 12 3 4 4 2" xfId="2327"/>
    <cellStyle name="Calculation 12 3 4 4 3" xfId="2328"/>
    <cellStyle name="Calculation 12 3 4 4 4" xfId="2329"/>
    <cellStyle name="Calculation 12 3 4 4 5" xfId="2330"/>
    <cellStyle name="Calculation 12 3 4 4 6" xfId="2331"/>
    <cellStyle name="Calculation 12 3 4 4 7" xfId="2332"/>
    <cellStyle name="Calculation 12 3 4 4 8" xfId="2333"/>
    <cellStyle name="Calculation 12 3 5" xfId="2334"/>
    <cellStyle name="Calculation 12 3 5 2" xfId="2335"/>
    <cellStyle name="Calculation 12 3 5 3" xfId="2336"/>
    <cellStyle name="Calculation 12 3 5 4" xfId="2337"/>
    <cellStyle name="Calculation 12 3 5 5" xfId="2338"/>
    <cellStyle name="Calculation 12 3 5 6" xfId="2339"/>
    <cellStyle name="Calculation 12 3 5 7" xfId="2340"/>
    <cellStyle name="Calculation 12 3 5 8" xfId="2341"/>
    <cellStyle name="Calculation 12 3 6" xfId="2342"/>
    <cellStyle name="Calculation 12 3 6 2" xfId="2343"/>
    <cellStyle name="Calculation 12 3 6 3" xfId="2344"/>
    <cellStyle name="Calculation 12 3 6 4" xfId="2345"/>
    <cellStyle name="Calculation 12 3 6 5" xfId="2346"/>
    <cellStyle name="Calculation 12 3 6 6" xfId="2347"/>
    <cellStyle name="Calculation 12 3 6 7" xfId="2348"/>
    <cellStyle name="Calculation 12 3 6 8" xfId="2349"/>
    <cellStyle name="Calculation 12 3 7" xfId="2350"/>
    <cellStyle name="Calculation 12 3 7 2" xfId="2351"/>
    <cellStyle name="Calculation 12 3 7 3" xfId="2352"/>
    <cellStyle name="Calculation 12 3 7 4" xfId="2353"/>
    <cellStyle name="Calculation 12 3 7 5" xfId="2354"/>
    <cellStyle name="Calculation 12 3 7 6" xfId="2355"/>
    <cellStyle name="Calculation 12 3 7 7" xfId="2356"/>
    <cellStyle name="Calculation 12 3 7 8" xfId="2357"/>
    <cellStyle name="Calculation 12 4" xfId="2358"/>
    <cellStyle name="Calculation 12 4 2" xfId="2359"/>
    <cellStyle name="Calculation 12 4 2 2" xfId="2360"/>
    <cellStyle name="Calculation 12 4 2 2 2" xfId="2361"/>
    <cellStyle name="Calculation 12 4 2 2 3" xfId="2362"/>
    <cellStyle name="Calculation 12 4 2 2 4" xfId="2363"/>
    <cellStyle name="Calculation 12 4 2 2 5" xfId="2364"/>
    <cellStyle name="Calculation 12 4 2 2 6" xfId="2365"/>
    <cellStyle name="Calculation 12 4 2 2 7" xfId="2366"/>
    <cellStyle name="Calculation 12 4 2 2 8" xfId="2367"/>
    <cellStyle name="Calculation 12 4 2 3" xfId="2368"/>
    <cellStyle name="Calculation 12 4 2 3 2" xfId="2369"/>
    <cellStyle name="Calculation 12 4 2 3 3" xfId="2370"/>
    <cellStyle name="Calculation 12 4 2 3 4" xfId="2371"/>
    <cellStyle name="Calculation 12 4 2 3 5" xfId="2372"/>
    <cellStyle name="Calculation 12 4 2 3 6" xfId="2373"/>
    <cellStyle name="Calculation 12 4 2 3 7" xfId="2374"/>
    <cellStyle name="Calculation 12 4 2 3 8" xfId="2375"/>
    <cellStyle name="Calculation 12 4 2 4" xfId="2376"/>
    <cellStyle name="Calculation 12 4 2 4 2" xfId="2377"/>
    <cellStyle name="Calculation 12 4 2 4 3" xfId="2378"/>
    <cellStyle name="Calculation 12 4 2 4 4" xfId="2379"/>
    <cellStyle name="Calculation 12 4 2 4 5" xfId="2380"/>
    <cellStyle name="Calculation 12 4 2 4 6" xfId="2381"/>
    <cellStyle name="Calculation 12 4 2 4 7" xfId="2382"/>
    <cellStyle name="Calculation 12 4 2 4 8" xfId="2383"/>
    <cellStyle name="Calculation 12 4 2 5" xfId="2384"/>
    <cellStyle name="Calculation 12 4 3" xfId="2385"/>
    <cellStyle name="Calculation 12 4 3 2" xfId="2386"/>
    <cellStyle name="Calculation 12 4 3 3" xfId="2387"/>
    <cellStyle name="Calculation 12 4 3 4" xfId="2388"/>
    <cellStyle name="Calculation 12 4 3 5" xfId="2389"/>
    <cellStyle name="Calculation 12 4 3 6" xfId="2390"/>
    <cellStyle name="Calculation 12 4 3 7" xfId="2391"/>
    <cellStyle name="Calculation 12 4 3 8" xfId="2392"/>
    <cellStyle name="Calculation 12 4 4" xfId="2393"/>
    <cellStyle name="Calculation 12 4 4 2" xfId="2394"/>
    <cellStyle name="Calculation 12 4 4 3" xfId="2395"/>
    <cellStyle name="Calculation 12 4 4 4" xfId="2396"/>
    <cellStyle name="Calculation 12 4 4 5" xfId="2397"/>
    <cellStyle name="Calculation 12 4 4 6" xfId="2398"/>
    <cellStyle name="Calculation 12 4 4 7" xfId="2399"/>
    <cellStyle name="Calculation 12 4 4 8" xfId="2400"/>
    <cellStyle name="Calculation 12 4 5" xfId="2401"/>
    <cellStyle name="Calculation 12 4 5 2" xfId="2402"/>
    <cellStyle name="Calculation 12 4 5 3" xfId="2403"/>
    <cellStyle name="Calculation 12 4 5 4" xfId="2404"/>
    <cellStyle name="Calculation 12 4 5 5" xfId="2405"/>
    <cellStyle name="Calculation 12 4 5 6" xfId="2406"/>
    <cellStyle name="Calculation 12 4 5 7" xfId="2407"/>
    <cellStyle name="Calculation 12 4 5 8" xfId="2408"/>
    <cellStyle name="Calculation 12 4 6" xfId="2409"/>
    <cellStyle name="Calculation 12 5" xfId="2410"/>
    <cellStyle name="Calculation 12 5 2" xfId="2411"/>
    <cellStyle name="Calculation 12 5 3" xfId="2412"/>
    <cellStyle name="Calculation 12 5 4" xfId="2413"/>
    <cellStyle name="Calculation 12 5 5" xfId="2414"/>
    <cellStyle name="Calculation 12 5 6" xfId="2415"/>
    <cellStyle name="Calculation 12 5 7" xfId="2416"/>
    <cellStyle name="Calculation 12 5 8" xfId="2417"/>
    <cellStyle name="Calculation 12 6" xfId="2418"/>
    <cellStyle name="Calculation 12 6 2" xfId="2419"/>
    <cellStyle name="Calculation 12 6 3" xfId="2420"/>
    <cellStyle name="Calculation 12 6 4" xfId="2421"/>
    <cellStyle name="Calculation 12 6 5" xfId="2422"/>
    <cellStyle name="Calculation 12 6 6" xfId="2423"/>
    <cellStyle name="Calculation 12 6 7" xfId="2424"/>
    <cellStyle name="Calculation 12 6 8" xfId="2425"/>
    <cellStyle name="Calculation 12 7" xfId="2426"/>
    <cellStyle name="Calculation 12 7 2" xfId="2427"/>
    <cellStyle name="Calculation 12 7 3" xfId="2428"/>
    <cellStyle name="Calculation 12 7 4" xfId="2429"/>
    <cellStyle name="Calculation 12 7 5" xfId="2430"/>
    <cellStyle name="Calculation 12 7 6" xfId="2431"/>
    <cellStyle name="Calculation 12 7 7" xfId="2432"/>
    <cellStyle name="Calculation 12 7 8" xfId="2433"/>
    <cellStyle name="Calculation 13" xfId="2434"/>
    <cellStyle name="Calculation 13 2" xfId="2435"/>
    <cellStyle name="Calculation 13 2 2" xfId="2436"/>
    <cellStyle name="Calculation 13 2 2 2" xfId="2437"/>
    <cellStyle name="Calculation 13 2 2 2 2" xfId="2438"/>
    <cellStyle name="Calculation 13 2 2 2 2 2" xfId="2439"/>
    <cellStyle name="Calculation 13 2 2 2 2 3" xfId="2440"/>
    <cellStyle name="Calculation 13 2 2 2 2 4" xfId="2441"/>
    <cellStyle name="Calculation 13 2 2 2 2 5" xfId="2442"/>
    <cellStyle name="Calculation 13 2 2 2 2 6" xfId="2443"/>
    <cellStyle name="Calculation 13 2 2 2 2 7" xfId="2444"/>
    <cellStyle name="Calculation 13 2 2 2 2 8" xfId="2445"/>
    <cellStyle name="Calculation 13 2 2 2 3" xfId="2446"/>
    <cellStyle name="Calculation 13 2 2 2 3 2" xfId="2447"/>
    <cellStyle name="Calculation 13 2 2 2 3 3" xfId="2448"/>
    <cellStyle name="Calculation 13 2 2 2 3 4" xfId="2449"/>
    <cellStyle name="Calculation 13 2 2 2 3 5" xfId="2450"/>
    <cellStyle name="Calculation 13 2 2 2 3 6" xfId="2451"/>
    <cellStyle name="Calculation 13 2 2 2 3 7" xfId="2452"/>
    <cellStyle name="Calculation 13 2 2 2 3 8" xfId="2453"/>
    <cellStyle name="Calculation 13 2 2 2 4" xfId="2454"/>
    <cellStyle name="Calculation 13 2 2 2 4 2" xfId="2455"/>
    <cellStyle name="Calculation 13 2 2 2 4 3" xfId="2456"/>
    <cellStyle name="Calculation 13 2 2 2 4 4" xfId="2457"/>
    <cellStyle name="Calculation 13 2 2 2 4 5" xfId="2458"/>
    <cellStyle name="Calculation 13 2 2 2 4 6" xfId="2459"/>
    <cellStyle name="Calculation 13 2 2 2 4 7" xfId="2460"/>
    <cellStyle name="Calculation 13 2 2 2 4 8" xfId="2461"/>
    <cellStyle name="Calculation 13 2 2 2 5" xfId="2462"/>
    <cellStyle name="Calculation 13 2 2 3" xfId="2463"/>
    <cellStyle name="Calculation 13 2 2 3 2" xfId="2464"/>
    <cellStyle name="Calculation 13 2 2 3 2 2" xfId="2465"/>
    <cellStyle name="Calculation 13 2 2 3 2 3" xfId="2466"/>
    <cellStyle name="Calculation 13 2 2 3 2 4" xfId="2467"/>
    <cellStyle name="Calculation 13 2 2 3 2 5" xfId="2468"/>
    <cellStyle name="Calculation 13 2 2 3 2 6" xfId="2469"/>
    <cellStyle name="Calculation 13 2 2 3 2 7" xfId="2470"/>
    <cellStyle name="Calculation 13 2 2 3 2 8" xfId="2471"/>
    <cellStyle name="Calculation 13 2 2 3 3" xfId="2472"/>
    <cellStyle name="Calculation 13 2 2 3 3 2" xfId="2473"/>
    <cellStyle name="Calculation 13 2 2 3 3 3" xfId="2474"/>
    <cellStyle name="Calculation 13 2 2 3 3 4" xfId="2475"/>
    <cellStyle name="Calculation 13 2 2 3 3 5" xfId="2476"/>
    <cellStyle name="Calculation 13 2 2 3 3 6" xfId="2477"/>
    <cellStyle name="Calculation 13 2 2 3 3 7" xfId="2478"/>
    <cellStyle name="Calculation 13 2 2 3 3 8" xfId="2479"/>
    <cellStyle name="Calculation 13 2 2 3 4" xfId="2480"/>
    <cellStyle name="Calculation 13 2 2 3 4 2" xfId="2481"/>
    <cellStyle name="Calculation 13 2 2 3 4 3" xfId="2482"/>
    <cellStyle name="Calculation 13 2 2 3 4 4" xfId="2483"/>
    <cellStyle name="Calculation 13 2 2 3 4 5" xfId="2484"/>
    <cellStyle name="Calculation 13 2 2 3 4 6" xfId="2485"/>
    <cellStyle name="Calculation 13 2 2 3 4 7" xfId="2486"/>
    <cellStyle name="Calculation 13 2 2 3 4 8" xfId="2487"/>
    <cellStyle name="Calculation 13 2 2 3 5" xfId="2488"/>
    <cellStyle name="Calculation 13 2 2 4" xfId="2489"/>
    <cellStyle name="Calculation 13 2 2 4 2" xfId="2490"/>
    <cellStyle name="Calculation 13 2 2 4 2 2" xfId="2491"/>
    <cellStyle name="Calculation 13 2 2 4 2 3" xfId="2492"/>
    <cellStyle name="Calculation 13 2 2 4 2 4" xfId="2493"/>
    <cellStyle name="Calculation 13 2 2 4 2 5" xfId="2494"/>
    <cellStyle name="Calculation 13 2 2 4 2 6" xfId="2495"/>
    <cellStyle name="Calculation 13 2 2 4 2 7" xfId="2496"/>
    <cellStyle name="Calculation 13 2 2 4 2 8" xfId="2497"/>
    <cellStyle name="Calculation 13 2 2 4 3" xfId="2498"/>
    <cellStyle name="Calculation 13 2 2 4 3 2" xfId="2499"/>
    <cellStyle name="Calculation 13 2 2 4 3 3" xfId="2500"/>
    <cellStyle name="Calculation 13 2 2 4 3 4" xfId="2501"/>
    <cellStyle name="Calculation 13 2 2 4 3 5" xfId="2502"/>
    <cellStyle name="Calculation 13 2 2 4 3 6" xfId="2503"/>
    <cellStyle name="Calculation 13 2 2 4 3 7" xfId="2504"/>
    <cellStyle name="Calculation 13 2 2 4 3 8" xfId="2505"/>
    <cellStyle name="Calculation 13 2 2 4 4" xfId="2506"/>
    <cellStyle name="Calculation 13 2 2 4 4 2" xfId="2507"/>
    <cellStyle name="Calculation 13 2 2 4 4 3" xfId="2508"/>
    <cellStyle name="Calculation 13 2 2 4 4 4" xfId="2509"/>
    <cellStyle name="Calculation 13 2 2 4 4 5" xfId="2510"/>
    <cellStyle name="Calculation 13 2 2 4 4 6" xfId="2511"/>
    <cellStyle name="Calculation 13 2 2 4 4 7" xfId="2512"/>
    <cellStyle name="Calculation 13 2 2 4 4 8" xfId="2513"/>
    <cellStyle name="Calculation 13 2 2 5" xfId="2514"/>
    <cellStyle name="Calculation 13 2 2 5 2" xfId="2515"/>
    <cellStyle name="Calculation 13 2 2 5 3" xfId="2516"/>
    <cellStyle name="Calculation 13 2 2 5 4" xfId="2517"/>
    <cellStyle name="Calculation 13 2 2 5 5" xfId="2518"/>
    <cellStyle name="Calculation 13 2 2 5 6" xfId="2519"/>
    <cellStyle name="Calculation 13 2 2 5 7" xfId="2520"/>
    <cellStyle name="Calculation 13 2 2 5 8" xfId="2521"/>
    <cellStyle name="Calculation 13 2 2 6" xfId="2522"/>
    <cellStyle name="Calculation 13 2 2 6 2" xfId="2523"/>
    <cellStyle name="Calculation 13 2 2 6 3" xfId="2524"/>
    <cellStyle name="Calculation 13 2 2 6 4" xfId="2525"/>
    <cellStyle name="Calculation 13 2 2 6 5" xfId="2526"/>
    <cellStyle name="Calculation 13 2 2 6 6" xfId="2527"/>
    <cellStyle name="Calculation 13 2 2 6 7" xfId="2528"/>
    <cellStyle name="Calculation 13 2 2 6 8" xfId="2529"/>
    <cellStyle name="Calculation 13 2 2 7" xfId="2530"/>
    <cellStyle name="Calculation 13 2 2 7 2" xfId="2531"/>
    <cellStyle name="Calculation 13 2 2 7 3" xfId="2532"/>
    <cellStyle name="Calculation 13 2 2 7 4" xfId="2533"/>
    <cellStyle name="Calculation 13 2 2 7 5" xfId="2534"/>
    <cellStyle name="Calculation 13 2 2 7 6" xfId="2535"/>
    <cellStyle name="Calculation 13 2 2 7 7" xfId="2536"/>
    <cellStyle name="Calculation 13 2 2 7 8" xfId="2537"/>
    <cellStyle name="Calculation 13 2 3" xfId="2538"/>
    <cellStyle name="Calculation 13 2 3 2" xfId="2539"/>
    <cellStyle name="Calculation 13 2 3 2 2" xfId="2540"/>
    <cellStyle name="Calculation 13 2 3 2 2 2" xfId="2541"/>
    <cellStyle name="Calculation 13 2 3 2 2 3" xfId="2542"/>
    <cellStyle name="Calculation 13 2 3 2 2 4" xfId="2543"/>
    <cellStyle name="Calculation 13 2 3 2 2 5" xfId="2544"/>
    <cellStyle name="Calculation 13 2 3 2 2 6" xfId="2545"/>
    <cellStyle name="Calculation 13 2 3 2 2 7" xfId="2546"/>
    <cellStyle name="Calculation 13 2 3 2 2 8" xfId="2547"/>
    <cellStyle name="Calculation 13 2 3 2 3" xfId="2548"/>
    <cellStyle name="Calculation 13 2 3 2 3 2" xfId="2549"/>
    <cellStyle name="Calculation 13 2 3 2 3 3" xfId="2550"/>
    <cellStyle name="Calculation 13 2 3 2 3 4" xfId="2551"/>
    <cellStyle name="Calculation 13 2 3 2 3 5" xfId="2552"/>
    <cellStyle name="Calculation 13 2 3 2 3 6" xfId="2553"/>
    <cellStyle name="Calculation 13 2 3 2 3 7" xfId="2554"/>
    <cellStyle name="Calculation 13 2 3 2 3 8" xfId="2555"/>
    <cellStyle name="Calculation 13 2 3 2 4" xfId="2556"/>
    <cellStyle name="Calculation 13 2 3 2 4 2" xfId="2557"/>
    <cellStyle name="Calculation 13 2 3 2 4 3" xfId="2558"/>
    <cellStyle name="Calculation 13 2 3 2 4 4" xfId="2559"/>
    <cellStyle name="Calculation 13 2 3 2 4 5" xfId="2560"/>
    <cellStyle name="Calculation 13 2 3 2 4 6" xfId="2561"/>
    <cellStyle name="Calculation 13 2 3 2 4 7" xfId="2562"/>
    <cellStyle name="Calculation 13 2 3 2 4 8" xfId="2563"/>
    <cellStyle name="Calculation 13 2 3 2 5" xfId="2564"/>
    <cellStyle name="Calculation 13 2 3 3" xfId="2565"/>
    <cellStyle name="Calculation 13 2 3 3 2" xfId="2566"/>
    <cellStyle name="Calculation 13 2 3 3 3" xfId="2567"/>
    <cellStyle name="Calculation 13 2 3 3 4" xfId="2568"/>
    <cellStyle name="Calculation 13 2 3 3 5" xfId="2569"/>
    <cellStyle name="Calculation 13 2 3 3 6" xfId="2570"/>
    <cellStyle name="Calculation 13 2 3 3 7" xfId="2571"/>
    <cellStyle name="Calculation 13 2 3 3 8" xfId="2572"/>
    <cellStyle name="Calculation 13 2 3 4" xfId="2573"/>
    <cellStyle name="Calculation 13 2 3 4 2" xfId="2574"/>
    <cellStyle name="Calculation 13 2 3 4 3" xfId="2575"/>
    <cellStyle name="Calculation 13 2 3 4 4" xfId="2576"/>
    <cellStyle name="Calculation 13 2 3 4 5" xfId="2577"/>
    <cellStyle name="Calculation 13 2 3 4 6" xfId="2578"/>
    <cellStyle name="Calculation 13 2 3 4 7" xfId="2579"/>
    <cellStyle name="Calculation 13 2 3 4 8" xfId="2580"/>
    <cellStyle name="Calculation 13 2 3 5" xfId="2581"/>
    <cellStyle name="Calculation 13 2 3 5 2" xfId="2582"/>
    <cellStyle name="Calculation 13 2 3 5 3" xfId="2583"/>
    <cellStyle name="Calculation 13 2 3 5 4" xfId="2584"/>
    <cellStyle name="Calculation 13 2 3 5 5" xfId="2585"/>
    <cellStyle name="Calculation 13 2 3 5 6" xfId="2586"/>
    <cellStyle name="Calculation 13 2 3 5 7" xfId="2587"/>
    <cellStyle name="Calculation 13 2 3 5 8" xfId="2588"/>
    <cellStyle name="Calculation 13 2 3 6" xfId="2589"/>
    <cellStyle name="Calculation 13 2 4" xfId="2590"/>
    <cellStyle name="Calculation 13 2 4 2" xfId="2591"/>
    <cellStyle name="Calculation 13 2 4 3" xfId="2592"/>
    <cellStyle name="Calculation 13 2 4 4" xfId="2593"/>
    <cellStyle name="Calculation 13 2 4 5" xfId="2594"/>
    <cellStyle name="Calculation 13 2 4 6" xfId="2595"/>
    <cellStyle name="Calculation 13 2 4 7" xfId="2596"/>
    <cellStyle name="Calculation 13 2 4 8" xfId="2597"/>
    <cellStyle name="Calculation 13 2 5" xfId="2598"/>
    <cellStyle name="Calculation 13 2 5 2" xfId="2599"/>
    <cellStyle name="Calculation 13 2 5 3" xfId="2600"/>
    <cellStyle name="Calculation 13 2 5 4" xfId="2601"/>
    <cellStyle name="Calculation 13 2 5 5" xfId="2602"/>
    <cellStyle name="Calculation 13 2 5 6" xfId="2603"/>
    <cellStyle name="Calculation 13 2 5 7" xfId="2604"/>
    <cellStyle name="Calculation 13 2 5 8" xfId="2605"/>
    <cellStyle name="Calculation 13 2 6" xfId="2606"/>
    <cellStyle name="Calculation 13 2 6 2" xfId="2607"/>
    <cellStyle name="Calculation 13 2 6 3" xfId="2608"/>
    <cellStyle name="Calculation 13 2 6 4" xfId="2609"/>
    <cellStyle name="Calculation 13 2 6 5" xfId="2610"/>
    <cellStyle name="Calculation 13 2 6 6" xfId="2611"/>
    <cellStyle name="Calculation 13 2 6 7" xfId="2612"/>
    <cellStyle name="Calculation 13 2 6 8" xfId="2613"/>
    <cellStyle name="Calculation 13 3" xfId="2614"/>
    <cellStyle name="Calculation 13 3 2" xfId="2615"/>
    <cellStyle name="Calculation 13 3 2 2" xfId="2616"/>
    <cellStyle name="Calculation 13 3 2 2 2" xfId="2617"/>
    <cellStyle name="Calculation 13 3 2 2 3" xfId="2618"/>
    <cellStyle name="Calculation 13 3 2 2 4" xfId="2619"/>
    <cellStyle name="Calculation 13 3 2 2 5" xfId="2620"/>
    <cellStyle name="Calculation 13 3 2 2 6" xfId="2621"/>
    <cellStyle name="Calculation 13 3 2 2 7" xfId="2622"/>
    <cellStyle name="Calculation 13 3 2 2 8" xfId="2623"/>
    <cellStyle name="Calculation 13 3 2 3" xfId="2624"/>
    <cellStyle name="Calculation 13 3 2 3 2" xfId="2625"/>
    <cellStyle name="Calculation 13 3 2 3 3" xfId="2626"/>
    <cellStyle name="Calculation 13 3 2 3 4" xfId="2627"/>
    <cellStyle name="Calculation 13 3 2 3 5" xfId="2628"/>
    <cellStyle name="Calculation 13 3 2 3 6" xfId="2629"/>
    <cellStyle name="Calculation 13 3 2 3 7" xfId="2630"/>
    <cellStyle name="Calculation 13 3 2 3 8" xfId="2631"/>
    <cellStyle name="Calculation 13 3 2 4" xfId="2632"/>
    <cellStyle name="Calculation 13 3 2 4 2" xfId="2633"/>
    <cellStyle name="Calculation 13 3 2 4 3" xfId="2634"/>
    <cellStyle name="Calculation 13 3 2 4 4" xfId="2635"/>
    <cellStyle name="Calculation 13 3 2 4 5" xfId="2636"/>
    <cellStyle name="Calculation 13 3 2 4 6" xfId="2637"/>
    <cellStyle name="Calculation 13 3 2 4 7" xfId="2638"/>
    <cellStyle name="Calculation 13 3 2 4 8" xfId="2639"/>
    <cellStyle name="Calculation 13 3 2 5" xfId="2640"/>
    <cellStyle name="Calculation 13 3 3" xfId="2641"/>
    <cellStyle name="Calculation 13 3 3 2" xfId="2642"/>
    <cellStyle name="Calculation 13 3 3 2 2" xfId="2643"/>
    <cellStyle name="Calculation 13 3 3 2 3" xfId="2644"/>
    <cellStyle name="Calculation 13 3 3 2 4" xfId="2645"/>
    <cellStyle name="Calculation 13 3 3 2 5" xfId="2646"/>
    <cellStyle name="Calculation 13 3 3 2 6" xfId="2647"/>
    <cellStyle name="Calculation 13 3 3 2 7" xfId="2648"/>
    <cellStyle name="Calculation 13 3 3 2 8" xfId="2649"/>
    <cellStyle name="Calculation 13 3 3 3" xfId="2650"/>
    <cellStyle name="Calculation 13 3 3 3 2" xfId="2651"/>
    <cellStyle name="Calculation 13 3 3 3 3" xfId="2652"/>
    <cellStyle name="Calculation 13 3 3 3 4" xfId="2653"/>
    <cellStyle name="Calculation 13 3 3 3 5" xfId="2654"/>
    <cellStyle name="Calculation 13 3 3 3 6" xfId="2655"/>
    <cellStyle name="Calculation 13 3 3 3 7" xfId="2656"/>
    <cellStyle name="Calculation 13 3 3 3 8" xfId="2657"/>
    <cellStyle name="Calculation 13 3 3 4" xfId="2658"/>
    <cellStyle name="Calculation 13 3 3 4 2" xfId="2659"/>
    <cellStyle name="Calculation 13 3 3 4 3" xfId="2660"/>
    <cellStyle name="Calculation 13 3 3 4 4" xfId="2661"/>
    <cellStyle name="Calculation 13 3 3 4 5" xfId="2662"/>
    <cellStyle name="Calculation 13 3 3 4 6" xfId="2663"/>
    <cellStyle name="Calculation 13 3 3 4 7" xfId="2664"/>
    <cellStyle name="Calculation 13 3 3 4 8" xfId="2665"/>
    <cellStyle name="Calculation 13 3 3 5" xfId="2666"/>
    <cellStyle name="Calculation 13 3 4" xfId="2667"/>
    <cellStyle name="Calculation 13 3 4 2" xfId="2668"/>
    <cellStyle name="Calculation 13 3 4 2 2" xfId="2669"/>
    <cellStyle name="Calculation 13 3 4 2 3" xfId="2670"/>
    <cellStyle name="Calculation 13 3 4 2 4" xfId="2671"/>
    <cellStyle name="Calculation 13 3 4 2 5" xfId="2672"/>
    <cellStyle name="Calculation 13 3 4 2 6" xfId="2673"/>
    <cellStyle name="Calculation 13 3 4 2 7" xfId="2674"/>
    <cellStyle name="Calculation 13 3 4 2 8" xfId="2675"/>
    <cellStyle name="Calculation 13 3 4 3" xfId="2676"/>
    <cellStyle name="Calculation 13 3 4 3 2" xfId="2677"/>
    <cellStyle name="Calculation 13 3 4 3 3" xfId="2678"/>
    <cellStyle name="Calculation 13 3 4 3 4" xfId="2679"/>
    <cellStyle name="Calculation 13 3 4 3 5" xfId="2680"/>
    <cellStyle name="Calculation 13 3 4 3 6" xfId="2681"/>
    <cellStyle name="Calculation 13 3 4 3 7" xfId="2682"/>
    <cellStyle name="Calculation 13 3 4 3 8" xfId="2683"/>
    <cellStyle name="Calculation 13 3 4 4" xfId="2684"/>
    <cellStyle name="Calculation 13 3 4 4 2" xfId="2685"/>
    <cellStyle name="Calculation 13 3 4 4 3" xfId="2686"/>
    <cellStyle name="Calculation 13 3 4 4 4" xfId="2687"/>
    <cellStyle name="Calculation 13 3 4 4 5" xfId="2688"/>
    <cellStyle name="Calculation 13 3 4 4 6" xfId="2689"/>
    <cellStyle name="Calculation 13 3 4 4 7" xfId="2690"/>
    <cellStyle name="Calculation 13 3 4 4 8" xfId="2691"/>
    <cellStyle name="Calculation 13 3 5" xfId="2692"/>
    <cellStyle name="Calculation 13 3 5 2" xfId="2693"/>
    <cellStyle name="Calculation 13 3 5 3" xfId="2694"/>
    <cellStyle name="Calculation 13 3 5 4" xfId="2695"/>
    <cellStyle name="Calculation 13 3 5 5" xfId="2696"/>
    <cellStyle name="Calculation 13 3 5 6" xfId="2697"/>
    <cellStyle name="Calculation 13 3 5 7" xfId="2698"/>
    <cellStyle name="Calculation 13 3 5 8" xfId="2699"/>
    <cellStyle name="Calculation 13 3 6" xfId="2700"/>
    <cellStyle name="Calculation 13 3 6 2" xfId="2701"/>
    <cellStyle name="Calculation 13 3 6 3" xfId="2702"/>
    <cellStyle name="Calculation 13 3 6 4" xfId="2703"/>
    <cellStyle name="Calculation 13 3 6 5" xfId="2704"/>
    <cellStyle name="Calculation 13 3 6 6" xfId="2705"/>
    <cellStyle name="Calculation 13 3 6 7" xfId="2706"/>
    <cellStyle name="Calculation 13 3 6 8" xfId="2707"/>
    <cellStyle name="Calculation 13 3 7" xfId="2708"/>
    <cellStyle name="Calculation 13 3 7 2" xfId="2709"/>
    <cellStyle name="Calculation 13 3 7 3" xfId="2710"/>
    <cellStyle name="Calculation 13 3 7 4" xfId="2711"/>
    <cellStyle name="Calculation 13 3 7 5" xfId="2712"/>
    <cellStyle name="Calculation 13 3 7 6" xfId="2713"/>
    <cellStyle name="Calculation 13 3 7 7" xfId="2714"/>
    <cellStyle name="Calculation 13 3 7 8" xfId="2715"/>
    <cellStyle name="Calculation 13 4" xfId="2716"/>
    <cellStyle name="Calculation 13 4 2" xfId="2717"/>
    <cellStyle name="Calculation 13 4 2 2" xfId="2718"/>
    <cellStyle name="Calculation 13 4 2 2 2" xfId="2719"/>
    <cellStyle name="Calculation 13 4 2 2 3" xfId="2720"/>
    <cellStyle name="Calculation 13 4 2 2 4" xfId="2721"/>
    <cellStyle name="Calculation 13 4 2 2 5" xfId="2722"/>
    <cellStyle name="Calculation 13 4 2 2 6" xfId="2723"/>
    <cellStyle name="Calculation 13 4 2 2 7" xfId="2724"/>
    <cellStyle name="Calculation 13 4 2 2 8" xfId="2725"/>
    <cellStyle name="Calculation 13 4 2 3" xfId="2726"/>
    <cellStyle name="Calculation 13 4 2 3 2" xfId="2727"/>
    <cellStyle name="Calculation 13 4 2 3 3" xfId="2728"/>
    <cellStyle name="Calculation 13 4 2 3 4" xfId="2729"/>
    <cellStyle name="Calculation 13 4 2 3 5" xfId="2730"/>
    <cellStyle name="Calculation 13 4 2 3 6" xfId="2731"/>
    <cellStyle name="Calculation 13 4 2 3 7" xfId="2732"/>
    <cellStyle name="Calculation 13 4 2 3 8" xfId="2733"/>
    <cellStyle name="Calculation 2" xfId="2734"/>
    <cellStyle name="Calculation 2 10" xfId="2735"/>
    <cellStyle name="Calculation 2 2" xfId="2736"/>
    <cellStyle name="Calculation 2 2 2" xfId="2737"/>
    <cellStyle name="Calculation 2 2 2 2" xfId="2738"/>
    <cellStyle name="Calculation 2 2 3" xfId="2739"/>
    <cellStyle name="Calculation 2 2 3 2" xfId="2740"/>
    <cellStyle name="Calculation 2 2 4" xfId="2741"/>
    <cellStyle name="Calculation 2 2 4 2" xfId="2742"/>
    <cellStyle name="Calculation 2 2 5" xfId="2743"/>
    <cellStyle name="Calculation 2 2 5 2" xfId="2744"/>
    <cellStyle name="Calculation 2 2 6" xfId="2745"/>
    <cellStyle name="Calculation 2 2 6 2" xfId="2746"/>
    <cellStyle name="Calculation 2 2 7" xfId="2747"/>
    <cellStyle name="Calculation 2 2 7 2" xfId="2748"/>
    <cellStyle name="Calculation 2 2 8" xfId="2749"/>
    <cellStyle name="Calculation 2 2 8 2" xfId="2750"/>
    <cellStyle name="Calculation 2 2 9" xfId="2751"/>
    <cellStyle name="Calculation 2 3" xfId="2752"/>
    <cellStyle name="Calculation 2 3 2" xfId="2753"/>
    <cellStyle name="Calculation 2 4" xfId="2754"/>
    <cellStyle name="Calculation 2 4 2" xfId="2755"/>
    <cellStyle name="Calculation 2 5" xfId="2756"/>
    <cellStyle name="Calculation 2 5 2" xfId="2757"/>
    <cellStyle name="Calculation 2 6" xfId="2758"/>
    <cellStyle name="Calculation 2 6 2" xfId="2759"/>
    <cellStyle name="Calculation 2 7" xfId="2760"/>
    <cellStyle name="Calculation 2 7 2" xfId="2761"/>
    <cellStyle name="Calculation 2 8" xfId="2762"/>
    <cellStyle name="Calculation 2 8 2" xfId="2763"/>
    <cellStyle name="Calculation 2 9" xfId="2764"/>
    <cellStyle name="Calculation 2 9 2" xfId="2765"/>
    <cellStyle name="Calculation 3" xfId="2766"/>
    <cellStyle name="Calculation 3 10" xfId="2767"/>
    <cellStyle name="Calculation 3 2" xfId="2768"/>
    <cellStyle name="Calculation 3 2 2" xfId="2769"/>
    <cellStyle name="Calculation 3 2 2 2" xfId="2770"/>
    <cellStyle name="Calculation 3 2 2 3" xfId="2771"/>
    <cellStyle name="Calculation 3 2 2 4" xfId="2772"/>
    <cellStyle name="Calculation 3 2 3" xfId="2773"/>
    <cellStyle name="Calculation 3 2 3 2" xfId="2774"/>
    <cellStyle name="Calculation 3 2 4" xfId="2775"/>
    <cellStyle name="Calculation 3 2 4 2" xfId="2776"/>
    <cellStyle name="Calculation 3 2 5" xfId="2777"/>
    <cellStyle name="Calculation 3 3" xfId="2778"/>
    <cellStyle name="Calculation 3 3 2" xfId="2779"/>
    <cellStyle name="Calculation 3 3 2 2" xfId="2780"/>
    <cellStyle name="Calculation 3 3 2 3" xfId="2781"/>
    <cellStyle name="Calculation 3 3 2 4" xfId="2782"/>
    <cellStyle name="Calculation 3 3 3" xfId="2783"/>
    <cellStyle name="Calculation 3 3 3 2" xfId="2784"/>
    <cellStyle name="Calculation 3 3 4" xfId="2785"/>
    <cellStyle name="Calculation 3 3 4 2" xfId="2786"/>
    <cellStyle name="Calculation 3 3 5" xfId="2787"/>
    <cellStyle name="Calculation 3 4" xfId="2788"/>
    <cellStyle name="Calculation 3 4 2" xfId="2789"/>
    <cellStyle name="Calculation 3 4 2 2" xfId="2790"/>
    <cellStyle name="Calculation 3 4 2 3" xfId="2791"/>
    <cellStyle name="Calculation 3 4 2 4" xfId="2792"/>
    <cellStyle name="Calculation 3 4 3" xfId="2793"/>
    <cellStyle name="Calculation 3 4 3 2" xfId="2794"/>
    <cellStyle name="Calculation 3 4 4" xfId="2795"/>
    <cellStyle name="Calculation 3 4 4 2" xfId="2796"/>
    <cellStyle name="Calculation 3 4 5" xfId="2797"/>
    <cellStyle name="Calculation 3 5" xfId="2798"/>
    <cellStyle name="Calculation 3 5 2" xfId="2799"/>
    <cellStyle name="Calculation 3 5 2 2" xfId="2800"/>
    <cellStyle name="Calculation 3 5 2 3" xfId="2801"/>
    <cellStyle name="Calculation 3 5 2 4" xfId="2802"/>
    <cellStyle name="Calculation 3 5 3" xfId="2803"/>
    <cellStyle name="Calculation 3 5 3 2" xfId="2804"/>
    <cellStyle name="Calculation 3 5 4" xfId="2805"/>
    <cellStyle name="Calculation 3 5 4 2" xfId="2806"/>
    <cellStyle name="Calculation 3 5 5" xfId="2807"/>
    <cellStyle name="Calculation 3 6" xfId="2808"/>
    <cellStyle name="Calculation 3 6 2" xfId="2809"/>
    <cellStyle name="Calculation 3 6 2 2" xfId="2810"/>
    <cellStyle name="Calculation 3 6 2 3" xfId="2811"/>
    <cellStyle name="Calculation 3 6 2 4" xfId="2812"/>
    <cellStyle name="Calculation 3 6 3" xfId="2813"/>
    <cellStyle name="Calculation 3 6 3 2" xfId="2814"/>
    <cellStyle name="Calculation 3 6 4" xfId="2815"/>
    <cellStyle name="Calculation 3 6 4 2" xfId="2816"/>
    <cellStyle name="Calculation 3 6 5" xfId="2817"/>
    <cellStyle name="Calculation 3 7" xfId="2818"/>
    <cellStyle name="Calculation 3 7 2" xfId="2819"/>
    <cellStyle name="Calculation 3 7 3" xfId="2820"/>
    <cellStyle name="Calculation 3 7 4" xfId="2821"/>
    <cellStyle name="Calculation 3 8" xfId="2822"/>
    <cellStyle name="Calculation 3 8 2" xfId="2823"/>
    <cellStyle name="Calculation 3 9" xfId="2824"/>
    <cellStyle name="Calculation 3 9 2" xfId="2825"/>
    <cellStyle name="Calculation 4" xfId="2826"/>
    <cellStyle name="Calculation 4 2" xfId="2827"/>
    <cellStyle name="Calculation 4 2 2" xfId="2828"/>
    <cellStyle name="Calculation 4 2 3" xfId="2829"/>
    <cellStyle name="Calculation 4 2 4" xfId="2830"/>
    <cellStyle name="Calculation 4 3" xfId="2831"/>
    <cellStyle name="Calculation 4 3 2" xfId="2832"/>
    <cellStyle name="Calculation 4 4" xfId="2833"/>
    <cellStyle name="Calculation 4 4 2" xfId="2834"/>
    <cellStyle name="Calculation 4 5" xfId="2835"/>
    <cellStyle name="Calculation 5" xfId="2836"/>
    <cellStyle name="Calculation 5 2" xfId="2837"/>
    <cellStyle name="Calculation 5 3" xfId="2838"/>
    <cellStyle name="Calculation 6" xfId="2839"/>
    <cellStyle name="Calculation 6 2" xfId="2840"/>
    <cellStyle name="Calculation 6 3" xfId="2841"/>
    <cellStyle name="Calculation 7" xfId="2842"/>
    <cellStyle name="Calculation 7 2" xfId="2843"/>
    <cellStyle name="Calculation 8" xfId="2844"/>
    <cellStyle name="Calculation 9" xfId="2845"/>
    <cellStyle name="Calculation 9 2" xfId="2846"/>
    <cellStyle name="Capable to Test" xfId="2847"/>
    <cellStyle name="Check Cell" xfId="21" builtinId="23" hidden="1"/>
    <cellStyle name="Check Cell 2" xfId="2848"/>
    <cellStyle name="Check Cell 2 2" xfId="2849"/>
    <cellStyle name="Check Cell 2 2 2" xfId="2850"/>
    <cellStyle name="Check Cell 2 2 3" xfId="2851"/>
    <cellStyle name="Check Cell 2 3" xfId="2852"/>
    <cellStyle name="Check Cell 2 4" xfId="2853"/>
    <cellStyle name="Check Cell 3" xfId="2854"/>
    <cellStyle name="Check Cell 3 2" xfId="2855"/>
    <cellStyle name="Check Cell 3 3" xfId="2856"/>
    <cellStyle name="Check Cell 4" xfId="2857"/>
    <cellStyle name="Check Cell 4 2" xfId="2858"/>
    <cellStyle name="Check Cell 5" xfId="2859"/>
    <cellStyle name="Check Cell 6" xfId="2860"/>
    <cellStyle name="Check Cell 6 2" xfId="2861"/>
    <cellStyle name="Check Cell 7" xfId="2862"/>
    <cellStyle name="Check Cell 8" xfId="2863"/>
    <cellStyle name="Check Cell 9" xfId="2864"/>
    <cellStyle name="Comma" xfId="4" builtinId="3" hidden="1"/>
    <cellStyle name="Comma" xfId="51" builtinId="3"/>
    <cellStyle name="Comma  - Style1" xfId="2865"/>
    <cellStyle name="Comma  - Style2" xfId="2866"/>
    <cellStyle name="Comma  - Style3" xfId="2867"/>
    <cellStyle name="Comma  - Style4" xfId="2868"/>
    <cellStyle name="Comma  - Style5" xfId="2869"/>
    <cellStyle name="Comma  - Style6" xfId="2870"/>
    <cellStyle name="Comma  - Style7" xfId="2871"/>
    <cellStyle name="Comma  - Style8" xfId="2872"/>
    <cellStyle name="Comma [0]" xfId="5" builtinId="6" hidden="1"/>
    <cellStyle name="Comma [0] 2" xfId="2873"/>
    <cellStyle name="Comma [00]" xfId="2874"/>
    <cellStyle name="Comma [2]" xfId="2875"/>
    <cellStyle name="Comma 10" xfId="2876"/>
    <cellStyle name="Comma 10 2" xfId="2877"/>
    <cellStyle name="Comma 10 3" xfId="2878"/>
    <cellStyle name="Comma 10 3 2" xfId="2879"/>
    <cellStyle name="Comma 10 3 3" xfId="2880"/>
    <cellStyle name="Comma 11" xfId="2881"/>
    <cellStyle name="Comma 11 2" xfId="2882"/>
    <cellStyle name="Comma 11 2 2" xfId="2883"/>
    <cellStyle name="Comma 11 3" xfId="2884"/>
    <cellStyle name="Comma 12" xfId="2885"/>
    <cellStyle name="Comma 12 2" xfId="2886"/>
    <cellStyle name="Comma 12 2 2" xfId="2887"/>
    <cellStyle name="Comma 13" xfId="2888"/>
    <cellStyle name="Comma 13 2" xfId="2889"/>
    <cellStyle name="Comma 13 2 2" xfId="2890"/>
    <cellStyle name="Comma 14" xfId="2891"/>
    <cellStyle name="Comma 14 2" xfId="2892"/>
    <cellStyle name="Comma 14 2 2" xfId="2893"/>
    <cellStyle name="Comma 14 3" xfId="2894"/>
    <cellStyle name="Comma 15" xfId="2895"/>
    <cellStyle name="Comma 15 2" xfId="2896"/>
    <cellStyle name="Comma 16" xfId="2897"/>
    <cellStyle name="Comma 17" xfId="2898"/>
    <cellStyle name="Comma 17 2" xfId="2899"/>
    <cellStyle name="Comma 17 2 2" xfId="2900"/>
    <cellStyle name="Comma 17 3" xfId="2901"/>
    <cellStyle name="Comma 18" xfId="2902"/>
    <cellStyle name="Comma 18 2" xfId="2903"/>
    <cellStyle name="Comma 18 2 2" xfId="2904"/>
    <cellStyle name="Comma 18 3" xfId="2905"/>
    <cellStyle name="Comma 19" xfId="2906"/>
    <cellStyle name="Comma 19 2" xfId="2907"/>
    <cellStyle name="Comma 19 2 2" xfId="2908"/>
    <cellStyle name="Comma 19 3" xfId="2909"/>
    <cellStyle name="Comma 2" xfId="2910"/>
    <cellStyle name="Comma 2 10" xfId="2911"/>
    <cellStyle name="Comma 2 10 2" xfId="2912"/>
    <cellStyle name="Comma 2 10 2 2" xfId="2913"/>
    <cellStyle name="Comma 2 10 2 2 2" xfId="2914"/>
    <cellStyle name="Comma 2 10 2 3" xfId="2915"/>
    <cellStyle name="Comma 2 10 3" xfId="2916"/>
    <cellStyle name="Comma 2 10 4" xfId="2917"/>
    <cellStyle name="Comma 2 11" xfId="2918"/>
    <cellStyle name="Comma 2 11 2" xfId="2919"/>
    <cellStyle name="Comma 2 11 2 2" xfId="2920"/>
    <cellStyle name="Comma 2 11 2 2 2" xfId="2921"/>
    <cellStyle name="Comma 2 11 2 3" xfId="2922"/>
    <cellStyle name="Comma 2 11 3" xfId="2923"/>
    <cellStyle name="Comma 2 12" xfId="2924"/>
    <cellStyle name="Comma 2 12 2" xfId="2925"/>
    <cellStyle name="Comma 2 12 2 2" xfId="2926"/>
    <cellStyle name="Comma 2 12 2 2 2" xfId="2927"/>
    <cellStyle name="Comma 2 12 2 3" xfId="2928"/>
    <cellStyle name="Comma 2 12 3" xfId="2929"/>
    <cellStyle name="Comma 2 13" xfId="2930"/>
    <cellStyle name="Comma 2 13 2" xfId="2931"/>
    <cellStyle name="Comma 2 13 2 2" xfId="2932"/>
    <cellStyle name="Comma 2 13 2 2 2" xfId="2933"/>
    <cellStyle name="Comma 2 13 2 3" xfId="2934"/>
    <cellStyle name="Comma 2 13 3" xfId="2935"/>
    <cellStyle name="Comma 2 14" xfId="2936"/>
    <cellStyle name="Comma 2 14 2" xfId="2937"/>
    <cellStyle name="Comma 2 14 2 2" xfId="2938"/>
    <cellStyle name="Comma 2 14 2 2 2" xfId="2939"/>
    <cellStyle name="Comma 2 14 2 3" xfId="2940"/>
    <cellStyle name="Comma 2 14 3" xfId="2941"/>
    <cellStyle name="Comma 2 15" xfId="2942"/>
    <cellStyle name="Comma 2 15 2" xfId="2943"/>
    <cellStyle name="Comma 2 15 2 2" xfId="2944"/>
    <cellStyle name="Comma 2 15 2 2 2" xfId="2945"/>
    <cellStyle name="Comma 2 15 2 3" xfId="2946"/>
    <cellStyle name="Comma 2 15 3" xfId="2947"/>
    <cellStyle name="Comma 2 16" xfId="2948"/>
    <cellStyle name="Comma 2 16 2" xfId="2949"/>
    <cellStyle name="Comma 2 16 2 2" xfId="2950"/>
    <cellStyle name="Comma 2 16 2 2 2" xfId="2951"/>
    <cellStyle name="Comma 2 16 2 3" xfId="2952"/>
    <cellStyle name="Comma 2 16 3" xfId="2953"/>
    <cellStyle name="Comma 2 17" xfId="2954"/>
    <cellStyle name="Comma 2 17 2" xfId="2955"/>
    <cellStyle name="Comma 2 17 2 2" xfId="2956"/>
    <cellStyle name="Comma 2 17 2 2 2" xfId="2957"/>
    <cellStyle name="Comma 2 17 2 3" xfId="2958"/>
    <cellStyle name="Comma 2 17 3" xfId="2959"/>
    <cellStyle name="Comma 2 18" xfId="2960"/>
    <cellStyle name="Comma 2 18 2" xfId="2961"/>
    <cellStyle name="Comma 2 18 2 2" xfId="2962"/>
    <cellStyle name="Comma 2 18 2 2 2" xfId="2963"/>
    <cellStyle name="Comma 2 18 2 3" xfId="2964"/>
    <cellStyle name="Comma 2 18 3" xfId="2965"/>
    <cellStyle name="Comma 2 19" xfId="2966"/>
    <cellStyle name="Comma 2 19 2" xfId="2967"/>
    <cellStyle name="Comma 2 19 2 2" xfId="2968"/>
    <cellStyle name="Comma 2 19 2 2 2" xfId="2969"/>
    <cellStyle name="Comma 2 19 2 3" xfId="2970"/>
    <cellStyle name="Comma 2 19 3" xfId="2971"/>
    <cellStyle name="Comma 2 2" xfId="2972"/>
    <cellStyle name="Comma 2 2 10" xfId="2973"/>
    <cellStyle name="Comma 2 2 2" xfId="2974"/>
    <cellStyle name="Comma 2 2 2 2" xfId="2975"/>
    <cellStyle name="Comma 2 2 2 2 2" xfId="2976"/>
    <cellStyle name="Comma 2 2 2 2 3" xfId="2977"/>
    <cellStyle name="Comma 2 2 2 2 4" xfId="2978"/>
    <cellStyle name="Comma 2 2 2 2 5" xfId="2979"/>
    <cellStyle name="Comma 2 2 2 3" xfId="2980"/>
    <cellStyle name="Comma 2 2 2 4" xfId="2981"/>
    <cellStyle name="Comma 2 2 2 5" xfId="2982"/>
    <cellStyle name="Comma 2 2 2 6" xfId="2983"/>
    <cellStyle name="Comma 2 2 2 7" xfId="2984"/>
    <cellStyle name="Comma 2 2 2 8" xfId="2985"/>
    <cellStyle name="Comma 2 2 3" xfId="2986"/>
    <cellStyle name="Comma 2 2 3 2" xfId="2987"/>
    <cellStyle name="Comma 2 2 3 3" xfId="2988"/>
    <cellStyle name="Comma 2 2 3 4" xfId="2989"/>
    <cellStyle name="Comma 2 2 3 5" xfId="2990"/>
    <cellStyle name="Comma 2 2 4" xfId="2991"/>
    <cellStyle name="Comma 2 2 5" xfId="2992"/>
    <cellStyle name="Comma 2 2 6" xfId="2993"/>
    <cellStyle name="Comma 2 2 7" xfId="2994"/>
    <cellStyle name="Comma 2 2 8" xfId="2995"/>
    <cellStyle name="Comma 2 2 9" xfId="2996"/>
    <cellStyle name="Comma 2 20" xfId="2997"/>
    <cellStyle name="Comma 2 20 2" xfId="2998"/>
    <cellStyle name="Comma 2 20 2 2" xfId="2999"/>
    <cellStyle name="Comma 2 20 2 2 2" xfId="3000"/>
    <cellStyle name="Comma 2 20 2 3" xfId="3001"/>
    <cellStyle name="Comma 2 20 3" xfId="3002"/>
    <cellStyle name="Comma 2 21" xfId="3003"/>
    <cellStyle name="Comma 2 21 2" xfId="3004"/>
    <cellStyle name="Comma 2 22" xfId="3005"/>
    <cellStyle name="Comma 2 22 2" xfId="3006"/>
    <cellStyle name="Comma 2 23" xfId="3007"/>
    <cellStyle name="Comma 2 23 2" xfId="3008"/>
    <cellStyle name="Comma 2 24" xfId="3009"/>
    <cellStyle name="Comma 2 24 2" xfId="3010"/>
    <cellStyle name="Comma 2 25" xfId="3011"/>
    <cellStyle name="Comma 2 25 2" xfId="3012"/>
    <cellStyle name="Comma 2 26" xfId="3013"/>
    <cellStyle name="Comma 2 26 2" xfId="3014"/>
    <cellStyle name="Comma 2 27" xfId="3015"/>
    <cellStyle name="Comma 2 27 2" xfId="3016"/>
    <cellStyle name="Comma 2 28" xfId="3017"/>
    <cellStyle name="Comma 2 28 2" xfId="3018"/>
    <cellStyle name="Comma 2 29" xfId="3019"/>
    <cellStyle name="Comma 2 29 2" xfId="3020"/>
    <cellStyle name="Comma 2 3" xfId="3021"/>
    <cellStyle name="Comma 2 3 2" xfId="3022"/>
    <cellStyle name="Comma 2 3 2 2" xfId="3023"/>
    <cellStyle name="Comma 2 3 2 2 2" xfId="3024"/>
    <cellStyle name="Comma 2 3 2 3" xfId="3025"/>
    <cellStyle name="Comma 2 3 2 4" xfId="3026"/>
    <cellStyle name="Comma 2 3 2 5" xfId="3027"/>
    <cellStyle name="Comma 2 3 3" xfId="3028"/>
    <cellStyle name="Comma 2 3 4" xfId="3029"/>
    <cellStyle name="Comma 2 3 5" xfId="3030"/>
    <cellStyle name="Comma 2 3 6" xfId="3031"/>
    <cellStyle name="Comma 2 3 7" xfId="3032"/>
    <cellStyle name="Comma 2 3 8" xfId="3033"/>
    <cellStyle name="Comma 2 30" xfId="3034"/>
    <cellStyle name="Comma 2 30 2" xfId="3035"/>
    <cellStyle name="Comma 2 31" xfId="3036"/>
    <cellStyle name="Comma 2 31 2" xfId="3037"/>
    <cellStyle name="Comma 2 32" xfId="3038"/>
    <cellStyle name="Comma 2 32 2" xfId="3039"/>
    <cellStyle name="Comma 2 33" xfId="3040"/>
    <cellStyle name="Comma 2 33 2" xfId="3041"/>
    <cellStyle name="Comma 2 34" xfId="3042"/>
    <cellStyle name="Comma 2 34 2" xfId="3043"/>
    <cellStyle name="Comma 2 35" xfId="3044"/>
    <cellStyle name="Comma 2 35 2" xfId="3045"/>
    <cellStyle name="Comma 2 36" xfId="3046"/>
    <cellStyle name="Comma 2 36 2" xfId="3047"/>
    <cellStyle name="Comma 2 37" xfId="3048"/>
    <cellStyle name="Comma 2 38" xfId="3049"/>
    <cellStyle name="Comma 2 4" xfId="3050"/>
    <cellStyle name="Comma 2 4 2" xfId="3051"/>
    <cellStyle name="Comma 2 4 2 2" xfId="3052"/>
    <cellStyle name="Comma 2 4 2 2 2" xfId="3053"/>
    <cellStyle name="Comma 2 4 2 3" xfId="3054"/>
    <cellStyle name="Comma 2 4 3" xfId="3055"/>
    <cellStyle name="Comma 2 4 4" xfId="3056"/>
    <cellStyle name="Comma 2 4 5" xfId="3057"/>
    <cellStyle name="Comma 2 4 6" xfId="3058"/>
    <cellStyle name="Comma 2 4 7" xfId="3059"/>
    <cellStyle name="Comma 2 5" xfId="3060"/>
    <cellStyle name="Comma 2 5 2" xfId="3061"/>
    <cellStyle name="Comma 2 5 2 2" xfId="3062"/>
    <cellStyle name="Comma 2 5 2 2 2" xfId="3063"/>
    <cellStyle name="Comma 2 5 2 3" xfId="3064"/>
    <cellStyle name="Comma 2 5 3" xfId="3065"/>
    <cellStyle name="Comma 2 6" xfId="3066"/>
    <cellStyle name="Comma 2 6 2" xfId="3067"/>
    <cellStyle name="Comma 2 6 2 2" xfId="3068"/>
    <cellStyle name="Comma 2 6 2 2 2" xfId="3069"/>
    <cellStyle name="Comma 2 6 2 3" xfId="3070"/>
    <cellStyle name="Comma 2 6 3" xfId="3071"/>
    <cellStyle name="Comma 2 7" xfId="3072"/>
    <cellStyle name="Comma 2 7 2" xfId="3073"/>
    <cellStyle name="Comma 2 7 2 2" xfId="3074"/>
    <cellStyle name="Comma 2 7 2 2 2" xfId="3075"/>
    <cellStyle name="Comma 2 7 2 3" xfId="3076"/>
    <cellStyle name="Comma 2 7 3" xfId="3077"/>
    <cellStyle name="Comma 2 8" xfId="3078"/>
    <cellStyle name="Comma 2 8 2" xfId="3079"/>
    <cellStyle name="Comma 2 8 2 2" xfId="3080"/>
    <cellStyle name="Comma 2 8 2 2 2" xfId="3081"/>
    <cellStyle name="Comma 2 8 2 3" xfId="3082"/>
    <cellStyle name="Comma 2 8 3" xfId="3083"/>
    <cellStyle name="Comma 2 9" xfId="3084"/>
    <cellStyle name="Comma 2 9 2" xfId="3085"/>
    <cellStyle name="Comma 2 9 2 2" xfId="3086"/>
    <cellStyle name="Comma 2 9 2 2 2" xfId="3087"/>
    <cellStyle name="Comma 2 9 2 3" xfId="3088"/>
    <cellStyle name="Comma 2 9 3" xfId="3089"/>
    <cellStyle name="Comma 20" xfId="3090"/>
    <cellStyle name="Comma 20 2" xfId="3091"/>
    <cellStyle name="Comma 20 2 2" xfId="3092"/>
    <cellStyle name="Comma 20 3" xfId="3093"/>
    <cellStyle name="Comma 21" xfId="3094"/>
    <cellStyle name="Comma 21 2" xfId="3095"/>
    <cellStyle name="Comma 21 2 2" xfId="3096"/>
    <cellStyle name="Comma 21 3" xfId="3097"/>
    <cellStyle name="Comma 22" xfId="3098"/>
    <cellStyle name="Comma 23" xfId="3099"/>
    <cellStyle name="Comma 24" xfId="3100"/>
    <cellStyle name="Comma 24 2" xfId="3101"/>
    <cellStyle name="Comma 24 3" xfId="3102"/>
    <cellStyle name="Comma 25" xfId="3103"/>
    <cellStyle name="Comma 25 2" xfId="3104"/>
    <cellStyle name="Comma 26" xfId="3105"/>
    <cellStyle name="Comma 26 2" xfId="3106"/>
    <cellStyle name="Comma 26 3" xfId="3107"/>
    <cellStyle name="Comma 27" xfId="3108"/>
    <cellStyle name="Comma 27 2" xfId="3109"/>
    <cellStyle name="Comma 28" xfId="3110"/>
    <cellStyle name="Comma 28 2" xfId="3111"/>
    <cellStyle name="Comma 29" xfId="3112"/>
    <cellStyle name="Comma 29 2" xfId="3113"/>
    <cellStyle name="Comma 3" xfId="3114"/>
    <cellStyle name="Comma 3 2" xfId="3115"/>
    <cellStyle name="Comma 3 2 2" xfId="3116"/>
    <cellStyle name="Comma 3 2 2 2" xfId="3117"/>
    <cellStyle name="Comma 3 2 2 3" xfId="3118"/>
    <cellStyle name="Comma 3 2 3" xfId="3119"/>
    <cellStyle name="Comma 3 2 3 2" xfId="3120"/>
    <cellStyle name="Comma 3 2 4" xfId="3121"/>
    <cellStyle name="Comma 3 2 5" xfId="3122"/>
    <cellStyle name="Comma 3 2 6" xfId="3123"/>
    <cellStyle name="Comma 3 2 7" xfId="3124"/>
    <cellStyle name="Comma 3 3" xfId="3125"/>
    <cellStyle name="Comma 3 3 2" xfId="3126"/>
    <cellStyle name="Comma 3 3 2 2" xfId="3127"/>
    <cellStyle name="Comma 3 3 3" xfId="3128"/>
    <cellStyle name="Comma 3 3 4" xfId="3129"/>
    <cellStyle name="Comma 3 4" xfId="3130"/>
    <cellStyle name="Comma 3 4 2" xfId="3131"/>
    <cellStyle name="Comma 3 4 2 2" xfId="3132"/>
    <cellStyle name="Comma 3 4 3" xfId="3133"/>
    <cellStyle name="Comma 3 4 4" xfId="3134"/>
    <cellStyle name="Comma 3 5" xfId="3135"/>
    <cellStyle name="Comma 3 5 2" xfId="3136"/>
    <cellStyle name="Comma 3 6" xfId="3137"/>
    <cellStyle name="Comma 3 7" xfId="3138"/>
    <cellStyle name="Comma 30" xfId="3139"/>
    <cellStyle name="Comma 31" xfId="3140"/>
    <cellStyle name="Comma 32" xfId="3141"/>
    <cellStyle name="Comma 33" xfId="3142"/>
    <cellStyle name="Comma 34" xfId="3143"/>
    <cellStyle name="Comma 35" xfId="3144"/>
    <cellStyle name="Comma 36" xfId="3145"/>
    <cellStyle name="Comma 37" xfId="3146"/>
    <cellStyle name="Comma 37 2" xfId="3147"/>
    <cellStyle name="Comma 37 3" xfId="3148"/>
    <cellStyle name="Comma 38" xfId="3149"/>
    <cellStyle name="Comma 38 2" xfId="3150"/>
    <cellStyle name="Comma 38 3" xfId="3151"/>
    <cellStyle name="Comma 39" xfId="3152"/>
    <cellStyle name="Comma 39 2" xfId="3153"/>
    <cellStyle name="Comma 39 3" xfId="3154"/>
    <cellStyle name="Comma 4" xfId="3155"/>
    <cellStyle name="Comma 4 2" xfId="3156"/>
    <cellStyle name="Comma 4 3" xfId="3157"/>
    <cellStyle name="Comma 4 4" xfId="3158"/>
    <cellStyle name="Comma 4 5" xfId="3159"/>
    <cellStyle name="Comma 40" xfId="3160"/>
    <cellStyle name="Comma 40 2" xfId="3161"/>
    <cellStyle name="Comma 40 3" xfId="3162"/>
    <cellStyle name="Comma 41" xfId="3163"/>
    <cellStyle name="Comma 41 2" xfId="3164"/>
    <cellStyle name="Comma 41 3" xfId="3165"/>
    <cellStyle name="Comma 42" xfId="3166"/>
    <cellStyle name="Comma 42 2" xfId="3167"/>
    <cellStyle name="Comma 42 2 2" xfId="3168"/>
    <cellStyle name="Comma 42 3" xfId="3169"/>
    <cellStyle name="Comma 43" xfId="3170"/>
    <cellStyle name="Comma 43 2" xfId="3171"/>
    <cellStyle name="Comma 44" xfId="3172"/>
    <cellStyle name="Comma 44 2" xfId="3173"/>
    <cellStyle name="Comma 45" xfId="3174"/>
    <cellStyle name="Comma 46" xfId="3175"/>
    <cellStyle name="Comma 47" xfId="3176"/>
    <cellStyle name="Comma 48" xfId="3177"/>
    <cellStyle name="Comma 49" xfId="3178"/>
    <cellStyle name="Comma 5" xfId="3179"/>
    <cellStyle name="Comma 5 2" xfId="3180"/>
    <cellStyle name="Comma 5 2 2" xfId="3181"/>
    <cellStyle name="Comma 5 3" xfId="3182"/>
    <cellStyle name="Comma 5 3 2" xfId="3183"/>
    <cellStyle name="Comma 5 4" xfId="3184"/>
    <cellStyle name="Comma 5 5" xfId="3185"/>
    <cellStyle name="Comma 50" xfId="3186"/>
    <cellStyle name="Comma 51" xfId="3187"/>
    <cellStyle name="Comma 52" xfId="3188"/>
    <cellStyle name="Comma 6" xfId="3189"/>
    <cellStyle name="Comma 6 2" xfId="3190"/>
    <cellStyle name="Comma 6 2 2" xfId="3191"/>
    <cellStyle name="Comma 6 2 2 2" xfId="3192"/>
    <cellStyle name="Comma 6 2 3" xfId="3193"/>
    <cellStyle name="Comma 6 2 4" xfId="3194"/>
    <cellStyle name="Comma 6 3" xfId="3195"/>
    <cellStyle name="Comma 6 3 2" xfId="3196"/>
    <cellStyle name="Comma 6 3 2 2" xfId="3197"/>
    <cellStyle name="Comma 6 3 3" xfId="3198"/>
    <cellStyle name="Comma 6 3 4" xfId="3199"/>
    <cellStyle name="Comma 6 4" xfId="3200"/>
    <cellStyle name="Comma 6 4 2" xfId="3201"/>
    <cellStyle name="Comma 6 5" xfId="3202"/>
    <cellStyle name="Comma 6 6" xfId="3203"/>
    <cellStyle name="Comma 7" xfId="3204"/>
    <cellStyle name="Comma 7 2" xfId="3205"/>
    <cellStyle name="Comma 7 2 2" xfId="3206"/>
    <cellStyle name="Comma 7 2 2 2" xfId="3207"/>
    <cellStyle name="Comma 7 2 3" xfId="3208"/>
    <cellStyle name="Comma 7 2 4" xfId="3209"/>
    <cellStyle name="Comma 7 3" xfId="3210"/>
    <cellStyle name="Comma 7 3 2" xfId="3211"/>
    <cellStyle name="Comma 7 3 2 2" xfId="3212"/>
    <cellStyle name="Comma 7 3 3" xfId="3213"/>
    <cellStyle name="Comma 7 3 4" xfId="3214"/>
    <cellStyle name="Comma 7 4" xfId="3215"/>
    <cellStyle name="Comma 7 4 2" xfId="3216"/>
    <cellStyle name="Comma 7 5" xfId="3217"/>
    <cellStyle name="Comma 7 6" xfId="3218"/>
    <cellStyle name="Comma 8" xfId="3219"/>
    <cellStyle name="Comma 8 2" xfId="3220"/>
    <cellStyle name="Comma 8 2 2" xfId="3221"/>
    <cellStyle name="Comma 8 2 2 2" xfId="3222"/>
    <cellStyle name="Comma 8 2 3" xfId="3223"/>
    <cellStyle name="Comma 8 2 4" xfId="3224"/>
    <cellStyle name="Comma 8 3" xfId="3225"/>
    <cellStyle name="Comma 8 3 2" xfId="3226"/>
    <cellStyle name="Comma 8 3 2 2" xfId="3227"/>
    <cellStyle name="Comma 8 3 3" xfId="3228"/>
    <cellStyle name="Comma 8 3 4" xfId="3229"/>
    <cellStyle name="Comma 8 4" xfId="3230"/>
    <cellStyle name="Comma 8 4 2" xfId="3231"/>
    <cellStyle name="Comma 8 5" xfId="3232"/>
    <cellStyle name="Comma 8 6" xfId="3233"/>
    <cellStyle name="Comma 9" xfId="3234"/>
    <cellStyle name="Comma 9 2" xfId="3235"/>
    <cellStyle name="Comma 9 2 2" xfId="3236"/>
    <cellStyle name="Comma 9 2 2 2" xfId="3237"/>
    <cellStyle name="Comma 9 2 3" xfId="3238"/>
    <cellStyle name="Comma 9 2 4" xfId="3239"/>
    <cellStyle name="Comma 9 3" xfId="3240"/>
    <cellStyle name="Comma 9 3 2" xfId="3241"/>
    <cellStyle name="Comma 9 3 2 2" xfId="3242"/>
    <cellStyle name="Comma 9 3 3" xfId="3243"/>
    <cellStyle name="Comma 9 3 4" xfId="3244"/>
    <cellStyle name="Comma 9 4" xfId="3245"/>
    <cellStyle name="Comma 9 4 2" xfId="3246"/>
    <cellStyle name="Comma 9 5" xfId="3247"/>
    <cellStyle name="Comma 9 6" xfId="3248"/>
    <cellStyle name="Comma(0)" xfId="3249"/>
    <cellStyle name="Comma(1)" xfId="3250"/>
    <cellStyle name="Comma(2)" xfId="3251"/>
    <cellStyle name="Comma0" xfId="3252"/>
    <cellStyle name="Comma0 - Style1" xfId="3253"/>
    <cellStyle name="Comma0 - Style1 2" xfId="3254"/>
    <cellStyle name="Comma0 - Style1 2 2" xfId="3255"/>
    <cellStyle name="Comma0 - Style1 2 3" xfId="3256"/>
    <cellStyle name="Comma0 - Style1 3" xfId="3257"/>
    <cellStyle name="Comma0 - Style1 4" xfId="3258"/>
    <cellStyle name="Comma0 - Style4" xfId="3259"/>
    <cellStyle name="Comma0 - Style4 2" xfId="3260"/>
    <cellStyle name="Comma0 - Style4 2 2" xfId="3261"/>
    <cellStyle name="Comma0 - Style4 2 3" xfId="3262"/>
    <cellStyle name="Comma0 - Style4 3" xfId="3263"/>
    <cellStyle name="Comma0 - Style4 4" xfId="3264"/>
    <cellStyle name="Comma0 10" xfId="3265"/>
    <cellStyle name="Comma0 10 2" xfId="3266"/>
    <cellStyle name="Comma0 10 2 2" xfId="3267"/>
    <cellStyle name="Comma0 10 3" xfId="3268"/>
    <cellStyle name="Comma0 100" xfId="3269"/>
    <cellStyle name="Comma0 100 2" xfId="3270"/>
    <cellStyle name="Comma0 101" xfId="3271"/>
    <cellStyle name="Comma0 101 2" xfId="3272"/>
    <cellStyle name="Comma0 102" xfId="3273"/>
    <cellStyle name="Comma0 102 2" xfId="3274"/>
    <cellStyle name="Comma0 103" xfId="3275"/>
    <cellStyle name="Comma0 103 2" xfId="3276"/>
    <cellStyle name="Comma0 104" xfId="3277"/>
    <cellStyle name="Comma0 104 2" xfId="3278"/>
    <cellStyle name="Comma0 105" xfId="3279"/>
    <cellStyle name="Comma0 105 2" xfId="3280"/>
    <cellStyle name="Comma0 106" xfId="3281"/>
    <cellStyle name="Comma0 106 2" xfId="3282"/>
    <cellStyle name="Comma0 107" xfId="3283"/>
    <cellStyle name="Comma0 107 2" xfId="3284"/>
    <cellStyle name="Comma0 108" xfId="3285"/>
    <cellStyle name="Comma0 108 2" xfId="3286"/>
    <cellStyle name="Comma0 109" xfId="3287"/>
    <cellStyle name="Comma0 109 2" xfId="3288"/>
    <cellStyle name="Comma0 11" xfId="3289"/>
    <cellStyle name="Comma0 11 2" xfId="3290"/>
    <cellStyle name="Comma0 11 2 2" xfId="3291"/>
    <cellStyle name="Comma0 11 3" xfId="3292"/>
    <cellStyle name="Comma0 110" xfId="3293"/>
    <cellStyle name="Comma0 110 2" xfId="3294"/>
    <cellStyle name="Comma0 111" xfId="3295"/>
    <cellStyle name="Comma0 111 2" xfId="3296"/>
    <cellStyle name="Comma0 112" xfId="3297"/>
    <cellStyle name="Comma0 112 2" xfId="3298"/>
    <cellStyle name="Comma0 113" xfId="3299"/>
    <cellStyle name="Comma0 113 2" xfId="3300"/>
    <cellStyle name="Comma0 114" xfId="3301"/>
    <cellStyle name="Comma0 114 2" xfId="3302"/>
    <cellStyle name="Comma0 115" xfId="3303"/>
    <cellStyle name="Comma0 115 2" xfId="3304"/>
    <cellStyle name="Comma0 116" xfId="3305"/>
    <cellStyle name="Comma0 116 2" xfId="3306"/>
    <cellStyle name="Comma0 117" xfId="3307"/>
    <cellStyle name="Comma0 117 2" xfId="3308"/>
    <cellStyle name="Comma0 118" xfId="3309"/>
    <cellStyle name="Comma0 118 2" xfId="3310"/>
    <cellStyle name="Comma0 119" xfId="3311"/>
    <cellStyle name="Comma0 119 2" xfId="3312"/>
    <cellStyle name="Comma0 12" xfId="3313"/>
    <cellStyle name="Comma0 12 2" xfId="3314"/>
    <cellStyle name="Comma0 12 2 2" xfId="3315"/>
    <cellStyle name="Comma0 12 3" xfId="3316"/>
    <cellStyle name="Comma0 120" xfId="3317"/>
    <cellStyle name="Comma0 120 2" xfId="3318"/>
    <cellStyle name="Comma0 121" xfId="3319"/>
    <cellStyle name="Comma0 121 2" xfId="3320"/>
    <cellStyle name="Comma0 121 2 2" xfId="3321"/>
    <cellStyle name="Comma0 121 3" xfId="3322"/>
    <cellStyle name="Comma0 122" xfId="3323"/>
    <cellStyle name="Comma0 122 2" xfId="3324"/>
    <cellStyle name="Comma0 122 2 2" xfId="3325"/>
    <cellStyle name="Comma0 122 3" xfId="3326"/>
    <cellStyle name="Comma0 123" xfId="3327"/>
    <cellStyle name="Comma0 123 2" xfId="3328"/>
    <cellStyle name="Comma0 123 2 2" xfId="3329"/>
    <cellStyle name="Comma0 123 3" xfId="3330"/>
    <cellStyle name="Comma0 124" xfId="3331"/>
    <cellStyle name="Comma0 124 2" xfId="3332"/>
    <cellStyle name="Comma0 124 2 2" xfId="3333"/>
    <cellStyle name="Comma0 124 3" xfId="3334"/>
    <cellStyle name="Comma0 125" xfId="3335"/>
    <cellStyle name="Comma0 125 2" xfId="3336"/>
    <cellStyle name="Comma0 125 2 2" xfId="3337"/>
    <cellStyle name="Comma0 125 3" xfId="3338"/>
    <cellStyle name="Comma0 126" xfId="3339"/>
    <cellStyle name="Comma0 126 2" xfId="3340"/>
    <cellStyle name="Comma0 126 2 2" xfId="3341"/>
    <cellStyle name="Comma0 126 3" xfId="3342"/>
    <cellStyle name="Comma0 127" xfId="3343"/>
    <cellStyle name="Comma0 127 2" xfId="3344"/>
    <cellStyle name="Comma0 127 2 2" xfId="3345"/>
    <cellStyle name="Comma0 127 3" xfId="3346"/>
    <cellStyle name="Comma0 128" xfId="3347"/>
    <cellStyle name="Comma0 128 2" xfId="3348"/>
    <cellStyle name="Comma0 128 2 2" xfId="3349"/>
    <cellStyle name="Comma0 128 3" xfId="3350"/>
    <cellStyle name="Comma0 129" xfId="3351"/>
    <cellStyle name="Comma0 129 2" xfId="3352"/>
    <cellStyle name="Comma0 129 2 2" xfId="3353"/>
    <cellStyle name="Comma0 129 3" xfId="3354"/>
    <cellStyle name="Comma0 13" xfId="3355"/>
    <cellStyle name="Comma0 13 2" xfId="3356"/>
    <cellStyle name="Comma0 13 2 2" xfId="3357"/>
    <cellStyle name="Comma0 13 3" xfId="3358"/>
    <cellStyle name="Comma0 130" xfId="3359"/>
    <cellStyle name="Comma0 130 2" xfId="3360"/>
    <cellStyle name="Comma0 130 2 2" xfId="3361"/>
    <cellStyle name="Comma0 130 3" xfId="3362"/>
    <cellStyle name="Comma0 131" xfId="3363"/>
    <cellStyle name="Comma0 131 2" xfId="3364"/>
    <cellStyle name="Comma0 131 2 2" xfId="3365"/>
    <cellStyle name="Comma0 131 3" xfId="3366"/>
    <cellStyle name="Comma0 132" xfId="3367"/>
    <cellStyle name="Comma0 132 2" xfId="3368"/>
    <cellStyle name="Comma0 132 2 2" xfId="3369"/>
    <cellStyle name="Comma0 132 3" xfId="3370"/>
    <cellStyle name="Comma0 133" xfId="3371"/>
    <cellStyle name="Comma0 133 2" xfId="3372"/>
    <cellStyle name="Comma0 133 2 2" xfId="3373"/>
    <cellStyle name="Comma0 133 3" xfId="3374"/>
    <cellStyle name="Comma0 134" xfId="3375"/>
    <cellStyle name="Comma0 134 2" xfId="3376"/>
    <cellStyle name="Comma0 134 2 2" xfId="3377"/>
    <cellStyle name="Comma0 134 3" xfId="3378"/>
    <cellStyle name="Comma0 135" xfId="3379"/>
    <cellStyle name="Comma0 135 2" xfId="3380"/>
    <cellStyle name="Comma0 135 2 2" xfId="3381"/>
    <cellStyle name="Comma0 135 3" xfId="3382"/>
    <cellStyle name="Comma0 136" xfId="3383"/>
    <cellStyle name="Comma0 136 2" xfId="3384"/>
    <cellStyle name="Comma0 136 2 2" xfId="3385"/>
    <cellStyle name="Comma0 136 3" xfId="3386"/>
    <cellStyle name="Comma0 137" xfId="3387"/>
    <cellStyle name="Comma0 137 2" xfId="3388"/>
    <cellStyle name="Comma0 137 2 2" xfId="3389"/>
    <cellStyle name="Comma0 137 3" xfId="3390"/>
    <cellStyle name="Comma0 138" xfId="3391"/>
    <cellStyle name="Comma0 138 2" xfId="3392"/>
    <cellStyle name="Comma0 138 2 2" xfId="3393"/>
    <cellStyle name="Comma0 138 3" xfId="3394"/>
    <cellStyle name="Comma0 139" xfId="3395"/>
    <cellStyle name="Comma0 139 2" xfId="3396"/>
    <cellStyle name="Comma0 139 2 2" xfId="3397"/>
    <cellStyle name="Comma0 139 3" xfId="3398"/>
    <cellStyle name="Comma0 14" xfId="3399"/>
    <cellStyle name="Comma0 14 2" xfId="3400"/>
    <cellStyle name="Comma0 14 2 2" xfId="3401"/>
    <cellStyle name="Comma0 14 3" xfId="3402"/>
    <cellStyle name="Comma0 140" xfId="3403"/>
    <cellStyle name="Comma0 140 2" xfId="3404"/>
    <cellStyle name="Comma0 140 2 2" xfId="3405"/>
    <cellStyle name="Comma0 140 3" xfId="3406"/>
    <cellStyle name="Comma0 141" xfId="3407"/>
    <cellStyle name="Comma0 141 2" xfId="3408"/>
    <cellStyle name="Comma0 141 2 2" xfId="3409"/>
    <cellStyle name="Comma0 141 3" xfId="3410"/>
    <cellStyle name="Comma0 142" xfId="3411"/>
    <cellStyle name="Comma0 142 2" xfId="3412"/>
    <cellStyle name="Comma0 142 2 2" xfId="3413"/>
    <cellStyle name="Comma0 142 3" xfId="3414"/>
    <cellStyle name="Comma0 143" xfId="3415"/>
    <cellStyle name="Comma0 143 2" xfId="3416"/>
    <cellStyle name="Comma0 143 2 2" xfId="3417"/>
    <cellStyle name="Comma0 143 3" xfId="3418"/>
    <cellStyle name="Comma0 144" xfId="3419"/>
    <cellStyle name="Comma0 144 2" xfId="3420"/>
    <cellStyle name="Comma0 144 2 2" xfId="3421"/>
    <cellStyle name="Comma0 144 3" xfId="3422"/>
    <cellStyle name="Comma0 145" xfId="3423"/>
    <cellStyle name="Comma0 145 2" xfId="3424"/>
    <cellStyle name="Comma0 145 2 2" xfId="3425"/>
    <cellStyle name="Comma0 145 3" xfId="3426"/>
    <cellStyle name="Comma0 146" xfId="3427"/>
    <cellStyle name="Comma0 146 2" xfId="3428"/>
    <cellStyle name="Comma0 146 2 2" xfId="3429"/>
    <cellStyle name="Comma0 146 3" xfId="3430"/>
    <cellStyle name="Comma0 147" xfId="3431"/>
    <cellStyle name="Comma0 147 2" xfId="3432"/>
    <cellStyle name="Comma0 147 2 2" xfId="3433"/>
    <cellStyle name="Comma0 147 3" xfId="3434"/>
    <cellStyle name="Comma0 148" xfId="3435"/>
    <cellStyle name="Comma0 148 2" xfId="3436"/>
    <cellStyle name="Comma0 148 2 2" xfId="3437"/>
    <cellStyle name="Comma0 148 3" xfId="3438"/>
    <cellStyle name="Comma0 149" xfId="3439"/>
    <cellStyle name="Comma0 149 2" xfId="3440"/>
    <cellStyle name="Comma0 149 2 2" xfId="3441"/>
    <cellStyle name="Comma0 149 3" xfId="3442"/>
    <cellStyle name="Comma0 15" xfId="3443"/>
    <cellStyle name="Comma0 15 2" xfId="3444"/>
    <cellStyle name="Comma0 150" xfId="3445"/>
    <cellStyle name="Comma0 150 2" xfId="3446"/>
    <cellStyle name="Comma0 150 2 2" xfId="3447"/>
    <cellStyle name="Comma0 150 3" xfId="3448"/>
    <cellStyle name="Comma0 151" xfId="3449"/>
    <cellStyle name="Comma0 151 2" xfId="3450"/>
    <cellStyle name="Comma0 151 2 2" xfId="3451"/>
    <cellStyle name="Comma0 151 3" xfId="3452"/>
    <cellStyle name="Comma0 152" xfId="3453"/>
    <cellStyle name="Comma0 152 2" xfId="3454"/>
    <cellStyle name="Comma0 152 2 2" xfId="3455"/>
    <cellStyle name="Comma0 152 3" xfId="3456"/>
    <cellStyle name="Comma0 153" xfId="3457"/>
    <cellStyle name="Comma0 153 2" xfId="3458"/>
    <cellStyle name="Comma0 153 2 2" xfId="3459"/>
    <cellStyle name="Comma0 153 3" xfId="3460"/>
    <cellStyle name="Comma0 154" xfId="3461"/>
    <cellStyle name="Comma0 154 2" xfId="3462"/>
    <cellStyle name="Comma0 154 2 2" xfId="3463"/>
    <cellStyle name="Comma0 154 3" xfId="3464"/>
    <cellStyle name="Comma0 155" xfId="3465"/>
    <cellStyle name="Comma0 155 2" xfId="3466"/>
    <cellStyle name="Comma0 155 2 2" xfId="3467"/>
    <cellStyle name="Comma0 155 3" xfId="3468"/>
    <cellStyle name="Comma0 156" xfId="3469"/>
    <cellStyle name="Comma0 156 2" xfId="3470"/>
    <cellStyle name="Comma0 157" xfId="3471"/>
    <cellStyle name="Comma0 157 2" xfId="3472"/>
    <cellStyle name="Comma0 158" xfId="3473"/>
    <cellStyle name="Comma0 158 2" xfId="3474"/>
    <cellStyle name="Comma0 159" xfId="3475"/>
    <cellStyle name="Comma0 159 2" xfId="3476"/>
    <cellStyle name="Comma0 16" xfId="3477"/>
    <cellStyle name="Comma0 16 2" xfId="3478"/>
    <cellStyle name="Comma0 160" xfId="3479"/>
    <cellStyle name="Comma0 160 2" xfId="3480"/>
    <cellStyle name="Comma0 161" xfId="3481"/>
    <cellStyle name="Comma0 161 2" xfId="3482"/>
    <cellStyle name="Comma0 162" xfId="3483"/>
    <cellStyle name="Comma0 162 2" xfId="3484"/>
    <cellStyle name="Comma0 163" xfId="3485"/>
    <cellStyle name="Comma0 163 2" xfId="3486"/>
    <cellStyle name="Comma0 164" xfId="3487"/>
    <cellStyle name="Comma0 164 2" xfId="3488"/>
    <cellStyle name="Comma0 165" xfId="3489"/>
    <cellStyle name="Comma0 165 2" xfId="3490"/>
    <cellStyle name="Comma0 166" xfId="3491"/>
    <cellStyle name="Comma0 166 2" xfId="3492"/>
    <cellStyle name="Comma0 167" xfId="3493"/>
    <cellStyle name="Comma0 167 2" xfId="3494"/>
    <cellStyle name="Comma0 168" xfId="3495"/>
    <cellStyle name="Comma0 168 2" xfId="3496"/>
    <cellStyle name="Comma0 169" xfId="3497"/>
    <cellStyle name="Comma0 169 2" xfId="3498"/>
    <cellStyle name="Comma0 17" xfId="3499"/>
    <cellStyle name="Comma0 17 2" xfId="3500"/>
    <cellStyle name="Comma0 170" xfId="3501"/>
    <cellStyle name="Comma0 170 2" xfId="3502"/>
    <cellStyle name="Comma0 171" xfId="3503"/>
    <cellStyle name="Comma0 171 2" xfId="3504"/>
    <cellStyle name="Comma0 172" xfId="3505"/>
    <cellStyle name="Comma0 172 2" xfId="3506"/>
    <cellStyle name="Comma0 173" xfId="3507"/>
    <cellStyle name="Comma0 173 2" xfId="3508"/>
    <cellStyle name="Comma0 174" xfId="3509"/>
    <cellStyle name="Comma0 174 2" xfId="3510"/>
    <cellStyle name="Comma0 175" xfId="3511"/>
    <cellStyle name="Comma0 175 2" xfId="3512"/>
    <cellStyle name="Comma0 176" xfId="3513"/>
    <cellStyle name="Comma0 176 2" xfId="3514"/>
    <cellStyle name="Comma0 177" xfId="3515"/>
    <cellStyle name="Comma0 177 2" xfId="3516"/>
    <cellStyle name="Comma0 178" xfId="3517"/>
    <cellStyle name="Comma0 178 2" xfId="3518"/>
    <cellStyle name="Comma0 179" xfId="3519"/>
    <cellStyle name="Comma0 179 2" xfId="3520"/>
    <cellStyle name="Comma0 18" xfId="3521"/>
    <cellStyle name="Comma0 18 2" xfId="3522"/>
    <cellStyle name="Comma0 180" xfId="3523"/>
    <cellStyle name="Comma0 180 2" xfId="3524"/>
    <cellStyle name="Comma0 181" xfId="3525"/>
    <cellStyle name="Comma0 181 2" xfId="3526"/>
    <cellStyle name="Comma0 182" xfId="3527"/>
    <cellStyle name="Comma0 182 2" xfId="3528"/>
    <cellStyle name="Comma0 183" xfId="3529"/>
    <cellStyle name="Comma0 183 2" xfId="3530"/>
    <cellStyle name="Comma0 184" xfId="3531"/>
    <cellStyle name="Comma0 184 2" xfId="3532"/>
    <cellStyle name="Comma0 185" xfId="3533"/>
    <cellStyle name="Comma0 185 2" xfId="3534"/>
    <cellStyle name="Comma0 186" xfId="3535"/>
    <cellStyle name="Comma0 186 2" xfId="3536"/>
    <cellStyle name="Comma0 187" xfId="3537"/>
    <cellStyle name="Comma0 187 2" xfId="3538"/>
    <cellStyle name="Comma0 188" xfId="3539"/>
    <cellStyle name="Comma0 188 2" xfId="3540"/>
    <cellStyle name="Comma0 189" xfId="3541"/>
    <cellStyle name="Comma0 19" xfId="3542"/>
    <cellStyle name="Comma0 19 2" xfId="3543"/>
    <cellStyle name="Comma0 190" xfId="3544"/>
    <cellStyle name="Comma0 191" xfId="3545"/>
    <cellStyle name="Comma0 192" xfId="3546"/>
    <cellStyle name="Comma0 193" xfId="3547"/>
    <cellStyle name="Comma0 194" xfId="3548"/>
    <cellStyle name="Comma0 2" xfId="3549"/>
    <cellStyle name="Comma0 2 2" xfId="3550"/>
    <cellStyle name="Comma0 2 2 2" xfId="3551"/>
    <cellStyle name="Comma0 2 3" xfId="3552"/>
    <cellStyle name="Comma0 20" xfId="3553"/>
    <cellStyle name="Comma0 20 2" xfId="3554"/>
    <cellStyle name="Comma0 21" xfId="3555"/>
    <cellStyle name="Comma0 21 2" xfId="3556"/>
    <cellStyle name="Comma0 22" xfId="3557"/>
    <cellStyle name="Comma0 22 2" xfId="3558"/>
    <cellStyle name="Comma0 23" xfId="3559"/>
    <cellStyle name="Comma0 23 2" xfId="3560"/>
    <cellStyle name="Comma0 24" xfId="3561"/>
    <cellStyle name="Comma0 24 2" xfId="3562"/>
    <cellStyle name="Comma0 25" xfId="3563"/>
    <cellStyle name="Comma0 25 2" xfId="3564"/>
    <cellStyle name="Comma0 26" xfId="3565"/>
    <cellStyle name="Comma0 26 2" xfId="3566"/>
    <cellStyle name="Comma0 27" xfId="3567"/>
    <cellStyle name="Comma0 27 2" xfId="3568"/>
    <cellStyle name="Comma0 28" xfId="3569"/>
    <cellStyle name="Comma0 28 2" xfId="3570"/>
    <cellStyle name="Comma0 29" xfId="3571"/>
    <cellStyle name="Comma0 29 2" xfId="3572"/>
    <cellStyle name="Comma0 3" xfId="3573"/>
    <cellStyle name="Comma0 3 2" xfId="3574"/>
    <cellStyle name="Comma0 30" xfId="3575"/>
    <cellStyle name="Comma0 30 2" xfId="3576"/>
    <cellStyle name="Comma0 31" xfId="3577"/>
    <cellStyle name="Comma0 31 2" xfId="3578"/>
    <cellStyle name="Comma0 32" xfId="3579"/>
    <cellStyle name="Comma0 32 2" xfId="3580"/>
    <cellStyle name="Comma0 33" xfId="3581"/>
    <cellStyle name="Comma0 33 2" xfId="3582"/>
    <cellStyle name="Comma0 34" xfId="3583"/>
    <cellStyle name="Comma0 34 2" xfId="3584"/>
    <cellStyle name="Comma0 35" xfId="3585"/>
    <cellStyle name="Comma0 35 2" xfId="3586"/>
    <cellStyle name="Comma0 36" xfId="3587"/>
    <cellStyle name="Comma0 36 2" xfId="3588"/>
    <cellStyle name="Comma0 37" xfId="3589"/>
    <cellStyle name="Comma0 37 2" xfId="3590"/>
    <cellStyle name="Comma0 38" xfId="3591"/>
    <cellStyle name="Comma0 38 2" xfId="3592"/>
    <cellStyle name="Comma0 39" xfId="3593"/>
    <cellStyle name="Comma0 39 2" xfId="3594"/>
    <cellStyle name="Comma0 4" xfId="3595"/>
    <cellStyle name="Comma0 4 2" xfId="3596"/>
    <cellStyle name="Comma0 4 2 2" xfId="3597"/>
    <cellStyle name="Comma0 4 3" xfId="3598"/>
    <cellStyle name="Comma0 40" xfId="3599"/>
    <cellStyle name="Comma0 40 2" xfId="3600"/>
    <cellStyle name="Comma0 41" xfId="3601"/>
    <cellStyle name="Comma0 41 2" xfId="3602"/>
    <cellStyle name="Comma0 42" xfId="3603"/>
    <cellStyle name="Comma0 42 2" xfId="3604"/>
    <cellStyle name="Comma0 43" xfId="3605"/>
    <cellStyle name="Comma0 43 2" xfId="3606"/>
    <cellStyle name="Comma0 44" xfId="3607"/>
    <cellStyle name="Comma0 44 2" xfId="3608"/>
    <cellStyle name="Comma0 45" xfId="3609"/>
    <cellStyle name="Comma0 45 2" xfId="3610"/>
    <cellStyle name="Comma0 46" xfId="3611"/>
    <cellStyle name="Comma0 46 2" xfId="3612"/>
    <cellStyle name="Comma0 47" xfId="3613"/>
    <cellStyle name="Comma0 47 2" xfId="3614"/>
    <cellStyle name="Comma0 48" xfId="3615"/>
    <cellStyle name="Comma0 48 2" xfId="3616"/>
    <cellStyle name="Comma0 49" xfId="3617"/>
    <cellStyle name="Comma0 49 2" xfId="3618"/>
    <cellStyle name="Comma0 5" xfId="3619"/>
    <cellStyle name="Comma0 5 2" xfId="3620"/>
    <cellStyle name="Comma0 5 2 2" xfId="3621"/>
    <cellStyle name="Comma0 5 3" xfId="3622"/>
    <cellStyle name="Comma0 50" xfId="3623"/>
    <cellStyle name="Comma0 50 2" xfId="3624"/>
    <cellStyle name="Comma0 51" xfId="3625"/>
    <cellStyle name="Comma0 51 2" xfId="3626"/>
    <cellStyle name="Comma0 52" xfId="3627"/>
    <cellStyle name="Comma0 52 2" xfId="3628"/>
    <cellStyle name="Comma0 53" xfId="3629"/>
    <cellStyle name="Comma0 53 2" xfId="3630"/>
    <cellStyle name="Comma0 54" xfId="3631"/>
    <cellStyle name="Comma0 54 2" xfId="3632"/>
    <cellStyle name="Comma0 55" xfId="3633"/>
    <cellStyle name="Comma0 55 2" xfId="3634"/>
    <cellStyle name="Comma0 56" xfId="3635"/>
    <cellStyle name="Comma0 56 2" xfId="3636"/>
    <cellStyle name="Comma0 57" xfId="3637"/>
    <cellStyle name="Comma0 57 2" xfId="3638"/>
    <cellStyle name="Comma0 58" xfId="3639"/>
    <cellStyle name="Comma0 58 2" xfId="3640"/>
    <cellStyle name="Comma0 59" xfId="3641"/>
    <cellStyle name="Comma0 59 2" xfId="3642"/>
    <cellStyle name="Comma0 6" xfId="3643"/>
    <cellStyle name="Comma0 6 2" xfId="3644"/>
    <cellStyle name="Comma0 6 2 2" xfId="3645"/>
    <cellStyle name="Comma0 6 3" xfId="3646"/>
    <cellStyle name="Comma0 60" xfId="3647"/>
    <cellStyle name="Comma0 60 2" xfId="3648"/>
    <cellStyle name="Comma0 61" xfId="3649"/>
    <cellStyle name="Comma0 61 2" xfId="3650"/>
    <cellStyle name="Comma0 62" xfId="3651"/>
    <cellStyle name="Comma0 62 2" xfId="3652"/>
    <cellStyle name="Comma0 63" xfId="3653"/>
    <cellStyle name="Comma0 63 2" xfId="3654"/>
    <cellStyle name="Comma0 64" xfId="3655"/>
    <cellStyle name="Comma0 64 2" xfId="3656"/>
    <cellStyle name="Comma0 65" xfId="3657"/>
    <cellStyle name="Comma0 65 2" xfId="3658"/>
    <cellStyle name="Comma0 66" xfId="3659"/>
    <cellStyle name="Comma0 66 2" xfId="3660"/>
    <cellStyle name="Comma0 67" xfId="3661"/>
    <cellStyle name="Comma0 67 2" xfId="3662"/>
    <cellStyle name="Comma0 68" xfId="3663"/>
    <cellStyle name="Comma0 68 2" xfId="3664"/>
    <cellStyle name="Comma0 69" xfId="3665"/>
    <cellStyle name="Comma0 69 2" xfId="3666"/>
    <cellStyle name="Comma0 7" xfId="3667"/>
    <cellStyle name="Comma0 7 2" xfId="3668"/>
    <cellStyle name="Comma0 7 2 2" xfId="3669"/>
    <cellStyle name="Comma0 7 3" xfId="3670"/>
    <cellStyle name="Comma0 70" xfId="3671"/>
    <cellStyle name="Comma0 70 2" xfId="3672"/>
    <cellStyle name="Comma0 71" xfId="3673"/>
    <cellStyle name="Comma0 71 2" xfId="3674"/>
    <cellStyle name="Comma0 72" xfId="3675"/>
    <cellStyle name="Comma0 72 2" xfId="3676"/>
    <cellStyle name="Comma0 73" xfId="3677"/>
    <cellStyle name="Comma0 73 2" xfId="3678"/>
    <cellStyle name="Comma0 74" xfId="3679"/>
    <cellStyle name="Comma0 74 2" xfId="3680"/>
    <cellStyle name="Comma0 75" xfId="3681"/>
    <cellStyle name="Comma0 75 2" xfId="3682"/>
    <cellStyle name="Comma0 76" xfId="3683"/>
    <cellStyle name="Comma0 76 2" xfId="3684"/>
    <cellStyle name="Comma0 77" xfId="3685"/>
    <cellStyle name="Comma0 77 2" xfId="3686"/>
    <cellStyle name="Comma0 78" xfId="3687"/>
    <cellStyle name="Comma0 78 2" xfId="3688"/>
    <cellStyle name="Comma0 79" xfId="3689"/>
    <cellStyle name="Comma0 79 2" xfId="3690"/>
    <cellStyle name="Comma0 8" xfId="3691"/>
    <cellStyle name="Comma0 8 2" xfId="3692"/>
    <cellStyle name="Comma0 8 2 2" xfId="3693"/>
    <cellStyle name="Comma0 8 3" xfId="3694"/>
    <cellStyle name="Comma0 80" xfId="3695"/>
    <cellStyle name="Comma0 80 2" xfId="3696"/>
    <cellStyle name="Comma0 81" xfId="3697"/>
    <cellStyle name="Comma0 81 2" xfId="3698"/>
    <cellStyle name="Comma0 82" xfId="3699"/>
    <cellStyle name="Comma0 82 2" xfId="3700"/>
    <cellStyle name="Comma0 83" xfId="3701"/>
    <cellStyle name="Comma0 83 2" xfId="3702"/>
    <cellStyle name="Comma0 84" xfId="3703"/>
    <cellStyle name="Comma0 84 2" xfId="3704"/>
    <cellStyle name="Comma0 85" xfId="3705"/>
    <cellStyle name="Comma0 85 2" xfId="3706"/>
    <cellStyle name="Comma0 86" xfId="3707"/>
    <cellStyle name="Comma0 86 2" xfId="3708"/>
    <cellStyle name="Comma0 87" xfId="3709"/>
    <cellStyle name="Comma0 87 2" xfId="3710"/>
    <cellStyle name="Comma0 88" xfId="3711"/>
    <cellStyle name="Comma0 88 2" xfId="3712"/>
    <cellStyle name="Comma0 89" xfId="3713"/>
    <cellStyle name="Comma0 89 2" xfId="3714"/>
    <cellStyle name="Comma0 9" xfId="3715"/>
    <cellStyle name="Comma0 9 2" xfId="3716"/>
    <cellStyle name="Comma0 9 2 2" xfId="3717"/>
    <cellStyle name="Comma0 9 3" xfId="3718"/>
    <cellStyle name="Comma0 90" xfId="3719"/>
    <cellStyle name="Comma0 90 2" xfId="3720"/>
    <cellStyle name="Comma0 91" xfId="3721"/>
    <cellStyle name="Comma0 91 2" xfId="3722"/>
    <cellStyle name="Comma0 92" xfId="3723"/>
    <cellStyle name="Comma0 92 2" xfId="3724"/>
    <cellStyle name="Comma0 93" xfId="3725"/>
    <cellStyle name="Comma0 93 2" xfId="3726"/>
    <cellStyle name="Comma0 94" xfId="3727"/>
    <cellStyle name="Comma0 94 2" xfId="3728"/>
    <cellStyle name="Comma0 95" xfId="3729"/>
    <cellStyle name="Comma0 95 2" xfId="3730"/>
    <cellStyle name="Comma0 96" xfId="3731"/>
    <cellStyle name="Comma0 96 2" xfId="3732"/>
    <cellStyle name="Comma0 97" xfId="3733"/>
    <cellStyle name="Comma0 97 2" xfId="3734"/>
    <cellStyle name="Comma0 98" xfId="3735"/>
    <cellStyle name="Comma0 98 2" xfId="3736"/>
    <cellStyle name="Comma0 99" xfId="3737"/>
    <cellStyle name="Comma0 99 2" xfId="3738"/>
    <cellStyle name="Comma0_08-1322-LCOE Navy Firescout UAE Support ROM SANITIZED Abbreviated (3)" xfId="3739"/>
    <cellStyle name="Comma1 - Style2" xfId="3740"/>
    <cellStyle name="Comma1 - Style2 2" xfId="3741"/>
    <cellStyle name="Comma1 - Style2 2 2" xfId="3742"/>
    <cellStyle name="Comma1 - Style2 2 3" xfId="3743"/>
    <cellStyle name="Comma1 - Style2 3" xfId="3744"/>
    <cellStyle name="Comma1 - Style2 4" xfId="3745"/>
    <cellStyle name="Curren - Style1" xfId="3746"/>
    <cellStyle name="Curren - Style1 2" xfId="3747"/>
    <cellStyle name="Curren - Style1 2 2" xfId="3748"/>
    <cellStyle name="Curren - Style1 2 3" xfId="3749"/>
    <cellStyle name="Curren - Style1 3" xfId="3750"/>
    <cellStyle name="Curren - Style1 4" xfId="3751"/>
    <cellStyle name="Curren - Style3" xfId="3752"/>
    <cellStyle name="Curren - Style3 2" xfId="3753"/>
    <cellStyle name="Curren - Style3 2 2" xfId="3754"/>
    <cellStyle name="Curren - Style3 2 3" xfId="3755"/>
    <cellStyle name="Curren - Style3 3" xfId="3756"/>
    <cellStyle name="Curren - Style3 4" xfId="3757"/>
    <cellStyle name="Curren - Style5" xfId="3758"/>
    <cellStyle name="Curren - Style5 2" xfId="3759"/>
    <cellStyle name="Curren - Style5 2 2" xfId="3760"/>
    <cellStyle name="Curren - Style5 2 3" xfId="3761"/>
    <cellStyle name="Curren - Style5 3" xfId="3762"/>
    <cellStyle name="Curren - Style5 4" xfId="3763"/>
    <cellStyle name="Currency" xfId="6" builtinId="4" hidden="1"/>
    <cellStyle name="Currency [0]" xfId="7" builtinId="7" hidden="1"/>
    <cellStyle name="Currency [0] 2" xfId="3764"/>
    <cellStyle name="Currency [00]" xfId="3765"/>
    <cellStyle name="Currency [3]" xfId="3766"/>
    <cellStyle name="Currency 10" xfId="3767"/>
    <cellStyle name="Currency 10 10" xfId="3768"/>
    <cellStyle name="Currency 10 2" xfId="3769"/>
    <cellStyle name="Currency 10 2 2" xfId="3770"/>
    <cellStyle name="Currency 10 2 2 2" xfId="3771"/>
    <cellStyle name="Currency 10 2 2 2 2" xfId="3772"/>
    <cellStyle name="Currency 10 2 2 2 2 2" xfId="3773"/>
    <cellStyle name="Currency 10 2 2 2 3" xfId="3774"/>
    <cellStyle name="Currency 10 2 2 3" xfId="3775"/>
    <cellStyle name="Currency 10 2 2 3 2" xfId="3776"/>
    <cellStyle name="Currency 10 2 2 3 2 2" xfId="3777"/>
    <cellStyle name="Currency 10 2 2 3 3" xfId="3778"/>
    <cellStyle name="Currency 10 2 2 4" xfId="3779"/>
    <cellStyle name="Currency 10 2 2 4 2" xfId="3780"/>
    <cellStyle name="Currency 10 2 2 5" xfId="3781"/>
    <cellStyle name="Currency 10 2 2 6" xfId="3782"/>
    <cellStyle name="Currency 10 2 3" xfId="3783"/>
    <cellStyle name="Currency 10 2 3 2" xfId="3784"/>
    <cellStyle name="Currency 10 2 3 2 2" xfId="3785"/>
    <cellStyle name="Currency 10 2 3 3" xfId="3786"/>
    <cellStyle name="Currency 10 2 3 4" xfId="3787"/>
    <cellStyle name="Currency 10 2 4" xfId="3788"/>
    <cellStyle name="Currency 10 2 4 2" xfId="3789"/>
    <cellStyle name="Currency 10 2 4 2 2" xfId="3790"/>
    <cellStyle name="Currency 10 2 4 3" xfId="3791"/>
    <cellStyle name="Currency 10 2 5" xfId="3792"/>
    <cellStyle name="Currency 10 2 5 2" xfId="3793"/>
    <cellStyle name="Currency 10 2 6" xfId="3794"/>
    <cellStyle name="Currency 10 2 7" xfId="3795"/>
    <cellStyle name="Currency 10 3" xfId="3796"/>
    <cellStyle name="Currency 10 3 2" xfId="3797"/>
    <cellStyle name="Currency 10 3 2 2" xfId="3798"/>
    <cellStyle name="Currency 10 3 2 3" xfId="3799"/>
    <cellStyle name="Currency 10 3 3" xfId="3800"/>
    <cellStyle name="Currency 10 3 4" xfId="3801"/>
    <cellStyle name="Currency 10 4" xfId="3802"/>
    <cellStyle name="Currency 10 4 2" xfId="3803"/>
    <cellStyle name="Currency 10 4 2 2" xfId="3804"/>
    <cellStyle name="Currency 10 4 3" xfId="3805"/>
    <cellStyle name="Currency 10 4 4" xfId="3806"/>
    <cellStyle name="Currency 10 5" xfId="3807"/>
    <cellStyle name="Currency 10 5 2" xfId="3808"/>
    <cellStyle name="Currency 10 5 3" xfId="3809"/>
    <cellStyle name="Currency 10 6" xfId="3810"/>
    <cellStyle name="Currency 10 6 2" xfId="3811"/>
    <cellStyle name="Currency 10 7" xfId="3812"/>
    <cellStyle name="Currency 10 8" xfId="3813"/>
    <cellStyle name="Currency 10 8 2" xfId="3814"/>
    <cellStyle name="Currency 10 8 3" xfId="3815"/>
    <cellStyle name="Currency 10 9" xfId="3816"/>
    <cellStyle name="Currency 100" xfId="3817"/>
    <cellStyle name="Currency 108" xfId="3818"/>
    <cellStyle name="Currency 11" xfId="3819"/>
    <cellStyle name="Currency 11 10" xfId="3820"/>
    <cellStyle name="Currency 11 2" xfId="3821"/>
    <cellStyle name="Currency 11 2 2" xfId="3822"/>
    <cellStyle name="Currency 11 2 2 2" xfId="3823"/>
    <cellStyle name="Currency 11 2 2 2 2" xfId="3824"/>
    <cellStyle name="Currency 11 2 2 3" xfId="3825"/>
    <cellStyle name="Currency 11 2 2 4" xfId="3826"/>
    <cellStyle name="Currency 11 2 3" xfId="3827"/>
    <cellStyle name="Currency 11 2 3 2" xfId="3828"/>
    <cellStyle name="Currency 11 2 3 2 2" xfId="3829"/>
    <cellStyle name="Currency 11 2 3 3" xfId="3830"/>
    <cellStyle name="Currency 11 2 3 4" xfId="3831"/>
    <cellStyle name="Currency 11 2 4" xfId="3832"/>
    <cellStyle name="Currency 11 2 4 2" xfId="3833"/>
    <cellStyle name="Currency 11 2 5" xfId="3834"/>
    <cellStyle name="Currency 11 2 6" xfId="3835"/>
    <cellStyle name="Currency 11 3" xfId="3836"/>
    <cellStyle name="Currency 11 3 2" xfId="3837"/>
    <cellStyle name="Currency 11 3 2 2" xfId="3838"/>
    <cellStyle name="Currency 11 3 2 3" xfId="3839"/>
    <cellStyle name="Currency 11 3 3" xfId="3840"/>
    <cellStyle name="Currency 11 3 4" xfId="3841"/>
    <cellStyle name="Currency 11 4" xfId="3842"/>
    <cellStyle name="Currency 11 4 2" xfId="3843"/>
    <cellStyle name="Currency 11 4 2 2" xfId="3844"/>
    <cellStyle name="Currency 11 4 3" xfId="3845"/>
    <cellStyle name="Currency 11 4 4" xfId="3846"/>
    <cellStyle name="Currency 11 5" xfId="3847"/>
    <cellStyle name="Currency 11 5 2" xfId="3848"/>
    <cellStyle name="Currency 11 5 3" xfId="3849"/>
    <cellStyle name="Currency 11 6" xfId="3850"/>
    <cellStyle name="Currency 11 6 2" xfId="3851"/>
    <cellStyle name="Currency 11 7" xfId="3852"/>
    <cellStyle name="Currency 11 8" xfId="3853"/>
    <cellStyle name="Currency 11 8 2" xfId="3854"/>
    <cellStyle name="Currency 11 8 3" xfId="3855"/>
    <cellStyle name="Currency 11 9" xfId="3856"/>
    <cellStyle name="Currency 12" xfId="3857"/>
    <cellStyle name="Currency 12 10" xfId="3858"/>
    <cellStyle name="Currency 12 2" xfId="3859"/>
    <cellStyle name="Currency 12 2 2" xfId="3860"/>
    <cellStyle name="Currency 12 2 3" xfId="3861"/>
    <cellStyle name="Currency 12 2 4" xfId="3862"/>
    <cellStyle name="Currency 12 3" xfId="3863"/>
    <cellStyle name="Currency 12 3 2" xfId="3864"/>
    <cellStyle name="Currency 12 4" xfId="3865"/>
    <cellStyle name="Currency 12 5" xfId="3866"/>
    <cellStyle name="Currency 12 6" xfId="3867"/>
    <cellStyle name="Currency 12 7" xfId="3868"/>
    <cellStyle name="Currency 12 8" xfId="3869"/>
    <cellStyle name="Currency 12 8 2" xfId="3870"/>
    <cellStyle name="Currency 12 8 3" xfId="3871"/>
    <cellStyle name="Currency 12 9" xfId="3872"/>
    <cellStyle name="Currency 13" xfId="3873"/>
    <cellStyle name="Currency 13 2" xfId="3874"/>
    <cellStyle name="Currency 13 2 2" xfId="3875"/>
    <cellStyle name="Currency 13 2 3" xfId="3876"/>
    <cellStyle name="Currency 13 3" xfId="3877"/>
    <cellStyle name="Currency 13 3 2" xfId="3878"/>
    <cellStyle name="Currency 13 4" xfId="3879"/>
    <cellStyle name="Currency 13 5" xfId="3880"/>
    <cellStyle name="Currency 13 6" xfId="3881"/>
    <cellStyle name="Currency 13 7" xfId="3882"/>
    <cellStyle name="Currency 13 8" xfId="3883"/>
    <cellStyle name="Currency 13 8 2" xfId="3884"/>
    <cellStyle name="Currency 13 8 3" xfId="3885"/>
    <cellStyle name="Currency 13 9" xfId="3886"/>
    <cellStyle name="Currency 14" xfId="3887"/>
    <cellStyle name="Currency 14 10" xfId="3888"/>
    <cellStyle name="Currency 14 2" xfId="3889"/>
    <cellStyle name="Currency 14 2 2" xfId="3890"/>
    <cellStyle name="Currency 14 2 3" xfId="3891"/>
    <cellStyle name="Currency 14 3" xfId="3892"/>
    <cellStyle name="Currency 14 3 2" xfId="3893"/>
    <cellStyle name="Currency 14 4" xfId="3894"/>
    <cellStyle name="Currency 14 5" xfId="3895"/>
    <cellStyle name="Currency 14 6" xfId="3896"/>
    <cellStyle name="Currency 14 7" xfId="3897"/>
    <cellStyle name="Currency 14 8" xfId="3898"/>
    <cellStyle name="Currency 14 8 2" xfId="3899"/>
    <cellStyle name="Currency 14 8 3" xfId="3900"/>
    <cellStyle name="Currency 14 9" xfId="3901"/>
    <cellStyle name="Currency 15" xfId="3902"/>
    <cellStyle name="Currency 15 2" xfId="3903"/>
    <cellStyle name="Currency 15 2 2" xfId="3904"/>
    <cellStyle name="Currency 15 2 3" xfId="3905"/>
    <cellStyle name="Currency 15 3" xfId="3906"/>
    <cellStyle name="Currency 15 3 2" xfId="3907"/>
    <cellStyle name="Currency 15 4" xfId="3908"/>
    <cellStyle name="Currency 15 5" xfId="3909"/>
    <cellStyle name="Currency 15 6" xfId="3910"/>
    <cellStyle name="Currency 15 7" xfId="3911"/>
    <cellStyle name="Currency 15 8" xfId="3912"/>
    <cellStyle name="Currency 15 8 2" xfId="3913"/>
    <cellStyle name="Currency 15 8 3" xfId="3914"/>
    <cellStyle name="Currency 15 9" xfId="3915"/>
    <cellStyle name="Currency 16" xfId="3916"/>
    <cellStyle name="Currency 16 2" xfId="3917"/>
    <cellStyle name="Currency 17" xfId="3918"/>
    <cellStyle name="Currency 17 2" xfId="3919"/>
    <cellStyle name="Currency 18" xfId="3920"/>
    <cellStyle name="Currency 18 2" xfId="3921"/>
    <cellStyle name="Currency 19" xfId="3922"/>
    <cellStyle name="Currency 19 2" xfId="3923"/>
    <cellStyle name="Currency 2" xfId="3"/>
    <cellStyle name="Currency 2 10" xfId="3924"/>
    <cellStyle name="Currency 2 10 2" xfId="3925"/>
    <cellStyle name="Currency 2 11" xfId="3926"/>
    <cellStyle name="Currency 2 11 2" xfId="3927"/>
    <cellStyle name="Currency 2 12" xfId="3928"/>
    <cellStyle name="Currency 2 12 2" xfId="3929"/>
    <cellStyle name="Currency 2 13" xfId="3930"/>
    <cellStyle name="Currency 2 13 2" xfId="3931"/>
    <cellStyle name="Currency 2 14" xfId="3932"/>
    <cellStyle name="Currency 2 14 2" xfId="3933"/>
    <cellStyle name="Currency 2 15" xfId="3934"/>
    <cellStyle name="Currency 2 15 2" xfId="3935"/>
    <cellStyle name="Currency 2 16" xfId="3936"/>
    <cellStyle name="Currency 2 16 2" xfId="3937"/>
    <cellStyle name="Currency 2 17" xfId="3938"/>
    <cellStyle name="Currency 2 17 2" xfId="3939"/>
    <cellStyle name="Currency 2 18" xfId="3940"/>
    <cellStyle name="Currency 2 19" xfId="3941"/>
    <cellStyle name="Currency 2 2" xfId="3942"/>
    <cellStyle name="Currency 2 2 2" xfId="3943"/>
    <cellStyle name="Currency 2 2 2 2" xfId="3944"/>
    <cellStyle name="Currency 2 2 3" xfId="3945"/>
    <cellStyle name="Currency 2 2 3 2" xfId="3946"/>
    <cellStyle name="Currency 2 2 3 3" xfId="3947"/>
    <cellStyle name="Currency 2 20" xfId="3948"/>
    <cellStyle name="Currency 2 3" xfId="3949"/>
    <cellStyle name="Currency 2 3 2" xfId="3950"/>
    <cellStyle name="Currency 2 3 2 2" xfId="3951"/>
    <cellStyle name="Currency 2 3 3" xfId="3952"/>
    <cellStyle name="Currency 2 4" xfId="3953"/>
    <cellStyle name="Currency 2 4 2" xfId="3954"/>
    <cellStyle name="Currency 2 5" xfId="3955"/>
    <cellStyle name="Currency 2 5 2" xfId="3956"/>
    <cellStyle name="Currency 2 6" xfId="3957"/>
    <cellStyle name="Currency 2 6 2" xfId="3958"/>
    <cellStyle name="Currency 2 7" xfId="3959"/>
    <cellStyle name="Currency 2 7 2" xfId="3960"/>
    <cellStyle name="Currency 2 8" xfId="3961"/>
    <cellStyle name="Currency 2 8 2" xfId="3962"/>
    <cellStyle name="Currency 2 9" xfId="3963"/>
    <cellStyle name="Currency 2 9 2" xfId="3964"/>
    <cellStyle name="Currency 20" xfId="3965"/>
    <cellStyle name="Currency 20 2" xfId="3966"/>
    <cellStyle name="Currency 20 3" xfId="3967"/>
    <cellStyle name="Currency 21" xfId="3968"/>
    <cellStyle name="Currency 21 2" xfId="3969"/>
    <cellStyle name="Currency 22" xfId="3970"/>
    <cellStyle name="Currency 22 2" xfId="3971"/>
    <cellStyle name="Currency 23" xfId="3972"/>
    <cellStyle name="Currency 23 2" xfId="3973"/>
    <cellStyle name="Currency 24" xfId="3974"/>
    <cellStyle name="Currency 25" xfId="3975"/>
    <cellStyle name="Currency 25 2" xfId="3976"/>
    <cellStyle name="Currency 25 2 2" xfId="3977"/>
    <cellStyle name="Currency 25 2 2 2" xfId="3978"/>
    <cellStyle name="Currency 25 2 3" xfId="3979"/>
    <cellStyle name="Currency 25 2 4" xfId="3980"/>
    <cellStyle name="Currency 25 3" xfId="3981"/>
    <cellStyle name="Currency 25 3 2" xfId="3982"/>
    <cellStyle name="Currency 25 3 2 2" xfId="3983"/>
    <cellStyle name="Currency 25 3 3" xfId="3984"/>
    <cellStyle name="Currency 25 3 4" xfId="3985"/>
    <cellStyle name="Currency 25 4" xfId="3986"/>
    <cellStyle name="Currency 25 4 2" xfId="3987"/>
    <cellStyle name="Currency 25 5" xfId="3988"/>
    <cellStyle name="Currency 25 6" xfId="3989"/>
    <cellStyle name="Currency 26" xfId="3990"/>
    <cellStyle name="Currency 26 2" xfId="3991"/>
    <cellStyle name="Currency 26 2 2" xfId="3992"/>
    <cellStyle name="Currency 26 2 2 2" xfId="3993"/>
    <cellStyle name="Currency 26 2 3" xfId="3994"/>
    <cellStyle name="Currency 26 2 4" xfId="3995"/>
    <cellStyle name="Currency 26 3" xfId="3996"/>
    <cellStyle name="Currency 26 3 2" xfId="3997"/>
    <cellStyle name="Currency 26 3 2 2" xfId="3998"/>
    <cellStyle name="Currency 26 3 3" xfId="3999"/>
    <cellStyle name="Currency 26 3 4" xfId="4000"/>
    <cellStyle name="Currency 26 4" xfId="4001"/>
    <cellStyle name="Currency 26 4 2" xfId="4002"/>
    <cellStyle name="Currency 26 5" xfId="4003"/>
    <cellStyle name="Currency 26 6" xfId="4004"/>
    <cellStyle name="Currency 27" xfId="4005"/>
    <cellStyle name="Currency 27 2" xfId="4006"/>
    <cellStyle name="Currency 27 2 2" xfId="4007"/>
    <cellStyle name="Currency 27 2 2 2" xfId="4008"/>
    <cellStyle name="Currency 27 2 3" xfId="4009"/>
    <cellStyle name="Currency 27 2 4" xfId="4010"/>
    <cellStyle name="Currency 27 3" xfId="4011"/>
    <cellStyle name="Currency 27 3 2" xfId="4012"/>
    <cellStyle name="Currency 27 3 2 2" xfId="4013"/>
    <cellStyle name="Currency 27 3 3" xfId="4014"/>
    <cellStyle name="Currency 27 3 4" xfId="4015"/>
    <cellStyle name="Currency 27 4" xfId="4016"/>
    <cellStyle name="Currency 27 4 2" xfId="4017"/>
    <cellStyle name="Currency 27 5" xfId="4018"/>
    <cellStyle name="Currency 27 6" xfId="4019"/>
    <cellStyle name="Currency 28" xfId="4020"/>
    <cellStyle name="Currency 29" xfId="4021"/>
    <cellStyle name="Currency 3" xfId="4022"/>
    <cellStyle name="Currency 3 2" xfId="4023"/>
    <cellStyle name="Currency 3 2 2" xfId="4024"/>
    <cellStyle name="Currency 3 2 3" xfId="4025"/>
    <cellStyle name="Currency 3 2 4" xfId="4026"/>
    <cellStyle name="Currency 3 2 5" xfId="4027"/>
    <cellStyle name="Currency 3 3" xfId="4028"/>
    <cellStyle name="Currency 3 3 2" xfId="4029"/>
    <cellStyle name="Currency 3 3 3" xfId="4030"/>
    <cellStyle name="Currency 3 4" xfId="4031"/>
    <cellStyle name="Currency 3 5" xfId="4032"/>
    <cellStyle name="Currency 3 6" xfId="4033"/>
    <cellStyle name="Currency 3 7" xfId="4034"/>
    <cellStyle name="Currency 3 8" xfId="4035"/>
    <cellStyle name="Currency 3 9" xfId="4036"/>
    <cellStyle name="Currency 30" xfId="4037"/>
    <cellStyle name="Currency 30 2" xfId="4038"/>
    <cellStyle name="Currency 30 2 2" xfId="4039"/>
    <cellStyle name="Currency 30 2 2 2" xfId="4040"/>
    <cellStyle name="Currency 30 2 2 2 2" xfId="4041"/>
    <cellStyle name="Currency 30 2 2 3" xfId="4042"/>
    <cellStyle name="Currency 30 2 2 4" xfId="4043"/>
    <cellStyle name="Currency 30 2 3" xfId="4044"/>
    <cellStyle name="Currency 30 2 3 2" xfId="4045"/>
    <cellStyle name="Currency 30 2 3 2 2" xfId="4046"/>
    <cellStyle name="Currency 30 2 3 3" xfId="4047"/>
    <cellStyle name="Currency 30 2 3 4" xfId="4048"/>
    <cellStyle name="Currency 30 2 4" xfId="4049"/>
    <cellStyle name="Currency 30 2 4 2" xfId="4050"/>
    <cellStyle name="Currency 30 2 5" xfId="4051"/>
    <cellStyle name="Currency 30 2 6" xfId="4052"/>
    <cellStyle name="Currency 30 3" xfId="4053"/>
    <cellStyle name="Currency 30 3 2" xfId="4054"/>
    <cellStyle name="Currency 30 3 2 2" xfId="4055"/>
    <cellStyle name="Currency 30 3 2 2 2" xfId="4056"/>
    <cellStyle name="Currency 30 3 2 2 2 2" xfId="4057"/>
    <cellStyle name="Currency 30 3 2 2 3" xfId="4058"/>
    <cellStyle name="Currency 30 3 2 2 4" xfId="4059"/>
    <cellStyle name="Currency 30 3 2 3" xfId="4060"/>
    <cellStyle name="Currency 30 3 2 3 2" xfId="4061"/>
    <cellStyle name="Currency 30 3 2 3 2 2" xfId="4062"/>
    <cellStyle name="Currency 30 3 2 3 3" xfId="4063"/>
    <cellStyle name="Currency 30 3 2 3 4" xfId="4064"/>
    <cellStyle name="Currency 30 3 2 4" xfId="4065"/>
    <cellStyle name="Currency 30 3 2 4 2" xfId="4066"/>
    <cellStyle name="Currency 30 3 2 5" xfId="4067"/>
    <cellStyle name="Currency 30 3 2 6" xfId="4068"/>
    <cellStyle name="Currency 30 3 3" xfId="4069"/>
    <cellStyle name="Currency 30 3 3 2" xfId="4070"/>
    <cellStyle name="Currency 30 3 3 2 2" xfId="4071"/>
    <cellStyle name="Currency 30 3 3 2 2 2" xfId="4072"/>
    <cellStyle name="Currency 30 3 3 2 3" xfId="4073"/>
    <cellStyle name="Currency 30 3 3 2 4" xfId="4074"/>
    <cellStyle name="Currency 30 3 3 3" xfId="4075"/>
    <cellStyle name="Currency 30 3 3 3 2" xfId="4076"/>
    <cellStyle name="Currency 30 3 3 3 2 2" xfId="4077"/>
    <cellStyle name="Currency 30 3 3 3 3" xfId="4078"/>
    <cellStyle name="Currency 30 3 3 3 4" xfId="4079"/>
    <cellStyle name="Currency 30 3 3 4" xfId="4080"/>
    <cellStyle name="Currency 30 3 3 4 2" xfId="4081"/>
    <cellStyle name="Currency 30 3 3 5" xfId="4082"/>
    <cellStyle name="Currency 30 3 3 6" xfId="4083"/>
    <cellStyle name="Currency 30 3 4" xfId="4084"/>
    <cellStyle name="Currency 30 3 4 2" xfId="4085"/>
    <cellStyle name="Currency 30 3 4 2 2" xfId="4086"/>
    <cellStyle name="Currency 30 3 4 3" xfId="4087"/>
    <cellStyle name="Currency 30 3 4 4" xfId="4088"/>
    <cellStyle name="Currency 30 3 5" xfId="4089"/>
    <cellStyle name="Currency 30 3 5 2" xfId="4090"/>
    <cellStyle name="Currency 30 3 5 2 2" xfId="4091"/>
    <cellStyle name="Currency 30 3 5 3" xfId="4092"/>
    <cellStyle name="Currency 30 3 5 4" xfId="4093"/>
    <cellStyle name="Currency 30 3 6" xfId="4094"/>
    <cellStyle name="Currency 30 3 6 2" xfId="4095"/>
    <cellStyle name="Currency 30 3 7" xfId="4096"/>
    <cellStyle name="Currency 30 3 8" xfId="4097"/>
    <cellStyle name="Currency 30 4" xfId="4098"/>
    <cellStyle name="Currency 30 4 2" xfId="4099"/>
    <cellStyle name="Currency 30 4 2 2" xfId="4100"/>
    <cellStyle name="Currency 30 4 3" xfId="4101"/>
    <cellStyle name="Currency 30 4 4" xfId="4102"/>
    <cellStyle name="Currency 30 5" xfId="4103"/>
    <cellStyle name="Currency 30 5 2" xfId="4104"/>
    <cellStyle name="Currency 30 5 2 2" xfId="4105"/>
    <cellStyle name="Currency 30 5 3" xfId="4106"/>
    <cellStyle name="Currency 30 5 4" xfId="4107"/>
    <cellStyle name="Currency 30 6" xfId="4108"/>
    <cellStyle name="Currency 30 6 2" xfId="4109"/>
    <cellStyle name="Currency 30 7" xfId="4110"/>
    <cellStyle name="Currency 30 8" xfId="4111"/>
    <cellStyle name="Currency 31" xfId="4112"/>
    <cellStyle name="Currency 31 2" xfId="4113"/>
    <cellStyle name="Currency 32" xfId="4114"/>
    <cellStyle name="Currency 33" xfId="4115"/>
    <cellStyle name="Currency 33 2" xfId="4116"/>
    <cellStyle name="Currency 34" xfId="4117"/>
    <cellStyle name="Currency 34 2" xfId="4118"/>
    <cellStyle name="Currency 34 2 2" xfId="4119"/>
    <cellStyle name="Currency 34 2 2 2" xfId="4120"/>
    <cellStyle name="Currency 34 2 2 2 2" xfId="4121"/>
    <cellStyle name="Currency 34 2 2 3" xfId="4122"/>
    <cellStyle name="Currency 34 2 2 4" xfId="4123"/>
    <cellStyle name="Currency 34 2 3" xfId="4124"/>
    <cellStyle name="Currency 34 2 3 2" xfId="4125"/>
    <cellStyle name="Currency 34 2 3 2 2" xfId="4126"/>
    <cellStyle name="Currency 34 2 3 3" xfId="4127"/>
    <cellStyle name="Currency 34 2 3 4" xfId="4128"/>
    <cellStyle name="Currency 34 2 4" xfId="4129"/>
    <cellStyle name="Currency 34 2 4 2" xfId="4130"/>
    <cellStyle name="Currency 34 2 5" xfId="4131"/>
    <cellStyle name="Currency 34 2 6" xfId="4132"/>
    <cellStyle name="Currency 34 3" xfId="4133"/>
    <cellStyle name="Currency 34 3 2" xfId="4134"/>
    <cellStyle name="Currency 34 3 2 2" xfId="4135"/>
    <cellStyle name="Currency 34 3 3" xfId="4136"/>
    <cellStyle name="Currency 34 3 4" xfId="4137"/>
    <cellStyle name="Currency 34 4" xfId="4138"/>
    <cellStyle name="Currency 34 4 2" xfId="4139"/>
    <cellStyle name="Currency 34 4 2 2" xfId="4140"/>
    <cellStyle name="Currency 34 4 3" xfId="4141"/>
    <cellStyle name="Currency 34 4 4" xfId="4142"/>
    <cellStyle name="Currency 34 5" xfId="4143"/>
    <cellStyle name="Currency 34 5 2" xfId="4144"/>
    <cellStyle name="Currency 34 6" xfId="4145"/>
    <cellStyle name="Currency 34 7" xfId="4146"/>
    <cellStyle name="Currency 35" xfId="4147"/>
    <cellStyle name="Currency 35 2" xfId="4148"/>
    <cellStyle name="Currency 35 2 2" xfId="4149"/>
    <cellStyle name="Currency 35 2 2 2" xfId="4150"/>
    <cellStyle name="Currency 35 2 3" xfId="4151"/>
    <cellStyle name="Currency 35 2 4" xfId="4152"/>
    <cellStyle name="Currency 35 3" xfId="4153"/>
    <cellStyle name="Currency 35 3 2" xfId="4154"/>
    <cellStyle name="Currency 35 3 2 2" xfId="4155"/>
    <cellStyle name="Currency 35 3 3" xfId="4156"/>
    <cellStyle name="Currency 35 3 4" xfId="4157"/>
    <cellStyle name="Currency 35 4" xfId="4158"/>
    <cellStyle name="Currency 35 4 2" xfId="4159"/>
    <cellStyle name="Currency 35 5" xfId="4160"/>
    <cellStyle name="Currency 35 6" xfId="4161"/>
    <cellStyle name="Currency 36" xfId="4162"/>
    <cellStyle name="Currency 37" xfId="4163"/>
    <cellStyle name="Currency 38" xfId="4164"/>
    <cellStyle name="Currency 39" xfId="4165"/>
    <cellStyle name="Currency 4" xfId="4166"/>
    <cellStyle name="Currency 4 10" xfId="4167"/>
    <cellStyle name="Currency 4 2" xfId="4168"/>
    <cellStyle name="Currency 4 2 2" xfId="4169"/>
    <cellStyle name="Currency 4 2 2 2" xfId="4170"/>
    <cellStyle name="Currency 4 2 3" xfId="4171"/>
    <cellStyle name="Currency 4 3" xfId="4172"/>
    <cellStyle name="Currency 4 3 2" xfId="4173"/>
    <cellStyle name="Currency 4 3 2 2" xfId="4174"/>
    <cellStyle name="Currency 4 3 2 2 2" xfId="4175"/>
    <cellStyle name="Currency 4 3 2 2 3" xfId="4176"/>
    <cellStyle name="Currency 4 3 2 3" xfId="4177"/>
    <cellStyle name="Currency 4 3 2 4" xfId="4178"/>
    <cellStyle name="Currency 4 3 3" xfId="4179"/>
    <cellStyle name="Currency 4 3 3 2" xfId="4180"/>
    <cellStyle name="Currency 4 3 3 2 2" xfId="4181"/>
    <cellStyle name="Currency 4 3 3 3" xfId="4182"/>
    <cellStyle name="Currency 4 3 4" xfId="4183"/>
    <cellStyle name="Currency 4 3 5" xfId="4184"/>
    <cellStyle name="Currency 4 3 6" xfId="4185"/>
    <cellStyle name="Currency 4 4" xfId="4186"/>
    <cellStyle name="Currency 4 5" xfId="4187"/>
    <cellStyle name="Currency 4 6" xfId="4188"/>
    <cellStyle name="Currency 4 7" xfId="4189"/>
    <cellStyle name="Currency 4 8" xfId="4190"/>
    <cellStyle name="Currency 4 8 2" xfId="4191"/>
    <cellStyle name="Currency 4 8 3" xfId="4192"/>
    <cellStyle name="Currency 4 9" xfId="4193"/>
    <cellStyle name="Currency 40" xfId="4194"/>
    <cellStyle name="Currency 41" xfId="4195"/>
    <cellStyle name="Currency 42" xfId="4196"/>
    <cellStyle name="Currency 42 2" xfId="4197"/>
    <cellStyle name="Currency 42 2 2" xfId="4198"/>
    <cellStyle name="Currency 42 3" xfId="4199"/>
    <cellStyle name="Currency 42 4" xfId="4200"/>
    <cellStyle name="Currency 42 5" xfId="4201"/>
    <cellStyle name="Currency 43" xfId="4202"/>
    <cellStyle name="Currency 43 2" xfId="4203"/>
    <cellStyle name="Currency 43 2 2" xfId="4204"/>
    <cellStyle name="Currency 43 2 3" xfId="4205"/>
    <cellStyle name="Currency 43 3" xfId="4206"/>
    <cellStyle name="Currency 43 4" xfId="4207"/>
    <cellStyle name="Currency 43 5" xfId="4208"/>
    <cellStyle name="Currency 44" xfId="4209"/>
    <cellStyle name="Currency 44 2" xfId="4210"/>
    <cellStyle name="Currency 45" xfId="4211"/>
    <cellStyle name="Currency 45 2" xfId="4212"/>
    <cellStyle name="Currency 46" xfId="4213"/>
    <cellStyle name="Currency 46 2" xfId="4214"/>
    <cellStyle name="Currency 46 3" xfId="4215"/>
    <cellStyle name="Currency 47" xfId="4216"/>
    <cellStyle name="Currency 48" xfId="4217"/>
    <cellStyle name="Currency 48 2" xfId="4218"/>
    <cellStyle name="Currency 48 3" xfId="4219"/>
    <cellStyle name="Currency 48 4" xfId="4220"/>
    <cellStyle name="Currency 49" xfId="4221"/>
    <cellStyle name="Currency 49 2" xfId="4222"/>
    <cellStyle name="Currency 49 3" xfId="4223"/>
    <cellStyle name="Currency 49 4" xfId="4224"/>
    <cellStyle name="Currency 5" xfId="4225"/>
    <cellStyle name="Currency 5 10" xfId="4226"/>
    <cellStyle name="Currency 5 2" xfId="4227"/>
    <cellStyle name="Currency 5 2 2" xfId="4228"/>
    <cellStyle name="Currency 5 2 3" xfId="4229"/>
    <cellStyle name="Currency 5 2 4" xfId="4230"/>
    <cellStyle name="Currency 5 3" xfId="4231"/>
    <cellStyle name="Currency 5 3 2" xfId="4232"/>
    <cellStyle name="Currency 5 3 2 2" xfId="4233"/>
    <cellStyle name="Currency 5 3 2 2 2" xfId="4234"/>
    <cellStyle name="Currency 5 3 2 3" xfId="4235"/>
    <cellStyle name="Currency 5 3 2 4" xfId="4236"/>
    <cellStyle name="Currency 5 3 3" xfId="4237"/>
    <cellStyle name="Currency 5 3 3 2" xfId="4238"/>
    <cellStyle name="Currency 5 3 3 2 2" xfId="4239"/>
    <cellStyle name="Currency 5 3 3 3" xfId="4240"/>
    <cellStyle name="Currency 5 3 3 4" xfId="4241"/>
    <cellStyle name="Currency 5 3 4" xfId="4242"/>
    <cellStyle name="Currency 5 3 4 2" xfId="4243"/>
    <cellStyle name="Currency 5 3 5" xfId="4244"/>
    <cellStyle name="Currency 5 3 6" xfId="4245"/>
    <cellStyle name="Currency 5 4" xfId="4246"/>
    <cellStyle name="Currency 5 4 2" xfId="4247"/>
    <cellStyle name="Currency 5 4 2 2" xfId="4248"/>
    <cellStyle name="Currency 5 4 3" xfId="4249"/>
    <cellStyle name="Currency 5 4 4" xfId="4250"/>
    <cellStyle name="Currency 5 5" xfId="4251"/>
    <cellStyle name="Currency 5 5 2" xfId="4252"/>
    <cellStyle name="Currency 5 5 2 2" xfId="4253"/>
    <cellStyle name="Currency 5 5 3" xfId="4254"/>
    <cellStyle name="Currency 5 5 4" xfId="4255"/>
    <cellStyle name="Currency 5 6" xfId="4256"/>
    <cellStyle name="Currency 5 6 2" xfId="4257"/>
    <cellStyle name="Currency 5 6 3" xfId="4258"/>
    <cellStyle name="Currency 5 7" xfId="4259"/>
    <cellStyle name="Currency 5 7 2" xfId="4260"/>
    <cellStyle name="Currency 5 8" xfId="4261"/>
    <cellStyle name="Currency 5 8 2" xfId="4262"/>
    <cellStyle name="Currency 5 8 3" xfId="4263"/>
    <cellStyle name="Currency 5 9" xfId="4264"/>
    <cellStyle name="Currency 50" xfId="4265"/>
    <cellStyle name="Currency 50 2" xfId="4266"/>
    <cellStyle name="Currency 50 3" xfId="4267"/>
    <cellStyle name="Currency 50 4" xfId="4268"/>
    <cellStyle name="Currency 51" xfId="4269"/>
    <cellStyle name="Currency 51 2" xfId="4270"/>
    <cellStyle name="Currency 51 3" xfId="4271"/>
    <cellStyle name="Currency 51 4" xfId="4272"/>
    <cellStyle name="Currency 52" xfId="4273"/>
    <cellStyle name="Currency 52 2" xfId="4274"/>
    <cellStyle name="Currency 52 3" xfId="4275"/>
    <cellStyle name="Currency 52 4" xfId="4276"/>
    <cellStyle name="Currency 53" xfId="4277"/>
    <cellStyle name="Currency 53 2" xfId="4278"/>
    <cellStyle name="Currency 53 3" xfId="4279"/>
    <cellStyle name="Currency 53 4" xfId="4280"/>
    <cellStyle name="Currency 54" xfId="4281"/>
    <cellStyle name="Currency 54 2" xfId="4282"/>
    <cellStyle name="Currency 54 3" xfId="4283"/>
    <cellStyle name="Currency 54 4" xfId="4284"/>
    <cellStyle name="Currency 55" xfId="4285"/>
    <cellStyle name="Currency 55 2" xfId="4286"/>
    <cellStyle name="Currency 55 3" xfId="4287"/>
    <cellStyle name="Currency 55 4" xfId="4288"/>
    <cellStyle name="Currency 56" xfId="4289"/>
    <cellStyle name="Currency 57" xfId="4290"/>
    <cellStyle name="Currency 57 2" xfId="4291"/>
    <cellStyle name="Currency 58" xfId="4292"/>
    <cellStyle name="Currency 59" xfId="4293"/>
    <cellStyle name="Currency 6" xfId="4294"/>
    <cellStyle name="Currency 6 10" xfId="4295"/>
    <cellStyle name="Currency 6 2" xfId="4296"/>
    <cellStyle name="Currency 6 2 2" xfId="4297"/>
    <cellStyle name="Currency 6 2 2 2" xfId="4298"/>
    <cellStyle name="Currency 6 2 2 2 2" xfId="4299"/>
    <cellStyle name="Currency 6 2 2 2 2 2" xfId="4300"/>
    <cellStyle name="Currency 6 2 2 2 2 2 2" xfId="4301"/>
    <cellStyle name="Currency 6 2 2 2 2 2 2 2" xfId="4302"/>
    <cellStyle name="Currency 6 2 2 2 2 2 2 2 2" xfId="4303"/>
    <cellStyle name="Currency 6 2 2 2 2 2 2 2 2 2" xfId="4304"/>
    <cellStyle name="Currency 6 2 2 2 2 2 2 2 2 2 2" xfId="4305"/>
    <cellStyle name="Currency 6 2 2 2 2 2 2 2 2 2 2 2" xfId="4306"/>
    <cellStyle name="Currency 6 2 2 2 2 2 2 2 2 2 3" xfId="4307"/>
    <cellStyle name="Currency 6 2 2 2 2 2 2 2 2 3" xfId="4308"/>
    <cellStyle name="Currency 6 2 2 2 2 2 2 2 2 3 2" xfId="4309"/>
    <cellStyle name="Currency 6 2 2 2 2 2 2 2 2 3 2 2" xfId="4310"/>
    <cellStyle name="Currency 6 2 2 2 2 2 2 2 2 3 3" xfId="4311"/>
    <cellStyle name="Currency 6 2 2 2 2 2 2 2 2 4" xfId="4312"/>
    <cellStyle name="Currency 6 2 2 2 2 2 2 2 2 4 2" xfId="4313"/>
    <cellStyle name="Currency 6 2 2 2 2 2 2 2 2 5" xfId="4314"/>
    <cellStyle name="Currency 6 2 2 2 2 2 2 2 3" xfId="4315"/>
    <cellStyle name="Currency 6 2 2 2 2 2 2 2 3 2" xfId="4316"/>
    <cellStyle name="Currency 6 2 2 2 2 2 2 2 3 2 2" xfId="4317"/>
    <cellStyle name="Currency 6 2 2 2 2 2 2 2 3 3" xfId="4318"/>
    <cellStyle name="Currency 6 2 2 2 2 2 2 2 4" xfId="4319"/>
    <cellStyle name="Currency 6 2 2 2 2 2 2 2 4 2" xfId="4320"/>
    <cellStyle name="Currency 6 2 2 2 2 2 2 2 4 2 2" xfId="4321"/>
    <cellStyle name="Currency 6 2 2 2 2 2 2 2 4 3" xfId="4322"/>
    <cellStyle name="Currency 6 2 2 2 2 2 2 2 5" xfId="4323"/>
    <cellStyle name="Currency 6 2 2 2 2 2 2 2 5 2" xfId="4324"/>
    <cellStyle name="Currency 6 2 2 2 2 2 2 2 6" xfId="4325"/>
    <cellStyle name="Currency 6 2 2 2 2 2 2 3" xfId="4326"/>
    <cellStyle name="Currency 6 2 2 2 2 2 2 3 2" xfId="4327"/>
    <cellStyle name="Currency 6 2 2 2 2 2 2 3 2 2" xfId="4328"/>
    <cellStyle name="Currency 6 2 2 2 2 2 2 3 3" xfId="4329"/>
    <cellStyle name="Currency 6 2 2 2 2 2 2 4" xfId="4330"/>
    <cellStyle name="Currency 6 2 2 2 2 2 2 4 2" xfId="4331"/>
    <cellStyle name="Currency 6 2 2 2 2 2 2 4 2 2" xfId="4332"/>
    <cellStyle name="Currency 6 2 2 2 2 2 2 4 3" xfId="4333"/>
    <cellStyle name="Currency 6 2 2 2 2 2 2 5" xfId="4334"/>
    <cellStyle name="Currency 6 2 2 2 2 2 2 5 2" xfId="4335"/>
    <cellStyle name="Currency 6 2 2 2 2 2 2 6" xfId="4336"/>
    <cellStyle name="Currency 6 2 2 2 2 2 3" xfId="4337"/>
    <cellStyle name="Currency 6 2 2 2 2 2 3 2" xfId="4338"/>
    <cellStyle name="Currency 6 2 2 2 2 2 3 2 2" xfId="4339"/>
    <cellStyle name="Currency 6 2 2 2 2 2 3 2 2 2" xfId="4340"/>
    <cellStyle name="Currency 6 2 2 2 2 2 3 2 2 2 2" xfId="4341"/>
    <cellStyle name="Currency 6 2 2 2 2 2 3 2 2 3" xfId="4342"/>
    <cellStyle name="Currency 6 2 2 2 2 2 3 2 3" xfId="4343"/>
    <cellStyle name="Currency 6 2 2 2 2 2 3 2 3 2" xfId="4344"/>
    <cellStyle name="Currency 6 2 2 2 2 2 3 2 3 2 2" xfId="4345"/>
    <cellStyle name="Currency 6 2 2 2 2 2 3 2 3 3" xfId="4346"/>
    <cellStyle name="Currency 6 2 2 2 2 2 3 2 4" xfId="4347"/>
    <cellStyle name="Currency 6 2 2 2 2 2 3 2 4 2" xfId="4348"/>
    <cellStyle name="Currency 6 2 2 2 2 2 3 2 5" xfId="4349"/>
    <cellStyle name="Currency 6 2 2 2 2 2 3 3" xfId="4350"/>
    <cellStyle name="Currency 6 2 2 2 2 2 3 3 2" xfId="4351"/>
    <cellStyle name="Currency 6 2 2 2 2 2 3 3 2 2" xfId="4352"/>
    <cellStyle name="Currency 6 2 2 2 2 2 3 3 3" xfId="4353"/>
    <cellStyle name="Currency 6 2 2 2 2 2 3 4" xfId="4354"/>
    <cellStyle name="Currency 6 2 2 2 2 2 3 4 2" xfId="4355"/>
    <cellStyle name="Currency 6 2 2 2 2 2 3 4 2 2" xfId="4356"/>
    <cellStyle name="Currency 6 2 2 2 2 2 3 4 3" xfId="4357"/>
    <cellStyle name="Currency 6 2 2 2 2 2 3 5" xfId="4358"/>
    <cellStyle name="Currency 6 2 2 2 2 2 3 5 2" xfId="4359"/>
    <cellStyle name="Currency 6 2 2 2 2 2 3 6" xfId="4360"/>
    <cellStyle name="Currency 6 2 2 2 2 2 4" xfId="4361"/>
    <cellStyle name="Currency 6 2 2 2 2 2 4 2" xfId="4362"/>
    <cellStyle name="Currency 6 2 2 2 2 2 4 2 2" xfId="4363"/>
    <cellStyle name="Currency 6 2 2 2 2 2 4 3" xfId="4364"/>
    <cellStyle name="Currency 6 2 2 2 2 2 5" xfId="4365"/>
    <cellStyle name="Currency 6 2 2 2 2 2 5 2" xfId="4366"/>
    <cellStyle name="Currency 6 2 2 2 2 2 5 2 2" xfId="4367"/>
    <cellStyle name="Currency 6 2 2 2 2 2 5 3" xfId="4368"/>
    <cellStyle name="Currency 6 2 2 2 2 2 6" xfId="4369"/>
    <cellStyle name="Currency 6 2 2 2 2 2 6 2" xfId="4370"/>
    <cellStyle name="Currency 6 2 2 2 2 2 7" xfId="4371"/>
    <cellStyle name="Currency 6 2 2 2 2 3" xfId="4372"/>
    <cellStyle name="Currency 6 2 2 2 2 3 2" xfId="4373"/>
    <cellStyle name="Currency 6 2 2 2 2 3 2 2" xfId="4374"/>
    <cellStyle name="Currency 6 2 2 2 2 3 3" xfId="4375"/>
    <cellStyle name="Currency 6 2 2 2 2 4" xfId="4376"/>
    <cellStyle name="Currency 6 2 2 2 2 4 2" xfId="4377"/>
    <cellStyle name="Currency 6 2 2 2 2 4 2 2" xfId="4378"/>
    <cellStyle name="Currency 6 2 2 2 2 4 3" xfId="4379"/>
    <cellStyle name="Currency 6 2 2 2 2 5" xfId="4380"/>
    <cellStyle name="Currency 6 2 2 2 2 5 2" xfId="4381"/>
    <cellStyle name="Currency 6 2 2 2 2 6" xfId="4382"/>
    <cellStyle name="Currency 6 2 2 2 3" xfId="4383"/>
    <cellStyle name="Currency 6 2 2 2 3 2" xfId="4384"/>
    <cellStyle name="Currency 6 2 2 2 3 2 2" xfId="4385"/>
    <cellStyle name="Currency 6 2 2 2 3 3" xfId="4386"/>
    <cellStyle name="Currency 6 2 2 2 4" xfId="4387"/>
    <cellStyle name="Currency 6 2 2 2 4 2" xfId="4388"/>
    <cellStyle name="Currency 6 2 2 2 4 2 2" xfId="4389"/>
    <cellStyle name="Currency 6 2 2 2 4 3" xfId="4390"/>
    <cellStyle name="Currency 6 2 2 2 5" xfId="4391"/>
    <cellStyle name="Currency 6 2 2 2 5 2" xfId="4392"/>
    <cellStyle name="Currency 6 2 2 2 6" xfId="4393"/>
    <cellStyle name="Currency 6 2 2 3" xfId="4394"/>
    <cellStyle name="Currency 6 2 2 3 2" xfId="4395"/>
    <cellStyle name="Currency 6 2 2 3 2 2" xfId="4396"/>
    <cellStyle name="Currency 6 2 2 3 3" xfId="4397"/>
    <cellStyle name="Currency 6 2 2 4" xfId="4398"/>
    <cellStyle name="Currency 6 2 2 4 2" xfId="4399"/>
    <cellStyle name="Currency 6 2 2 4 2 2" xfId="4400"/>
    <cellStyle name="Currency 6 2 2 4 3" xfId="4401"/>
    <cellStyle name="Currency 6 2 2 5" xfId="4402"/>
    <cellStyle name="Currency 6 2 2 5 2" xfId="4403"/>
    <cellStyle name="Currency 6 2 2 6" xfId="4404"/>
    <cellStyle name="Currency 6 2 2 7" xfId="4405"/>
    <cellStyle name="Currency 6 2 3" xfId="4406"/>
    <cellStyle name="Currency 6 2 3 2" xfId="4407"/>
    <cellStyle name="Currency 6 2 3 2 2" xfId="4408"/>
    <cellStyle name="Currency 6 2 3 3" xfId="4409"/>
    <cellStyle name="Currency 6 2 3 4" xfId="4410"/>
    <cellStyle name="Currency 6 2 4" xfId="4411"/>
    <cellStyle name="Currency 6 2 4 2" xfId="4412"/>
    <cellStyle name="Currency 6 2 4 2 2" xfId="4413"/>
    <cellStyle name="Currency 6 2 4 3" xfId="4414"/>
    <cellStyle name="Currency 6 2 5" xfId="4415"/>
    <cellStyle name="Currency 6 2 5 2" xfId="4416"/>
    <cellStyle name="Currency 6 2 6" xfId="4417"/>
    <cellStyle name="Currency 6 2 7" xfId="4418"/>
    <cellStyle name="Currency 6 3" xfId="4419"/>
    <cellStyle name="Currency 6 3 2" xfId="4420"/>
    <cellStyle name="Currency 6 3 2 2" xfId="4421"/>
    <cellStyle name="Currency 6 3 2 3" xfId="4422"/>
    <cellStyle name="Currency 6 3 3" xfId="4423"/>
    <cellStyle name="Currency 6 3 4" xfId="4424"/>
    <cellStyle name="Currency 6 4" xfId="4425"/>
    <cellStyle name="Currency 6 4 2" xfId="4426"/>
    <cellStyle name="Currency 6 4 2 2" xfId="4427"/>
    <cellStyle name="Currency 6 4 3" xfId="4428"/>
    <cellStyle name="Currency 6 4 4" xfId="4429"/>
    <cellStyle name="Currency 6 5" xfId="4430"/>
    <cellStyle name="Currency 6 5 2" xfId="4431"/>
    <cellStyle name="Currency 6 5 3" xfId="4432"/>
    <cellStyle name="Currency 6 6" xfId="4433"/>
    <cellStyle name="Currency 6 6 2" xfId="4434"/>
    <cellStyle name="Currency 6 7" xfId="4435"/>
    <cellStyle name="Currency 6 8" xfId="4436"/>
    <cellStyle name="Currency 6 8 2" xfId="4437"/>
    <cellStyle name="Currency 6 8 3" xfId="4438"/>
    <cellStyle name="Currency 6 9" xfId="4439"/>
    <cellStyle name="Currency 60" xfId="4440"/>
    <cellStyle name="Currency 61" xfId="4441"/>
    <cellStyle name="Currency 62" xfId="4442"/>
    <cellStyle name="Currency 63" xfId="4443"/>
    <cellStyle name="Currency 64" xfId="4444"/>
    <cellStyle name="Currency 65" xfId="4445"/>
    <cellStyle name="Currency 66" xfId="4446"/>
    <cellStyle name="Currency 67" xfId="4447"/>
    <cellStyle name="Currency 68" xfId="4448"/>
    <cellStyle name="Currency 69" xfId="4449"/>
    <cellStyle name="Currency 69 2" xfId="4450"/>
    <cellStyle name="Currency 69 3" xfId="4451"/>
    <cellStyle name="Currency 7" xfId="4452"/>
    <cellStyle name="Currency 7 10" xfId="4453"/>
    <cellStyle name="Currency 7 11" xfId="4454"/>
    <cellStyle name="Currency 7 2" xfId="4455"/>
    <cellStyle name="Currency 7 2 2" xfId="4456"/>
    <cellStyle name="Currency 7 2 2 2" xfId="4457"/>
    <cellStyle name="Currency 7 2 2 3" xfId="4458"/>
    <cellStyle name="Currency 7 2 3" xfId="4459"/>
    <cellStyle name="Currency 7 2 3 2" xfId="4460"/>
    <cellStyle name="Currency 7 2 4" xfId="4461"/>
    <cellStyle name="Currency 7 3" xfId="4462"/>
    <cellStyle name="Currency 7 3 2" xfId="4463"/>
    <cellStyle name="Currency 7 3 2 2" xfId="4464"/>
    <cellStyle name="Currency 7 3 2 3" xfId="4465"/>
    <cellStyle name="Currency 7 3 3" xfId="4466"/>
    <cellStyle name="Currency 7 3 4" xfId="4467"/>
    <cellStyle name="Currency 7 4" xfId="4468"/>
    <cellStyle name="Currency 7 4 2" xfId="4469"/>
    <cellStyle name="Currency 7 4 3" xfId="4470"/>
    <cellStyle name="Currency 7 5" xfId="4471"/>
    <cellStyle name="Currency 7 5 2" xfId="4472"/>
    <cellStyle name="Currency 7 6" xfId="4473"/>
    <cellStyle name="Currency 7 7" xfId="4474"/>
    <cellStyle name="Currency 7 8" xfId="4475"/>
    <cellStyle name="Currency 7 8 2" xfId="4476"/>
    <cellStyle name="Currency 7 8 3" xfId="4477"/>
    <cellStyle name="Currency 7 9" xfId="4478"/>
    <cellStyle name="Currency 70" xfId="4479"/>
    <cellStyle name="Currency 70 2" xfId="4480"/>
    <cellStyle name="Currency 70 3" xfId="4481"/>
    <cellStyle name="Currency 71" xfId="4482"/>
    <cellStyle name="Currency 72" xfId="4483"/>
    <cellStyle name="Currency 73" xfId="4484"/>
    <cellStyle name="Currency 74" xfId="4485"/>
    <cellStyle name="Currency 75" xfId="4486"/>
    <cellStyle name="Currency 76" xfId="4487"/>
    <cellStyle name="Currency 77" xfId="4488"/>
    <cellStyle name="Currency 78" xfId="59067"/>
    <cellStyle name="Currency 8" xfId="4489"/>
    <cellStyle name="Currency 8 10" xfId="4490"/>
    <cellStyle name="Currency 8 2" xfId="4491"/>
    <cellStyle name="Currency 8 2 2" xfId="4492"/>
    <cellStyle name="Currency 8 2 2 2" xfId="4493"/>
    <cellStyle name="Currency 8 2 2 2 2" xfId="4494"/>
    <cellStyle name="Currency 8 2 2 3" xfId="4495"/>
    <cellStyle name="Currency 8 2 2 4" xfId="4496"/>
    <cellStyle name="Currency 8 2 3" xfId="4497"/>
    <cellStyle name="Currency 8 2 3 2" xfId="4498"/>
    <cellStyle name="Currency 8 2 3 2 2" xfId="4499"/>
    <cellStyle name="Currency 8 2 3 3" xfId="4500"/>
    <cellStyle name="Currency 8 2 3 4" xfId="4501"/>
    <cellStyle name="Currency 8 2 4" xfId="4502"/>
    <cellStyle name="Currency 8 2 4 2" xfId="4503"/>
    <cellStyle name="Currency 8 2 5" xfId="4504"/>
    <cellStyle name="Currency 8 2 6" xfId="4505"/>
    <cellStyle name="Currency 8 3" xfId="4506"/>
    <cellStyle name="Currency 8 3 2" xfId="4507"/>
    <cellStyle name="Currency 8 3 2 2" xfId="4508"/>
    <cellStyle name="Currency 8 3 2 2 2" xfId="4509"/>
    <cellStyle name="Currency 8 3 2 3" xfId="4510"/>
    <cellStyle name="Currency 8 3 2 4" xfId="4511"/>
    <cellStyle name="Currency 8 3 3" xfId="4512"/>
    <cellStyle name="Currency 8 3 3 2" xfId="4513"/>
    <cellStyle name="Currency 8 3 3 2 2" xfId="4514"/>
    <cellStyle name="Currency 8 3 3 3" xfId="4515"/>
    <cellStyle name="Currency 8 3 4" xfId="4516"/>
    <cellStyle name="Currency 8 3 4 2" xfId="4517"/>
    <cellStyle name="Currency 8 3 5" xfId="4518"/>
    <cellStyle name="Currency 8 3 6" xfId="4519"/>
    <cellStyle name="Currency 8 4" xfId="4520"/>
    <cellStyle name="Currency 8 4 2" xfId="4521"/>
    <cellStyle name="Currency 8 4 2 2" xfId="4522"/>
    <cellStyle name="Currency 8 4 2 2 2" xfId="4523"/>
    <cellStyle name="Currency 8 4 2 3" xfId="4524"/>
    <cellStyle name="Currency 8 4 3" xfId="4525"/>
    <cellStyle name="Currency 8 4 3 2" xfId="4526"/>
    <cellStyle name="Currency 8 4 3 2 2" xfId="4527"/>
    <cellStyle name="Currency 8 4 3 3" xfId="4528"/>
    <cellStyle name="Currency 8 4 4" xfId="4529"/>
    <cellStyle name="Currency 8 4 4 2" xfId="4530"/>
    <cellStyle name="Currency 8 4 5" xfId="4531"/>
    <cellStyle name="Currency 8 4 6" xfId="4532"/>
    <cellStyle name="Currency 8 5" xfId="4533"/>
    <cellStyle name="Currency 8 5 2" xfId="4534"/>
    <cellStyle name="Currency 8 5 2 2" xfId="4535"/>
    <cellStyle name="Currency 8 5 2 2 2" xfId="4536"/>
    <cellStyle name="Currency 8 5 2 3" xfId="4537"/>
    <cellStyle name="Currency 8 5 3" xfId="4538"/>
    <cellStyle name="Currency 8 5 3 2" xfId="4539"/>
    <cellStyle name="Currency 8 5 3 2 2" xfId="4540"/>
    <cellStyle name="Currency 8 5 3 3" xfId="4541"/>
    <cellStyle name="Currency 8 5 4" xfId="4542"/>
    <cellStyle name="Currency 8 5 4 2" xfId="4543"/>
    <cellStyle name="Currency 8 5 5" xfId="4544"/>
    <cellStyle name="Currency 8 5 6" xfId="4545"/>
    <cellStyle name="Currency 8 6" xfId="4546"/>
    <cellStyle name="Currency 8 6 2" xfId="4547"/>
    <cellStyle name="Currency 8 6 2 2" xfId="4548"/>
    <cellStyle name="Currency 8 6 3" xfId="4549"/>
    <cellStyle name="Currency 8 6 4" xfId="4550"/>
    <cellStyle name="Currency 8 7" xfId="4551"/>
    <cellStyle name="Currency 8 7 2" xfId="4552"/>
    <cellStyle name="Currency 8 7 2 2" xfId="4553"/>
    <cellStyle name="Currency 8 7 3" xfId="4554"/>
    <cellStyle name="Currency 8 7 4" xfId="4555"/>
    <cellStyle name="Currency 8 8" xfId="4556"/>
    <cellStyle name="Currency 8 8 2" xfId="4557"/>
    <cellStyle name="Currency 8 8 2 2" xfId="4558"/>
    <cellStyle name="Currency 8 8 3" xfId="4559"/>
    <cellStyle name="Currency 8 8 4" xfId="4560"/>
    <cellStyle name="Currency 8 9" xfId="4561"/>
    <cellStyle name="Currency 8 9 2" xfId="4562"/>
    <cellStyle name="Currency 9" xfId="4563"/>
    <cellStyle name="Currency 9 10" xfId="4564"/>
    <cellStyle name="Currency 9 2" xfId="4565"/>
    <cellStyle name="Currency 9 2 2" xfId="4566"/>
    <cellStyle name="Currency 9 2 2 2" xfId="4567"/>
    <cellStyle name="Currency 9 2 2 3" xfId="4568"/>
    <cellStyle name="Currency 9 2 3" xfId="4569"/>
    <cellStyle name="Currency 9 2 3 2" xfId="4570"/>
    <cellStyle name="Currency 9 2 4" xfId="4571"/>
    <cellStyle name="Currency 9 3" xfId="4572"/>
    <cellStyle name="Currency 9 3 2" xfId="4573"/>
    <cellStyle name="Currency 9 3 2 2" xfId="4574"/>
    <cellStyle name="Currency 9 3 2 3" xfId="4575"/>
    <cellStyle name="Currency 9 3 3" xfId="4576"/>
    <cellStyle name="Currency 9 3 4" xfId="4577"/>
    <cellStyle name="Currency 9 4" xfId="4578"/>
    <cellStyle name="Currency 9 4 2" xfId="4579"/>
    <cellStyle name="Currency 9 4 3" xfId="4580"/>
    <cellStyle name="Currency 9 5" xfId="4581"/>
    <cellStyle name="Currency 9 5 2" xfId="4582"/>
    <cellStyle name="Currency 9 6" xfId="4583"/>
    <cellStyle name="Currency 9 7" xfId="4584"/>
    <cellStyle name="Currency 9 8" xfId="4585"/>
    <cellStyle name="Currency 9 8 2" xfId="4586"/>
    <cellStyle name="Currency 9 8 3" xfId="4587"/>
    <cellStyle name="Currency 9 9" xfId="4588"/>
    <cellStyle name="Currency_accdr1921" xfId="59065"/>
    <cellStyle name="Currency0" xfId="4589"/>
    <cellStyle name="Currency0 2" xfId="4590"/>
    <cellStyle name="Currency0 2 2" xfId="4591"/>
    <cellStyle name="Currency0 2 2 2" xfId="4592"/>
    <cellStyle name="Currency0 2 3" xfId="4593"/>
    <cellStyle name="Currency0 3" xfId="4594"/>
    <cellStyle name="Currency0 3 2" xfId="4595"/>
    <cellStyle name="Currency0 4" xfId="4596"/>
    <cellStyle name="Currency0 4 2" xfId="4597"/>
    <cellStyle name="Currency0 4 2 2" xfId="4598"/>
    <cellStyle name="Currency0 4 3" xfId="4599"/>
    <cellStyle name="Currency0 5" xfId="4600"/>
    <cellStyle name="Date" xfId="4601"/>
    <cellStyle name="Date - Style3" xfId="4602"/>
    <cellStyle name="Date - Style3 2" xfId="4603"/>
    <cellStyle name="Date - Style3 2 2" xfId="4604"/>
    <cellStyle name="Date - Style3 2 3" xfId="4605"/>
    <cellStyle name="Date - Style3 3" xfId="4606"/>
    <cellStyle name="Date - Style3 4" xfId="4607"/>
    <cellStyle name="Date 10" xfId="4608"/>
    <cellStyle name="Date 10 2" xfId="4609"/>
    <cellStyle name="Date 10 2 2" xfId="4610"/>
    <cellStyle name="Date 10 2 2 2" xfId="4611"/>
    <cellStyle name="Date 10 2 2 3" xfId="4612"/>
    <cellStyle name="Date 10 2 3" xfId="4613"/>
    <cellStyle name="Date 10 2 3 2" xfId="4614"/>
    <cellStyle name="Date 10 2 3 3" xfId="4615"/>
    <cellStyle name="Date 10 2 4" xfId="4616"/>
    <cellStyle name="Date 10 2 5" xfId="4617"/>
    <cellStyle name="Date 10 3" xfId="4618"/>
    <cellStyle name="Date 10 3 2" xfId="4619"/>
    <cellStyle name="Date 10 3 3" xfId="4620"/>
    <cellStyle name="Date 10 4" xfId="4621"/>
    <cellStyle name="Date 10 4 2" xfId="4622"/>
    <cellStyle name="Date 10 4 3" xfId="4623"/>
    <cellStyle name="Date 10 5" xfId="4624"/>
    <cellStyle name="Date 10 6" xfId="4625"/>
    <cellStyle name="Date 100" xfId="4626"/>
    <cellStyle name="Date 100 2" xfId="4627"/>
    <cellStyle name="Date 100 2 2" xfId="4628"/>
    <cellStyle name="Date 100 2 3" xfId="4629"/>
    <cellStyle name="Date 100 3" xfId="4630"/>
    <cellStyle name="Date 100 3 2" xfId="4631"/>
    <cellStyle name="Date 100 3 3" xfId="4632"/>
    <cellStyle name="Date 100 4" xfId="4633"/>
    <cellStyle name="Date 100 5" xfId="4634"/>
    <cellStyle name="Date 101" xfId="4635"/>
    <cellStyle name="Date 101 2" xfId="4636"/>
    <cellStyle name="Date 101 2 2" xfId="4637"/>
    <cellStyle name="Date 101 2 3" xfId="4638"/>
    <cellStyle name="Date 101 3" xfId="4639"/>
    <cellStyle name="Date 101 3 2" xfId="4640"/>
    <cellStyle name="Date 101 3 3" xfId="4641"/>
    <cellStyle name="Date 101 4" xfId="4642"/>
    <cellStyle name="Date 101 5" xfId="4643"/>
    <cellStyle name="Date 102" xfId="4644"/>
    <cellStyle name="Date 102 2" xfId="4645"/>
    <cellStyle name="Date 102 2 2" xfId="4646"/>
    <cellStyle name="Date 102 2 3" xfId="4647"/>
    <cellStyle name="Date 102 3" xfId="4648"/>
    <cellStyle name="Date 102 3 2" xfId="4649"/>
    <cellStyle name="Date 102 3 3" xfId="4650"/>
    <cellStyle name="Date 102 4" xfId="4651"/>
    <cellStyle name="Date 102 5" xfId="4652"/>
    <cellStyle name="Date 103" xfId="4653"/>
    <cellStyle name="Date 103 2" xfId="4654"/>
    <cellStyle name="Date 103 2 2" xfId="4655"/>
    <cellStyle name="Date 103 2 3" xfId="4656"/>
    <cellStyle name="Date 103 3" xfId="4657"/>
    <cellStyle name="Date 103 3 2" xfId="4658"/>
    <cellStyle name="Date 103 3 3" xfId="4659"/>
    <cellStyle name="Date 103 4" xfId="4660"/>
    <cellStyle name="Date 103 5" xfId="4661"/>
    <cellStyle name="Date 104" xfId="4662"/>
    <cellStyle name="Date 104 2" xfId="4663"/>
    <cellStyle name="Date 104 2 2" xfId="4664"/>
    <cellStyle name="Date 104 2 3" xfId="4665"/>
    <cellStyle name="Date 104 3" xfId="4666"/>
    <cellStyle name="Date 104 3 2" xfId="4667"/>
    <cellStyle name="Date 104 3 3" xfId="4668"/>
    <cellStyle name="Date 104 4" xfId="4669"/>
    <cellStyle name="Date 104 5" xfId="4670"/>
    <cellStyle name="Date 105" xfId="4671"/>
    <cellStyle name="Date 105 2" xfId="4672"/>
    <cellStyle name="Date 105 2 2" xfId="4673"/>
    <cellStyle name="Date 105 2 3" xfId="4674"/>
    <cellStyle name="Date 105 3" xfId="4675"/>
    <cellStyle name="Date 105 3 2" xfId="4676"/>
    <cellStyle name="Date 105 3 3" xfId="4677"/>
    <cellStyle name="Date 105 4" xfId="4678"/>
    <cellStyle name="Date 105 5" xfId="4679"/>
    <cellStyle name="Date 106" xfId="4680"/>
    <cellStyle name="Date 106 2" xfId="4681"/>
    <cellStyle name="Date 106 2 2" xfId="4682"/>
    <cellStyle name="Date 106 2 3" xfId="4683"/>
    <cellStyle name="Date 106 3" xfId="4684"/>
    <cellStyle name="Date 106 3 2" xfId="4685"/>
    <cellStyle name="Date 106 3 3" xfId="4686"/>
    <cellStyle name="Date 106 4" xfId="4687"/>
    <cellStyle name="Date 106 5" xfId="4688"/>
    <cellStyle name="Date 107" xfId="4689"/>
    <cellStyle name="Date 107 2" xfId="4690"/>
    <cellStyle name="Date 107 2 2" xfId="4691"/>
    <cellStyle name="Date 107 2 3" xfId="4692"/>
    <cellStyle name="Date 107 3" xfId="4693"/>
    <cellStyle name="Date 107 3 2" xfId="4694"/>
    <cellStyle name="Date 107 3 3" xfId="4695"/>
    <cellStyle name="Date 107 4" xfId="4696"/>
    <cellStyle name="Date 107 5" xfId="4697"/>
    <cellStyle name="Date 108" xfId="4698"/>
    <cellStyle name="Date 108 2" xfId="4699"/>
    <cellStyle name="Date 108 2 2" xfId="4700"/>
    <cellStyle name="Date 108 2 3" xfId="4701"/>
    <cellStyle name="Date 108 3" xfId="4702"/>
    <cellStyle name="Date 108 3 2" xfId="4703"/>
    <cellStyle name="Date 108 3 3" xfId="4704"/>
    <cellStyle name="Date 108 4" xfId="4705"/>
    <cellStyle name="Date 108 5" xfId="4706"/>
    <cellStyle name="Date 109" xfId="4707"/>
    <cellStyle name="Date 109 2" xfId="4708"/>
    <cellStyle name="Date 109 2 2" xfId="4709"/>
    <cellStyle name="Date 109 2 3" xfId="4710"/>
    <cellStyle name="Date 109 3" xfId="4711"/>
    <cellStyle name="Date 109 3 2" xfId="4712"/>
    <cellStyle name="Date 109 3 3" xfId="4713"/>
    <cellStyle name="Date 109 4" xfId="4714"/>
    <cellStyle name="Date 109 5" xfId="4715"/>
    <cellStyle name="Date 11" xfId="4716"/>
    <cellStyle name="Date 11 2" xfId="4717"/>
    <cellStyle name="Date 11 2 2" xfId="4718"/>
    <cellStyle name="Date 11 2 2 2" xfId="4719"/>
    <cellStyle name="Date 11 2 2 3" xfId="4720"/>
    <cellStyle name="Date 11 2 3" xfId="4721"/>
    <cellStyle name="Date 11 2 3 2" xfId="4722"/>
    <cellStyle name="Date 11 2 3 3" xfId="4723"/>
    <cellStyle name="Date 11 2 4" xfId="4724"/>
    <cellStyle name="Date 11 2 5" xfId="4725"/>
    <cellStyle name="Date 11 3" xfId="4726"/>
    <cellStyle name="Date 11 3 2" xfId="4727"/>
    <cellStyle name="Date 11 3 3" xfId="4728"/>
    <cellStyle name="Date 11 4" xfId="4729"/>
    <cellStyle name="Date 11 4 2" xfId="4730"/>
    <cellStyle name="Date 11 4 3" xfId="4731"/>
    <cellStyle name="Date 11 5" xfId="4732"/>
    <cellStyle name="Date 11 6" xfId="4733"/>
    <cellStyle name="Date 110" xfId="4734"/>
    <cellStyle name="Date 110 2" xfId="4735"/>
    <cellStyle name="Date 110 2 2" xfId="4736"/>
    <cellStyle name="Date 110 2 3" xfId="4737"/>
    <cellStyle name="Date 110 3" xfId="4738"/>
    <cellStyle name="Date 110 3 2" xfId="4739"/>
    <cellStyle name="Date 110 3 3" xfId="4740"/>
    <cellStyle name="Date 110 4" xfId="4741"/>
    <cellStyle name="Date 110 5" xfId="4742"/>
    <cellStyle name="Date 111" xfId="4743"/>
    <cellStyle name="Date 111 2" xfId="4744"/>
    <cellStyle name="Date 111 2 2" xfId="4745"/>
    <cellStyle name="Date 111 2 3" xfId="4746"/>
    <cellStyle name="Date 111 3" xfId="4747"/>
    <cellStyle name="Date 111 3 2" xfId="4748"/>
    <cellStyle name="Date 111 3 3" xfId="4749"/>
    <cellStyle name="Date 111 4" xfId="4750"/>
    <cellStyle name="Date 111 5" xfId="4751"/>
    <cellStyle name="Date 112" xfId="4752"/>
    <cellStyle name="Date 112 2" xfId="4753"/>
    <cellStyle name="Date 112 2 2" xfId="4754"/>
    <cellStyle name="Date 112 2 3" xfId="4755"/>
    <cellStyle name="Date 112 3" xfId="4756"/>
    <cellStyle name="Date 112 3 2" xfId="4757"/>
    <cellStyle name="Date 112 3 3" xfId="4758"/>
    <cellStyle name="Date 112 4" xfId="4759"/>
    <cellStyle name="Date 112 5" xfId="4760"/>
    <cellStyle name="Date 113" xfId="4761"/>
    <cellStyle name="Date 113 2" xfId="4762"/>
    <cellStyle name="Date 113 2 2" xfId="4763"/>
    <cellStyle name="Date 113 2 3" xfId="4764"/>
    <cellStyle name="Date 113 3" xfId="4765"/>
    <cellStyle name="Date 113 3 2" xfId="4766"/>
    <cellStyle name="Date 113 3 3" xfId="4767"/>
    <cellStyle name="Date 113 4" xfId="4768"/>
    <cellStyle name="Date 113 5" xfId="4769"/>
    <cellStyle name="Date 114" xfId="4770"/>
    <cellStyle name="Date 114 2" xfId="4771"/>
    <cellStyle name="Date 114 2 2" xfId="4772"/>
    <cellStyle name="Date 114 2 3" xfId="4773"/>
    <cellStyle name="Date 114 3" xfId="4774"/>
    <cellStyle name="Date 114 3 2" xfId="4775"/>
    <cellStyle name="Date 114 3 3" xfId="4776"/>
    <cellStyle name="Date 114 4" xfId="4777"/>
    <cellStyle name="Date 114 5" xfId="4778"/>
    <cellStyle name="Date 115" xfId="4779"/>
    <cellStyle name="Date 115 2" xfId="4780"/>
    <cellStyle name="Date 115 2 2" xfId="4781"/>
    <cellStyle name="Date 115 2 3" xfId="4782"/>
    <cellStyle name="Date 115 3" xfId="4783"/>
    <cellStyle name="Date 115 3 2" xfId="4784"/>
    <cellStyle name="Date 115 3 3" xfId="4785"/>
    <cellStyle name="Date 115 4" xfId="4786"/>
    <cellStyle name="Date 115 5" xfId="4787"/>
    <cellStyle name="Date 116" xfId="4788"/>
    <cellStyle name="Date 116 2" xfId="4789"/>
    <cellStyle name="Date 116 2 2" xfId="4790"/>
    <cellStyle name="Date 116 2 3" xfId="4791"/>
    <cellStyle name="Date 116 3" xfId="4792"/>
    <cellStyle name="Date 116 3 2" xfId="4793"/>
    <cellStyle name="Date 116 3 3" xfId="4794"/>
    <cellStyle name="Date 116 4" xfId="4795"/>
    <cellStyle name="Date 116 5" xfId="4796"/>
    <cellStyle name="Date 117" xfId="4797"/>
    <cellStyle name="Date 117 2" xfId="4798"/>
    <cellStyle name="Date 117 2 2" xfId="4799"/>
    <cellStyle name="Date 117 2 3" xfId="4800"/>
    <cellStyle name="Date 117 3" xfId="4801"/>
    <cellStyle name="Date 117 3 2" xfId="4802"/>
    <cellStyle name="Date 117 3 3" xfId="4803"/>
    <cellStyle name="Date 117 4" xfId="4804"/>
    <cellStyle name="Date 117 5" xfId="4805"/>
    <cellStyle name="Date 118" xfId="4806"/>
    <cellStyle name="Date 118 2" xfId="4807"/>
    <cellStyle name="Date 118 2 2" xfId="4808"/>
    <cellStyle name="Date 118 2 3" xfId="4809"/>
    <cellStyle name="Date 118 3" xfId="4810"/>
    <cellStyle name="Date 118 3 2" xfId="4811"/>
    <cellStyle name="Date 118 3 3" xfId="4812"/>
    <cellStyle name="Date 118 4" xfId="4813"/>
    <cellStyle name="Date 118 5" xfId="4814"/>
    <cellStyle name="Date 119" xfId="4815"/>
    <cellStyle name="Date 119 2" xfId="4816"/>
    <cellStyle name="Date 119 2 2" xfId="4817"/>
    <cellStyle name="Date 119 2 3" xfId="4818"/>
    <cellStyle name="Date 119 3" xfId="4819"/>
    <cellStyle name="Date 119 3 2" xfId="4820"/>
    <cellStyle name="Date 119 3 3" xfId="4821"/>
    <cellStyle name="Date 119 4" xfId="4822"/>
    <cellStyle name="Date 119 5" xfId="4823"/>
    <cellStyle name="Date 12" xfId="4824"/>
    <cellStyle name="Date 12 2" xfId="4825"/>
    <cellStyle name="Date 12 2 2" xfId="4826"/>
    <cellStyle name="Date 12 2 2 2" xfId="4827"/>
    <cellStyle name="Date 12 2 2 3" xfId="4828"/>
    <cellStyle name="Date 12 2 3" xfId="4829"/>
    <cellStyle name="Date 12 2 3 2" xfId="4830"/>
    <cellStyle name="Date 12 2 3 3" xfId="4831"/>
    <cellStyle name="Date 12 2 4" xfId="4832"/>
    <cellStyle name="Date 12 2 5" xfId="4833"/>
    <cellStyle name="Date 12 3" xfId="4834"/>
    <cellStyle name="Date 12 3 2" xfId="4835"/>
    <cellStyle name="Date 12 3 3" xfId="4836"/>
    <cellStyle name="Date 12 4" xfId="4837"/>
    <cellStyle name="Date 12 4 2" xfId="4838"/>
    <cellStyle name="Date 12 4 3" xfId="4839"/>
    <cellStyle name="Date 12 5" xfId="4840"/>
    <cellStyle name="Date 12 6" xfId="4841"/>
    <cellStyle name="Date 120" xfId="4842"/>
    <cellStyle name="Date 120 2" xfId="4843"/>
    <cellStyle name="Date 120 2 2" xfId="4844"/>
    <cellStyle name="Date 120 2 3" xfId="4845"/>
    <cellStyle name="Date 120 3" xfId="4846"/>
    <cellStyle name="Date 120 3 2" xfId="4847"/>
    <cellStyle name="Date 120 3 3" xfId="4848"/>
    <cellStyle name="Date 120 4" xfId="4849"/>
    <cellStyle name="Date 120 5" xfId="4850"/>
    <cellStyle name="Date 121" xfId="4851"/>
    <cellStyle name="Date 121 2" xfId="4852"/>
    <cellStyle name="Date 121 2 2" xfId="4853"/>
    <cellStyle name="Date 121 2 2 2" xfId="4854"/>
    <cellStyle name="Date 121 2 2 3" xfId="4855"/>
    <cellStyle name="Date 121 2 3" xfId="4856"/>
    <cellStyle name="Date 121 2 3 2" xfId="4857"/>
    <cellStyle name="Date 121 2 3 3" xfId="4858"/>
    <cellStyle name="Date 121 2 4" xfId="4859"/>
    <cellStyle name="Date 121 2 5" xfId="4860"/>
    <cellStyle name="Date 121 3" xfId="4861"/>
    <cellStyle name="Date 121 3 2" xfId="4862"/>
    <cellStyle name="Date 121 3 3" xfId="4863"/>
    <cellStyle name="Date 121 4" xfId="4864"/>
    <cellStyle name="Date 121 4 2" xfId="4865"/>
    <cellStyle name="Date 121 4 3" xfId="4866"/>
    <cellStyle name="Date 121 5" xfId="4867"/>
    <cellStyle name="Date 121 6" xfId="4868"/>
    <cellStyle name="Date 122" xfId="4869"/>
    <cellStyle name="Date 122 2" xfId="4870"/>
    <cellStyle name="Date 122 2 2" xfId="4871"/>
    <cellStyle name="Date 122 2 2 2" xfId="4872"/>
    <cellStyle name="Date 122 2 2 3" xfId="4873"/>
    <cellStyle name="Date 122 2 3" xfId="4874"/>
    <cellStyle name="Date 122 2 3 2" xfId="4875"/>
    <cellStyle name="Date 122 2 3 3" xfId="4876"/>
    <cellStyle name="Date 122 2 4" xfId="4877"/>
    <cellStyle name="Date 122 2 5" xfId="4878"/>
    <cellStyle name="Date 122 3" xfId="4879"/>
    <cellStyle name="Date 122 3 2" xfId="4880"/>
    <cellStyle name="Date 122 3 3" xfId="4881"/>
    <cellStyle name="Date 122 4" xfId="4882"/>
    <cellStyle name="Date 122 4 2" xfId="4883"/>
    <cellStyle name="Date 122 4 3" xfId="4884"/>
    <cellStyle name="Date 122 5" xfId="4885"/>
    <cellStyle name="Date 122 6" xfId="4886"/>
    <cellStyle name="Date 123" xfId="4887"/>
    <cellStyle name="Date 123 2" xfId="4888"/>
    <cellStyle name="Date 123 2 2" xfId="4889"/>
    <cellStyle name="Date 123 2 2 2" xfId="4890"/>
    <cellStyle name="Date 123 2 2 3" xfId="4891"/>
    <cellStyle name="Date 123 2 3" xfId="4892"/>
    <cellStyle name="Date 123 2 3 2" xfId="4893"/>
    <cellStyle name="Date 123 2 3 3" xfId="4894"/>
    <cellStyle name="Date 123 2 4" xfId="4895"/>
    <cellStyle name="Date 123 2 5" xfId="4896"/>
    <cellStyle name="Date 123 3" xfId="4897"/>
    <cellStyle name="Date 123 3 2" xfId="4898"/>
    <cellStyle name="Date 123 3 3" xfId="4899"/>
    <cellStyle name="Date 123 4" xfId="4900"/>
    <cellStyle name="Date 123 4 2" xfId="4901"/>
    <cellStyle name="Date 123 4 3" xfId="4902"/>
    <cellStyle name="Date 123 5" xfId="4903"/>
    <cellStyle name="Date 123 6" xfId="4904"/>
    <cellStyle name="Date 124" xfId="4905"/>
    <cellStyle name="Date 124 2" xfId="4906"/>
    <cellStyle name="Date 124 2 2" xfId="4907"/>
    <cellStyle name="Date 124 2 2 2" xfId="4908"/>
    <cellStyle name="Date 124 2 2 3" xfId="4909"/>
    <cellStyle name="Date 124 2 3" xfId="4910"/>
    <cellStyle name="Date 124 2 3 2" xfId="4911"/>
    <cellStyle name="Date 124 2 3 3" xfId="4912"/>
    <cellStyle name="Date 124 2 4" xfId="4913"/>
    <cellStyle name="Date 124 2 5" xfId="4914"/>
    <cellStyle name="Date 124 3" xfId="4915"/>
    <cellStyle name="Date 124 3 2" xfId="4916"/>
    <cellStyle name="Date 124 3 3" xfId="4917"/>
    <cellStyle name="Date 124 4" xfId="4918"/>
    <cellStyle name="Date 124 4 2" xfId="4919"/>
    <cellStyle name="Date 124 4 3" xfId="4920"/>
    <cellStyle name="Date 124 5" xfId="4921"/>
    <cellStyle name="Date 124 6" xfId="4922"/>
    <cellStyle name="Date 125" xfId="4923"/>
    <cellStyle name="Date 125 2" xfId="4924"/>
    <cellStyle name="Date 125 2 2" xfId="4925"/>
    <cellStyle name="Date 125 2 2 2" xfId="4926"/>
    <cellStyle name="Date 125 2 2 3" xfId="4927"/>
    <cellStyle name="Date 125 2 3" xfId="4928"/>
    <cellStyle name="Date 125 2 3 2" xfId="4929"/>
    <cellStyle name="Date 125 2 3 3" xfId="4930"/>
    <cellStyle name="Date 125 2 4" xfId="4931"/>
    <cellStyle name="Date 125 2 5" xfId="4932"/>
    <cellStyle name="Date 125 3" xfId="4933"/>
    <cellStyle name="Date 125 3 2" xfId="4934"/>
    <cellStyle name="Date 125 3 3" xfId="4935"/>
    <cellStyle name="Date 125 4" xfId="4936"/>
    <cellStyle name="Date 125 4 2" xfId="4937"/>
    <cellStyle name="Date 125 4 3" xfId="4938"/>
    <cellStyle name="Date 125 5" xfId="4939"/>
    <cellStyle name="Date 125 6" xfId="4940"/>
    <cellStyle name="Date 126" xfId="4941"/>
    <cellStyle name="Date 126 2" xfId="4942"/>
    <cellStyle name="Date 126 2 2" xfId="4943"/>
    <cellStyle name="Date 126 2 2 2" xfId="4944"/>
    <cellStyle name="Date 126 2 2 3" xfId="4945"/>
    <cellStyle name="Date 126 2 3" xfId="4946"/>
    <cellStyle name="Date 126 2 3 2" xfId="4947"/>
    <cellStyle name="Date 126 2 3 3" xfId="4948"/>
    <cellStyle name="Date 126 2 4" xfId="4949"/>
    <cellStyle name="Date 126 2 5" xfId="4950"/>
    <cellStyle name="Date 126 3" xfId="4951"/>
    <cellStyle name="Date 126 3 2" xfId="4952"/>
    <cellStyle name="Date 126 3 3" xfId="4953"/>
    <cellStyle name="Date 126 4" xfId="4954"/>
    <cellStyle name="Date 126 4 2" xfId="4955"/>
    <cellStyle name="Date 126 4 3" xfId="4956"/>
    <cellStyle name="Date 126 5" xfId="4957"/>
    <cellStyle name="Date 126 6" xfId="4958"/>
    <cellStyle name="Date 127" xfId="4959"/>
    <cellStyle name="Date 127 2" xfId="4960"/>
    <cellStyle name="Date 127 2 2" xfId="4961"/>
    <cellStyle name="Date 127 2 2 2" xfId="4962"/>
    <cellStyle name="Date 127 2 2 3" xfId="4963"/>
    <cellStyle name="Date 127 2 3" xfId="4964"/>
    <cellStyle name="Date 127 2 3 2" xfId="4965"/>
    <cellStyle name="Date 127 2 3 3" xfId="4966"/>
    <cellStyle name="Date 127 2 4" xfId="4967"/>
    <cellStyle name="Date 127 2 5" xfId="4968"/>
    <cellStyle name="Date 127 3" xfId="4969"/>
    <cellStyle name="Date 127 3 2" xfId="4970"/>
    <cellStyle name="Date 127 3 3" xfId="4971"/>
    <cellStyle name="Date 127 4" xfId="4972"/>
    <cellStyle name="Date 127 4 2" xfId="4973"/>
    <cellStyle name="Date 127 4 3" xfId="4974"/>
    <cellStyle name="Date 127 5" xfId="4975"/>
    <cellStyle name="Date 127 6" xfId="4976"/>
    <cellStyle name="Date 128" xfId="4977"/>
    <cellStyle name="Date 128 2" xfId="4978"/>
    <cellStyle name="Date 128 2 2" xfId="4979"/>
    <cellStyle name="Date 128 2 2 2" xfId="4980"/>
    <cellStyle name="Date 128 2 2 3" xfId="4981"/>
    <cellStyle name="Date 128 2 3" xfId="4982"/>
    <cellStyle name="Date 128 2 3 2" xfId="4983"/>
    <cellStyle name="Date 128 2 3 3" xfId="4984"/>
    <cellStyle name="Date 128 2 4" xfId="4985"/>
    <cellStyle name="Date 128 2 5" xfId="4986"/>
    <cellStyle name="Date 128 3" xfId="4987"/>
    <cellStyle name="Date 128 3 2" xfId="4988"/>
    <cellStyle name="Date 128 3 3" xfId="4989"/>
    <cellStyle name="Date 128 4" xfId="4990"/>
    <cellStyle name="Date 128 4 2" xfId="4991"/>
    <cellStyle name="Date 128 4 3" xfId="4992"/>
    <cellStyle name="Date 128 5" xfId="4993"/>
    <cellStyle name="Date 128 6" xfId="4994"/>
    <cellStyle name="Date 129" xfId="4995"/>
    <cellStyle name="Date 129 2" xfId="4996"/>
    <cellStyle name="Date 129 2 2" xfId="4997"/>
    <cellStyle name="Date 129 2 2 2" xfId="4998"/>
    <cellStyle name="Date 129 2 2 3" xfId="4999"/>
    <cellStyle name="Date 129 2 3" xfId="5000"/>
    <cellStyle name="Date 129 2 3 2" xfId="5001"/>
    <cellStyle name="Date 129 2 3 3" xfId="5002"/>
    <cellStyle name="Date 129 2 4" xfId="5003"/>
    <cellStyle name="Date 129 2 5" xfId="5004"/>
    <cellStyle name="Date 129 3" xfId="5005"/>
    <cellStyle name="Date 129 3 2" xfId="5006"/>
    <cellStyle name="Date 129 3 3" xfId="5007"/>
    <cellStyle name="Date 129 4" xfId="5008"/>
    <cellStyle name="Date 129 4 2" xfId="5009"/>
    <cellStyle name="Date 129 4 3" xfId="5010"/>
    <cellStyle name="Date 129 5" xfId="5011"/>
    <cellStyle name="Date 129 6" xfId="5012"/>
    <cellStyle name="Date 13" xfId="5013"/>
    <cellStyle name="Date 13 2" xfId="5014"/>
    <cellStyle name="Date 13 2 2" xfId="5015"/>
    <cellStyle name="Date 13 2 2 2" xfId="5016"/>
    <cellStyle name="Date 13 2 2 3" xfId="5017"/>
    <cellStyle name="Date 13 2 3" xfId="5018"/>
    <cellStyle name="Date 13 2 3 2" xfId="5019"/>
    <cellStyle name="Date 13 2 3 3" xfId="5020"/>
    <cellStyle name="Date 13 2 4" xfId="5021"/>
    <cellStyle name="Date 13 2 5" xfId="5022"/>
    <cellStyle name="Date 13 3" xfId="5023"/>
    <cellStyle name="Date 13 3 2" xfId="5024"/>
    <cellStyle name="Date 13 3 3" xfId="5025"/>
    <cellStyle name="Date 13 4" xfId="5026"/>
    <cellStyle name="Date 13 4 2" xfId="5027"/>
    <cellStyle name="Date 13 4 3" xfId="5028"/>
    <cellStyle name="Date 13 5" xfId="5029"/>
    <cellStyle name="Date 13 6" xfId="5030"/>
    <cellStyle name="Date 130" xfId="5031"/>
    <cellStyle name="Date 130 2" xfId="5032"/>
    <cellStyle name="Date 130 2 2" xfId="5033"/>
    <cellStyle name="Date 130 2 2 2" xfId="5034"/>
    <cellStyle name="Date 130 2 2 3" xfId="5035"/>
    <cellStyle name="Date 130 2 3" xfId="5036"/>
    <cellStyle name="Date 130 2 3 2" xfId="5037"/>
    <cellStyle name="Date 130 2 3 3" xfId="5038"/>
    <cellStyle name="Date 130 2 4" xfId="5039"/>
    <cellStyle name="Date 130 2 5" xfId="5040"/>
    <cellStyle name="Date 130 3" xfId="5041"/>
    <cellStyle name="Date 130 3 2" xfId="5042"/>
    <cellStyle name="Date 130 3 3" xfId="5043"/>
    <cellStyle name="Date 130 4" xfId="5044"/>
    <cellStyle name="Date 130 4 2" xfId="5045"/>
    <cellStyle name="Date 130 4 3" xfId="5046"/>
    <cellStyle name="Date 130 5" xfId="5047"/>
    <cellStyle name="Date 130 6" xfId="5048"/>
    <cellStyle name="Date 131" xfId="5049"/>
    <cellStyle name="Date 131 2" xfId="5050"/>
    <cellStyle name="Date 131 2 2" xfId="5051"/>
    <cellStyle name="Date 131 2 2 2" xfId="5052"/>
    <cellStyle name="Date 131 2 2 3" xfId="5053"/>
    <cellStyle name="Date 131 2 3" xfId="5054"/>
    <cellStyle name="Date 131 2 3 2" xfId="5055"/>
    <cellStyle name="Date 131 2 3 3" xfId="5056"/>
    <cellStyle name="Date 131 2 4" xfId="5057"/>
    <cellStyle name="Date 131 2 5" xfId="5058"/>
    <cellStyle name="Date 131 3" xfId="5059"/>
    <cellStyle name="Date 131 3 2" xfId="5060"/>
    <cellStyle name="Date 131 3 3" xfId="5061"/>
    <cellStyle name="Date 131 4" xfId="5062"/>
    <cellStyle name="Date 131 4 2" xfId="5063"/>
    <cellStyle name="Date 131 4 3" xfId="5064"/>
    <cellStyle name="Date 131 5" xfId="5065"/>
    <cellStyle name="Date 131 6" xfId="5066"/>
    <cellStyle name="Date 132" xfId="5067"/>
    <cellStyle name="Date 132 2" xfId="5068"/>
    <cellStyle name="Date 132 2 2" xfId="5069"/>
    <cellStyle name="Date 132 2 2 2" xfId="5070"/>
    <cellStyle name="Date 132 2 2 3" xfId="5071"/>
    <cellStyle name="Date 132 2 3" xfId="5072"/>
    <cellStyle name="Date 132 2 3 2" xfId="5073"/>
    <cellStyle name="Date 132 2 3 3" xfId="5074"/>
    <cellStyle name="Date 132 2 4" xfId="5075"/>
    <cellStyle name="Date 132 2 5" xfId="5076"/>
    <cellStyle name="Date 132 3" xfId="5077"/>
    <cellStyle name="Date 132 3 2" xfId="5078"/>
    <cellStyle name="Date 132 3 3" xfId="5079"/>
    <cellStyle name="Date 132 4" xfId="5080"/>
    <cellStyle name="Date 132 4 2" xfId="5081"/>
    <cellStyle name="Date 132 4 3" xfId="5082"/>
    <cellStyle name="Date 132 5" xfId="5083"/>
    <cellStyle name="Date 132 6" xfId="5084"/>
    <cellStyle name="Date 133" xfId="5085"/>
    <cellStyle name="Date 133 2" xfId="5086"/>
    <cellStyle name="Date 133 2 2" xfId="5087"/>
    <cellStyle name="Date 133 2 2 2" xfId="5088"/>
    <cellStyle name="Date 133 2 2 3" xfId="5089"/>
    <cellStyle name="Date 133 2 3" xfId="5090"/>
    <cellStyle name="Date 133 2 3 2" xfId="5091"/>
    <cellStyle name="Date 133 2 3 3" xfId="5092"/>
    <cellStyle name="Date 133 2 4" xfId="5093"/>
    <cellStyle name="Date 133 2 5" xfId="5094"/>
    <cellStyle name="Date 133 3" xfId="5095"/>
    <cellStyle name="Date 133 3 2" xfId="5096"/>
    <cellStyle name="Date 133 3 3" xfId="5097"/>
    <cellStyle name="Date 133 4" xfId="5098"/>
    <cellStyle name="Date 133 4 2" xfId="5099"/>
    <cellStyle name="Date 133 4 3" xfId="5100"/>
    <cellStyle name="Date 133 5" xfId="5101"/>
    <cellStyle name="Date 133 6" xfId="5102"/>
    <cellStyle name="Date 134" xfId="5103"/>
    <cellStyle name="Date 134 2" xfId="5104"/>
    <cellStyle name="Date 134 2 2" xfId="5105"/>
    <cellStyle name="Date 134 2 2 2" xfId="5106"/>
    <cellStyle name="Date 134 2 2 3" xfId="5107"/>
    <cellStyle name="Date 134 2 3" xfId="5108"/>
    <cellStyle name="Date 134 2 3 2" xfId="5109"/>
    <cellStyle name="Date 134 2 3 3" xfId="5110"/>
    <cellStyle name="Date 134 2 4" xfId="5111"/>
    <cellStyle name="Date 134 2 5" xfId="5112"/>
    <cellStyle name="Date 134 3" xfId="5113"/>
    <cellStyle name="Date 134 3 2" xfId="5114"/>
    <cellStyle name="Date 134 3 3" xfId="5115"/>
    <cellStyle name="Date 134 4" xfId="5116"/>
    <cellStyle name="Date 134 4 2" xfId="5117"/>
    <cellStyle name="Date 134 4 3" xfId="5118"/>
    <cellStyle name="Date 134 5" xfId="5119"/>
    <cellStyle name="Date 134 6" xfId="5120"/>
    <cellStyle name="Date 135" xfId="5121"/>
    <cellStyle name="Date 135 2" xfId="5122"/>
    <cellStyle name="Date 135 2 2" xfId="5123"/>
    <cellStyle name="Date 135 2 2 2" xfId="5124"/>
    <cellStyle name="Date 135 2 2 3" xfId="5125"/>
    <cellStyle name="Date 135 2 3" xfId="5126"/>
    <cellStyle name="Date 135 2 3 2" xfId="5127"/>
    <cellStyle name="Date 135 2 3 3" xfId="5128"/>
    <cellStyle name="Date 135 2 4" xfId="5129"/>
    <cellStyle name="Date 135 2 5" xfId="5130"/>
    <cellStyle name="Date 135 3" xfId="5131"/>
    <cellStyle name="Date 135 3 2" xfId="5132"/>
    <cellStyle name="Date 135 3 3" xfId="5133"/>
    <cellStyle name="Date 135 4" xfId="5134"/>
    <cellStyle name="Date 135 4 2" xfId="5135"/>
    <cellStyle name="Date 135 4 3" xfId="5136"/>
    <cellStyle name="Date 135 5" xfId="5137"/>
    <cellStyle name="Date 135 6" xfId="5138"/>
    <cellStyle name="Date 136" xfId="5139"/>
    <cellStyle name="Date 136 2" xfId="5140"/>
    <cellStyle name="Date 136 2 2" xfId="5141"/>
    <cellStyle name="Date 136 2 2 2" xfId="5142"/>
    <cellStyle name="Date 136 2 2 3" xfId="5143"/>
    <cellStyle name="Date 136 2 3" xfId="5144"/>
    <cellStyle name="Date 136 2 3 2" xfId="5145"/>
    <cellStyle name="Date 136 2 3 3" xfId="5146"/>
    <cellStyle name="Date 136 2 4" xfId="5147"/>
    <cellStyle name="Date 136 2 5" xfId="5148"/>
    <cellStyle name="Date 136 3" xfId="5149"/>
    <cellStyle name="Date 136 3 2" xfId="5150"/>
    <cellStyle name="Date 136 3 3" xfId="5151"/>
    <cellStyle name="Date 136 4" xfId="5152"/>
    <cellStyle name="Date 136 4 2" xfId="5153"/>
    <cellStyle name="Date 136 4 3" xfId="5154"/>
    <cellStyle name="Date 136 5" xfId="5155"/>
    <cellStyle name="Date 136 6" xfId="5156"/>
    <cellStyle name="Date 137" xfId="5157"/>
    <cellStyle name="Date 137 2" xfId="5158"/>
    <cellStyle name="Date 137 2 2" xfId="5159"/>
    <cellStyle name="Date 137 2 2 2" xfId="5160"/>
    <cellStyle name="Date 137 2 2 3" xfId="5161"/>
    <cellStyle name="Date 137 2 3" xfId="5162"/>
    <cellStyle name="Date 137 2 3 2" xfId="5163"/>
    <cellStyle name="Date 137 2 3 3" xfId="5164"/>
    <cellStyle name="Date 137 2 4" xfId="5165"/>
    <cellStyle name="Date 137 2 5" xfId="5166"/>
    <cellStyle name="Date 137 3" xfId="5167"/>
    <cellStyle name="Date 137 3 2" xfId="5168"/>
    <cellStyle name="Date 137 3 3" xfId="5169"/>
    <cellStyle name="Date 137 4" xfId="5170"/>
    <cellStyle name="Date 137 4 2" xfId="5171"/>
    <cellStyle name="Date 137 4 3" xfId="5172"/>
    <cellStyle name="Date 137 5" xfId="5173"/>
    <cellStyle name="Date 137 6" xfId="5174"/>
    <cellStyle name="Date 138" xfId="5175"/>
    <cellStyle name="Date 138 2" xfId="5176"/>
    <cellStyle name="Date 138 2 2" xfId="5177"/>
    <cellStyle name="Date 138 2 2 2" xfId="5178"/>
    <cellStyle name="Date 138 2 2 3" xfId="5179"/>
    <cellStyle name="Date 138 2 3" xfId="5180"/>
    <cellStyle name="Date 138 2 3 2" xfId="5181"/>
    <cellStyle name="Date 138 2 3 3" xfId="5182"/>
    <cellStyle name="Date 138 2 4" xfId="5183"/>
    <cellStyle name="Date 138 2 5" xfId="5184"/>
    <cellStyle name="Date 138 3" xfId="5185"/>
    <cellStyle name="Date 138 3 2" xfId="5186"/>
    <cellStyle name="Date 138 3 3" xfId="5187"/>
    <cellStyle name="Date 138 4" xfId="5188"/>
    <cellStyle name="Date 138 4 2" xfId="5189"/>
    <cellStyle name="Date 138 4 3" xfId="5190"/>
    <cellStyle name="Date 138 5" xfId="5191"/>
    <cellStyle name="Date 138 6" xfId="5192"/>
    <cellStyle name="Date 139" xfId="5193"/>
    <cellStyle name="Date 139 2" xfId="5194"/>
    <cellStyle name="Date 139 2 2" xfId="5195"/>
    <cellStyle name="Date 139 2 2 2" xfId="5196"/>
    <cellStyle name="Date 139 2 2 3" xfId="5197"/>
    <cellStyle name="Date 139 2 3" xfId="5198"/>
    <cellStyle name="Date 139 2 3 2" xfId="5199"/>
    <cellStyle name="Date 139 2 3 3" xfId="5200"/>
    <cellStyle name="Date 139 2 4" xfId="5201"/>
    <cellStyle name="Date 139 2 5" xfId="5202"/>
    <cellStyle name="Date 139 3" xfId="5203"/>
    <cellStyle name="Date 139 3 2" xfId="5204"/>
    <cellStyle name="Date 139 3 3" xfId="5205"/>
    <cellStyle name="Date 139 4" xfId="5206"/>
    <cellStyle name="Date 139 4 2" xfId="5207"/>
    <cellStyle name="Date 139 4 3" xfId="5208"/>
    <cellStyle name="Date 139 5" xfId="5209"/>
    <cellStyle name="Date 139 6" xfId="5210"/>
    <cellStyle name="Date 14" xfId="5211"/>
    <cellStyle name="Date 14 2" xfId="5212"/>
    <cellStyle name="Date 14 2 2" xfId="5213"/>
    <cellStyle name="Date 14 2 2 2" xfId="5214"/>
    <cellStyle name="Date 14 2 2 3" xfId="5215"/>
    <cellStyle name="Date 14 2 3" xfId="5216"/>
    <cellStyle name="Date 14 2 3 2" xfId="5217"/>
    <cellStyle name="Date 14 2 3 3" xfId="5218"/>
    <cellStyle name="Date 14 2 4" xfId="5219"/>
    <cellStyle name="Date 14 2 5" xfId="5220"/>
    <cellStyle name="Date 14 3" xfId="5221"/>
    <cellStyle name="Date 14 3 2" xfId="5222"/>
    <cellStyle name="Date 14 3 3" xfId="5223"/>
    <cellStyle name="Date 14 4" xfId="5224"/>
    <cellStyle name="Date 14 4 2" xfId="5225"/>
    <cellStyle name="Date 14 4 3" xfId="5226"/>
    <cellStyle name="Date 14 5" xfId="5227"/>
    <cellStyle name="Date 14 6" xfId="5228"/>
    <cellStyle name="Date 140" xfId="5229"/>
    <cellStyle name="Date 140 2" xfId="5230"/>
    <cellStyle name="Date 140 2 2" xfId="5231"/>
    <cellStyle name="Date 140 2 2 2" xfId="5232"/>
    <cellStyle name="Date 140 2 2 3" xfId="5233"/>
    <cellStyle name="Date 140 2 3" xfId="5234"/>
    <cellStyle name="Date 140 2 3 2" xfId="5235"/>
    <cellStyle name="Date 140 2 3 3" xfId="5236"/>
    <cellStyle name="Date 140 2 4" xfId="5237"/>
    <cellStyle name="Date 140 2 5" xfId="5238"/>
    <cellStyle name="Date 140 3" xfId="5239"/>
    <cellStyle name="Date 140 3 2" xfId="5240"/>
    <cellStyle name="Date 140 3 3" xfId="5241"/>
    <cellStyle name="Date 140 4" xfId="5242"/>
    <cellStyle name="Date 140 4 2" xfId="5243"/>
    <cellStyle name="Date 140 4 3" xfId="5244"/>
    <cellStyle name="Date 140 5" xfId="5245"/>
    <cellStyle name="Date 140 6" xfId="5246"/>
    <cellStyle name="Date 141" xfId="5247"/>
    <cellStyle name="Date 141 2" xfId="5248"/>
    <cellStyle name="Date 141 2 2" xfId="5249"/>
    <cellStyle name="Date 141 2 2 2" xfId="5250"/>
    <cellStyle name="Date 141 2 2 3" xfId="5251"/>
    <cellStyle name="Date 141 2 3" xfId="5252"/>
    <cellStyle name="Date 141 2 3 2" xfId="5253"/>
    <cellStyle name="Date 141 2 3 3" xfId="5254"/>
    <cellStyle name="Date 141 2 4" xfId="5255"/>
    <cellStyle name="Date 141 2 5" xfId="5256"/>
    <cellStyle name="Date 141 3" xfId="5257"/>
    <cellStyle name="Date 141 3 2" xfId="5258"/>
    <cellStyle name="Date 141 3 3" xfId="5259"/>
    <cellStyle name="Date 141 4" xfId="5260"/>
    <cellStyle name="Date 141 4 2" xfId="5261"/>
    <cellStyle name="Date 141 4 3" xfId="5262"/>
    <cellStyle name="Date 141 5" xfId="5263"/>
    <cellStyle name="Date 141 6" xfId="5264"/>
    <cellStyle name="Date 142" xfId="5265"/>
    <cellStyle name="Date 142 2" xfId="5266"/>
    <cellStyle name="Date 142 2 2" xfId="5267"/>
    <cellStyle name="Date 142 2 2 2" xfId="5268"/>
    <cellStyle name="Date 142 2 2 3" xfId="5269"/>
    <cellStyle name="Date 142 2 3" xfId="5270"/>
    <cellStyle name="Date 142 2 3 2" xfId="5271"/>
    <cellStyle name="Date 142 2 3 3" xfId="5272"/>
    <cellStyle name="Date 142 2 4" xfId="5273"/>
    <cellStyle name="Date 142 2 5" xfId="5274"/>
    <cellStyle name="Date 142 3" xfId="5275"/>
    <cellStyle name="Date 142 3 2" xfId="5276"/>
    <cellStyle name="Date 142 3 3" xfId="5277"/>
    <cellStyle name="Date 142 4" xfId="5278"/>
    <cellStyle name="Date 142 4 2" xfId="5279"/>
    <cellStyle name="Date 142 4 3" xfId="5280"/>
    <cellStyle name="Date 142 5" xfId="5281"/>
    <cellStyle name="Date 142 6" xfId="5282"/>
    <cellStyle name="Date 143" xfId="5283"/>
    <cellStyle name="Date 143 2" xfId="5284"/>
    <cellStyle name="Date 143 2 2" xfId="5285"/>
    <cellStyle name="Date 143 2 2 2" xfId="5286"/>
    <cellStyle name="Date 143 2 2 3" xfId="5287"/>
    <cellStyle name="Date 143 2 3" xfId="5288"/>
    <cellStyle name="Date 143 2 3 2" xfId="5289"/>
    <cellStyle name="Date 143 2 3 3" xfId="5290"/>
    <cellStyle name="Date 143 2 4" xfId="5291"/>
    <cellStyle name="Date 143 2 5" xfId="5292"/>
    <cellStyle name="Date 143 3" xfId="5293"/>
    <cellStyle name="Date 143 3 2" xfId="5294"/>
    <cellStyle name="Date 143 3 3" xfId="5295"/>
    <cellStyle name="Date 143 4" xfId="5296"/>
    <cellStyle name="Date 143 4 2" xfId="5297"/>
    <cellStyle name="Date 143 4 3" xfId="5298"/>
    <cellStyle name="Date 143 5" xfId="5299"/>
    <cellStyle name="Date 143 6" xfId="5300"/>
    <cellStyle name="Date 144" xfId="5301"/>
    <cellStyle name="Date 144 2" xfId="5302"/>
    <cellStyle name="Date 144 2 2" xfId="5303"/>
    <cellStyle name="Date 144 2 2 2" xfId="5304"/>
    <cellStyle name="Date 144 2 2 3" xfId="5305"/>
    <cellStyle name="Date 144 2 3" xfId="5306"/>
    <cellStyle name="Date 144 2 3 2" xfId="5307"/>
    <cellStyle name="Date 144 2 3 3" xfId="5308"/>
    <cellStyle name="Date 144 2 4" xfId="5309"/>
    <cellStyle name="Date 144 2 5" xfId="5310"/>
    <cellStyle name="Date 144 3" xfId="5311"/>
    <cellStyle name="Date 144 3 2" xfId="5312"/>
    <cellStyle name="Date 144 3 3" xfId="5313"/>
    <cellStyle name="Date 144 4" xfId="5314"/>
    <cellStyle name="Date 144 4 2" xfId="5315"/>
    <cellStyle name="Date 144 4 3" xfId="5316"/>
    <cellStyle name="Date 144 5" xfId="5317"/>
    <cellStyle name="Date 144 6" xfId="5318"/>
    <cellStyle name="Date 145" xfId="5319"/>
    <cellStyle name="Date 145 2" xfId="5320"/>
    <cellStyle name="Date 145 2 2" xfId="5321"/>
    <cellStyle name="Date 145 2 2 2" xfId="5322"/>
    <cellStyle name="Date 145 2 2 3" xfId="5323"/>
    <cellStyle name="Date 145 2 3" xfId="5324"/>
    <cellStyle name="Date 145 2 3 2" xfId="5325"/>
    <cellStyle name="Date 145 2 3 3" xfId="5326"/>
    <cellStyle name="Date 145 2 4" xfId="5327"/>
    <cellStyle name="Date 145 2 5" xfId="5328"/>
    <cellStyle name="Date 145 3" xfId="5329"/>
    <cellStyle name="Date 145 3 2" xfId="5330"/>
    <cellStyle name="Date 145 3 3" xfId="5331"/>
    <cellStyle name="Date 145 4" xfId="5332"/>
    <cellStyle name="Date 145 4 2" xfId="5333"/>
    <cellStyle name="Date 145 4 3" xfId="5334"/>
    <cellStyle name="Date 145 5" xfId="5335"/>
    <cellStyle name="Date 145 6" xfId="5336"/>
    <cellStyle name="Date 146" xfId="5337"/>
    <cellStyle name="Date 146 2" xfId="5338"/>
    <cellStyle name="Date 146 2 2" xfId="5339"/>
    <cellStyle name="Date 146 2 2 2" xfId="5340"/>
    <cellStyle name="Date 146 2 2 3" xfId="5341"/>
    <cellStyle name="Date 146 2 3" xfId="5342"/>
    <cellStyle name="Date 146 2 3 2" xfId="5343"/>
    <cellStyle name="Date 146 2 3 3" xfId="5344"/>
    <cellStyle name="Date 146 2 4" xfId="5345"/>
    <cellStyle name="Date 146 2 5" xfId="5346"/>
    <cellStyle name="Date 146 3" xfId="5347"/>
    <cellStyle name="Date 146 3 2" xfId="5348"/>
    <cellStyle name="Date 146 3 3" xfId="5349"/>
    <cellStyle name="Date 146 4" xfId="5350"/>
    <cellStyle name="Date 146 4 2" xfId="5351"/>
    <cellStyle name="Date 146 4 3" xfId="5352"/>
    <cellStyle name="Date 146 5" xfId="5353"/>
    <cellStyle name="Date 146 6" xfId="5354"/>
    <cellStyle name="Date 147" xfId="5355"/>
    <cellStyle name="Date 147 2" xfId="5356"/>
    <cellStyle name="Date 147 2 2" xfId="5357"/>
    <cellStyle name="Date 147 2 2 2" xfId="5358"/>
    <cellStyle name="Date 147 2 2 3" xfId="5359"/>
    <cellStyle name="Date 147 2 3" xfId="5360"/>
    <cellStyle name="Date 147 2 3 2" xfId="5361"/>
    <cellStyle name="Date 147 2 3 3" xfId="5362"/>
    <cellStyle name="Date 147 2 4" xfId="5363"/>
    <cellStyle name="Date 147 2 5" xfId="5364"/>
    <cellStyle name="Date 147 3" xfId="5365"/>
    <cellStyle name="Date 147 3 2" xfId="5366"/>
    <cellStyle name="Date 147 3 3" xfId="5367"/>
    <cellStyle name="Date 147 4" xfId="5368"/>
    <cellStyle name="Date 147 4 2" xfId="5369"/>
    <cellStyle name="Date 147 4 3" xfId="5370"/>
    <cellStyle name="Date 147 5" xfId="5371"/>
    <cellStyle name="Date 147 6" xfId="5372"/>
    <cellStyle name="Date 148" xfId="5373"/>
    <cellStyle name="Date 148 2" xfId="5374"/>
    <cellStyle name="Date 148 2 2" xfId="5375"/>
    <cellStyle name="Date 148 2 2 2" xfId="5376"/>
    <cellStyle name="Date 148 2 2 3" xfId="5377"/>
    <cellStyle name="Date 148 2 3" xfId="5378"/>
    <cellStyle name="Date 148 2 3 2" xfId="5379"/>
    <cellStyle name="Date 148 2 3 3" xfId="5380"/>
    <cellStyle name="Date 148 2 4" xfId="5381"/>
    <cellStyle name="Date 148 2 5" xfId="5382"/>
    <cellStyle name="Date 148 3" xfId="5383"/>
    <cellStyle name="Date 148 3 2" xfId="5384"/>
    <cellStyle name="Date 148 3 3" xfId="5385"/>
    <cellStyle name="Date 148 4" xfId="5386"/>
    <cellStyle name="Date 148 4 2" xfId="5387"/>
    <cellStyle name="Date 148 4 3" xfId="5388"/>
    <cellStyle name="Date 148 5" xfId="5389"/>
    <cellStyle name="Date 148 6" xfId="5390"/>
    <cellStyle name="Date 149" xfId="5391"/>
    <cellStyle name="Date 149 2" xfId="5392"/>
    <cellStyle name="Date 149 2 2" xfId="5393"/>
    <cellStyle name="Date 149 2 2 2" xfId="5394"/>
    <cellStyle name="Date 149 2 2 3" xfId="5395"/>
    <cellStyle name="Date 149 2 3" xfId="5396"/>
    <cellStyle name="Date 149 2 3 2" xfId="5397"/>
    <cellStyle name="Date 149 2 3 3" xfId="5398"/>
    <cellStyle name="Date 149 2 4" xfId="5399"/>
    <cellStyle name="Date 149 2 5" xfId="5400"/>
    <cellStyle name="Date 149 3" xfId="5401"/>
    <cellStyle name="Date 149 3 2" xfId="5402"/>
    <cellStyle name="Date 149 3 3" xfId="5403"/>
    <cellStyle name="Date 149 4" xfId="5404"/>
    <cellStyle name="Date 149 4 2" xfId="5405"/>
    <cellStyle name="Date 149 4 3" xfId="5406"/>
    <cellStyle name="Date 149 5" xfId="5407"/>
    <cellStyle name="Date 149 6" xfId="5408"/>
    <cellStyle name="Date 15" xfId="5409"/>
    <cellStyle name="Date 15 2" xfId="5410"/>
    <cellStyle name="Date 15 2 2" xfId="5411"/>
    <cellStyle name="Date 15 2 3" xfId="5412"/>
    <cellStyle name="Date 15 3" xfId="5413"/>
    <cellStyle name="Date 15 3 2" xfId="5414"/>
    <cellStyle name="Date 15 3 3" xfId="5415"/>
    <cellStyle name="Date 15 4" xfId="5416"/>
    <cellStyle name="Date 15 5" xfId="5417"/>
    <cellStyle name="Date 150" xfId="5418"/>
    <cellStyle name="Date 150 2" xfId="5419"/>
    <cellStyle name="Date 150 2 2" xfId="5420"/>
    <cellStyle name="Date 150 2 2 2" xfId="5421"/>
    <cellStyle name="Date 150 2 2 3" xfId="5422"/>
    <cellStyle name="Date 150 2 3" xfId="5423"/>
    <cellStyle name="Date 150 2 3 2" xfId="5424"/>
    <cellStyle name="Date 150 2 3 3" xfId="5425"/>
    <cellStyle name="Date 150 2 4" xfId="5426"/>
    <cellStyle name="Date 150 2 5" xfId="5427"/>
    <cellStyle name="Date 150 3" xfId="5428"/>
    <cellStyle name="Date 150 3 2" xfId="5429"/>
    <cellStyle name="Date 150 3 3" xfId="5430"/>
    <cellStyle name="Date 150 4" xfId="5431"/>
    <cellStyle name="Date 150 4 2" xfId="5432"/>
    <cellStyle name="Date 150 4 3" xfId="5433"/>
    <cellStyle name="Date 150 5" xfId="5434"/>
    <cellStyle name="Date 150 6" xfId="5435"/>
    <cellStyle name="Date 151" xfId="5436"/>
    <cellStyle name="Date 151 2" xfId="5437"/>
    <cellStyle name="Date 151 2 2" xfId="5438"/>
    <cellStyle name="Date 151 2 2 2" xfId="5439"/>
    <cellStyle name="Date 151 2 2 3" xfId="5440"/>
    <cellStyle name="Date 151 2 3" xfId="5441"/>
    <cellStyle name="Date 151 2 3 2" xfId="5442"/>
    <cellStyle name="Date 151 2 3 3" xfId="5443"/>
    <cellStyle name="Date 151 2 4" xfId="5444"/>
    <cellStyle name="Date 151 2 5" xfId="5445"/>
    <cellStyle name="Date 151 3" xfId="5446"/>
    <cellStyle name="Date 151 3 2" xfId="5447"/>
    <cellStyle name="Date 151 3 3" xfId="5448"/>
    <cellStyle name="Date 151 4" xfId="5449"/>
    <cellStyle name="Date 151 4 2" xfId="5450"/>
    <cellStyle name="Date 151 4 3" xfId="5451"/>
    <cellStyle name="Date 151 5" xfId="5452"/>
    <cellStyle name="Date 151 6" xfId="5453"/>
    <cellStyle name="Date 152" xfId="5454"/>
    <cellStyle name="Date 152 2" xfId="5455"/>
    <cellStyle name="Date 152 2 2" xfId="5456"/>
    <cellStyle name="Date 152 2 2 2" xfId="5457"/>
    <cellStyle name="Date 152 2 2 3" xfId="5458"/>
    <cellStyle name="Date 152 2 3" xfId="5459"/>
    <cellStyle name="Date 152 2 3 2" xfId="5460"/>
    <cellStyle name="Date 152 2 3 3" xfId="5461"/>
    <cellStyle name="Date 152 2 4" xfId="5462"/>
    <cellStyle name="Date 152 2 5" xfId="5463"/>
    <cellStyle name="Date 152 3" xfId="5464"/>
    <cellStyle name="Date 152 3 2" xfId="5465"/>
    <cellStyle name="Date 152 3 3" xfId="5466"/>
    <cellStyle name="Date 152 4" xfId="5467"/>
    <cellStyle name="Date 152 4 2" xfId="5468"/>
    <cellStyle name="Date 152 4 3" xfId="5469"/>
    <cellStyle name="Date 152 5" xfId="5470"/>
    <cellStyle name="Date 152 6" xfId="5471"/>
    <cellStyle name="Date 153" xfId="5472"/>
    <cellStyle name="Date 153 2" xfId="5473"/>
    <cellStyle name="Date 153 2 2" xfId="5474"/>
    <cellStyle name="Date 153 2 2 2" xfId="5475"/>
    <cellStyle name="Date 153 2 2 3" xfId="5476"/>
    <cellStyle name="Date 153 2 3" xfId="5477"/>
    <cellStyle name="Date 153 2 3 2" xfId="5478"/>
    <cellStyle name="Date 153 2 3 3" xfId="5479"/>
    <cellStyle name="Date 153 2 4" xfId="5480"/>
    <cellStyle name="Date 153 2 5" xfId="5481"/>
    <cellStyle name="Date 153 3" xfId="5482"/>
    <cellStyle name="Date 153 3 2" xfId="5483"/>
    <cellStyle name="Date 153 3 3" xfId="5484"/>
    <cellStyle name="Date 153 4" xfId="5485"/>
    <cellStyle name="Date 153 4 2" xfId="5486"/>
    <cellStyle name="Date 153 4 3" xfId="5487"/>
    <cellStyle name="Date 153 5" xfId="5488"/>
    <cellStyle name="Date 153 6" xfId="5489"/>
    <cellStyle name="Date 154" xfId="5490"/>
    <cellStyle name="Date 154 2" xfId="5491"/>
    <cellStyle name="Date 154 2 2" xfId="5492"/>
    <cellStyle name="Date 154 2 2 2" xfId="5493"/>
    <cellStyle name="Date 154 2 2 3" xfId="5494"/>
    <cellStyle name="Date 154 2 3" xfId="5495"/>
    <cellStyle name="Date 154 2 3 2" xfId="5496"/>
    <cellStyle name="Date 154 2 3 3" xfId="5497"/>
    <cellStyle name="Date 154 2 4" xfId="5498"/>
    <cellStyle name="Date 154 2 5" xfId="5499"/>
    <cellStyle name="Date 154 3" xfId="5500"/>
    <cellStyle name="Date 154 3 2" xfId="5501"/>
    <cellStyle name="Date 154 3 3" xfId="5502"/>
    <cellStyle name="Date 154 4" xfId="5503"/>
    <cellStyle name="Date 154 4 2" xfId="5504"/>
    <cellStyle name="Date 154 4 3" xfId="5505"/>
    <cellStyle name="Date 154 5" xfId="5506"/>
    <cellStyle name="Date 154 6" xfId="5507"/>
    <cellStyle name="Date 155" xfId="5508"/>
    <cellStyle name="Date 155 2" xfId="5509"/>
    <cellStyle name="Date 155 2 2" xfId="5510"/>
    <cellStyle name="Date 155 2 2 2" xfId="5511"/>
    <cellStyle name="Date 155 2 2 3" xfId="5512"/>
    <cellStyle name="Date 155 2 3" xfId="5513"/>
    <cellStyle name="Date 155 2 3 2" xfId="5514"/>
    <cellStyle name="Date 155 2 3 3" xfId="5515"/>
    <cellStyle name="Date 155 2 4" xfId="5516"/>
    <cellStyle name="Date 155 2 5" xfId="5517"/>
    <cellStyle name="Date 155 3" xfId="5518"/>
    <cellStyle name="Date 155 3 2" xfId="5519"/>
    <cellStyle name="Date 155 3 3" xfId="5520"/>
    <cellStyle name="Date 155 4" xfId="5521"/>
    <cellStyle name="Date 155 4 2" xfId="5522"/>
    <cellStyle name="Date 155 4 3" xfId="5523"/>
    <cellStyle name="Date 155 5" xfId="5524"/>
    <cellStyle name="Date 155 6" xfId="5525"/>
    <cellStyle name="Date 156" xfId="5526"/>
    <cellStyle name="Date 156 2" xfId="5527"/>
    <cellStyle name="Date 156 2 2" xfId="5528"/>
    <cellStyle name="Date 156 2 3" xfId="5529"/>
    <cellStyle name="Date 156 3" xfId="5530"/>
    <cellStyle name="Date 156 3 2" xfId="5531"/>
    <cellStyle name="Date 156 3 3" xfId="5532"/>
    <cellStyle name="Date 156 4" xfId="5533"/>
    <cellStyle name="Date 156 5" xfId="5534"/>
    <cellStyle name="Date 157" xfId="5535"/>
    <cellStyle name="Date 157 2" xfId="5536"/>
    <cellStyle name="Date 157 2 2" xfId="5537"/>
    <cellStyle name="Date 157 2 3" xfId="5538"/>
    <cellStyle name="Date 157 3" xfId="5539"/>
    <cellStyle name="Date 157 3 2" xfId="5540"/>
    <cellStyle name="Date 157 3 3" xfId="5541"/>
    <cellStyle name="Date 157 4" xfId="5542"/>
    <cellStyle name="Date 157 5" xfId="5543"/>
    <cellStyle name="Date 158" xfId="5544"/>
    <cellStyle name="Date 158 2" xfId="5545"/>
    <cellStyle name="Date 158 2 2" xfId="5546"/>
    <cellStyle name="Date 158 2 3" xfId="5547"/>
    <cellStyle name="Date 158 3" xfId="5548"/>
    <cellStyle name="Date 158 3 2" xfId="5549"/>
    <cellStyle name="Date 158 3 3" xfId="5550"/>
    <cellStyle name="Date 158 4" xfId="5551"/>
    <cellStyle name="Date 158 5" xfId="5552"/>
    <cellStyle name="Date 159" xfId="5553"/>
    <cellStyle name="Date 159 2" xfId="5554"/>
    <cellStyle name="Date 159 2 2" xfId="5555"/>
    <cellStyle name="Date 159 2 3" xfId="5556"/>
    <cellStyle name="Date 159 3" xfId="5557"/>
    <cellStyle name="Date 159 3 2" xfId="5558"/>
    <cellStyle name="Date 159 3 3" xfId="5559"/>
    <cellStyle name="Date 159 4" xfId="5560"/>
    <cellStyle name="Date 159 5" xfId="5561"/>
    <cellStyle name="Date 16" xfId="5562"/>
    <cellStyle name="Date 16 2" xfId="5563"/>
    <cellStyle name="Date 16 2 2" xfId="5564"/>
    <cellStyle name="Date 16 2 3" xfId="5565"/>
    <cellStyle name="Date 16 3" xfId="5566"/>
    <cellStyle name="Date 16 3 2" xfId="5567"/>
    <cellStyle name="Date 16 3 3" xfId="5568"/>
    <cellStyle name="Date 16 4" xfId="5569"/>
    <cellStyle name="Date 16 5" xfId="5570"/>
    <cellStyle name="Date 160" xfId="5571"/>
    <cellStyle name="Date 160 2" xfId="5572"/>
    <cellStyle name="Date 160 2 2" xfId="5573"/>
    <cellStyle name="Date 160 2 3" xfId="5574"/>
    <cellStyle name="Date 160 3" xfId="5575"/>
    <cellStyle name="Date 160 3 2" xfId="5576"/>
    <cellStyle name="Date 160 3 3" xfId="5577"/>
    <cellStyle name="Date 160 4" xfId="5578"/>
    <cellStyle name="Date 160 5" xfId="5579"/>
    <cellStyle name="Date 161" xfId="5580"/>
    <cellStyle name="Date 161 2" xfId="5581"/>
    <cellStyle name="Date 161 2 2" xfId="5582"/>
    <cellStyle name="Date 161 2 3" xfId="5583"/>
    <cellStyle name="Date 161 3" xfId="5584"/>
    <cellStyle name="Date 161 3 2" xfId="5585"/>
    <cellStyle name="Date 161 3 3" xfId="5586"/>
    <cellStyle name="Date 161 4" xfId="5587"/>
    <cellStyle name="Date 161 5" xfId="5588"/>
    <cellStyle name="Date 162" xfId="5589"/>
    <cellStyle name="Date 162 2" xfId="5590"/>
    <cellStyle name="Date 162 2 2" xfId="5591"/>
    <cellStyle name="Date 162 2 3" xfId="5592"/>
    <cellStyle name="Date 162 3" xfId="5593"/>
    <cellStyle name="Date 162 3 2" xfId="5594"/>
    <cellStyle name="Date 162 3 3" xfId="5595"/>
    <cellStyle name="Date 162 4" xfId="5596"/>
    <cellStyle name="Date 162 5" xfId="5597"/>
    <cellStyle name="Date 163" xfId="5598"/>
    <cellStyle name="Date 163 2" xfId="5599"/>
    <cellStyle name="Date 163 2 2" xfId="5600"/>
    <cellStyle name="Date 163 2 3" xfId="5601"/>
    <cellStyle name="Date 163 3" xfId="5602"/>
    <cellStyle name="Date 163 3 2" xfId="5603"/>
    <cellStyle name="Date 163 3 3" xfId="5604"/>
    <cellStyle name="Date 163 4" xfId="5605"/>
    <cellStyle name="Date 163 5" xfId="5606"/>
    <cellStyle name="Date 164" xfId="5607"/>
    <cellStyle name="Date 164 2" xfId="5608"/>
    <cellStyle name="Date 164 2 2" xfId="5609"/>
    <cellStyle name="Date 164 2 3" xfId="5610"/>
    <cellStyle name="Date 164 3" xfId="5611"/>
    <cellStyle name="Date 164 3 2" xfId="5612"/>
    <cellStyle name="Date 164 3 3" xfId="5613"/>
    <cellStyle name="Date 164 4" xfId="5614"/>
    <cellStyle name="Date 164 5" xfId="5615"/>
    <cellStyle name="Date 165" xfId="5616"/>
    <cellStyle name="Date 165 2" xfId="5617"/>
    <cellStyle name="Date 165 2 2" xfId="5618"/>
    <cellStyle name="Date 165 2 3" xfId="5619"/>
    <cellStyle name="Date 165 3" xfId="5620"/>
    <cellStyle name="Date 165 3 2" xfId="5621"/>
    <cellStyle name="Date 165 3 3" xfId="5622"/>
    <cellStyle name="Date 165 4" xfId="5623"/>
    <cellStyle name="Date 165 5" xfId="5624"/>
    <cellStyle name="Date 166" xfId="5625"/>
    <cellStyle name="Date 166 2" xfId="5626"/>
    <cellStyle name="Date 166 2 2" xfId="5627"/>
    <cellStyle name="Date 166 2 3" xfId="5628"/>
    <cellStyle name="Date 166 3" xfId="5629"/>
    <cellStyle name="Date 166 3 2" xfId="5630"/>
    <cellStyle name="Date 166 3 3" xfId="5631"/>
    <cellStyle name="Date 166 4" xfId="5632"/>
    <cellStyle name="Date 166 5" xfId="5633"/>
    <cellStyle name="Date 167" xfId="5634"/>
    <cellStyle name="Date 167 2" xfId="5635"/>
    <cellStyle name="Date 167 2 2" xfId="5636"/>
    <cellStyle name="Date 167 2 3" xfId="5637"/>
    <cellStyle name="Date 167 3" xfId="5638"/>
    <cellStyle name="Date 167 3 2" xfId="5639"/>
    <cellStyle name="Date 167 3 3" xfId="5640"/>
    <cellStyle name="Date 167 4" xfId="5641"/>
    <cellStyle name="Date 167 5" xfId="5642"/>
    <cellStyle name="Date 168" xfId="5643"/>
    <cellStyle name="Date 168 2" xfId="5644"/>
    <cellStyle name="Date 168 2 2" xfId="5645"/>
    <cellStyle name="Date 168 2 3" xfId="5646"/>
    <cellStyle name="Date 168 3" xfId="5647"/>
    <cellStyle name="Date 168 3 2" xfId="5648"/>
    <cellStyle name="Date 168 3 3" xfId="5649"/>
    <cellStyle name="Date 168 4" xfId="5650"/>
    <cellStyle name="Date 168 5" xfId="5651"/>
    <cellStyle name="Date 169" xfId="5652"/>
    <cellStyle name="Date 169 2" xfId="5653"/>
    <cellStyle name="Date 169 2 2" xfId="5654"/>
    <cellStyle name="Date 169 2 3" xfId="5655"/>
    <cellStyle name="Date 169 3" xfId="5656"/>
    <cellStyle name="Date 169 3 2" xfId="5657"/>
    <cellStyle name="Date 169 3 3" xfId="5658"/>
    <cellStyle name="Date 169 4" xfId="5659"/>
    <cellStyle name="Date 169 5" xfId="5660"/>
    <cellStyle name="Date 17" xfId="5661"/>
    <cellStyle name="Date 17 2" xfId="5662"/>
    <cellStyle name="Date 17 2 2" xfId="5663"/>
    <cellStyle name="Date 17 2 3" xfId="5664"/>
    <cellStyle name="Date 17 3" xfId="5665"/>
    <cellStyle name="Date 17 3 2" xfId="5666"/>
    <cellStyle name="Date 17 3 3" xfId="5667"/>
    <cellStyle name="Date 17 4" xfId="5668"/>
    <cellStyle name="Date 17 5" xfId="5669"/>
    <cellStyle name="Date 170" xfId="5670"/>
    <cellStyle name="Date 170 2" xfId="5671"/>
    <cellStyle name="Date 170 2 2" xfId="5672"/>
    <cellStyle name="Date 170 2 3" xfId="5673"/>
    <cellStyle name="Date 170 3" xfId="5674"/>
    <cellStyle name="Date 170 3 2" xfId="5675"/>
    <cellStyle name="Date 170 3 3" xfId="5676"/>
    <cellStyle name="Date 170 4" xfId="5677"/>
    <cellStyle name="Date 170 5" xfId="5678"/>
    <cellStyle name="Date 171" xfId="5679"/>
    <cellStyle name="Date 171 2" xfId="5680"/>
    <cellStyle name="Date 171 2 2" xfId="5681"/>
    <cellStyle name="Date 171 2 3" xfId="5682"/>
    <cellStyle name="Date 171 3" xfId="5683"/>
    <cellStyle name="Date 171 3 2" xfId="5684"/>
    <cellStyle name="Date 171 3 3" xfId="5685"/>
    <cellStyle name="Date 171 4" xfId="5686"/>
    <cellStyle name="Date 171 5" xfId="5687"/>
    <cellStyle name="Date 172" xfId="5688"/>
    <cellStyle name="Date 172 2" xfId="5689"/>
    <cellStyle name="Date 172 2 2" xfId="5690"/>
    <cellStyle name="Date 172 2 3" xfId="5691"/>
    <cellStyle name="Date 172 3" xfId="5692"/>
    <cellStyle name="Date 172 3 2" xfId="5693"/>
    <cellStyle name="Date 172 3 3" xfId="5694"/>
    <cellStyle name="Date 172 4" xfId="5695"/>
    <cellStyle name="Date 172 5" xfId="5696"/>
    <cellStyle name="Date 173" xfId="5697"/>
    <cellStyle name="Date 173 2" xfId="5698"/>
    <cellStyle name="Date 173 2 2" xfId="5699"/>
    <cellStyle name="Date 173 2 3" xfId="5700"/>
    <cellStyle name="Date 173 3" xfId="5701"/>
    <cellStyle name="Date 173 3 2" xfId="5702"/>
    <cellStyle name="Date 173 3 3" xfId="5703"/>
    <cellStyle name="Date 173 4" xfId="5704"/>
    <cellStyle name="Date 173 5" xfId="5705"/>
    <cellStyle name="Date 174" xfId="5706"/>
    <cellStyle name="Date 174 2" xfId="5707"/>
    <cellStyle name="Date 174 2 2" xfId="5708"/>
    <cellStyle name="Date 174 2 3" xfId="5709"/>
    <cellStyle name="Date 174 3" xfId="5710"/>
    <cellStyle name="Date 174 3 2" xfId="5711"/>
    <cellStyle name="Date 174 3 3" xfId="5712"/>
    <cellStyle name="Date 174 4" xfId="5713"/>
    <cellStyle name="Date 174 5" xfId="5714"/>
    <cellStyle name="Date 175" xfId="5715"/>
    <cellStyle name="Date 175 2" xfId="5716"/>
    <cellStyle name="Date 175 2 2" xfId="5717"/>
    <cellStyle name="Date 175 2 3" xfId="5718"/>
    <cellStyle name="Date 175 3" xfId="5719"/>
    <cellStyle name="Date 175 3 2" xfId="5720"/>
    <cellStyle name="Date 175 3 3" xfId="5721"/>
    <cellStyle name="Date 175 4" xfId="5722"/>
    <cellStyle name="Date 175 5" xfId="5723"/>
    <cellStyle name="Date 176" xfId="5724"/>
    <cellStyle name="Date 176 2" xfId="5725"/>
    <cellStyle name="Date 176 2 2" xfId="5726"/>
    <cellStyle name="Date 176 2 3" xfId="5727"/>
    <cellStyle name="Date 176 3" xfId="5728"/>
    <cellStyle name="Date 176 3 2" xfId="5729"/>
    <cellStyle name="Date 176 3 3" xfId="5730"/>
    <cellStyle name="Date 176 4" xfId="5731"/>
    <cellStyle name="Date 176 5" xfId="5732"/>
    <cellStyle name="Date 177" xfId="5733"/>
    <cellStyle name="Date 177 2" xfId="5734"/>
    <cellStyle name="Date 177 2 2" xfId="5735"/>
    <cellStyle name="Date 177 2 3" xfId="5736"/>
    <cellStyle name="Date 177 3" xfId="5737"/>
    <cellStyle name="Date 177 3 2" xfId="5738"/>
    <cellStyle name="Date 177 3 3" xfId="5739"/>
    <cellStyle name="Date 177 4" xfId="5740"/>
    <cellStyle name="Date 177 5" xfId="5741"/>
    <cellStyle name="Date 178" xfId="5742"/>
    <cellStyle name="Date 178 2" xfId="5743"/>
    <cellStyle name="Date 178 2 2" xfId="5744"/>
    <cellStyle name="Date 178 2 3" xfId="5745"/>
    <cellStyle name="Date 178 3" xfId="5746"/>
    <cellStyle name="Date 178 3 2" xfId="5747"/>
    <cellStyle name="Date 178 3 3" xfId="5748"/>
    <cellStyle name="Date 178 4" xfId="5749"/>
    <cellStyle name="Date 178 5" xfId="5750"/>
    <cellStyle name="Date 179" xfId="5751"/>
    <cellStyle name="Date 179 2" xfId="5752"/>
    <cellStyle name="Date 179 2 2" xfId="5753"/>
    <cellStyle name="Date 179 2 3" xfId="5754"/>
    <cellStyle name="Date 179 3" xfId="5755"/>
    <cellStyle name="Date 179 3 2" xfId="5756"/>
    <cellStyle name="Date 179 3 3" xfId="5757"/>
    <cellStyle name="Date 179 4" xfId="5758"/>
    <cellStyle name="Date 179 5" xfId="5759"/>
    <cellStyle name="Date 18" xfId="5760"/>
    <cellStyle name="Date 18 2" xfId="5761"/>
    <cellStyle name="Date 18 2 2" xfId="5762"/>
    <cellStyle name="Date 18 2 3" xfId="5763"/>
    <cellStyle name="Date 18 3" xfId="5764"/>
    <cellStyle name="Date 18 3 2" xfId="5765"/>
    <cellStyle name="Date 18 3 3" xfId="5766"/>
    <cellStyle name="Date 18 4" xfId="5767"/>
    <cellStyle name="Date 18 5" xfId="5768"/>
    <cellStyle name="Date 180" xfId="5769"/>
    <cellStyle name="Date 180 2" xfId="5770"/>
    <cellStyle name="Date 180 2 2" xfId="5771"/>
    <cellStyle name="Date 180 2 3" xfId="5772"/>
    <cellStyle name="Date 180 3" xfId="5773"/>
    <cellStyle name="Date 180 3 2" xfId="5774"/>
    <cellStyle name="Date 180 3 3" xfId="5775"/>
    <cellStyle name="Date 180 4" xfId="5776"/>
    <cellStyle name="Date 180 5" xfId="5777"/>
    <cellStyle name="Date 181" xfId="5778"/>
    <cellStyle name="Date 181 2" xfId="5779"/>
    <cellStyle name="Date 181 2 2" xfId="5780"/>
    <cellStyle name="Date 181 2 3" xfId="5781"/>
    <cellStyle name="Date 181 3" xfId="5782"/>
    <cellStyle name="Date 181 3 2" xfId="5783"/>
    <cellStyle name="Date 181 3 3" xfId="5784"/>
    <cellStyle name="Date 181 4" xfId="5785"/>
    <cellStyle name="Date 181 5" xfId="5786"/>
    <cellStyle name="Date 182" xfId="5787"/>
    <cellStyle name="Date 182 2" xfId="5788"/>
    <cellStyle name="Date 182 2 2" xfId="5789"/>
    <cellStyle name="Date 182 2 3" xfId="5790"/>
    <cellStyle name="Date 182 3" xfId="5791"/>
    <cellStyle name="Date 182 3 2" xfId="5792"/>
    <cellStyle name="Date 182 3 3" xfId="5793"/>
    <cellStyle name="Date 182 4" xfId="5794"/>
    <cellStyle name="Date 182 5" xfId="5795"/>
    <cellStyle name="Date 183" xfId="5796"/>
    <cellStyle name="Date 183 2" xfId="5797"/>
    <cellStyle name="Date 183 2 2" xfId="5798"/>
    <cellStyle name="Date 183 2 3" xfId="5799"/>
    <cellStyle name="Date 183 3" xfId="5800"/>
    <cellStyle name="Date 183 3 2" xfId="5801"/>
    <cellStyle name="Date 183 3 3" xfId="5802"/>
    <cellStyle name="Date 183 4" xfId="5803"/>
    <cellStyle name="Date 183 5" xfId="5804"/>
    <cellStyle name="Date 184" xfId="5805"/>
    <cellStyle name="Date 184 2" xfId="5806"/>
    <cellStyle name="Date 184 2 2" xfId="5807"/>
    <cellStyle name="Date 184 2 3" xfId="5808"/>
    <cellStyle name="Date 184 3" xfId="5809"/>
    <cellStyle name="Date 184 3 2" xfId="5810"/>
    <cellStyle name="Date 184 3 3" xfId="5811"/>
    <cellStyle name="Date 184 4" xfId="5812"/>
    <cellStyle name="Date 184 5" xfId="5813"/>
    <cellStyle name="Date 185" xfId="5814"/>
    <cellStyle name="Date 185 2" xfId="5815"/>
    <cellStyle name="Date 185 2 2" xfId="5816"/>
    <cellStyle name="Date 185 2 3" xfId="5817"/>
    <cellStyle name="Date 185 3" xfId="5818"/>
    <cellStyle name="Date 185 3 2" xfId="5819"/>
    <cellStyle name="Date 185 3 3" xfId="5820"/>
    <cellStyle name="Date 185 4" xfId="5821"/>
    <cellStyle name="Date 185 5" xfId="5822"/>
    <cellStyle name="Date 186" xfId="5823"/>
    <cellStyle name="Date 186 2" xfId="5824"/>
    <cellStyle name="Date 186 2 2" xfId="5825"/>
    <cellStyle name="Date 186 2 3" xfId="5826"/>
    <cellStyle name="Date 186 3" xfId="5827"/>
    <cellStyle name="Date 186 3 2" xfId="5828"/>
    <cellStyle name="Date 186 3 3" xfId="5829"/>
    <cellStyle name="Date 186 4" xfId="5830"/>
    <cellStyle name="Date 186 5" xfId="5831"/>
    <cellStyle name="Date 187" xfId="5832"/>
    <cellStyle name="Date 187 2" xfId="5833"/>
    <cellStyle name="Date 187 2 2" xfId="5834"/>
    <cellStyle name="Date 187 2 3" xfId="5835"/>
    <cellStyle name="Date 187 3" xfId="5836"/>
    <cellStyle name="Date 187 3 2" xfId="5837"/>
    <cellStyle name="Date 187 3 3" xfId="5838"/>
    <cellStyle name="Date 187 4" xfId="5839"/>
    <cellStyle name="Date 187 5" xfId="5840"/>
    <cellStyle name="Date 188" xfId="5841"/>
    <cellStyle name="Date 188 2" xfId="5842"/>
    <cellStyle name="Date 188 2 2" xfId="5843"/>
    <cellStyle name="Date 188 2 3" xfId="5844"/>
    <cellStyle name="Date 188 3" xfId="5845"/>
    <cellStyle name="Date 188 3 2" xfId="5846"/>
    <cellStyle name="Date 188 3 3" xfId="5847"/>
    <cellStyle name="Date 188 4" xfId="5848"/>
    <cellStyle name="Date 188 5" xfId="5849"/>
    <cellStyle name="Date 189" xfId="5850"/>
    <cellStyle name="Date 189 2" xfId="5851"/>
    <cellStyle name="Date 189 3" xfId="5852"/>
    <cellStyle name="Date 19" xfId="5853"/>
    <cellStyle name="Date 19 2" xfId="5854"/>
    <cellStyle name="Date 19 2 2" xfId="5855"/>
    <cellStyle name="Date 19 2 3" xfId="5856"/>
    <cellStyle name="Date 19 3" xfId="5857"/>
    <cellStyle name="Date 19 3 2" xfId="5858"/>
    <cellStyle name="Date 19 3 3" xfId="5859"/>
    <cellStyle name="Date 19 4" xfId="5860"/>
    <cellStyle name="Date 19 5" xfId="5861"/>
    <cellStyle name="Date 190" xfId="5862"/>
    <cellStyle name="Date 190 2" xfId="5863"/>
    <cellStyle name="Date 190 3" xfId="5864"/>
    <cellStyle name="Date 191" xfId="5865"/>
    <cellStyle name="Date 191 2" xfId="5866"/>
    <cellStyle name="Date 191 3" xfId="5867"/>
    <cellStyle name="Date 192" xfId="5868"/>
    <cellStyle name="Date 192 2" xfId="5869"/>
    <cellStyle name="Date 192 3" xfId="5870"/>
    <cellStyle name="Date 193" xfId="5871"/>
    <cellStyle name="Date 193 2" xfId="5872"/>
    <cellStyle name="Date 193 3" xfId="5873"/>
    <cellStyle name="Date 194" xfId="5874"/>
    <cellStyle name="Date 194 2" xfId="5875"/>
    <cellStyle name="Date 194 3" xfId="5876"/>
    <cellStyle name="Date 195" xfId="5877"/>
    <cellStyle name="Date 195 2" xfId="5878"/>
    <cellStyle name="Date 195 3" xfId="5879"/>
    <cellStyle name="Date 196" xfId="5880"/>
    <cellStyle name="Date 196 2" xfId="5881"/>
    <cellStyle name="Date 196 3" xfId="5882"/>
    <cellStyle name="Date 197" xfId="5883"/>
    <cellStyle name="Date 197 2" xfId="5884"/>
    <cellStyle name="Date 197 3" xfId="5885"/>
    <cellStyle name="Date 198" xfId="5886"/>
    <cellStyle name="Date 198 2" xfId="5887"/>
    <cellStyle name="Date 198 3" xfId="5888"/>
    <cellStyle name="Date 199" xfId="5889"/>
    <cellStyle name="Date 199 2" xfId="5890"/>
    <cellStyle name="Date 199 3" xfId="5891"/>
    <cellStyle name="Date 2" xfId="5892"/>
    <cellStyle name="Date 2 2" xfId="5893"/>
    <cellStyle name="Date 2 2 2" xfId="5894"/>
    <cellStyle name="Date 2 2 2 2" xfId="5895"/>
    <cellStyle name="Date 2 2 2 3" xfId="5896"/>
    <cellStyle name="Date 2 2 3" xfId="5897"/>
    <cellStyle name="Date 2 2 3 2" xfId="5898"/>
    <cellStyle name="Date 2 2 3 3" xfId="5899"/>
    <cellStyle name="Date 2 2 4" xfId="5900"/>
    <cellStyle name="Date 2 2 5" xfId="5901"/>
    <cellStyle name="Date 2 3" xfId="5902"/>
    <cellStyle name="Date 2 3 2" xfId="5903"/>
    <cellStyle name="Date 2 3 3" xfId="5904"/>
    <cellStyle name="Date 2 4" xfId="5905"/>
    <cellStyle name="Date 2 4 2" xfId="5906"/>
    <cellStyle name="Date 2 4 3" xfId="5907"/>
    <cellStyle name="Date 2 5" xfId="5908"/>
    <cellStyle name="Date 2 6" xfId="5909"/>
    <cellStyle name="Date 20" xfId="5910"/>
    <cellStyle name="Date 20 2" xfId="5911"/>
    <cellStyle name="Date 20 2 2" xfId="5912"/>
    <cellStyle name="Date 20 2 3" xfId="5913"/>
    <cellStyle name="Date 20 3" xfId="5914"/>
    <cellStyle name="Date 20 3 2" xfId="5915"/>
    <cellStyle name="Date 20 3 3" xfId="5916"/>
    <cellStyle name="Date 20 4" xfId="5917"/>
    <cellStyle name="Date 20 5" xfId="5918"/>
    <cellStyle name="Date 200" xfId="5919"/>
    <cellStyle name="Date 200 2" xfId="5920"/>
    <cellStyle name="Date 200 3" xfId="5921"/>
    <cellStyle name="Date 201" xfId="5922"/>
    <cellStyle name="Date 201 2" xfId="5923"/>
    <cellStyle name="Date 201 3" xfId="5924"/>
    <cellStyle name="Date 202" xfId="5925"/>
    <cellStyle name="Date 202 2" xfId="5926"/>
    <cellStyle name="Date 202 3" xfId="5927"/>
    <cellStyle name="Date 203" xfId="5928"/>
    <cellStyle name="Date 203 2" xfId="5929"/>
    <cellStyle name="Date 203 3" xfId="5930"/>
    <cellStyle name="Date 204" xfId="5931"/>
    <cellStyle name="Date 204 2" xfId="5932"/>
    <cellStyle name="Date 204 3" xfId="5933"/>
    <cellStyle name="Date 205" xfId="5934"/>
    <cellStyle name="Date 205 2" xfId="5935"/>
    <cellStyle name="Date 205 3" xfId="5936"/>
    <cellStyle name="Date 206" xfId="5937"/>
    <cellStyle name="Date 206 2" xfId="5938"/>
    <cellStyle name="Date 206 3" xfId="5939"/>
    <cellStyle name="Date 207" xfId="5940"/>
    <cellStyle name="Date 207 2" xfId="5941"/>
    <cellStyle name="Date 207 3" xfId="5942"/>
    <cellStyle name="Date 208" xfId="5943"/>
    <cellStyle name="Date 208 2" xfId="5944"/>
    <cellStyle name="Date 208 3" xfId="5945"/>
    <cellStyle name="Date 209" xfId="5946"/>
    <cellStyle name="Date 209 2" xfId="5947"/>
    <cellStyle name="Date 209 3" xfId="5948"/>
    <cellStyle name="Date 21" xfId="5949"/>
    <cellStyle name="Date 21 2" xfId="5950"/>
    <cellStyle name="Date 21 2 2" xfId="5951"/>
    <cellStyle name="Date 21 2 3" xfId="5952"/>
    <cellStyle name="Date 21 3" xfId="5953"/>
    <cellStyle name="Date 21 3 2" xfId="5954"/>
    <cellStyle name="Date 21 3 3" xfId="5955"/>
    <cellStyle name="Date 21 4" xfId="5956"/>
    <cellStyle name="Date 21 5" xfId="5957"/>
    <cellStyle name="Date 210" xfId="5958"/>
    <cellStyle name="Date 210 2" xfId="5959"/>
    <cellStyle name="Date 210 3" xfId="5960"/>
    <cellStyle name="Date 211" xfId="5961"/>
    <cellStyle name="Date 211 2" xfId="5962"/>
    <cellStyle name="Date 211 3" xfId="5963"/>
    <cellStyle name="Date 212" xfId="5964"/>
    <cellStyle name="Date 213" xfId="5965"/>
    <cellStyle name="Date 214" xfId="5966"/>
    <cellStyle name="Date 215" xfId="5967"/>
    <cellStyle name="Date 216" xfId="5968"/>
    <cellStyle name="Date 22" xfId="5969"/>
    <cellStyle name="Date 22 2" xfId="5970"/>
    <cellStyle name="Date 22 2 2" xfId="5971"/>
    <cellStyle name="Date 22 2 3" xfId="5972"/>
    <cellStyle name="Date 22 3" xfId="5973"/>
    <cellStyle name="Date 22 3 2" xfId="5974"/>
    <cellStyle name="Date 22 3 3" xfId="5975"/>
    <cellStyle name="Date 22 4" xfId="5976"/>
    <cellStyle name="Date 22 5" xfId="5977"/>
    <cellStyle name="Date 23" xfId="5978"/>
    <cellStyle name="Date 23 2" xfId="5979"/>
    <cellStyle name="Date 23 2 2" xfId="5980"/>
    <cellStyle name="Date 23 2 3" xfId="5981"/>
    <cellStyle name="Date 23 3" xfId="5982"/>
    <cellStyle name="Date 23 3 2" xfId="5983"/>
    <cellStyle name="Date 23 3 3" xfId="5984"/>
    <cellStyle name="Date 23 4" xfId="5985"/>
    <cellStyle name="Date 23 5" xfId="5986"/>
    <cellStyle name="Date 24" xfId="5987"/>
    <cellStyle name="Date 24 2" xfId="5988"/>
    <cellStyle name="Date 24 2 2" xfId="5989"/>
    <cellStyle name="Date 24 2 3" xfId="5990"/>
    <cellStyle name="Date 24 3" xfId="5991"/>
    <cellStyle name="Date 24 3 2" xfId="5992"/>
    <cellStyle name="Date 24 3 3" xfId="5993"/>
    <cellStyle name="Date 24 4" xfId="5994"/>
    <cellStyle name="Date 24 5" xfId="5995"/>
    <cellStyle name="Date 25" xfId="5996"/>
    <cellStyle name="Date 25 2" xfId="5997"/>
    <cellStyle name="Date 25 2 2" xfId="5998"/>
    <cellStyle name="Date 25 2 3" xfId="5999"/>
    <cellStyle name="Date 25 3" xfId="6000"/>
    <cellStyle name="Date 25 3 2" xfId="6001"/>
    <cellStyle name="Date 25 3 3" xfId="6002"/>
    <cellStyle name="Date 25 4" xfId="6003"/>
    <cellStyle name="Date 25 5" xfId="6004"/>
    <cellStyle name="Date 26" xfId="6005"/>
    <cellStyle name="Date 26 2" xfId="6006"/>
    <cellStyle name="Date 26 2 2" xfId="6007"/>
    <cellStyle name="Date 26 2 3" xfId="6008"/>
    <cellStyle name="Date 26 3" xfId="6009"/>
    <cellStyle name="Date 26 3 2" xfId="6010"/>
    <cellStyle name="Date 26 3 3" xfId="6011"/>
    <cellStyle name="Date 26 4" xfId="6012"/>
    <cellStyle name="Date 26 5" xfId="6013"/>
    <cellStyle name="Date 27" xfId="6014"/>
    <cellStyle name="Date 27 2" xfId="6015"/>
    <cellStyle name="Date 27 2 2" xfId="6016"/>
    <cellStyle name="Date 27 2 3" xfId="6017"/>
    <cellStyle name="Date 27 3" xfId="6018"/>
    <cellStyle name="Date 27 3 2" xfId="6019"/>
    <cellStyle name="Date 27 3 3" xfId="6020"/>
    <cellStyle name="Date 27 4" xfId="6021"/>
    <cellStyle name="Date 27 5" xfId="6022"/>
    <cellStyle name="Date 28" xfId="6023"/>
    <cellStyle name="Date 28 2" xfId="6024"/>
    <cellStyle name="Date 28 2 2" xfId="6025"/>
    <cellStyle name="Date 28 2 3" xfId="6026"/>
    <cellStyle name="Date 28 3" xfId="6027"/>
    <cellStyle name="Date 28 3 2" xfId="6028"/>
    <cellStyle name="Date 28 3 3" xfId="6029"/>
    <cellStyle name="Date 28 4" xfId="6030"/>
    <cellStyle name="Date 28 5" xfId="6031"/>
    <cellStyle name="Date 29" xfId="6032"/>
    <cellStyle name="Date 29 2" xfId="6033"/>
    <cellStyle name="Date 29 2 2" xfId="6034"/>
    <cellStyle name="Date 29 2 3" xfId="6035"/>
    <cellStyle name="Date 29 3" xfId="6036"/>
    <cellStyle name="Date 29 3 2" xfId="6037"/>
    <cellStyle name="Date 29 3 3" xfId="6038"/>
    <cellStyle name="Date 29 4" xfId="6039"/>
    <cellStyle name="Date 29 5" xfId="6040"/>
    <cellStyle name="Date 3" xfId="6041"/>
    <cellStyle name="Date 3 2" xfId="6042"/>
    <cellStyle name="Date 3 2 2" xfId="6043"/>
    <cellStyle name="Date 3 2 3" xfId="6044"/>
    <cellStyle name="Date 3 3" xfId="6045"/>
    <cellStyle name="Date 3 3 2" xfId="6046"/>
    <cellStyle name="Date 3 3 3" xfId="6047"/>
    <cellStyle name="Date 3 4" xfId="6048"/>
    <cellStyle name="Date 3 5" xfId="6049"/>
    <cellStyle name="Date 30" xfId="6050"/>
    <cellStyle name="Date 30 2" xfId="6051"/>
    <cellStyle name="Date 30 2 2" xfId="6052"/>
    <cellStyle name="Date 30 2 3" xfId="6053"/>
    <cellStyle name="Date 30 3" xfId="6054"/>
    <cellStyle name="Date 30 3 2" xfId="6055"/>
    <cellStyle name="Date 30 3 3" xfId="6056"/>
    <cellStyle name="Date 30 4" xfId="6057"/>
    <cellStyle name="Date 30 5" xfId="6058"/>
    <cellStyle name="Date 31" xfId="6059"/>
    <cellStyle name="Date 31 2" xfId="6060"/>
    <cellStyle name="Date 31 2 2" xfId="6061"/>
    <cellStyle name="Date 31 2 3" xfId="6062"/>
    <cellStyle name="Date 31 3" xfId="6063"/>
    <cellStyle name="Date 31 3 2" xfId="6064"/>
    <cellStyle name="Date 31 3 3" xfId="6065"/>
    <cellStyle name="Date 31 4" xfId="6066"/>
    <cellStyle name="Date 31 5" xfId="6067"/>
    <cellStyle name="Date 32" xfId="6068"/>
    <cellStyle name="Date 32 2" xfId="6069"/>
    <cellStyle name="Date 32 2 2" xfId="6070"/>
    <cellStyle name="Date 32 2 3" xfId="6071"/>
    <cellStyle name="Date 32 3" xfId="6072"/>
    <cellStyle name="Date 32 3 2" xfId="6073"/>
    <cellStyle name="Date 32 3 3" xfId="6074"/>
    <cellStyle name="Date 32 4" xfId="6075"/>
    <cellStyle name="Date 32 5" xfId="6076"/>
    <cellStyle name="Date 33" xfId="6077"/>
    <cellStyle name="Date 33 2" xfId="6078"/>
    <cellStyle name="Date 33 2 2" xfId="6079"/>
    <cellStyle name="Date 33 2 3" xfId="6080"/>
    <cellStyle name="Date 33 3" xfId="6081"/>
    <cellStyle name="Date 33 3 2" xfId="6082"/>
    <cellStyle name="Date 33 3 3" xfId="6083"/>
    <cellStyle name="Date 33 4" xfId="6084"/>
    <cellStyle name="Date 33 5" xfId="6085"/>
    <cellStyle name="Date 34" xfId="6086"/>
    <cellStyle name="Date 34 2" xfId="6087"/>
    <cellStyle name="Date 34 2 2" xfId="6088"/>
    <cellStyle name="Date 34 2 3" xfId="6089"/>
    <cellStyle name="Date 34 3" xfId="6090"/>
    <cellStyle name="Date 34 3 2" xfId="6091"/>
    <cellStyle name="Date 34 3 3" xfId="6092"/>
    <cellStyle name="Date 34 4" xfId="6093"/>
    <cellStyle name="Date 34 5" xfId="6094"/>
    <cellStyle name="Date 35" xfId="6095"/>
    <cellStyle name="Date 35 2" xfId="6096"/>
    <cellStyle name="Date 35 2 2" xfId="6097"/>
    <cellStyle name="Date 35 2 3" xfId="6098"/>
    <cellStyle name="Date 35 3" xfId="6099"/>
    <cellStyle name="Date 35 3 2" xfId="6100"/>
    <cellStyle name="Date 35 3 3" xfId="6101"/>
    <cellStyle name="Date 35 4" xfId="6102"/>
    <cellStyle name="Date 35 5" xfId="6103"/>
    <cellStyle name="Date 36" xfId="6104"/>
    <cellStyle name="Date 36 2" xfId="6105"/>
    <cellStyle name="Date 36 2 2" xfId="6106"/>
    <cellStyle name="Date 36 2 3" xfId="6107"/>
    <cellStyle name="Date 36 3" xfId="6108"/>
    <cellStyle name="Date 36 3 2" xfId="6109"/>
    <cellStyle name="Date 36 3 3" xfId="6110"/>
    <cellStyle name="Date 36 4" xfId="6111"/>
    <cellStyle name="Date 36 5" xfId="6112"/>
    <cellStyle name="Date 37" xfId="6113"/>
    <cellStyle name="Date 37 2" xfId="6114"/>
    <cellStyle name="Date 37 2 2" xfId="6115"/>
    <cellStyle name="Date 37 2 3" xfId="6116"/>
    <cellStyle name="Date 37 3" xfId="6117"/>
    <cellStyle name="Date 37 3 2" xfId="6118"/>
    <cellStyle name="Date 37 3 3" xfId="6119"/>
    <cellStyle name="Date 37 4" xfId="6120"/>
    <cellStyle name="Date 37 5" xfId="6121"/>
    <cellStyle name="Date 38" xfId="6122"/>
    <cellStyle name="Date 38 2" xfId="6123"/>
    <cellStyle name="Date 38 2 2" xfId="6124"/>
    <cellStyle name="Date 38 2 3" xfId="6125"/>
    <cellStyle name="Date 38 3" xfId="6126"/>
    <cellStyle name="Date 38 3 2" xfId="6127"/>
    <cellStyle name="Date 38 3 3" xfId="6128"/>
    <cellStyle name="Date 38 4" xfId="6129"/>
    <cellStyle name="Date 38 5" xfId="6130"/>
    <cellStyle name="Date 39" xfId="6131"/>
    <cellStyle name="Date 39 2" xfId="6132"/>
    <cellStyle name="Date 39 2 2" xfId="6133"/>
    <cellStyle name="Date 39 2 3" xfId="6134"/>
    <cellStyle name="Date 39 3" xfId="6135"/>
    <cellStyle name="Date 39 3 2" xfId="6136"/>
    <cellStyle name="Date 39 3 3" xfId="6137"/>
    <cellStyle name="Date 39 4" xfId="6138"/>
    <cellStyle name="Date 39 5" xfId="6139"/>
    <cellStyle name="Date 4" xfId="6140"/>
    <cellStyle name="Date 4 2" xfId="6141"/>
    <cellStyle name="Date 4 2 2" xfId="6142"/>
    <cellStyle name="Date 4 2 2 2" xfId="6143"/>
    <cellStyle name="Date 4 2 2 3" xfId="6144"/>
    <cellStyle name="Date 4 2 3" xfId="6145"/>
    <cellStyle name="Date 4 2 3 2" xfId="6146"/>
    <cellStyle name="Date 4 2 3 3" xfId="6147"/>
    <cellStyle name="Date 4 2 4" xfId="6148"/>
    <cellStyle name="Date 4 2 5" xfId="6149"/>
    <cellStyle name="Date 4 3" xfId="6150"/>
    <cellStyle name="Date 4 3 2" xfId="6151"/>
    <cellStyle name="Date 4 3 3" xfId="6152"/>
    <cellStyle name="Date 4 4" xfId="6153"/>
    <cellStyle name="Date 4 4 2" xfId="6154"/>
    <cellStyle name="Date 4 4 3" xfId="6155"/>
    <cellStyle name="Date 4 5" xfId="6156"/>
    <cellStyle name="Date 4 6" xfId="6157"/>
    <cellStyle name="Date 40" xfId="6158"/>
    <cellStyle name="Date 40 2" xfId="6159"/>
    <cellStyle name="Date 40 2 2" xfId="6160"/>
    <cellStyle name="Date 40 2 3" xfId="6161"/>
    <cellStyle name="Date 40 3" xfId="6162"/>
    <cellStyle name="Date 40 3 2" xfId="6163"/>
    <cellStyle name="Date 40 3 3" xfId="6164"/>
    <cellStyle name="Date 40 4" xfId="6165"/>
    <cellStyle name="Date 40 5" xfId="6166"/>
    <cellStyle name="Date 41" xfId="6167"/>
    <cellStyle name="Date 41 2" xfId="6168"/>
    <cellStyle name="Date 41 2 2" xfId="6169"/>
    <cellStyle name="Date 41 2 3" xfId="6170"/>
    <cellStyle name="Date 41 3" xfId="6171"/>
    <cellStyle name="Date 41 3 2" xfId="6172"/>
    <cellStyle name="Date 41 3 3" xfId="6173"/>
    <cellStyle name="Date 41 4" xfId="6174"/>
    <cellStyle name="Date 41 5" xfId="6175"/>
    <cellStyle name="Date 42" xfId="6176"/>
    <cellStyle name="Date 42 2" xfId="6177"/>
    <cellStyle name="Date 42 2 2" xfId="6178"/>
    <cellStyle name="Date 42 2 3" xfId="6179"/>
    <cellStyle name="Date 42 3" xfId="6180"/>
    <cellStyle name="Date 42 3 2" xfId="6181"/>
    <cellStyle name="Date 42 3 3" xfId="6182"/>
    <cellStyle name="Date 42 4" xfId="6183"/>
    <cellStyle name="Date 42 5" xfId="6184"/>
    <cellStyle name="Date 43" xfId="6185"/>
    <cellStyle name="Date 43 2" xfId="6186"/>
    <cellStyle name="Date 43 2 2" xfId="6187"/>
    <cellStyle name="Date 43 2 3" xfId="6188"/>
    <cellStyle name="Date 43 3" xfId="6189"/>
    <cellStyle name="Date 43 3 2" xfId="6190"/>
    <cellStyle name="Date 43 3 3" xfId="6191"/>
    <cellStyle name="Date 43 4" xfId="6192"/>
    <cellStyle name="Date 43 5" xfId="6193"/>
    <cellStyle name="Date 44" xfId="6194"/>
    <cellStyle name="Date 44 2" xfId="6195"/>
    <cellStyle name="Date 44 2 2" xfId="6196"/>
    <cellStyle name="Date 44 2 3" xfId="6197"/>
    <cellStyle name="Date 44 3" xfId="6198"/>
    <cellStyle name="Date 44 3 2" xfId="6199"/>
    <cellStyle name="Date 44 3 3" xfId="6200"/>
    <cellStyle name="Date 44 4" xfId="6201"/>
    <cellStyle name="Date 44 5" xfId="6202"/>
    <cellStyle name="Date 45" xfId="6203"/>
    <cellStyle name="Date 45 2" xfId="6204"/>
    <cellStyle name="Date 45 2 2" xfId="6205"/>
    <cellStyle name="Date 45 2 3" xfId="6206"/>
    <cellStyle name="Date 45 3" xfId="6207"/>
    <cellStyle name="Date 45 3 2" xfId="6208"/>
    <cellStyle name="Date 45 3 3" xfId="6209"/>
    <cellStyle name="Date 45 4" xfId="6210"/>
    <cellStyle name="Date 45 5" xfId="6211"/>
    <cellStyle name="Date 46" xfId="6212"/>
    <cellStyle name="Date 46 2" xfId="6213"/>
    <cellStyle name="Date 46 2 2" xfId="6214"/>
    <cellStyle name="Date 46 2 3" xfId="6215"/>
    <cellStyle name="Date 46 3" xfId="6216"/>
    <cellStyle name="Date 46 3 2" xfId="6217"/>
    <cellStyle name="Date 46 3 3" xfId="6218"/>
    <cellStyle name="Date 46 4" xfId="6219"/>
    <cellStyle name="Date 46 5" xfId="6220"/>
    <cellStyle name="Date 47" xfId="6221"/>
    <cellStyle name="Date 47 2" xfId="6222"/>
    <cellStyle name="Date 47 2 2" xfId="6223"/>
    <cellStyle name="Date 47 2 3" xfId="6224"/>
    <cellStyle name="Date 47 3" xfId="6225"/>
    <cellStyle name="Date 47 3 2" xfId="6226"/>
    <cellStyle name="Date 47 3 3" xfId="6227"/>
    <cellStyle name="Date 47 4" xfId="6228"/>
    <cellStyle name="Date 47 5" xfId="6229"/>
    <cellStyle name="Date 48" xfId="6230"/>
    <cellStyle name="Date 48 2" xfId="6231"/>
    <cellStyle name="Date 48 2 2" xfId="6232"/>
    <cellStyle name="Date 48 2 3" xfId="6233"/>
    <cellStyle name="Date 48 3" xfId="6234"/>
    <cellStyle name="Date 48 3 2" xfId="6235"/>
    <cellStyle name="Date 48 3 3" xfId="6236"/>
    <cellStyle name="Date 48 4" xfId="6237"/>
    <cellStyle name="Date 48 5" xfId="6238"/>
    <cellStyle name="Date 49" xfId="6239"/>
    <cellStyle name="Date 49 2" xfId="6240"/>
    <cellStyle name="Date 49 2 2" xfId="6241"/>
    <cellStyle name="Date 49 2 3" xfId="6242"/>
    <cellStyle name="Date 49 3" xfId="6243"/>
    <cellStyle name="Date 49 3 2" xfId="6244"/>
    <cellStyle name="Date 49 3 3" xfId="6245"/>
    <cellStyle name="Date 49 4" xfId="6246"/>
    <cellStyle name="Date 49 5" xfId="6247"/>
    <cellStyle name="Date 5" xfId="6248"/>
    <cellStyle name="Date 5 2" xfId="6249"/>
    <cellStyle name="Date 5 2 2" xfId="6250"/>
    <cellStyle name="Date 5 2 2 2" xfId="6251"/>
    <cellStyle name="Date 5 2 2 3" xfId="6252"/>
    <cellStyle name="Date 5 2 3" xfId="6253"/>
    <cellStyle name="Date 5 2 3 2" xfId="6254"/>
    <cellStyle name="Date 5 2 3 3" xfId="6255"/>
    <cellStyle name="Date 5 2 4" xfId="6256"/>
    <cellStyle name="Date 5 2 5" xfId="6257"/>
    <cellStyle name="Date 5 3" xfId="6258"/>
    <cellStyle name="Date 5 3 2" xfId="6259"/>
    <cellStyle name="Date 5 3 3" xfId="6260"/>
    <cellStyle name="Date 5 4" xfId="6261"/>
    <cellStyle name="Date 5 4 2" xfId="6262"/>
    <cellStyle name="Date 5 4 3" xfId="6263"/>
    <cellStyle name="Date 5 5" xfId="6264"/>
    <cellStyle name="Date 5 6" xfId="6265"/>
    <cellStyle name="Date 50" xfId="6266"/>
    <cellStyle name="Date 50 2" xfId="6267"/>
    <cellStyle name="Date 50 2 2" xfId="6268"/>
    <cellStyle name="Date 50 2 3" xfId="6269"/>
    <cellStyle name="Date 50 3" xfId="6270"/>
    <cellStyle name="Date 50 3 2" xfId="6271"/>
    <cellStyle name="Date 50 3 3" xfId="6272"/>
    <cellStyle name="Date 50 4" xfId="6273"/>
    <cellStyle name="Date 50 5" xfId="6274"/>
    <cellStyle name="Date 51" xfId="6275"/>
    <cellStyle name="Date 51 2" xfId="6276"/>
    <cellStyle name="Date 51 2 2" xfId="6277"/>
    <cellStyle name="Date 51 2 3" xfId="6278"/>
    <cellStyle name="Date 51 3" xfId="6279"/>
    <cellStyle name="Date 51 3 2" xfId="6280"/>
    <cellStyle name="Date 51 3 3" xfId="6281"/>
    <cellStyle name="Date 51 4" xfId="6282"/>
    <cellStyle name="Date 51 5" xfId="6283"/>
    <cellStyle name="Date 52" xfId="6284"/>
    <cellStyle name="Date 52 2" xfId="6285"/>
    <cellStyle name="Date 52 2 2" xfId="6286"/>
    <cellStyle name="Date 52 2 3" xfId="6287"/>
    <cellStyle name="Date 52 3" xfId="6288"/>
    <cellStyle name="Date 52 3 2" xfId="6289"/>
    <cellStyle name="Date 52 3 3" xfId="6290"/>
    <cellStyle name="Date 52 4" xfId="6291"/>
    <cellStyle name="Date 52 5" xfId="6292"/>
    <cellStyle name="Date 53" xfId="6293"/>
    <cellStyle name="Date 53 2" xfId="6294"/>
    <cellStyle name="Date 53 2 2" xfId="6295"/>
    <cellStyle name="Date 53 2 3" xfId="6296"/>
    <cellStyle name="Date 53 3" xfId="6297"/>
    <cellStyle name="Date 53 3 2" xfId="6298"/>
    <cellStyle name="Date 53 3 3" xfId="6299"/>
    <cellStyle name="Date 53 4" xfId="6300"/>
    <cellStyle name="Date 53 5" xfId="6301"/>
    <cellStyle name="Date 54" xfId="6302"/>
    <cellStyle name="Date 54 2" xfId="6303"/>
    <cellStyle name="Date 54 2 2" xfId="6304"/>
    <cellStyle name="Date 54 2 3" xfId="6305"/>
    <cellStyle name="Date 54 3" xfId="6306"/>
    <cellStyle name="Date 54 3 2" xfId="6307"/>
    <cellStyle name="Date 54 3 3" xfId="6308"/>
    <cellStyle name="Date 54 4" xfId="6309"/>
    <cellStyle name="Date 54 5" xfId="6310"/>
    <cellStyle name="Date 55" xfId="6311"/>
    <cellStyle name="Date 55 2" xfId="6312"/>
    <cellStyle name="Date 55 2 2" xfId="6313"/>
    <cellStyle name="Date 55 2 3" xfId="6314"/>
    <cellStyle name="Date 55 3" xfId="6315"/>
    <cellStyle name="Date 55 3 2" xfId="6316"/>
    <cellStyle name="Date 55 3 3" xfId="6317"/>
    <cellStyle name="Date 55 4" xfId="6318"/>
    <cellStyle name="Date 55 5" xfId="6319"/>
    <cellStyle name="Date 56" xfId="6320"/>
    <cellStyle name="Date 56 2" xfId="6321"/>
    <cellStyle name="Date 56 2 2" xfId="6322"/>
    <cellStyle name="Date 56 2 3" xfId="6323"/>
    <cellStyle name="Date 56 3" xfId="6324"/>
    <cellStyle name="Date 56 3 2" xfId="6325"/>
    <cellStyle name="Date 56 3 3" xfId="6326"/>
    <cellStyle name="Date 56 4" xfId="6327"/>
    <cellStyle name="Date 56 5" xfId="6328"/>
    <cellStyle name="Date 57" xfId="6329"/>
    <cellStyle name="Date 57 2" xfId="6330"/>
    <cellStyle name="Date 57 2 2" xfId="6331"/>
    <cellStyle name="Date 57 2 3" xfId="6332"/>
    <cellStyle name="Date 57 3" xfId="6333"/>
    <cellStyle name="Date 57 3 2" xfId="6334"/>
    <cellStyle name="Date 57 3 3" xfId="6335"/>
    <cellStyle name="Date 57 4" xfId="6336"/>
    <cellStyle name="Date 57 5" xfId="6337"/>
    <cellStyle name="Date 58" xfId="6338"/>
    <cellStyle name="Date 58 2" xfId="6339"/>
    <cellStyle name="Date 58 2 2" xfId="6340"/>
    <cellStyle name="Date 58 2 3" xfId="6341"/>
    <cellStyle name="Date 58 3" xfId="6342"/>
    <cellStyle name="Date 58 3 2" xfId="6343"/>
    <cellStyle name="Date 58 3 3" xfId="6344"/>
    <cellStyle name="Date 58 4" xfId="6345"/>
    <cellStyle name="Date 58 5" xfId="6346"/>
    <cellStyle name="Date 59" xfId="6347"/>
    <cellStyle name="Date 59 2" xfId="6348"/>
    <cellStyle name="Date 59 2 2" xfId="6349"/>
    <cellStyle name="Date 59 2 3" xfId="6350"/>
    <cellStyle name="Date 59 3" xfId="6351"/>
    <cellStyle name="Date 59 3 2" xfId="6352"/>
    <cellStyle name="Date 59 3 3" xfId="6353"/>
    <cellStyle name="Date 59 4" xfId="6354"/>
    <cellStyle name="Date 59 5" xfId="6355"/>
    <cellStyle name="Date 6" xfId="6356"/>
    <cellStyle name="Date 6 2" xfId="6357"/>
    <cellStyle name="Date 6 2 2" xfId="6358"/>
    <cellStyle name="Date 6 2 2 2" xfId="6359"/>
    <cellStyle name="Date 6 2 2 3" xfId="6360"/>
    <cellStyle name="Date 6 2 3" xfId="6361"/>
    <cellStyle name="Date 6 2 3 2" xfId="6362"/>
    <cellStyle name="Date 6 2 3 3" xfId="6363"/>
    <cellStyle name="Date 6 2 4" xfId="6364"/>
    <cellStyle name="Date 6 2 5" xfId="6365"/>
    <cellStyle name="Date 6 3" xfId="6366"/>
    <cellStyle name="Date 6 3 2" xfId="6367"/>
    <cellStyle name="Date 6 3 3" xfId="6368"/>
    <cellStyle name="Date 6 4" xfId="6369"/>
    <cellStyle name="Date 6 4 2" xfId="6370"/>
    <cellStyle name="Date 6 4 3" xfId="6371"/>
    <cellStyle name="Date 6 5" xfId="6372"/>
    <cellStyle name="Date 6 6" xfId="6373"/>
    <cellStyle name="Date 60" xfId="6374"/>
    <cellStyle name="Date 60 2" xfId="6375"/>
    <cellStyle name="Date 60 2 2" xfId="6376"/>
    <cellStyle name="Date 60 2 3" xfId="6377"/>
    <cellStyle name="Date 60 3" xfId="6378"/>
    <cellStyle name="Date 60 3 2" xfId="6379"/>
    <cellStyle name="Date 60 3 3" xfId="6380"/>
    <cellStyle name="Date 60 4" xfId="6381"/>
    <cellStyle name="Date 60 5" xfId="6382"/>
    <cellStyle name="Date 61" xfId="6383"/>
    <cellStyle name="Date 61 2" xfId="6384"/>
    <cellStyle name="Date 61 2 2" xfId="6385"/>
    <cellStyle name="Date 61 2 3" xfId="6386"/>
    <cellStyle name="Date 61 3" xfId="6387"/>
    <cellStyle name="Date 61 3 2" xfId="6388"/>
    <cellStyle name="Date 61 3 3" xfId="6389"/>
    <cellStyle name="Date 61 4" xfId="6390"/>
    <cellStyle name="Date 61 5" xfId="6391"/>
    <cellStyle name="Date 62" xfId="6392"/>
    <cellStyle name="Date 62 2" xfId="6393"/>
    <cellStyle name="Date 62 2 2" xfId="6394"/>
    <cellStyle name="Date 62 2 3" xfId="6395"/>
    <cellStyle name="Date 62 3" xfId="6396"/>
    <cellStyle name="Date 62 3 2" xfId="6397"/>
    <cellStyle name="Date 62 3 3" xfId="6398"/>
    <cellStyle name="Date 62 4" xfId="6399"/>
    <cellStyle name="Date 62 5" xfId="6400"/>
    <cellStyle name="Date 63" xfId="6401"/>
    <cellStyle name="Date 63 2" xfId="6402"/>
    <cellStyle name="Date 63 2 2" xfId="6403"/>
    <cellStyle name="Date 63 2 3" xfId="6404"/>
    <cellStyle name="Date 63 3" xfId="6405"/>
    <cellStyle name="Date 63 3 2" xfId="6406"/>
    <cellStyle name="Date 63 3 3" xfId="6407"/>
    <cellStyle name="Date 63 4" xfId="6408"/>
    <cellStyle name="Date 63 5" xfId="6409"/>
    <cellStyle name="Date 64" xfId="6410"/>
    <cellStyle name="Date 64 2" xfId="6411"/>
    <cellStyle name="Date 64 2 2" xfId="6412"/>
    <cellStyle name="Date 64 2 3" xfId="6413"/>
    <cellStyle name="Date 64 3" xfId="6414"/>
    <cellStyle name="Date 64 3 2" xfId="6415"/>
    <cellStyle name="Date 64 3 3" xfId="6416"/>
    <cellStyle name="Date 64 4" xfId="6417"/>
    <cellStyle name="Date 64 5" xfId="6418"/>
    <cellStyle name="Date 65" xfId="6419"/>
    <cellStyle name="Date 65 2" xfId="6420"/>
    <cellStyle name="Date 65 2 2" xfId="6421"/>
    <cellStyle name="Date 65 2 3" xfId="6422"/>
    <cellStyle name="Date 65 3" xfId="6423"/>
    <cellStyle name="Date 65 3 2" xfId="6424"/>
    <cellStyle name="Date 65 3 3" xfId="6425"/>
    <cellStyle name="Date 65 4" xfId="6426"/>
    <cellStyle name="Date 65 5" xfId="6427"/>
    <cellStyle name="Date 66" xfId="6428"/>
    <cellStyle name="Date 66 2" xfId="6429"/>
    <cellStyle name="Date 66 2 2" xfId="6430"/>
    <cellStyle name="Date 66 2 3" xfId="6431"/>
    <cellStyle name="Date 66 3" xfId="6432"/>
    <cellStyle name="Date 66 3 2" xfId="6433"/>
    <cellStyle name="Date 66 3 3" xfId="6434"/>
    <cellStyle name="Date 66 4" xfId="6435"/>
    <cellStyle name="Date 66 5" xfId="6436"/>
    <cellStyle name="Date 67" xfId="6437"/>
    <cellStyle name="Date 67 2" xfId="6438"/>
    <cellStyle name="Date 67 2 2" xfId="6439"/>
    <cellStyle name="Date 67 2 3" xfId="6440"/>
    <cellStyle name="Date 67 3" xfId="6441"/>
    <cellStyle name="Date 67 3 2" xfId="6442"/>
    <cellStyle name="Date 67 3 3" xfId="6443"/>
    <cellStyle name="Date 67 4" xfId="6444"/>
    <cellStyle name="Date 67 5" xfId="6445"/>
    <cellStyle name="Date 68" xfId="6446"/>
    <cellStyle name="Date 68 2" xfId="6447"/>
    <cellStyle name="Date 68 2 2" xfId="6448"/>
    <cellStyle name="Date 68 2 3" xfId="6449"/>
    <cellStyle name="Date 68 3" xfId="6450"/>
    <cellStyle name="Date 68 3 2" xfId="6451"/>
    <cellStyle name="Date 68 3 3" xfId="6452"/>
    <cellStyle name="Date 68 4" xfId="6453"/>
    <cellStyle name="Date 68 5" xfId="6454"/>
    <cellStyle name="Date 69" xfId="6455"/>
    <cellStyle name="Date 69 2" xfId="6456"/>
    <cellStyle name="Date 69 2 2" xfId="6457"/>
    <cellStyle name="Date 69 2 3" xfId="6458"/>
    <cellStyle name="Date 69 3" xfId="6459"/>
    <cellStyle name="Date 69 3 2" xfId="6460"/>
    <cellStyle name="Date 69 3 3" xfId="6461"/>
    <cellStyle name="Date 69 4" xfId="6462"/>
    <cellStyle name="Date 69 5" xfId="6463"/>
    <cellStyle name="Date 7" xfId="6464"/>
    <cellStyle name="Date 7 2" xfId="6465"/>
    <cellStyle name="Date 7 2 2" xfId="6466"/>
    <cellStyle name="Date 7 2 2 2" xfId="6467"/>
    <cellStyle name="Date 7 2 2 3" xfId="6468"/>
    <cellStyle name="Date 7 2 3" xfId="6469"/>
    <cellStyle name="Date 7 2 3 2" xfId="6470"/>
    <cellStyle name="Date 7 2 3 3" xfId="6471"/>
    <cellStyle name="Date 7 2 4" xfId="6472"/>
    <cellStyle name="Date 7 2 5" xfId="6473"/>
    <cellStyle name="Date 7 3" xfId="6474"/>
    <cellStyle name="Date 7 3 2" xfId="6475"/>
    <cellStyle name="Date 7 3 3" xfId="6476"/>
    <cellStyle name="Date 7 4" xfId="6477"/>
    <cellStyle name="Date 7 4 2" xfId="6478"/>
    <cellStyle name="Date 7 4 3" xfId="6479"/>
    <cellStyle name="Date 7 5" xfId="6480"/>
    <cellStyle name="Date 7 6" xfId="6481"/>
    <cellStyle name="Date 70" xfId="6482"/>
    <cellStyle name="Date 70 2" xfId="6483"/>
    <cellStyle name="Date 70 2 2" xfId="6484"/>
    <cellStyle name="Date 70 2 3" xfId="6485"/>
    <cellStyle name="Date 70 3" xfId="6486"/>
    <cellStyle name="Date 70 3 2" xfId="6487"/>
    <cellStyle name="Date 70 3 3" xfId="6488"/>
    <cellStyle name="Date 70 4" xfId="6489"/>
    <cellStyle name="Date 70 5" xfId="6490"/>
    <cellStyle name="Date 71" xfId="6491"/>
    <cellStyle name="Date 71 2" xfId="6492"/>
    <cellStyle name="Date 71 2 2" xfId="6493"/>
    <cellStyle name="Date 71 2 3" xfId="6494"/>
    <cellStyle name="Date 71 3" xfId="6495"/>
    <cellStyle name="Date 71 3 2" xfId="6496"/>
    <cellStyle name="Date 71 3 3" xfId="6497"/>
    <cellStyle name="Date 71 4" xfId="6498"/>
    <cellStyle name="Date 71 5" xfId="6499"/>
    <cellStyle name="Date 72" xfId="6500"/>
    <cellStyle name="Date 72 2" xfId="6501"/>
    <cellStyle name="Date 72 2 2" xfId="6502"/>
    <cellStyle name="Date 72 2 3" xfId="6503"/>
    <cellStyle name="Date 72 3" xfId="6504"/>
    <cellStyle name="Date 72 3 2" xfId="6505"/>
    <cellStyle name="Date 72 3 3" xfId="6506"/>
    <cellStyle name="Date 72 4" xfId="6507"/>
    <cellStyle name="Date 72 5" xfId="6508"/>
    <cellStyle name="Date 73" xfId="6509"/>
    <cellStyle name="Date 73 2" xfId="6510"/>
    <cellStyle name="Date 73 2 2" xfId="6511"/>
    <cellStyle name="Date 73 2 3" xfId="6512"/>
    <cellStyle name="Date 73 3" xfId="6513"/>
    <cellStyle name="Date 73 3 2" xfId="6514"/>
    <cellStyle name="Date 73 3 3" xfId="6515"/>
    <cellStyle name="Date 73 4" xfId="6516"/>
    <cellStyle name="Date 73 5" xfId="6517"/>
    <cellStyle name="Date 74" xfId="6518"/>
    <cellStyle name="Date 74 2" xfId="6519"/>
    <cellStyle name="Date 74 2 2" xfId="6520"/>
    <cellStyle name="Date 74 2 3" xfId="6521"/>
    <cellStyle name="Date 74 3" xfId="6522"/>
    <cellStyle name="Date 74 3 2" xfId="6523"/>
    <cellStyle name="Date 74 3 3" xfId="6524"/>
    <cellStyle name="Date 74 4" xfId="6525"/>
    <cellStyle name="Date 74 5" xfId="6526"/>
    <cellStyle name="Date 75" xfId="6527"/>
    <cellStyle name="Date 75 2" xfId="6528"/>
    <cellStyle name="Date 75 2 2" xfId="6529"/>
    <cellStyle name="Date 75 2 3" xfId="6530"/>
    <cellStyle name="Date 75 3" xfId="6531"/>
    <cellStyle name="Date 75 3 2" xfId="6532"/>
    <cellStyle name="Date 75 3 3" xfId="6533"/>
    <cellStyle name="Date 75 4" xfId="6534"/>
    <cellStyle name="Date 75 5" xfId="6535"/>
    <cellStyle name="Date 76" xfId="6536"/>
    <cellStyle name="Date 76 2" xfId="6537"/>
    <cellStyle name="Date 76 2 2" xfId="6538"/>
    <cellStyle name="Date 76 2 3" xfId="6539"/>
    <cellStyle name="Date 76 3" xfId="6540"/>
    <cellStyle name="Date 76 3 2" xfId="6541"/>
    <cellStyle name="Date 76 3 3" xfId="6542"/>
    <cellStyle name="Date 76 4" xfId="6543"/>
    <cellStyle name="Date 76 5" xfId="6544"/>
    <cellStyle name="Date 77" xfId="6545"/>
    <cellStyle name="Date 77 2" xfId="6546"/>
    <cellStyle name="Date 77 2 2" xfId="6547"/>
    <cellStyle name="Date 77 2 3" xfId="6548"/>
    <cellStyle name="Date 77 3" xfId="6549"/>
    <cellStyle name="Date 77 3 2" xfId="6550"/>
    <cellStyle name="Date 77 3 3" xfId="6551"/>
    <cellStyle name="Date 77 4" xfId="6552"/>
    <cellStyle name="Date 77 5" xfId="6553"/>
    <cellStyle name="Date 78" xfId="6554"/>
    <cellStyle name="Date 78 2" xfId="6555"/>
    <cellStyle name="Date 78 2 2" xfId="6556"/>
    <cellStyle name="Date 78 2 3" xfId="6557"/>
    <cellStyle name="Date 78 3" xfId="6558"/>
    <cellStyle name="Date 78 3 2" xfId="6559"/>
    <cellStyle name="Date 78 3 3" xfId="6560"/>
    <cellStyle name="Date 78 4" xfId="6561"/>
    <cellStyle name="Date 78 5" xfId="6562"/>
    <cellStyle name="Date 79" xfId="6563"/>
    <cellStyle name="Date 79 2" xfId="6564"/>
    <cellStyle name="Date 79 2 2" xfId="6565"/>
    <cellStyle name="Date 79 2 3" xfId="6566"/>
    <cellStyle name="Date 79 3" xfId="6567"/>
    <cellStyle name="Date 79 3 2" xfId="6568"/>
    <cellStyle name="Date 79 3 3" xfId="6569"/>
    <cellStyle name="Date 79 4" xfId="6570"/>
    <cellStyle name="Date 79 5" xfId="6571"/>
    <cellStyle name="Date 8" xfId="6572"/>
    <cellStyle name="Date 8 2" xfId="6573"/>
    <cellStyle name="Date 8 2 2" xfId="6574"/>
    <cellStyle name="Date 8 2 2 2" xfId="6575"/>
    <cellStyle name="Date 8 2 2 3" xfId="6576"/>
    <cellStyle name="Date 8 2 3" xfId="6577"/>
    <cellStyle name="Date 8 2 3 2" xfId="6578"/>
    <cellStyle name="Date 8 2 3 3" xfId="6579"/>
    <cellStyle name="Date 8 2 4" xfId="6580"/>
    <cellStyle name="Date 8 2 5" xfId="6581"/>
    <cellStyle name="Date 8 3" xfId="6582"/>
    <cellStyle name="Date 8 3 2" xfId="6583"/>
    <cellStyle name="Date 8 3 3" xfId="6584"/>
    <cellStyle name="Date 8 4" xfId="6585"/>
    <cellStyle name="Date 8 4 2" xfId="6586"/>
    <cellStyle name="Date 8 4 3" xfId="6587"/>
    <cellStyle name="Date 8 5" xfId="6588"/>
    <cellStyle name="Date 8 6" xfId="6589"/>
    <cellStyle name="Date 80" xfId="6590"/>
    <cellStyle name="Date 80 2" xfId="6591"/>
    <cellStyle name="Date 80 2 2" xfId="6592"/>
    <cellStyle name="Date 80 2 3" xfId="6593"/>
    <cellStyle name="Date 80 3" xfId="6594"/>
    <cellStyle name="Date 80 3 2" xfId="6595"/>
    <cellStyle name="Date 80 3 3" xfId="6596"/>
    <cellStyle name="Date 80 4" xfId="6597"/>
    <cellStyle name="Date 80 5" xfId="6598"/>
    <cellStyle name="Date 81" xfId="6599"/>
    <cellStyle name="Date 81 2" xfId="6600"/>
    <cellStyle name="Date 81 2 2" xfId="6601"/>
    <cellStyle name="Date 81 2 3" xfId="6602"/>
    <cellStyle name="Date 81 3" xfId="6603"/>
    <cellStyle name="Date 81 3 2" xfId="6604"/>
    <cellStyle name="Date 81 3 3" xfId="6605"/>
    <cellStyle name="Date 81 4" xfId="6606"/>
    <cellStyle name="Date 81 5" xfId="6607"/>
    <cellStyle name="Date 82" xfId="6608"/>
    <cellStyle name="Date 82 2" xfId="6609"/>
    <cellStyle name="Date 82 2 2" xfId="6610"/>
    <cellStyle name="Date 82 2 3" xfId="6611"/>
    <cellStyle name="Date 82 3" xfId="6612"/>
    <cellStyle name="Date 82 3 2" xfId="6613"/>
    <cellStyle name="Date 82 3 3" xfId="6614"/>
    <cellStyle name="Date 82 4" xfId="6615"/>
    <cellStyle name="Date 82 5" xfId="6616"/>
    <cellStyle name="Date 83" xfId="6617"/>
    <cellStyle name="Date 83 2" xfId="6618"/>
    <cellStyle name="Date 83 2 2" xfId="6619"/>
    <cellStyle name="Date 83 2 3" xfId="6620"/>
    <cellStyle name="Date 83 3" xfId="6621"/>
    <cellStyle name="Date 83 3 2" xfId="6622"/>
    <cellStyle name="Date 83 3 3" xfId="6623"/>
    <cellStyle name="Date 83 4" xfId="6624"/>
    <cellStyle name="Date 83 5" xfId="6625"/>
    <cellStyle name="Date 84" xfId="6626"/>
    <cellStyle name="Date 84 2" xfId="6627"/>
    <cellStyle name="Date 84 2 2" xfId="6628"/>
    <cellStyle name="Date 84 2 3" xfId="6629"/>
    <cellStyle name="Date 84 3" xfId="6630"/>
    <cellStyle name="Date 84 3 2" xfId="6631"/>
    <cellStyle name="Date 84 3 3" xfId="6632"/>
    <cellStyle name="Date 84 4" xfId="6633"/>
    <cellStyle name="Date 84 5" xfId="6634"/>
    <cellStyle name="Date 85" xfId="6635"/>
    <cellStyle name="Date 85 2" xfId="6636"/>
    <cellStyle name="Date 85 2 2" xfId="6637"/>
    <cellStyle name="Date 85 2 3" xfId="6638"/>
    <cellStyle name="Date 85 3" xfId="6639"/>
    <cellStyle name="Date 85 3 2" xfId="6640"/>
    <cellStyle name="Date 85 3 3" xfId="6641"/>
    <cellStyle name="Date 85 4" xfId="6642"/>
    <cellStyle name="Date 85 5" xfId="6643"/>
    <cellStyle name="Date 86" xfId="6644"/>
    <cellStyle name="Date 86 2" xfId="6645"/>
    <cellStyle name="Date 86 2 2" xfId="6646"/>
    <cellStyle name="Date 86 2 3" xfId="6647"/>
    <cellStyle name="Date 86 3" xfId="6648"/>
    <cellStyle name="Date 86 3 2" xfId="6649"/>
    <cellStyle name="Date 86 3 3" xfId="6650"/>
    <cellStyle name="Date 86 4" xfId="6651"/>
    <cellStyle name="Date 86 5" xfId="6652"/>
    <cellStyle name="Date 87" xfId="6653"/>
    <cellStyle name="Date 87 2" xfId="6654"/>
    <cellStyle name="Date 87 2 2" xfId="6655"/>
    <cellStyle name="Date 87 2 3" xfId="6656"/>
    <cellStyle name="Date 87 3" xfId="6657"/>
    <cellStyle name="Date 87 3 2" xfId="6658"/>
    <cellStyle name="Date 87 3 3" xfId="6659"/>
    <cellStyle name="Date 87 4" xfId="6660"/>
    <cellStyle name="Date 87 5" xfId="6661"/>
    <cellStyle name="Date 88" xfId="6662"/>
    <cellStyle name="Date 88 2" xfId="6663"/>
    <cellStyle name="Date 88 2 2" xfId="6664"/>
    <cellStyle name="Date 88 2 3" xfId="6665"/>
    <cellStyle name="Date 88 3" xfId="6666"/>
    <cellStyle name="Date 88 3 2" xfId="6667"/>
    <cellStyle name="Date 88 3 3" xfId="6668"/>
    <cellStyle name="Date 88 4" xfId="6669"/>
    <cellStyle name="Date 88 5" xfId="6670"/>
    <cellStyle name="Date 89" xfId="6671"/>
    <cellStyle name="Date 89 2" xfId="6672"/>
    <cellStyle name="Date 89 2 2" xfId="6673"/>
    <cellStyle name="Date 89 2 3" xfId="6674"/>
    <cellStyle name="Date 89 3" xfId="6675"/>
    <cellStyle name="Date 89 3 2" xfId="6676"/>
    <cellStyle name="Date 89 3 3" xfId="6677"/>
    <cellStyle name="Date 89 4" xfId="6678"/>
    <cellStyle name="Date 89 5" xfId="6679"/>
    <cellStyle name="Date 9" xfId="6680"/>
    <cellStyle name="Date 9 2" xfId="6681"/>
    <cellStyle name="Date 9 2 2" xfId="6682"/>
    <cellStyle name="Date 9 2 2 2" xfId="6683"/>
    <cellStyle name="Date 9 2 2 3" xfId="6684"/>
    <cellStyle name="Date 9 2 3" xfId="6685"/>
    <cellStyle name="Date 9 2 3 2" xfId="6686"/>
    <cellStyle name="Date 9 2 3 3" xfId="6687"/>
    <cellStyle name="Date 9 2 4" xfId="6688"/>
    <cellStyle name="Date 9 2 5" xfId="6689"/>
    <cellStyle name="Date 9 3" xfId="6690"/>
    <cellStyle name="Date 9 3 2" xfId="6691"/>
    <cellStyle name="Date 9 3 3" xfId="6692"/>
    <cellStyle name="Date 9 4" xfId="6693"/>
    <cellStyle name="Date 9 4 2" xfId="6694"/>
    <cellStyle name="Date 9 4 3" xfId="6695"/>
    <cellStyle name="Date 9 5" xfId="6696"/>
    <cellStyle name="Date 9 6" xfId="6697"/>
    <cellStyle name="Date 90" xfId="6698"/>
    <cellStyle name="Date 90 2" xfId="6699"/>
    <cellStyle name="Date 90 2 2" xfId="6700"/>
    <cellStyle name="Date 90 2 3" xfId="6701"/>
    <cellStyle name="Date 90 3" xfId="6702"/>
    <cellStyle name="Date 90 3 2" xfId="6703"/>
    <cellStyle name="Date 90 3 3" xfId="6704"/>
    <cellStyle name="Date 90 4" xfId="6705"/>
    <cellStyle name="Date 90 5" xfId="6706"/>
    <cellStyle name="Date 91" xfId="6707"/>
    <cellStyle name="Date 91 2" xfId="6708"/>
    <cellStyle name="Date 91 2 2" xfId="6709"/>
    <cellStyle name="Date 91 2 3" xfId="6710"/>
    <cellStyle name="Date 91 3" xfId="6711"/>
    <cellStyle name="Date 91 3 2" xfId="6712"/>
    <cellStyle name="Date 91 3 3" xfId="6713"/>
    <cellStyle name="Date 91 4" xfId="6714"/>
    <cellStyle name="Date 91 5" xfId="6715"/>
    <cellStyle name="Date 92" xfId="6716"/>
    <cellStyle name="Date 92 2" xfId="6717"/>
    <cellStyle name="Date 92 2 2" xfId="6718"/>
    <cellStyle name="Date 92 2 3" xfId="6719"/>
    <cellStyle name="Date 92 3" xfId="6720"/>
    <cellStyle name="Date 92 3 2" xfId="6721"/>
    <cellStyle name="Date 92 3 3" xfId="6722"/>
    <cellStyle name="Date 92 4" xfId="6723"/>
    <cellStyle name="Date 92 5" xfId="6724"/>
    <cellStyle name="Date 93" xfId="6725"/>
    <cellStyle name="Date 93 2" xfId="6726"/>
    <cellStyle name="Date 93 2 2" xfId="6727"/>
    <cellStyle name="Date 93 2 3" xfId="6728"/>
    <cellStyle name="Date 93 3" xfId="6729"/>
    <cellStyle name="Date 93 3 2" xfId="6730"/>
    <cellStyle name="Date 93 3 3" xfId="6731"/>
    <cellStyle name="Date 93 4" xfId="6732"/>
    <cellStyle name="Date 93 5" xfId="6733"/>
    <cellStyle name="Date 94" xfId="6734"/>
    <cellStyle name="Date 94 2" xfId="6735"/>
    <cellStyle name="Date 94 2 2" xfId="6736"/>
    <cellStyle name="Date 94 2 3" xfId="6737"/>
    <cellStyle name="Date 94 3" xfId="6738"/>
    <cellStyle name="Date 94 3 2" xfId="6739"/>
    <cellStyle name="Date 94 3 3" xfId="6740"/>
    <cellStyle name="Date 94 4" xfId="6741"/>
    <cellStyle name="Date 94 5" xfId="6742"/>
    <cellStyle name="Date 95" xfId="6743"/>
    <cellStyle name="Date 95 2" xfId="6744"/>
    <cellStyle name="Date 95 2 2" xfId="6745"/>
    <cellStyle name="Date 95 2 3" xfId="6746"/>
    <cellStyle name="Date 95 3" xfId="6747"/>
    <cellStyle name="Date 95 3 2" xfId="6748"/>
    <cellStyle name="Date 95 3 3" xfId="6749"/>
    <cellStyle name="Date 95 4" xfId="6750"/>
    <cellStyle name="Date 95 5" xfId="6751"/>
    <cellStyle name="Date 96" xfId="6752"/>
    <cellStyle name="Date 96 2" xfId="6753"/>
    <cellStyle name="Date 96 2 2" xfId="6754"/>
    <cellStyle name="Date 96 2 3" xfId="6755"/>
    <cellStyle name="Date 96 3" xfId="6756"/>
    <cellStyle name="Date 96 3 2" xfId="6757"/>
    <cellStyle name="Date 96 3 3" xfId="6758"/>
    <cellStyle name="Date 96 4" xfId="6759"/>
    <cellStyle name="Date 96 5" xfId="6760"/>
    <cellStyle name="Date 97" xfId="6761"/>
    <cellStyle name="Date 97 2" xfId="6762"/>
    <cellStyle name="Date 97 2 2" xfId="6763"/>
    <cellStyle name="Date 97 2 3" xfId="6764"/>
    <cellStyle name="Date 97 3" xfId="6765"/>
    <cellStyle name="Date 97 3 2" xfId="6766"/>
    <cellStyle name="Date 97 3 3" xfId="6767"/>
    <cellStyle name="Date 97 4" xfId="6768"/>
    <cellStyle name="Date 97 5" xfId="6769"/>
    <cellStyle name="Date 98" xfId="6770"/>
    <cellStyle name="Date 98 2" xfId="6771"/>
    <cellStyle name="Date 98 2 2" xfId="6772"/>
    <cellStyle name="Date 98 2 3" xfId="6773"/>
    <cellStyle name="Date 98 3" xfId="6774"/>
    <cellStyle name="Date 98 3 2" xfId="6775"/>
    <cellStyle name="Date 98 3 3" xfId="6776"/>
    <cellStyle name="Date 98 4" xfId="6777"/>
    <cellStyle name="Date 98 5" xfId="6778"/>
    <cellStyle name="Date 99" xfId="6779"/>
    <cellStyle name="Date 99 2" xfId="6780"/>
    <cellStyle name="Date 99 2 2" xfId="6781"/>
    <cellStyle name="Date 99 2 3" xfId="6782"/>
    <cellStyle name="Date 99 3" xfId="6783"/>
    <cellStyle name="Date 99 3 2" xfId="6784"/>
    <cellStyle name="Date 99 3 3" xfId="6785"/>
    <cellStyle name="Date 99 4" xfId="6786"/>
    <cellStyle name="Date 99 5" xfId="6787"/>
    <cellStyle name="Date Short" xfId="6788"/>
    <cellStyle name="Date_08-1322-LCOE Navy Firescout UAE Support ROM SANITIZED Abbreviated (3)" xfId="6789"/>
    <cellStyle name="Decimal (0)" xfId="6790"/>
    <cellStyle name="DELTA" xfId="6791"/>
    <cellStyle name="Emphasis 1" xfId="6792"/>
    <cellStyle name="Emphasis 2" xfId="6793"/>
    <cellStyle name="Emphasis 3" xfId="6794"/>
    <cellStyle name="Enter Currency (0)" xfId="6795"/>
    <cellStyle name="Enter Currency (2)" xfId="6796"/>
    <cellStyle name="Enter Units (0)" xfId="6797"/>
    <cellStyle name="Enter Units (1)" xfId="6798"/>
    <cellStyle name="Enter Units (2)" xfId="6799"/>
    <cellStyle name="Euro" xfId="6800"/>
    <cellStyle name="Euro 2" xfId="6801"/>
    <cellStyle name="Euro 3" xfId="6802"/>
    <cellStyle name="Explanatory Text" xfId="24" builtinId="53" hidden="1"/>
    <cellStyle name="Explanatory Text 2" xfId="6803"/>
    <cellStyle name="Explanatory Text 2 2" xfId="6804"/>
    <cellStyle name="Explanatory Text 2 2 2" xfId="6805"/>
    <cellStyle name="Explanatory Text 2 2 3" xfId="6806"/>
    <cellStyle name="Explanatory Text 2 3" xfId="6807"/>
    <cellStyle name="Explanatory Text 2 4" xfId="6808"/>
    <cellStyle name="Explanatory Text 3" xfId="6809"/>
    <cellStyle name="Explanatory Text 3 2" xfId="6810"/>
    <cellStyle name="Explanatory Text 3 3" xfId="6811"/>
    <cellStyle name="Explanatory Text 4" xfId="6812"/>
    <cellStyle name="Explanatory Text 4 2" xfId="6813"/>
    <cellStyle name="Explanatory Text 5" xfId="6814"/>
    <cellStyle name="Explanatory Text 6" xfId="6815"/>
    <cellStyle name="Explanatory Text 6 2" xfId="6816"/>
    <cellStyle name="Explanatory Text 7" xfId="6817"/>
    <cellStyle name="Explanatory Text 8" xfId="6818"/>
    <cellStyle name="Explanatory Text 9" xfId="6819"/>
    <cellStyle name="First - Style1" xfId="6820"/>
    <cellStyle name="First - Style1 2" xfId="6821"/>
    <cellStyle name="First - Style1 2 2" xfId="6822"/>
    <cellStyle name="First - Style1 2 3" xfId="6823"/>
    <cellStyle name="First - Style1 3" xfId="6824"/>
    <cellStyle name="First Titles" xfId="6825"/>
    <cellStyle name="Fixed" xfId="6826"/>
    <cellStyle name="Fixed 2" xfId="6827"/>
    <cellStyle name="Fixed 2 2" xfId="6828"/>
    <cellStyle name="Fixed 2 2 2" xfId="6829"/>
    <cellStyle name="Fixed 2 3" xfId="6830"/>
    <cellStyle name="Fixed 3" xfId="6831"/>
    <cellStyle name="Fixed 3 2" xfId="6832"/>
    <cellStyle name="Fixed 4" xfId="6833"/>
    <cellStyle name="Fixed 4 2" xfId="6834"/>
    <cellStyle name="Fixed 4 2 2" xfId="6835"/>
    <cellStyle name="Fixed 4 3" xfId="6836"/>
    <cellStyle name="Fixed 5" xfId="6837"/>
    <cellStyle name="Fixed4 - Style4" xfId="6838"/>
    <cellStyle name="Fixed4 - Style4 2" xfId="6839"/>
    <cellStyle name="Fixed4 - Style4 2 2" xfId="6840"/>
    <cellStyle name="Fixed4 - Style4 2 3" xfId="6841"/>
    <cellStyle name="Fixed4 - Style4 3" xfId="6842"/>
    <cellStyle name="Fixed4 - Style4 4" xfId="6843"/>
    <cellStyle name="format" xfId="6844"/>
    <cellStyle name="format 2" xfId="6845"/>
    <cellStyle name="format 2 2" xfId="6846"/>
    <cellStyle name="format 2 3" xfId="6847"/>
    <cellStyle name="format 3" xfId="6848"/>
    <cellStyle name="Geneva 9" xfId="6849"/>
    <cellStyle name="Geneva 9 2" xfId="6850"/>
    <cellStyle name="Geneva 9, Bold" xfId="6851"/>
    <cellStyle name="Geneva 9, Bold 2" xfId="6852"/>
    <cellStyle name="Good" xfId="14" builtinId="26" hidden="1"/>
    <cellStyle name="Good 10" xfId="6853"/>
    <cellStyle name="Good 11" xfId="6854"/>
    <cellStyle name="Good 12" xfId="6855"/>
    <cellStyle name="Good 2" xfId="6856"/>
    <cellStyle name="Good 2 2" xfId="6857"/>
    <cellStyle name="Good 2 2 2" xfId="6858"/>
    <cellStyle name="Good 2 2 3" xfId="6859"/>
    <cellStyle name="Good 2 3" xfId="6860"/>
    <cellStyle name="Good 2 3 2" xfId="6861"/>
    <cellStyle name="Good 2 4" xfId="6862"/>
    <cellStyle name="Good 2 4 2" xfId="6863"/>
    <cellStyle name="Good 2 4 3" xfId="6864"/>
    <cellStyle name="Good 3" xfId="6865"/>
    <cellStyle name="Good 3 2" xfId="6866"/>
    <cellStyle name="Good 3 3" xfId="6867"/>
    <cellStyle name="Good 4" xfId="6868"/>
    <cellStyle name="Good 4 2" xfId="6869"/>
    <cellStyle name="Good 5" xfId="6870"/>
    <cellStyle name="Good 6" xfId="6871"/>
    <cellStyle name="Good 6 2" xfId="6872"/>
    <cellStyle name="Good 7" xfId="6873"/>
    <cellStyle name="Good 8" xfId="6874"/>
    <cellStyle name="Good 9" xfId="6875"/>
    <cellStyle name="Header" xfId="6876"/>
    <cellStyle name="Header1" xfId="6877"/>
    <cellStyle name="Header1 2" xfId="6878"/>
    <cellStyle name="Header1 2 2" xfId="6879"/>
    <cellStyle name="Header1 3" xfId="6880"/>
    <cellStyle name="Header1 3 2" xfId="6881"/>
    <cellStyle name="Header1 4" xfId="6882"/>
    <cellStyle name="Header2" xfId="6883"/>
    <cellStyle name="Header2 2" xfId="6884"/>
    <cellStyle name="Header2 2 2" xfId="6885"/>
    <cellStyle name="Header2 3" xfId="6886"/>
    <cellStyle name="Header2 3 2" xfId="6887"/>
    <cellStyle name="Header2 4" xfId="6888"/>
    <cellStyle name="Heading 1" xfId="10" builtinId="16" hidden="1"/>
    <cellStyle name="Heading 1 10" xfId="6889"/>
    <cellStyle name="Heading 1 2" xfId="6890"/>
    <cellStyle name="Heading 1 2 10" xfId="6891"/>
    <cellStyle name="Heading 1 2 10 10" xfId="6892"/>
    <cellStyle name="Heading 1 2 10 10 2" xfId="6893"/>
    <cellStyle name="Heading 1 2 10 10 2 2" xfId="6894"/>
    <cellStyle name="Heading 1 2 10 10 3" xfId="6895"/>
    <cellStyle name="Heading 1 2 10 11" xfId="6896"/>
    <cellStyle name="Heading 1 2 10 11 2" xfId="6897"/>
    <cellStyle name="Heading 1 2 10 11 2 2" xfId="6898"/>
    <cellStyle name="Heading 1 2 10 11 3" xfId="6899"/>
    <cellStyle name="Heading 1 2 10 12" xfId="6900"/>
    <cellStyle name="Heading 1 2 10 12 2" xfId="6901"/>
    <cellStyle name="Heading 1 2 10 12 2 2" xfId="6902"/>
    <cellStyle name="Heading 1 2 10 12 3" xfId="6903"/>
    <cellStyle name="Heading 1 2 10 13" xfId="6904"/>
    <cellStyle name="Heading 1 2 10 13 2" xfId="6905"/>
    <cellStyle name="Heading 1 2 10 13 2 2" xfId="6906"/>
    <cellStyle name="Heading 1 2 10 13 3" xfId="6907"/>
    <cellStyle name="Heading 1 2 10 14" xfId="6908"/>
    <cellStyle name="Heading 1 2 10 14 2" xfId="6909"/>
    <cellStyle name="Heading 1 2 10 14 2 2" xfId="6910"/>
    <cellStyle name="Heading 1 2 10 14 3" xfId="6911"/>
    <cellStyle name="Heading 1 2 10 15" xfId="6912"/>
    <cellStyle name="Heading 1 2 10 15 2" xfId="6913"/>
    <cellStyle name="Heading 1 2 10 15 2 2" xfId="6914"/>
    <cellStyle name="Heading 1 2 10 15 3" xfId="6915"/>
    <cellStyle name="Heading 1 2 10 16" xfId="6916"/>
    <cellStyle name="Heading 1 2 10 16 2" xfId="6917"/>
    <cellStyle name="Heading 1 2 10 16 2 2" xfId="6918"/>
    <cellStyle name="Heading 1 2 10 16 3" xfId="6919"/>
    <cellStyle name="Heading 1 2 10 17" xfId="6920"/>
    <cellStyle name="Heading 1 2 10 17 2" xfId="6921"/>
    <cellStyle name="Heading 1 2 10 17 2 2" xfId="6922"/>
    <cellStyle name="Heading 1 2 10 17 3" xfId="6923"/>
    <cellStyle name="Heading 1 2 10 18" xfId="6924"/>
    <cellStyle name="Heading 1 2 10 18 2" xfId="6925"/>
    <cellStyle name="Heading 1 2 10 18 2 2" xfId="6926"/>
    <cellStyle name="Heading 1 2 10 18 3" xfId="6927"/>
    <cellStyle name="Heading 1 2 10 19" xfId="6928"/>
    <cellStyle name="Heading 1 2 10 19 2" xfId="6929"/>
    <cellStyle name="Heading 1 2 10 19 2 2" xfId="6930"/>
    <cellStyle name="Heading 1 2 10 19 3" xfId="6931"/>
    <cellStyle name="Heading 1 2 10 2" xfId="6932"/>
    <cellStyle name="Heading 1 2 10 2 10" xfId="6933"/>
    <cellStyle name="Heading 1 2 10 2 10 2" xfId="6934"/>
    <cellStyle name="Heading 1 2 10 2 10 2 2" xfId="6935"/>
    <cellStyle name="Heading 1 2 10 2 10 3" xfId="6936"/>
    <cellStyle name="Heading 1 2 10 2 11" xfId="6937"/>
    <cellStyle name="Heading 1 2 10 2 11 2" xfId="6938"/>
    <cellStyle name="Heading 1 2 10 2 11 2 2" xfId="6939"/>
    <cellStyle name="Heading 1 2 10 2 11 3" xfId="6940"/>
    <cellStyle name="Heading 1 2 10 2 12" xfId="6941"/>
    <cellStyle name="Heading 1 2 10 2 12 2" xfId="6942"/>
    <cellStyle name="Heading 1 2 10 2 12 2 2" xfId="6943"/>
    <cellStyle name="Heading 1 2 10 2 12 3" xfId="6944"/>
    <cellStyle name="Heading 1 2 10 2 13" xfId="6945"/>
    <cellStyle name="Heading 1 2 10 2 13 2" xfId="6946"/>
    <cellStyle name="Heading 1 2 10 2 13 2 2" xfId="6947"/>
    <cellStyle name="Heading 1 2 10 2 13 3" xfId="6948"/>
    <cellStyle name="Heading 1 2 10 2 14" xfId="6949"/>
    <cellStyle name="Heading 1 2 10 2 14 2" xfId="6950"/>
    <cellStyle name="Heading 1 2 10 2 14 2 2" xfId="6951"/>
    <cellStyle name="Heading 1 2 10 2 14 3" xfId="6952"/>
    <cellStyle name="Heading 1 2 10 2 15" xfId="6953"/>
    <cellStyle name="Heading 1 2 10 2 15 2" xfId="6954"/>
    <cellStyle name="Heading 1 2 10 2 15 2 2" xfId="6955"/>
    <cellStyle name="Heading 1 2 10 2 15 3" xfId="6956"/>
    <cellStyle name="Heading 1 2 10 2 16" xfId="6957"/>
    <cellStyle name="Heading 1 2 10 2 16 2" xfId="6958"/>
    <cellStyle name="Heading 1 2 10 2 16 2 2" xfId="6959"/>
    <cellStyle name="Heading 1 2 10 2 16 3" xfId="6960"/>
    <cellStyle name="Heading 1 2 10 2 17" xfId="6961"/>
    <cellStyle name="Heading 1 2 10 2 17 2" xfId="6962"/>
    <cellStyle name="Heading 1 2 10 2 17 2 2" xfId="6963"/>
    <cellStyle name="Heading 1 2 10 2 17 3" xfId="6964"/>
    <cellStyle name="Heading 1 2 10 2 18" xfId="6965"/>
    <cellStyle name="Heading 1 2 10 2 18 2" xfId="6966"/>
    <cellStyle name="Heading 1 2 10 2 18 2 2" xfId="6967"/>
    <cellStyle name="Heading 1 2 10 2 18 3" xfId="6968"/>
    <cellStyle name="Heading 1 2 10 2 19" xfId="6969"/>
    <cellStyle name="Heading 1 2 10 2 19 2" xfId="6970"/>
    <cellStyle name="Heading 1 2 10 2 2" xfId="6971"/>
    <cellStyle name="Heading 1 2 10 2 2 2" xfId="6972"/>
    <cellStyle name="Heading 1 2 10 2 2 2 2" xfId="6973"/>
    <cellStyle name="Heading 1 2 10 2 2 2 2 2" xfId="6974"/>
    <cellStyle name="Heading 1 2 10 2 2 2 3" xfId="6975"/>
    <cellStyle name="Heading 1 2 10 2 2 3" xfId="6976"/>
    <cellStyle name="Heading 1 2 10 2 2 3 2" xfId="6977"/>
    <cellStyle name="Heading 1 2 10 2 2 3 2 2" xfId="6978"/>
    <cellStyle name="Heading 1 2 10 2 2 3 3" xfId="6979"/>
    <cellStyle name="Heading 1 2 10 2 2 4" xfId="6980"/>
    <cellStyle name="Heading 1 2 10 2 2 4 2" xfId="6981"/>
    <cellStyle name="Heading 1 2 10 2 2 4 2 2" xfId="6982"/>
    <cellStyle name="Heading 1 2 10 2 2 4 3" xfId="6983"/>
    <cellStyle name="Heading 1 2 10 2 2 5" xfId="6984"/>
    <cellStyle name="Heading 1 2 10 2 2 5 2" xfId="6985"/>
    <cellStyle name="Heading 1 2 10 2 2 5 2 2" xfId="6986"/>
    <cellStyle name="Heading 1 2 10 2 2 5 3" xfId="6987"/>
    <cellStyle name="Heading 1 2 10 2 2 6" xfId="6988"/>
    <cellStyle name="Heading 1 2 10 2 2 6 2" xfId="6989"/>
    <cellStyle name="Heading 1 2 10 2 2 6 2 2" xfId="6990"/>
    <cellStyle name="Heading 1 2 10 2 2 6 3" xfId="6991"/>
    <cellStyle name="Heading 1 2 10 2 2 7" xfId="6992"/>
    <cellStyle name="Heading 1 2 10 2 2 7 2" xfId="6993"/>
    <cellStyle name="Heading 1 2 10 2 2 7 2 2" xfId="6994"/>
    <cellStyle name="Heading 1 2 10 2 2 7 3" xfId="6995"/>
    <cellStyle name="Heading 1 2 10 2 2 8" xfId="6996"/>
    <cellStyle name="Heading 1 2 10 2 2 8 2" xfId="6997"/>
    <cellStyle name="Heading 1 2 10 2 2 9" xfId="6998"/>
    <cellStyle name="Heading 1 2 10 2 20" xfId="6999"/>
    <cellStyle name="Heading 1 2 10 2 20 2" xfId="7000"/>
    <cellStyle name="Heading 1 2 10 2 21" xfId="7001"/>
    <cellStyle name="Heading 1 2 10 2 21 2" xfId="7002"/>
    <cellStyle name="Heading 1 2 10 2 22" xfId="7003"/>
    <cellStyle name="Heading 1 2 10 2 3" xfId="7004"/>
    <cellStyle name="Heading 1 2 10 2 3 2" xfId="7005"/>
    <cellStyle name="Heading 1 2 10 2 3 2 2" xfId="7006"/>
    <cellStyle name="Heading 1 2 10 2 3 2 2 2" xfId="7007"/>
    <cellStyle name="Heading 1 2 10 2 3 2 3" xfId="7008"/>
    <cellStyle name="Heading 1 2 10 2 3 3" xfId="7009"/>
    <cellStyle name="Heading 1 2 10 2 3 3 2" xfId="7010"/>
    <cellStyle name="Heading 1 2 10 2 3 3 2 2" xfId="7011"/>
    <cellStyle name="Heading 1 2 10 2 3 3 3" xfId="7012"/>
    <cellStyle name="Heading 1 2 10 2 3 4" xfId="7013"/>
    <cellStyle name="Heading 1 2 10 2 3 4 2" xfId="7014"/>
    <cellStyle name="Heading 1 2 10 2 3 4 2 2" xfId="7015"/>
    <cellStyle name="Heading 1 2 10 2 3 4 3" xfId="7016"/>
    <cellStyle name="Heading 1 2 10 2 3 5" xfId="7017"/>
    <cellStyle name="Heading 1 2 10 2 3 5 2" xfId="7018"/>
    <cellStyle name="Heading 1 2 10 2 3 5 2 2" xfId="7019"/>
    <cellStyle name="Heading 1 2 10 2 3 5 3" xfId="7020"/>
    <cellStyle name="Heading 1 2 10 2 3 6" xfId="7021"/>
    <cellStyle name="Heading 1 2 10 2 3 6 2" xfId="7022"/>
    <cellStyle name="Heading 1 2 10 2 3 6 2 2" xfId="7023"/>
    <cellStyle name="Heading 1 2 10 2 3 6 3" xfId="7024"/>
    <cellStyle name="Heading 1 2 10 2 3 7" xfId="7025"/>
    <cellStyle name="Heading 1 2 10 2 3 7 2" xfId="7026"/>
    <cellStyle name="Heading 1 2 10 2 3 7 2 2" xfId="7027"/>
    <cellStyle name="Heading 1 2 10 2 3 7 3" xfId="7028"/>
    <cellStyle name="Heading 1 2 10 2 3 8" xfId="7029"/>
    <cellStyle name="Heading 1 2 10 2 3 8 2" xfId="7030"/>
    <cellStyle name="Heading 1 2 10 2 3 9" xfId="7031"/>
    <cellStyle name="Heading 1 2 10 2 4" xfId="7032"/>
    <cellStyle name="Heading 1 2 10 2 4 2" xfId="7033"/>
    <cellStyle name="Heading 1 2 10 2 4 2 2" xfId="7034"/>
    <cellStyle name="Heading 1 2 10 2 4 2 2 2" xfId="7035"/>
    <cellStyle name="Heading 1 2 10 2 4 2 3" xfId="7036"/>
    <cellStyle name="Heading 1 2 10 2 4 3" xfId="7037"/>
    <cellStyle name="Heading 1 2 10 2 4 3 2" xfId="7038"/>
    <cellStyle name="Heading 1 2 10 2 4 3 2 2" xfId="7039"/>
    <cellStyle name="Heading 1 2 10 2 4 3 3" xfId="7040"/>
    <cellStyle name="Heading 1 2 10 2 4 4" xfId="7041"/>
    <cellStyle name="Heading 1 2 10 2 4 4 2" xfId="7042"/>
    <cellStyle name="Heading 1 2 10 2 4 4 2 2" xfId="7043"/>
    <cellStyle name="Heading 1 2 10 2 4 4 3" xfId="7044"/>
    <cellStyle name="Heading 1 2 10 2 4 5" xfId="7045"/>
    <cellStyle name="Heading 1 2 10 2 4 5 2" xfId="7046"/>
    <cellStyle name="Heading 1 2 10 2 4 5 2 2" xfId="7047"/>
    <cellStyle name="Heading 1 2 10 2 4 5 3" xfId="7048"/>
    <cellStyle name="Heading 1 2 10 2 4 6" xfId="7049"/>
    <cellStyle name="Heading 1 2 10 2 4 6 2" xfId="7050"/>
    <cellStyle name="Heading 1 2 10 2 4 6 2 2" xfId="7051"/>
    <cellStyle name="Heading 1 2 10 2 4 6 3" xfId="7052"/>
    <cellStyle name="Heading 1 2 10 2 4 7" xfId="7053"/>
    <cellStyle name="Heading 1 2 10 2 4 7 2" xfId="7054"/>
    <cellStyle name="Heading 1 2 10 2 4 7 2 2" xfId="7055"/>
    <cellStyle name="Heading 1 2 10 2 4 7 3" xfId="7056"/>
    <cellStyle name="Heading 1 2 10 2 4 8" xfId="7057"/>
    <cellStyle name="Heading 1 2 10 2 4 8 2" xfId="7058"/>
    <cellStyle name="Heading 1 2 10 2 4 9" xfId="7059"/>
    <cellStyle name="Heading 1 2 10 2 5" xfId="7060"/>
    <cellStyle name="Heading 1 2 10 2 5 2" xfId="7061"/>
    <cellStyle name="Heading 1 2 10 2 5 2 2" xfId="7062"/>
    <cellStyle name="Heading 1 2 10 2 5 2 2 2" xfId="7063"/>
    <cellStyle name="Heading 1 2 10 2 5 2 3" xfId="7064"/>
    <cellStyle name="Heading 1 2 10 2 5 3" xfId="7065"/>
    <cellStyle name="Heading 1 2 10 2 5 3 2" xfId="7066"/>
    <cellStyle name="Heading 1 2 10 2 5 3 2 2" xfId="7067"/>
    <cellStyle name="Heading 1 2 10 2 5 3 3" xfId="7068"/>
    <cellStyle name="Heading 1 2 10 2 5 4" xfId="7069"/>
    <cellStyle name="Heading 1 2 10 2 5 4 2" xfId="7070"/>
    <cellStyle name="Heading 1 2 10 2 5 4 2 2" xfId="7071"/>
    <cellStyle name="Heading 1 2 10 2 5 4 3" xfId="7072"/>
    <cellStyle name="Heading 1 2 10 2 5 5" xfId="7073"/>
    <cellStyle name="Heading 1 2 10 2 5 5 2" xfId="7074"/>
    <cellStyle name="Heading 1 2 10 2 5 5 2 2" xfId="7075"/>
    <cellStyle name="Heading 1 2 10 2 5 5 3" xfId="7076"/>
    <cellStyle name="Heading 1 2 10 2 5 6" xfId="7077"/>
    <cellStyle name="Heading 1 2 10 2 5 6 2" xfId="7078"/>
    <cellStyle name="Heading 1 2 10 2 5 6 2 2" xfId="7079"/>
    <cellStyle name="Heading 1 2 10 2 5 6 3" xfId="7080"/>
    <cellStyle name="Heading 1 2 10 2 5 7" xfId="7081"/>
    <cellStyle name="Heading 1 2 10 2 5 7 2" xfId="7082"/>
    <cellStyle name="Heading 1 2 10 2 5 7 2 2" xfId="7083"/>
    <cellStyle name="Heading 1 2 10 2 5 7 3" xfId="7084"/>
    <cellStyle name="Heading 1 2 10 2 5 8" xfId="7085"/>
    <cellStyle name="Heading 1 2 10 2 5 8 2" xfId="7086"/>
    <cellStyle name="Heading 1 2 10 2 5 9" xfId="7087"/>
    <cellStyle name="Heading 1 2 10 2 6" xfId="7088"/>
    <cellStyle name="Heading 1 2 10 2 6 2" xfId="7089"/>
    <cellStyle name="Heading 1 2 10 2 6 2 2" xfId="7090"/>
    <cellStyle name="Heading 1 2 10 2 6 2 2 2" xfId="7091"/>
    <cellStyle name="Heading 1 2 10 2 6 2 3" xfId="7092"/>
    <cellStyle name="Heading 1 2 10 2 6 3" xfId="7093"/>
    <cellStyle name="Heading 1 2 10 2 6 3 2" xfId="7094"/>
    <cellStyle name="Heading 1 2 10 2 6 3 2 2" xfId="7095"/>
    <cellStyle name="Heading 1 2 10 2 6 3 3" xfId="7096"/>
    <cellStyle name="Heading 1 2 10 2 6 4" xfId="7097"/>
    <cellStyle name="Heading 1 2 10 2 6 4 2" xfId="7098"/>
    <cellStyle name="Heading 1 2 10 2 6 4 2 2" xfId="7099"/>
    <cellStyle name="Heading 1 2 10 2 6 4 3" xfId="7100"/>
    <cellStyle name="Heading 1 2 10 2 6 5" xfId="7101"/>
    <cellStyle name="Heading 1 2 10 2 6 5 2" xfId="7102"/>
    <cellStyle name="Heading 1 2 10 2 6 5 2 2" xfId="7103"/>
    <cellStyle name="Heading 1 2 10 2 6 5 3" xfId="7104"/>
    <cellStyle name="Heading 1 2 10 2 6 6" xfId="7105"/>
    <cellStyle name="Heading 1 2 10 2 6 6 2" xfId="7106"/>
    <cellStyle name="Heading 1 2 10 2 6 6 2 2" xfId="7107"/>
    <cellStyle name="Heading 1 2 10 2 6 6 3" xfId="7108"/>
    <cellStyle name="Heading 1 2 10 2 6 7" xfId="7109"/>
    <cellStyle name="Heading 1 2 10 2 6 7 2" xfId="7110"/>
    <cellStyle name="Heading 1 2 10 2 6 7 2 2" xfId="7111"/>
    <cellStyle name="Heading 1 2 10 2 6 7 3" xfId="7112"/>
    <cellStyle name="Heading 1 2 10 2 6 8" xfId="7113"/>
    <cellStyle name="Heading 1 2 10 2 6 8 2" xfId="7114"/>
    <cellStyle name="Heading 1 2 10 2 6 9" xfId="7115"/>
    <cellStyle name="Heading 1 2 10 2 7" xfId="7116"/>
    <cellStyle name="Heading 1 2 10 2 7 2" xfId="7117"/>
    <cellStyle name="Heading 1 2 10 2 7 2 2" xfId="7118"/>
    <cellStyle name="Heading 1 2 10 2 7 2 2 2" xfId="7119"/>
    <cellStyle name="Heading 1 2 10 2 7 2 3" xfId="7120"/>
    <cellStyle name="Heading 1 2 10 2 7 3" xfId="7121"/>
    <cellStyle name="Heading 1 2 10 2 7 3 2" xfId="7122"/>
    <cellStyle name="Heading 1 2 10 2 7 3 2 2" xfId="7123"/>
    <cellStyle name="Heading 1 2 10 2 7 3 3" xfId="7124"/>
    <cellStyle name="Heading 1 2 10 2 7 4" xfId="7125"/>
    <cellStyle name="Heading 1 2 10 2 7 4 2" xfId="7126"/>
    <cellStyle name="Heading 1 2 10 2 7 4 2 2" xfId="7127"/>
    <cellStyle name="Heading 1 2 10 2 7 4 3" xfId="7128"/>
    <cellStyle name="Heading 1 2 10 2 7 5" xfId="7129"/>
    <cellStyle name="Heading 1 2 10 2 7 5 2" xfId="7130"/>
    <cellStyle name="Heading 1 2 10 2 7 5 2 2" xfId="7131"/>
    <cellStyle name="Heading 1 2 10 2 7 5 3" xfId="7132"/>
    <cellStyle name="Heading 1 2 10 2 7 6" xfId="7133"/>
    <cellStyle name="Heading 1 2 10 2 7 6 2" xfId="7134"/>
    <cellStyle name="Heading 1 2 10 2 7 6 2 2" xfId="7135"/>
    <cellStyle name="Heading 1 2 10 2 7 6 3" xfId="7136"/>
    <cellStyle name="Heading 1 2 10 2 7 7" xfId="7137"/>
    <cellStyle name="Heading 1 2 10 2 7 7 2" xfId="7138"/>
    <cellStyle name="Heading 1 2 10 2 7 7 2 2" xfId="7139"/>
    <cellStyle name="Heading 1 2 10 2 7 7 3" xfId="7140"/>
    <cellStyle name="Heading 1 2 10 2 7 8" xfId="7141"/>
    <cellStyle name="Heading 1 2 10 2 7 8 2" xfId="7142"/>
    <cellStyle name="Heading 1 2 10 2 7 9" xfId="7143"/>
    <cellStyle name="Heading 1 2 10 2 8" xfId="7144"/>
    <cellStyle name="Heading 1 2 10 2 8 2" xfId="7145"/>
    <cellStyle name="Heading 1 2 10 2 8 2 2" xfId="7146"/>
    <cellStyle name="Heading 1 2 10 2 8 2 2 2" xfId="7147"/>
    <cellStyle name="Heading 1 2 10 2 8 2 3" xfId="7148"/>
    <cellStyle name="Heading 1 2 10 2 8 3" xfId="7149"/>
    <cellStyle name="Heading 1 2 10 2 8 3 2" xfId="7150"/>
    <cellStyle name="Heading 1 2 10 2 8 3 2 2" xfId="7151"/>
    <cellStyle name="Heading 1 2 10 2 8 3 3" xfId="7152"/>
    <cellStyle name="Heading 1 2 10 2 8 4" xfId="7153"/>
    <cellStyle name="Heading 1 2 10 2 8 4 2" xfId="7154"/>
    <cellStyle name="Heading 1 2 10 2 8 4 2 2" xfId="7155"/>
    <cellStyle name="Heading 1 2 10 2 8 4 3" xfId="7156"/>
    <cellStyle name="Heading 1 2 10 2 8 5" xfId="7157"/>
    <cellStyle name="Heading 1 2 10 2 8 5 2" xfId="7158"/>
    <cellStyle name="Heading 1 2 10 2 8 5 2 2" xfId="7159"/>
    <cellStyle name="Heading 1 2 10 2 8 5 3" xfId="7160"/>
    <cellStyle name="Heading 1 2 10 2 8 6" xfId="7161"/>
    <cellStyle name="Heading 1 2 10 2 8 6 2" xfId="7162"/>
    <cellStyle name="Heading 1 2 10 2 8 6 2 2" xfId="7163"/>
    <cellStyle name="Heading 1 2 10 2 8 6 3" xfId="7164"/>
    <cellStyle name="Heading 1 2 10 2 8 7" xfId="7165"/>
    <cellStyle name="Heading 1 2 10 2 8 7 2" xfId="7166"/>
    <cellStyle name="Heading 1 2 10 2 8 7 2 2" xfId="7167"/>
    <cellStyle name="Heading 1 2 10 2 8 7 3" xfId="7168"/>
    <cellStyle name="Heading 1 2 10 2 8 8" xfId="7169"/>
    <cellStyle name="Heading 1 2 10 2 8 8 2" xfId="7170"/>
    <cellStyle name="Heading 1 2 10 2 8 9" xfId="7171"/>
    <cellStyle name="Heading 1 2 10 2 9" xfId="7172"/>
    <cellStyle name="Heading 1 2 10 2 9 2" xfId="7173"/>
    <cellStyle name="Heading 1 2 10 2 9 2 2" xfId="7174"/>
    <cellStyle name="Heading 1 2 10 2 9 3" xfId="7175"/>
    <cellStyle name="Heading 1 2 10 20" xfId="7176"/>
    <cellStyle name="Heading 1 2 10 20 2" xfId="7177"/>
    <cellStyle name="Heading 1 2 10 21" xfId="7178"/>
    <cellStyle name="Heading 1 2 10 21 2" xfId="7179"/>
    <cellStyle name="Heading 1 2 10 22" xfId="7180"/>
    <cellStyle name="Heading 1 2 10 22 2" xfId="7181"/>
    <cellStyle name="Heading 1 2 10 23" xfId="7182"/>
    <cellStyle name="Heading 1 2 10 3" xfId="7183"/>
    <cellStyle name="Heading 1 2 10 3 2" xfId="7184"/>
    <cellStyle name="Heading 1 2 10 3 2 2" xfId="7185"/>
    <cellStyle name="Heading 1 2 10 3 2 2 2" xfId="7186"/>
    <cellStyle name="Heading 1 2 10 3 2 3" xfId="7187"/>
    <cellStyle name="Heading 1 2 10 3 3" xfId="7188"/>
    <cellStyle name="Heading 1 2 10 3 3 2" xfId="7189"/>
    <cellStyle name="Heading 1 2 10 3 3 2 2" xfId="7190"/>
    <cellStyle name="Heading 1 2 10 3 3 3" xfId="7191"/>
    <cellStyle name="Heading 1 2 10 3 4" xfId="7192"/>
    <cellStyle name="Heading 1 2 10 3 4 2" xfId="7193"/>
    <cellStyle name="Heading 1 2 10 3 4 2 2" xfId="7194"/>
    <cellStyle name="Heading 1 2 10 3 4 3" xfId="7195"/>
    <cellStyle name="Heading 1 2 10 3 5" xfId="7196"/>
    <cellStyle name="Heading 1 2 10 3 5 2" xfId="7197"/>
    <cellStyle name="Heading 1 2 10 3 5 2 2" xfId="7198"/>
    <cellStyle name="Heading 1 2 10 3 5 3" xfId="7199"/>
    <cellStyle name="Heading 1 2 10 3 6" xfId="7200"/>
    <cellStyle name="Heading 1 2 10 3 6 2" xfId="7201"/>
    <cellStyle name="Heading 1 2 10 3 6 2 2" xfId="7202"/>
    <cellStyle name="Heading 1 2 10 3 6 3" xfId="7203"/>
    <cellStyle name="Heading 1 2 10 3 7" xfId="7204"/>
    <cellStyle name="Heading 1 2 10 3 7 2" xfId="7205"/>
    <cellStyle name="Heading 1 2 10 3 7 2 2" xfId="7206"/>
    <cellStyle name="Heading 1 2 10 3 7 3" xfId="7207"/>
    <cellStyle name="Heading 1 2 10 3 8" xfId="7208"/>
    <cellStyle name="Heading 1 2 10 3 8 2" xfId="7209"/>
    <cellStyle name="Heading 1 2 10 3 9" xfId="7210"/>
    <cellStyle name="Heading 1 2 10 4" xfId="7211"/>
    <cellStyle name="Heading 1 2 10 4 2" xfId="7212"/>
    <cellStyle name="Heading 1 2 10 4 2 2" xfId="7213"/>
    <cellStyle name="Heading 1 2 10 4 2 2 2" xfId="7214"/>
    <cellStyle name="Heading 1 2 10 4 2 3" xfId="7215"/>
    <cellStyle name="Heading 1 2 10 4 3" xfId="7216"/>
    <cellStyle name="Heading 1 2 10 4 3 2" xfId="7217"/>
    <cellStyle name="Heading 1 2 10 4 3 2 2" xfId="7218"/>
    <cellStyle name="Heading 1 2 10 4 3 3" xfId="7219"/>
    <cellStyle name="Heading 1 2 10 4 4" xfId="7220"/>
    <cellStyle name="Heading 1 2 10 4 4 2" xfId="7221"/>
    <cellStyle name="Heading 1 2 10 4 4 2 2" xfId="7222"/>
    <cellStyle name="Heading 1 2 10 4 4 3" xfId="7223"/>
    <cellStyle name="Heading 1 2 10 4 5" xfId="7224"/>
    <cellStyle name="Heading 1 2 10 4 5 2" xfId="7225"/>
    <cellStyle name="Heading 1 2 10 4 5 2 2" xfId="7226"/>
    <cellStyle name="Heading 1 2 10 4 5 3" xfId="7227"/>
    <cellStyle name="Heading 1 2 10 4 6" xfId="7228"/>
    <cellStyle name="Heading 1 2 10 4 6 2" xfId="7229"/>
    <cellStyle name="Heading 1 2 10 4 6 2 2" xfId="7230"/>
    <cellStyle name="Heading 1 2 10 4 6 3" xfId="7231"/>
    <cellStyle name="Heading 1 2 10 4 7" xfId="7232"/>
    <cellStyle name="Heading 1 2 10 4 7 2" xfId="7233"/>
    <cellStyle name="Heading 1 2 10 4 7 2 2" xfId="7234"/>
    <cellStyle name="Heading 1 2 10 4 7 3" xfId="7235"/>
    <cellStyle name="Heading 1 2 10 4 8" xfId="7236"/>
    <cellStyle name="Heading 1 2 10 4 8 2" xfId="7237"/>
    <cellStyle name="Heading 1 2 10 4 9" xfId="7238"/>
    <cellStyle name="Heading 1 2 10 5" xfId="7239"/>
    <cellStyle name="Heading 1 2 10 5 2" xfId="7240"/>
    <cellStyle name="Heading 1 2 10 5 2 2" xfId="7241"/>
    <cellStyle name="Heading 1 2 10 5 2 2 2" xfId="7242"/>
    <cellStyle name="Heading 1 2 10 5 2 3" xfId="7243"/>
    <cellStyle name="Heading 1 2 10 5 3" xfId="7244"/>
    <cellStyle name="Heading 1 2 10 5 3 2" xfId="7245"/>
    <cellStyle name="Heading 1 2 10 5 3 2 2" xfId="7246"/>
    <cellStyle name="Heading 1 2 10 5 3 3" xfId="7247"/>
    <cellStyle name="Heading 1 2 10 5 4" xfId="7248"/>
    <cellStyle name="Heading 1 2 10 5 4 2" xfId="7249"/>
    <cellStyle name="Heading 1 2 10 5 4 2 2" xfId="7250"/>
    <cellStyle name="Heading 1 2 10 5 4 3" xfId="7251"/>
    <cellStyle name="Heading 1 2 10 5 5" xfId="7252"/>
    <cellStyle name="Heading 1 2 10 5 5 2" xfId="7253"/>
    <cellStyle name="Heading 1 2 10 5 5 2 2" xfId="7254"/>
    <cellStyle name="Heading 1 2 10 5 5 3" xfId="7255"/>
    <cellStyle name="Heading 1 2 10 5 6" xfId="7256"/>
    <cellStyle name="Heading 1 2 10 5 6 2" xfId="7257"/>
    <cellStyle name="Heading 1 2 10 5 6 2 2" xfId="7258"/>
    <cellStyle name="Heading 1 2 10 5 6 3" xfId="7259"/>
    <cellStyle name="Heading 1 2 10 5 7" xfId="7260"/>
    <cellStyle name="Heading 1 2 10 5 7 2" xfId="7261"/>
    <cellStyle name="Heading 1 2 10 5 7 2 2" xfId="7262"/>
    <cellStyle name="Heading 1 2 10 5 7 3" xfId="7263"/>
    <cellStyle name="Heading 1 2 10 5 8" xfId="7264"/>
    <cellStyle name="Heading 1 2 10 5 8 2" xfId="7265"/>
    <cellStyle name="Heading 1 2 10 5 9" xfId="7266"/>
    <cellStyle name="Heading 1 2 10 6" xfId="7267"/>
    <cellStyle name="Heading 1 2 10 6 2" xfId="7268"/>
    <cellStyle name="Heading 1 2 10 6 2 2" xfId="7269"/>
    <cellStyle name="Heading 1 2 10 6 2 2 2" xfId="7270"/>
    <cellStyle name="Heading 1 2 10 6 2 3" xfId="7271"/>
    <cellStyle name="Heading 1 2 10 6 3" xfId="7272"/>
    <cellStyle name="Heading 1 2 10 6 3 2" xfId="7273"/>
    <cellStyle name="Heading 1 2 10 6 3 2 2" xfId="7274"/>
    <cellStyle name="Heading 1 2 10 6 3 3" xfId="7275"/>
    <cellStyle name="Heading 1 2 10 6 4" xfId="7276"/>
    <cellStyle name="Heading 1 2 10 6 4 2" xfId="7277"/>
    <cellStyle name="Heading 1 2 10 6 4 2 2" xfId="7278"/>
    <cellStyle name="Heading 1 2 10 6 4 3" xfId="7279"/>
    <cellStyle name="Heading 1 2 10 6 5" xfId="7280"/>
    <cellStyle name="Heading 1 2 10 6 5 2" xfId="7281"/>
    <cellStyle name="Heading 1 2 10 6 5 2 2" xfId="7282"/>
    <cellStyle name="Heading 1 2 10 6 5 3" xfId="7283"/>
    <cellStyle name="Heading 1 2 10 6 6" xfId="7284"/>
    <cellStyle name="Heading 1 2 10 6 6 2" xfId="7285"/>
    <cellStyle name="Heading 1 2 10 6 6 2 2" xfId="7286"/>
    <cellStyle name="Heading 1 2 10 6 6 3" xfId="7287"/>
    <cellStyle name="Heading 1 2 10 6 7" xfId="7288"/>
    <cellStyle name="Heading 1 2 10 6 7 2" xfId="7289"/>
    <cellStyle name="Heading 1 2 10 6 7 2 2" xfId="7290"/>
    <cellStyle name="Heading 1 2 10 6 7 3" xfId="7291"/>
    <cellStyle name="Heading 1 2 10 6 8" xfId="7292"/>
    <cellStyle name="Heading 1 2 10 6 8 2" xfId="7293"/>
    <cellStyle name="Heading 1 2 10 6 9" xfId="7294"/>
    <cellStyle name="Heading 1 2 10 7" xfId="7295"/>
    <cellStyle name="Heading 1 2 10 7 2" xfId="7296"/>
    <cellStyle name="Heading 1 2 10 7 2 2" xfId="7297"/>
    <cellStyle name="Heading 1 2 10 7 2 2 2" xfId="7298"/>
    <cellStyle name="Heading 1 2 10 7 2 3" xfId="7299"/>
    <cellStyle name="Heading 1 2 10 7 3" xfId="7300"/>
    <cellStyle name="Heading 1 2 10 7 3 2" xfId="7301"/>
    <cellStyle name="Heading 1 2 10 7 3 2 2" xfId="7302"/>
    <cellStyle name="Heading 1 2 10 7 3 3" xfId="7303"/>
    <cellStyle name="Heading 1 2 10 7 4" xfId="7304"/>
    <cellStyle name="Heading 1 2 10 7 4 2" xfId="7305"/>
    <cellStyle name="Heading 1 2 10 7 4 2 2" xfId="7306"/>
    <cellStyle name="Heading 1 2 10 7 4 3" xfId="7307"/>
    <cellStyle name="Heading 1 2 10 7 5" xfId="7308"/>
    <cellStyle name="Heading 1 2 10 7 5 2" xfId="7309"/>
    <cellStyle name="Heading 1 2 10 7 5 2 2" xfId="7310"/>
    <cellStyle name="Heading 1 2 10 7 5 3" xfId="7311"/>
    <cellStyle name="Heading 1 2 10 7 6" xfId="7312"/>
    <cellStyle name="Heading 1 2 10 7 6 2" xfId="7313"/>
    <cellStyle name="Heading 1 2 10 7 6 2 2" xfId="7314"/>
    <cellStyle name="Heading 1 2 10 7 6 3" xfId="7315"/>
    <cellStyle name="Heading 1 2 10 7 7" xfId="7316"/>
    <cellStyle name="Heading 1 2 10 7 7 2" xfId="7317"/>
    <cellStyle name="Heading 1 2 10 7 7 2 2" xfId="7318"/>
    <cellStyle name="Heading 1 2 10 7 7 3" xfId="7319"/>
    <cellStyle name="Heading 1 2 10 7 8" xfId="7320"/>
    <cellStyle name="Heading 1 2 10 7 8 2" xfId="7321"/>
    <cellStyle name="Heading 1 2 10 7 9" xfId="7322"/>
    <cellStyle name="Heading 1 2 10 8" xfId="7323"/>
    <cellStyle name="Heading 1 2 10 8 2" xfId="7324"/>
    <cellStyle name="Heading 1 2 10 8 2 2" xfId="7325"/>
    <cellStyle name="Heading 1 2 10 8 2 2 2" xfId="7326"/>
    <cellStyle name="Heading 1 2 10 8 2 3" xfId="7327"/>
    <cellStyle name="Heading 1 2 10 8 3" xfId="7328"/>
    <cellStyle name="Heading 1 2 10 8 3 2" xfId="7329"/>
    <cellStyle name="Heading 1 2 10 8 3 2 2" xfId="7330"/>
    <cellStyle name="Heading 1 2 10 8 3 3" xfId="7331"/>
    <cellStyle name="Heading 1 2 10 8 4" xfId="7332"/>
    <cellStyle name="Heading 1 2 10 8 4 2" xfId="7333"/>
    <cellStyle name="Heading 1 2 10 8 4 2 2" xfId="7334"/>
    <cellStyle name="Heading 1 2 10 8 4 3" xfId="7335"/>
    <cellStyle name="Heading 1 2 10 8 5" xfId="7336"/>
    <cellStyle name="Heading 1 2 10 8 5 2" xfId="7337"/>
    <cellStyle name="Heading 1 2 10 8 5 2 2" xfId="7338"/>
    <cellStyle name="Heading 1 2 10 8 5 3" xfId="7339"/>
    <cellStyle name="Heading 1 2 10 8 6" xfId="7340"/>
    <cellStyle name="Heading 1 2 10 8 6 2" xfId="7341"/>
    <cellStyle name="Heading 1 2 10 8 6 2 2" xfId="7342"/>
    <cellStyle name="Heading 1 2 10 8 6 3" xfId="7343"/>
    <cellStyle name="Heading 1 2 10 8 7" xfId="7344"/>
    <cellStyle name="Heading 1 2 10 8 7 2" xfId="7345"/>
    <cellStyle name="Heading 1 2 10 8 7 2 2" xfId="7346"/>
    <cellStyle name="Heading 1 2 10 8 7 3" xfId="7347"/>
    <cellStyle name="Heading 1 2 10 8 8" xfId="7348"/>
    <cellStyle name="Heading 1 2 10 8 8 2" xfId="7349"/>
    <cellStyle name="Heading 1 2 10 8 9" xfId="7350"/>
    <cellStyle name="Heading 1 2 10 9" xfId="7351"/>
    <cellStyle name="Heading 1 2 10 9 2" xfId="7352"/>
    <cellStyle name="Heading 1 2 10 9 2 2" xfId="7353"/>
    <cellStyle name="Heading 1 2 10 9 2 2 2" xfId="7354"/>
    <cellStyle name="Heading 1 2 10 9 2 3" xfId="7355"/>
    <cellStyle name="Heading 1 2 10 9 3" xfId="7356"/>
    <cellStyle name="Heading 1 2 10 9 3 2" xfId="7357"/>
    <cellStyle name="Heading 1 2 10 9 3 2 2" xfId="7358"/>
    <cellStyle name="Heading 1 2 10 9 3 3" xfId="7359"/>
    <cellStyle name="Heading 1 2 10 9 4" xfId="7360"/>
    <cellStyle name="Heading 1 2 10 9 4 2" xfId="7361"/>
    <cellStyle name="Heading 1 2 10 9 4 2 2" xfId="7362"/>
    <cellStyle name="Heading 1 2 10 9 4 3" xfId="7363"/>
    <cellStyle name="Heading 1 2 10 9 5" xfId="7364"/>
    <cellStyle name="Heading 1 2 10 9 5 2" xfId="7365"/>
    <cellStyle name="Heading 1 2 10 9 5 2 2" xfId="7366"/>
    <cellStyle name="Heading 1 2 10 9 5 3" xfId="7367"/>
    <cellStyle name="Heading 1 2 10 9 6" xfId="7368"/>
    <cellStyle name="Heading 1 2 10 9 6 2" xfId="7369"/>
    <cellStyle name="Heading 1 2 10 9 6 2 2" xfId="7370"/>
    <cellStyle name="Heading 1 2 10 9 6 3" xfId="7371"/>
    <cellStyle name="Heading 1 2 10 9 7" xfId="7372"/>
    <cellStyle name="Heading 1 2 10 9 7 2" xfId="7373"/>
    <cellStyle name="Heading 1 2 10 9 7 2 2" xfId="7374"/>
    <cellStyle name="Heading 1 2 10 9 7 3" xfId="7375"/>
    <cellStyle name="Heading 1 2 10 9 8" xfId="7376"/>
    <cellStyle name="Heading 1 2 10 9 8 2" xfId="7377"/>
    <cellStyle name="Heading 1 2 10 9 9" xfId="7378"/>
    <cellStyle name="Heading 1 2 11" xfId="7379"/>
    <cellStyle name="Heading 1 2 11 2" xfId="7380"/>
    <cellStyle name="Heading 1 2 11 2 2" xfId="7381"/>
    <cellStyle name="Heading 1 2 11 3" xfId="7382"/>
    <cellStyle name="Heading 1 2 11 3 2" xfId="7383"/>
    <cellStyle name="Heading 1 2 11 4" xfId="7384"/>
    <cellStyle name="Heading 1 2 12" xfId="7385"/>
    <cellStyle name="Heading 1 2 12 2" xfId="7386"/>
    <cellStyle name="Heading 1 2 2" xfId="7387"/>
    <cellStyle name="Heading 1 2 2 10" xfId="7388"/>
    <cellStyle name="Heading 1 2 2 10 2" xfId="7389"/>
    <cellStyle name="Heading 1 2 2 10 2 2" xfId="7390"/>
    <cellStyle name="Heading 1 2 2 10 3" xfId="7391"/>
    <cellStyle name="Heading 1 2 2 10 3 2" xfId="7392"/>
    <cellStyle name="Heading 1 2 2 10 4" xfId="7393"/>
    <cellStyle name="Heading 1 2 2 11" xfId="7394"/>
    <cellStyle name="Heading 1 2 2 11 2" xfId="7395"/>
    <cellStyle name="Heading 1 2 2 11 2 2" xfId="7396"/>
    <cellStyle name="Heading 1 2 2 11 3" xfId="7397"/>
    <cellStyle name="Heading 1 2 2 12" xfId="7398"/>
    <cellStyle name="Heading 1 2 2 12 2" xfId="7399"/>
    <cellStyle name="Heading 1 2 2 2" xfId="7400"/>
    <cellStyle name="Heading 1 2 2 2 10" xfId="7401"/>
    <cellStyle name="Heading 1 2 2 2 10 2" xfId="7402"/>
    <cellStyle name="Heading 1 2 2 2 10 2 2" xfId="7403"/>
    <cellStyle name="Heading 1 2 2 2 10 3" xfId="7404"/>
    <cellStyle name="Heading 1 2 2 2 10 3 2" xfId="7405"/>
    <cellStyle name="Heading 1 2 2 2 10 4" xfId="7406"/>
    <cellStyle name="Heading 1 2 2 2 11" xfId="7407"/>
    <cellStyle name="Heading 1 2 2 2 11 2" xfId="7408"/>
    <cellStyle name="Heading 1 2 2 2 11 2 2" xfId="7409"/>
    <cellStyle name="Heading 1 2 2 2 11 3" xfId="7410"/>
    <cellStyle name="Heading 1 2 2 2 11 3 2" xfId="7411"/>
    <cellStyle name="Heading 1 2 2 2 11 4" xfId="7412"/>
    <cellStyle name="Heading 1 2 2 2 12" xfId="7413"/>
    <cellStyle name="Heading 1 2 2 2 12 2" xfId="7414"/>
    <cellStyle name="Heading 1 2 2 2 12 2 2" xfId="7415"/>
    <cellStyle name="Heading 1 2 2 2 12 3" xfId="7416"/>
    <cellStyle name="Heading 1 2 2 2 12 3 2" xfId="7417"/>
    <cellStyle name="Heading 1 2 2 2 12 4" xfId="7418"/>
    <cellStyle name="Heading 1 2 2 2 13" xfId="7419"/>
    <cellStyle name="Heading 1 2 2 2 13 2" xfId="7420"/>
    <cellStyle name="Heading 1 2 2 2 13 2 2" xfId="7421"/>
    <cellStyle name="Heading 1 2 2 2 13 3" xfId="7422"/>
    <cellStyle name="Heading 1 2 2 2 13 3 2" xfId="7423"/>
    <cellStyle name="Heading 1 2 2 2 13 4" xfId="7424"/>
    <cellStyle name="Heading 1 2 2 2 14" xfId="7425"/>
    <cellStyle name="Heading 1 2 2 2 14 2" xfId="7426"/>
    <cellStyle name="Heading 1 2 2 2 14 2 2" xfId="7427"/>
    <cellStyle name="Heading 1 2 2 2 14 3" xfId="7428"/>
    <cellStyle name="Heading 1 2 2 2 14 3 2" xfId="7429"/>
    <cellStyle name="Heading 1 2 2 2 14 4" xfId="7430"/>
    <cellStyle name="Heading 1 2 2 2 15" xfId="7431"/>
    <cellStyle name="Heading 1 2 2 2 15 2" xfId="7432"/>
    <cellStyle name="Heading 1 2 2 2 15 2 2" xfId="7433"/>
    <cellStyle name="Heading 1 2 2 2 15 3" xfId="7434"/>
    <cellStyle name="Heading 1 2 2 2 15 3 2" xfId="7435"/>
    <cellStyle name="Heading 1 2 2 2 15 4" xfId="7436"/>
    <cellStyle name="Heading 1 2 2 2 16" xfId="7437"/>
    <cellStyle name="Heading 1 2 2 2 16 2" xfId="7438"/>
    <cellStyle name="Heading 1 2 2 2 16 2 2" xfId="7439"/>
    <cellStyle name="Heading 1 2 2 2 16 3" xfId="7440"/>
    <cellStyle name="Heading 1 2 2 2 16 3 2" xfId="7441"/>
    <cellStyle name="Heading 1 2 2 2 16 4" xfId="7442"/>
    <cellStyle name="Heading 1 2 2 2 17" xfId="7443"/>
    <cellStyle name="Heading 1 2 2 2 17 2" xfId="7444"/>
    <cellStyle name="Heading 1 2 2 2 17 2 2" xfId="7445"/>
    <cellStyle name="Heading 1 2 2 2 17 3" xfId="7446"/>
    <cellStyle name="Heading 1 2 2 2 17 3 2" xfId="7447"/>
    <cellStyle name="Heading 1 2 2 2 17 4" xfId="7448"/>
    <cellStyle name="Heading 1 2 2 2 18" xfId="7449"/>
    <cellStyle name="Heading 1 2 2 2 18 2" xfId="7450"/>
    <cellStyle name="Heading 1 2 2 2 18 2 2" xfId="7451"/>
    <cellStyle name="Heading 1 2 2 2 18 3" xfId="7452"/>
    <cellStyle name="Heading 1 2 2 2 18 3 2" xfId="7453"/>
    <cellStyle name="Heading 1 2 2 2 18 4" xfId="7454"/>
    <cellStyle name="Heading 1 2 2 2 19" xfId="7455"/>
    <cellStyle name="Heading 1 2 2 2 19 2" xfId="7456"/>
    <cellStyle name="Heading 1 2 2 2 2" xfId="7457"/>
    <cellStyle name="Heading 1 2 2 2 2 2" xfId="7458"/>
    <cellStyle name="Heading 1 2 2 2 2 2 10" xfId="7459"/>
    <cellStyle name="Heading 1 2 2 2 2 2 10 2" xfId="7460"/>
    <cellStyle name="Heading 1 2 2 2 2 2 10 2 2" xfId="7461"/>
    <cellStyle name="Heading 1 2 2 2 2 2 10 3" xfId="7462"/>
    <cellStyle name="Heading 1 2 2 2 2 2 11" xfId="7463"/>
    <cellStyle name="Heading 1 2 2 2 2 2 11 2" xfId="7464"/>
    <cellStyle name="Heading 1 2 2 2 2 2 11 2 2" xfId="7465"/>
    <cellStyle name="Heading 1 2 2 2 2 2 11 3" xfId="7466"/>
    <cellStyle name="Heading 1 2 2 2 2 2 12" xfId="7467"/>
    <cellStyle name="Heading 1 2 2 2 2 2 12 2" xfId="7468"/>
    <cellStyle name="Heading 1 2 2 2 2 2 12 2 2" xfId="7469"/>
    <cellStyle name="Heading 1 2 2 2 2 2 12 3" xfId="7470"/>
    <cellStyle name="Heading 1 2 2 2 2 2 13" xfId="7471"/>
    <cellStyle name="Heading 1 2 2 2 2 2 13 2" xfId="7472"/>
    <cellStyle name="Heading 1 2 2 2 2 2 13 2 2" xfId="7473"/>
    <cellStyle name="Heading 1 2 2 2 2 2 13 3" xfId="7474"/>
    <cellStyle name="Heading 1 2 2 2 2 2 14" xfId="7475"/>
    <cellStyle name="Heading 1 2 2 2 2 2 14 2" xfId="7476"/>
    <cellStyle name="Heading 1 2 2 2 2 2 14 2 2" xfId="7477"/>
    <cellStyle name="Heading 1 2 2 2 2 2 14 3" xfId="7478"/>
    <cellStyle name="Heading 1 2 2 2 2 2 15" xfId="7479"/>
    <cellStyle name="Heading 1 2 2 2 2 2 15 2" xfId="7480"/>
    <cellStyle name="Heading 1 2 2 2 2 2 15 2 2" xfId="7481"/>
    <cellStyle name="Heading 1 2 2 2 2 2 15 3" xfId="7482"/>
    <cellStyle name="Heading 1 2 2 2 2 2 16" xfId="7483"/>
    <cellStyle name="Heading 1 2 2 2 2 2 16 2" xfId="7484"/>
    <cellStyle name="Heading 1 2 2 2 2 2 16 2 2" xfId="7485"/>
    <cellStyle name="Heading 1 2 2 2 2 2 16 3" xfId="7486"/>
    <cellStyle name="Heading 1 2 2 2 2 2 17" xfId="7487"/>
    <cellStyle name="Heading 1 2 2 2 2 2 17 2" xfId="7488"/>
    <cellStyle name="Heading 1 2 2 2 2 2 17 2 2" xfId="7489"/>
    <cellStyle name="Heading 1 2 2 2 2 2 17 3" xfId="7490"/>
    <cellStyle name="Heading 1 2 2 2 2 2 18" xfId="7491"/>
    <cellStyle name="Heading 1 2 2 2 2 2 18 2" xfId="7492"/>
    <cellStyle name="Heading 1 2 2 2 2 2 18 2 2" xfId="7493"/>
    <cellStyle name="Heading 1 2 2 2 2 2 18 3" xfId="7494"/>
    <cellStyle name="Heading 1 2 2 2 2 2 19" xfId="7495"/>
    <cellStyle name="Heading 1 2 2 2 2 2 19 2" xfId="7496"/>
    <cellStyle name="Heading 1 2 2 2 2 2 19 2 2" xfId="7497"/>
    <cellStyle name="Heading 1 2 2 2 2 2 19 3" xfId="7498"/>
    <cellStyle name="Heading 1 2 2 2 2 2 2" xfId="7499"/>
    <cellStyle name="Heading 1 2 2 2 2 2 2 10" xfId="7500"/>
    <cellStyle name="Heading 1 2 2 2 2 2 2 10 2" xfId="7501"/>
    <cellStyle name="Heading 1 2 2 2 2 2 2 10 2 2" xfId="7502"/>
    <cellStyle name="Heading 1 2 2 2 2 2 2 10 3" xfId="7503"/>
    <cellStyle name="Heading 1 2 2 2 2 2 2 11" xfId="7504"/>
    <cellStyle name="Heading 1 2 2 2 2 2 2 11 2" xfId="7505"/>
    <cellStyle name="Heading 1 2 2 2 2 2 2 11 2 2" xfId="7506"/>
    <cellStyle name="Heading 1 2 2 2 2 2 2 11 3" xfId="7507"/>
    <cellStyle name="Heading 1 2 2 2 2 2 2 12" xfId="7508"/>
    <cellStyle name="Heading 1 2 2 2 2 2 2 12 2" xfId="7509"/>
    <cellStyle name="Heading 1 2 2 2 2 2 2 12 2 2" xfId="7510"/>
    <cellStyle name="Heading 1 2 2 2 2 2 2 12 3" xfId="7511"/>
    <cellStyle name="Heading 1 2 2 2 2 2 2 13" xfId="7512"/>
    <cellStyle name="Heading 1 2 2 2 2 2 2 13 2" xfId="7513"/>
    <cellStyle name="Heading 1 2 2 2 2 2 2 13 2 2" xfId="7514"/>
    <cellStyle name="Heading 1 2 2 2 2 2 2 13 3" xfId="7515"/>
    <cellStyle name="Heading 1 2 2 2 2 2 2 14" xfId="7516"/>
    <cellStyle name="Heading 1 2 2 2 2 2 2 14 2" xfId="7517"/>
    <cellStyle name="Heading 1 2 2 2 2 2 2 14 2 2" xfId="7518"/>
    <cellStyle name="Heading 1 2 2 2 2 2 2 14 3" xfId="7519"/>
    <cellStyle name="Heading 1 2 2 2 2 2 2 15" xfId="7520"/>
    <cellStyle name="Heading 1 2 2 2 2 2 2 15 2" xfId="7521"/>
    <cellStyle name="Heading 1 2 2 2 2 2 2 15 2 2" xfId="7522"/>
    <cellStyle name="Heading 1 2 2 2 2 2 2 15 3" xfId="7523"/>
    <cellStyle name="Heading 1 2 2 2 2 2 2 16" xfId="7524"/>
    <cellStyle name="Heading 1 2 2 2 2 2 2 16 2" xfId="7525"/>
    <cellStyle name="Heading 1 2 2 2 2 2 2 16 2 2" xfId="7526"/>
    <cellStyle name="Heading 1 2 2 2 2 2 2 16 3" xfId="7527"/>
    <cellStyle name="Heading 1 2 2 2 2 2 2 17" xfId="7528"/>
    <cellStyle name="Heading 1 2 2 2 2 2 2 17 2" xfId="7529"/>
    <cellStyle name="Heading 1 2 2 2 2 2 2 17 2 2" xfId="7530"/>
    <cellStyle name="Heading 1 2 2 2 2 2 2 17 3" xfId="7531"/>
    <cellStyle name="Heading 1 2 2 2 2 2 2 18" xfId="7532"/>
    <cellStyle name="Heading 1 2 2 2 2 2 2 18 2" xfId="7533"/>
    <cellStyle name="Heading 1 2 2 2 2 2 2 18 2 2" xfId="7534"/>
    <cellStyle name="Heading 1 2 2 2 2 2 2 18 3" xfId="7535"/>
    <cellStyle name="Heading 1 2 2 2 2 2 2 19" xfId="7536"/>
    <cellStyle name="Heading 1 2 2 2 2 2 2 19 2" xfId="7537"/>
    <cellStyle name="Heading 1 2 2 2 2 2 2 2" xfId="7538"/>
    <cellStyle name="Heading 1 2 2 2 2 2 2 2 2" xfId="7539"/>
    <cellStyle name="Heading 1 2 2 2 2 2 2 2 2 2" xfId="7540"/>
    <cellStyle name="Heading 1 2 2 2 2 2 2 2 2 2 2" xfId="7541"/>
    <cellStyle name="Heading 1 2 2 2 2 2 2 2 2 3" xfId="7542"/>
    <cellStyle name="Heading 1 2 2 2 2 2 2 2 3" xfId="7543"/>
    <cellStyle name="Heading 1 2 2 2 2 2 2 2 3 2" xfId="7544"/>
    <cellStyle name="Heading 1 2 2 2 2 2 2 2 3 2 2" xfId="7545"/>
    <cellStyle name="Heading 1 2 2 2 2 2 2 2 3 3" xfId="7546"/>
    <cellStyle name="Heading 1 2 2 2 2 2 2 2 4" xfId="7547"/>
    <cellStyle name="Heading 1 2 2 2 2 2 2 2 4 2" xfId="7548"/>
    <cellStyle name="Heading 1 2 2 2 2 2 2 2 4 2 2" xfId="7549"/>
    <cellStyle name="Heading 1 2 2 2 2 2 2 2 4 3" xfId="7550"/>
    <cellStyle name="Heading 1 2 2 2 2 2 2 2 5" xfId="7551"/>
    <cellStyle name="Heading 1 2 2 2 2 2 2 2 5 2" xfId="7552"/>
    <cellStyle name="Heading 1 2 2 2 2 2 2 2 5 2 2" xfId="7553"/>
    <cellStyle name="Heading 1 2 2 2 2 2 2 2 5 3" xfId="7554"/>
    <cellStyle name="Heading 1 2 2 2 2 2 2 2 6" xfId="7555"/>
    <cellStyle name="Heading 1 2 2 2 2 2 2 2 6 2" xfId="7556"/>
    <cellStyle name="Heading 1 2 2 2 2 2 2 2 6 2 2" xfId="7557"/>
    <cellStyle name="Heading 1 2 2 2 2 2 2 2 6 3" xfId="7558"/>
    <cellStyle name="Heading 1 2 2 2 2 2 2 2 7" xfId="7559"/>
    <cellStyle name="Heading 1 2 2 2 2 2 2 2 7 2" xfId="7560"/>
    <cellStyle name="Heading 1 2 2 2 2 2 2 2 7 2 2" xfId="7561"/>
    <cellStyle name="Heading 1 2 2 2 2 2 2 2 7 3" xfId="7562"/>
    <cellStyle name="Heading 1 2 2 2 2 2 2 2 8" xfId="7563"/>
    <cellStyle name="Heading 1 2 2 2 2 2 2 2 8 2" xfId="7564"/>
    <cellStyle name="Heading 1 2 2 2 2 2 2 2 9" xfId="7565"/>
    <cellStyle name="Heading 1 2 2 2 2 2 2 20" xfId="7566"/>
    <cellStyle name="Heading 1 2 2 2 2 2 2 20 2" xfId="7567"/>
    <cellStyle name="Heading 1 2 2 2 2 2 2 21" xfId="7568"/>
    <cellStyle name="Heading 1 2 2 2 2 2 2 21 2" xfId="7569"/>
    <cellStyle name="Heading 1 2 2 2 2 2 2 22" xfId="7570"/>
    <cellStyle name="Heading 1 2 2 2 2 2 2 3" xfId="7571"/>
    <cellStyle name="Heading 1 2 2 2 2 2 2 3 2" xfId="7572"/>
    <cellStyle name="Heading 1 2 2 2 2 2 2 3 2 2" xfId="7573"/>
    <cellStyle name="Heading 1 2 2 2 2 2 2 3 2 2 2" xfId="7574"/>
    <cellStyle name="Heading 1 2 2 2 2 2 2 3 2 3" xfId="7575"/>
    <cellStyle name="Heading 1 2 2 2 2 2 2 3 3" xfId="7576"/>
    <cellStyle name="Heading 1 2 2 2 2 2 2 3 3 2" xfId="7577"/>
    <cellStyle name="Heading 1 2 2 2 2 2 2 3 3 2 2" xfId="7578"/>
    <cellStyle name="Heading 1 2 2 2 2 2 2 3 3 3" xfId="7579"/>
    <cellStyle name="Heading 1 2 2 2 2 2 2 3 4" xfId="7580"/>
    <cellStyle name="Heading 1 2 2 2 2 2 2 3 4 2" xfId="7581"/>
    <cellStyle name="Heading 1 2 2 2 2 2 2 3 4 2 2" xfId="7582"/>
    <cellStyle name="Heading 1 2 2 2 2 2 2 3 4 3" xfId="7583"/>
    <cellStyle name="Heading 1 2 2 2 2 2 2 3 5" xfId="7584"/>
    <cellStyle name="Heading 1 2 2 2 2 2 2 3 5 2" xfId="7585"/>
    <cellStyle name="Heading 1 2 2 2 2 2 2 3 5 2 2" xfId="7586"/>
    <cellStyle name="Heading 1 2 2 2 2 2 2 3 5 3" xfId="7587"/>
    <cellStyle name="Heading 1 2 2 2 2 2 2 3 6" xfId="7588"/>
    <cellStyle name="Heading 1 2 2 2 2 2 2 3 6 2" xfId="7589"/>
    <cellStyle name="Heading 1 2 2 2 2 2 2 3 6 2 2" xfId="7590"/>
    <cellStyle name="Heading 1 2 2 2 2 2 2 3 6 3" xfId="7591"/>
    <cellStyle name="Heading 1 2 2 2 2 2 2 3 7" xfId="7592"/>
    <cellStyle name="Heading 1 2 2 2 2 2 2 3 7 2" xfId="7593"/>
    <cellStyle name="Heading 1 2 2 2 2 2 2 3 7 2 2" xfId="7594"/>
    <cellStyle name="Heading 1 2 2 2 2 2 2 3 7 3" xfId="7595"/>
    <cellStyle name="Heading 1 2 2 2 2 2 2 3 8" xfId="7596"/>
    <cellStyle name="Heading 1 2 2 2 2 2 2 3 8 2" xfId="7597"/>
    <cellStyle name="Heading 1 2 2 2 2 2 2 3 9" xfId="7598"/>
    <cellStyle name="Heading 1 2 2 2 2 2 2 4" xfId="7599"/>
    <cellStyle name="Heading 1 2 2 2 2 2 2 4 2" xfId="7600"/>
    <cellStyle name="Heading 1 2 2 2 2 2 2 4 2 2" xfId="7601"/>
    <cellStyle name="Heading 1 2 2 2 2 2 2 4 2 2 2" xfId="7602"/>
    <cellStyle name="Heading 1 2 2 2 2 2 2 4 2 3" xfId="7603"/>
    <cellStyle name="Heading 1 2 2 2 2 2 2 4 3" xfId="7604"/>
    <cellStyle name="Heading 1 2 2 2 2 2 2 4 3 2" xfId="7605"/>
    <cellStyle name="Heading 1 2 2 2 2 2 2 4 3 2 2" xfId="7606"/>
    <cellStyle name="Heading 1 2 2 2 2 2 2 4 3 3" xfId="7607"/>
    <cellStyle name="Heading 1 2 2 2 2 2 2 4 4" xfId="7608"/>
    <cellStyle name="Heading 1 2 2 2 2 2 2 4 4 2" xfId="7609"/>
    <cellStyle name="Heading 1 2 2 2 2 2 2 4 4 2 2" xfId="7610"/>
    <cellStyle name="Heading 1 2 2 2 2 2 2 4 4 3" xfId="7611"/>
    <cellStyle name="Heading 1 2 2 2 2 2 2 4 5" xfId="7612"/>
    <cellStyle name="Heading 1 2 2 2 2 2 2 4 5 2" xfId="7613"/>
    <cellStyle name="Heading 1 2 2 2 2 2 2 4 5 2 2" xfId="7614"/>
    <cellStyle name="Heading 1 2 2 2 2 2 2 4 5 3" xfId="7615"/>
    <cellStyle name="Heading 1 2 2 2 2 2 2 4 6" xfId="7616"/>
    <cellStyle name="Heading 1 2 2 2 2 2 2 4 6 2" xfId="7617"/>
    <cellStyle name="Heading 1 2 2 2 2 2 2 4 6 2 2" xfId="7618"/>
    <cellStyle name="Heading 1 2 2 2 2 2 2 4 6 3" xfId="7619"/>
    <cellStyle name="Heading 1 2 2 2 2 2 2 4 7" xfId="7620"/>
    <cellStyle name="Heading 1 2 2 2 2 2 2 4 7 2" xfId="7621"/>
    <cellStyle name="Heading 1 2 2 2 2 2 2 4 7 2 2" xfId="7622"/>
    <cellStyle name="Heading 1 2 2 2 2 2 2 4 7 3" xfId="7623"/>
    <cellStyle name="Heading 1 2 2 2 2 2 2 4 8" xfId="7624"/>
    <cellStyle name="Heading 1 2 2 2 2 2 2 4 8 2" xfId="7625"/>
    <cellStyle name="Heading 1 2 2 2 2 2 2 4 9" xfId="7626"/>
    <cellStyle name="Heading 1 2 2 2 2 2 2 5" xfId="7627"/>
    <cellStyle name="Heading 1 2 2 2 2 2 2 5 2" xfId="7628"/>
    <cellStyle name="Heading 1 2 2 2 2 2 2 5 2 2" xfId="7629"/>
    <cellStyle name="Heading 1 2 2 2 2 2 2 5 2 2 2" xfId="7630"/>
    <cellStyle name="Heading 1 2 2 2 2 2 2 5 2 3" xfId="7631"/>
    <cellStyle name="Heading 1 2 2 2 2 2 2 5 3" xfId="7632"/>
    <cellStyle name="Heading 1 2 2 2 2 2 2 5 3 2" xfId="7633"/>
    <cellStyle name="Heading 1 2 2 2 2 2 2 5 3 2 2" xfId="7634"/>
    <cellStyle name="Heading 1 2 2 2 2 2 2 5 3 3" xfId="7635"/>
    <cellStyle name="Heading 1 2 2 2 2 2 2 5 4" xfId="7636"/>
    <cellStyle name="Heading 1 2 2 2 2 2 2 5 4 2" xfId="7637"/>
    <cellStyle name="Heading 1 2 2 2 2 2 2 5 4 2 2" xfId="7638"/>
    <cellStyle name="Heading 1 2 2 2 2 2 2 5 4 3" xfId="7639"/>
    <cellStyle name="Heading 1 2 2 2 2 2 2 5 5" xfId="7640"/>
    <cellStyle name="Heading 1 2 2 2 2 2 2 5 5 2" xfId="7641"/>
    <cellStyle name="Heading 1 2 2 2 2 2 2 5 5 2 2" xfId="7642"/>
    <cellStyle name="Heading 1 2 2 2 2 2 2 5 5 3" xfId="7643"/>
    <cellStyle name="Heading 1 2 2 2 2 2 2 5 6" xfId="7644"/>
    <cellStyle name="Heading 1 2 2 2 2 2 2 5 6 2" xfId="7645"/>
    <cellStyle name="Heading 1 2 2 2 2 2 2 5 6 2 2" xfId="7646"/>
    <cellStyle name="Heading 1 2 2 2 2 2 2 5 6 3" xfId="7647"/>
    <cellStyle name="Heading 1 2 2 2 2 2 2 5 7" xfId="7648"/>
    <cellStyle name="Heading 1 2 2 2 2 2 2 5 7 2" xfId="7649"/>
    <cellStyle name="Heading 1 2 2 2 2 2 2 5 7 2 2" xfId="7650"/>
    <cellStyle name="Heading 1 2 2 2 2 2 2 5 7 3" xfId="7651"/>
    <cellStyle name="Heading 1 2 2 2 2 2 2 5 8" xfId="7652"/>
    <cellStyle name="Heading 1 2 2 2 2 2 2 5 8 2" xfId="7653"/>
    <cellStyle name="Heading 1 2 2 2 2 2 2 5 9" xfId="7654"/>
    <cellStyle name="Heading 1 2 2 2 2 2 2 6" xfId="7655"/>
    <cellStyle name="Heading 1 2 2 2 2 2 2 6 2" xfId="7656"/>
    <cellStyle name="Heading 1 2 2 2 2 2 2 6 2 2" xfId="7657"/>
    <cellStyle name="Heading 1 2 2 2 2 2 2 6 2 2 2" xfId="7658"/>
    <cellStyle name="Heading 1 2 2 2 2 2 2 6 2 3" xfId="7659"/>
    <cellStyle name="Heading 1 2 2 2 2 2 2 6 3" xfId="7660"/>
    <cellStyle name="Heading 1 2 2 2 2 2 2 6 3 2" xfId="7661"/>
    <cellStyle name="Heading 1 2 2 2 2 2 2 6 3 2 2" xfId="7662"/>
    <cellStyle name="Heading 1 2 2 2 2 2 2 6 3 3" xfId="7663"/>
    <cellStyle name="Heading 1 2 2 2 2 2 2 6 4" xfId="7664"/>
    <cellStyle name="Heading 1 2 2 2 2 2 2 6 4 2" xfId="7665"/>
    <cellStyle name="Heading 1 2 2 2 2 2 2 6 4 2 2" xfId="7666"/>
    <cellStyle name="Heading 1 2 2 2 2 2 2 6 4 3" xfId="7667"/>
    <cellStyle name="Heading 1 2 2 2 2 2 2 6 5" xfId="7668"/>
    <cellStyle name="Heading 1 2 2 2 2 2 2 6 5 2" xfId="7669"/>
    <cellStyle name="Heading 1 2 2 2 2 2 2 6 5 2 2" xfId="7670"/>
    <cellStyle name="Heading 1 2 2 2 2 2 2 6 5 3" xfId="7671"/>
    <cellStyle name="Heading 1 2 2 2 2 2 2 6 6" xfId="7672"/>
    <cellStyle name="Heading 1 2 2 2 2 2 2 6 6 2" xfId="7673"/>
    <cellStyle name="Heading 1 2 2 2 2 2 2 6 6 2 2" xfId="7674"/>
    <cellStyle name="Heading 1 2 2 2 2 2 2 6 6 3" xfId="7675"/>
    <cellStyle name="Heading 1 2 2 2 2 2 2 6 7" xfId="7676"/>
    <cellStyle name="Heading 1 2 2 2 2 2 2 6 7 2" xfId="7677"/>
    <cellStyle name="Heading 1 2 2 2 2 2 2 6 7 2 2" xfId="7678"/>
    <cellStyle name="Heading 1 2 2 2 2 2 2 6 7 3" xfId="7679"/>
    <cellStyle name="Heading 1 2 2 2 2 2 2 6 8" xfId="7680"/>
    <cellStyle name="Heading 1 2 2 2 2 2 2 6 8 2" xfId="7681"/>
    <cellStyle name="Heading 1 2 2 2 2 2 2 6 9" xfId="7682"/>
    <cellStyle name="Heading 1 2 2 2 2 2 2 7" xfId="7683"/>
    <cellStyle name="Heading 1 2 2 2 2 2 2 7 2" xfId="7684"/>
    <cellStyle name="Heading 1 2 2 2 2 2 2 7 2 2" xfId="7685"/>
    <cellStyle name="Heading 1 2 2 2 2 2 2 7 2 2 2" xfId="7686"/>
    <cellStyle name="Heading 1 2 2 2 2 2 2 7 2 3" xfId="7687"/>
    <cellStyle name="Heading 1 2 2 2 2 2 2 7 3" xfId="7688"/>
    <cellStyle name="Heading 1 2 2 2 2 2 2 7 3 2" xfId="7689"/>
    <cellStyle name="Heading 1 2 2 2 2 2 2 7 3 2 2" xfId="7690"/>
    <cellStyle name="Heading 1 2 2 2 2 2 2 7 3 3" xfId="7691"/>
    <cellStyle name="Heading 1 2 2 2 2 2 2 7 4" xfId="7692"/>
    <cellStyle name="Heading 1 2 2 2 2 2 2 7 4 2" xfId="7693"/>
    <cellStyle name="Heading 1 2 2 2 2 2 2 7 4 2 2" xfId="7694"/>
    <cellStyle name="Heading 1 2 2 2 2 2 2 7 4 3" xfId="7695"/>
    <cellStyle name="Heading 1 2 2 2 2 2 2 7 5" xfId="7696"/>
    <cellStyle name="Heading 1 2 2 2 2 2 2 7 5 2" xfId="7697"/>
    <cellStyle name="Heading 1 2 2 2 2 2 2 7 5 2 2" xfId="7698"/>
    <cellStyle name="Heading 1 2 2 2 2 2 2 7 5 3" xfId="7699"/>
    <cellStyle name="Heading 1 2 2 2 2 2 2 7 6" xfId="7700"/>
    <cellStyle name="Heading 1 2 2 2 2 2 2 7 6 2" xfId="7701"/>
    <cellStyle name="Heading 1 2 2 2 2 2 2 7 6 2 2" xfId="7702"/>
    <cellStyle name="Heading 1 2 2 2 2 2 2 7 6 3" xfId="7703"/>
    <cellStyle name="Heading 1 2 2 2 2 2 2 7 7" xfId="7704"/>
    <cellStyle name="Heading 1 2 2 2 2 2 2 7 7 2" xfId="7705"/>
    <cellStyle name="Heading 1 2 2 2 2 2 2 7 7 2 2" xfId="7706"/>
    <cellStyle name="Heading 1 2 2 2 2 2 2 7 7 3" xfId="7707"/>
    <cellStyle name="Heading 1 2 2 2 2 2 2 7 8" xfId="7708"/>
    <cellStyle name="Heading 1 2 2 2 2 2 2 7 8 2" xfId="7709"/>
    <cellStyle name="Heading 1 2 2 2 2 2 2 7 9" xfId="7710"/>
    <cellStyle name="Heading 1 2 2 2 2 2 2 8" xfId="7711"/>
    <cellStyle name="Heading 1 2 2 2 2 2 2 8 2" xfId="7712"/>
    <cellStyle name="Heading 1 2 2 2 2 2 2 8 2 2" xfId="7713"/>
    <cellStyle name="Heading 1 2 2 2 2 2 2 8 2 2 2" xfId="7714"/>
    <cellStyle name="Heading 1 2 2 2 2 2 2 8 2 3" xfId="7715"/>
    <cellStyle name="Heading 1 2 2 2 2 2 2 8 3" xfId="7716"/>
    <cellStyle name="Heading 1 2 2 2 2 2 2 8 3 2" xfId="7717"/>
    <cellStyle name="Heading 1 2 2 2 2 2 2 8 3 2 2" xfId="7718"/>
    <cellStyle name="Heading 1 2 2 2 2 2 2 8 3 3" xfId="7719"/>
    <cellStyle name="Heading 1 2 2 2 2 2 2 8 4" xfId="7720"/>
    <cellStyle name="Heading 1 2 2 2 2 2 2 8 4 2" xfId="7721"/>
    <cellStyle name="Heading 1 2 2 2 2 2 2 8 4 2 2" xfId="7722"/>
    <cellStyle name="Heading 1 2 2 2 2 2 2 8 4 3" xfId="7723"/>
    <cellStyle name="Heading 1 2 2 2 2 2 2 8 5" xfId="7724"/>
    <cellStyle name="Heading 1 2 2 2 2 2 2 8 5 2" xfId="7725"/>
    <cellStyle name="Heading 1 2 2 2 2 2 2 8 5 2 2" xfId="7726"/>
    <cellStyle name="Heading 1 2 2 2 2 2 2 8 5 3" xfId="7727"/>
    <cellStyle name="Heading 1 2 2 2 2 2 2 8 6" xfId="7728"/>
    <cellStyle name="Heading 1 2 2 2 2 2 2 8 6 2" xfId="7729"/>
    <cellStyle name="Heading 1 2 2 2 2 2 2 8 6 2 2" xfId="7730"/>
    <cellStyle name="Heading 1 2 2 2 2 2 2 8 6 3" xfId="7731"/>
    <cellStyle name="Heading 1 2 2 2 2 2 2 8 7" xfId="7732"/>
    <cellStyle name="Heading 1 2 2 2 2 2 2 8 7 2" xfId="7733"/>
    <cellStyle name="Heading 1 2 2 2 2 2 2 8 7 2 2" xfId="7734"/>
    <cellStyle name="Heading 1 2 2 2 2 2 2 8 7 3" xfId="7735"/>
    <cellStyle name="Heading 1 2 2 2 2 2 2 8 8" xfId="7736"/>
    <cellStyle name="Heading 1 2 2 2 2 2 2 8 8 2" xfId="7737"/>
    <cellStyle name="Heading 1 2 2 2 2 2 2 8 9" xfId="7738"/>
    <cellStyle name="Heading 1 2 2 2 2 2 2 9" xfId="7739"/>
    <cellStyle name="Heading 1 2 2 2 2 2 2 9 2" xfId="7740"/>
    <cellStyle name="Heading 1 2 2 2 2 2 2 9 2 2" xfId="7741"/>
    <cellStyle name="Heading 1 2 2 2 2 2 2 9 3" xfId="7742"/>
    <cellStyle name="Heading 1 2 2 2 2 2 20" xfId="7743"/>
    <cellStyle name="Heading 1 2 2 2 2 2 20 2" xfId="7744"/>
    <cellStyle name="Heading 1 2 2 2 2 2 21" xfId="7745"/>
    <cellStyle name="Heading 1 2 2 2 2 2 21 2" xfId="7746"/>
    <cellStyle name="Heading 1 2 2 2 2 2 22" xfId="7747"/>
    <cellStyle name="Heading 1 2 2 2 2 2 22 2" xfId="7748"/>
    <cellStyle name="Heading 1 2 2 2 2 2 23" xfId="7749"/>
    <cellStyle name="Heading 1 2 2 2 2 2 3" xfId="7750"/>
    <cellStyle name="Heading 1 2 2 2 2 2 3 2" xfId="7751"/>
    <cellStyle name="Heading 1 2 2 2 2 2 3 2 2" xfId="7752"/>
    <cellStyle name="Heading 1 2 2 2 2 2 3 2 2 2" xfId="7753"/>
    <cellStyle name="Heading 1 2 2 2 2 2 3 2 3" xfId="7754"/>
    <cellStyle name="Heading 1 2 2 2 2 2 3 3" xfId="7755"/>
    <cellStyle name="Heading 1 2 2 2 2 2 3 3 2" xfId="7756"/>
    <cellStyle name="Heading 1 2 2 2 2 2 3 3 2 2" xfId="7757"/>
    <cellStyle name="Heading 1 2 2 2 2 2 3 3 3" xfId="7758"/>
    <cellStyle name="Heading 1 2 2 2 2 2 3 4" xfId="7759"/>
    <cellStyle name="Heading 1 2 2 2 2 2 3 4 2" xfId="7760"/>
    <cellStyle name="Heading 1 2 2 2 2 2 3 4 2 2" xfId="7761"/>
    <cellStyle name="Heading 1 2 2 2 2 2 3 4 3" xfId="7762"/>
    <cellStyle name="Heading 1 2 2 2 2 2 3 5" xfId="7763"/>
    <cellStyle name="Heading 1 2 2 2 2 2 3 5 2" xfId="7764"/>
    <cellStyle name="Heading 1 2 2 2 2 2 3 5 2 2" xfId="7765"/>
    <cellStyle name="Heading 1 2 2 2 2 2 3 5 3" xfId="7766"/>
    <cellStyle name="Heading 1 2 2 2 2 2 3 6" xfId="7767"/>
    <cellStyle name="Heading 1 2 2 2 2 2 3 6 2" xfId="7768"/>
    <cellStyle name="Heading 1 2 2 2 2 2 3 6 2 2" xfId="7769"/>
    <cellStyle name="Heading 1 2 2 2 2 2 3 6 3" xfId="7770"/>
    <cellStyle name="Heading 1 2 2 2 2 2 3 7" xfId="7771"/>
    <cellStyle name="Heading 1 2 2 2 2 2 3 7 2" xfId="7772"/>
    <cellStyle name="Heading 1 2 2 2 2 2 3 7 2 2" xfId="7773"/>
    <cellStyle name="Heading 1 2 2 2 2 2 3 7 3" xfId="7774"/>
    <cellStyle name="Heading 1 2 2 2 2 2 3 8" xfId="7775"/>
    <cellStyle name="Heading 1 2 2 2 2 2 3 8 2" xfId="7776"/>
    <cellStyle name="Heading 1 2 2 2 2 2 3 9" xfId="7777"/>
    <cellStyle name="Heading 1 2 2 2 2 2 4" xfId="7778"/>
    <cellStyle name="Heading 1 2 2 2 2 2 4 2" xfId="7779"/>
    <cellStyle name="Heading 1 2 2 2 2 2 4 2 2" xfId="7780"/>
    <cellStyle name="Heading 1 2 2 2 2 2 4 2 2 2" xfId="7781"/>
    <cellStyle name="Heading 1 2 2 2 2 2 4 2 3" xfId="7782"/>
    <cellStyle name="Heading 1 2 2 2 2 2 4 3" xfId="7783"/>
    <cellStyle name="Heading 1 2 2 2 2 2 4 3 2" xfId="7784"/>
    <cellStyle name="Heading 1 2 2 2 2 2 4 3 2 2" xfId="7785"/>
    <cellStyle name="Heading 1 2 2 2 2 2 4 3 3" xfId="7786"/>
    <cellStyle name="Heading 1 2 2 2 2 2 4 4" xfId="7787"/>
    <cellStyle name="Heading 1 2 2 2 2 2 4 4 2" xfId="7788"/>
    <cellStyle name="Heading 1 2 2 2 2 2 4 4 2 2" xfId="7789"/>
    <cellStyle name="Heading 1 2 2 2 2 2 4 4 3" xfId="7790"/>
    <cellStyle name="Heading 1 2 2 2 2 2 4 5" xfId="7791"/>
    <cellStyle name="Heading 1 2 2 2 2 2 4 5 2" xfId="7792"/>
    <cellStyle name="Heading 1 2 2 2 2 2 4 5 2 2" xfId="7793"/>
    <cellStyle name="Heading 1 2 2 2 2 2 4 5 3" xfId="7794"/>
    <cellStyle name="Heading 1 2 2 2 2 2 4 6" xfId="7795"/>
    <cellStyle name="Heading 1 2 2 2 2 2 4 6 2" xfId="7796"/>
    <cellStyle name="Heading 1 2 2 2 2 2 4 6 2 2" xfId="7797"/>
    <cellStyle name="Heading 1 2 2 2 2 2 4 6 3" xfId="7798"/>
    <cellStyle name="Heading 1 2 2 2 2 2 4 7" xfId="7799"/>
    <cellStyle name="Heading 1 2 2 2 2 2 4 7 2" xfId="7800"/>
    <cellStyle name="Heading 1 2 2 2 2 2 4 7 2 2" xfId="7801"/>
    <cellStyle name="Heading 1 2 2 2 2 2 4 7 3" xfId="7802"/>
    <cellStyle name="Heading 1 2 2 2 2 2 4 8" xfId="7803"/>
    <cellStyle name="Heading 1 2 2 2 2 2 4 8 2" xfId="7804"/>
    <cellStyle name="Heading 1 2 2 2 2 2 4 9" xfId="7805"/>
    <cellStyle name="Heading 1 2 2 2 2 2 5" xfId="7806"/>
    <cellStyle name="Heading 1 2 2 2 2 2 5 2" xfId="7807"/>
    <cellStyle name="Heading 1 2 2 2 2 2 5 2 2" xfId="7808"/>
    <cellStyle name="Heading 1 2 2 2 2 2 5 2 2 2" xfId="7809"/>
    <cellStyle name="Heading 1 2 2 2 2 2 5 2 3" xfId="7810"/>
    <cellStyle name="Heading 1 2 2 2 2 2 5 3" xfId="7811"/>
    <cellStyle name="Heading 1 2 2 2 2 2 5 3 2" xfId="7812"/>
    <cellStyle name="Heading 1 2 2 2 2 2 5 3 2 2" xfId="7813"/>
    <cellStyle name="Heading 1 2 2 2 2 2 5 3 3" xfId="7814"/>
    <cellStyle name="Heading 1 2 2 2 2 2 5 4" xfId="7815"/>
    <cellStyle name="Heading 1 2 2 2 2 2 5 4 2" xfId="7816"/>
    <cellStyle name="Heading 1 2 2 2 2 2 5 4 2 2" xfId="7817"/>
    <cellStyle name="Heading 1 2 2 2 2 2 5 4 3" xfId="7818"/>
    <cellStyle name="Heading 1 2 2 2 2 2 5 5" xfId="7819"/>
    <cellStyle name="Heading 1 2 2 2 2 2 5 5 2" xfId="7820"/>
    <cellStyle name="Heading 1 2 2 2 2 2 5 5 2 2" xfId="7821"/>
    <cellStyle name="Heading 1 2 2 2 2 2 5 5 3" xfId="7822"/>
    <cellStyle name="Heading 1 2 2 2 2 2 5 6" xfId="7823"/>
    <cellStyle name="Heading 1 2 2 2 2 2 5 6 2" xfId="7824"/>
    <cellStyle name="Heading 1 2 2 2 2 2 5 6 2 2" xfId="7825"/>
    <cellStyle name="Heading 1 2 2 2 2 2 5 6 3" xfId="7826"/>
    <cellStyle name="Heading 1 2 2 2 2 2 5 7" xfId="7827"/>
    <cellStyle name="Heading 1 2 2 2 2 2 5 7 2" xfId="7828"/>
    <cellStyle name="Heading 1 2 2 2 2 2 5 7 2 2" xfId="7829"/>
    <cellStyle name="Heading 1 2 2 2 2 2 5 7 3" xfId="7830"/>
    <cellStyle name="Heading 1 2 2 2 2 2 5 8" xfId="7831"/>
    <cellStyle name="Heading 1 2 2 2 2 2 5 8 2" xfId="7832"/>
    <cellStyle name="Heading 1 2 2 2 2 2 5 9" xfId="7833"/>
    <cellStyle name="Heading 1 2 2 2 2 2 6" xfId="7834"/>
    <cellStyle name="Heading 1 2 2 2 2 2 6 2" xfId="7835"/>
    <cellStyle name="Heading 1 2 2 2 2 2 6 2 2" xfId="7836"/>
    <cellStyle name="Heading 1 2 2 2 2 2 6 2 2 2" xfId="7837"/>
    <cellStyle name="Heading 1 2 2 2 2 2 6 2 3" xfId="7838"/>
    <cellStyle name="Heading 1 2 2 2 2 2 6 3" xfId="7839"/>
    <cellStyle name="Heading 1 2 2 2 2 2 6 3 2" xfId="7840"/>
    <cellStyle name="Heading 1 2 2 2 2 2 6 3 2 2" xfId="7841"/>
    <cellStyle name="Heading 1 2 2 2 2 2 6 3 3" xfId="7842"/>
    <cellStyle name="Heading 1 2 2 2 2 2 6 4" xfId="7843"/>
    <cellStyle name="Heading 1 2 2 2 2 2 6 4 2" xfId="7844"/>
    <cellStyle name="Heading 1 2 2 2 2 2 6 4 2 2" xfId="7845"/>
    <cellStyle name="Heading 1 2 2 2 2 2 6 4 3" xfId="7846"/>
    <cellStyle name="Heading 1 2 2 2 2 2 6 5" xfId="7847"/>
    <cellStyle name="Heading 1 2 2 2 2 2 6 5 2" xfId="7848"/>
    <cellStyle name="Heading 1 2 2 2 2 2 6 5 2 2" xfId="7849"/>
    <cellStyle name="Heading 1 2 2 2 2 2 6 5 3" xfId="7850"/>
    <cellStyle name="Heading 1 2 2 2 2 2 6 6" xfId="7851"/>
    <cellStyle name="Heading 1 2 2 2 2 2 6 6 2" xfId="7852"/>
    <cellStyle name="Heading 1 2 2 2 2 2 6 6 2 2" xfId="7853"/>
    <cellStyle name="Heading 1 2 2 2 2 2 6 6 3" xfId="7854"/>
    <cellStyle name="Heading 1 2 2 2 2 2 6 7" xfId="7855"/>
    <cellStyle name="Heading 1 2 2 2 2 2 6 7 2" xfId="7856"/>
    <cellStyle name="Heading 1 2 2 2 2 2 6 7 2 2" xfId="7857"/>
    <cellStyle name="Heading 1 2 2 2 2 2 6 7 3" xfId="7858"/>
    <cellStyle name="Heading 1 2 2 2 2 2 6 8" xfId="7859"/>
    <cellStyle name="Heading 1 2 2 2 2 2 6 8 2" xfId="7860"/>
    <cellStyle name="Heading 1 2 2 2 2 2 6 9" xfId="7861"/>
    <cellStyle name="Heading 1 2 2 2 2 2 7" xfId="7862"/>
    <cellStyle name="Heading 1 2 2 2 2 2 7 2" xfId="7863"/>
    <cellStyle name="Heading 1 2 2 2 2 2 7 2 2" xfId="7864"/>
    <cellStyle name="Heading 1 2 2 2 2 2 7 2 2 2" xfId="7865"/>
    <cellStyle name="Heading 1 2 2 2 2 2 7 2 3" xfId="7866"/>
    <cellStyle name="Heading 1 2 2 2 2 2 7 3" xfId="7867"/>
    <cellStyle name="Heading 1 2 2 2 2 2 7 3 2" xfId="7868"/>
    <cellStyle name="Heading 1 2 2 2 2 2 7 3 2 2" xfId="7869"/>
    <cellStyle name="Heading 1 2 2 2 2 2 7 3 3" xfId="7870"/>
    <cellStyle name="Heading 1 2 2 2 2 2 7 4" xfId="7871"/>
    <cellStyle name="Heading 1 2 2 2 2 2 7 4 2" xfId="7872"/>
    <cellStyle name="Heading 1 2 2 2 2 2 7 4 2 2" xfId="7873"/>
    <cellStyle name="Heading 1 2 2 2 2 2 7 4 3" xfId="7874"/>
    <cellStyle name="Heading 1 2 2 2 2 2 7 5" xfId="7875"/>
    <cellStyle name="Heading 1 2 2 2 2 2 7 5 2" xfId="7876"/>
    <cellStyle name="Heading 1 2 2 2 2 2 7 5 2 2" xfId="7877"/>
    <cellStyle name="Heading 1 2 2 2 2 2 7 5 3" xfId="7878"/>
    <cellStyle name="Heading 1 2 2 2 2 2 7 6" xfId="7879"/>
    <cellStyle name="Heading 1 2 2 2 2 2 7 6 2" xfId="7880"/>
    <cellStyle name="Heading 1 2 2 2 2 2 7 6 2 2" xfId="7881"/>
    <cellStyle name="Heading 1 2 2 2 2 2 7 6 3" xfId="7882"/>
    <cellStyle name="Heading 1 2 2 2 2 2 7 7" xfId="7883"/>
    <cellStyle name="Heading 1 2 2 2 2 2 7 7 2" xfId="7884"/>
    <cellStyle name="Heading 1 2 2 2 2 2 7 7 2 2" xfId="7885"/>
    <cellStyle name="Heading 1 2 2 2 2 2 7 7 3" xfId="7886"/>
    <cellStyle name="Heading 1 2 2 2 2 2 7 8" xfId="7887"/>
    <cellStyle name="Heading 1 2 2 2 2 2 7 8 2" xfId="7888"/>
    <cellStyle name="Heading 1 2 2 2 2 2 7 9" xfId="7889"/>
    <cellStyle name="Heading 1 2 2 2 2 2 8" xfId="7890"/>
    <cellStyle name="Heading 1 2 2 2 2 2 8 2" xfId="7891"/>
    <cellStyle name="Heading 1 2 2 2 2 2 8 2 2" xfId="7892"/>
    <cellStyle name="Heading 1 2 2 2 2 2 8 2 2 2" xfId="7893"/>
    <cellStyle name="Heading 1 2 2 2 2 2 8 2 3" xfId="7894"/>
    <cellStyle name="Heading 1 2 2 2 2 2 8 3" xfId="7895"/>
    <cellStyle name="Heading 1 2 2 2 2 2 8 3 2" xfId="7896"/>
    <cellStyle name="Heading 1 2 2 2 2 2 8 3 2 2" xfId="7897"/>
    <cellStyle name="Heading 1 2 2 2 2 2 8 3 3" xfId="7898"/>
    <cellStyle name="Heading 1 2 2 2 2 2 8 4" xfId="7899"/>
    <cellStyle name="Heading 1 2 2 2 2 2 8 4 2" xfId="7900"/>
    <cellStyle name="Heading 1 2 2 2 2 2 8 4 2 2" xfId="7901"/>
    <cellStyle name="Heading 1 2 2 2 2 2 8 4 3" xfId="7902"/>
    <cellStyle name="Heading 1 2 2 2 2 2 8 5" xfId="7903"/>
    <cellStyle name="Heading 1 2 2 2 2 2 8 5 2" xfId="7904"/>
    <cellStyle name="Heading 1 2 2 2 2 2 8 5 2 2" xfId="7905"/>
    <cellStyle name="Heading 1 2 2 2 2 2 8 5 3" xfId="7906"/>
    <cellStyle name="Heading 1 2 2 2 2 2 8 6" xfId="7907"/>
    <cellStyle name="Heading 1 2 2 2 2 2 8 6 2" xfId="7908"/>
    <cellStyle name="Heading 1 2 2 2 2 2 8 6 2 2" xfId="7909"/>
    <cellStyle name="Heading 1 2 2 2 2 2 8 6 3" xfId="7910"/>
    <cellStyle name="Heading 1 2 2 2 2 2 8 7" xfId="7911"/>
    <cellStyle name="Heading 1 2 2 2 2 2 8 7 2" xfId="7912"/>
    <cellStyle name="Heading 1 2 2 2 2 2 8 7 2 2" xfId="7913"/>
    <cellStyle name="Heading 1 2 2 2 2 2 8 7 3" xfId="7914"/>
    <cellStyle name="Heading 1 2 2 2 2 2 8 8" xfId="7915"/>
    <cellStyle name="Heading 1 2 2 2 2 2 8 8 2" xfId="7916"/>
    <cellStyle name="Heading 1 2 2 2 2 2 8 9" xfId="7917"/>
    <cellStyle name="Heading 1 2 2 2 2 2 9" xfId="7918"/>
    <cellStyle name="Heading 1 2 2 2 2 2 9 2" xfId="7919"/>
    <cellStyle name="Heading 1 2 2 2 2 2 9 2 2" xfId="7920"/>
    <cellStyle name="Heading 1 2 2 2 2 2 9 2 2 2" xfId="7921"/>
    <cellStyle name="Heading 1 2 2 2 2 2 9 2 3" xfId="7922"/>
    <cellStyle name="Heading 1 2 2 2 2 2 9 3" xfId="7923"/>
    <cellStyle name="Heading 1 2 2 2 2 2 9 3 2" xfId="7924"/>
    <cellStyle name="Heading 1 2 2 2 2 2 9 3 2 2" xfId="7925"/>
    <cellStyle name="Heading 1 2 2 2 2 2 9 3 3" xfId="7926"/>
    <cellStyle name="Heading 1 2 2 2 2 2 9 4" xfId="7927"/>
    <cellStyle name="Heading 1 2 2 2 2 2 9 4 2" xfId="7928"/>
    <cellStyle name="Heading 1 2 2 2 2 2 9 4 2 2" xfId="7929"/>
    <cellStyle name="Heading 1 2 2 2 2 2 9 4 3" xfId="7930"/>
    <cellStyle name="Heading 1 2 2 2 2 2 9 5" xfId="7931"/>
    <cellStyle name="Heading 1 2 2 2 2 2 9 5 2" xfId="7932"/>
    <cellStyle name="Heading 1 2 2 2 2 2 9 5 2 2" xfId="7933"/>
    <cellStyle name="Heading 1 2 2 2 2 2 9 5 3" xfId="7934"/>
    <cellStyle name="Heading 1 2 2 2 2 2 9 6" xfId="7935"/>
    <cellStyle name="Heading 1 2 2 2 2 2 9 6 2" xfId="7936"/>
    <cellStyle name="Heading 1 2 2 2 2 2 9 6 2 2" xfId="7937"/>
    <cellStyle name="Heading 1 2 2 2 2 2 9 6 3" xfId="7938"/>
    <cellStyle name="Heading 1 2 2 2 2 2 9 7" xfId="7939"/>
    <cellStyle name="Heading 1 2 2 2 2 2 9 7 2" xfId="7940"/>
    <cellStyle name="Heading 1 2 2 2 2 2 9 7 2 2" xfId="7941"/>
    <cellStyle name="Heading 1 2 2 2 2 2 9 7 3" xfId="7942"/>
    <cellStyle name="Heading 1 2 2 2 2 2 9 8" xfId="7943"/>
    <cellStyle name="Heading 1 2 2 2 2 2 9 8 2" xfId="7944"/>
    <cellStyle name="Heading 1 2 2 2 2 2 9 9" xfId="7945"/>
    <cellStyle name="Heading 1 2 2 2 2 3" xfId="7946"/>
    <cellStyle name="Heading 1 2 2 2 2 3 10" xfId="7947"/>
    <cellStyle name="Heading 1 2 2 2 2 3 10 2" xfId="7948"/>
    <cellStyle name="Heading 1 2 2 2 2 3 10 2 2" xfId="7949"/>
    <cellStyle name="Heading 1 2 2 2 2 3 10 3" xfId="7950"/>
    <cellStyle name="Heading 1 2 2 2 2 3 11" xfId="7951"/>
    <cellStyle name="Heading 1 2 2 2 2 3 11 2" xfId="7952"/>
    <cellStyle name="Heading 1 2 2 2 2 3 11 2 2" xfId="7953"/>
    <cellStyle name="Heading 1 2 2 2 2 3 11 3" xfId="7954"/>
    <cellStyle name="Heading 1 2 2 2 2 3 12" xfId="7955"/>
    <cellStyle name="Heading 1 2 2 2 2 3 12 2" xfId="7956"/>
    <cellStyle name="Heading 1 2 2 2 2 3 12 2 2" xfId="7957"/>
    <cellStyle name="Heading 1 2 2 2 2 3 12 3" xfId="7958"/>
    <cellStyle name="Heading 1 2 2 2 2 3 13" xfId="7959"/>
    <cellStyle name="Heading 1 2 2 2 2 3 13 2" xfId="7960"/>
    <cellStyle name="Heading 1 2 2 2 2 3 13 2 2" xfId="7961"/>
    <cellStyle name="Heading 1 2 2 2 2 3 13 3" xfId="7962"/>
    <cellStyle name="Heading 1 2 2 2 2 3 14" xfId="7963"/>
    <cellStyle name="Heading 1 2 2 2 2 3 14 2" xfId="7964"/>
    <cellStyle name="Heading 1 2 2 2 2 3 14 2 2" xfId="7965"/>
    <cellStyle name="Heading 1 2 2 2 2 3 14 3" xfId="7966"/>
    <cellStyle name="Heading 1 2 2 2 2 3 15" xfId="7967"/>
    <cellStyle name="Heading 1 2 2 2 2 3 15 2" xfId="7968"/>
    <cellStyle name="Heading 1 2 2 2 2 3 15 2 2" xfId="7969"/>
    <cellStyle name="Heading 1 2 2 2 2 3 15 3" xfId="7970"/>
    <cellStyle name="Heading 1 2 2 2 2 3 16" xfId="7971"/>
    <cellStyle name="Heading 1 2 2 2 2 3 16 2" xfId="7972"/>
    <cellStyle name="Heading 1 2 2 2 2 3 16 2 2" xfId="7973"/>
    <cellStyle name="Heading 1 2 2 2 2 3 16 3" xfId="7974"/>
    <cellStyle name="Heading 1 2 2 2 2 3 17" xfId="7975"/>
    <cellStyle name="Heading 1 2 2 2 2 3 17 2" xfId="7976"/>
    <cellStyle name="Heading 1 2 2 2 2 3 17 2 2" xfId="7977"/>
    <cellStyle name="Heading 1 2 2 2 2 3 17 3" xfId="7978"/>
    <cellStyle name="Heading 1 2 2 2 2 3 18" xfId="7979"/>
    <cellStyle name="Heading 1 2 2 2 2 3 18 2" xfId="7980"/>
    <cellStyle name="Heading 1 2 2 2 2 3 18 2 2" xfId="7981"/>
    <cellStyle name="Heading 1 2 2 2 2 3 18 3" xfId="7982"/>
    <cellStyle name="Heading 1 2 2 2 2 3 19" xfId="7983"/>
    <cellStyle name="Heading 1 2 2 2 2 3 19 2" xfId="7984"/>
    <cellStyle name="Heading 1 2 2 2 2 3 2" xfId="7985"/>
    <cellStyle name="Heading 1 2 2 2 2 3 2 2" xfId="7986"/>
    <cellStyle name="Heading 1 2 2 2 2 3 2 2 2" xfId="7987"/>
    <cellStyle name="Heading 1 2 2 2 2 3 2 2 2 2" xfId="7988"/>
    <cellStyle name="Heading 1 2 2 2 2 3 2 2 3" xfId="7989"/>
    <cellStyle name="Heading 1 2 2 2 2 3 2 3" xfId="7990"/>
    <cellStyle name="Heading 1 2 2 2 2 3 2 3 2" xfId="7991"/>
    <cellStyle name="Heading 1 2 2 2 2 3 2 3 2 2" xfId="7992"/>
    <cellStyle name="Heading 1 2 2 2 2 3 2 3 3" xfId="7993"/>
    <cellStyle name="Heading 1 2 2 2 2 3 2 4" xfId="7994"/>
    <cellStyle name="Heading 1 2 2 2 2 3 2 4 2" xfId="7995"/>
    <cellStyle name="Heading 1 2 2 2 2 3 2 4 2 2" xfId="7996"/>
    <cellStyle name="Heading 1 2 2 2 2 3 2 4 3" xfId="7997"/>
    <cellStyle name="Heading 1 2 2 2 2 3 2 5" xfId="7998"/>
    <cellStyle name="Heading 1 2 2 2 2 3 2 5 2" xfId="7999"/>
    <cellStyle name="Heading 1 2 2 2 2 3 2 5 2 2" xfId="8000"/>
    <cellStyle name="Heading 1 2 2 2 2 3 2 5 3" xfId="8001"/>
    <cellStyle name="Heading 1 2 2 2 2 3 2 6" xfId="8002"/>
    <cellStyle name="Heading 1 2 2 2 2 3 2 6 2" xfId="8003"/>
    <cellStyle name="Heading 1 2 2 2 2 3 2 6 2 2" xfId="8004"/>
    <cellStyle name="Heading 1 2 2 2 2 3 2 6 3" xfId="8005"/>
    <cellStyle name="Heading 1 2 2 2 2 3 2 7" xfId="8006"/>
    <cellStyle name="Heading 1 2 2 2 2 3 2 7 2" xfId="8007"/>
    <cellStyle name="Heading 1 2 2 2 2 3 2 7 2 2" xfId="8008"/>
    <cellStyle name="Heading 1 2 2 2 2 3 2 7 3" xfId="8009"/>
    <cellStyle name="Heading 1 2 2 2 2 3 2 8" xfId="8010"/>
    <cellStyle name="Heading 1 2 2 2 2 3 2 8 2" xfId="8011"/>
    <cellStyle name="Heading 1 2 2 2 2 3 2 9" xfId="8012"/>
    <cellStyle name="Heading 1 2 2 2 2 3 20" xfId="8013"/>
    <cellStyle name="Heading 1 2 2 2 2 3 20 2" xfId="8014"/>
    <cellStyle name="Heading 1 2 2 2 2 3 21" xfId="8015"/>
    <cellStyle name="Heading 1 2 2 2 2 3 21 2" xfId="8016"/>
    <cellStyle name="Heading 1 2 2 2 2 3 22" xfId="8017"/>
    <cellStyle name="Heading 1 2 2 2 2 3 3" xfId="8018"/>
    <cellStyle name="Heading 1 2 2 2 2 3 3 2" xfId="8019"/>
    <cellStyle name="Heading 1 2 2 2 2 3 3 2 2" xfId="8020"/>
    <cellStyle name="Heading 1 2 2 2 2 3 3 2 2 2" xfId="8021"/>
    <cellStyle name="Heading 1 2 2 2 2 3 3 2 3" xfId="8022"/>
    <cellStyle name="Heading 1 2 2 2 2 3 3 3" xfId="8023"/>
    <cellStyle name="Heading 1 2 2 2 2 3 3 3 2" xfId="8024"/>
    <cellStyle name="Heading 1 2 2 2 2 3 3 3 2 2" xfId="8025"/>
    <cellStyle name="Heading 1 2 2 2 2 3 3 3 3" xfId="8026"/>
    <cellStyle name="Heading 1 2 2 2 2 3 3 4" xfId="8027"/>
    <cellStyle name="Heading 1 2 2 2 2 3 3 4 2" xfId="8028"/>
    <cellStyle name="Heading 1 2 2 2 2 3 3 4 2 2" xfId="8029"/>
    <cellStyle name="Heading 1 2 2 2 2 3 3 4 3" xfId="8030"/>
    <cellStyle name="Heading 1 2 2 2 2 3 3 5" xfId="8031"/>
    <cellStyle name="Heading 1 2 2 2 2 3 3 5 2" xfId="8032"/>
    <cellStyle name="Heading 1 2 2 2 2 3 3 5 2 2" xfId="8033"/>
    <cellStyle name="Heading 1 2 2 2 2 3 3 5 3" xfId="8034"/>
    <cellStyle name="Heading 1 2 2 2 2 3 3 6" xfId="8035"/>
    <cellStyle name="Heading 1 2 2 2 2 3 3 6 2" xfId="8036"/>
    <cellStyle name="Heading 1 2 2 2 2 3 3 6 2 2" xfId="8037"/>
    <cellStyle name="Heading 1 2 2 2 2 3 3 6 3" xfId="8038"/>
    <cellStyle name="Heading 1 2 2 2 2 3 3 7" xfId="8039"/>
    <cellStyle name="Heading 1 2 2 2 2 3 3 7 2" xfId="8040"/>
    <cellStyle name="Heading 1 2 2 2 2 3 3 7 2 2" xfId="8041"/>
    <cellStyle name="Heading 1 2 2 2 2 3 3 7 3" xfId="8042"/>
    <cellStyle name="Heading 1 2 2 2 2 3 3 8" xfId="8043"/>
    <cellStyle name="Heading 1 2 2 2 2 3 3 8 2" xfId="8044"/>
    <cellStyle name="Heading 1 2 2 2 2 3 3 9" xfId="8045"/>
    <cellStyle name="Heading 1 2 2 2 2 3 4" xfId="8046"/>
    <cellStyle name="Heading 1 2 2 2 2 3 4 2" xfId="8047"/>
    <cellStyle name="Heading 1 2 2 2 2 3 4 2 2" xfId="8048"/>
    <cellStyle name="Heading 1 2 2 2 2 3 4 2 2 2" xfId="8049"/>
    <cellStyle name="Heading 1 2 2 2 2 3 4 2 3" xfId="8050"/>
    <cellStyle name="Heading 1 2 2 2 2 3 4 3" xfId="8051"/>
    <cellStyle name="Heading 1 2 2 2 2 3 4 3 2" xfId="8052"/>
    <cellStyle name="Heading 1 2 2 2 2 3 4 3 2 2" xfId="8053"/>
    <cellStyle name="Heading 1 2 2 2 2 3 4 3 3" xfId="8054"/>
    <cellStyle name="Heading 1 2 2 2 2 3 4 4" xfId="8055"/>
    <cellStyle name="Heading 1 2 2 2 2 3 4 4 2" xfId="8056"/>
    <cellStyle name="Heading 1 2 2 2 2 3 4 4 2 2" xfId="8057"/>
    <cellStyle name="Heading 1 2 2 2 2 3 4 4 3" xfId="8058"/>
    <cellStyle name="Heading 1 2 2 2 2 3 4 5" xfId="8059"/>
    <cellStyle name="Heading 1 2 2 2 2 3 4 5 2" xfId="8060"/>
    <cellStyle name="Heading 1 2 2 2 2 3 4 5 2 2" xfId="8061"/>
    <cellStyle name="Heading 1 2 2 2 2 3 4 5 3" xfId="8062"/>
    <cellStyle name="Heading 1 2 2 2 2 3 4 6" xfId="8063"/>
    <cellStyle name="Heading 1 2 2 2 2 3 4 6 2" xfId="8064"/>
    <cellStyle name="Heading 1 2 2 2 2 3 4 6 2 2" xfId="8065"/>
    <cellStyle name="Heading 1 2 2 2 2 3 4 6 3" xfId="8066"/>
    <cellStyle name="Heading 1 2 2 2 2 3 4 7" xfId="8067"/>
    <cellStyle name="Heading 1 2 2 2 2 3 4 7 2" xfId="8068"/>
    <cellStyle name="Heading 1 2 2 2 2 3 4 7 2 2" xfId="8069"/>
    <cellStyle name="Heading 1 2 2 2 2 3 4 7 3" xfId="8070"/>
    <cellStyle name="Heading 1 2 2 2 2 3 4 8" xfId="8071"/>
    <cellStyle name="Heading 1 2 2 2 2 3 4 8 2" xfId="8072"/>
    <cellStyle name="Heading 1 2 2 2 2 3 4 9" xfId="8073"/>
    <cellStyle name="Heading 1 2 2 2 2 3 5" xfId="8074"/>
    <cellStyle name="Heading 1 2 2 2 2 3 5 2" xfId="8075"/>
    <cellStyle name="Heading 1 2 2 2 2 3 5 2 2" xfId="8076"/>
    <cellStyle name="Heading 1 2 2 2 2 3 5 2 2 2" xfId="8077"/>
    <cellStyle name="Heading 1 2 2 2 2 3 5 2 3" xfId="8078"/>
    <cellStyle name="Heading 1 2 2 2 2 3 5 3" xfId="8079"/>
    <cellStyle name="Heading 1 2 2 2 2 3 5 3 2" xfId="8080"/>
    <cellStyle name="Heading 1 2 2 2 2 3 5 3 2 2" xfId="8081"/>
    <cellStyle name="Heading 1 2 2 2 2 3 5 3 3" xfId="8082"/>
    <cellStyle name="Heading 1 2 2 2 2 3 5 4" xfId="8083"/>
    <cellStyle name="Heading 1 2 2 2 2 3 5 4 2" xfId="8084"/>
    <cellStyle name="Heading 1 2 2 2 2 3 5 4 2 2" xfId="8085"/>
    <cellStyle name="Heading 1 2 2 2 2 3 5 4 3" xfId="8086"/>
    <cellStyle name="Heading 1 2 2 2 2 3 5 5" xfId="8087"/>
    <cellStyle name="Heading 1 2 2 2 2 3 5 5 2" xfId="8088"/>
    <cellStyle name="Heading 1 2 2 2 2 3 5 5 2 2" xfId="8089"/>
    <cellStyle name="Heading 1 2 2 2 2 3 5 5 3" xfId="8090"/>
    <cellStyle name="Heading 1 2 2 2 2 3 5 6" xfId="8091"/>
    <cellStyle name="Heading 1 2 2 2 2 3 5 6 2" xfId="8092"/>
    <cellStyle name="Heading 1 2 2 2 2 3 5 6 2 2" xfId="8093"/>
    <cellStyle name="Heading 1 2 2 2 2 3 5 6 3" xfId="8094"/>
    <cellStyle name="Heading 1 2 2 2 2 3 5 7" xfId="8095"/>
    <cellStyle name="Heading 1 2 2 2 2 3 5 7 2" xfId="8096"/>
    <cellStyle name="Heading 1 2 2 2 2 3 5 7 2 2" xfId="8097"/>
    <cellStyle name="Heading 1 2 2 2 2 3 5 7 3" xfId="8098"/>
    <cellStyle name="Heading 1 2 2 2 2 3 5 8" xfId="8099"/>
    <cellStyle name="Heading 1 2 2 2 2 3 5 8 2" xfId="8100"/>
    <cellStyle name="Heading 1 2 2 2 2 3 5 9" xfId="8101"/>
    <cellStyle name="Heading 1 2 2 2 2 3 6" xfId="8102"/>
    <cellStyle name="Heading 1 2 2 2 2 3 6 2" xfId="8103"/>
    <cellStyle name="Heading 1 2 2 2 2 3 6 2 2" xfId="8104"/>
    <cellStyle name="Heading 1 2 2 2 2 3 6 2 2 2" xfId="8105"/>
    <cellStyle name="Heading 1 2 2 2 2 3 6 2 3" xfId="8106"/>
    <cellStyle name="Heading 1 2 2 2 2 3 6 3" xfId="8107"/>
    <cellStyle name="Heading 1 2 2 2 2 3 6 3 2" xfId="8108"/>
    <cellStyle name="Heading 1 2 2 2 2 3 6 3 2 2" xfId="8109"/>
    <cellStyle name="Heading 1 2 2 2 2 3 6 3 3" xfId="8110"/>
    <cellStyle name="Heading 1 2 2 2 2 3 6 4" xfId="8111"/>
    <cellStyle name="Heading 1 2 2 2 2 3 6 4 2" xfId="8112"/>
    <cellStyle name="Heading 1 2 2 2 2 3 6 4 2 2" xfId="8113"/>
    <cellStyle name="Heading 1 2 2 2 2 3 6 4 3" xfId="8114"/>
    <cellStyle name="Heading 1 2 2 2 2 3 6 5" xfId="8115"/>
    <cellStyle name="Heading 1 2 2 2 2 3 6 5 2" xfId="8116"/>
    <cellStyle name="Heading 1 2 2 2 2 3 6 5 2 2" xfId="8117"/>
    <cellStyle name="Heading 1 2 2 2 2 3 6 5 3" xfId="8118"/>
    <cellStyle name="Heading 1 2 2 2 2 3 6 6" xfId="8119"/>
    <cellStyle name="Heading 1 2 2 2 2 3 6 6 2" xfId="8120"/>
    <cellStyle name="Heading 1 2 2 2 2 3 6 6 2 2" xfId="8121"/>
    <cellStyle name="Heading 1 2 2 2 2 3 6 6 3" xfId="8122"/>
    <cellStyle name="Heading 1 2 2 2 2 3 6 7" xfId="8123"/>
    <cellStyle name="Heading 1 2 2 2 2 3 6 7 2" xfId="8124"/>
    <cellStyle name="Heading 1 2 2 2 2 3 6 7 2 2" xfId="8125"/>
    <cellStyle name="Heading 1 2 2 2 2 3 6 7 3" xfId="8126"/>
    <cellStyle name="Heading 1 2 2 2 2 3 6 8" xfId="8127"/>
    <cellStyle name="Heading 1 2 2 2 2 3 6 8 2" xfId="8128"/>
    <cellStyle name="Heading 1 2 2 2 2 3 6 9" xfId="8129"/>
    <cellStyle name="Heading 1 2 2 2 2 3 7" xfId="8130"/>
    <cellStyle name="Heading 1 2 2 2 2 3 7 2" xfId="8131"/>
    <cellStyle name="Heading 1 2 2 2 2 3 7 2 2" xfId="8132"/>
    <cellStyle name="Heading 1 2 2 2 2 3 7 2 2 2" xfId="8133"/>
    <cellStyle name="Heading 1 2 2 2 2 3 7 2 3" xfId="8134"/>
    <cellStyle name="Heading 1 2 2 2 2 3 7 3" xfId="8135"/>
    <cellStyle name="Heading 1 2 2 2 2 3 7 3 2" xfId="8136"/>
    <cellStyle name="Heading 1 2 2 2 2 3 7 3 2 2" xfId="8137"/>
    <cellStyle name="Heading 1 2 2 2 2 3 7 3 3" xfId="8138"/>
    <cellStyle name="Heading 1 2 2 2 2 3 7 4" xfId="8139"/>
    <cellStyle name="Heading 1 2 2 2 2 3 7 4 2" xfId="8140"/>
    <cellStyle name="Heading 1 2 2 2 2 3 7 4 2 2" xfId="8141"/>
    <cellStyle name="Heading 1 2 2 2 2 3 7 4 3" xfId="8142"/>
    <cellStyle name="Heading 1 2 2 2 2 3 7 5" xfId="8143"/>
    <cellStyle name="Heading 1 2 2 2 2 3 7 5 2" xfId="8144"/>
    <cellStyle name="Heading 1 2 2 2 2 3 7 5 2 2" xfId="8145"/>
    <cellStyle name="Heading 1 2 2 2 2 3 7 5 3" xfId="8146"/>
    <cellStyle name="Heading 1 2 2 2 2 3 7 6" xfId="8147"/>
    <cellStyle name="Heading 1 2 2 2 2 3 7 6 2" xfId="8148"/>
    <cellStyle name="Heading 1 2 2 2 2 3 7 6 2 2" xfId="8149"/>
    <cellStyle name="Heading 1 2 2 2 2 3 7 6 3" xfId="8150"/>
    <cellStyle name="Heading 1 2 2 2 2 3 7 7" xfId="8151"/>
    <cellStyle name="Heading 1 2 2 2 2 3 7 7 2" xfId="8152"/>
    <cellStyle name="Heading 1 2 2 2 2 3 7 7 2 2" xfId="8153"/>
    <cellStyle name="Heading 1 2 2 2 2 3 7 7 3" xfId="8154"/>
    <cellStyle name="Heading 1 2 2 2 2 3 7 8" xfId="8155"/>
    <cellStyle name="Heading 1 2 2 2 2 3 7 8 2" xfId="8156"/>
    <cellStyle name="Heading 1 2 2 2 2 3 7 9" xfId="8157"/>
    <cellStyle name="Heading 1 2 2 2 2 3 8" xfId="8158"/>
    <cellStyle name="Heading 1 2 2 2 2 3 8 2" xfId="8159"/>
    <cellStyle name="Heading 1 2 2 2 2 3 8 2 2" xfId="8160"/>
    <cellStyle name="Heading 1 2 2 2 2 3 8 2 2 2" xfId="8161"/>
    <cellStyle name="Heading 1 2 2 2 2 3 8 2 3" xfId="8162"/>
    <cellStyle name="Heading 1 2 2 2 2 3 8 3" xfId="8163"/>
    <cellStyle name="Heading 1 2 2 2 2 3 8 3 2" xfId="8164"/>
    <cellStyle name="Heading 1 2 2 2 2 3 8 3 2 2" xfId="8165"/>
    <cellStyle name="Heading 1 2 2 2 2 3 8 3 3" xfId="8166"/>
    <cellStyle name="Heading 1 2 2 2 2 3 8 4" xfId="8167"/>
    <cellStyle name="Heading 1 2 2 2 2 3 8 4 2" xfId="8168"/>
    <cellStyle name="Heading 1 2 2 2 2 3 8 4 2 2" xfId="8169"/>
    <cellStyle name="Heading 1 2 2 2 2 3 8 4 3" xfId="8170"/>
    <cellStyle name="Heading 1 2 2 2 2 3 8 5" xfId="8171"/>
    <cellStyle name="Heading 1 2 2 2 2 3 8 5 2" xfId="8172"/>
    <cellStyle name="Heading 1 2 2 2 2 3 8 5 2 2" xfId="8173"/>
    <cellStyle name="Heading 1 2 2 2 2 3 8 5 3" xfId="8174"/>
    <cellStyle name="Heading 1 2 2 2 2 3 8 6" xfId="8175"/>
    <cellStyle name="Heading 1 2 2 2 2 3 8 6 2" xfId="8176"/>
    <cellStyle name="Heading 1 2 2 2 2 3 8 6 2 2" xfId="8177"/>
    <cellStyle name="Heading 1 2 2 2 2 3 8 6 3" xfId="8178"/>
    <cellStyle name="Heading 1 2 2 2 2 3 8 7" xfId="8179"/>
    <cellStyle name="Heading 1 2 2 2 2 3 8 7 2" xfId="8180"/>
    <cellStyle name="Heading 1 2 2 2 2 3 8 7 2 2" xfId="8181"/>
    <cellStyle name="Heading 1 2 2 2 2 3 8 7 3" xfId="8182"/>
    <cellStyle name="Heading 1 2 2 2 2 3 8 8" xfId="8183"/>
    <cellStyle name="Heading 1 2 2 2 2 3 8 8 2" xfId="8184"/>
    <cellStyle name="Heading 1 2 2 2 2 3 8 9" xfId="8185"/>
    <cellStyle name="Heading 1 2 2 2 2 3 9" xfId="8186"/>
    <cellStyle name="Heading 1 2 2 2 2 3 9 2" xfId="8187"/>
    <cellStyle name="Heading 1 2 2 2 2 3 9 2 2" xfId="8188"/>
    <cellStyle name="Heading 1 2 2 2 2 3 9 3" xfId="8189"/>
    <cellStyle name="Heading 1 2 2 2 2 4" xfId="8190"/>
    <cellStyle name="Heading 1 2 2 2 2 4 2" xfId="8191"/>
    <cellStyle name="Heading 1 2 2 2 2 4 2 2" xfId="8192"/>
    <cellStyle name="Heading 1 2 2 2 2 4 3" xfId="8193"/>
    <cellStyle name="Heading 1 2 2 2 2 5" xfId="8194"/>
    <cellStyle name="Heading 1 2 2 2 2 5 2" xfId="8195"/>
    <cellStyle name="Heading 1 2 2 2 2 6" xfId="8196"/>
    <cellStyle name="Heading 1 2 2 2 20" xfId="8197"/>
    <cellStyle name="Heading 1 2 2 2 3" xfId="8198"/>
    <cellStyle name="Heading 1 2 2 2 3 2" xfId="8199"/>
    <cellStyle name="Heading 1 2 2 2 3 2 10" xfId="8200"/>
    <cellStyle name="Heading 1 2 2 2 3 2 10 2" xfId="8201"/>
    <cellStyle name="Heading 1 2 2 2 3 2 10 2 2" xfId="8202"/>
    <cellStyle name="Heading 1 2 2 2 3 2 10 3" xfId="8203"/>
    <cellStyle name="Heading 1 2 2 2 3 2 11" xfId="8204"/>
    <cellStyle name="Heading 1 2 2 2 3 2 11 2" xfId="8205"/>
    <cellStyle name="Heading 1 2 2 2 3 2 11 2 2" xfId="8206"/>
    <cellStyle name="Heading 1 2 2 2 3 2 11 3" xfId="8207"/>
    <cellStyle name="Heading 1 2 2 2 3 2 12" xfId="8208"/>
    <cellStyle name="Heading 1 2 2 2 3 2 12 2" xfId="8209"/>
    <cellStyle name="Heading 1 2 2 2 3 2 12 2 2" xfId="8210"/>
    <cellStyle name="Heading 1 2 2 2 3 2 12 3" xfId="8211"/>
    <cellStyle name="Heading 1 2 2 2 3 2 13" xfId="8212"/>
    <cellStyle name="Heading 1 2 2 2 3 2 13 2" xfId="8213"/>
    <cellStyle name="Heading 1 2 2 2 3 2 13 2 2" xfId="8214"/>
    <cellStyle name="Heading 1 2 2 2 3 2 13 3" xfId="8215"/>
    <cellStyle name="Heading 1 2 2 2 3 2 14" xfId="8216"/>
    <cellStyle name="Heading 1 2 2 2 3 2 14 2" xfId="8217"/>
    <cellStyle name="Heading 1 2 2 2 3 2 14 2 2" xfId="8218"/>
    <cellStyle name="Heading 1 2 2 2 3 2 14 3" xfId="8219"/>
    <cellStyle name="Heading 1 2 2 2 3 2 15" xfId="8220"/>
    <cellStyle name="Heading 1 2 2 2 3 2 15 2" xfId="8221"/>
    <cellStyle name="Heading 1 2 2 2 3 2 15 2 2" xfId="8222"/>
    <cellStyle name="Heading 1 2 2 2 3 2 15 3" xfId="8223"/>
    <cellStyle name="Heading 1 2 2 2 3 2 16" xfId="8224"/>
    <cellStyle name="Heading 1 2 2 2 3 2 16 2" xfId="8225"/>
    <cellStyle name="Heading 1 2 2 2 3 2 16 2 2" xfId="8226"/>
    <cellStyle name="Heading 1 2 2 2 3 2 16 3" xfId="8227"/>
    <cellStyle name="Heading 1 2 2 2 3 2 17" xfId="8228"/>
    <cellStyle name="Heading 1 2 2 2 3 2 17 2" xfId="8229"/>
    <cellStyle name="Heading 1 2 2 2 3 2 17 2 2" xfId="8230"/>
    <cellStyle name="Heading 1 2 2 2 3 2 17 3" xfId="8231"/>
    <cellStyle name="Heading 1 2 2 2 3 2 18" xfId="8232"/>
    <cellStyle name="Heading 1 2 2 2 3 2 18 2" xfId="8233"/>
    <cellStyle name="Heading 1 2 2 2 3 2 18 2 2" xfId="8234"/>
    <cellStyle name="Heading 1 2 2 2 3 2 18 3" xfId="8235"/>
    <cellStyle name="Heading 1 2 2 2 3 2 19" xfId="8236"/>
    <cellStyle name="Heading 1 2 2 2 3 2 19 2" xfId="8237"/>
    <cellStyle name="Heading 1 2 2 2 3 2 19 2 2" xfId="8238"/>
    <cellStyle name="Heading 1 2 2 2 3 2 19 3" xfId="8239"/>
    <cellStyle name="Heading 1 2 2 2 3 2 2" xfId="8240"/>
    <cellStyle name="Heading 1 2 2 2 3 2 2 10" xfId="8241"/>
    <cellStyle name="Heading 1 2 2 2 3 2 2 10 2" xfId="8242"/>
    <cellStyle name="Heading 1 2 2 2 3 2 2 10 2 2" xfId="8243"/>
    <cellStyle name="Heading 1 2 2 2 3 2 2 10 3" xfId="8244"/>
    <cellStyle name="Heading 1 2 2 2 3 2 2 11" xfId="8245"/>
    <cellStyle name="Heading 1 2 2 2 3 2 2 11 2" xfId="8246"/>
    <cellStyle name="Heading 1 2 2 2 3 2 2 11 2 2" xfId="8247"/>
    <cellStyle name="Heading 1 2 2 2 3 2 2 11 3" xfId="8248"/>
    <cellStyle name="Heading 1 2 2 2 3 2 2 12" xfId="8249"/>
    <cellStyle name="Heading 1 2 2 2 3 2 2 12 2" xfId="8250"/>
    <cellStyle name="Heading 1 2 2 2 3 2 2 12 2 2" xfId="8251"/>
    <cellStyle name="Heading 1 2 2 2 3 2 2 12 3" xfId="8252"/>
    <cellStyle name="Heading 1 2 2 2 3 2 2 13" xfId="8253"/>
    <cellStyle name="Heading 1 2 2 2 3 2 2 13 2" xfId="8254"/>
    <cellStyle name="Heading 1 2 2 2 3 2 2 13 2 2" xfId="8255"/>
    <cellStyle name="Heading 1 2 2 2 3 2 2 13 3" xfId="8256"/>
    <cellStyle name="Heading 1 2 2 2 3 2 2 14" xfId="8257"/>
    <cellStyle name="Heading 1 2 2 2 3 2 2 14 2" xfId="8258"/>
    <cellStyle name="Heading 1 2 2 2 3 2 2 14 2 2" xfId="8259"/>
    <cellStyle name="Heading 1 2 2 2 3 2 2 14 3" xfId="8260"/>
    <cellStyle name="Heading 1 2 2 2 3 2 2 15" xfId="8261"/>
    <cellStyle name="Heading 1 2 2 2 3 2 2 15 2" xfId="8262"/>
    <cellStyle name="Heading 1 2 2 2 3 2 2 15 2 2" xfId="8263"/>
    <cellStyle name="Heading 1 2 2 2 3 2 2 15 3" xfId="8264"/>
    <cellStyle name="Heading 1 2 2 2 3 2 2 16" xfId="8265"/>
    <cellStyle name="Heading 1 2 2 2 3 2 2 16 2" xfId="8266"/>
    <cellStyle name="Heading 1 2 2 2 3 2 2 16 2 2" xfId="8267"/>
    <cellStyle name="Heading 1 2 2 2 3 2 2 16 3" xfId="8268"/>
    <cellStyle name="Heading 1 2 2 2 3 2 2 17" xfId="8269"/>
    <cellStyle name="Heading 1 2 2 2 3 2 2 17 2" xfId="8270"/>
    <cellStyle name="Heading 1 2 2 2 3 2 2 17 2 2" xfId="8271"/>
    <cellStyle name="Heading 1 2 2 2 3 2 2 17 3" xfId="8272"/>
    <cellStyle name="Heading 1 2 2 2 3 2 2 18" xfId="8273"/>
    <cellStyle name="Heading 1 2 2 2 3 2 2 18 2" xfId="8274"/>
    <cellStyle name="Heading 1 2 2 2 3 2 2 18 2 2" xfId="8275"/>
    <cellStyle name="Heading 1 2 2 2 3 2 2 18 3" xfId="8276"/>
    <cellStyle name="Heading 1 2 2 2 3 2 2 19" xfId="8277"/>
    <cellStyle name="Heading 1 2 2 2 3 2 2 19 2" xfId="8278"/>
    <cellStyle name="Heading 1 2 2 2 3 2 2 2" xfId="8279"/>
    <cellStyle name="Heading 1 2 2 2 3 2 2 2 2" xfId="8280"/>
    <cellStyle name="Heading 1 2 2 2 3 2 2 2 2 2" xfId="8281"/>
    <cellStyle name="Heading 1 2 2 2 3 2 2 2 2 2 2" xfId="8282"/>
    <cellStyle name="Heading 1 2 2 2 3 2 2 2 2 3" xfId="8283"/>
    <cellStyle name="Heading 1 2 2 2 3 2 2 2 3" xfId="8284"/>
    <cellStyle name="Heading 1 2 2 2 3 2 2 2 3 2" xfId="8285"/>
    <cellStyle name="Heading 1 2 2 2 3 2 2 2 3 2 2" xfId="8286"/>
    <cellStyle name="Heading 1 2 2 2 3 2 2 2 3 3" xfId="8287"/>
    <cellStyle name="Heading 1 2 2 2 3 2 2 2 4" xfId="8288"/>
    <cellStyle name="Heading 1 2 2 2 3 2 2 2 4 2" xfId="8289"/>
    <cellStyle name="Heading 1 2 2 2 3 2 2 2 4 2 2" xfId="8290"/>
    <cellStyle name="Heading 1 2 2 2 3 2 2 2 4 3" xfId="8291"/>
    <cellStyle name="Heading 1 2 2 2 3 2 2 2 5" xfId="8292"/>
    <cellStyle name="Heading 1 2 2 2 3 2 2 2 5 2" xfId="8293"/>
    <cellStyle name="Heading 1 2 2 2 3 2 2 2 5 2 2" xfId="8294"/>
    <cellStyle name="Heading 1 2 2 2 3 2 2 2 5 3" xfId="8295"/>
    <cellStyle name="Heading 1 2 2 2 3 2 2 2 6" xfId="8296"/>
    <cellStyle name="Heading 1 2 2 2 3 2 2 2 6 2" xfId="8297"/>
    <cellStyle name="Heading 1 2 2 2 3 2 2 2 6 2 2" xfId="8298"/>
    <cellStyle name="Heading 1 2 2 2 3 2 2 2 6 3" xfId="8299"/>
    <cellStyle name="Heading 1 2 2 2 3 2 2 2 7" xfId="8300"/>
    <cellStyle name="Heading 1 2 2 2 3 2 2 2 7 2" xfId="8301"/>
    <cellStyle name="Heading 1 2 2 2 3 2 2 2 7 2 2" xfId="8302"/>
    <cellStyle name="Heading 1 2 2 2 3 2 2 2 7 3" xfId="8303"/>
    <cellStyle name="Heading 1 2 2 2 3 2 2 2 8" xfId="8304"/>
    <cellStyle name="Heading 1 2 2 2 3 2 2 2 8 2" xfId="8305"/>
    <cellStyle name="Heading 1 2 2 2 3 2 2 2 9" xfId="8306"/>
    <cellStyle name="Heading 1 2 2 2 3 2 2 20" xfId="8307"/>
    <cellStyle name="Heading 1 2 2 2 3 2 2 20 2" xfId="8308"/>
    <cellStyle name="Heading 1 2 2 2 3 2 2 21" xfId="8309"/>
    <cellStyle name="Heading 1 2 2 2 3 2 2 21 2" xfId="8310"/>
    <cellStyle name="Heading 1 2 2 2 3 2 2 22" xfId="8311"/>
    <cellStyle name="Heading 1 2 2 2 3 2 2 3" xfId="8312"/>
    <cellStyle name="Heading 1 2 2 2 3 2 2 3 2" xfId="8313"/>
    <cellStyle name="Heading 1 2 2 2 3 2 2 3 2 2" xfId="8314"/>
    <cellStyle name="Heading 1 2 2 2 3 2 2 3 2 2 2" xfId="8315"/>
    <cellStyle name="Heading 1 2 2 2 3 2 2 3 2 3" xfId="8316"/>
    <cellStyle name="Heading 1 2 2 2 3 2 2 3 3" xfId="8317"/>
    <cellStyle name="Heading 1 2 2 2 3 2 2 3 3 2" xfId="8318"/>
    <cellStyle name="Heading 1 2 2 2 3 2 2 3 3 2 2" xfId="8319"/>
    <cellStyle name="Heading 1 2 2 2 3 2 2 3 3 3" xfId="8320"/>
    <cellStyle name="Heading 1 2 2 2 3 2 2 3 4" xfId="8321"/>
    <cellStyle name="Heading 1 2 2 2 3 2 2 3 4 2" xfId="8322"/>
    <cellStyle name="Heading 1 2 2 2 3 2 2 3 4 2 2" xfId="8323"/>
    <cellStyle name="Heading 1 2 2 2 3 2 2 3 4 3" xfId="8324"/>
    <cellStyle name="Heading 1 2 2 2 3 2 2 3 5" xfId="8325"/>
    <cellStyle name="Heading 1 2 2 2 3 2 2 3 5 2" xfId="8326"/>
    <cellStyle name="Heading 1 2 2 2 3 2 2 3 5 2 2" xfId="8327"/>
    <cellStyle name="Heading 1 2 2 2 3 2 2 3 5 3" xfId="8328"/>
    <cellStyle name="Heading 1 2 2 2 3 2 2 3 6" xfId="8329"/>
    <cellStyle name="Heading 1 2 2 2 3 2 2 3 6 2" xfId="8330"/>
    <cellStyle name="Heading 1 2 2 2 3 2 2 3 6 2 2" xfId="8331"/>
    <cellStyle name="Heading 1 2 2 2 3 2 2 3 6 3" xfId="8332"/>
    <cellStyle name="Heading 1 2 2 2 3 2 2 3 7" xfId="8333"/>
    <cellStyle name="Heading 1 2 2 2 3 2 2 3 7 2" xfId="8334"/>
    <cellStyle name="Heading 1 2 2 2 3 2 2 3 7 2 2" xfId="8335"/>
    <cellStyle name="Heading 1 2 2 2 3 2 2 3 7 3" xfId="8336"/>
    <cellStyle name="Heading 1 2 2 2 3 2 2 3 8" xfId="8337"/>
    <cellStyle name="Heading 1 2 2 2 3 2 2 3 8 2" xfId="8338"/>
    <cellStyle name="Heading 1 2 2 2 3 2 2 3 9" xfId="8339"/>
    <cellStyle name="Heading 1 2 2 2 3 2 2 4" xfId="8340"/>
    <cellStyle name="Heading 1 2 2 2 3 2 2 4 2" xfId="8341"/>
    <cellStyle name="Heading 1 2 2 2 3 2 2 4 2 2" xfId="8342"/>
    <cellStyle name="Heading 1 2 2 2 3 2 2 4 2 2 2" xfId="8343"/>
    <cellStyle name="Heading 1 2 2 2 3 2 2 4 2 3" xfId="8344"/>
    <cellStyle name="Heading 1 2 2 2 3 2 2 4 3" xfId="8345"/>
    <cellStyle name="Heading 1 2 2 2 3 2 2 4 3 2" xfId="8346"/>
    <cellStyle name="Heading 1 2 2 2 3 2 2 4 3 2 2" xfId="8347"/>
    <cellStyle name="Heading 1 2 2 2 3 2 2 4 3 3" xfId="8348"/>
    <cellStyle name="Heading 1 2 2 2 3 2 2 4 4" xfId="8349"/>
    <cellStyle name="Heading 1 2 2 2 3 2 2 4 4 2" xfId="8350"/>
    <cellStyle name="Heading 1 2 2 2 3 2 2 4 4 2 2" xfId="8351"/>
    <cellStyle name="Heading 1 2 2 2 3 2 2 4 4 3" xfId="8352"/>
    <cellStyle name="Heading 1 2 2 2 3 2 2 4 5" xfId="8353"/>
    <cellStyle name="Heading 1 2 2 2 3 2 2 4 5 2" xfId="8354"/>
    <cellStyle name="Heading 1 2 2 2 3 2 2 4 5 2 2" xfId="8355"/>
    <cellStyle name="Heading 1 2 2 2 3 2 2 4 5 3" xfId="8356"/>
    <cellStyle name="Heading 1 2 2 2 3 2 2 4 6" xfId="8357"/>
    <cellStyle name="Heading 1 2 2 2 3 2 2 4 6 2" xfId="8358"/>
    <cellStyle name="Heading 1 2 2 2 3 2 2 4 6 2 2" xfId="8359"/>
    <cellStyle name="Heading 1 2 2 2 3 2 2 4 6 3" xfId="8360"/>
    <cellStyle name="Heading 1 2 2 2 3 2 2 4 7" xfId="8361"/>
    <cellStyle name="Heading 1 2 2 2 3 2 2 4 7 2" xfId="8362"/>
    <cellStyle name="Heading 1 2 2 2 3 2 2 4 7 2 2" xfId="8363"/>
    <cellStyle name="Heading 1 2 2 2 3 2 2 4 7 3" xfId="8364"/>
    <cellStyle name="Heading 1 2 2 2 3 2 2 4 8" xfId="8365"/>
    <cellStyle name="Heading 1 2 2 2 3 2 2 4 8 2" xfId="8366"/>
    <cellStyle name="Heading 1 2 2 2 3 2 2 4 9" xfId="8367"/>
    <cellStyle name="Heading 1 2 2 2 3 2 2 5" xfId="8368"/>
    <cellStyle name="Heading 1 2 2 2 3 2 2 5 2" xfId="8369"/>
    <cellStyle name="Heading 1 2 2 2 3 2 2 5 2 2" xfId="8370"/>
    <cellStyle name="Heading 1 2 2 2 3 2 2 5 2 2 2" xfId="8371"/>
    <cellStyle name="Heading 1 2 2 2 3 2 2 5 2 3" xfId="8372"/>
    <cellStyle name="Heading 1 2 2 2 3 2 2 5 3" xfId="8373"/>
    <cellStyle name="Heading 1 2 2 2 3 2 2 5 3 2" xfId="8374"/>
    <cellStyle name="Heading 1 2 2 2 3 2 2 5 3 2 2" xfId="8375"/>
    <cellStyle name="Heading 1 2 2 2 3 2 2 5 3 3" xfId="8376"/>
    <cellStyle name="Heading 1 2 2 2 3 2 2 5 4" xfId="8377"/>
    <cellStyle name="Heading 1 2 2 2 3 2 2 5 4 2" xfId="8378"/>
    <cellStyle name="Heading 1 2 2 2 3 2 2 5 4 2 2" xfId="8379"/>
    <cellStyle name="Heading 1 2 2 2 3 2 2 5 4 3" xfId="8380"/>
    <cellStyle name="Heading 1 2 2 2 3 2 2 5 5" xfId="8381"/>
    <cellStyle name="Heading 1 2 2 2 3 2 2 5 5 2" xfId="8382"/>
    <cellStyle name="Heading 1 2 2 2 3 2 2 5 5 2 2" xfId="8383"/>
    <cellStyle name="Heading 1 2 2 2 3 2 2 5 5 3" xfId="8384"/>
    <cellStyle name="Heading 1 2 2 2 3 2 2 5 6" xfId="8385"/>
    <cellStyle name="Heading 1 2 2 2 3 2 2 5 6 2" xfId="8386"/>
    <cellStyle name="Heading 1 2 2 2 3 2 2 5 6 2 2" xfId="8387"/>
    <cellStyle name="Heading 1 2 2 2 3 2 2 5 6 3" xfId="8388"/>
    <cellStyle name="Heading 1 2 2 2 3 2 2 5 7" xfId="8389"/>
    <cellStyle name="Heading 1 2 2 2 3 2 2 5 7 2" xfId="8390"/>
    <cellStyle name="Heading 1 2 2 2 3 2 2 5 7 2 2" xfId="8391"/>
    <cellStyle name="Heading 1 2 2 2 3 2 2 5 7 3" xfId="8392"/>
    <cellStyle name="Heading 1 2 2 2 3 2 2 5 8" xfId="8393"/>
    <cellStyle name="Heading 1 2 2 2 3 2 2 5 8 2" xfId="8394"/>
    <cellStyle name="Heading 1 2 2 2 3 2 2 5 9" xfId="8395"/>
    <cellStyle name="Heading 1 2 2 2 3 2 2 6" xfId="8396"/>
    <cellStyle name="Heading 1 2 2 2 3 2 2 6 2" xfId="8397"/>
    <cellStyle name="Heading 1 2 2 2 3 2 2 6 2 2" xfId="8398"/>
    <cellStyle name="Heading 1 2 2 2 3 2 2 6 2 2 2" xfId="8399"/>
    <cellStyle name="Heading 1 2 2 2 3 2 2 6 2 3" xfId="8400"/>
    <cellStyle name="Heading 1 2 2 2 3 2 2 6 3" xfId="8401"/>
    <cellStyle name="Heading 1 2 2 2 3 2 2 6 3 2" xfId="8402"/>
    <cellStyle name="Heading 1 2 2 2 3 2 2 6 3 2 2" xfId="8403"/>
    <cellStyle name="Heading 1 2 2 2 3 2 2 6 3 3" xfId="8404"/>
    <cellStyle name="Heading 1 2 2 2 3 2 2 6 4" xfId="8405"/>
    <cellStyle name="Heading 1 2 2 2 3 2 2 6 4 2" xfId="8406"/>
    <cellStyle name="Heading 1 2 2 2 3 2 2 6 4 2 2" xfId="8407"/>
    <cellStyle name="Heading 1 2 2 2 3 2 2 6 4 3" xfId="8408"/>
    <cellStyle name="Heading 1 2 2 2 3 2 2 6 5" xfId="8409"/>
    <cellStyle name="Heading 1 2 2 2 3 2 2 6 5 2" xfId="8410"/>
    <cellStyle name="Heading 1 2 2 2 3 2 2 6 5 2 2" xfId="8411"/>
    <cellStyle name="Heading 1 2 2 2 3 2 2 6 5 3" xfId="8412"/>
    <cellStyle name="Heading 1 2 2 2 3 2 2 6 6" xfId="8413"/>
    <cellStyle name="Heading 1 2 2 2 3 2 2 6 6 2" xfId="8414"/>
    <cellStyle name="Heading 1 2 2 2 3 2 2 6 6 2 2" xfId="8415"/>
    <cellStyle name="Heading 1 2 2 2 3 2 2 6 6 3" xfId="8416"/>
    <cellStyle name="Heading 1 2 2 2 3 2 2 6 7" xfId="8417"/>
    <cellStyle name="Heading 1 2 2 2 3 2 2 6 7 2" xfId="8418"/>
    <cellStyle name="Heading 1 2 2 2 3 2 2 6 7 2 2" xfId="8419"/>
    <cellStyle name="Heading 1 2 2 2 3 2 2 6 7 3" xfId="8420"/>
    <cellStyle name="Heading 1 2 2 2 3 2 2 6 8" xfId="8421"/>
    <cellStyle name="Heading 1 2 2 2 3 2 2 6 8 2" xfId="8422"/>
    <cellStyle name="Heading 1 2 2 2 3 2 2 6 9" xfId="8423"/>
    <cellStyle name="Heading 1 2 2 2 3 2 2 7" xfId="8424"/>
    <cellStyle name="Heading 1 2 2 2 3 2 2 7 2" xfId="8425"/>
    <cellStyle name="Heading 1 2 2 2 3 2 2 7 2 2" xfId="8426"/>
    <cellStyle name="Heading 1 2 2 2 3 2 2 7 2 2 2" xfId="8427"/>
    <cellStyle name="Heading 1 2 2 2 3 2 2 7 2 3" xfId="8428"/>
    <cellStyle name="Heading 1 2 2 2 3 2 2 7 3" xfId="8429"/>
    <cellStyle name="Heading 1 2 2 2 3 2 2 7 3 2" xfId="8430"/>
    <cellStyle name="Heading 1 2 2 2 3 2 2 7 3 2 2" xfId="8431"/>
    <cellStyle name="Heading 1 2 2 2 3 2 2 7 3 3" xfId="8432"/>
    <cellStyle name="Heading 1 2 2 2 3 2 2 7 4" xfId="8433"/>
    <cellStyle name="Heading 1 2 2 2 3 2 2 7 4 2" xfId="8434"/>
    <cellStyle name="Heading 1 2 2 2 3 2 2 7 4 2 2" xfId="8435"/>
    <cellStyle name="Heading 1 2 2 2 3 2 2 7 4 3" xfId="8436"/>
    <cellStyle name="Heading 1 2 2 2 3 2 2 7 5" xfId="8437"/>
    <cellStyle name="Heading 1 2 2 2 3 2 2 7 5 2" xfId="8438"/>
    <cellStyle name="Heading 1 2 2 2 3 2 2 7 5 2 2" xfId="8439"/>
    <cellStyle name="Heading 1 2 2 2 3 2 2 7 5 3" xfId="8440"/>
    <cellStyle name="Heading 1 2 2 2 3 2 2 7 6" xfId="8441"/>
    <cellStyle name="Heading 1 2 2 2 3 2 2 7 6 2" xfId="8442"/>
    <cellStyle name="Heading 1 2 2 2 3 2 2 7 6 2 2" xfId="8443"/>
    <cellStyle name="Heading 1 2 2 2 3 2 2 7 6 3" xfId="8444"/>
    <cellStyle name="Heading 1 2 2 2 3 2 2 7 7" xfId="8445"/>
    <cellStyle name="Heading 1 2 2 2 3 2 2 7 7 2" xfId="8446"/>
    <cellStyle name="Heading 1 2 2 2 3 2 2 7 7 2 2" xfId="8447"/>
    <cellStyle name="Heading 1 2 2 2 3 2 2 7 7 3" xfId="8448"/>
    <cellStyle name="Heading 1 2 2 2 3 2 2 7 8" xfId="8449"/>
    <cellStyle name="Heading 1 2 2 2 3 2 2 7 8 2" xfId="8450"/>
    <cellStyle name="Heading 1 2 2 2 3 2 2 7 9" xfId="8451"/>
    <cellStyle name="Heading 1 2 2 2 3 2 2 8" xfId="8452"/>
    <cellStyle name="Heading 1 2 2 2 3 2 2 8 2" xfId="8453"/>
    <cellStyle name="Heading 1 2 2 2 3 2 2 8 2 2" xfId="8454"/>
    <cellStyle name="Heading 1 2 2 2 3 2 2 8 2 2 2" xfId="8455"/>
    <cellStyle name="Heading 1 2 2 2 3 2 2 8 2 3" xfId="8456"/>
    <cellStyle name="Heading 1 2 2 2 3 2 2 8 3" xfId="8457"/>
    <cellStyle name="Heading 1 2 2 2 3 2 2 8 3 2" xfId="8458"/>
    <cellStyle name="Heading 1 2 2 2 3 2 2 8 3 2 2" xfId="8459"/>
    <cellStyle name="Heading 1 2 2 2 3 2 2 8 3 3" xfId="8460"/>
    <cellStyle name="Heading 1 2 2 2 3 2 2 8 4" xfId="8461"/>
    <cellStyle name="Heading 1 2 2 2 3 2 2 8 4 2" xfId="8462"/>
    <cellStyle name="Heading 1 2 2 2 3 2 2 8 4 2 2" xfId="8463"/>
    <cellStyle name="Heading 1 2 2 2 3 2 2 8 4 3" xfId="8464"/>
    <cellStyle name="Heading 1 2 2 2 3 2 2 8 5" xfId="8465"/>
    <cellStyle name="Heading 1 2 2 2 3 2 2 8 5 2" xfId="8466"/>
    <cellStyle name="Heading 1 2 2 2 3 2 2 8 5 2 2" xfId="8467"/>
    <cellStyle name="Heading 1 2 2 2 3 2 2 8 5 3" xfId="8468"/>
    <cellStyle name="Heading 1 2 2 2 3 2 2 8 6" xfId="8469"/>
    <cellStyle name="Heading 1 2 2 2 3 2 2 8 6 2" xfId="8470"/>
    <cellStyle name="Heading 1 2 2 2 3 2 2 8 6 2 2" xfId="8471"/>
    <cellStyle name="Heading 1 2 2 2 3 2 2 8 6 3" xfId="8472"/>
    <cellStyle name="Heading 1 2 2 2 3 2 2 8 7" xfId="8473"/>
    <cellStyle name="Heading 1 2 2 2 3 2 2 8 7 2" xfId="8474"/>
    <cellStyle name="Heading 1 2 2 2 3 2 2 8 7 2 2" xfId="8475"/>
    <cellStyle name="Heading 1 2 2 2 3 2 2 8 7 3" xfId="8476"/>
    <cellStyle name="Heading 1 2 2 2 3 2 2 8 8" xfId="8477"/>
    <cellStyle name="Heading 1 2 2 2 3 2 2 8 8 2" xfId="8478"/>
    <cellStyle name="Heading 1 2 2 2 3 2 2 8 9" xfId="8479"/>
    <cellStyle name="Heading 1 2 2 2 3 2 2 9" xfId="8480"/>
    <cellStyle name="Heading 1 2 2 2 3 2 2 9 2" xfId="8481"/>
    <cellStyle name="Heading 1 2 2 2 3 2 2 9 2 2" xfId="8482"/>
    <cellStyle name="Heading 1 2 2 2 3 2 2 9 3" xfId="8483"/>
    <cellStyle name="Heading 1 2 2 2 3 2 20" xfId="8484"/>
    <cellStyle name="Heading 1 2 2 2 3 2 20 2" xfId="8485"/>
    <cellStyle name="Heading 1 2 2 2 3 2 21" xfId="8486"/>
    <cellStyle name="Heading 1 2 2 2 3 2 21 2" xfId="8487"/>
    <cellStyle name="Heading 1 2 2 2 3 2 22" xfId="8488"/>
    <cellStyle name="Heading 1 2 2 2 3 2 22 2" xfId="8489"/>
    <cellStyle name="Heading 1 2 2 2 3 2 23" xfId="8490"/>
    <cellStyle name="Heading 1 2 2 2 3 2 3" xfId="8491"/>
    <cellStyle name="Heading 1 2 2 2 3 2 3 2" xfId="8492"/>
    <cellStyle name="Heading 1 2 2 2 3 2 3 2 2" xfId="8493"/>
    <cellStyle name="Heading 1 2 2 2 3 2 3 2 2 2" xfId="8494"/>
    <cellStyle name="Heading 1 2 2 2 3 2 3 2 3" xfId="8495"/>
    <cellStyle name="Heading 1 2 2 2 3 2 3 3" xfId="8496"/>
    <cellStyle name="Heading 1 2 2 2 3 2 3 3 2" xfId="8497"/>
    <cellStyle name="Heading 1 2 2 2 3 2 3 3 2 2" xfId="8498"/>
    <cellStyle name="Heading 1 2 2 2 3 2 3 3 3" xfId="8499"/>
    <cellStyle name="Heading 1 2 2 2 3 2 3 4" xfId="8500"/>
    <cellStyle name="Heading 1 2 2 2 3 2 3 4 2" xfId="8501"/>
    <cellStyle name="Heading 1 2 2 2 3 2 3 4 2 2" xfId="8502"/>
    <cellStyle name="Heading 1 2 2 2 3 2 3 4 3" xfId="8503"/>
    <cellStyle name="Heading 1 2 2 2 3 2 3 5" xfId="8504"/>
    <cellStyle name="Heading 1 2 2 2 3 2 3 5 2" xfId="8505"/>
    <cellStyle name="Heading 1 2 2 2 3 2 3 5 2 2" xfId="8506"/>
    <cellStyle name="Heading 1 2 2 2 3 2 3 5 3" xfId="8507"/>
    <cellStyle name="Heading 1 2 2 2 3 2 3 6" xfId="8508"/>
    <cellStyle name="Heading 1 2 2 2 3 2 3 6 2" xfId="8509"/>
    <cellStyle name="Heading 1 2 2 2 3 2 3 6 2 2" xfId="8510"/>
    <cellStyle name="Heading 1 2 2 2 3 2 3 6 3" xfId="8511"/>
    <cellStyle name="Heading 1 2 2 2 3 2 3 7" xfId="8512"/>
    <cellStyle name="Heading 1 2 2 2 3 2 3 7 2" xfId="8513"/>
    <cellStyle name="Heading 1 2 2 2 3 2 3 7 2 2" xfId="8514"/>
    <cellStyle name="Heading 1 2 2 2 3 2 3 7 3" xfId="8515"/>
    <cellStyle name="Heading 1 2 2 2 3 2 3 8" xfId="8516"/>
    <cellStyle name="Heading 1 2 2 2 3 2 3 8 2" xfId="8517"/>
    <cellStyle name="Heading 1 2 2 2 3 2 3 9" xfId="8518"/>
    <cellStyle name="Heading 1 2 2 2 3 2 4" xfId="8519"/>
    <cellStyle name="Heading 1 2 2 2 3 2 4 2" xfId="8520"/>
    <cellStyle name="Heading 1 2 2 2 3 2 4 2 2" xfId="8521"/>
    <cellStyle name="Heading 1 2 2 2 3 2 4 2 2 2" xfId="8522"/>
    <cellStyle name="Heading 1 2 2 2 3 2 4 2 3" xfId="8523"/>
    <cellStyle name="Heading 1 2 2 2 3 2 4 3" xfId="8524"/>
    <cellStyle name="Heading 1 2 2 2 3 2 4 3 2" xfId="8525"/>
    <cellStyle name="Heading 1 2 2 2 3 2 4 3 2 2" xfId="8526"/>
    <cellStyle name="Heading 1 2 2 2 3 2 4 3 3" xfId="8527"/>
    <cellStyle name="Heading 1 2 2 2 3 2 4 4" xfId="8528"/>
    <cellStyle name="Heading 1 2 2 2 3 2 4 4 2" xfId="8529"/>
    <cellStyle name="Heading 1 2 2 2 3 2 4 4 2 2" xfId="8530"/>
    <cellStyle name="Heading 1 2 2 2 3 2 4 4 3" xfId="8531"/>
    <cellStyle name="Heading 1 2 2 2 3 2 4 5" xfId="8532"/>
    <cellStyle name="Heading 1 2 2 2 3 2 4 5 2" xfId="8533"/>
    <cellStyle name="Heading 1 2 2 2 3 2 4 5 2 2" xfId="8534"/>
    <cellStyle name="Heading 1 2 2 2 3 2 4 5 3" xfId="8535"/>
    <cellStyle name="Heading 1 2 2 2 3 2 4 6" xfId="8536"/>
    <cellStyle name="Heading 1 2 2 2 3 2 4 6 2" xfId="8537"/>
    <cellStyle name="Heading 1 2 2 2 3 2 4 6 2 2" xfId="8538"/>
    <cellStyle name="Heading 1 2 2 2 3 2 4 6 3" xfId="8539"/>
    <cellStyle name="Heading 1 2 2 2 3 2 4 7" xfId="8540"/>
    <cellStyle name="Heading 1 2 2 2 3 2 4 7 2" xfId="8541"/>
    <cellStyle name="Heading 1 2 2 2 3 2 4 7 2 2" xfId="8542"/>
    <cellStyle name="Heading 1 2 2 2 3 2 4 7 3" xfId="8543"/>
    <cellStyle name="Heading 1 2 2 2 3 2 4 8" xfId="8544"/>
    <cellStyle name="Heading 1 2 2 2 3 2 4 8 2" xfId="8545"/>
    <cellStyle name="Heading 1 2 2 2 3 2 4 9" xfId="8546"/>
    <cellStyle name="Heading 1 2 2 2 3 2 5" xfId="8547"/>
    <cellStyle name="Heading 1 2 2 2 3 2 5 2" xfId="8548"/>
    <cellStyle name="Heading 1 2 2 2 3 2 5 2 2" xfId="8549"/>
    <cellStyle name="Heading 1 2 2 2 3 2 5 2 2 2" xfId="8550"/>
    <cellStyle name="Heading 1 2 2 2 3 2 5 2 3" xfId="8551"/>
    <cellStyle name="Heading 1 2 2 2 3 2 5 3" xfId="8552"/>
    <cellStyle name="Heading 1 2 2 2 3 2 5 3 2" xfId="8553"/>
    <cellStyle name="Heading 1 2 2 2 3 2 5 3 2 2" xfId="8554"/>
    <cellStyle name="Heading 1 2 2 2 3 2 5 3 3" xfId="8555"/>
    <cellStyle name="Heading 1 2 2 2 3 2 5 4" xfId="8556"/>
    <cellStyle name="Heading 1 2 2 2 3 2 5 4 2" xfId="8557"/>
    <cellStyle name="Heading 1 2 2 2 3 2 5 4 2 2" xfId="8558"/>
    <cellStyle name="Heading 1 2 2 2 3 2 5 4 3" xfId="8559"/>
    <cellStyle name="Heading 1 2 2 2 3 2 5 5" xfId="8560"/>
    <cellStyle name="Heading 1 2 2 2 3 2 5 5 2" xfId="8561"/>
    <cellStyle name="Heading 1 2 2 2 3 2 5 5 2 2" xfId="8562"/>
    <cellStyle name="Heading 1 2 2 2 3 2 5 5 3" xfId="8563"/>
    <cellStyle name="Heading 1 2 2 2 3 2 5 6" xfId="8564"/>
    <cellStyle name="Heading 1 2 2 2 3 2 5 6 2" xfId="8565"/>
    <cellStyle name="Heading 1 2 2 2 3 2 5 6 2 2" xfId="8566"/>
    <cellStyle name="Heading 1 2 2 2 3 2 5 6 3" xfId="8567"/>
    <cellStyle name="Heading 1 2 2 2 3 2 5 7" xfId="8568"/>
    <cellStyle name="Heading 1 2 2 2 3 2 5 7 2" xfId="8569"/>
    <cellStyle name="Heading 1 2 2 2 3 2 5 7 2 2" xfId="8570"/>
    <cellStyle name="Heading 1 2 2 2 3 2 5 7 3" xfId="8571"/>
    <cellStyle name="Heading 1 2 2 2 3 2 5 8" xfId="8572"/>
    <cellStyle name="Heading 1 2 2 2 3 2 5 8 2" xfId="8573"/>
    <cellStyle name="Heading 1 2 2 2 3 2 5 9" xfId="8574"/>
    <cellStyle name="Heading 1 2 2 2 3 2 6" xfId="8575"/>
    <cellStyle name="Heading 1 2 2 2 3 2 6 2" xfId="8576"/>
    <cellStyle name="Heading 1 2 2 2 3 2 6 2 2" xfId="8577"/>
    <cellStyle name="Heading 1 2 2 2 3 2 6 2 2 2" xfId="8578"/>
    <cellStyle name="Heading 1 2 2 2 3 2 6 2 3" xfId="8579"/>
    <cellStyle name="Heading 1 2 2 2 3 2 6 3" xfId="8580"/>
    <cellStyle name="Heading 1 2 2 2 3 2 6 3 2" xfId="8581"/>
    <cellStyle name="Heading 1 2 2 2 3 2 6 3 2 2" xfId="8582"/>
    <cellStyle name="Heading 1 2 2 2 3 2 6 3 3" xfId="8583"/>
    <cellStyle name="Heading 1 2 2 2 3 2 6 4" xfId="8584"/>
    <cellStyle name="Heading 1 2 2 2 3 2 6 4 2" xfId="8585"/>
    <cellStyle name="Heading 1 2 2 2 3 2 6 4 2 2" xfId="8586"/>
    <cellStyle name="Heading 1 2 2 2 3 2 6 4 3" xfId="8587"/>
    <cellStyle name="Heading 1 2 2 2 3 2 6 5" xfId="8588"/>
    <cellStyle name="Heading 1 2 2 2 3 2 6 5 2" xfId="8589"/>
    <cellStyle name="Heading 1 2 2 2 3 2 6 5 2 2" xfId="8590"/>
    <cellStyle name="Heading 1 2 2 2 3 2 6 5 3" xfId="8591"/>
    <cellStyle name="Heading 1 2 2 2 3 2 6 6" xfId="8592"/>
    <cellStyle name="Heading 1 2 2 2 3 2 6 6 2" xfId="8593"/>
    <cellStyle name="Heading 1 2 2 2 3 2 6 6 2 2" xfId="8594"/>
    <cellStyle name="Heading 1 2 2 2 3 2 6 6 3" xfId="8595"/>
    <cellStyle name="Heading 1 2 2 2 3 2 6 7" xfId="8596"/>
    <cellStyle name="Heading 1 2 2 2 3 2 6 7 2" xfId="8597"/>
    <cellStyle name="Heading 1 2 2 2 3 2 6 7 2 2" xfId="8598"/>
    <cellStyle name="Heading 1 2 2 2 3 2 6 7 3" xfId="8599"/>
    <cellStyle name="Heading 1 2 2 2 3 2 6 8" xfId="8600"/>
    <cellStyle name="Heading 1 2 2 2 3 2 6 8 2" xfId="8601"/>
    <cellStyle name="Heading 1 2 2 2 3 2 6 9" xfId="8602"/>
    <cellStyle name="Heading 1 2 2 2 3 2 7" xfId="8603"/>
    <cellStyle name="Heading 1 2 2 2 3 2 7 2" xfId="8604"/>
    <cellStyle name="Heading 1 2 2 2 3 2 7 2 2" xfId="8605"/>
    <cellStyle name="Heading 1 2 2 2 3 2 7 2 2 2" xfId="8606"/>
    <cellStyle name="Heading 1 2 2 2 3 2 7 2 3" xfId="8607"/>
    <cellStyle name="Heading 1 2 2 2 3 2 7 3" xfId="8608"/>
    <cellStyle name="Heading 1 2 2 2 3 2 7 3 2" xfId="8609"/>
    <cellStyle name="Heading 1 2 2 2 3 2 7 3 2 2" xfId="8610"/>
    <cellStyle name="Heading 1 2 2 2 3 2 7 3 3" xfId="8611"/>
    <cellStyle name="Heading 1 2 2 2 3 2 7 4" xfId="8612"/>
    <cellStyle name="Heading 1 2 2 2 3 2 7 4 2" xfId="8613"/>
    <cellStyle name="Heading 1 2 2 2 3 2 7 4 2 2" xfId="8614"/>
    <cellStyle name="Heading 1 2 2 2 3 2 7 4 3" xfId="8615"/>
    <cellStyle name="Heading 1 2 2 2 3 2 7 5" xfId="8616"/>
    <cellStyle name="Heading 1 2 2 2 3 2 7 5 2" xfId="8617"/>
    <cellStyle name="Heading 1 2 2 2 3 2 7 5 2 2" xfId="8618"/>
    <cellStyle name="Heading 1 2 2 2 3 2 7 5 3" xfId="8619"/>
    <cellStyle name="Heading 1 2 2 2 3 2 7 6" xfId="8620"/>
    <cellStyle name="Heading 1 2 2 2 3 2 7 6 2" xfId="8621"/>
    <cellStyle name="Heading 1 2 2 2 3 2 7 6 2 2" xfId="8622"/>
    <cellStyle name="Heading 1 2 2 2 3 2 7 6 3" xfId="8623"/>
    <cellStyle name="Heading 1 2 2 2 3 2 7 7" xfId="8624"/>
    <cellStyle name="Heading 1 2 2 2 3 2 7 7 2" xfId="8625"/>
    <cellStyle name="Heading 1 2 2 2 3 2 7 7 2 2" xfId="8626"/>
    <cellStyle name="Heading 1 2 2 2 3 2 7 7 3" xfId="8627"/>
    <cellStyle name="Heading 1 2 2 2 3 2 7 8" xfId="8628"/>
    <cellStyle name="Heading 1 2 2 2 3 2 7 8 2" xfId="8629"/>
    <cellStyle name="Heading 1 2 2 2 3 2 7 9" xfId="8630"/>
    <cellStyle name="Heading 1 2 2 2 3 2 8" xfId="8631"/>
    <cellStyle name="Heading 1 2 2 2 3 2 8 2" xfId="8632"/>
    <cellStyle name="Heading 1 2 2 2 3 2 8 2 2" xfId="8633"/>
    <cellStyle name="Heading 1 2 2 2 3 2 8 2 2 2" xfId="8634"/>
    <cellStyle name="Heading 1 2 2 2 3 2 8 2 3" xfId="8635"/>
    <cellStyle name="Heading 1 2 2 2 3 2 8 3" xfId="8636"/>
    <cellStyle name="Heading 1 2 2 2 3 2 8 3 2" xfId="8637"/>
    <cellStyle name="Heading 1 2 2 2 3 2 8 3 2 2" xfId="8638"/>
    <cellStyle name="Heading 1 2 2 2 3 2 8 3 3" xfId="8639"/>
    <cellStyle name="Heading 1 2 2 2 3 2 8 4" xfId="8640"/>
    <cellStyle name="Heading 1 2 2 2 3 2 8 4 2" xfId="8641"/>
    <cellStyle name="Heading 1 2 2 2 3 2 8 4 2 2" xfId="8642"/>
    <cellStyle name="Heading 1 2 2 2 3 2 8 4 3" xfId="8643"/>
    <cellStyle name="Heading 1 2 2 2 3 2 8 5" xfId="8644"/>
    <cellStyle name="Heading 1 2 2 2 3 2 8 5 2" xfId="8645"/>
    <cellStyle name="Heading 1 2 2 2 3 2 8 5 2 2" xfId="8646"/>
    <cellStyle name="Heading 1 2 2 2 3 2 8 5 3" xfId="8647"/>
    <cellStyle name="Heading 1 2 2 2 3 2 8 6" xfId="8648"/>
    <cellStyle name="Heading 1 2 2 2 3 2 8 6 2" xfId="8649"/>
    <cellStyle name="Heading 1 2 2 2 3 2 8 6 2 2" xfId="8650"/>
    <cellStyle name="Heading 1 2 2 2 3 2 8 6 3" xfId="8651"/>
    <cellStyle name="Heading 1 2 2 2 3 2 8 7" xfId="8652"/>
    <cellStyle name="Heading 1 2 2 2 3 2 8 7 2" xfId="8653"/>
    <cellStyle name="Heading 1 2 2 2 3 2 8 7 2 2" xfId="8654"/>
    <cellStyle name="Heading 1 2 2 2 3 2 8 7 3" xfId="8655"/>
    <cellStyle name="Heading 1 2 2 2 3 2 8 8" xfId="8656"/>
    <cellStyle name="Heading 1 2 2 2 3 2 8 8 2" xfId="8657"/>
    <cellStyle name="Heading 1 2 2 2 3 2 8 9" xfId="8658"/>
    <cellStyle name="Heading 1 2 2 2 3 2 9" xfId="8659"/>
    <cellStyle name="Heading 1 2 2 2 3 2 9 2" xfId="8660"/>
    <cellStyle name="Heading 1 2 2 2 3 2 9 2 2" xfId="8661"/>
    <cellStyle name="Heading 1 2 2 2 3 2 9 2 2 2" xfId="8662"/>
    <cellStyle name="Heading 1 2 2 2 3 2 9 2 3" xfId="8663"/>
    <cellStyle name="Heading 1 2 2 2 3 2 9 3" xfId="8664"/>
    <cellStyle name="Heading 1 2 2 2 3 2 9 3 2" xfId="8665"/>
    <cellStyle name="Heading 1 2 2 2 3 2 9 3 2 2" xfId="8666"/>
    <cellStyle name="Heading 1 2 2 2 3 2 9 3 3" xfId="8667"/>
    <cellStyle name="Heading 1 2 2 2 3 2 9 4" xfId="8668"/>
    <cellStyle name="Heading 1 2 2 2 3 2 9 4 2" xfId="8669"/>
    <cellStyle name="Heading 1 2 2 2 3 2 9 4 2 2" xfId="8670"/>
    <cellStyle name="Heading 1 2 2 2 3 2 9 4 3" xfId="8671"/>
    <cellStyle name="Heading 1 2 2 2 3 2 9 5" xfId="8672"/>
    <cellStyle name="Heading 1 2 2 2 3 2 9 5 2" xfId="8673"/>
    <cellStyle name="Heading 1 2 2 2 3 2 9 5 2 2" xfId="8674"/>
    <cellStyle name="Heading 1 2 2 2 3 2 9 5 3" xfId="8675"/>
    <cellStyle name="Heading 1 2 2 2 3 2 9 6" xfId="8676"/>
    <cellStyle name="Heading 1 2 2 2 3 2 9 6 2" xfId="8677"/>
    <cellStyle name="Heading 1 2 2 2 3 2 9 6 2 2" xfId="8678"/>
    <cellStyle name="Heading 1 2 2 2 3 2 9 6 3" xfId="8679"/>
    <cellStyle name="Heading 1 2 2 2 3 2 9 7" xfId="8680"/>
    <cellStyle name="Heading 1 2 2 2 3 2 9 7 2" xfId="8681"/>
    <cellStyle name="Heading 1 2 2 2 3 2 9 7 2 2" xfId="8682"/>
    <cellStyle name="Heading 1 2 2 2 3 2 9 7 3" xfId="8683"/>
    <cellStyle name="Heading 1 2 2 2 3 2 9 8" xfId="8684"/>
    <cellStyle name="Heading 1 2 2 2 3 2 9 8 2" xfId="8685"/>
    <cellStyle name="Heading 1 2 2 2 3 2 9 9" xfId="8686"/>
    <cellStyle name="Heading 1 2 2 2 3 3" xfId="8687"/>
    <cellStyle name="Heading 1 2 2 2 3 3 10" xfId="8688"/>
    <cellStyle name="Heading 1 2 2 2 3 3 10 2" xfId="8689"/>
    <cellStyle name="Heading 1 2 2 2 3 3 10 2 2" xfId="8690"/>
    <cellStyle name="Heading 1 2 2 2 3 3 10 3" xfId="8691"/>
    <cellStyle name="Heading 1 2 2 2 3 3 11" xfId="8692"/>
    <cellStyle name="Heading 1 2 2 2 3 3 11 2" xfId="8693"/>
    <cellStyle name="Heading 1 2 2 2 3 3 11 2 2" xfId="8694"/>
    <cellStyle name="Heading 1 2 2 2 3 3 11 3" xfId="8695"/>
    <cellStyle name="Heading 1 2 2 2 3 3 12" xfId="8696"/>
    <cellStyle name="Heading 1 2 2 2 3 3 12 2" xfId="8697"/>
    <cellStyle name="Heading 1 2 2 2 3 3 12 2 2" xfId="8698"/>
    <cellStyle name="Heading 1 2 2 2 3 3 12 3" xfId="8699"/>
    <cellStyle name="Heading 1 2 2 2 3 3 13" xfId="8700"/>
    <cellStyle name="Heading 1 2 2 2 3 3 13 2" xfId="8701"/>
    <cellStyle name="Heading 1 2 2 2 3 3 13 2 2" xfId="8702"/>
    <cellStyle name="Heading 1 2 2 2 3 3 13 3" xfId="8703"/>
    <cellStyle name="Heading 1 2 2 2 3 3 14" xfId="8704"/>
    <cellStyle name="Heading 1 2 2 2 3 3 14 2" xfId="8705"/>
    <cellStyle name="Heading 1 2 2 2 3 3 14 2 2" xfId="8706"/>
    <cellStyle name="Heading 1 2 2 2 3 3 14 3" xfId="8707"/>
    <cellStyle name="Heading 1 2 2 2 3 3 15" xfId="8708"/>
    <cellStyle name="Heading 1 2 2 2 3 3 15 2" xfId="8709"/>
    <cellStyle name="Heading 1 2 2 2 3 3 15 2 2" xfId="8710"/>
    <cellStyle name="Heading 1 2 2 2 3 3 15 3" xfId="8711"/>
    <cellStyle name="Heading 1 2 2 2 3 3 16" xfId="8712"/>
    <cellStyle name="Heading 1 2 2 2 3 3 16 2" xfId="8713"/>
    <cellStyle name="Heading 1 2 2 2 3 3 16 2 2" xfId="8714"/>
    <cellStyle name="Heading 1 2 2 2 3 3 16 3" xfId="8715"/>
    <cellStyle name="Heading 1 2 2 2 3 3 17" xfId="8716"/>
    <cellStyle name="Heading 1 2 2 2 3 3 17 2" xfId="8717"/>
    <cellStyle name="Heading 1 2 2 2 3 3 17 2 2" xfId="8718"/>
    <cellStyle name="Heading 1 2 2 2 3 3 17 3" xfId="8719"/>
    <cellStyle name="Heading 1 2 2 2 3 3 18" xfId="8720"/>
    <cellStyle name="Heading 1 2 2 2 3 3 18 2" xfId="8721"/>
    <cellStyle name="Heading 1 2 2 2 3 3 18 2 2" xfId="8722"/>
    <cellStyle name="Heading 1 2 2 2 3 3 18 3" xfId="8723"/>
    <cellStyle name="Heading 1 2 2 2 3 3 19" xfId="8724"/>
    <cellStyle name="Heading 1 2 2 2 3 3 19 2" xfId="8725"/>
    <cellStyle name="Heading 1 2 2 2 3 3 2" xfId="8726"/>
    <cellStyle name="Heading 1 2 2 2 3 3 2 2" xfId="8727"/>
    <cellStyle name="Heading 1 2 2 2 3 3 2 2 2" xfId="8728"/>
    <cellStyle name="Heading 1 2 2 2 3 3 2 2 2 2" xfId="8729"/>
    <cellStyle name="Heading 1 2 2 2 3 3 2 2 3" xfId="8730"/>
    <cellStyle name="Heading 1 2 2 2 3 3 2 3" xfId="8731"/>
    <cellStyle name="Heading 1 2 2 2 3 3 2 3 2" xfId="8732"/>
    <cellStyle name="Heading 1 2 2 2 3 3 2 3 2 2" xfId="8733"/>
    <cellStyle name="Heading 1 2 2 2 3 3 2 3 3" xfId="8734"/>
    <cellStyle name="Heading 1 2 2 2 3 3 2 4" xfId="8735"/>
    <cellStyle name="Heading 1 2 2 2 3 3 2 4 2" xfId="8736"/>
    <cellStyle name="Heading 1 2 2 2 3 3 2 4 2 2" xfId="8737"/>
    <cellStyle name="Heading 1 2 2 2 3 3 2 4 3" xfId="8738"/>
    <cellStyle name="Heading 1 2 2 2 3 3 2 5" xfId="8739"/>
    <cellStyle name="Heading 1 2 2 2 3 3 2 5 2" xfId="8740"/>
    <cellStyle name="Heading 1 2 2 2 3 3 2 5 2 2" xfId="8741"/>
    <cellStyle name="Heading 1 2 2 2 3 3 2 5 3" xfId="8742"/>
    <cellStyle name="Heading 1 2 2 2 3 3 2 6" xfId="8743"/>
    <cellStyle name="Heading 1 2 2 2 3 3 2 6 2" xfId="8744"/>
    <cellStyle name="Heading 1 2 2 2 3 3 2 6 2 2" xfId="8745"/>
    <cellStyle name="Heading 1 2 2 2 3 3 2 6 3" xfId="8746"/>
    <cellStyle name="Heading 1 2 2 2 3 3 2 7" xfId="8747"/>
    <cellStyle name="Heading 1 2 2 2 3 3 2 7 2" xfId="8748"/>
    <cellStyle name="Heading 1 2 2 2 3 3 2 7 2 2" xfId="8749"/>
    <cellStyle name="Heading 1 2 2 2 3 3 2 7 3" xfId="8750"/>
    <cellStyle name="Heading 1 2 2 2 3 3 2 8" xfId="8751"/>
    <cellStyle name="Heading 1 2 2 2 3 3 2 8 2" xfId="8752"/>
    <cellStyle name="Heading 1 2 2 2 3 3 2 9" xfId="8753"/>
    <cellStyle name="Heading 1 2 2 2 3 3 20" xfId="8754"/>
    <cellStyle name="Heading 1 2 2 2 3 3 20 2" xfId="8755"/>
    <cellStyle name="Heading 1 2 2 2 3 3 21" xfId="8756"/>
    <cellStyle name="Heading 1 2 2 2 3 3 21 2" xfId="8757"/>
    <cellStyle name="Heading 1 2 2 2 3 3 22" xfId="8758"/>
    <cellStyle name="Heading 1 2 2 2 3 3 3" xfId="8759"/>
    <cellStyle name="Heading 1 2 2 2 3 3 3 2" xfId="8760"/>
    <cellStyle name="Heading 1 2 2 2 3 3 3 2 2" xfId="8761"/>
    <cellStyle name="Heading 1 2 2 2 3 3 3 2 2 2" xfId="8762"/>
    <cellStyle name="Heading 1 2 2 2 3 3 3 2 3" xfId="8763"/>
    <cellStyle name="Heading 1 2 2 2 3 3 3 3" xfId="8764"/>
    <cellStyle name="Heading 1 2 2 2 3 3 3 3 2" xfId="8765"/>
    <cellStyle name="Heading 1 2 2 2 3 3 3 3 2 2" xfId="8766"/>
    <cellStyle name="Heading 1 2 2 2 3 3 3 3 3" xfId="8767"/>
    <cellStyle name="Heading 1 2 2 2 3 3 3 4" xfId="8768"/>
    <cellStyle name="Heading 1 2 2 2 3 3 3 4 2" xfId="8769"/>
    <cellStyle name="Heading 1 2 2 2 3 3 3 4 2 2" xfId="8770"/>
    <cellStyle name="Heading 1 2 2 2 3 3 3 4 3" xfId="8771"/>
    <cellStyle name="Heading 1 2 2 2 3 3 3 5" xfId="8772"/>
    <cellStyle name="Heading 1 2 2 2 3 3 3 5 2" xfId="8773"/>
    <cellStyle name="Heading 1 2 2 2 3 3 3 5 2 2" xfId="8774"/>
    <cellStyle name="Heading 1 2 2 2 3 3 3 5 3" xfId="8775"/>
    <cellStyle name="Heading 1 2 2 2 3 3 3 6" xfId="8776"/>
    <cellStyle name="Heading 1 2 2 2 3 3 3 6 2" xfId="8777"/>
    <cellStyle name="Heading 1 2 2 2 3 3 3 6 2 2" xfId="8778"/>
    <cellStyle name="Heading 1 2 2 2 3 3 3 6 3" xfId="8779"/>
    <cellStyle name="Heading 1 2 2 2 3 3 3 7" xfId="8780"/>
    <cellStyle name="Heading 1 2 2 2 3 3 3 7 2" xfId="8781"/>
    <cellStyle name="Heading 1 2 2 2 3 3 3 7 2 2" xfId="8782"/>
    <cellStyle name="Heading 1 2 2 2 3 3 3 7 3" xfId="8783"/>
    <cellStyle name="Heading 1 2 2 2 3 3 3 8" xfId="8784"/>
    <cellStyle name="Heading 1 2 2 2 3 3 3 8 2" xfId="8785"/>
    <cellStyle name="Heading 1 2 2 2 3 3 3 9" xfId="8786"/>
    <cellStyle name="Heading 1 2 2 2 3 3 4" xfId="8787"/>
    <cellStyle name="Heading 1 2 2 2 3 3 4 2" xfId="8788"/>
    <cellStyle name="Heading 1 2 2 2 3 3 4 2 2" xfId="8789"/>
    <cellStyle name="Heading 1 2 2 2 3 3 4 2 2 2" xfId="8790"/>
    <cellStyle name="Heading 1 2 2 2 3 3 4 2 3" xfId="8791"/>
    <cellStyle name="Heading 1 2 2 2 3 3 4 3" xfId="8792"/>
    <cellStyle name="Heading 1 2 2 2 3 3 4 3 2" xfId="8793"/>
    <cellStyle name="Heading 1 2 2 2 3 3 4 3 2 2" xfId="8794"/>
    <cellStyle name="Heading 1 2 2 2 3 3 4 3 3" xfId="8795"/>
    <cellStyle name="Heading 1 2 2 2 3 3 4 4" xfId="8796"/>
    <cellStyle name="Heading 1 2 2 2 3 3 4 4 2" xfId="8797"/>
    <cellStyle name="Heading 1 2 2 2 3 3 4 4 2 2" xfId="8798"/>
    <cellStyle name="Heading 1 2 2 2 3 3 4 4 3" xfId="8799"/>
    <cellStyle name="Heading 1 2 2 2 3 3 4 5" xfId="8800"/>
    <cellStyle name="Heading 1 2 2 2 3 3 4 5 2" xfId="8801"/>
    <cellStyle name="Heading 1 2 2 2 3 3 4 5 2 2" xfId="8802"/>
    <cellStyle name="Heading 1 2 2 2 3 3 4 5 3" xfId="8803"/>
    <cellStyle name="Heading 1 2 2 2 3 3 4 6" xfId="8804"/>
    <cellStyle name="Heading 1 2 2 2 3 3 4 6 2" xfId="8805"/>
    <cellStyle name="Heading 1 2 2 2 3 3 4 6 2 2" xfId="8806"/>
    <cellStyle name="Heading 1 2 2 2 3 3 4 6 3" xfId="8807"/>
    <cellStyle name="Heading 1 2 2 2 3 3 4 7" xfId="8808"/>
    <cellStyle name="Heading 1 2 2 2 3 3 4 7 2" xfId="8809"/>
    <cellStyle name="Heading 1 2 2 2 3 3 4 7 2 2" xfId="8810"/>
    <cellStyle name="Heading 1 2 2 2 3 3 4 7 3" xfId="8811"/>
    <cellStyle name="Heading 1 2 2 2 3 3 4 8" xfId="8812"/>
    <cellStyle name="Heading 1 2 2 2 3 3 4 8 2" xfId="8813"/>
    <cellStyle name="Heading 1 2 2 2 3 3 4 9" xfId="8814"/>
    <cellStyle name="Heading 1 2 2 2 3 3 5" xfId="8815"/>
    <cellStyle name="Heading 1 2 2 2 3 3 5 2" xfId="8816"/>
    <cellStyle name="Heading 1 2 2 2 3 3 5 2 2" xfId="8817"/>
    <cellStyle name="Heading 1 2 2 2 3 3 5 2 2 2" xfId="8818"/>
    <cellStyle name="Heading 1 2 2 2 3 3 5 2 3" xfId="8819"/>
    <cellStyle name="Heading 1 2 2 2 3 3 5 3" xfId="8820"/>
    <cellStyle name="Heading 1 2 2 2 3 3 5 3 2" xfId="8821"/>
    <cellStyle name="Heading 1 2 2 2 3 3 5 3 2 2" xfId="8822"/>
    <cellStyle name="Heading 1 2 2 2 3 3 5 3 3" xfId="8823"/>
    <cellStyle name="Heading 1 2 2 2 3 3 5 4" xfId="8824"/>
    <cellStyle name="Heading 1 2 2 2 3 3 5 4 2" xfId="8825"/>
    <cellStyle name="Heading 1 2 2 2 3 3 5 4 2 2" xfId="8826"/>
    <cellStyle name="Heading 1 2 2 2 3 3 5 4 3" xfId="8827"/>
    <cellStyle name="Heading 1 2 2 2 3 3 5 5" xfId="8828"/>
    <cellStyle name="Heading 1 2 2 2 3 3 5 5 2" xfId="8829"/>
    <cellStyle name="Heading 1 2 2 2 3 3 5 5 2 2" xfId="8830"/>
    <cellStyle name="Heading 1 2 2 2 3 3 5 5 3" xfId="8831"/>
    <cellStyle name="Heading 1 2 2 2 3 3 5 6" xfId="8832"/>
    <cellStyle name="Heading 1 2 2 2 3 3 5 6 2" xfId="8833"/>
    <cellStyle name="Heading 1 2 2 2 3 3 5 6 2 2" xfId="8834"/>
    <cellStyle name="Heading 1 2 2 2 3 3 5 6 3" xfId="8835"/>
    <cellStyle name="Heading 1 2 2 2 3 3 5 7" xfId="8836"/>
    <cellStyle name="Heading 1 2 2 2 3 3 5 7 2" xfId="8837"/>
    <cellStyle name="Heading 1 2 2 2 3 3 5 7 2 2" xfId="8838"/>
    <cellStyle name="Heading 1 2 2 2 3 3 5 7 3" xfId="8839"/>
    <cellStyle name="Heading 1 2 2 2 3 3 5 8" xfId="8840"/>
    <cellStyle name="Heading 1 2 2 2 3 3 5 8 2" xfId="8841"/>
    <cellStyle name="Heading 1 2 2 2 3 3 5 9" xfId="8842"/>
    <cellStyle name="Heading 1 2 2 2 3 3 6" xfId="8843"/>
    <cellStyle name="Heading 1 2 2 2 3 3 6 2" xfId="8844"/>
    <cellStyle name="Heading 1 2 2 2 3 3 6 2 2" xfId="8845"/>
    <cellStyle name="Heading 1 2 2 2 3 3 6 2 2 2" xfId="8846"/>
    <cellStyle name="Heading 1 2 2 2 3 3 6 2 3" xfId="8847"/>
    <cellStyle name="Heading 1 2 2 2 3 3 6 3" xfId="8848"/>
    <cellStyle name="Heading 1 2 2 2 3 3 6 3 2" xfId="8849"/>
    <cellStyle name="Heading 1 2 2 2 3 3 6 3 2 2" xfId="8850"/>
    <cellStyle name="Heading 1 2 2 2 3 3 6 3 3" xfId="8851"/>
    <cellStyle name="Heading 1 2 2 2 3 3 6 4" xfId="8852"/>
    <cellStyle name="Heading 1 2 2 2 3 3 6 4 2" xfId="8853"/>
    <cellStyle name="Heading 1 2 2 2 3 3 6 4 2 2" xfId="8854"/>
    <cellStyle name="Heading 1 2 2 2 3 3 6 4 3" xfId="8855"/>
    <cellStyle name="Heading 1 2 2 2 3 3 6 5" xfId="8856"/>
    <cellStyle name="Heading 1 2 2 2 3 3 6 5 2" xfId="8857"/>
    <cellStyle name="Heading 1 2 2 2 3 3 6 5 2 2" xfId="8858"/>
    <cellStyle name="Heading 1 2 2 2 3 3 6 5 3" xfId="8859"/>
    <cellStyle name="Heading 1 2 2 2 3 3 6 6" xfId="8860"/>
    <cellStyle name="Heading 1 2 2 2 3 3 6 6 2" xfId="8861"/>
    <cellStyle name="Heading 1 2 2 2 3 3 6 6 2 2" xfId="8862"/>
    <cellStyle name="Heading 1 2 2 2 3 3 6 6 3" xfId="8863"/>
    <cellStyle name="Heading 1 2 2 2 3 3 6 7" xfId="8864"/>
    <cellStyle name="Heading 1 2 2 2 3 3 6 7 2" xfId="8865"/>
    <cellStyle name="Heading 1 2 2 2 3 3 6 7 2 2" xfId="8866"/>
    <cellStyle name="Heading 1 2 2 2 3 3 6 7 3" xfId="8867"/>
    <cellStyle name="Heading 1 2 2 2 3 3 6 8" xfId="8868"/>
    <cellStyle name="Heading 1 2 2 2 3 3 6 8 2" xfId="8869"/>
    <cellStyle name="Heading 1 2 2 2 3 3 6 9" xfId="8870"/>
    <cellStyle name="Heading 1 2 2 2 3 3 7" xfId="8871"/>
    <cellStyle name="Heading 1 2 2 2 3 3 7 2" xfId="8872"/>
    <cellStyle name="Heading 1 2 2 2 3 3 7 2 2" xfId="8873"/>
    <cellStyle name="Heading 1 2 2 2 3 3 7 2 2 2" xfId="8874"/>
    <cellStyle name="Heading 1 2 2 2 3 3 7 2 3" xfId="8875"/>
    <cellStyle name="Heading 1 2 2 2 3 3 7 3" xfId="8876"/>
    <cellStyle name="Heading 1 2 2 2 3 3 7 3 2" xfId="8877"/>
    <cellStyle name="Heading 1 2 2 2 3 3 7 3 2 2" xfId="8878"/>
    <cellStyle name="Heading 1 2 2 2 3 3 7 3 3" xfId="8879"/>
    <cellStyle name="Heading 1 2 2 2 3 3 7 4" xfId="8880"/>
    <cellStyle name="Heading 1 2 2 2 3 3 7 4 2" xfId="8881"/>
    <cellStyle name="Heading 1 2 2 2 3 3 7 4 2 2" xfId="8882"/>
    <cellStyle name="Heading 1 2 2 2 3 3 7 4 3" xfId="8883"/>
    <cellStyle name="Heading 1 2 2 2 3 3 7 5" xfId="8884"/>
    <cellStyle name="Heading 1 2 2 2 3 3 7 5 2" xfId="8885"/>
    <cellStyle name="Heading 1 2 2 2 3 3 7 5 2 2" xfId="8886"/>
    <cellStyle name="Heading 1 2 2 2 3 3 7 5 3" xfId="8887"/>
    <cellStyle name="Heading 1 2 2 2 3 3 7 6" xfId="8888"/>
    <cellStyle name="Heading 1 2 2 2 3 3 7 6 2" xfId="8889"/>
    <cellStyle name="Heading 1 2 2 2 3 3 7 6 2 2" xfId="8890"/>
    <cellStyle name="Heading 1 2 2 2 3 3 7 6 3" xfId="8891"/>
    <cellStyle name="Heading 1 2 2 2 3 3 7 7" xfId="8892"/>
    <cellStyle name="Heading 1 2 2 2 3 3 7 7 2" xfId="8893"/>
    <cellStyle name="Heading 1 2 2 2 3 3 7 7 2 2" xfId="8894"/>
    <cellStyle name="Heading 1 2 2 2 3 3 7 7 3" xfId="8895"/>
    <cellStyle name="Heading 1 2 2 2 3 3 7 8" xfId="8896"/>
    <cellStyle name="Heading 1 2 2 2 3 3 7 8 2" xfId="8897"/>
    <cellStyle name="Heading 1 2 2 2 3 3 7 9" xfId="8898"/>
    <cellStyle name="Heading 1 2 2 2 3 3 8" xfId="8899"/>
    <cellStyle name="Heading 1 2 2 2 3 3 8 2" xfId="8900"/>
    <cellStyle name="Heading 1 2 2 2 3 3 8 2 2" xfId="8901"/>
    <cellStyle name="Heading 1 2 2 2 3 3 8 2 2 2" xfId="8902"/>
    <cellStyle name="Heading 1 2 2 2 3 3 8 2 3" xfId="8903"/>
    <cellStyle name="Heading 1 2 2 2 3 3 8 3" xfId="8904"/>
    <cellStyle name="Heading 1 2 2 2 3 3 8 3 2" xfId="8905"/>
    <cellStyle name="Heading 1 2 2 2 3 3 8 3 2 2" xfId="8906"/>
    <cellStyle name="Heading 1 2 2 2 3 3 8 3 3" xfId="8907"/>
    <cellStyle name="Heading 1 2 2 2 3 3 8 4" xfId="8908"/>
    <cellStyle name="Heading 1 2 2 2 3 3 8 4 2" xfId="8909"/>
    <cellStyle name="Heading 1 2 2 2 3 3 8 4 2 2" xfId="8910"/>
    <cellStyle name="Heading 1 2 2 2 3 3 8 4 3" xfId="8911"/>
    <cellStyle name="Heading 1 2 2 2 3 3 8 5" xfId="8912"/>
    <cellStyle name="Heading 1 2 2 2 3 3 8 5 2" xfId="8913"/>
    <cellStyle name="Heading 1 2 2 2 3 3 8 5 2 2" xfId="8914"/>
    <cellStyle name="Heading 1 2 2 2 3 3 8 5 3" xfId="8915"/>
    <cellStyle name="Heading 1 2 2 2 3 3 8 6" xfId="8916"/>
    <cellStyle name="Heading 1 2 2 2 3 3 8 6 2" xfId="8917"/>
    <cellStyle name="Heading 1 2 2 2 3 3 8 6 2 2" xfId="8918"/>
    <cellStyle name="Heading 1 2 2 2 3 3 8 6 3" xfId="8919"/>
    <cellStyle name="Heading 1 2 2 2 3 3 8 7" xfId="8920"/>
    <cellStyle name="Heading 1 2 2 2 3 3 8 7 2" xfId="8921"/>
    <cellStyle name="Heading 1 2 2 2 3 3 8 7 2 2" xfId="8922"/>
    <cellStyle name="Heading 1 2 2 2 3 3 8 7 3" xfId="8923"/>
    <cellStyle name="Heading 1 2 2 2 3 3 8 8" xfId="8924"/>
    <cellStyle name="Heading 1 2 2 2 3 3 8 8 2" xfId="8925"/>
    <cellStyle name="Heading 1 2 2 2 3 3 8 9" xfId="8926"/>
    <cellStyle name="Heading 1 2 2 2 3 3 9" xfId="8927"/>
    <cellStyle name="Heading 1 2 2 2 3 3 9 2" xfId="8928"/>
    <cellStyle name="Heading 1 2 2 2 3 3 9 2 2" xfId="8929"/>
    <cellStyle name="Heading 1 2 2 2 3 3 9 3" xfId="8930"/>
    <cellStyle name="Heading 1 2 2 2 3 4" xfId="8931"/>
    <cellStyle name="Heading 1 2 2 2 3 4 2" xfId="8932"/>
    <cellStyle name="Heading 1 2 2 2 3 4 2 2" xfId="8933"/>
    <cellStyle name="Heading 1 2 2 2 3 4 3" xfId="8934"/>
    <cellStyle name="Heading 1 2 2 2 3 5" xfId="8935"/>
    <cellStyle name="Heading 1 2 2 2 3 5 2" xfId="8936"/>
    <cellStyle name="Heading 1 2 2 2 3 6" xfId="8937"/>
    <cellStyle name="Heading 1 2 2 2 4" xfId="8938"/>
    <cellStyle name="Heading 1 2 2 2 4 2" xfId="8939"/>
    <cellStyle name="Heading 1 2 2 2 4 2 10" xfId="8940"/>
    <cellStyle name="Heading 1 2 2 2 4 2 10 2" xfId="8941"/>
    <cellStyle name="Heading 1 2 2 2 4 2 10 2 2" xfId="8942"/>
    <cellStyle name="Heading 1 2 2 2 4 2 10 3" xfId="8943"/>
    <cellStyle name="Heading 1 2 2 2 4 2 11" xfId="8944"/>
    <cellStyle name="Heading 1 2 2 2 4 2 11 2" xfId="8945"/>
    <cellStyle name="Heading 1 2 2 2 4 2 11 2 2" xfId="8946"/>
    <cellStyle name="Heading 1 2 2 2 4 2 11 3" xfId="8947"/>
    <cellStyle name="Heading 1 2 2 2 4 2 12" xfId="8948"/>
    <cellStyle name="Heading 1 2 2 2 4 2 12 2" xfId="8949"/>
    <cellStyle name="Heading 1 2 2 2 4 2 12 2 2" xfId="8950"/>
    <cellStyle name="Heading 1 2 2 2 4 2 12 3" xfId="8951"/>
    <cellStyle name="Heading 1 2 2 2 4 2 13" xfId="8952"/>
    <cellStyle name="Heading 1 2 2 2 4 2 13 2" xfId="8953"/>
    <cellStyle name="Heading 1 2 2 2 4 2 13 2 2" xfId="8954"/>
    <cellStyle name="Heading 1 2 2 2 4 2 13 3" xfId="8955"/>
    <cellStyle name="Heading 1 2 2 2 4 2 14" xfId="8956"/>
    <cellStyle name="Heading 1 2 2 2 4 2 14 2" xfId="8957"/>
    <cellStyle name="Heading 1 2 2 2 4 2 14 2 2" xfId="8958"/>
    <cellStyle name="Heading 1 2 2 2 4 2 14 3" xfId="8959"/>
    <cellStyle name="Heading 1 2 2 2 4 2 15" xfId="8960"/>
    <cellStyle name="Heading 1 2 2 2 4 2 15 2" xfId="8961"/>
    <cellStyle name="Heading 1 2 2 2 4 2 15 2 2" xfId="8962"/>
    <cellStyle name="Heading 1 2 2 2 4 2 15 3" xfId="8963"/>
    <cellStyle name="Heading 1 2 2 2 4 2 16" xfId="8964"/>
    <cellStyle name="Heading 1 2 2 2 4 2 16 2" xfId="8965"/>
    <cellStyle name="Heading 1 2 2 2 4 2 16 2 2" xfId="8966"/>
    <cellStyle name="Heading 1 2 2 2 4 2 16 3" xfId="8967"/>
    <cellStyle name="Heading 1 2 2 2 4 2 17" xfId="8968"/>
    <cellStyle name="Heading 1 2 2 2 4 2 17 2" xfId="8969"/>
    <cellStyle name="Heading 1 2 2 2 4 2 17 2 2" xfId="8970"/>
    <cellStyle name="Heading 1 2 2 2 4 2 17 3" xfId="8971"/>
    <cellStyle name="Heading 1 2 2 2 4 2 18" xfId="8972"/>
    <cellStyle name="Heading 1 2 2 2 4 2 18 2" xfId="8973"/>
    <cellStyle name="Heading 1 2 2 2 4 2 18 2 2" xfId="8974"/>
    <cellStyle name="Heading 1 2 2 2 4 2 18 3" xfId="8975"/>
    <cellStyle name="Heading 1 2 2 2 4 2 19" xfId="8976"/>
    <cellStyle name="Heading 1 2 2 2 4 2 19 2" xfId="8977"/>
    <cellStyle name="Heading 1 2 2 2 4 2 19 2 2" xfId="8978"/>
    <cellStyle name="Heading 1 2 2 2 4 2 19 3" xfId="8979"/>
    <cellStyle name="Heading 1 2 2 2 4 2 2" xfId="8980"/>
    <cellStyle name="Heading 1 2 2 2 4 2 2 10" xfId="8981"/>
    <cellStyle name="Heading 1 2 2 2 4 2 2 10 2" xfId="8982"/>
    <cellStyle name="Heading 1 2 2 2 4 2 2 10 2 2" xfId="8983"/>
    <cellStyle name="Heading 1 2 2 2 4 2 2 10 3" xfId="8984"/>
    <cellStyle name="Heading 1 2 2 2 4 2 2 11" xfId="8985"/>
    <cellStyle name="Heading 1 2 2 2 4 2 2 11 2" xfId="8986"/>
    <cellStyle name="Heading 1 2 2 2 4 2 2 11 2 2" xfId="8987"/>
    <cellStyle name="Heading 1 2 2 2 4 2 2 11 3" xfId="8988"/>
    <cellStyle name="Heading 1 2 2 2 4 2 2 12" xfId="8989"/>
    <cellStyle name="Heading 1 2 2 2 4 2 2 12 2" xfId="8990"/>
    <cellStyle name="Heading 1 2 2 2 4 2 2 12 2 2" xfId="8991"/>
    <cellStyle name="Heading 1 2 2 2 4 2 2 12 3" xfId="8992"/>
    <cellStyle name="Heading 1 2 2 2 4 2 2 13" xfId="8993"/>
    <cellStyle name="Heading 1 2 2 2 4 2 2 13 2" xfId="8994"/>
    <cellStyle name="Heading 1 2 2 2 4 2 2 13 2 2" xfId="8995"/>
    <cellStyle name="Heading 1 2 2 2 4 2 2 13 3" xfId="8996"/>
    <cellStyle name="Heading 1 2 2 2 4 2 2 14" xfId="8997"/>
    <cellStyle name="Heading 1 2 2 2 4 2 2 14 2" xfId="8998"/>
    <cellStyle name="Heading 1 2 2 2 4 2 2 14 2 2" xfId="8999"/>
    <cellStyle name="Heading 1 2 2 2 4 2 2 14 3" xfId="9000"/>
    <cellStyle name="Heading 1 2 2 2 4 2 2 15" xfId="9001"/>
    <cellStyle name="Heading 1 2 2 2 4 2 2 15 2" xfId="9002"/>
    <cellStyle name="Heading 1 2 2 2 4 2 2 15 2 2" xfId="9003"/>
    <cellStyle name="Heading 1 2 2 2 4 2 2 15 3" xfId="9004"/>
    <cellStyle name="Heading 1 2 2 2 4 2 2 16" xfId="9005"/>
    <cellStyle name="Heading 1 2 2 2 4 2 2 16 2" xfId="9006"/>
    <cellStyle name="Heading 1 2 2 2 4 2 2 16 2 2" xfId="9007"/>
    <cellStyle name="Heading 1 2 2 2 4 2 2 16 3" xfId="9008"/>
    <cellStyle name="Heading 1 2 2 2 4 2 2 17" xfId="9009"/>
    <cellStyle name="Heading 1 2 2 2 4 2 2 17 2" xfId="9010"/>
    <cellStyle name="Heading 1 2 2 2 4 2 2 17 2 2" xfId="9011"/>
    <cellStyle name="Heading 1 2 2 2 4 2 2 17 3" xfId="9012"/>
    <cellStyle name="Heading 1 2 2 2 4 2 2 18" xfId="9013"/>
    <cellStyle name="Heading 1 2 2 2 4 2 2 18 2" xfId="9014"/>
    <cellStyle name="Heading 1 2 2 2 4 2 2 18 2 2" xfId="9015"/>
    <cellStyle name="Heading 1 2 2 2 4 2 2 18 3" xfId="9016"/>
    <cellStyle name="Heading 1 2 2 2 4 2 2 19" xfId="9017"/>
    <cellStyle name="Heading 1 2 2 2 4 2 2 19 2" xfId="9018"/>
    <cellStyle name="Heading 1 2 2 2 4 2 2 2" xfId="9019"/>
    <cellStyle name="Heading 1 2 2 2 4 2 2 2 2" xfId="9020"/>
    <cellStyle name="Heading 1 2 2 2 4 2 2 2 2 2" xfId="9021"/>
    <cellStyle name="Heading 1 2 2 2 4 2 2 2 2 2 2" xfId="9022"/>
    <cellStyle name="Heading 1 2 2 2 4 2 2 2 2 3" xfId="9023"/>
    <cellStyle name="Heading 1 2 2 2 4 2 2 2 3" xfId="9024"/>
    <cellStyle name="Heading 1 2 2 2 4 2 2 2 3 2" xfId="9025"/>
    <cellStyle name="Heading 1 2 2 2 4 2 2 2 3 2 2" xfId="9026"/>
    <cellStyle name="Heading 1 2 2 2 4 2 2 2 3 3" xfId="9027"/>
    <cellStyle name="Heading 1 2 2 2 4 2 2 2 4" xfId="9028"/>
    <cellStyle name="Heading 1 2 2 2 4 2 2 2 4 2" xfId="9029"/>
    <cellStyle name="Heading 1 2 2 2 4 2 2 2 4 2 2" xfId="9030"/>
    <cellStyle name="Heading 1 2 2 2 4 2 2 2 4 3" xfId="9031"/>
    <cellStyle name="Heading 1 2 2 2 4 2 2 2 5" xfId="9032"/>
    <cellStyle name="Heading 1 2 2 2 4 2 2 2 5 2" xfId="9033"/>
    <cellStyle name="Heading 1 2 2 2 4 2 2 2 5 2 2" xfId="9034"/>
    <cellStyle name="Heading 1 2 2 2 4 2 2 2 5 3" xfId="9035"/>
    <cellStyle name="Heading 1 2 2 2 4 2 2 2 6" xfId="9036"/>
    <cellStyle name="Heading 1 2 2 2 4 2 2 2 6 2" xfId="9037"/>
    <cellStyle name="Heading 1 2 2 2 4 2 2 2 6 2 2" xfId="9038"/>
    <cellStyle name="Heading 1 2 2 2 4 2 2 2 6 3" xfId="9039"/>
    <cellStyle name="Heading 1 2 2 2 4 2 2 2 7" xfId="9040"/>
    <cellStyle name="Heading 1 2 2 2 4 2 2 2 7 2" xfId="9041"/>
    <cellStyle name="Heading 1 2 2 2 4 2 2 2 7 2 2" xfId="9042"/>
    <cellStyle name="Heading 1 2 2 2 4 2 2 2 7 3" xfId="9043"/>
    <cellStyle name="Heading 1 2 2 2 4 2 2 2 8" xfId="9044"/>
    <cellStyle name="Heading 1 2 2 2 4 2 2 2 8 2" xfId="9045"/>
    <cellStyle name="Heading 1 2 2 2 4 2 2 2 9" xfId="9046"/>
    <cellStyle name="Heading 1 2 2 2 4 2 2 20" xfId="9047"/>
    <cellStyle name="Heading 1 2 2 2 4 2 2 20 2" xfId="9048"/>
    <cellStyle name="Heading 1 2 2 2 4 2 2 21" xfId="9049"/>
    <cellStyle name="Heading 1 2 2 2 4 2 2 21 2" xfId="9050"/>
    <cellStyle name="Heading 1 2 2 2 4 2 2 22" xfId="9051"/>
    <cellStyle name="Heading 1 2 2 2 4 2 2 3" xfId="9052"/>
    <cellStyle name="Heading 1 2 2 2 4 2 2 3 2" xfId="9053"/>
    <cellStyle name="Heading 1 2 2 2 4 2 2 3 2 2" xfId="9054"/>
    <cellStyle name="Heading 1 2 2 2 4 2 2 3 2 2 2" xfId="9055"/>
    <cellStyle name="Heading 1 2 2 2 4 2 2 3 2 3" xfId="9056"/>
    <cellStyle name="Heading 1 2 2 2 4 2 2 3 3" xfId="9057"/>
    <cellStyle name="Heading 1 2 2 2 4 2 2 3 3 2" xfId="9058"/>
    <cellStyle name="Heading 1 2 2 2 4 2 2 3 3 2 2" xfId="9059"/>
    <cellStyle name="Heading 1 2 2 2 4 2 2 3 3 3" xfId="9060"/>
    <cellStyle name="Heading 1 2 2 2 4 2 2 3 4" xfId="9061"/>
    <cellStyle name="Heading 1 2 2 2 4 2 2 3 4 2" xfId="9062"/>
    <cellStyle name="Heading 1 2 2 2 4 2 2 3 4 2 2" xfId="9063"/>
    <cellStyle name="Heading 1 2 2 2 4 2 2 3 4 3" xfId="9064"/>
    <cellStyle name="Heading 1 2 2 2 4 2 2 3 5" xfId="9065"/>
    <cellStyle name="Heading 1 2 2 2 4 2 2 3 5 2" xfId="9066"/>
    <cellStyle name="Heading 1 2 2 2 4 2 2 3 5 2 2" xfId="9067"/>
    <cellStyle name="Heading 1 2 2 2 4 2 2 3 5 3" xfId="9068"/>
    <cellStyle name="Heading 1 2 2 2 4 2 2 3 6" xfId="9069"/>
    <cellStyle name="Heading 1 2 2 2 4 2 2 3 6 2" xfId="9070"/>
    <cellStyle name="Heading 1 2 2 2 4 2 2 3 6 2 2" xfId="9071"/>
    <cellStyle name="Heading 1 2 2 2 4 2 2 3 6 3" xfId="9072"/>
    <cellStyle name="Heading 1 2 2 2 4 2 2 3 7" xfId="9073"/>
    <cellStyle name="Heading 1 2 2 2 4 2 2 3 7 2" xfId="9074"/>
    <cellStyle name="Heading 1 2 2 2 4 2 2 3 7 2 2" xfId="9075"/>
    <cellStyle name="Heading 1 2 2 2 4 2 2 3 7 3" xfId="9076"/>
    <cellStyle name="Heading 1 2 2 2 4 2 2 3 8" xfId="9077"/>
    <cellStyle name="Heading 1 2 2 2 4 2 2 3 8 2" xfId="9078"/>
    <cellStyle name="Heading 1 2 2 2 4 2 2 3 9" xfId="9079"/>
    <cellStyle name="Heading 1 2 2 2 4 2 2 4" xfId="9080"/>
    <cellStyle name="Heading 1 2 2 2 4 2 2 4 2" xfId="9081"/>
    <cellStyle name="Heading 1 2 2 2 4 2 2 4 2 2" xfId="9082"/>
    <cellStyle name="Heading 1 2 2 2 4 2 2 4 2 2 2" xfId="9083"/>
    <cellStyle name="Heading 1 2 2 2 4 2 2 4 2 3" xfId="9084"/>
    <cellStyle name="Heading 1 2 2 2 4 2 2 4 3" xfId="9085"/>
    <cellStyle name="Heading 1 2 2 2 4 2 2 4 3 2" xfId="9086"/>
    <cellStyle name="Heading 1 2 2 2 4 2 2 4 3 2 2" xfId="9087"/>
    <cellStyle name="Heading 1 2 2 2 4 2 2 4 3 3" xfId="9088"/>
    <cellStyle name="Heading 1 2 2 2 4 2 2 4 4" xfId="9089"/>
    <cellStyle name="Heading 1 2 2 2 4 2 2 4 4 2" xfId="9090"/>
    <cellStyle name="Heading 1 2 2 2 4 2 2 4 4 2 2" xfId="9091"/>
    <cellStyle name="Heading 1 2 2 2 4 2 2 4 4 3" xfId="9092"/>
    <cellStyle name="Heading 1 2 2 2 4 2 2 4 5" xfId="9093"/>
    <cellStyle name="Heading 1 2 2 2 4 2 2 4 5 2" xfId="9094"/>
    <cellStyle name="Heading 1 2 2 2 4 2 2 4 5 2 2" xfId="9095"/>
    <cellStyle name="Heading 1 2 2 2 4 2 2 4 5 3" xfId="9096"/>
    <cellStyle name="Heading 1 2 2 2 4 2 2 4 6" xfId="9097"/>
    <cellStyle name="Heading 1 2 2 2 4 2 2 4 6 2" xfId="9098"/>
    <cellStyle name="Heading 1 2 2 2 4 2 2 4 6 2 2" xfId="9099"/>
    <cellStyle name="Heading 1 2 2 2 4 2 2 4 6 3" xfId="9100"/>
    <cellStyle name="Heading 1 2 2 2 4 2 2 4 7" xfId="9101"/>
    <cellStyle name="Heading 1 2 2 2 4 2 2 4 7 2" xfId="9102"/>
    <cellStyle name="Heading 1 2 2 2 4 2 2 4 7 2 2" xfId="9103"/>
    <cellStyle name="Heading 1 2 2 2 4 2 2 4 7 3" xfId="9104"/>
    <cellStyle name="Heading 1 2 2 2 4 2 2 4 8" xfId="9105"/>
    <cellStyle name="Heading 1 2 2 2 4 2 2 4 8 2" xfId="9106"/>
    <cellStyle name="Heading 1 2 2 2 4 2 2 4 9" xfId="9107"/>
    <cellStyle name="Heading 1 2 2 2 4 2 2 5" xfId="9108"/>
    <cellStyle name="Heading 1 2 2 2 4 2 2 5 2" xfId="9109"/>
    <cellStyle name="Heading 1 2 2 2 4 2 2 5 2 2" xfId="9110"/>
    <cellStyle name="Heading 1 2 2 2 4 2 2 5 2 2 2" xfId="9111"/>
    <cellStyle name="Heading 1 2 2 2 4 2 2 5 2 3" xfId="9112"/>
    <cellStyle name="Heading 1 2 2 2 4 2 2 5 3" xfId="9113"/>
    <cellStyle name="Heading 1 2 2 2 4 2 2 5 3 2" xfId="9114"/>
    <cellStyle name="Heading 1 2 2 2 4 2 2 5 3 2 2" xfId="9115"/>
    <cellStyle name="Heading 1 2 2 2 4 2 2 5 3 3" xfId="9116"/>
    <cellStyle name="Heading 1 2 2 2 4 2 2 5 4" xfId="9117"/>
    <cellStyle name="Heading 1 2 2 2 4 2 2 5 4 2" xfId="9118"/>
    <cellStyle name="Heading 1 2 2 2 4 2 2 5 4 2 2" xfId="9119"/>
    <cellStyle name="Heading 1 2 2 2 4 2 2 5 4 3" xfId="9120"/>
    <cellStyle name="Heading 1 2 2 2 4 2 2 5 5" xfId="9121"/>
    <cellStyle name="Heading 1 2 2 2 4 2 2 5 5 2" xfId="9122"/>
    <cellStyle name="Heading 1 2 2 2 4 2 2 5 5 2 2" xfId="9123"/>
    <cellStyle name="Heading 1 2 2 2 4 2 2 5 5 3" xfId="9124"/>
    <cellStyle name="Heading 1 2 2 2 4 2 2 5 6" xfId="9125"/>
    <cellStyle name="Heading 1 2 2 2 4 2 2 5 6 2" xfId="9126"/>
    <cellStyle name="Heading 1 2 2 2 4 2 2 5 6 2 2" xfId="9127"/>
    <cellStyle name="Heading 1 2 2 2 4 2 2 5 6 3" xfId="9128"/>
    <cellStyle name="Heading 1 2 2 2 4 2 2 5 7" xfId="9129"/>
    <cellStyle name="Heading 1 2 2 2 4 2 2 5 7 2" xfId="9130"/>
    <cellStyle name="Heading 1 2 2 2 4 2 2 5 7 2 2" xfId="9131"/>
    <cellStyle name="Heading 1 2 2 2 4 2 2 5 7 3" xfId="9132"/>
    <cellStyle name="Heading 1 2 2 2 4 2 2 5 8" xfId="9133"/>
    <cellStyle name="Heading 1 2 2 2 4 2 2 5 8 2" xfId="9134"/>
    <cellStyle name="Heading 1 2 2 2 4 2 2 5 9" xfId="9135"/>
    <cellStyle name="Heading 1 2 2 2 4 2 2 6" xfId="9136"/>
    <cellStyle name="Heading 1 2 2 2 4 2 2 6 2" xfId="9137"/>
    <cellStyle name="Heading 1 2 2 2 4 2 2 6 2 2" xfId="9138"/>
    <cellStyle name="Heading 1 2 2 2 4 2 2 6 2 2 2" xfId="9139"/>
    <cellStyle name="Heading 1 2 2 2 4 2 2 6 2 3" xfId="9140"/>
    <cellStyle name="Heading 1 2 2 2 4 2 2 6 3" xfId="9141"/>
    <cellStyle name="Heading 1 2 2 2 4 2 2 6 3 2" xfId="9142"/>
    <cellStyle name="Heading 1 2 2 2 4 2 2 6 3 2 2" xfId="9143"/>
    <cellStyle name="Heading 1 2 2 2 4 2 2 6 3 3" xfId="9144"/>
    <cellStyle name="Heading 1 2 2 2 4 2 2 6 4" xfId="9145"/>
    <cellStyle name="Heading 1 2 2 2 4 2 2 6 4 2" xfId="9146"/>
    <cellStyle name="Heading 1 2 2 2 4 2 2 6 4 2 2" xfId="9147"/>
    <cellStyle name="Heading 1 2 2 2 4 2 2 6 4 3" xfId="9148"/>
    <cellStyle name="Heading 1 2 2 2 4 2 2 6 5" xfId="9149"/>
    <cellStyle name="Heading 1 2 2 2 4 2 2 6 5 2" xfId="9150"/>
    <cellStyle name="Heading 1 2 2 2 4 2 2 6 5 2 2" xfId="9151"/>
    <cellStyle name="Heading 1 2 2 2 4 2 2 6 5 3" xfId="9152"/>
    <cellStyle name="Heading 1 2 2 2 4 2 2 6 6" xfId="9153"/>
    <cellStyle name="Heading 1 2 2 2 4 2 2 6 6 2" xfId="9154"/>
    <cellStyle name="Heading 1 2 2 2 4 2 2 6 6 2 2" xfId="9155"/>
    <cellStyle name="Heading 1 2 2 2 4 2 2 6 6 3" xfId="9156"/>
    <cellStyle name="Heading 1 2 2 2 4 2 2 6 7" xfId="9157"/>
    <cellStyle name="Heading 1 2 2 2 4 2 2 6 7 2" xfId="9158"/>
    <cellStyle name="Heading 1 2 2 2 4 2 2 6 7 2 2" xfId="9159"/>
    <cellStyle name="Heading 1 2 2 2 4 2 2 6 7 3" xfId="9160"/>
    <cellStyle name="Heading 1 2 2 2 4 2 2 6 8" xfId="9161"/>
    <cellStyle name="Heading 1 2 2 2 4 2 2 6 8 2" xfId="9162"/>
    <cellStyle name="Heading 1 2 2 2 4 2 2 6 9" xfId="9163"/>
    <cellStyle name="Heading 1 2 2 2 4 2 2 7" xfId="9164"/>
    <cellStyle name="Heading 1 2 2 2 4 2 2 7 2" xfId="9165"/>
    <cellStyle name="Heading 1 2 2 2 4 2 2 7 2 2" xfId="9166"/>
    <cellStyle name="Heading 1 2 2 2 4 2 2 7 2 2 2" xfId="9167"/>
    <cellStyle name="Heading 1 2 2 2 4 2 2 7 2 3" xfId="9168"/>
    <cellStyle name="Heading 1 2 2 2 4 2 2 7 3" xfId="9169"/>
    <cellStyle name="Heading 1 2 2 2 4 2 2 7 3 2" xfId="9170"/>
    <cellStyle name="Heading 1 2 2 2 4 2 2 7 3 2 2" xfId="9171"/>
    <cellStyle name="Heading 1 2 2 2 4 2 2 7 3 3" xfId="9172"/>
    <cellStyle name="Heading 1 2 2 2 4 2 2 7 4" xfId="9173"/>
    <cellStyle name="Heading 1 2 2 2 4 2 2 7 4 2" xfId="9174"/>
    <cellStyle name="Heading 1 2 2 2 4 2 2 7 4 2 2" xfId="9175"/>
    <cellStyle name="Heading 1 2 2 2 4 2 2 7 4 3" xfId="9176"/>
    <cellStyle name="Heading 1 2 2 2 4 2 2 7 5" xfId="9177"/>
    <cellStyle name="Heading 1 2 2 2 4 2 2 7 5 2" xfId="9178"/>
    <cellStyle name="Heading 1 2 2 2 4 2 2 7 5 2 2" xfId="9179"/>
    <cellStyle name="Heading 1 2 2 2 4 2 2 7 5 3" xfId="9180"/>
    <cellStyle name="Heading 1 2 2 2 4 2 2 7 6" xfId="9181"/>
    <cellStyle name="Heading 1 2 2 2 4 2 2 7 6 2" xfId="9182"/>
    <cellStyle name="Heading 1 2 2 2 4 2 2 7 6 2 2" xfId="9183"/>
    <cellStyle name="Heading 1 2 2 2 4 2 2 7 6 3" xfId="9184"/>
    <cellStyle name="Heading 1 2 2 2 4 2 2 7 7" xfId="9185"/>
    <cellStyle name="Heading 1 2 2 2 4 2 2 7 7 2" xfId="9186"/>
    <cellStyle name="Heading 1 2 2 2 4 2 2 7 7 2 2" xfId="9187"/>
    <cellStyle name="Heading 1 2 2 2 4 2 2 7 7 3" xfId="9188"/>
    <cellStyle name="Heading 1 2 2 2 4 2 2 7 8" xfId="9189"/>
    <cellStyle name="Heading 1 2 2 2 4 2 2 7 8 2" xfId="9190"/>
    <cellStyle name="Heading 1 2 2 2 4 2 2 7 9" xfId="9191"/>
    <cellStyle name="Heading 1 2 2 2 4 2 2 8" xfId="9192"/>
    <cellStyle name="Heading 1 2 2 2 4 2 2 8 2" xfId="9193"/>
    <cellStyle name="Heading 1 2 2 2 4 2 2 8 2 2" xfId="9194"/>
    <cellStyle name="Heading 1 2 2 2 4 2 2 8 2 2 2" xfId="9195"/>
    <cellStyle name="Heading 1 2 2 2 4 2 2 8 2 3" xfId="9196"/>
    <cellStyle name="Heading 1 2 2 2 4 2 2 8 3" xfId="9197"/>
    <cellStyle name="Heading 1 2 2 2 4 2 2 8 3 2" xfId="9198"/>
    <cellStyle name="Heading 1 2 2 2 4 2 2 8 3 2 2" xfId="9199"/>
    <cellStyle name="Heading 1 2 2 2 4 2 2 8 3 3" xfId="9200"/>
    <cellStyle name="Heading 1 2 2 2 4 2 2 8 4" xfId="9201"/>
    <cellStyle name="Heading 1 2 2 2 4 2 2 8 4 2" xfId="9202"/>
    <cellStyle name="Heading 1 2 2 2 4 2 2 8 4 2 2" xfId="9203"/>
    <cellStyle name="Heading 1 2 2 2 4 2 2 8 4 3" xfId="9204"/>
    <cellStyle name="Heading 1 2 2 2 4 2 2 8 5" xfId="9205"/>
    <cellStyle name="Heading 1 2 2 2 4 2 2 8 5 2" xfId="9206"/>
    <cellStyle name="Heading 1 2 2 2 4 2 2 8 5 2 2" xfId="9207"/>
    <cellStyle name="Heading 1 2 2 2 4 2 2 8 5 3" xfId="9208"/>
    <cellStyle name="Heading 1 2 2 2 4 2 2 8 6" xfId="9209"/>
    <cellStyle name="Heading 1 2 2 2 4 2 2 8 6 2" xfId="9210"/>
    <cellStyle name="Heading 1 2 2 2 4 2 2 8 6 2 2" xfId="9211"/>
    <cellStyle name="Heading 1 2 2 2 4 2 2 8 6 3" xfId="9212"/>
    <cellStyle name="Heading 1 2 2 2 4 2 2 8 7" xfId="9213"/>
    <cellStyle name="Heading 1 2 2 2 4 2 2 8 7 2" xfId="9214"/>
    <cellStyle name="Heading 1 2 2 2 4 2 2 8 7 2 2" xfId="9215"/>
    <cellStyle name="Heading 1 2 2 2 4 2 2 8 7 3" xfId="9216"/>
    <cellStyle name="Heading 1 2 2 2 4 2 2 8 8" xfId="9217"/>
    <cellStyle name="Heading 1 2 2 2 4 2 2 8 8 2" xfId="9218"/>
    <cellStyle name="Heading 1 2 2 2 4 2 2 8 9" xfId="9219"/>
    <cellStyle name="Heading 1 2 2 2 4 2 2 9" xfId="9220"/>
    <cellStyle name="Heading 1 2 2 2 4 2 2 9 2" xfId="9221"/>
    <cellStyle name="Heading 1 2 2 2 4 2 2 9 2 2" xfId="9222"/>
    <cellStyle name="Heading 1 2 2 2 4 2 2 9 3" xfId="9223"/>
    <cellStyle name="Heading 1 2 2 2 4 2 20" xfId="9224"/>
    <cellStyle name="Heading 1 2 2 2 4 2 20 2" xfId="9225"/>
    <cellStyle name="Heading 1 2 2 2 4 2 21" xfId="9226"/>
    <cellStyle name="Heading 1 2 2 2 4 2 21 2" xfId="9227"/>
    <cellStyle name="Heading 1 2 2 2 4 2 22" xfId="9228"/>
    <cellStyle name="Heading 1 2 2 2 4 2 22 2" xfId="9229"/>
    <cellStyle name="Heading 1 2 2 2 4 2 23" xfId="9230"/>
    <cellStyle name="Heading 1 2 2 2 4 2 3" xfId="9231"/>
    <cellStyle name="Heading 1 2 2 2 4 2 3 2" xfId="9232"/>
    <cellStyle name="Heading 1 2 2 2 4 2 3 2 2" xfId="9233"/>
    <cellStyle name="Heading 1 2 2 2 4 2 3 2 2 2" xfId="9234"/>
    <cellStyle name="Heading 1 2 2 2 4 2 3 2 3" xfId="9235"/>
    <cellStyle name="Heading 1 2 2 2 4 2 3 3" xfId="9236"/>
    <cellStyle name="Heading 1 2 2 2 4 2 3 3 2" xfId="9237"/>
    <cellStyle name="Heading 1 2 2 2 4 2 3 3 2 2" xfId="9238"/>
    <cellStyle name="Heading 1 2 2 2 4 2 3 3 3" xfId="9239"/>
    <cellStyle name="Heading 1 2 2 2 4 2 3 4" xfId="9240"/>
    <cellStyle name="Heading 1 2 2 2 4 2 3 4 2" xfId="9241"/>
    <cellStyle name="Heading 1 2 2 2 4 2 3 4 2 2" xfId="9242"/>
    <cellStyle name="Heading 1 2 2 2 4 2 3 4 3" xfId="9243"/>
    <cellStyle name="Heading 1 2 2 2 4 2 3 5" xfId="9244"/>
    <cellStyle name="Heading 1 2 2 2 4 2 3 5 2" xfId="9245"/>
    <cellStyle name="Heading 1 2 2 2 4 2 3 5 2 2" xfId="9246"/>
    <cellStyle name="Heading 1 2 2 2 4 2 3 5 3" xfId="9247"/>
    <cellStyle name="Heading 1 2 2 2 4 2 3 6" xfId="9248"/>
    <cellStyle name="Heading 1 2 2 2 4 2 3 6 2" xfId="9249"/>
    <cellStyle name="Heading 1 2 2 2 4 2 3 6 2 2" xfId="9250"/>
    <cellStyle name="Heading 1 2 2 2 4 2 3 6 3" xfId="9251"/>
    <cellStyle name="Heading 1 2 2 2 4 2 3 7" xfId="9252"/>
    <cellStyle name="Heading 1 2 2 2 4 2 3 7 2" xfId="9253"/>
    <cellStyle name="Heading 1 2 2 2 4 2 3 7 2 2" xfId="9254"/>
    <cellStyle name="Heading 1 2 2 2 4 2 3 7 3" xfId="9255"/>
    <cellStyle name="Heading 1 2 2 2 4 2 3 8" xfId="9256"/>
    <cellStyle name="Heading 1 2 2 2 4 2 3 8 2" xfId="9257"/>
    <cellStyle name="Heading 1 2 2 2 4 2 3 9" xfId="9258"/>
    <cellStyle name="Heading 1 2 2 2 4 2 4" xfId="9259"/>
    <cellStyle name="Heading 1 2 2 2 4 2 4 2" xfId="9260"/>
    <cellStyle name="Heading 1 2 2 2 4 2 4 2 2" xfId="9261"/>
    <cellStyle name="Heading 1 2 2 2 4 2 4 2 2 2" xfId="9262"/>
    <cellStyle name="Heading 1 2 2 2 4 2 4 2 3" xfId="9263"/>
    <cellStyle name="Heading 1 2 2 2 4 2 4 3" xfId="9264"/>
    <cellStyle name="Heading 1 2 2 2 4 2 4 3 2" xfId="9265"/>
    <cellStyle name="Heading 1 2 2 2 4 2 4 3 2 2" xfId="9266"/>
    <cellStyle name="Heading 1 2 2 2 4 2 4 3 3" xfId="9267"/>
    <cellStyle name="Heading 1 2 2 2 4 2 4 4" xfId="9268"/>
    <cellStyle name="Heading 1 2 2 2 4 2 4 4 2" xfId="9269"/>
    <cellStyle name="Heading 1 2 2 2 4 2 4 4 2 2" xfId="9270"/>
    <cellStyle name="Heading 1 2 2 2 4 2 4 4 3" xfId="9271"/>
    <cellStyle name="Heading 1 2 2 2 4 2 4 5" xfId="9272"/>
    <cellStyle name="Heading 1 2 2 2 4 2 4 5 2" xfId="9273"/>
    <cellStyle name="Heading 1 2 2 2 4 2 4 5 2 2" xfId="9274"/>
    <cellStyle name="Heading 1 2 2 2 4 2 4 5 3" xfId="9275"/>
    <cellStyle name="Heading 1 2 2 2 4 2 4 6" xfId="9276"/>
    <cellStyle name="Heading 1 2 2 2 4 2 4 6 2" xfId="9277"/>
    <cellStyle name="Heading 1 2 2 2 4 2 4 6 2 2" xfId="9278"/>
    <cellStyle name="Heading 1 2 2 2 4 2 4 6 3" xfId="9279"/>
    <cellStyle name="Heading 1 2 2 2 4 2 4 7" xfId="9280"/>
    <cellStyle name="Heading 1 2 2 2 4 2 4 7 2" xfId="9281"/>
    <cellStyle name="Heading 1 2 2 2 4 2 4 7 2 2" xfId="9282"/>
    <cellStyle name="Heading 1 2 2 2 4 2 4 7 3" xfId="9283"/>
    <cellStyle name="Heading 1 2 2 2 4 2 4 8" xfId="9284"/>
    <cellStyle name="Heading 1 2 2 2 4 2 4 8 2" xfId="9285"/>
    <cellStyle name="Heading 1 2 2 2 4 2 4 9" xfId="9286"/>
    <cellStyle name="Heading 1 2 2 2 4 2 5" xfId="9287"/>
    <cellStyle name="Heading 1 2 2 2 4 2 5 2" xfId="9288"/>
    <cellStyle name="Heading 1 2 2 2 4 2 5 2 2" xfId="9289"/>
    <cellStyle name="Heading 1 2 2 2 4 2 5 2 2 2" xfId="9290"/>
    <cellStyle name="Heading 1 2 2 2 4 2 5 2 3" xfId="9291"/>
    <cellStyle name="Heading 1 2 2 2 4 2 5 3" xfId="9292"/>
    <cellStyle name="Heading 1 2 2 2 4 2 5 3 2" xfId="9293"/>
    <cellStyle name="Heading 1 2 2 2 4 2 5 3 2 2" xfId="9294"/>
    <cellStyle name="Heading 1 2 2 2 4 2 5 3 3" xfId="9295"/>
    <cellStyle name="Heading 1 2 2 2 4 2 5 4" xfId="9296"/>
    <cellStyle name="Heading 1 2 2 2 4 2 5 4 2" xfId="9297"/>
    <cellStyle name="Heading 1 2 2 2 4 2 5 4 2 2" xfId="9298"/>
    <cellStyle name="Heading 1 2 2 2 4 2 5 4 3" xfId="9299"/>
    <cellStyle name="Heading 1 2 2 2 4 2 5 5" xfId="9300"/>
    <cellStyle name="Heading 1 2 2 2 4 2 5 5 2" xfId="9301"/>
    <cellStyle name="Heading 1 2 2 2 4 2 5 5 2 2" xfId="9302"/>
    <cellStyle name="Heading 1 2 2 2 4 2 5 5 3" xfId="9303"/>
    <cellStyle name="Heading 1 2 2 2 4 2 5 6" xfId="9304"/>
    <cellStyle name="Heading 1 2 2 2 4 2 5 6 2" xfId="9305"/>
    <cellStyle name="Heading 1 2 2 2 4 2 5 6 2 2" xfId="9306"/>
    <cellStyle name="Heading 1 2 2 2 4 2 5 6 3" xfId="9307"/>
    <cellStyle name="Heading 1 2 2 2 4 2 5 7" xfId="9308"/>
    <cellStyle name="Heading 1 2 2 2 4 2 5 7 2" xfId="9309"/>
    <cellStyle name="Heading 1 2 2 2 4 2 5 7 2 2" xfId="9310"/>
    <cellStyle name="Heading 1 2 2 2 4 2 5 7 3" xfId="9311"/>
    <cellStyle name="Heading 1 2 2 2 4 2 5 8" xfId="9312"/>
    <cellStyle name="Heading 1 2 2 2 4 2 5 8 2" xfId="9313"/>
    <cellStyle name="Heading 1 2 2 2 4 2 5 9" xfId="9314"/>
    <cellStyle name="Heading 1 2 2 2 4 2 6" xfId="9315"/>
    <cellStyle name="Heading 1 2 2 2 4 2 6 2" xfId="9316"/>
    <cellStyle name="Heading 1 2 2 2 4 2 6 2 2" xfId="9317"/>
    <cellStyle name="Heading 1 2 2 2 4 2 6 2 2 2" xfId="9318"/>
    <cellStyle name="Heading 1 2 2 2 4 2 6 2 3" xfId="9319"/>
    <cellStyle name="Heading 1 2 2 2 4 2 6 3" xfId="9320"/>
    <cellStyle name="Heading 1 2 2 2 4 2 6 3 2" xfId="9321"/>
    <cellStyle name="Heading 1 2 2 2 4 2 6 3 2 2" xfId="9322"/>
    <cellStyle name="Heading 1 2 2 2 4 2 6 3 3" xfId="9323"/>
    <cellStyle name="Heading 1 2 2 2 4 2 6 4" xfId="9324"/>
    <cellStyle name="Heading 1 2 2 2 4 2 6 4 2" xfId="9325"/>
    <cellStyle name="Heading 1 2 2 2 4 2 6 4 2 2" xfId="9326"/>
    <cellStyle name="Heading 1 2 2 2 4 2 6 4 3" xfId="9327"/>
    <cellStyle name="Heading 1 2 2 2 4 2 6 5" xfId="9328"/>
    <cellStyle name="Heading 1 2 2 2 4 2 6 5 2" xfId="9329"/>
    <cellStyle name="Heading 1 2 2 2 4 2 6 5 2 2" xfId="9330"/>
    <cellStyle name="Heading 1 2 2 2 4 2 6 5 3" xfId="9331"/>
    <cellStyle name="Heading 1 2 2 2 4 2 6 6" xfId="9332"/>
    <cellStyle name="Heading 1 2 2 2 4 2 6 6 2" xfId="9333"/>
    <cellStyle name="Heading 1 2 2 2 4 2 6 6 2 2" xfId="9334"/>
    <cellStyle name="Heading 1 2 2 2 4 2 6 6 3" xfId="9335"/>
    <cellStyle name="Heading 1 2 2 2 4 2 6 7" xfId="9336"/>
    <cellStyle name="Heading 1 2 2 2 4 2 6 7 2" xfId="9337"/>
    <cellStyle name="Heading 1 2 2 2 4 2 6 7 2 2" xfId="9338"/>
    <cellStyle name="Heading 1 2 2 2 4 2 6 7 3" xfId="9339"/>
    <cellStyle name="Heading 1 2 2 2 4 2 6 8" xfId="9340"/>
    <cellStyle name="Heading 1 2 2 2 4 2 6 8 2" xfId="9341"/>
    <cellStyle name="Heading 1 2 2 2 4 2 6 9" xfId="9342"/>
    <cellStyle name="Heading 1 2 2 2 4 2 7" xfId="9343"/>
    <cellStyle name="Heading 1 2 2 2 4 2 7 2" xfId="9344"/>
    <cellStyle name="Heading 1 2 2 2 4 2 7 2 2" xfId="9345"/>
    <cellStyle name="Heading 1 2 2 2 4 2 7 2 2 2" xfId="9346"/>
    <cellStyle name="Heading 1 2 2 2 4 2 7 2 3" xfId="9347"/>
    <cellStyle name="Heading 1 2 2 2 4 2 7 3" xfId="9348"/>
    <cellStyle name="Heading 1 2 2 2 4 2 7 3 2" xfId="9349"/>
    <cellStyle name="Heading 1 2 2 2 4 2 7 3 2 2" xfId="9350"/>
    <cellStyle name="Heading 1 2 2 2 4 2 7 3 3" xfId="9351"/>
    <cellStyle name="Heading 1 2 2 2 4 2 7 4" xfId="9352"/>
    <cellStyle name="Heading 1 2 2 2 4 2 7 4 2" xfId="9353"/>
    <cellStyle name="Heading 1 2 2 2 4 2 7 4 2 2" xfId="9354"/>
    <cellStyle name="Heading 1 2 2 2 4 2 7 4 3" xfId="9355"/>
    <cellStyle name="Heading 1 2 2 2 4 2 7 5" xfId="9356"/>
    <cellStyle name="Heading 1 2 2 2 4 2 7 5 2" xfId="9357"/>
    <cellStyle name="Heading 1 2 2 2 4 2 7 5 2 2" xfId="9358"/>
    <cellStyle name="Heading 1 2 2 2 4 2 7 5 3" xfId="9359"/>
    <cellStyle name="Heading 1 2 2 2 4 2 7 6" xfId="9360"/>
    <cellStyle name="Heading 1 2 2 2 4 2 7 6 2" xfId="9361"/>
    <cellStyle name="Heading 1 2 2 2 4 2 7 6 2 2" xfId="9362"/>
    <cellStyle name="Heading 1 2 2 2 4 2 7 6 3" xfId="9363"/>
    <cellStyle name="Heading 1 2 2 2 4 2 7 7" xfId="9364"/>
    <cellStyle name="Heading 1 2 2 2 4 2 7 7 2" xfId="9365"/>
    <cellStyle name="Heading 1 2 2 2 4 2 7 7 2 2" xfId="9366"/>
    <cellStyle name="Heading 1 2 2 2 4 2 7 7 3" xfId="9367"/>
    <cellStyle name="Heading 1 2 2 2 4 2 7 8" xfId="9368"/>
    <cellStyle name="Heading 1 2 2 2 4 2 7 8 2" xfId="9369"/>
    <cellStyle name="Heading 1 2 2 2 4 2 7 9" xfId="9370"/>
    <cellStyle name="Heading 1 2 2 2 4 2 8" xfId="9371"/>
    <cellStyle name="Heading 1 2 2 2 4 2 8 2" xfId="9372"/>
    <cellStyle name="Heading 1 2 2 2 4 2 8 2 2" xfId="9373"/>
    <cellStyle name="Heading 1 2 2 2 4 2 8 2 2 2" xfId="9374"/>
    <cellStyle name="Heading 1 2 2 2 4 2 8 2 3" xfId="9375"/>
    <cellStyle name="Heading 1 2 2 2 4 2 8 3" xfId="9376"/>
    <cellStyle name="Heading 1 2 2 2 4 2 8 3 2" xfId="9377"/>
    <cellStyle name="Heading 1 2 2 2 4 2 8 3 2 2" xfId="9378"/>
    <cellStyle name="Heading 1 2 2 2 4 2 8 3 3" xfId="9379"/>
    <cellStyle name="Heading 1 2 2 2 4 2 8 4" xfId="9380"/>
    <cellStyle name="Heading 1 2 2 2 4 2 8 4 2" xfId="9381"/>
    <cellStyle name="Heading 1 2 2 2 4 2 8 4 2 2" xfId="9382"/>
    <cellStyle name="Heading 1 2 2 2 4 2 8 4 3" xfId="9383"/>
    <cellStyle name="Heading 1 2 2 2 4 2 8 5" xfId="9384"/>
    <cellStyle name="Heading 1 2 2 2 4 2 8 5 2" xfId="9385"/>
    <cellStyle name="Heading 1 2 2 2 4 2 8 5 2 2" xfId="9386"/>
    <cellStyle name="Heading 1 2 2 2 4 2 8 5 3" xfId="9387"/>
    <cellStyle name="Heading 1 2 2 2 4 2 8 6" xfId="9388"/>
    <cellStyle name="Heading 1 2 2 2 4 2 8 6 2" xfId="9389"/>
    <cellStyle name="Heading 1 2 2 2 4 2 8 6 2 2" xfId="9390"/>
    <cellStyle name="Heading 1 2 2 2 4 2 8 6 3" xfId="9391"/>
    <cellStyle name="Heading 1 2 2 2 4 2 8 7" xfId="9392"/>
    <cellStyle name="Heading 1 2 2 2 4 2 8 7 2" xfId="9393"/>
    <cellStyle name="Heading 1 2 2 2 4 2 8 7 2 2" xfId="9394"/>
    <cellStyle name="Heading 1 2 2 2 4 2 8 7 3" xfId="9395"/>
    <cellStyle name="Heading 1 2 2 2 4 2 8 8" xfId="9396"/>
    <cellStyle name="Heading 1 2 2 2 4 2 8 8 2" xfId="9397"/>
    <cellStyle name="Heading 1 2 2 2 4 2 8 9" xfId="9398"/>
    <cellStyle name="Heading 1 2 2 2 4 2 9" xfId="9399"/>
    <cellStyle name="Heading 1 2 2 2 4 2 9 2" xfId="9400"/>
    <cellStyle name="Heading 1 2 2 2 4 2 9 2 2" xfId="9401"/>
    <cellStyle name="Heading 1 2 2 2 4 2 9 2 2 2" xfId="9402"/>
    <cellStyle name="Heading 1 2 2 2 4 2 9 2 3" xfId="9403"/>
    <cellStyle name="Heading 1 2 2 2 4 2 9 3" xfId="9404"/>
    <cellStyle name="Heading 1 2 2 2 4 2 9 3 2" xfId="9405"/>
    <cellStyle name="Heading 1 2 2 2 4 2 9 3 2 2" xfId="9406"/>
    <cellStyle name="Heading 1 2 2 2 4 2 9 3 3" xfId="9407"/>
    <cellStyle name="Heading 1 2 2 2 4 2 9 4" xfId="9408"/>
    <cellStyle name="Heading 1 2 2 2 4 2 9 4 2" xfId="9409"/>
    <cellStyle name="Heading 1 2 2 2 4 2 9 4 2 2" xfId="9410"/>
    <cellStyle name="Heading 1 2 2 2 4 2 9 4 3" xfId="9411"/>
    <cellStyle name="Heading 1 2 2 2 4 2 9 5" xfId="9412"/>
    <cellStyle name="Heading 1 2 2 2 4 2 9 5 2" xfId="9413"/>
    <cellStyle name="Heading 1 2 2 2 4 2 9 5 2 2" xfId="9414"/>
    <cellStyle name="Heading 1 2 2 2 4 2 9 5 3" xfId="9415"/>
    <cellStyle name="Heading 1 2 2 2 4 2 9 6" xfId="9416"/>
    <cellStyle name="Heading 1 2 2 2 4 2 9 6 2" xfId="9417"/>
    <cellStyle name="Heading 1 2 2 2 4 2 9 6 2 2" xfId="9418"/>
    <cellStyle name="Heading 1 2 2 2 4 2 9 6 3" xfId="9419"/>
    <cellStyle name="Heading 1 2 2 2 4 2 9 7" xfId="9420"/>
    <cellStyle name="Heading 1 2 2 2 4 2 9 7 2" xfId="9421"/>
    <cellStyle name="Heading 1 2 2 2 4 2 9 7 2 2" xfId="9422"/>
    <cellStyle name="Heading 1 2 2 2 4 2 9 7 3" xfId="9423"/>
    <cellStyle name="Heading 1 2 2 2 4 2 9 8" xfId="9424"/>
    <cellStyle name="Heading 1 2 2 2 4 2 9 8 2" xfId="9425"/>
    <cellStyle name="Heading 1 2 2 2 4 2 9 9" xfId="9426"/>
    <cellStyle name="Heading 1 2 2 2 4 3" xfId="9427"/>
    <cellStyle name="Heading 1 2 2 2 4 3 10" xfId="9428"/>
    <cellStyle name="Heading 1 2 2 2 4 3 10 2" xfId="9429"/>
    <cellStyle name="Heading 1 2 2 2 4 3 10 2 2" xfId="9430"/>
    <cellStyle name="Heading 1 2 2 2 4 3 10 3" xfId="9431"/>
    <cellStyle name="Heading 1 2 2 2 4 3 11" xfId="9432"/>
    <cellStyle name="Heading 1 2 2 2 4 3 11 2" xfId="9433"/>
    <cellStyle name="Heading 1 2 2 2 4 3 11 2 2" xfId="9434"/>
    <cellStyle name="Heading 1 2 2 2 4 3 11 3" xfId="9435"/>
    <cellStyle name="Heading 1 2 2 2 4 3 12" xfId="9436"/>
    <cellStyle name="Heading 1 2 2 2 4 3 12 2" xfId="9437"/>
    <cellStyle name="Heading 1 2 2 2 4 3 12 2 2" xfId="9438"/>
    <cellStyle name="Heading 1 2 2 2 4 3 12 3" xfId="9439"/>
    <cellStyle name="Heading 1 2 2 2 4 3 13" xfId="9440"/>
    <cellStyle name="Heading 1 2 2 2 4 3 13 2" xfId="9441"/>
    <cellStyle name="Heading 1 2 2 2 4 3 13 2 2" xfId="9442"/>
    <cellStyle name="Heading 1 2 2 2 4 3 13 3" xfId="9443"/>
    <cellStyle name="Heading 1 2 2 2 4 3 14" xfId="9444"/>
    <cellStyle name="Heading 1 2 2 2 4 3 14 2" xfId="9445"/>
    <cellStyle name="Heading 1 2 2 2 4 3 14 2 2" xfId="9446"/>
    <cellStyle name="Heading 1 2 2 2 4 3 14 3" xfId="9447"/>
    <cellStyle name="Heading 1 2 2 2 4 3 15" xfId="9448"/>
    <cellStyle name="Heading 1 2 2 2 4 3 15 2" xfId="9449"/>
    <cellStyle name="Heading 1 2 2 2 4 3 15 2 2" xfId="9450"/>
    <cellStyle name="Heading 1 2 2 2 4 3 15 3" xfId="9451"/>
    <cellStyle name="Heading 1 2 2 2 4 3 16" xfId="9452"/>
    <cellStyle name="Heading 1 2 2 2 4 3 16 2" xfId="9453"/>
    <cellStyle name="Heading 1 2 2 2 4 3 16 2 2" xfId="9454"/>
    <cellStyle name="Heading 1 2 2 2 4 3 16 3" xfId="9455"/>
    <cellStyle name="Heading 1 2 2 2 4 3 17" xfId="9456"/>
    <cellStyle name="Heading 1 2 2 2 4 3 17 2" xfId="9457"/>
    <cellStyle name="Heading 1 2 2 2 4 3 17 2 2" xfId="9458"/>
    <cellStyle name="Heading 1 2 2 2 4 3 17 3" xfId="9459"/>
    <cellStyle name="Heading 1 2 2 2 4 3 18" xfId="9460"/>
    <cellStyle name="Heading 1 2 2 2 4 3 18 2" xfId="9461"/>
    <cellStyle name="Heading 1 2 2 2 4 3 18 2 2" xfId="9462"/>
    <cellStyle name="Heading 1 2 2 2 4 3 18 3" xfId="9463"/>
    <cellStyle name="Heading 1 2 2 2 4 3 19" xfId="9464"/>
    <cellStyle name="Heading 1 2 2 2 4 3 19 2" xfId="9465"/>
    <cellStyle name="Heading 1 2 2 2 4 3 2" xfId="9466"/>
    <cellStyle name="Heading 1 2 2 2 4 3 2 2" xfId="9467"/>
    <cellStyle name="Heading 1 2 2 2 4 3 2 2 2" xfId="9468"/>
    <cellStyle name="Heading 1 2 2 2 4 3 2 2 2 2" xfId="9469"/>
    <cellStyle name="Heading 1 2 2 2 4 3 2 2 3" xfId="9470"/>
    <cellStyle name="Heading 1 2 2 2 4 3 2 3" xfId="9471"/>
    <cellStyle name="Heading 1 2 2 2 4 3 2 3 2" xfId="9472"/>
    <cellStyle name="Heading 1 2 2 2 4 3 2 3 2 2" xfId="9473"/>
    <cellStyle name="Heading 1 2 2 2 4 3 2 3 3" xfId="9474"/>
    <cellStyle name="Heading 1 2 2 2 4 3 2 4" xfId="9475"/>
    <cellStyle name="Heading 1 2 2 2 4 3 2 4 2" xfId="9476"/>
    <cellStyle name="Heading 1 2 2 2 4 3 2 4 2 2" xfId="9477"/>
    <cellStyle name="Heading 1 2 2 2 4 3 2 4 3" xfId="9478"/>
    <cellStyle name="Heading 1 2 2 2 4 3 2 5" xfId="9479"/>
    <cellStyle name="Heading 1 2 2 2 4 3 2 5 2" xfId="9480"/>
    <cellStyle name="Heading 1 2 2 2 4 3 2 5 2 2" xfId="9481"/>
    <cellStyle name="Heading 1 2 2 2 4 3 2 5 3" xfId="9482"/>
    <cellStyle name="Heading 1 2 2 2 4 3 2 6" xfId="9483"/>
    <cellStyle name="Heading 1 2 2 2 4 3 2 6 2" xfId="9484"/>
    <cellStyle name="Heading 1 2 2 2 4 3 2 6 2 2" xfId="9485"/>
    <cellStyle name="Heading 1 2 2 2 4 3 2 6 3" xfId="9486"/>
    <cellStyle name="Heading 1 2 2 2 4 3 2 7" xfId="9487"/>
    <cellStyle name="Heading 1 2 2 2 4 3 2 7 2" xfId="9488"/>
    <cellStyle name="Heading 1 2 2 2 4 3 2 7 2 2" xfId="9489"/>
    <cellStyle name="Heading 1 2 2 2 4 3 2 7 3" xfId="9490"/>
    <cellStyle name="Heading 1 2 2 2 4 3 2 8" xfId="9491"/>
    <cellStyle name="Heading 1 2 2 2 4 3 2 8 2" xfId="9492"/>
    <cellStyle name="Heading 1 2 2 2 4 3 2 9" xfId="9493"/>
    <cellStyle name="Heading 1 2 2 2 4 3 20" xfId="9494"/>
    <cellStyle name="Heading 1 2 2 2 4 3 20 2" xfId="9495"/>
    <cellStyle name="Heading 1 2 2 2 4 3 21" xfId="9496"/>
    <cellStyle name="Heading 1 2 2 2 4 3 21 2" xfId="9497"/>
    <cellStyle name="Heading 1 2 2 2 4 3 22" xfId="9498"/>
    <cellStyle name="Heading 1 2 2 2 4 3 3" xfId="9499"/>
    <cellStyle name="Heading 1 2 2 2 4 3 3 2" xfId="9500"/>
    <cellStyle name="Heading 1 2 2 2 4 3 3 2 2" xfId="9501"/>
    <cellStyle name="Heading 1 2 2 2 4 3 3 2 2 2" xfId="9502"/>
    <cellStyle name="Heading 1 2 2 2 4 3 3 2 3" xfId="9503"/>
    <cellStyle name="Heading 1 2 2 2 4 3 3 3" xfId="9504"/>
    <cellStyle name="Heading 1 2 2 2 4 3 3 3 2" xfId="9505"/>
    <cellStyle name="Heading 1 2 2 2 4 3 3 3 2 2" xfId="9506"/>
    <cellStyle name="Heading 1 2 2 2 4 3 3 3 3" xfId="9507"/>
    <cellStyle name="Heading 1 2 2 2 4 3 3 4" xfId="9508"/>
    <cellStyle name="Heading 1 2 2 2 4 3 3 4 2" xfId="9509"/>
    <cellStyle name="Heading 1 2 2 2 4 3 3 4 2 2" xfId="9510"/>
    <cellStyle name="Heading 1 2 2 2 4 3 3 4 3" xfId="9511"/>
    <cellStyle name="Heading 1 2 2 2 4 3 3 5" xfId="9512"/>
    <cellStyle name="Heading 1 2 2 2 4 3 3 5 2" xfId="9513"/>
    <cellStyle name="Heading 1 2 2 2 4 3 3 5 2 2" xfId="9514"/>
    <cellStyle name="Heading 1 2 2 2 4 3 3 5 3" xfId="9515"/>
    <cellStyle name="Heading 1 2 2 2 4 3 3 6" xfId="9516"/>
    <cellStyle name="Heading 1 2 2 2 4 3 3 6 2" xfId="9517"/>
    <cellStyle name="Heading 1 2 2 2 4 3 3 6 2 2" xfId="9518"/>
    <cellStyle name="Heading 1 2 2 2 4 3 3 6 3" xfId="9519"/>
    <cellStyle name="Heading 1 2 2 2 4 3 3 7" xfId="9520"/>
    <cellStyle name="Heading 1 2 2 2 4 3 3 7 2" xfId="9521"/>
    <cellStyle name="Heading 1 2 2 2 4 3 3 7 2 2" xfId="9522"/>
    <cellStyle name="Heading 1 2 2 2 4 3 3 7 3" xfId="9523"/>
    <cellStyle name="Heading 1 2 2 2 4 3 3 8" xfId="9524"/>
    <cellStyle name="Heading 1 2 2 2 4 3 3 8 2" xfId="9525"/>
    <cellStyle name="Heading 1 2 2 2 4 3 3 9" xfId="9526"/>
    <cellStyle name="Heading 1 2 2 2 4 3 4" xfId="9527"/>
    <cellStyle name="Heading 1 2 2 2 4 3 4 2" xfId="9528"/>
    <cellStyle name="Heading 1 2 2 2 4 3 4 2 2" xfId="9529"/>
    <cellStyle name="Heading 1 2 2 2 4 3 4 2 2 2" xfId="9530"/>
    <cellStyle name="Heading 1 2 2 2 4 3 4 2 3" xfId="9531"/>
    <cellStyle name="Heading 1 2 2 2 4 3 4 3" xfId="9532"/>
    <cellStyle name="Heading 1 2 2 2 4 3 4 3 2" xfId="9533"/>
    <cellStyle name="Heading 1 2 2 2 4 3 4 3 2 2" xfId="9534"/>
    <cellStyle name="Heading 1 2 2 2 4 3 4 3 3" xfId="9535"/>
    <cellStyle name="Heading 1 2 2 2 4 3 4 4" xfId="9536"/>
    <cellStyle name="Heading 1 2 2 2 4 3 4 4 2" xfId="9537"/>
    <cellStyle name="Heading 1 2 2 2 4 3 4 4 2 2" xfId="9538"/>
    <cellStyle name="Heading 1 2 2 2 4 3 4 4 3" xfId="9539"/>
    <cellStyle name="Heading 1 2 2 2 4 3 4 5" xfId="9540"/>
    <cellStyle name="Heading 1 2 2 2 4 3 4 5 2" xfId="9541"/>
    <cellStyle name="Heading 1 2 2 2 4 3 4 5 2 2" xfId="9542"/>
    <cellStyle name="Heading 1 2 2 2 4 3 4 5 3" xfId="9543"/>
    <cellStyle name="Heading 1 2 2 2 4 3 4 6" xfId="9544"/>
    <cellStyle name="Heading 1 2 2 2 4 3 4 6 2" xfId="9545"/>
    <cellStyle name="Heading 1 2 2 2 4 3 4 6 2 2" xfId="9546"/>
    <cellStyle name="Heading 1 2 2 2 4 3 4 6 3" xfId="9547"/>
    <cellStyle name="Heading 1 2 2 2 4 3 4 7" xfId="9548"/>
    <cellStyle name="Heading 1 2 2 2 4 3 4 7 2" xfId="9549"/>
    <cellStyle name="Heading 1 2 2 2 4 3 4 7 2 2" xfId="9550"/>
    <cellStyle name="Heading 1 2 2 2 4 3 4 7 3" xfId="9551"/>
    <cellStyle name="Heading 1 2 2 2 4 3 4 8" xfId="9552"/>
    <cellStyle name="Heading 1 2 2 2 4 3 4 8 2" xfId="9553"/>
    <cellStyle name="Heading 1 2 2 2 4 3 4 9" xfId="9554"/>
    <cellStyle name="Heading 1 2 2 2 4 3 5" xfId="9555"/>
    <cellStyle name="Heading 1 2 2 2 4 3 5 2" xfId="9556"/>
    <cellStyle name="Heading 1 2 2 2 4 3 5 2 2" xfId="9557"/>
    <cellStyle name="Heading 1 2 2 2 4 3 5 2 2 2" xfId="9558"/>
    <cellStyle name="Heading 1 2 2 2 4 3 5 2 3" xfId="9559"/>
    <cellStyle name="Heading 1 2 2 2 4 3 5 3" xfId="9560"/>
    <cellStyle name="Heading 1 2 2 2 4 3 5 3 2" xfId="9561"/>
    <cellStyle name="Heading 1 2 2 2 4 3 5 3 2 2" xfId="9562"/>
    <cellStyle name="Heading 1 2 2 2 4 3 5 3 3" xfId="9563"/>
    <cellStyle name="Heading 1 2 2 2 4 3 5 4" xfId="9564"/>
    <cellStyle name="Heading 1 2 2 2 4 3 5 4 2" xfId="9565"/>
    <cellStyle name="Heading 1 2 2 2 4 3 5 4 2 2" xfId="9566"/>
    <cellStyle name="Heading 1 2 2 2 4 3 5 4 3" xfId="9567"/>
    <cellStyle name="Heading 1 2 2 2 4 3 5 5" xfId="9568"/>
    <cellStyle name="Heading 1 2 2 2 4 3 5 5 2" xfId="9569"/>
    <cellStyle name="Heading 1 2 2 2 4 3 5 5 2 2" xfId="9570"/>
    <cellStyle name="Heading 1 2 2 2 4 3 5 5 3" xfId="9571"/>
    <cellStyle name="Heading 1 2 2 2 4 3 5 6" xfId="9572"/>
    <cellStyle name="Heading 1 2 2 2 4 3 5 6 2" xfId="9573"/>
    <cellStyle name="Heading 1 2 2 2 4 3 5 6 2 2" xfId="9574"/>
    <cellStyle name="Heading 1 2 2 2 4 3 5 6 3" xfId="9575"/>
    <cellStyle name="Heading 1 2 2 2 4 3 5 7" xfId="9576"/>
    <cellStyle name="Heading 1 2 2 2 4 3 5 7 2" xfId="9577"/>
    <cellStyle name="Heading 1 2 2 2 4 3 5 7 2 2" xfId="9578"/>
    <cellStyle name="Heading 1 2 2 2 4 3 5 7 3" xfId="9579"/>
    <cellStyle name="Heading 1 2 2 2 4 3 5 8" xfId="9580"/>
    <cellStyle name="Heading 1 2 2 2 4 3 5 8 2" xfId="9581"/>
    <cellStyle name="Heading 1 2 2 2 4 3 5 9" xfId="9582"/>
    <cellStyle name="Heading 1 2 2 2 4 3 6" xfId="9583"/>
    <cellStyle name="Heading 1 2 2 2 4 3 6 2" xfId="9584"/>
    <cellStyle name="Heading 1 2 2 2 4 3 6 2 2" xfId="9585"/>
    <cellStyle name="Heading 1 2 2 2 4 3 6 2 2 2" xfId="9586"/>
    <cellStyle name="Heading 1 2 2 2 4 3 6 2 3" xfId="9587"/>
    <cellStyle name="Heading 1 2 2 2 4 3 6 3" xfId="9588"/>
    <cellStyle name="Heading 1 2 2 2 4 3 6 3 2" xfId="9589"/>
    <cellStyle name="Heading 1 2 2 2 4 3 6 3 2 2" xfId="9590"/>
    <cellStyle name="Heading 1 2 2 2 4 3 6 3 3" xfId="9591"/>
    <cellStyle name="Heading 1 2 2 2 4 3 6 4" xfId="9592"/>
    <cellStyle name="Heading 1 2 2 2 4 3 6 4 2" xfId="9593"/>
    <cellStyle name="Heading 1 2 2 2 4 3 6 4 2 2" xfId="9594"/>
    <cellStyle name="Heading 1 2 2 2 4 3 6 4 3" xfId="9595"/>
    <cellStyle name="Heading 1 2 2 2 4 3 6 5" xfId="9596"/>
    <cellStyle name="Heading 1 2 2 2 4 3 6 5 2" xfId="9597"/>
    <cellStyle name="Heading 1 2 2 2 4 3 6 5 2 2" xfId="9598"/>
    <cellStyle name="Heading 1 2 2 2 4 3 6 5 3" xfId="9599"/>
    <cellStyle name="Heading 1 2 2 2 4 3 6 6" xfId="9600"/>
    <cellStyle name="Heading 1 2 2 2 4 3 6 6 2" xfId="9601"/>
    <cellStyle name="Heading 1 2 2 2 4 3 6 6 2 2" xfId="9602"/>
    <cellStyle name="Heading 1 2 2 2 4 3 6 6 3" xfId="9603"/>
    <cellStyle name="Heading 1 2 2 2 4 3 6 7" xfId="9604"/>
    <cellStyle name="Heading 1 2 2 2 4 3 6 7 2" xfId="9605"/>
    <cellStyle name="Heading 1 2 2 2 4 3 6 7 2 2" xfId="9606"/>
    <cellStyle name="Heading 1 2 2 2 4 3 6 7 3" xfId="9607"/>
    <cellStyle name="Heading 1 2 2 2 4 3 6 8" xfId="9608"/>
    <cellStyle name="Heading 1 2 2 2 4 3 6 8 2" xfId="9609"/>
    <cellStyle name="Heading 1 2 2 2 4 3 6 9" xfId="9610"/>
    <cellStyle name="Heading 1 2 2 2 4 3 7" xfId="9611"/>
    <cellStyle name="Heading 1 2 2 2 4 3 7 2" xfId="9612"/>
    <cellStyle name="Heading 1 2 2 2 4 3 7 2 2" xfId="9613"/>
    <cellStyle name="Heading 1 2 2 2 4 3 7 2 2 2" xfId="9614"/>
    <cellStyle name="Heading 1 2 2 2 4 3 7 2 3" xfId="9615"/>
    <cellStyle name="Heading 1 2 2 2 4 3 7 3" xfId="9616"/>
    <cellStyle name="Heading 1 2 2 2 4 3 7 3 2" xfId="9617"/>
    <cellStyle name="Heading 1 2 2 2 4 3 7 3 2 2" xfId="9618"/>
    <cellStyle name="Heading 1 2 2 2 4 3 7 3 3" xfId="9619"/>
    <cellStyle name="Heading 1 2 2 2 4 3 7 4" xfId="9620"/>
    <cellStyle name="Heading 1 2 2 2 4 3 7 4 2" xfId="9621"/>
    <cellStyle name="Heading 1 2 2 2 4 3 7 4 2 2" xfId="9622"/>
    <cellStyle name="Heading 1 2 2 2 4 3 7 4 3" xfId="9623"/>
    <cellStyle name="Heading 1 2 2 2 4 3 7 5" xfId="9624"/>
    <cellStyle name="Heading 1 2 2 2 4 3 7 5 2" xfId="9625"/>
    <cellStyle name="Heading 1 2 2 2 4 3 7 5 2 2" xfId="9626"/>
    <cellStyle name="Heading 1 2 2 2 4 3 7 5 3" xfId="9627"/>
    <cellStyle name="Heading 1 2 2 2 4 3 7 6" xfId="9628"/>
    <cellStyle name="Heading 1 2 2 2 4 3 7 6 2" xfId="9629"/>
    <cellStyle name="Heading 1 2 2 2 4 3 7 6 2 2" xfId="9630"/>
    <cellStyle name="Heading 1 2 2 2 4 3 7 6 3" xfId="9631"/>
    <cellStyle name="Heading 1 2 2 2 4 3 7 7" xfId="9632"/>
    <cellStyle name="Heading 1 2 2 2 4 3 7 7 2" xfId="9633"/>
    <cellStyle name="Heading 1 2 2 2 4 3 7 7 2 2" xfId="9634"/>
    <cellStyle name="Heading 1 2 2 2 4 3 7 7 3" xfId="9635"/>
    <cellStyle name="Heading 1 2 2 2 4 3 7 8" xfId="9636"/>
    <cellStyle name="Heading 1 2 2 2 4 3 7 8 2" xfId="9637"/>
    <cellStyle name="Heading 1 2 2 2 4 3 7 9" xfId="9638"/>
    <cellStyle name="Heading 1 2 2 2 4 3 8" xfId="9639"/>
    <cellStyle name="Heading 1 2 2 2 4 3 8 2" xfId="9640"/>
    <cellStyle name="Heading 1 2 2 2 4 3 8 2 2" xfId="9641"/>
    <cellStyle name="Heading 1 2 2 2 4 3 8 2 2 2" xfId="9642"/>
    <cellStyle name="Heading 1 2 2 2 4 3 8 2 3" xfId="9643"/>
    <cellStyle name="Heading 1 2 2 2 4 3 8 3" xfId="9644"/>
    <cellStyle name="Heading 1 2 2 2 4 3 8 3 2" xfId="9645"/>
    <cellStyle name="Heading 1 2 2 2 4 3 8 3 2 2" xfId="9646"/>
    <cellStyle name="Heading 1 2 2 2 4 3 8 3 3" xfId="9647"/>
    <cellStyle name="Heading 1 2 2 2 4 3 8 4" xfId="9648"/>
    <cellStyle name="Heading 1 2 2 2 4 3 8 4 2" xfId="9649"/>
    <cellStyle name="Heading 1 2 2 2 4 3 8 4 2 2" xfId="9650"/>
    <cellStyle name="Heading 1 2 2 2 4 3 8 4 3" xfId="9651"/>
    <cellStyle name="Heading 1 2 2 2 4 3 8 5" xfId="9652"/>
    <cellStyle name="Heading 1 2 2 2 4 3 8 5 2" xfId="9653"/>
    <cellStyle name="Heading 1 2 2 2 4 3 8 5 2 2" xfId="9654"/>
    <cellStyle name="Heading 1 2 2 2 4 3 8 5 3" xfId="9655"/>
    <cellStyle name="Heading 1 2 2 2 4 3 8 6" xfId="9656"/>
    <cellStyle name="Heading 1 2 2 2 4 3 8 6 2" xfId="9657"/>
    <cellStyle name="Heading 1 2 2 2 4 3 8 6 2 2" xfId="9658"/>
    <cellStyle name="Heading 1 2 2 2 4 3 8 6 3" xfId="9659"/>
    <cellStyle name="Heading 1 2 2 2 4 3 8 7" xfId="9660"/>
    <cellStyle name="Heading 1 2 2 2 4 3 8 7 2" xfId="9661"/>
    <cellStyle name="Heading 1 2 2 2 4 3 8 7 2 2" xfId="9662"/>
    <cellStyle name="Heading 1 2 2 2 4 3 8 7 3" xfId="9663"/>
    <cellStyle name="Heading 1 2 2 2 4 3 8 8" xfId="9664"/>
    <cellStyle name="Heading 1 2 2 2 4 3 8 8 2" xfId="9665"/>
    <cellStyle name="Heading 1 2 2 2 4 3 8 9" xfId="9666"/>
    <cellStyle name="Heading 1 2 2 2 4 3 9" xfId="9667"/>
    <cellStyle name="Heading 1 2 2 2 4 3 9 2" xfId="9668"/>
    <cellStyle name="Heading 1 2 2 2 4 3 9 2 2" xfId="9669"/>
    <cellStyle name="Heading 1 2 2 2 4 3 9 3" xfId="9670"/>
    <cellStyle name="Heading 1 2 2 2 4 4" xfId="9671"/>
    <cellStyle name="Heading 1 2 2 2 4 4 2" xfId="9672"/>
    <cellStyle name="Heading 1 2 2 2 4 4 2 2" xfId="9673"/>
    <cellStyle name="Heading 1 2 2 2 4 4 3" xfId="9674"/>
    <cellStyle name="Heading 1 2 2 2 4 5" xfId="9675"/>
    <cellStyle name="Heading 1 2 2 2 4 5 2" xfId="9676"/>
    <cellStyle name="Heading 1 2 2 2 4 6" xfId="9677"/>
    <cellStyle name="Heading 1 2 2 2 5" xfId="9678"/>
    <cellStyle name="Heading 1 2 2 2 5 2" xfId="9679"/>
    <cellStyle name="Heading 1 2 2 2 5 2 10" xfId="9680"/>
    <cellStyle name="Heading 1 2 2 2 5 2 10 2" xfId="9681"/>
    <cellStyle name="Heading 1 2 2 2 5 2 10 2 2" xfId="9682"/>
    <cellStyle name="Heading 1 2 2 2 5 2 10 3" xfId="9683"/>
    <cellStyle name="Heading 1 2 2 2 5 2 11" xfId="9684"/>
    <cellStyle name="Heading 1 2 2 2 5 2 11 2" xfId="9685"/>
    <cellStyle name="Heading 1 2 2 2 5 2 11 2 2" xfId="9686"/>
    <cellStyle name="Heading 1 2 2 2 5 2 11 3" xfId="9687"/>
    <cellStyle name="Heading 1 2 2 2 5 2 12" xfId="9688"/>
    <cellStyle name="Heading 1 2 2 2 5 2 12 2" xfId="9689"/>
    <cellStyle name="Heading 1 2 2 2 5 2 12 2 2" xfId="9690"/>
    <cellStyle name="Heading 1 2 2 2 5 2 12 3" xfId="9691"/>
    <cellStyle name="Heading 1 2 2 2 5 2 13" xfId="9692"/>
    <cellStyle name="Heading 1 2 2 2 5 2 13 2" xfId="9693"/>
    <cellStyle name="Heading 1 2 2 2 5 2 13 2 2" xfId="9694"/>
    <cellStyle name="Heading 1 2 2 2 5 2 13 3" xfId="9695"/>
    <cellStyle name="Heading 1 2 2 2 5 2 14" xfId="9696"/>
    <cellStyle name="Heading 1 2 2 2 5 2 14 2" xfId="9697"/>
    <cellStyle name="Heading 1 2 2 2 5 2 14 2 2" xfId="9698"/>
    <cellStyle name="Heading 1 2 2 2 5 2 14 3" xfId="9699"/>
    <cellStyle name="Heading 1 2 2 2 5 2 15" xfId="9700"/>
    <cellStyle name="Heading 1 2 2 2 5 2 15 2" xfId="9701"/>
    <cellStyle name="Heading 1 2 2 2 5 2 15 2 2" xfId="9702"/>
    <cellStyle name="Heading 1 2 2 2 5 2 15 3" xfId="9703"/>
    <cellStyle name="Heading 1 2 2 2 5 2 16" xfId="9704"/>
    <cellStyle name="Heading 1 2 2 2 5 2 16 2" xfId="9705"/>
    <cellStyle name="Heading 1 2 2 2 5 2 16 2 2" xfId="9706"/>
    <cellStyle name="Heading 1 2 2 2 5 2 16 3" xfId="9707"/>
    <cellStyle name="Heading 1 2 2 2 5 2 17" xfId="9708"/>
    <cellStyle name="Heading 1 2 2 2 5 2 17 2" xfId="9709"/>
    <cellStyle name="Heading 1 2 2 2 5 2 17 2 2" xfId="9710"/>
    <cellStyle name="Heading 1 2 2 2 5 2 17 3" xfId="9711"/>
    <cellStyle name="Heading 1 2 2 2 5 2 18" xfId="9712"/>
    <cellStyle name="Heading 1 2 2 2 5 2 18 2" xfId="9713"/>
    <cellStyle name="Heading 1 2 2 2 5 2 18 2 2" xfId="9714"/>
    <cellStyle name="Heading 1 2 2 2 5 2 18 3" xfId="9715"/>
    <cellStyle name="Heading 1 2 2 2 5 2 19" xfId="9716"/>
    <cellStyle name="Heading 1 2 2 2 5 2 19 2" xfId="9717"/>
    <cellStyle name="Heading 1 2 2 2 5 2 19 2 2" xfId="9718"/>
    <cellStyle name="Heading 1 2 2 2 5 2 19 3" xfId="9719"/>
    <cellStyle name="Heading 1 2 2 2 5 2 2" xfId="9720"/>
    <cellStyle name="Heading 1 2 2 2 5 2 2 10" xfId="9721"/>
    <cellStyle name="Heading 1 2 2 2 5 2 2 10 2" xfId="9722"/>
    <cellStyle name="Heading 1 2 2 2 5 2 2 10 2 2" xfId="9723"/>
    <cellStyle name="Heading 1 2 2 2 5 2 2 10 3" xfId="9724"/>
    <cellStyle name="Heading 1 2 2 2 5 2 2 11" xfId="9725"/>
    <cellStyle name="Heading 1 2 2 2 5 2 2 11 2" xfId="9726"/>
    <cellStyle name="Heading 1 2 2 2 5 2 2 11 2 2" xfId="9727"/>
    <cellStyle name="Heading 1 2 2 2 5 2 2 11 3" xfId="9728"/>
    <cellStyle name="Heading 1 2 2 2 5 2 2 12" xfId="9729"/>
    <cellStyle name="Heading 1 2 2 2 5 2 2 12 2" xfId="9730"/>
    <cellStyle name="Heading 1 2 2 2 5 2 2 12 2 2" xfId="9731"/>
    <cellStyle name="Heading 1 2 2 2 5 2 2 12 3" xfId="9732"/>
    <cellStyle name="Heading 1 2 2 2 5 2 2 13" xfId="9733"/>
    <cellStyle name="Heading 1 2 2 2 5 2 2 13 2" xfId="9734"/>
    <cellStyle name="Heading 1 2 2 2 5 2 2 13 2 2" xfId="9735"/>
    <cellStyle name="Heading 1 2 2 2 5 2 2 13 3" xfId="9736"/>
    <cellStyle name="Heading 1 2 2 2 5 2 2 14" xfId="9737"/>
    <cellStyle name="Heading 1 2 2 2 5 2 2 14 2" xfId="9738"/>
    <cellStyle name="Heading 1 2 2 2 5 2 2 14 2 2" xfId="9739"/>
    <cellStyle name="Heading 1 2 2 2 5 2 2 14 3" xfId="9740"/>
    <cellStyle name="Heading 1 2 2 2 5 2 2 15" xfId="9741"/>
    <cellStyle name="Heading 1 2 2 2 5 2 2 15 2" xfId="9742"/>
    <cellStyle name="Heading 1 2 2 2 5 2 2 15 2 2" xfId="9743"/>
    <cellStyle name="Heading 1 2 2 2 5 2 2 15 3" xfId="9744"/>
    <cellStyle name="Heading 1 2 2 2 5 2 2 16" xfId="9745"/>
    <cellStyle name="Heading 1 2 2 2 5 2 2 16 2" xfId="9746"/>
    <cellStyle name="Heading 1 2 2 2 5 2 2 16 2 2" xfId="9747"/>
    <cellStyle name="Heading 1 2 2 2 5 2 2 16 3" xfId="9748"/>
    <cellStyle name="Heading 1 2 2 2 5 2 2 17" xfId="9749"/>
    <cellStyle name="Heading 1 2 2 2 5 2 2 17 2" xfId="9750"/>
    <cellStyle name="Heading 1 2 2 2 5 2 2 17 2 2" xfId="9751"/>
    <cellStyle name="Heading 1 2 2 2 5 2 2 17 3" xfId="9752"/>
    <cellStyle name="Heading 1 2 2 2 5 2 2 18" xfId="9753"/>
    <cellStyle name="Heading 1 2 2 2 5 2 2 18 2" xfId="9754"/>
    <cellStyle name="Heading 1 2 2 2 5 2 2 18 2 2" xfId="9755"/>
    <cellStyle name="Heading 1 2 2 2 5 2 2 18 3" xfId="9756"/>
    <cellStyle name="Heading 1 2 2 2 5 2 2 19" xfId="9757"/>
    <cellStyle name="Heading 1 2 2 2 5 2 2 19 2" xfId="9758"/>
    <cellStyle name="Heading 1 2 2 2 5 2 2 2" xfId="9759"/>
    <cellStyle name="Heading 1 2 2 2 5 2 2 2 2" xfId="9760"/>
    <cellStyle name="Heading 1 2 2 2 5 2 2 2 2 2" xfId="9761"/>
    <cellStyle name="Heading 1 2 2 2 5 2 2 2 2 2 2" xfId="9762"/>
    <cellStyle name="Heading 1 2 2 2 5 2 2 2 2 3" xfId="9763"/>
    <cellStyle name="Heading 1 2 2 2 5 2 2 2 3" xfId="9764"/>
    <cellStyle name="Heading 1 2 2 2 5 2 2 2 3 2" xfId="9765"/>
    <cellStyle name="Heading 1 2 2 2 5 2 2 2 3 2 2" xfId="9766"/>
    <cellStyle name="Heading 1 2 2 2 5 2 2 2 3 3" xfId="9767"/>
    <cellStyle name="Heading 1 2 2 2 5 2 2 2 4" xfId="9768"/>
    <cellStyle name="Heading 1 2 2 2 5 2 2 2 4 2" xfId="9769"/>
    <cellStyle name="Heading 1 2 2 2 5 2 2 2 4 2 2" xfId="9770"/>
    <cellStyle name="Heading 1 2 2 2 5 2 2 2 4 3" xfId="9771"/>
    <cellStyle name="Heading 1 2 2 2 5 2 2 2 5" xfId="9772"/>
    <cellStyle name="Heading 1 2 2 2 5 2 2 2 5 2" xfId="9773"/>
    <cellStyle name="Heading 1 2 2 2 5 2 2 2 5 2 2" xfId="9774"/>
    <cellStyle name="Heading 1 2 2 2 5 2 2 2 5 3" xfId="9775"/>
    <cellStyle name="Heading 1 2 2 2 5 2 2 2 6" xfId="9776"/>
    <cellStyle name="Heading 1 2 2 2 5 2 2 2 6 2" xfId="9777"/>
    <cellStyle name="Heading 1 2 2 2 5 2 2 2 6 2 2" xfId="9778"/>
    <cellStyle name="Heading 1 2 2 2 5 2 2 2 6 3" xfId="9779"/>
    <cellStyle name="Heading 1 2 2 2 5 2 2 2 7" xfId="9780"/>
    <cellStyle name="Heading 1 2 2 2 5 2 2 2 7 2" xfId="9781"/>
    <cellStyle name="Heading 1 2 2 2 5 2 2 2 7 2 2" xfId="9782"/>
    <cellStyle name="Heading 1 2 2 2 5 2 2 2 7 3" xfId="9783"/>
    <cellStyle name="Heading 1 2 2 2 5 2 2 2 8" xfId="9784"/>
    <cellStyle name="Heading 1 2 2 2 5 2 2 2 8 2" xfId="9785"/>
    <cellStyle name="Heading 1 2 2 2 5 2 2 2 9" xfId="9786"/>
    <cellStyle name="Heading 1 2 2 2 5 2 2 20" xfId="9787"/>
    <cellStyle name="Heading 1 2 2 2 5 2 2 20 2" xfId="9788"/>
    <cellStyle name="Heading 1 2 2 2 5 2 2 21" xfId="9789"/>
    <cellStyle name="Heading 1 2 2 2 5 2 2 21 2" xfId="9790"/>
    <cellStyle name="Heading 1 2 2 2 5 2 2 22" xfId="9791"/>
    <cellStyle name="Heading 1 2 2 2 5 2 2 3" xfId="9792"/>
    <cellStyle name="Heading 1 2 2 2 5 2 2 3 2" xfId="9793"/>
    <cellStyle name="Heading 1 2 2 2 5 2 2 3 2 2" xfId="9794"/>
    <cellStyle name="Heading 1 2 2 2 5 2 2 3 2 2 2" xfId="9795"/>
    <cellStyle name="Heading 1 2 2 2 5 2 2 3 2 3" xfId="9796"/>
    <cellStyle name="Heading 1 2 2 2 5 2 2 3 3" xfId="9797"/>
    <cellStyle name="Heading 1 2 2 2 5 2 2 3 3 2" xfId="9798"/>
    <cellStyle name="Heading 1 2 2 2 5 2 2 3 3 2 2" xfId="9799"/>
    <cellStyle name="Heading 1 2 2 2 5 2 2 3 3 3" xfId="9800"/>
    <cellStyle name="Heading 1 2 2 2 5 2 2 3 4" xfId="9801"/>
    <cellStyle name="Heading 1 2 2 2 5 2 2 3 4 2" xfId="9802"/>
    <cellStyle name="Heading 1 2 2 2 5 2 2 3 4 2 2" xfId="9803"/>
    <cellStyle name="Heading 1 2 2 2 5 2 2 3 4 3" xfId="9804"/>
    <cellStyle name="Heading 1 2 2 2 5 2 2 3 5" xfId="9805"/>
    <cellStyle name="Heading 1 2 2 2 5 2 2 3 5 2" xfId="9806"/>
    <cellStyle name="Heading 1 2 2 2 5 2 2 3 5 2 2" xfId="9807"/>
    <cellStyle name="Heading 1 2 2 2 5 2 2 3 5 3" xfId="9808"/>
    <cellStyle name="Heading 1 2 2 2 5 2 2 3 6" xfId="9809"/>
    <cellStyle name="Heading 1 2 2 2 5 2 2 3 6 2" xfId="9810"/>
    <cellStyle name="Heading 1 2 2 2 5 2 2 3 6 2 2" xfId="9811"/>
    <cellStyle name="Heading 1 2 2 2 5 2 2 3 6 3" xfId="9812"/>
    <cellStyle name="Heading 1 2 2 2 5 2 2 3 7" xfId="9813"/>
    <cellStyle name="Heading 1 2 2 2 5 2 2 3 7 2" xfId="9814"/>
    <cellStyle name="Heading 1 2 2 2 5 2 2 3 7 2 2" xfId="9815"/>
    <cellStyle name="Heading 1 2 2 2 5 2 2 3 7 3" xfId="9816"/>
    <cellStyle name="Heading 1 2 2 2 5 2 2 3 8" xfId="9817"/>
    <cellStyle name="Heading 1 2 2 2 5 2 2 3 8 2" xfId="9818"/>
    <cellStyle name="Heading 1 2 2 2 5 2 2 3 9" xfId="9819"/>
    <cellStyle name="Heading 1 2 2 2 5 2 2 4" xfId="9820"/>
    <cellStyle name="Heading 1 2 2 2 5 2 2 4 2" xfId="9821"/>
    <cellStyle name="Heading 1 2 2 2 5 2 2 4 2 2" xfId="9822"/>
    <cellStyle name="Heading 1 2 2 2 5 2 2 4 2 2 2" xfId="9823"/>
    <cellStyle name="Heading 1 2 2 2 5 2 2 4 2 3" xfId="9824"/>
    <cellStyle name="Heading 1 2 2 2 5 2 2 4 3" xfId="9825"/>
    <cellStyle name="Heading 1 2 2 2 5 2 2 4 3 2" xfId="9826"/>
    <cellStyle name="Heading 1 2 2 2 5 2 2 4 3 2 2" xfId="9827"/>
    <cellStyle name="Heading 1 2 2 2 5 2 2 4 3 3" xfId="9828"/>
    <cellStyle name="Heading 1 2 2 2 5 2 2 4 4" xfId="9829"/>
    <cellStyle name="Heading 1 2 2 2 5 2 2 4 4 2" xfId="9830"/>
    <cellStyle name="Heading 1 2 2 2 5 2 2 4 4 2 2" xfId="9831"/>
    <cellStyle name="Heading 1 2 2 2 5 2 2 4 4 3" xfId="9832"/>
    <cellStyle name="Heading 1 2 2 2 5 2 2 4 5" xfId="9833"/>
    <cellStyle name="Heading 1 2 2 2 5 2 2 4 5 2" xfId="9834"/>
    <cellStyle name="Heading 1 2 2 2 5 2 2 4 5 2 2" xfId="9835"/>
    <cellStyle name="Heading 1 2 2 2 5 2 2 4 5 3" xfId="9836"/>
    <cellStyle name="Heading 1 2 2 2 5 2 2 4 6" xfId="9837"/>
    <cellStyle name="Heading 1 2 2 2 5 2 2 4 6 2" xfId="9838"/>
    <cellStyle name="Heading 1 2 2 2 5 2 2 4 6 2 2" xfId="9839"/>
    <cellStyle name="Heading 1 2 2 2 5 2 2 4 6 3" xfId="9840"/>
    <cellStyle name="Heading 1 2 2 2 5 2 2 4 7" xfId="9841"/>
    <cellStyle name="Heading 1 2 2 2 5 2 2 4 7 2" xfId="9842"/>
    <cellStyle name="Heading 1 2 2 2 5 2 2 4 7 2 2" xfId="9843"/>
    <cellStyle name="Heading 1 2 2 2 5 2 2 4 7 3" xfId="9844"/>
    <cellStyle name="Heading 1 2 2 2 5 2 2 4 8" xfId="9845"/>
    <cellStyle name="Heading 1 2 2 2 5 2 2 4 8 2" xfId="9846"/>
    <cellStyle name="Heading 1 2 2 2 5 2 2 4 9" xfId="9847"/>
    <cellStyle name="Heading 1 2 2 2 5 2 2 5" xfId="9848"/>
    <cellStyle name="Heading 1 2 2 2 5 2 2 5 2" xfId="9849"/>
    <cellStyle name="Heading 1 2 2 2 5 2 2 5 2 2" xfId="9850"/>
    <cellStyle name="Heading 1 2 2 2 5 2 2 5 2 2 2" xfId="9851"/>
    <cellStyle name="Heading 1 2 2 2 5 2 2 5 2 3" xfId="9852"/>
    <cellStyle name="Heading 1 2 2 2 5 2 2 5 3" xfId="9853"/>
    <cellStyle name="Heading 1 2 2 2 5 2 2 5 3 2" xfId="9854"/>
    <cellStyle name="Heading 1 2 2 2 5 2 2 5 3 2 2" xfId="9855"/>
    <cellStyle name="Heading 1 2 2 2 5 2 2 5 3 3" xfId="9856"/>
    <cellStyle name="Heading 1 2 2 2 5 2 2 5 4" xfId="9857"/>
    <cellStyle name="Heading 1 2 2 2 5 2 2 5 4 2" xfId="9858"/>
    <cellStyle name="Heading 1 2 2 2 5 2 2 5 4 2 2" xfId="9859"/>
    <cellStyle name="Heading 1 2 2 2 5 2 2 5 4 3" xfId="9860"/>
    <cellStyle name="Heading 1 2 2 2 5 2 2 5 5" xfId="9861"/>
    <cellStyle name="Heading 1 2 2 2 5 2 2 5 5 2" xfId="9862"/>
    <cellStyle name="Heading 1 2 2 2 5 2 2 5 5 2 2" xfId="9863"/>
    <cellStyle name="Heading 1 2 2 2 5 2 2 5 5 3" xfId="9864"/>
    <cellStyle name="Heading 1 2 2 2 5 2 2 5 6" xfId="9865"/>
    <cellStyle name="Heading 1 2 2 2 5 2 2 5 6 2" xfId="9866"/>
    <cellStyle name="Heading 1 2 2 2 5 2 2 5 6 2 2" xfId="9867"/>
    <cellStyle name="Heading 1 2 2 2 5 2 2 5 6 3" xfId="9868"/>
    <cellStyle name="Heading 1 2 2 2 5 2 2 5 7" xfId="9869"/>
    <cellStyle name="Heading 1 2 2 2 5 2 2 5 7 2" xfId="9870"/>
    <cellStyle name="Heading 1 2 2 2 5 2 2 5 7 2 2" xfId="9871"/>
    <cellStyle name="Heading 1 2 2 2 5 2 2 5 7 3" xfId="9872"/>
    <cellStyle name="Heading 1 2 2 2 5 2 2 5 8" xfId="9873"/>
    <cellStyle name="Heading 1 2 2 2 5 2 2 5 8 2" xfId="9874"/>
    <cellStyle name="Heading 1 2 2 2 5 2 2 5 9" xfId="9875"/>
    <cellStyle name="Heading 1 2 2 2 5 2 2 6" xfId="9876"/>
    <cellStyle name="Heading 1 2 2 2 5 2 2 6 2" xfId="9877"/>
    <cellStyle name="Heading 1 2 2 2 5 2 2 6 2 2" xfId="9878"/>
    <cellStyle name="Heading 1 2 2 2 5 2 2 6 2 2 2" xfId="9879"/>
    <cellStyle name="Heading 1 2 2 2 5 2 2 6 2 3" xfId="9880"/>
    <cellStyle name="Heading 1 2 2 2 5 2 2 6 3" xfId="9881"/>
    <cellStyle name="Heading 1 2 2 2 5 2 2 6 3 2" xfId="9882"/>
    <cellStyle name="Heading 1 2 2 2 5 2 2 6 3 2 2" xfId="9883"/>
    <cellStyle name="Heading 1 2 2 2 5 2 2 6 3 3" xfId="9884"/>
    <cellStyle name="Heading 1 2 2 2 5 2 2 6 4" xfId="9885"/>
    <cellStyle name="Heading 1 2 2 2 5 2 2 6 4 2" xfId="9886"/>
    <cellStyle name="Heading 1 2 2 2 5 2 2 6 4 2 2" xfId="9887"/>
    <cellStyle name="Heading 1 2 2 2 5 2 2 6 4 3" xfId="9888"/>
    <cellStyle name="Heading 1 2 2 2 5 2 2 6 5" xfId="9889"/>
    <cellStyle name="Heading 1 2 2 2 5 2 2 6 5 2" xfId="9890"/>
    <cellStyle name="Heading 1 2 2 2 5 2 2 6 5 2 2" xfId="9891"/>
    <cellStyle name="Heading 1 2 2 2 5 2 2 6 5 3" xfId="9892"/>
    <cellStyle name="Heading 1 2 2 2 5 2 2 6 6" xfId="9893"/>
    <cellStyle name="Heading 1 2 2 2 5 2 2 6 6 2" xfId="9894"/>
    <cellStyle name="Heading 1 2 2 2 5 2 2 6 6 2 2" xfId="9895"/>
    <cellStyle name="Heading 1 2 2 2 5 2 2 6 6 3" xfId="9896"/>
    <cellStyle name="Heading 1 2 2 2 5 2 2 6 7" xfId="9897"/>
    <cellStyle name="Heading 1 2 2 2 5 2 2 6 7 2" xfId="9898"/>
    <cellStyle name="Heading 1 2 2 2 5 2 2 6 7 2 2" xfId="9899"/>
    <cellStyle name="Heading 1 2 2 2 5 2 2 6 7 3" xfId="9900"/>
    <cellStyle name="Heading 1 2 2 2 5 2 2 6 8" xfId="9901"/>
    <cellStyle name="Heading 1 2 2 2 5 2 2 6 8 2" xfId="9902"/>
    <cellStyle name="Heading 1 2 2 2 5 2 2 6 9" xfId="9903"/>
    <cellStyle name="Heading 1 2 2 2 5 2 2 7" xfId="9904"/>
    <cellStyle name="Heading 1 2 2 2 5 2 2 7 2" xfId="9905"/>
    <cellStyle name="Heading 1 2 2 2 5 2 2 7 2 2" xfId="9906"/>
    <cellStyle name="Heading 1 2 2 2 5 2 2 7 2 2 2" xfId="9907"/>
    <cellStyle name="Heading 1 2 2 2 5 2 2 7 2 3" xfId="9908"/>
    <cellStyle name="Heading 1 2 2 2 5 2 2 7 3" xfId="9909"/>
    <cellStyle name="Heading 1 2 2 2 5 2 2 7 3 2" xfId="9910"/>
    <cellStyle name="Heading 1 2 2 2 5 2 2 7 3 2 2" xfId="9911"/>
    <cellStyle name="Heading 1 2 2 2 5 2 2 7 3 3" xfId="9912"/>
    <cellStyle name="Heading 1 2 2 2 5 2 2 7 4" xfId="9913"/>
    <cellStyle name="Heading 1 2 2 2 5 2 2 7 4 2" xfId="9914"/>
    <cellStyle name="Heading 1 2 2 2 5 2 2 7 4 2 2" xfId="9915"/>
    <cellStyle name="Heading 1 2 2 2 5 2 2 7 4 3" xfId="9916"/>
    <cellStyle name="Heading 1 2 2 2 5 2 2 7 5" xfId="9917"/>
    <cellStyle name="Heading 1 2 2 2 5 2 2 7 5 2" xfId="9918"/>
    <cellStyle name="Heading 1 2 2 2 5 2 2 7 5 2 2" xfId="9919"/>
    <cellStyle name="Heading 1 2 2 2 5 2 2 7 5 3" xfId="9920"/>
    <cellStyle name="Heading 1 2 2 2 5 2 2 7 6" xfId="9921"/>
    <cellStyle name="Heading 1 2 2 2 5 2 2 7 6 2" xfId="9922"/>
    <cellStyle name="Heading 1 2 2 2 5 2 2 7 6 2 2" xfId="9923"/>
    <cellStyle name="Heading 1 2 2 2 5 2 2 7 6 3" xfId="9924"/>
    <cellStyle name="Heading 1 2 2 2 5 2 2 7 7" xfId="9925"/>
    <cellStyle name="Heading 1 2 2 2 5 2 2 7 7 2" xfId="9926"/>
    <cellStyle name="Heading 1 2 2 2 5 2 2 7 7 2 2" xfId="9927"/>
    <cellStyle name="Heading 1 2 2 2 5 2 2 7 7 3" xfId="9928"/>
    <cellStyle name="Heading 1 2 2 2 5 2 2 7 8" xfId="9929"/>
    <cellStyle name="Heading 1 2 2 2 5 2 2 7 8 2" xfId="9930"/>
    <cellStyle name="Heading 1 2 2 2 5 2 2 7 9" xfId="9931"/>
    <cellStyle name="Heading 1 2 2 2 5 2 2 8" xfId="9932"/>
    <cellStyle name="Heading 1 2 2 2 5 2 2 8 2" xfId="9933"/>
    <cellStyle name="Heading 1 2 2 2 5 2 2 8 2 2" xfId="9934"/>
    <cellStyle name="Heading 1 2 2 2 5 2 2 8 2 2 2" xfId="9935"/>
    <cellStyle name="Heading 1 2 2 2 5 2 2 8 2 3" xfId="9936"/>
    <cellStyle name="Heading 1 2 2 2 5 2 2 8 3" xfId="9937"/>
    <cellStyle name="Heading 1 2 2 2 5 2 2 8 3 2" xfId="9938"/>
    <cellStyle name="Heading 1 2 2 2 5 2 2 8 3 2 2" xfId="9939"/>
    <cellStyle name="Heading 1 2 2 2 5 2 2 8 3 3" xfId="9940"/>
    <cellStyle name="Heading 1 2 2 2 5 2 2 8 4" xfId="9941"/>
    <cellStyle name="Heading 1 2 2 2 5 2 2 8 4 2" xfId="9942"/>
    <cellStyle name="Heading 1 2 2 2 5 2 2 8 4 2 2" xfId="9943"/>
    <cellStyle name="Heading 1 2 2 2 5 2 2 8 4 3" xfId="9944"/>
    <cellStyle name="Heading 1 2 2 2 5 2 2 8 5" xfId="9945"/>
    <cellStyle name="Heading 1 2 2 2 5 2 2 8 5 2" xfId="9946"/>
    <cellStyle name="Heading 1 2 2 2 5 2 2 8 5 2 2" xfId="9947"/>
    <cellStyle name="Heading 1 2 2 2 5 2 2 8 5 3" xfId="9948"/>
    <cellStyle name="Heading 1 2 2 2 5 2 2 8 6" xfId="9949"/>
    <cellStyle name="Heading 1 2 2 2 5 2 2 8 6 2" xfId="9950"/>
    <cellStyle name="Heading 1 2 2 2 5 2 2 8 6 2 2" xfId="9951"/>
    <cellStyle name="Heading 1 2 2 2 5 2 2 8 6 3" xfId="9952"/>
    <cellStyle name="Heading 1 2 2 2 5 2 2 8 7" xfId="9953"/>
    <cellStyle name="Heading 1 2 2 2 5 2 2 8 7 2" xfId="9954"/>
    <cellStyle name="Heading 1 2 2 2 5 2 2 8 7 2 2" xfId="9955"/>
    <cellStyle name="Heading 1 2 2 2 5 2 2 8 7 3" xfId="9956"/>
    <cellStyle name="Heading 1 2 2 2 5 2 2 8 8" xfId="9957"/>
    <cellStyle name="Heading 1 2 2 2 5 2 2 8 8 2" xfId="9958"/>
    <cellStyle name="Heading 1 2 2 2 5 2 2 8 9" xfId="9959"/>
    <cellStyle name="Heading 1 2 2 2 5 2 2 9" xfId="9960"/>
    <cellStyle name="Heading 1 2 2 2 5 2 2 9 2" xfId="9961"/>
    <cellStyle name="Heading 1 2 2 2 5 2 2 9 2 2" xfId="9962"/>
    <cellStyle name="Heading 1 2 2 2 5 2 2 9 3" xfId="9963"/>
    <cellStyle name="Heading 1 2 2 2 5 2 20" xfId="9964"/>
    <cellStyle name="Heading 1 2 2 2 5 2 20 2" xfId="9965"/>
    <cellStyle name="Heading 1 2 2 2 5 2 21" xfId="9966"/>
    <cellStyle name="Heading 1 2 2 2 5 2 21 2" xfId="9967"/>
    <cellStyle name="Heading 1 2 2 2 5 2 22" xfId="9968"/>
    <cellStyle name="Heading 1 2 2 2 5 2 22 2" xfId="9969"/>
    <cellStyle name="Heading 1 2 2 2 5 2 23" xfId="9970"/>
    <cellStyle name="Heading 1 2 2 2 5 2 3" xfId="9971"/>
    <cellStyle name="Heading 1 2 2 2 5 2 3 2" xfId="9972"/>
    <cellStyle name="Heading 1 2 2 2 5 2 3 2 2" xfId="9973"/>
    <cellStyle name="Heading 1 2 2 2 5 2 3 2 2 2" xfId="9974"/>
    <cellStyle name="Heading 1 2 2 2 5 2 3 2 3" xfId="9975"/>
    <cellStyle name="Heading 1 2 2 2 5 2 3 3" xfId="9976"/>
    <cellStyle name="Heading 1 2 2 2 5 2 3 3 2" xfId="9977"/>
    <cellStyle name="Heading 1 2 2 2 5 2 3 3 2 2" xfId="9978"/>
    <cellStyle name="Heading 1 2 2 2 5 2 3 3 3" xfId="9979"/>
    <cellStyle name="Heading 1 2 2 2 5 2 3 4" xfId="9980"/>
    <cellStyle name="Heading 1 2 2 2 5 2 3 4 2" xfId="9981"/>
    <cellStyle name="Heading 1 2 2 2 5 2 3 4 2 2" xfId="9982"/>
    <cellStyle name="Heading 1 2 2 2 5 2 3 4 3" xfId="9983"/>
    <cellStyle name="Heading 1 2 2 2 5 2 3 5" xfId="9984"/>
    <cellStyle name="Heading 1 2 2 2 5 2 3 5 2" xfId="9985"/>
    <cellStyle name="Heading 1 2 2 2 5 2 3 5 2 2" xfId="9986"/>
    <cellStyle name="Heading 1 2 2 2 5 2 3 5 3" xfId="9987"/>
    <cellStyle name="Heading 1 2 2 2 5 2 3 6" xfId="9988"/>
    <cellStyle name="Heading 1 2 2 2 5 2 3 6 2" xfId="9989"/>
    <cellStyle name="Heading 1 2 2 2 5 2 3 6 2 2" xfId="9990"/>
    <cellStyle name="Heading 1 2 2 2 5 2 3 6 3" xfId="9991"/>
    <cellStyle name="Heading 1 2 2 2 5 2 3 7" xfId="9992"/>
    <cellStyle name="Heading 1 2 2 2 5 2 3 7 2" xfId="9993"/>
    <cellStyle name="Heading 1 2 2 2 5 2 3 7 2 2" xfId="9994"/>
    <cellStyle name="Heading 1 2 2 2 5 2 3 7 3" xfId="9995"/>
    <cellStyle name="Heading 1 2 2 2 5 2 3 8" xfId="9996"/>
    <cellStyle name="Heading 1 2 2 2 5 2 3 8 2" xfId="9997"/>
    <cellStyle name="Heading 1 2 2 2 5 2 3 9" xfId="9998"/>
    <cellStyle name="Heading 1 2 2 2 5 2 4" xfId="9999"/>
    <cellStyle name="Heading 1 2 2 2 5 2 4 2" xfId="10000"/>
    <cellStyle name="Heading 1 2 2 2 5 2 4 2 2" xfId="10001"/>
    <cellStyle name="Heading 1 2 2 2 5 2 4 2 2 2" xfId="10002"/>
    <cellStyle name="Heading 1 2 2 2 5 2 4 2 3" xfId="10003"/>
    <cellStyle name="Heading 1 2 2 2 5 2 4 3" xfId="10004"/>
    <cellStyle name="Heading 1 2 2 2 5 2 4 3 2" xfId="10005"/>
    <cellStyle name="Heading 1 2 2 2 5 2 4 3 2 2" xfId="10006"/>
    <cellStyle name="Heading 1 2 2 2 5 2 4 3 3" xfId="10007"/>
    <cellStyle name="Heading 1 2 2 2 5 2 4 4" xfId="10008"/>
    <cellStyle name="Heading 1 2 2 2 5 2 4 4 2" xfId="10009"/>
    <cellStyle name="Heading 1 2 2 2 5 2 4 4 2 2" xfId="10010"/>
    <cellStyle name="Heading 1 2 2 2 5 2 4 4 3" xfId="10011"/>
    <cellStyle name="Heading 1 2 2 2 5 2 4 5" xfId="10012"/>
    <cellStyle name="Heading 1 2 2 2 5 2 4 5 2" xfId="10013"/>
    <cellStyle name="Heading 1 2 2 2 5 2 4 5 2 2" xfId="10014"/>
    <cellStyle name="Heading 1 2 2 2 5 2 4 5 3" xfId="10015"/>
    <cellStyle name="Heading 1 2 2 2 5 2 4 6" xfId="10016"/>
    <cellStyle name="Heading 1 2 2 2 5 2 4 6 2" xfId="10017"/>
    <cellStyle name="Heading 1 2 2 2 5 2 4 6 2 2" xfId="10018"/>
    <cellStyle name="Heading 1 2 2 2 5 2 4 6 3" xfId="10019"/>
    <cellStyle name="Heading 1 2 2 2 5 2 4 7" xfId="10020"/>
    <cellStyle name="Heading 1 2 2 2 5 2 4 7 2" xfId="10021"/>
    <cellStyle name="Heading 1 2 2 2 5 2 4 7 2 2" xfId="10022"/>
    <cellStyle name="Heading 1 2 2 2 5 2 4 7 3" xfId="10023"/>
    <cellStyle name="Heading 1 2 2 2 5 2 4 8" xfId="10024"/>
    <cellStyle name="Heading 1 2 2 2 5 2 4 8 2" xfId="10025"/>
    <cellStyle name="Heading 1 2 2 2 5 2 4 9" xfId="10026"/>
    <cellStyle name="Heading 1 2 2 2 5 2 5" xfId="10027"/>
    <cellStyle name="Heading 1 2 2 2 5 2 5 2" xfId="10028"/>
    <cellStyle name="Heading 1 2 2 2 5 2 5 2 2" xfId="10029"/>
    <cellStyle name="Heading 1 2 2 2 5 2 5 2 2 2" xfId="10030"/>
    <cellStyle name="Heading 1 2 2 2 5 2 5 2 3" xfId="10031"/>
    <cellStyle name="Heading 1 2 2 2 5 2 5 3" xfId="10032"/>
    <cellStyle name="Heading 1 2 2 2 5 2 5 3 2" xfId="10033"/>
    <cellStyle name="Heading 1 2 2 2 5 2 5 3 2 2" xfId="10034"/>
    <cellStyle name="Heading 1 2 2 2 5 2 5 3 3" xfId="10035"/>
    <cellStyle name="Heading 1 2 2 2 5 2 5 4" xfId="10036"/>
    <cellStyle name="Heading 1 2 2 2 5 2 5 4 2" xfId="10037"/>
    <cellStyle name="Heading 1 2 2 2 5 2 5 4 2 2" xfId="10038"/>
    <cellStyle name="Heading 1 2 2 2 5 2 5 4 3" xfId="10039"/>
    <cellStyle name="Heading 1 2 2 2 5 2 5 5" xfId="10040"/>
    <cellStyle name="Heading 1 2 2 2 5 2 5 5 2" xfId="10041"/>
    <cellStyle name="Heading 1 2 2 2 5 2 5 5 2 2" xfId="10042"/>
    <cellStyle name="Heading 1 2 2 2 5 2 5 5 3" xfId="10043"/>
    <cellStyle name="Heading 1 2 2 2 5 2 5 6" xfId="10044"/>
    <cellStyle name="Heading 1 2 2 2 5 2 5 6 2" xfId="10045"/>
    <cellStyle name="Heading 1 2 2 2 5 2 5 6 2 2" xfId="10046"/>
    <cellStyle name="Heading 1 2 2 2 5 2 5 6 3" xfId="10047"/>
    <cellStyle name="Heading 1 2 2 2 5 2 5 7" xfId="10048"/>
    <cellStyle name="Heading 1 2 2 2 5 2 5 7 2" xfId="10049"/>
    <cellStyle name="Heading 1 2 2 2 5 2 5 7 2 2" xfId="10050"/>
    <cellStyle name="Heading 1 2 2 2 5 2 5 7 3" xfId="10051"/>
    <cellStyle name="Heading 1 2 2 2 5 2 5 8" xfId="10052"/>
    <cellStyle name="Heading 1 2 2 2 5 2 5 8 2" xfId="10053"/>
    <cellStyle name="Heading 1 2 2 2 5 2 5 9" xfId="10054"/>
    <cellStyle name="Heading 1 2 2 2 5 2 6" xfId="10055"/>
    <cellStyle name="Heading 1 2 2 2 5 2 6 2" xfId="10056"/>
    <cellStyle name="Heading 1 2 2 2 5 2 6 2 2" xfId="10057"/>
    <cellStyle name="Heading 1 2 2 2 5 2 6 2 2 2" xfId="10058"/>
    <cellStyle name="Heading 1 2 2 2 5 2 6 2 3" xfId="10059"/>
    <cellStyle name="Heading 1 2 2 2 5 2 6 3" xfId="10060"/>
    <cellStyle name="Heading 1 2 2 2 5 2 6 3 2" xfId="10061"/>
    <cellStyle name="Heading 1 2 2 2 5 2 6 3 2 2" xfId="10062"/>
    <cellStyle name="Heading 1 2 2 2 5 2 6 3 3" xfId="10063"/>
    <cellStyle name="Heading 1 2 2 2 5 2 6 4" xfId="10064"/>
    <cellStyle name="Heading 1 2 2 2 5 2 6 4 2" xfId="10065"/>
    <cellStyle name="Heading 1 2 2 2 5 2 6 4 2 2" xfId="10066"/>
    <cellStyle name="Heading 1 2 2 2 5 2 6 4 3" xfId="10067"/>
    <cellStyle name="Heading 1 2 2 2 5 2 6 5" xfId="10068"/>
    <cellStyle name="Heading 1 2 2 2 5 2 6 5 2" xfId="10069"/>
    <cellStyle name="Heading 1 2 2 2 5 2 6 5 2 2" xfId="10070"/>
    <cellStyle name="Heading 1 2 2 2 5 2 6 5 3" xfId="10071"/>
    <cellStyle name="Heading 1 2 2 2 5 2 6 6" xfId="10072"/>
    <cellStyle name="Heading 1 2 2 2 5 2 6 6 2" xfId="10073"/>
    <cellStyle name="Heading 1 2 2 2 5 2 6 6 2 2" xfId="10074"/>
    <cellStyle name="Heading 1 2 2 2 5 2 6 6 3" xfId="10075"/>
    <cellStyle name="Heading 1 2 2 2 5 2 6 7" xfId="10076"/>
    <cellStyle name="Heading 1 2 2 2 5 2 6 7 2" xfId="10077"/>
    <cellStyle name="Heading 1 2 2 2 5 2 6 7 2 2" xfId="10078"/>
    <cellStyle name="Heading 1 2 2 2 5 2 6 7 3" xfId="10079"/>
    <cellStyle name="Heading 1 2 2 2 5 2 6 8" xfId="10080"/>
    <cellStyle name="Heading 1 2 2 2 5 2 6 8 2" xfId="10081"/>
    <cellStyle name="Heading 1 2 2 2 5 2 6 9" xfId="10082"/>
    <cellStyle name="Heading 1 2 2 2 5 2 7" xfId="10083"/>
    <cellStyle name="Heading 1 2 2 2 5 2 7 2" xfId="10084"/>
    <cellStyle name="Heading 1 2 2 2 5 2 7 2 2" xfId="10085"/>
    <cellStyle name="Heading 1 2 2 2 5 2 7 2 2 2" xfId="10086"/>
    <cellStyle name="Heading 1 2 2 2 5 2 7 2 3" xfId="10087"/>
    <cellStyle name="Heading 1 2 2 2 5 2 7 3" xfId="10088"/>
    <cellStyle name="Heading 1 2 2 2 5 2 7 3 2" xfId="10089"/>
    <cellStyle name="Heading 1 2 2 2 5 2 7 3 2 2" xfId="10090"/>
    <cellStyle name="Heading 1 2 2 2 5 2 7 3 3" xfId="10091"/>
    <cellStyle name="Heading 1 2 2 2 5 2 7 4" xfId="10092"/>
    <cellStyle name="Heading 1 2 2 2 5 2 7 4 2" xfId="10093"/>
    <cellStyle name="Heading 1 2 2 2 5 2 7 4 2 2" xfId="10094"/>
    <cellStyle name="Heading 1 2 2 2 5 2 7 4 3" xfId="10095"/>
    <cellStyle name="Heading 1 2 2 2 5 2 7 5" xfId="10096"/>
    <cellStyle name="Heading 1 2 2 2 5 2 7 5 2" xfId="10097"/>
    <cellStyle name="Heading 1 2 2 2 5 2 7 5 2 2" xfId="10098"/>
    <cellStyle name="Heading 1 2 2 2 5 2 7 5 3" xfId="10099"/>
    <cellStyle name="Heading 1 2 2 2 5 2 7 6" xfId="10100"/>
    <cellStyle name="Heading 1 2 2 2 5 2 7 6 2" xfId="10101"/>
    <cellStyle name="Heading 1 2 2 2 5 2 7 6 2 2" xfId="10102"/>
    <cellStyle name="Heading 1 2 2 2 5 2 7 6 3" xfId="10103"/>
    <cellStyle name="Heading 1 2 2 2 5 2 7 7" xfId="10104"/>
    <cellStyle name="Heading 1 2 2 2 5 2 7 7 2" xfId="10105"/>
    <cellStyle name="Heading 1 2 2 2 5 2 7 7 2 2" xfId="10106"/>
    <cellStyle name="Heading 1 2 2 2 5 2 7 7 3" xfId="10107"/>
    <cellStyle name="Heading 1 2 2 2 5 2 7 8" xfId="10108"/>
    <cellStyle name="Heading 1 2 2 2 5 2 7 8 2" xfId="10109"/>
    <cellStyle name="Heading 1 2 2 2 5 2 7 9" xfId="10110"/>
    <cellStyle name="Heading 1 2 2 2 5 2 8" xfId="10111"/>
    <cellStyle name="Heading 1 2 2 2 5 2 8 2" xfId="10112"/>
    <cellStyle name="Heading 1 2 2 2 5 2 8 2 2" xfId="10113"/>
    <cellStyle name="Heading 1 2 2 2 5 2 8 2 2 2" xfId="10114"/>
    <cellStyle name="Heading 1 2 2 2 5 2 8 2 3" xfId="10115"/>
    <cellStyle name="Heading 1 2 2 2 5 2 8 3" xfId="10116"/>
    <cellStyle name="Heading 1 2 2 2 5 2 8 3 2" xfId="10117"/>
    <cellStyle name="Heading 1 2 2 2 5 2 8 3 2 2" xfId="10118"/>
    <cellStyle name="Heading 1 2 2 2 5 2 8 3 3" xfId="10119"/>
    <cellStyle name="Heading 1 2 2 2 5 2 8 4" xfId="10120"/>
    <cellStyle name="Heading 1 2 2 2 5 2 8 4 2" xfId="10121"/>
    <cellStyle name="Heading 1 2 2 2 5 2 8 4 2 2" xfId="10122"/>
    <cellStyle name="Heading 1 2 2 2 5 2 8 4 3" xfId="10123"/>
    <cellStyle name="Heading 1 2 2 2 5 2 8 5" xfId="10124"/>
    <cellStyle name="Heading 1 2 2 2 5 2 8 5 2" xfId="10125"/>
    <cellStyle name="Heading 1 2 2 2 5 2 8 5 2 2" xfId="10126"/>
    <cellStyle name="Heading 1 2 2 2 5 2 8 5 3" xfId="10127"/>
    <cellStyle name="Heading 1 2 2 2 5 2 8 6" xfId="10128"/>
    <cellStyle name="Heading 1 2 2 2 5 2 8 6 2" xfId="10129"/>
    <cellStyle name="Heading 1 2 2 2 5 2 8 6 2 2" xfId="10130"/>
    <cellStyle name="Heading 1 2 2 2 5 2 8 6 3" xfId="10131"/>
    <cellStyle name="Heading 1 2 2 2 5 2 8 7" xfId="10132"/>
    <cellStyle name="Heading 1 2 2 2 5 2 8 7 2" xfId="10133"/>
    <cellStyle name="Heading 1 2 2 2 5 2 8 7 2 2" xfId="10134"/>
    <cellStyle name="Heading 1 2 2 2 5 2 8 7 3" xfId="10135"/>
    <cellStyle name="Heading 1 2 2 2 5 2 8 8" xfId="10136"/>
    <cellStyle name="Heading 1 2 2 2 5 2 8 8 2" xfId="10137"/>
    <cellStyle name="Heading 1 2 2 2 5 2 8 9" xfId="10138"/>
    <cellStyle name="Heading 1 2 2 2 5 2 9" xfId="10139"/>
    <cellStyle name="Heading 1 2 2 2 5 2 9 2" xfId="10140"/>
    <cellStyle name="Heading 1 2 2 2 5 2 9 2 2" xfId="10141"/>
    <cellStyle name="Heading 1 2 2 2 5 2 9 2 2 2" xfId="10142"/>
    <cellStyle name="Heading 1 2 2 2 5 2 9 2 3" xfId="10143"/>
    <cellStyle name="Heading 1 2 2 2 5 2 9 3" xfId="10144"/>
    <cellStyle name="Heading 1 2 2 2 5 2 9 3 2" xfId="10145"/>
    <cellStyle name="Heading 1 2 2 2 5 2 9 3 2 2" xfId="10146"/>
    <cellStyle name="Heading 1 2 2 2 5 2 9 3 3" xfId="10147"/>
    <cellStyle name="Heading 1 2 2 2 5 2 9 4" xfId="10148"/>
    <cellStyle name="Heading 1 2 2 2 5 2 9 4 2" xfId="10149"/>
    <cellStyle name="Heading 1 2 2 2 5 2 9 4 2 2" xfId="10150"/>
    <cellStyle name="Heading 1 2 2 2 5 2 9 4 3" xfId="10151"/>
    <cellStyle name="Heading 1 2 2 2 5 2 9 5" xfId="10152"/>
    <cellStyle name="Heading 1 2 2 2 5 2 9 5 2" xfId="10153"/>
    <cellStyle name="Heading 1 2 2 2 5 2 9 5 2 2" xfId="10154"/>
    <cellStyle name="Heading 1 2 2 2 5 2 9 5 3" xfId="10155"/>
    <cellStyle name="Heading 1 2 2 2 5 2 9 6" xfId="10156"/>
    <cellStyle name="Heading 1 2 2 2 5 2 9 6 2" xfId="10157"/>
    <cellStyle name="Heading 1 2 2 2 5 2 9 6 2 2" xfId="10158"/>
    <cellStyle name="Heading 1 2 2 2 5 2 9 6 3" xfId="10159"/>
    <cellStyle name="Heading 1 2 2 2 5 2 9 7" xfId="10160"/>
    <cellStyle name="Heading 1 2 2 2 5 2 9 7 2" xfId="10161"/>
    <cellStyle name="Heading 1 2 2 2 5 2 9 7 2 2" xfId="10162"/>
    <cellStyle name="Heading 1 2 2 2 5 2 9 7 3" xfId="10163"/>
    <cellStyle name="Heading 1 2 2 2 5 2 9 8" xfId="10164"/>
    <cellStyle name="Heading 1 2 2 2 5 2 9 8 2" xfId="10165"/>
    <cellStyle name="Heading 1 2 2 2 5 2 9 9" xfId="10166"/>
    <cellStyle name="Heading 1 2 2 2 5 3" xfId="10167"/>
    <cellStyle name="Heading 1 2 2 2 5 3 10" xfId="10168"/>
    <cellStyle name="Heading 1 2 2 2 5 3 10 2" xfId="10169"/>
    <cellStyle name="Heading 1 2 2 2 5 3 10 2 2" xfId="10170"/>
    <cellStyle name="Heading 1 2 2 2 5 3 10 3" xfId="10171"/>
    <cellStyle name="Heading 1 2 2 2 5 3 11" xfId="10172"/>
    <cellStyle name="Heading 1 2 2 2 5 3 11 2" xfId="10173"/>
    <cellStyle name="Heading 1 2 2 2 5 3 11 2 2" xfId="10174"/>
    <cellStyle name="Heading 1 2 2 2 5 3 11 3" xfId="10175"/>
    <cellStyle name="Heading 1 2 2 2 5 3 12" xfId="10176"/>
    <cellStyle name="Heading 1 2 2 2 5 3 12 2" xfId="10177"/>
    <cellStyle name="Heading 1 2 2 2 5 3 12 2 2" xfId="10178"/>
    <cellStyle name="Heading 1 2 2 2 5 3 12 3" xfId="10179"/>
    <cellStyle name="Heading 1 2 2 2 5 3 13" xfId="10180"/>
    <cellStyle name="Heading 1 2 2 2 5 3 13 2" xfId="10181"/>
    <cellStyle name="Heading 1 2 2 2 5 3 13 2 2" xfId="10182"/>
    <cellStyle name="Heading 1 2 2 2 5 3 13 3" xfId="10183"/>
    <cellStyle name="Heading 1 2 2 2 5 3 14" xfId="10184"/>
    <cellStyle name="Heading 1 2 2 2 5 3 14 2" xfId="10185"/>
    <cellStyle name="Heading 1 2 2 2 5 3 14 2 2" xfId="10186"/>
    <cellStyle name="Heading 1 2 2 2 5 3 14 3" xfId="10187"/>
    <cellStyle name="Heading 1 2 2 2 5 3 15" xfId="10188"/>
    <cellStyle name="Heading 1 2 2 2 5 3 15 2" xfId="10189"/>
    <cellStyle name="Heading 1 2 2 2 5 3 15 2 2" xfId="10190"/>
    <cellStyle name="Heading 1 2 2 2 5 3 15 3" xfId="10191"/>
    <cellStyle name="Heading 1 2 2 2 5 3 16" xfId="10192"/>
    <cellStyle name="Heading 1 2 2 2 5 3 16 2" xfId="10193"/>
    <cellStyle name="Heading 1 2 2 2 5 3 16 2 2" xfId="10194"/>
    <cellStyle name="Heading 1 2 2 2 5 3 16 3" xfId="10195"/>
    <cellStyle name="Heading 1 2 2 2 5 3 17" xfId="10196"/>
    <cellStyle name="Heading 1 2 2 2 5 3 17 2" xfId="10197"/>
    <cellStyle name="Heading 1 2 2 2 5 3 17 2 2" xfId="10198"/>
    <cellStyle name="Heading 1 2 2 2 5 3 17 3" xfId="10199"/>
    <cellStyle name="Heading 1 2 2 2 5 3 18" xfId="10200"/>
    <cellStyle name="Heading 1 2 2 2 5 3 18 2" xfId="10201"/>
    <cellStyle name="Heading 1 2 2 2 5 3 18 2 2" xfId="10202"/>
    <cellStyle name="Heading 1 2 2 2 5 3 18 3" xfId="10203"/>
    <cellStyle name="Heading 1 2 2 2 5 3 19" xfId="10204"/>
    <cellStyle name="Heading 1 2 2 2 5 3 19 2" xfId="10205"/>
    <cellStyle name="Heading 1 2 2 2 5 3 2" xfId="10206"/>
    <cellStyle name="Heading 1 2 2 2 5 3 2 2" xfId="10207"/>
    <cellStyle name="Heading 1 2 2 2 5 3 2 2 2" xfId="10208"/>
    <cellStyle name="Heading 1 2 2 2 5 3 2 2 2 2" xfId="10209"/>
    <cellStyle name="Heading 1 2 2 2 5 3 2 2 3" xfId="10210"/>
    <cellStyle name="Heading 1 2 2 2 5 3 2 3" xfId="10211"/>
    <cellStyle name="Heading 1 2 2 2 5 3 2 3 2" xfId="10212"/>
    <cellStyle name="Heading 1 2 2 2 5 3 2 3 2 2" xfId="10213"/>
    <cellStyle name="Heading 1 2 2 2 5 3 2 3 3" xfId="10214"/>
    <cellStyle name="Heading 1 2 2 2 5 3 2 4" xfId="10215"/>
    <cellStyle name="Heading 1 2 2 2 5 3 2 4 2" xfId="10216"/>
    <cellStyle name="Heading 1 2 2 2 5 3 2 4 2 2" xfId="10217"/>
    <cellStyle name="Heading 1 2 2 2 5 3 2 4 3" xfId="10218"/>
    <cellStyle name="Heading 1 2 2 2 5 3 2 5" xfId="10219"/>
    <cellStyle name="Heading 1 2 2 2 5 3 2 5 2" xfId="10220"/>
    <cellStyle name="Heading 1 2 2 2 5 3 2 5 2 2" xfId="10221"/>
    <cellStyle name="Heading 1 2 2 2 5 3 2 5 3" xfId="10222"/>
    <cellStyle name="Heading 1 2 2 2 5 3 2 6" xfId="10223"/>
    <cellStyle name="Heading 1 2 2 2 5 3 2 6 2" xfId="10224"/>
    <cellStyle name="Heading 1 2 2 2 5 3 2 6 2 2" xfId="10225"/>
    <cellStyle name="Heading 1 2 2 2 5 3 2 6 3" xfId="10226"/>
    <cellStyle name="Heading 1 2 2 2 5 3 2 7" xfId="10227"/>
    <cellStyle name="Heading 1 2 2 2 5 3 2 7 2" xfId="10228"/>
    <cellStyle name="Heading 1 2 2 2 5 3 2 7 2 2" xfId="10229"/>
    <cellStyle name="Heading 1 2 2 2 5 3 2 7 3" xfId="10230"/>
    <cellStyle name="Heading 1 2 2 2 5 3 2 8" xfId="10231"/>
    <cellStyle name="Heading 1 2 2 2 5 3 2 8 2" xfId="10232"/>
    <cellStyle name="Heading 1 2 2 2 5 3 2 9" xfId="10233"/>
    <cellStyle name="Heading 1 2 2 2 5 3 20" xfId="10234"/>
    <cellStyle name="Heading 1 2 2 2 5 3 20 2" xfId="10235"/>
    <cellStyle name="Heading 1 2 2 2 5 3 21" xfId="10236"/>
    <cellStyle name="Heading 1 2 2 2 5 3 21 2" xfId="10237"/>
    <cellStyle name="Heading 1 2 2 2 5 3 22" xfId="10238"/>
    <cellStyle name="Heading 1 2 2 2 5 3 3" xfId="10239"/>
    <cellStyle name="Heading 1 2 2 2 5 3 3 2" xfId="10240"/>
    <cellStyle name="Heading 1 2 2 2 5 3 3 2 2" xfId="10241"/>
    <cellStyle name="Heading 1 2 2 2 5 3 3 2 2 2" xfId="10242"/>
    <cellStyle name="Heading 1 2 2 2 5 3 3 2 3" xfId="10243"/>
    <cellStyle name="Heading 1 2 2 2 5 3 3 3" xfId="10244"/>
    <cellStyle name="Heading 1 2 2 2 5 3 3 3 2" xfId="10245"/>
    <cellStyle name="Heading 1 2 2 2 5 3 3 3 2 2" xfId="10246"/>
    <cellStyle name="Heading 1 2 2 2 5 3 3 3 3" xfId="10247"/>
    <cellStyle name="Heading 1 2 2 2 5 3 3 4" xfId="10248"/>
    <cellStyle name="Heading 1 2 2 2 5 3 3 4 2" xfId="10249"/>
    <cellStyle name="Heading 1 2 2 2 5 3 3 4 2 2" xfId="10250"/>
    <cellStyle name="Heading 1 2 2 2 5 3 3 4 3" xfId="10251"/>
    <cellStyle name="Heading 1 2 2 2 5 3 3 5" xfId="10252"/>
    <cellStyle name="Heading 1 2 2 2 5 3 3 5 2" xfId="10253"/>
    <cellStyle name="Heading 1 2 2 2 5 3 3 5 2 2" xfId="10254"/>
    <cellStyle name="Heading 1 2 2 2 5 3 3 5 3" xfId="10255"/>
    <cellStyle name="Heading 1 2 2 2 5 3 3 6" xfId="10256"/>
    <cellStyle name="Heading 1 2 2 2 5 3 3 6 2" xfId="10257"/>
    <cellStyle name="Heading 1 2 2 2 5 3 3 6 2 2" xfId="10258"/>
    <cellStyle name="Heading 1 2 2 2 5 3 3 6 3" xfId="10259"/>
    <cellStyle name="Heading 1 2 2 2 5 3 3 7" xfId="10260"/>
    <cellStyle name="Heading 1 2 2 2 5 3 3 7 2" xfId="10261"/>
    <cellStyle name="Heading 1 2 2 2 5 3 3 7 2 2" xfId="10262"/>
    <cellStyle name="Heading 1 2 2 2 5 3 3 7 3" xfId="10263"/>
    <cellStyle name="Heading 1 2 2 2 5 3 3 8" xfId="10264"/>
    <cellStyle name="Heading 1 2 2 2 5 3 3 8 2" xfId="10265"/>
    <cellStyle name="Heading 1 2 2 2 5 3 3 9" xfId="10266"/>
    <cellStyle name="Heading 1 2 2 2 5 3 4" xfId="10267"/>
    <cellStyle name="Heading 1 2 2 2 5 3 4 2" xfId="10268"/>
    <cellStyle name="Heading 1 2 2 2 5 3 4 2 2" xfId="10269"/>
    <cellStyle name="Heading 1 2 2 2 5 3 4 2 2 2" xfId="10270"/>
    <cellStyle name="Heading 1 2 2 2 5 3 4 2 3" xfId="10271"/>
    <cellStyle name="Heading 1 2 2 2 5 3 4 3" xfId="10272"/>
    <cellStyle name="Heading 1 2 2 2 5 3 4 3 2" xfId="10273"/>
    <cellStyle name="Heading 1 2 2 2 5 3 4 3 2 2" xfId="10274"/>
    <cellStyle name="Heading 1 2 2 2 5 3 4 3 3" xfId="10275"/>
    <cellStyle name="Heading 1 2 2 2 5 3 4 4" xfId="10276"/>
    <cellStyle name="Heading 1 2 2 2 5 3 4 4 2" xfId="10277"/>
    <cellStyle name="Heading 1 2 2 2 5 3 4 4 2 2" xfId="10278"/>
    <cellStyle name="Heading 1 2 2 2 5 3 4 4 3" xfId="10279"/>
    <cellStyle name="Heading 1 2 2 2 5 3 4 5" xfId="10280"/>
    <cellStyle name="Heading 1 2 2 2 5 3 4 5 2" xfId="10281"/>
    <cellStyle name="Heading 1 2 2 2 5 3 4 5 2 2" xfId="10282"/>
    <cellStyle name="Heading 1 2 2 2 5 3 4 5 3" xfId="10283"/>
    <cellStyle name="Heading 1 2 2 2 5 3 4 6" xfId="10284"/>
    <cellStyle name="Heading 1 2 2 2 5 3 4 6 2" xfId="10285"/>
    <cellStyle name="Heading 1 2 2 2 5 3 4 6 2 2" xfId="10286"/>
    <cellStyle name="Heading 1 2 2 2 5 3 4 6 3" xfId="10287"/>
    <cellStyle name="Heading 1 2 2 2 5 3 4 7" xfId="10288"/>
    <cellStyle name="Heading 1 2 2 2 5 3 4 7 2" xfId="10289"/>
    <cellStyle name="Heading 1 2 2 2 5 3 4 7 2 2" xfId="10290"/>
    <cellStyle name="Heading 1 2 2 2 5 3 4 7 3" xfId="10291"/>
    <cellStyle name="Heading 1 2 2 2 5 3 4 8" xfId="10292"/>
    <cellStyle name="Heading 1 2 2 2 5 3 4 8 2" xfId="10293"/>
    <cellStyle name="Heading 1 2 2 2 5 3 4 9" xfId="10294"/>
    <cellStyle name="Heading 1 2 2 2 5 3 5" xfId="10295"/>
    <cellStyle name="Heading 1 2 2 2 5 3 5 2" xfId="10296"/>
    <cellStyle name="Heading 1 2 2 2 5 3 5 2 2" xfId="10297"/>
    <cellStyle name="Heading 1 2 2 2 5 3 5 2 2 2" xfId="10298"/>
    <cellStyle name="Heading 1 2 2 2 5 3 5 2 3" xfId="10299"/>
    <cellStyle name="Heading 1 2 2 2 5 3 5 3" xfId="10300"/>
    <cellStyle name="Heading 1 2 2 2 5 3 5 3 2" xfId="10301"/>
    <cellStyle name="Heading 1 2 2 2 5 3 5 3 2 2" xfId="10302"/>
    <cellStyle name="Heading 1 2 2 2 5 3 5 3 3" xfId="10303"/>
    <cellStyle name="Heading 1 2 2 2 5 3 5 4" xfId="10304"/>
    <cellStyle name="Heading 1 2 2 2 5 3 5 4 2" xfId="10305"/>
    <cellStyle name="Heading 1 2 2 2 5 3 5 4 2 2" xfId="10306"/>
    <cellStyle name="Heading 1 2 2 2 5 3 5 4 3" xfId="10307"/>
    <cellStyle name="Heading 1 2 2 2 5 3 5 5" xfId="10308"/>
    <cellStyle name="Heading 1 2 2 2 5 3 5 5 2" xfId="10309"/>
    <cellStyle name="Heading 1 2 2 2 5 3 5 5 2 2" xfId="10310"/>
    <cellStyle name="Heading 1 2 2 2 5 3 5 5 3" xfId="10311"/>
    <cellStyle name="Heading 1 2 2 2 5 3 5 6" xfId="10312"/>
    <cellStyle name="Heading 1 2 2 2 5 3 5 6 2" xfId="10313"/>
    <cellStyle name="Heading 1 2 2 2 5 3 5 6 2 2" xfId="10314"/>
    <cellStyle name="Heading 1 2 2 2 5 3 5 6 3" xfId="10315"/>
    <cellStyle name="Heading 1 2 2 2 5 3 5 7" xfId="10316"/>
    <cellStyle name="Heading 1 2 2 2 5 3 5 7 2" xfId="10317"/>
    <cellStyle name="Heading 1 2 2 2 5 3 5 7 2 2" xfId="10318"/>
    <cellStyle name="Heading 1 2 2 2 5 3 5 7 3" xfId="10319"/>
    <cellStyle name="Heading 1 2 2 2 5 3 5 8" xfId="10320"/>
    <cellStyle name="Heading 1 2 2 2 5 3 5 8 2" xfId="10321"/>
    <cellStyle name="Heading 1 2 2 2 5 3 5 9" xfId="10322"/>
    <cellStyle name="Heading 1 2 2 2 5 3 6" xfId="10323"/>
    <cellStyle name="Heading 1 2 2 2 5 3 6 2" xfId="10324"/>
    <cellStyle name="Heading 1 2 2 2 5 3 6 2 2" xfId="10325"/>
    <cellStyle name="Heading 1 2 2 2 5 3 6 2 2 2" xfId="10326"/>
    <cellStyle name="Heading 1 2 2 2 5 3 6 2 3" xfId="10327"/>
    <cellStyle name="Heading 1 2 2 2 5 3 6 3" xfId="10328"/>
    <cellStyle name="Heading 1 2 2 2 5 3 6 3 2" xfId="10329"/>
    <cellStyle name="Heading 1 2 2 2 5 3 6 3 2 2" xfId="10330"/>
    <cellStyle name="Heading 1 2 2 2 5 3 6 3 3" xfId="10331"/>
    <cellStyle name="Heading 1 2 2 2 5 3 6 4" xfId="10332"/>
    <cellStyle name="Heading 1 2 2 2 5 3 6 4 2" xfId="10333"/>
    <cellStyle name="Heading 1 2 2 2 5 3 6 4 2 2" xfId="10334"/>
    <cellStyle name="Heading 1 2 2 2 5 3 6 4 3" xfId="10335"/>
    <cellStyle name="Heading 1 2 2 2 5 3 6 5" xfId="10336"/>
    <cellStyle name="Heading 1 2 2 2 5 3 6 5 2" xfId="10337"/>
    <cellStyle name="Heading 1 2 2 2 5 3 6 5 2 2" xfId="10338"/>
    <cellStyle name="Heading 1 2 2 2 5 3 6 5 3" xfId="10339"/>
    <cellStyle name="Heading 1 2 2 2 5 3 6 6" xfId="10340"/>
    <cellStyle name="Heading 1 2 2 2 5 3 6 6 2" xfId="10341"/>
    <cellStyle name="Heading 1 2 2 2 5 3 6 6 2 2" xfId="10342"/>
    <cellStyle name="Heading 1 2 2 2 5 3 6 6 3" xfId="10343"/>
    <cellStyle name="Heading 1 2 2 2 5 3 6 7" xfId="10344"/>
    <cellStyle name="Heading 1 2 2 2 5 3 6 7 2" xfId="10345"/>
    <cellStyle name="Heading 1 2 2 2 5 3 6 7 2 2" xfId="10346"/>
    <cellStyle name="Heading 1 2 2 2 5 3 6 7 3" xfId="10347"/>
    <cellStyle name="Heading 1 2 2 2 5 3 6 8" xfId="10348"/>
    <cellStyle name="Heading 1 2 2 2 5 3 6 8 2" xfId="10349"/>
    <cellStyle name="Heading 1 2 2 2 5 3 6 9" xfId="10350"/>
    <cellStyle name="Heading 1 2 2 2 5 3 7" xfId="10351"/>
    <cellStyle name="Heading 1 2 2 2 5 3 7 2" xfId="10352"/>
    <cellStyle name="Heading 1 2 2 2 5 3 7 2 2" xfId="10353"/>
    <cellStyle name="Heading 1 2 2 2 5 3 7 2 2 2" xfId="10354"/>
    <cellStyle name="Heading 1 2 2 2 5 3 7 2 3" xfId="10355"/>
    <cellStyle name="Heading 1 2 2 2 5 3 7 3" xfId="10356"/>
    <cellStyle name="Heading 1 2 2 2 5 3 7 3 2" xfId="10357"/>
    <cellStyle name="Heading 1 2 2 2 5 3 7 3 2 2" xfId="10358"/>
    <cellStyle name="Heading 1 2 2 2 5 3 7 3 3" xfId="10359"/>
    <cellStyle name="Heading 1 2 2 2 5 3 7 4" xfId="10360"/>
    <cellStyle name="Heading 1 2 2 2 5 3 7 4 2" xfId="10361"/>
    <cellStyle name="Heading 1 2 2 2 5 3 7 4 2 2" xfId="10362"/>
    <cellStyle name="Heading 1 2 2 2 5 3 7 4 3" xfId="10363"/>
    <cellStyle name="Heading 1 2 2 2 5 3 7 5" xfId="10364"/>
    <cellStyle name="Heading 1 2 2 2 5 3 7 5 2" xfId="10365"/>
    <cellStyle name="Heading 1 2 2 2 5 3 7 5 2 2" xfId="10366"/>
    <cellStyle name="Heading 1 2 2 2 5 3 7 5 3" xfId="10367"/>
    <cellStyle name="Heading 1 2 2 2 5 3 7 6" xfId="10368"/>
    <cellStyle name="Heading 1 2 2 2 5 3 7 6 2" xfId="10369"/>
    <cellStyle name="Heading 1 2 2 2 5 3 7 6 2 2" xfId="10370"/>
    <cellStyle name="Heading 1 2 2 2 5 3 7 6 3" xfId="10371"/>
    <cellStyle name="Heading 1 2 2 2 5 3 7 7" xfId="10372"/>
    <cellStyle name="Heading 1 2 2 2 5 3 7 7 2" xfId="10373"/>
    <cellStyle name="Heading 1 2 2 2 5 3 7 7 2 2" xfId="10374"/>
    <cellStyle name="Heading 1 2 2 2 5 3 7 7 3" xfId="10375"/>
    <cellStyle name="Heading 1 2 2 2 5 3 7 8" xfId="10376"/>
    <cellStyle name="Heading 1 2 2 2 5 3 7 8 2" xfId="10377"/>
    <cellStyle name="Heading 1 2 2 2 5 3 7 9" xfId="10378"/>
    <cellStyle name="Heading 1 2 2 2 5 3 8" xfId="10379"/>
    <cellStyle name="Heading 1 2 2 2 5 3 8 2" xfId="10380"/>
    <cellStyle name="Heading 1 2 2 2 5 3 8 2 2" xfId="10381"/>
    <cellStyle name="Heading 1 2 2 2 5 3 8 2 2 2" xfId="10382"/>
    <cellStyle name="Heading 1 2 2 2 5 3 8 2 3" xfId="10383"/>
    <cellStyle name="Heading 1 2 2 2 5 3 8 3" xfId="10384"/>
    <cellStyle name="Heading 1 2 2 2 5 3 8 3 2" xfId="10385"/>
    <cellStyle name="Heading 1 2 2 2 5 3 8 3 2 2" xfId="10386"/>
    <cellStyle name="Heading 1 2 2 2 5 3 8 3 3" xfId="10387"/>
    <cellStyle name="Heading 1 2 2 2 5 3 8 4" xfId="10388"/>
    <cellStyle name="Heading 1 2 2 2 5 3 8 4 2" xfId="10389"/>
    <cellStyle name="Heading 1 2 2 2 5 3 8 4 2 2" xfId="10390"/>
    <cellStyle name="Heading 1 2 2 2 5 3 8 4 3" xfId="10391"/>
    <cellStyle name="Heading 1 2 2 2 5 3 8 5" xfId="10392"/>
    <cellStyle name="Heading 1 2 2 2 5 3 8 5 2" xfId="10393"/>
    <cellStyle name="Heading 1 2 2 2 5 3 8 5 2 2" xfId="10394"/>
    <cellStyle name="Heading 1 2 2 2 5 3 8 5 3" xfId="10395"/>
    <cellStyle name="Heading 1 2 2 2 5 3 8 6" xfId="10396"/>
    <cellStyle name="Heading 1 2 2 2 5 3 8 6 2" xfId="10397"/>
    <cellStyle name="Heading 1 2 2 2 5 3 8 6 2 2" xfId="10398"/>
    <cellStyle name="Heading 1 2 2 2 5 3 8 6 3" xfId="10399"/>
    <cellStyle name="Heading 1 2 2 2 5 3 8 7" xfId="10400"/>
    <cellStyle name="Heading 1 2 2 2 5 3 8 7 2" xfId="10401"/>
    <cellStyle name="Heading 1 2 2 2 5 3 8 7 2 2" xfId="10402"/>
    <cellStyle name="Heading 1 2 2 2 5 3 8 7 3" xfId="10403"/>
    <cellStyle name="Heading 1 2 2 2 5 3 8 8" xfId="10404"/>
    <cellStyle name="Heading 1 2 2 2 5 3 8 8 2" xfId="10405"/>
    <cellStyle name="Heading 1 2 2 2 5 3 8 9" xfId="10406"/>
    <cellStyle name="Heading 1 2 2 2 5 3 9" xfId="10407"/>
    <cellStyle name="Heading 1 2 2 2 5 3 9 2" xfId="10408"/>
    <cellStyle name="Heading 1 2 2 2 5 3 9 2 2" xfId="10409"/>
    <cellStyle name="Heading 1 2 2 2 5 3 9 3" xfId="10410"/>
    <cellStyle name="Heading 1 2 2 2 5 4" xfId="10411"/>
    <cellStyle name="Heading 1 2 2 2 5 4 2" xfId="10412"/>
    <cellStyle name="Heading 1 2 2 2 5 4 2 2" xfId="10413"/>
    <cellStyle name="Heading 1 2 2 2 5 4 3" xfId="10414"/>
    <cellStyle name="Heading 1 2 2 2 5 5" xfId="10415"/>
    <cellStyle name="Heading 1 2 2 2 5 5 2" xfId="10416"/>
    <cellStyle name="Heading 1 2 2 2 5 6" xfId="10417"/>
    <cellStyle name="Heading 1 2 2 2 6" xfId="10418"/>
    <cellStyle name="Heading 1 2 2 2 6 2" xfId="10419"/>
    <cellStyle name="Heading 1 2 2 2 6 2 10" xfId="10420"/>
    <cellStyle name="Heading 1 2 2 2 6 2 10 2" xfId="10421"/>
    <cellStyle name="Heading 1 2 2 2 6 2 10 2 2" xfId="10422"/>
    <cellStyle name="Heading 1 2 2 2 6 2 10 3" xfId="10423"/>
    <cellStyle name="Heading 1 2 2 2 6 2 11" xfId="10424"/>
    <cellStyle name="Heading 1 2 2 2 6 2 11 2" xfId="10425"/>
    <cellStyle name="Heading 1 2 2 2 6 2 11 2 2" xfId="10426"/>
    <cellStyle name="Heading 1 2 2 2 6 2 11 3" xfId="10427"/>
    <cellStyle name="Heading 1 2 2 2 6 2 12" xfId="10428"/>
    <cellStyle name="Heading 1 2 2 2 6 2 12 2" xfId="10429"/>
    <cellStyle name="Heading 1 2 2 2 6 2 12 2 2" xfId="10430"/>
    <cellStyle name="Heading 1 2 2 2 6 2 12 3" xfId="10431"/>
    <cellStyle name="Heading 1 2 2 2 6 2 13" xfId="10432"/>
    <cellStyle name="Heading 1 2 2 2 6 2 13 2" xfId="10433"/>
    <cellStyle name="Heading 1 2 2 2 6 2 13 2 2" xfId="10434"/>
    <cellStyle name="Heading 1 2 2 2 6 2 13 3" xfId="10435"/>
    <cellStyle name="Heading 1 2 2 2 6 2 14" xfId="10436"/>
    <cellStyle name="Heading 1 2 2 2 6 2 14 2" xfId="10437"/>
    <cellStyle name="Heading 1 2 2 2 6 2 14 2 2" xfId="10438"/>
    <cellStyle name="Heading 1 2 2 2 6 2 14 3" xfId="10439"/>
    <cellStyle name="Heading 1 2 2 2 6 2 15" xfId="10440"/>
    <cellStyle name="Heading 1 2 2 2 6 2 15 2" xfId="10441"/>
    <cellStyle name="Heading 1 2 2 2 6 2 15 2 2" xfId="10442"/>
    <cellStyle name="Heading 1 2 2 2 6 2 15 3" xfId="10443"/>
    <cellStyle name="Heading 1 2 2 2 6 2 16" xfId="10444"/>
    <cellStyle name="Heading 1 2 2 2 6 2 16 2" xfId="10445"/>
    <cellStyle name="Heading 1 2 2 2 6 2 16 2 2" xfId="10446"/>
    <cellStyle name="Heading 1 2 2 2 6 2 16 3" xfId="10447"/>
    <cellStyle name="Heading 1 2 2 2 6 2 17" xfId="10448"/>
    <cellStyle name="Heading 1 2 2 2 6 2 17 2" xfId="10449"/>
    <cellStyle name="Heading 1 2 2 2 6 2 17 2 2" xfId="10450"/>
    <cellStyle name="Heading 1 2 2 2 6 2 17 3" xfId="10451"/>
    <cellStyle name="Heading 1 2 2 2 6 2 18" xfId="10452"/>
    <cellStyle name="Heading 1 2 2 2 6 2 18 2" xfId="10453"/>
    <cellStyle name="Heading 1 2 2 2 6 2 18 2 2" xfId="10454"/>
    <cellStyle name="Heading 1 2 2 2 6 2 18 3" xfId="10455"/>
    <cellStyle name="Heading 1 2 2 2 6 2 19" xfId="10456"/>
    <cellStyle name="Heading 1 2 2 2 6 2 19 2" xfId="10457"/>
    <cellStyle name="Heading 1 2 2 2 6 2 19 2 2" xfId="10458"/>
    <cellStyle name="Heading 1 2 2 2 6 2 19 3" xfId="10459"/>
    <cellStyle name="Heading 1 2 2 2 6 2 2" xfId="10460"/>
    <cellStyle name="Heading 1 2 2 2 6 2 2 10" xfId="10461"/>
    <cellStyle name="Heading 1 2 2 2 6 2 2 10 2" xfId="10462"/>
    <cellStyle name="Heading 1 2 2 2 6 2 2 10 2 2" xfId="10463"/>
    <cellStyle name="Heading 1 2 2 2 6 2 2 10 3" xfId="10464"/>
    <cellStyle name="Heading 1 2 2 2 6 2 2 11" xfId="10465"/>
    <cellStyle name="Heading 1 2 2 2 6 2 2 11 2" xfId="10466"/>
    <cellStyle name="Heading 1 2 2 2 6 2 2 11 2 2" xfId="10467"/>
    <cellStyle name="Heading 1 2 2 2 6 2 2 11 3" xfId="10468"/>
    <cellStyle name="Heading 1 2 2 2 6 2 2 12" xfId="10469"/>
    <cellStyle name="Heading 1 2 2 2 6 2 2 12 2" xfId="10470"/>
    <cellStyle name="Heading 1 2 2 2 6 2 2 12 2 2" xfId="10471"/>
    <cellStyle name="Heading 1 2 2 2 6 2 2 12 3" xfId="10472"/>
    <cellStyle name="Heading 1 2 2 2 6 2 2 13" xfId="10473"/>
    <cellStyle name="Heading 1 2 2 2 6 2 2 13 2" xfId="10474"/>
    <cellStyle name="Heading 1 2 2 2 6 2 2 13 2 2" xfId="10475"/>
    <cellStyle name="Heading 1 2 2 2 6 2 2 13 3" xfId="10476"/>
    <cellStyle name="Heading 1 2 2 2 6 2 2 14" xfId="10477"/>
    <cellStyle name="Heading 1 2 2 2 6 2 2 14 2" xfId="10478"/>
    <cellStyle name="Heading 1 2 2 2 6 2 2 14 2 2" xfId="10479"/>
    <cellStyle name="Heading 1 2 2 2 6 2 2 14 3" xfId="10480"/>
    <cellStyle name="Heading 1 2 2 2 6 2 2 15" xfId="10481"/>
    <cellStyle name="Heading 1 2 2 2 6 2 2 15 2" xfId="10482"/>
    <cellStyle name="Heading 1 2 2 2 6 2 2 15 2 2" xfId="10483"/>
    <cellStyle name="Heading 1 2 2 2 6 2 2 15 3" xfId="10484"/>
    <cellStyle name="Heading 1 2 2 2 6 2 2 16" xfId="10485"/>
    <cellStyle name="Heading 1 2 2 2 6 2 2 16 2" xfId="10486"/>
    <cellStyle name="Heading 1 2 2 2 6 2 2 16 2 2" xfId="10487"/>
    <cellStyle name="Heading 1 2 2 2 6 2 2 16 3" xfId="10488"/>
    <cellStyle name="Heading 1 2 2 2 6 2 2 17" xfId="10489"/>
    <cellStyle name="Heading 1 2 2 2 6 2 2 17 2" xfId="10490"/>
    <cellStyle name="Heading 1 2 2 2 6 2 2 17 2 2" xfId="10491"/>
    <cellStyle name="Heading 1 2 2 2 6 2 2 17 3" xfId="10492"/>
    <cellStyle name="Heading 1 2 2 2 6 2 2 18" xfId="10493"/>
    <cellStyle name="Heading 1 2 2 2 6 2 2 18 2" xfId="10494"/>
    <cellStyle name="Heading 1 2 2 2 6 2 2 18 2 2" xfId="10495"/>
    <cellStyle name="Heading 1 2 2 2 6 2 2 18 3" xfId="10496"/>
    <cellStyle name="Heading 1 2 2 2 6 2 2 19" xfId="10497"/>
    <cellStyle name="Heading 1 2 2 2 6 2 2 19 2" xfId="10498"/>
    <cellStyle name="Heading 1 2 2 2 6 2 2 2" xfId="10499"/>
    <cellStyle name="Heading 1 2 2 2 6 2 2 2 2" xfId="10500"/>
    <cellStyle name="Heading 1 2 2 2 6 2 2 2 2 2" xfId="10501"/>
    <cellStyle name="Heading 1 2 2 2 6 2 2 2 2 2 2" xfId="10502"/>
    <cellStyle name="Heading 1 2 2 2 6 2 2 2 2 3" xfId="10503"/>
    <cellStyle name="Heading 1 2 2 2 6 2 2 2 3" xfId="10504"/>
    <cellStyle name="Heading 1 2 2 2 6 2 2 2 3 2" xfId="10505"/>
    <cellStyle name="Heading 1 2 2 2 6 2 2 2 3 2 2" xfId="10506"/>
    <cellStyle name="Heading 1 2 2 2 6 2 2 2 3 3" xfId="10507"/>
    <cellStyle name="Heading 1 2 2 2 6 2 2 2 4" xfId="10508"/>
    <cellStyle name="Heading 1 2 2 2 6 2 2 2 4 2" xfId="10509"/>
    <cellStyle name="Heading 1 2 2 2 6 2 2 2 4 2 2" xfId="10510"/>
    <cellStyle name="Heading 1 2 2 2 6 2 2 2 4 3" xfId="10511"/>
    <cellStyle name="Heading 1 2 2 2 6 2 2 2 5" xfId="10512"/>
    <cellStyle name="Heading 1 2 2 2 6 2 2 2 5 2" xfId="10513"/>
    <cellStyle name="Heading 1 2 2 2 6 2 2 2 5 2 2" xfId="10514"/>
    <cellStyle name="Heading 1 2 2 2 6 2 2 2 5 3" xfId="10515"/>
    <cellStyle name="Heading 1 2 2 2 6 2 2 2 6" xfId="10516"/>
    <cellStyle name="Heading 1 2 2 2 6 2 2 2 6 2" xfId="10517"/>
    <cellStyle name="Heading 1 2 2 2 6 2 2 2 6 2 2" xfId="10518"/>
    <cellStyle name="Heading 1 2 2 2 6 2 2 2 6 3" xfId="10519"/>
    <cellStyle name="Heading 1 2 2 2 6 2 2 2 7" xfId="10520"/>
    <cellStyle name="Heading 1 2 2 2 6 2 2 2 7 2" xfId="10521"/>
    <cellStyle name="Heading 1 2 2 2 6 2 2 2 7 2 2" xfId="10522"/>
    <cellStyle name="Heading 1 2 2 2 6 2 2 2 7 3" xfId="10523"/>
    <cellStyle name="Heading 1 2 2 2 6 2 2 2 8" xfId="10524"/>
    <cellStyle name="Heading 1 2 2 2 6 2 2 2 8 2" xfId="10525"/>
    <cellStyle name="Heading 1 2 2 2 6 2 2 2 9" xfId="10526"/>
    <cellStyle name="Heading 1 2 2 2 6 2 2 20" xfId="10527"/>
    <cellStyle name="Heading 1 2 2 2 6 2 2 20 2" xfId="10528"/>
    <cellStyle name="Heading 1 2 2 2 6 2 2 21" xfId="10529"/>
    <cellStyle name="Heading 1 2 2 2 6 2 2 21 2" xfId="10530"/>
    <cellStyle name="Heading 1 2 2 2 6 2 2 22" xfId="10531"/>
    <cellStyle name="Heading 1 2 2 2 6 2 2 3" xfId="10532"/>
    <cellStyle name="Heading 1 2 2 2 6 2 2 3 2" xfId="10533"/>
    <cellStyle name="Heading 1 2 2 2 6 2 2 3 2 2" xfId="10534"/>
    <cellStyle name="Heading 1 2 2 2 6 2 2 3 2 2 2" xfId="10535"/>
    <cellStyle name="Heading 1 2 2 2 6 2 2 3 2 3" xfId="10536"/>
    <cellStyle name="Heading 1 2 2 2 6 2 2 3 3" xfId="10537"/>
    <cellStyle name="Heading 1 2 2 2 6 2 2 3 3 2" xfId="10538"/>
    <cellStyle name="Heading 1 2 2 2 6 2 2 3 3 2 2" xfId="10539"/>
    <cellStyle name="Heading 1 2 2 2 6 2 2 3 3 3" xfId="10540"/>
    <cellStyle name="Heading 1 2 2 2 6 2 2 3 4" xfId="10541"/>
    <cellStyle name="Heading 1 2 2 2 6 2 2 3 4 2" xfId="10542"/>
    <cellStyle name="Heading 1 2 2 2 6 2 2 3 4 2 2" xfId="10543"/>
    <cellStyle name="Heading 1 2 2 2 6 2 2 3 4 3" xfId="10544"/>
    <cellStyle name="Heading 1 2 2 2 6 2 2 3 5" xfId="10545"/>
    <cellStyle name="Heading 1 2 2 2 6 2 2 3 5 2" xfId="10546"/>
    <cellStyle name="Heading 1 2 2 2 6 2 2 3 5 2 2" xfId="10547"/>
    <cellStyle name="Heading 1 2 2 2 6 2 2 3 5 3" xfId="10548"/>
    <cellStyle name="Heading 1 2 2 2 6 2 2 3 6" xfId="10549"/>
    <cellStyle name="Heading 1 2 2 2 6 2 2 3 6 2" xfId="10550"/>
    <cellStyle name="Heading 1 2 2 2 6 2 2 3 6 2 2" xfId="10551"/>
    <cellStyle name="Heading 1 2 2 2 6 2 2 3 6 3" xfId="10552"/>
    <cellStyle name="Heading 1 2 2 2 6 2 2 3 7" xfId="10553"/>
    <cellStyle name="Heading 1 2 2 2 6 2 2 3 7 2" xfId="10554"/>
    <cellStyle name="Heading 1 2 2 2 6 2 2 3 7 2 2" xfId="10555"/>
    <cellStyle name="Heading 1 2 2 2 6 2 2 3 7 3" xfId="10556"/>
    <cellStyle name="Heading 1 2 2 2 6 2 2 3 8" xfId="10557"/>
    <cellStyle name="Heading 1 2 2 2 6 2 2 3 8 2" xfId="10558"/>
    <cellStyle name="Heading 1 2 2 2 6 2 2 3 9" xfId="10559"/>
    <cellStyle name="Heading 1 2 2 2 6 2 2 4" xfId="10560"/>
    <cellStyle name="Heading 1 2 2 2 6 2 2 4 2" xfId="10561"/>
    <cellStyle name="Heading 1 2 2 2 6 2 2 4 2 2" xfId="10562"/>
    <cellStyle name="Heading 1 2 2 2 6 2 2 4 2 2 2" xfId="10563"/>
    <cellStyle name="Heading 1 2 2 2 6 2 2 4 2 3" xfId="10564"/>
    <cellStyle name="Heading 1 2 2 2 6 2 2 4 3" xfId="10565"/>
    <cellStyle name="Heading 1 2 2 2 6 2 2 4 3 2" xfId="10566"/>
    <cellStyle name="Heading 1 2 2 2 6 2 2 4 3 2 2" xfId="10567"/>
    <cellStyle name="Heading 1 2 2 2 6 2 2 4 3 3" xfId="10568"/>
    <cellStyle name="Heading 1 2 2 2 6 2 2 4 4" xfId="10569"/>
    <cellStyle name="Heading 1 2 2 2 6 2 2 4 4 2" xfId="10570"/>
    <cellStyle name="Heading 1 2 2 2 6 2 2 4 4 2 2" xfId="10571"/>
    <cellStyle name="Heading 1 2 2 2 6 2 2 4 4 3" xfId="10572"/>
    <cellStyle name="Heading 1 2 2 2 6 2 2 4 5" xfId="10573"/>
    <cellStyle name="Heading 1 2 2 2 6 2 2 4 5 2" xfId="10574"/>
    <cellStyle name="Heading 1 2 2 2 6 2 2 4 5 2 2" xfId="10575"/>
    <cellStyle name="Heading 1 2 2 2 6 2 2 4 5 3" xfId="10576"/>
    <cellStyle name="Heading 1 2 2 2 6 2 2 4 6" xfId="10577"/>
    <cellStyle name="Heading 1 2 2 2 6 2 2 4 6 2" xfId="10578"/>
    <cellStyle name="Heading 1 2 2 2 6 2 2 4 6 2 2" xfId="10579"/>
    <cellStyle name="Heading 1 2 2 2 6 2 2 4 6 3" xfId="10580"/>
    <cellStyle name="Heading 1 2 2 2 6 2 2 4 7" xfId="10581"/>
    <cellStyle name="Heading 1 2 2 2 6 2 2 4 7 2" xfId="10582"/>
    <cellStyle name="Heading 1 2 2 2 6 2 2 4 7 2 2" xfId="10583"/>
    <cellStyle name="Heading 1 2 2 2 6 2 2 4 7 3" xfId="10584"/>
    <cellStyle name="Heading 1 2 2 2 6 2 2 4 8" xfId="10585"/>
    <cellStyle name="Heading 1 2 2 2 6 2 2 4 8 2" xfId="10586"/>
    <cellStyle name="Heading 1 2 2 2 6 2 2 4 9" xfId="10587"/>
    <cellStyle name="Heading 1 2 2 2 6 2 2 5" xfId="10588"/>
    <cellStyle name="Heading 1 2 2 2 6 2 2 5 2" xfId="10589"/>
    <cellStyle name="Heading 1 2 2 2 6 2 2 5 2 2" xfId="10590"/>
    <cellStyle name="Heading 1 2 2 2 6 2 2 5 2 2 2" xfId="10591"/>
    <cellStyle name="Heading 1 2 2 2 6 2 2 5 2 3" xfId="10592"/>
    <cellStyle name="Heading 1 2 2 2 6 2 2 5 3" xfId="10593"/>
    <cellStyle name="Heading 1 2 2 2 6 2 2 5 3 2" xfId="10594"/>
    <cellStyle name="Heading 1 2 2 2 6 2 2 5 3 2 2" xfId="10595"/>
    <cellStyle name="Heading 1 2 2 2 6 2 2 5 3 3" xfId="10596"/>
    <cellStyle name="Heading 1 2 2 2 6 2 2 5 4" xfId="10597"/>
    <cellStyle name="Heading 1 2 2 2 6 2 2 5 4 2" xfId="10598"/>
    <cellStyle name="Heading 1 2 2 2 6 2 2 5 4 2 2" xfId="10599"/>
    <cellStyle name="Heading 1 2 2 2 6 2 2 5 4 3" xfId="10600"/>
    <cellStyle name="Heading 1 2 2 2 6 2 2 5 5" xfId="10601"/>
    <cellStyle name="Heading 1 2 2 2 6 2 2 5 5 2" xfId="10602"/>
    <cellStyle name="Heading 1 2 2 2 6 2 2 5 5 2 2" xfId="10603"/>
    <cellStyle name="Heading 1 2 2 2 6 2 2 5 5 3" xfId="10604"/>
    <cellStyle name="Heading 1 2 2 2 6 2 2 5 6" xfId="10605"/>
    <cellStyle name="Heading 1 2 2 2 6 2 2 5 6 2" xfId="10606"/>
    <cellStyle name="Heading 1 2 2 2 6 2 2 5 6 2 2" xfId="10607"/>
    <cellStyle name="Heading 1 2 2 2 6 2 2 5 6 3" xfId="10608"/>
    <cellStyle name="Heading 1 2 2 2 6 2 2 5 7" xfId="10609"/>
    <cellStyle name="Heading 1 2 2 2 6 2 2 5 7 2" xfId="10610"/>
    <cellStyle name="Heading 1 2 2 2 6 2 2 5 7 2 2" xfId="10611"/>
    <cellStyle name="Heading 1 2 2 2 6 2 2 5 7 3" xfId="10612"/>
    <cellStyle name="Heading 1 2 2 2 6 2 2 5 8" xfId="10613"/>
    <cellStyle name="Heading 1 2 2 2 6 2 2 5 8 2" xfId="10614"/>
    <cellStyle name="Heading 1 2 2 2 6 2 2 5 9" xfId="10615"/>
    <cellStyle name="Heading 1 2 2 2 6 2 2 6" xfId="10616"/>
    <cellStyle name="Heading 1 2 2 2 6 2 2 6 2" xfId="10617"/>
    <cellStyle name="Heading 1 2 2 2 6 2 2 6 2 2" xfId="10618"/>
    <cellStyle name="Heading 1 2 2 2 6 2 2 6 2 2 2" xfId="10619"/>
    <cellStyle name="Heading 1 2 2 2 6 2 2 6 2 3" xfId="10620"/>
    <cellStyle name="Heading 1 2 2 2 6 2 2 6 3" xfId="10621"/>
    <cellStyle name="Heading 1 2 2 2 6 2 2 6 3 2" xfId="10622"/>
    <cellStyle name="Heading 1 2 2 2 6 2 2 6 3 2 2" xfId="10623"/>
    <cellStyle name="Heading 1 2 2 2 6 2 2 6 3 3" xfId="10624"/>
    <cellStyle name="Heading 1 2 2 2 6 2 2 6 4" xfId="10625"/>
    <cellStyle name="Heading 1 2 2 2 6 2 2 6 4 2" xfId="10626"/>
    <cellStyle name="Heading 1 2 2 2 6 2 2 6 4 2 2" xfId="10627"/>
    <cellStyle name="Heading 1 2 2 2 6 2 2 6 4 3" xfId="10628"/>
    <cellStyle name="Heading 1 2 2 2 6 2 2 6 5" xfId="10629"/>
    <cellStyle name="Heading 1 2 2 2 6 2 2 6 5 2" xfId="10630"/>
    <cellStyle name="Heading 1 2 2 2 6 2 2 6 5 2 2" xfId="10631"/>
    <cellStyle name="Heading 1 2 2 2 6 2 2 6 5 3" xfId="10632"/>
    <cellStyle name="Heading 1 2 2 2 6 2 2 6 6" xfId="10633"/>
    <cellStyle name="Heading 1 2 2 2 6 2 2 6 6 2" xfId="10634"/>
    <cellStyle name="Heading 1 2 2 2 6 2 2 6 6 2 2" xfId="10635"/>
    <cellStyle name="Heading 1 2 2 2 6 2 2 6 6 3" xfId="10636"/>
    <cellStyle name="Heading 1 2 2 2 6 2 2 6 7" xfId="10637"/>
    <cellStyle name="Heading 1 2 2 2 6 2 2 6 7 2" xfId="10638"/>
    <cellStyle name="Heading 1 2 2 2 6 2 2 6 7 2 2" xfId="10639"/>
    <cellStyle name="Heading 1 2 2 2 6 2 2 6 7 3" xfId="10640"/>
    <cellStyle name="Heading 1 2 2 2 6 2 2 6 8" xfId="10641"/>
    <cellStyle name="Heading 1 2 2 2 6 2 2 6 8 2" xfId="10642"/>
    <cellStyle name="Heading 1 2 2 2 6 2 2 6 9" xfId="10643"/>
    <cellStyle name="Heading 1 2 2 2 6 2 2 7" xfId="10644"/>
    <cellStyle name="Heading 1 2 2 2 6 2 2 7 2" xfId="10645"/>
    <cellStyle name="Heading 1 2 2 2 6 2 2 7 2 2" xfId="10646"/>
    <cellStyle name="Heading 1 2 2 2 6 2 2 7 2 2 2" xfId="10647"/>
    <cellStyle name="Heading 1 2 2 2 6 2 2 7 2 3" xfId="10648"/>
    <cellStyle name="Heading 1 2 2 2 6 2 2 7 3" xfId="10649"/>
    <cellStyle name="Heading 1 2 2 2 6 2 2 7 3 2" xfId="10650"/>
    <cellStyle name="Heading 1 2 2 2 6 2 2 7 3 2 2" xfId="10651"/>
    <cellStyle name="Heading 1 2 2 2 6 2 2 7 3 3" xfId="10652"/>
    <cellStyle name="Heading 1 2 2 2 6 2 2 7 4" xfId="10653"/>
    <cellStyle name="Heading 1 2 2 2 6 2 2 7 4 2" xfId="10654"/>
    <cellStyle name="Heading 1 2 2 2 6 2 2 7 4 2 2" xfId="10655"/>
    <cellStyle name="Heading 1 2 2 2 6 2 2 7 4 3" xfId="10656"/>
    <cellStyle name="Heading 1 2 2 2 6 2 2 7 5" xfId="10657"/>
    <cellStyle name="Heading 1 2 2 2 6 2 2 7 5 2" xfId="10658"/>
    <cellStyle name="Heading 1 2 2 2 6 2 2 7 5 2 2" xfId="10659"/>
    <cellStyle name="Heading 1 2 2 2 6 2 2 7 5 3" xfId="10660"/>
    <cellStyle name="Heading 1 2 2 2 6 2 2 7 6" xfId="10661"/>
    <cellStyle name="Heading 1 2 2 2 6 2 2 7 6 2" xfId="10662"/>
    <cellStyle name="Heading 1 2 2 2 6 2 2 7 6 2 2" xfId="10663"/>
    <cellStyle name="Heading 1 2 2 2 6 2 2 7 6 3" xfId="10664"/>
    <cellStyle name="Heading 1 2 2 2 6 2 2 7 7" xfId="10665"/>
    <cellStyle name="Heading 1 2 2 2 6 2 2 7 7 2" xfId="10666"/>
    <cellStyle name="Heading 1 2 2 2 6 2 2 7 7 2 2" xfId="10667"/>
    <cellStyle name="Heading 1 2 2 2 6 2 2 7 7 3" xfId="10668"/>
    <cellStyle name="Heading 1 2 2 2 6 2 2 7 8" xfId="10669"/>
    <cellStyle name="Heading 1 2 2 2 6 2 2 7 8 2" xfId="10670"/>
    <cellStyle name="Heading 1 2 2 2 6 2 2 7 9" xfId="10671"/>
    <cellStyle name="Heading 1 2 2 2 6 2 2 8" xfId="10672"/>
    <cellStyle name="Heading 1 2 2 2 6 2 2 8 2" xfId="10673"/>
    <cellStyle name="Heading 1 2 2 2 6 2 2 8 2 2" xfId="10674"/>
    <cellStyle name="Heading 1 2 2 2 6 2 2 8 2 2 2" xfId="10675"/>
    <cellStyle name="Heading 1 2 2 2 6 2 2 8 2 3" xfId="10676"/>
    <cellStyle name="Heading 1 2 2 2 6 2 2 8 3" xfId="10677"/>
    <cellStyle name="Heading 1 2 2 2 6 2 2 8 3 2" xfId="10678"/>
    <cellStyle name="Heading 1 2 2 2 6 2 2 8 3 2 2" xfId="10679"/>
    <cellStyle name="Heading 1 2 2 2 6 2 2 8 3 3" xfId="10680"/>
    <cellStyle name="Heading 1 2 2 2 6 2 2 8 4" xfId="10681"/>
    <cellStyle name="Heading 1 2 2 2 6 2 2 8 4 2" xfId="10682"/>
    <cellStyle name="Heading 1 2 2 2 6 2 2 8 4 2 2" xfId="10683"/>
    <cellStyle name="Heading 1 2 2 2 6 2 2 8 4 3" xfId="10684"/>
    <cellStyle name="Heading 1 2 2 2 6 2 2 8 5" xfId="10685"/>
    <cellStyle name="Heading 1 2 2 2 6 2 2 8 5 2" xfId="10686"/>
    <cellStyle name="Heading 1 2 2 2 6 2 2 8 5 2 2" xfId="10687"/>
    <cellStyle name="Heading 1 2 2 2 6 2 2 8 5 3" xfId="10688"/>
    <cellStyle name="Heading 1 2 2 2 6 2 2 8 6" xfId="10689"/>
    <cellStyle name="Heading 1 2 2 2 6 2 2 8 6 2" xfId="10690"/>
    <cellStyle name="Heading 1 2 2 2 6 2 2 8 6 2 2" xfId="10691"/>
    <cellStyle name="Heading 1 2 2 2 6 2 2 8 6 3" xfId="10692"/>
    <cellStyle name="Heading 1 2 2 2 6 2 2 8 7" xfId="10693"/>
    <cellStyle name="Heading 1 2 2 2 6 2 2 8 7 2" xfId="10694"/>
    <cellStyle name="Heading 1 2 2 2 6 2 2 8 7 2 2" xfId="10695"/>
    <cellStyle name="Heading 1 2 2 2 6 2 2 8 7 3" xfId="10696"/>
    <cellStyle name="Heading 1 2 2 2 6 2 2 8 8" xfId="10697"/>
    <cellStyle name="Heading 1 2 2 2 6 2 2 8 8 2" xfId="10698"/>
    <cellStyle name="Heading 1 2 2 2 6 2 2 8 9" xfId="10699"/>
    <cellStyle name="Heading 1 2 2 2 6 2 2 9" xfId="10700"/>
    <cellStyle name="Heading 1 2 2 2 6 2 2 9 2" xfId="10701"/>
    <cellStyle name="Heading 1 2 2 2 6 2 2 9 2 2" xfId="10702"/>
    <cellStyle name="Heading 1 2 2 2 6 2 2 9 3" xfId="10703"/>
    <cellStyle name="Heading 1 2 2 2 6 2 20" xfId="10704"/>
    <cellStyle name="Heading 1 2 2 2 6 2 20 2" xfId="10705"/>
    <cellStyle name="Heading 1 2 2 2 6 2 21" xfId="10706"/>
    <cellStyle name="Heading 1 2 2 2 6 2 21 2" xfId="10707"/>
    <cellStyle name="Heading 1 2 2 2 6 2 22" xfId="10708"/>
    <cellStyle name="Heading 1 2 2 2 6 2 22 2" xfId="10709"/>
    <cellStyle name="Heading 1 2 2 2 6 2 23" xfId="10710"/>
    <cellStyle name="Heading 1 2 2 2 6 2 3" xfId="10711"/>
    <cellStyle name="Heading 1 2 2 2 6 2 3 2" xfId="10712"/>
    <cellStyle name="Heading 1 2 2 2 6 2 3 2 2" xfId="10713"/>
    <cellStyle name="Heading 1 2 2 2 6 2 3 2 2 2" xfId="10714"/>
    <cellStyle name="Heading 1 2 2 2 6 2 3 2 3" xfId="10715"/>
    <cellStyle name="Heading 1 2 2 2 6 2 3 3" xfId="10716"/>
    <cellStyle name="Heading 1 2 2 2 6 2 3 3 2" xfId="10717"/>
    <cellStyle name="Heading 1 2 2 2 6 2 3 3 2 2" xfId="10718"/>
    <cellStyle name="Heading 1 2 2 2 6 2 3 3 3" xfId="10719"/>
    <cellStyle name="Heading 1 2 2 2 6 2 3 4" xfId="10720"/>
    <cellStyle name="Heading 1 2 2 2 6 2 3 4 2" xfId="10721"/>
    <cellStyle name="Heading 1 2 2 2 6 2 3 4 2 2" xfId="10722"/>
    <cellStyle name="Heading 1 2 2 2 6 2 3 4 3" xfId="10723"/>
    <cellStyle name="Heading 1 2 2 2 6 2 3 5" xfId="10724"/>
    <cellStyle name="Heading 1 2 2 2 6 2 3 5 2" xfId="10725"/>
    <cellStyle name="Heading 1 2 2 2 6 2 3 5 2 2" xfId="10726"/>
    <cellStyle name="Heading 1 2 2 2 6 2 3 5 3" xfId="10727"/>
    <cellStyle name="Heading 1 2 2 2 6 2 3 6" xfId="10728"/>
    <cellStyle name="Heading 1 2 2 2 6 2 3 6 2" xfId="10729"/>
    <cellStyle name="Heading 1 2 2 2 6 2 3 6 2 2" xfId="10730"/>
    <cellStyle name="Heading 1 2 2 2 6 2 3 6 3" xfId="10731"/>
    <cellStyle name="Heading 1 2 2 2 6 2 3 7" xfId="10732"/>
    <cellStyle name="Heading 1 2 2 2 6 2 3 7 2" xfId="10733"/>
    <cellStyle name="Heading 1 2 2 2 6 2 3 7 2 2" xfId="10734"/>
    <cellStyle name="Heading 1 2 2 2 6 2 3 7 3" xfId="10735"/>
    <cellStyle name="Heading 1 2 2 2 6 2 3 8" xfId="10736"/>
    <cellStyle name="Heading 1 2 2 2 6 2 3 8 2" xfId="10737"/>
    <cellStyle name="Heading 1 2 2 2 6 2 3 9" xfId="10738"/>
    <cellStyle name="Heading 1 2 2 2 6 2 4" xfId="10739"/>
    <cellStyle name="Heading 1 2 2 2 6 2 4 2" xfId="10740"/>
    <cellStyle name="Heading 1 2 2 2 6 2 4 2 2" xfId="10741"/>
    <cellStyle name="Heading 1 2 2 2 6 2 4 2 2 2" xfId="10742"/>
    <cellStyle name="Heading 1 2 2 2 6 2 4 2 3" xfId="10743"/>
    <cellStyle name="Heading 1 2 2 2 6 2 4 3" xfId="10744"/>
    <cellStyle name="Heading 1 2 2 2 6 2 4 3 2" xfId="10745"/>
    <cellStyle name="Heading 1 2 2 2 6 2 4 3 2 2" xfId="10746"/>
    <cellStyle name="Heading 1 2 2 2 6 2 4 3 3" xfId="10747"/>
    <cellStyle name="Heading 1 2 2 2 6 2 4 4" xfId="10748"/>
    <cellStyle name="Heading 1 2 2 2 6 2 4 4 2" xfId="10749"/>
    <cellStyle name="Heading 1 2 2 2 6 2 4 4 2 2" xfId="10750"/>
    <cellStyle name="Heading 1 2 2 2 6 2 4 4 3" xfId="10751"/>
    <cellStyle name="Heading 1 2 2 2 6 2 4 5" xfId="10752"/>
    <cellStyle name="Heading 1 2 2 2 6 2 4 5 2" xfId="10753"/>
    <cellStyle name="Heading 1 2 2 2 6 2 4 5 2 2" xfId="10754"/>
    <cellStyle name="Heading 1 2 2 2 6 2 4 5 3" xfId="10755"/>
    <cellStyle name="Heading 1 2 2 2 6 2 4 6" xfId="10756"/>
    <cellStyle name="Heading 1 2 2 2 6 2 4 6 2" xfId="10757"/>
    <cellStyle name="Heading 1 2 2 2 6 2 4 6 2 2" xfId="10758"/>
    <cellStyle name="Heading 1 2 2 2 6 2 4 6 3" xfId="10759"/>
    <cellStyle name="Heading 1 2 2 2 6 2 4 7" xfId="10760"/>
    <cellStyle name="Heading 1 2 2 2 6 2 4 7 2" xfId="10761"/>
    <cellStyle name="Heading 1 2 2 2 6 2 4 7 2 2" xfId="10762"/>
    <cellStyle name="Heading 1 2 2 2 6 2 4 7 3" xfId="10763"/>
    <cellStyle name="Heading 1 2 2 2 6 2 4 8" xfId="10764"/>
    <cellStyle name="Heading 1 2 2 2 6 2 4 8 2" xfId="10765"/>
    <cellStyle name="Heading 1 2 2 2 6 2 4 9" xfId="10766"/>
    <cellStyle name="Heading 1 2 2 2 6 2 5" xfId="10767"/>
    <cellStyle name="Heading 1 2 2 2 6 2 5 2" xfId="10768"/>
    <cellStyle name="Heading 1 2 2 2 6 2 5 2 2" xfId="10769"/>
    <cellStyle name="Heading 1 2 2 2 6 2 5 2 2 2" xfId="10770"/>
    <cellStyle name="Heading 1 2 2 2 6 2 5 2 3" xfId="10771"/>
    <cellStyle name="Heading 1 2 2 2 6 2 5 3" xfId="10772"/>
    <cellStyle name="Heading 1 2 2 2 6 2 5 3 2" xfId="10773"/>
    <cellStyle name="Heading 1 2 2 2 6 2 5 3 2 2" xfId="10774"/>
    <cellStyle name="Heading 1 2 2 2 6 2 5 3 3" xfId="10775"/>
    <cellStyle name="Heading 1 2 2 2 6 2 5 4" xfId="10776"/>
    <cellStyle name="Heading 1 2 2 2 6 2 5 4 2" xfId="10777"/>
    <cellStyle name="Heading 1 2 2 2 6 2 5 4 2 2" xfId="10778"/>
    <cellStyle name="Heading 1 2 2 2 6 2 5 4 3" xfId="10779"/>
    <cellStyle name="Heading 1 2 2 2 6 2 5 5" xfId="10780"/>
    <cellStyle name="Heading 1 2 2 2 6 2 5 5 2" xfId="10781"/>
    <cellStyle name="Heading 1 2 2 2 6 2 5 5 2 2" xfId="10782"/>
    <cellStyle name="Heading 1 2 2 2 6 2 5 5 3" xfId="10783"/>
    <cellStyle name="Heading 1 2 2 2 6 2 5 6" xfId="10784"/>
    <cellStyle name="Heading 1 2 2 2 6 2 5 6 2" xfId="10785"/>
    <cellStyle name="Heading 1 2 2 2 6 2 5 6 2 2" xfId="10786"/>
    <cellStyle name="Heading 1 2 2 2 6 2 5 6 3" xfId="10787"/>
    <cellStyle name="Heading 1 2 2 2 6 2 5 7" xfId="10788"/>
    <cellStyle name="Heading 1 2 2 2 6 2 5 7 2" xfId="10789"/>
    <cellStyle name="Heading 1 2 2 2 6 2 5 7 2 2" xfId="10790"/>
    <cellStyle name="Heading 1 2 2 2 6 2 5 7 3" xfId="10791"/>
    <cellStyle name="Heading 1 2 2 2 6 2 5 8" xfId="10792"/>
    <cellStyle name="Heading 1 2 2 2 6 2 5 8 2" xfId="10793"/>
    <cellStyle name="Heading 1 2 2 2 6 2 5 9" xfId="10794"/>
    <cellStyle name="Heading 1 2 2 2 6 2 6" xfId="10795"/>
    <cellStyle name="Heading 1 2 2 2 6 2 6 2" xfId="10796"/>
    <cellStyle name="Heading 1 2 2 2 6 2 6 2 2" xfId="10797"/>
    <cellStyle name="Heading 1 2 2 2 6 2 6 2 2 2" xfId="10798"/>
    <cellStyle name="Heading 1 2 2 2 6 2 6 2 3" xfId="10799"/>
    <cellStyle name="Heading 1 2 2 2 6 2 6 3" xfId="10800"/>
    <cellStyle name="Heading 1 2 2 2 6 2 6 3 2" xfId="10801"/>
    <cellStyle name="Heading 1 2 2 2 6 2 6 3 2 2" xfId="10802"/>
    <cellStyle name="Heading 1 2 2 2 6 2 6 3 3" xfId="10803"/>
    <cellStyle name="Heading 1 2 2 2 6 2 6 4" xfId="10804"/>
    <cellStyle name="Heading 1 2 2 2 6 2 6 4 2" xfId="10805"/>
    <cellStyle name="Heading 1 2 2 2 6 2 6 4 2 2" xfId="10806"/>
    <cellStyle name="Heading 1 2 2 2 6 2 6 4 3" xfId="10807"/>
    <cellStyle name="Heading 1 2 2 2 6 2 6 5" xfId="10808"/>
    <cellStyle name="Heading 1 2 2 2 6 2 6 5 2" xfId="10809"/>
    <cellStyle name="Heading 1 2 2 2 6 2 6 5 2 2" xfId="10810"/>
    <cellStyle name="Heading 1 2 2 2 6 2 6 5 3" xfId="10811"/>
    <cellStyle name="Heading 1 2 2 2 6 2 6 6" xfId="10812"/>
    <cellStyle name="Heading 1 2 2 2 6 2 6 6 2" xfId="10813"/>
    <cellStyle name="Heading 1 2 2 2 6 2 6 6 2 2" xfId="10814"/>
    <cellStyle name="Heading 1 2 2 2 6 2 6 6 3" xfId="10815"/>
    <cellStyle name="Heading 1 2 2 2 6 2 6 7" xfId="10816"/>
    <cellStyle name="Heading 1 2 2 2 6 2 6 7 2" xfId="10817"/>
    <cellStyle name="Heading 1 2 2 2 6 2 6 7 2 2" xfId="10818"/>
    <cellStyle name="Heading 1 2 2 2 6 2 6 7 3" xfId="10819"/>
    <cellStyle name="Heading 1 2 2 2 6 2 6 8" xfId="10820"/>
    <cellStyle name="Heading 1 2 2 2 6 2 6 8 2" xfId="10821"/>
    <cellStyle name="Heading 1 2 2 2 6 2 6 9" xfId="10822"/>
    <cellStyle name="Heading 1 2 2 2 6 2 7" xfId="10823"/>
    <cellStyle name="Heading 1 2 2 2 6 2 7 2" xfId="10824"/>
    <cellStyle name="Heading 1 2 2 2 6 2 7 2 2" xfId="10825"/>
    <cellStyle name="Heading 1 2 2 2 6 2 7 2 2 2" xfId="10826"/>
    <cellStyle name="Heading 1 2 2 2 6 2 7 2 3" xfId="10827"/>
    <cellStyle name="Heading 1 2 2 2 6 2 7 3" xfId="10828"/>
    <cellStyle name="Heading 1 2 2 2 6 2 7 3 2" xfId="10829"/>
    <cellStyle name="Heading 1 2 2 2 6 2 7 3 2 2" xfId="10830"/>
    <cellStyle name="Heading 1 2 2 2 6 2 7 3 3" xfId="10831"/>
    <cellStyle name="Heading 1 2 2 2 6 2 7 4" xfId="10832"/>
    <cellStyle name="Heading 1 2 2 2 6 2 7 4 2" xfId="10833"/>
    <cellStyle name="Heading 1 2 2 2 6 2 7 4 2 2" xfId="10834"/>
    <cellStyle name="Heading 1 2 2 2 6 2 7 4 3" xfId="10835"/>
    <cellStyle name="Heading 1 2 2 2 6 2 7 5" xfId="10836"/>
    <cellStyle name="Heading 1 2 2 2 6 2 7 5 2" xfId="10837"/>
    <cellStyle name="Heading 1 2 2 2 6 2 7 5 2 2" xfId="10838"/>
    <cellStyle name="Heading 1 2 2 2 6 2 7 5 3" xfId="10839"/>
    <cellStyle name="Heading 1 2 2 2 6 2 7 6" xfId="10840"/>
    <cellStyle name="Heading 1 2 2 2 6 2 7 6 2" xfId="10841"/>
    <cellStyle name="Heading 1 2 2 2 6 2 7 6 2 2" xfId="10842"/>
    <cellStyle name="Heading 1 2 2 2 6 2 7 6 3" xfId="10843"/>
    <cellStyle name="Heading 1 2 2 2 6 2 7 7" xfId="10844"/>
    <cellStyle name="Heading 1 2 2 2 6 2 7 7 2" xfId="10845"/>
    <cellStyle name="Heading 1 2 2 2 6 2 7 7 2 2" xfId="10846"/>
    <cellStyle name="Heading 1 2 2 2 6 2 7 7 3" xfId="10847"/>
    <cellStyle name="Heading 1 2 2 2 6 2 7 8" xfId="10848"/>
    <cellStyle name="Heading 1 2 2 2 6 2 7 8 2" xfId="10849"/>
    <cellStyle name="Heading 1 2 2 2 6 2 7 9" xfId="10850"/>
    <cellStyle name="Heading 1 2 2 2 6 2 8" xfId="10851"/>
    <cellStyle name="Heading 1 2 2 2 6 2 8 2" xfId="10852"/>
    <cellStyle name="Heading 1 2 2 2 6 2 8 2 2" xfId="10853"/>
    <cellStyle name="Heading 1 2 2 2 6 2 8 2 2 2" xfId="10854"/>
    <cellStyle name="Heading 1 2 2 2 6 2 8 2 3" xfId="10855"/>
    <cellStyle name="Heading 1 2 2 2 6 2 8 3" xfId="10856"/>
    <cellStyle name="Heading 1 2 2 2 6 2 8 3 2" xfId="10857"/>
    <cellStyle name="Heading 1 2 2 2 6 2 8 3 2 2" xfId="10858"/>
    <cellStyle name="Heading 1 2 2 2 6 2 8 3 3" xfId="10859"/>
    <cellStyle name="Heading 1 2 2 2 6 2 8 4" xfId="10860"/>
    <cellStyle name="Heading 1 2 2 2 6 2 8 4 2" xfId="10861"/>
    <cellStyle name="Heading 1 2 2 2 6 2 8 4 2 2" xfId="10862"/>
    <cellStyle name="Heading 1 2 2 2 6 2 8 4 3" xfId="10863"/>
    <cellStyle name="Heading 1 2 2 2 6 2 8 5" xfId="10864"/>
    <cellStyle name="Heading 1 2 2 2 6 2 8 5 2" xfId="10865"/>
    <cellStyle name="Heading 1 2 2 2 6 2 8 5 2 2" xfId="10866"/>
    <cellStyle name="Heading 1 2 2 2 6 2 8 5 3" xfId="10867"/>
    <cellStyle name="Heading 1 2 2 2 6 2 8 6" xfId="10868"/>
    <cellStyle name="Heading 1 2 2 2 6 2 8 6 2" xfId="10869"/>
    <cellStyle name="Heading 1 2 2 2 6 2 8 6 2 2" xfId="10870"/>
    <cellStyle name="Heading 1 2 2 2 6 2 8 6 3" xfId="10871"/>
    <cellStyle name="Heading 1 2 2 2 6 2 8 7" xfId="10872"/>
    <cellStyle name="Heading 1 2 2 2 6 2 8 7 2" xfId="10873"/>
    <cellStyle name="Heading 1 2 2 2 6 2 8 7 2 2" xfId="10874"/>
    <cellStyle name="Heading 1 2 2 2 6 2 8 7 3" xfId="10875"/>
    <cellStyle name="Heading 1 2 2 2 6 2 8 8" xfId="10876"/>
    <cellStyle name="Heading 1 2 2 2 6 2 8 8 2" xfId="10877"/>
    <cellStyle name="Heading 1 2 2 2 6 2 8 9" xfId="10878"/>
    <cellStyle name="Heading 1 2 2 2 6 2 9" xfId="10879"/>
    <cellStyle name="Heading 1 2 2 2 6 2 9 2" xfId="10880"/>
    <cellStyle name="Heading 1 2 2 2 6 2 9 2 2" xfId="10881"/>
    <cellStyle name="Heading 1 2 2 2 6 2 9 2 2 2" xfId="10882"/>
    <cellStyle name="Heading 1 2 2 2 6 2 9 2 3" xfId="10883"/>
    <cellStyle name="Heading 1 2 2 2 6 2 9 3" xfId="10884"/>
    <cellStyle name="Heading 1 2 2 2 6 2 9 3 2" xfId="10885"/>
    <cellStyle name="Heading 1 2 2 2 6 2 9 3 2 2" xfId="10886"/>
    <cellStyle name="Heading 1 2 2 2 6 2 9 3 3" xfId="10887"/>
    <cellStyle name="Heading 1 2 2 2 6 2 9 4" xfId="10888"/>
    <cellStyle name="Heading 1 2 2 2 6 2 9 4 2" xfId="10889"/>
    <cellStyle name="Heading 1 2 2 2 6 2 9 4 2 2" xfId="10890"/>
    <cellStyle name="Heading 1 2 2 2 6 2 9 4 3" xfId="10891"/>
    <cellStyle name="Heading 1 2 2 2 6 2 9 5" xfId="10892"/>
    <cellStyle name="Heading 1 2 2 2 6 2 9 5 2" xfId="10893"/>
    <cellStyle name="Heading 1 2 2 2 6 2 9 5 2 2" xfId="10894"/>
    <cellStyle name="Heading 1 2 2 2 6 2 9 5 3" xfId="10895"/>
    <cellStyle name="Heading 1 2 2 2 6 2 9 6" xfId="10896"/>
    <cellStyle name="Heading 1 2 2 2 6 2 9 6 2" xfId="10897"/>
    <cellStyle name="Heading 1 2 2 2 6 2 9 6 2 2" xfId="10898"/>
    <cellStyle name="Heading 1 2 2 2 6 2 9 6 3" xfId="10899"/>
    <cellStyle name="Heading 1 2 2 2 6 2 9 7" xfId="10900"/>
    <cellStyle name="Heading 1 2 2 2 6 2 9 7 2" xfId="10901"/>
    <cellStyle name="Heading 1 2 2 2 6 2 9 7 2 2" xfId="10902"/>
    <cellStyle name="Heading 1 2 2 2 6 2 9 7 3" xfId="10903"/>
    <cellStyle name="Heading 1 2 2 2 6 2 9 8" xfId="10904"/>
    <cellStyle name="Heading 1 2 2 2 6 2 9 8 2" xfId="10905"/>
    <cellStyle name="Heading 1 2 2 2 6 2 9 9" xfId="10906"/>
    <cellStyle name="Heading 1 2 2 2 6 3" xfId="10907"/>
    <cellStyle name="Heading 1 2 2 2 6 3 10" xfId="10908"/>
    <cellStyle name="Heading 1 2 2 2 6 3 10 2" xfId="10909"/>
    <cellStyle name="Heading 1 2 2 2 6 3 10 2 2" xfId="10910"/>
    <cellStyle name="Heading 1 2 2 2 6 3 10 3" xfId="10911"/>
    <cellStyle name="Heading 1 2 2 2 6 3 11" xfId="10912"/>
    <cellStyle name="Heading 1 2 2 2 6 3 11 2" xfId="10913"/>
    <cellStyle name="Heading 1 2 2 2 6 3 11 2 2" xfId="10914"/>
    <cellStyle name="Heading 1 2 2 2 6 3 11 3" xfId="10915"/>
    <cellStyle name="Heading 1 2 2 2 6 3 12" xfId="10916"/>
    <cellStyle name="Heading 1 2 2 2 6 3 12 2" xfId="10917"/>
    <cellStyle name="Heading 1 2 2 2 6 3 12 2 2" xfId="10918"/>
    <cellStyle name="Heading 1 2 2 2 6 3 12 3" xfId="10919"/>
    <cellStyle name="Heading 1 2 2 2 6 3 13" xfId="10920"/>
    <cellStyle name="Heading 1 2 2 2 6 3 13 2" xfId="10921"/>
    <cellStyle name="Heading 1 2 2 2 6 3 13 2 2" xfId="10922"/>
    <cellStyle name="Heading 1 2 2 2 6 3 13 3" xfId="10923"/>
    <cellStyle name="Heading 1 2 2 2 6 3 14" xfId="10924"/>
    <cellStyle name="Heading 1 2 2 2 6 3 14 2" xfId="10925"/>
    <cellStyle name="Heading 1 2 2 2 6 3 14 2 2" xfId="10926"/>
    <cellStyle name="Heading 1 2 2 2 6 3 14 3" xfId="10927"/>
    <cellStyle name="Heading 1 2 2 2 6 3 15" xfId="10928"/>
    <cellStyle name="Heading 1 2 2 2 6 3 15 2" xfId="10929"/>
    <cellStyle name="Heading 1 2 2 2 6 3 15 2 2" xfId="10930"/>
    <cellStyle name="Heading 1 2 2 2 6 3 15 3" xfId="10931"/>
    <cellStyle name="Heading 1 2 2 2 6 3 16" xfId="10932"/>
    <cellStyle name="Heading 1 2 2 2 6 3 16 2" xfId="10933"/>
    <cellStyle name="Heading 1 2 2 2 6 3 16 2 2" xfId="10934"/>
    <cellStyle name="Heading 1 2 2 2 6 3 16 3" xfId="10935"/>
    <cellStyle name="Heading 1 2 2 2 6 3 17" xfId="10936"/>
    <cellStyle name="Heading 1 2 2 2 6 3 17 2" xfId="10937"/>
    <cellStyle name="Heading 1 2 2 2 6 3 17 2 2" xfId="10938"/>
    <cellStyle name="Heading 1 2 2 2 6 3 17 3" xfId="10939"/>
    <cellStyle name="Heading 1 2 2 2 6 3 18" xfId="10940"/>
    <cellStyle name="Heading 1 2 2 2 6 3 18 2" xfId="10941"/>
    <cellStyle name="Heading 1 2 2 2 6 3 18 2 2" xfId="10942"/>
    <cellStyle name="Heading 1 2 2 2 6 3 18 3" xfId="10943"/>
    <cellStyle name="Heading 1 2 2 2 6 3 19" xfId="10944"/>
    <cellStyle name="Heading 1 2 2 2 6 3 19 2" xfId="10945"/>
    <cellStyle name="Heading 1 2 2 2 6 3 2" xfId="10946"/>
    <cellStyle name="Heading 1 2 2 2 6 3 2 2" xfId="10947"/>
    <cellStyle name="Heading 1 2 2 2 6 3 2 2 2" xfId="10948"/>
    <cellStyle name="Heading 1 2 2 2 6 3 2 2 2 2" xfId="10949"/>
    <cellStyle name="Heading 1 2 2 2 6 3 2 2 3" xfId="10950"/>
    <cellStyle name="Heading 1 2 2 2 6 3 2 3" xfId="10951"/>
    <cellStyle name="Heading 1 2 2 2 6 3 2 3 2" xfId="10952"/>
    <cellStyle name="Heading 1 2 2 2 6 3 2 3 2 2" xfId="10953"/>
    <cellStyle name="Heading 1 2 2 2 6 3 2 3 3" xfId="10954"/>
    <cellStyle name="Heading 1 2 2 2 6 3 2 4" xfId="10955"/>
    <cellStyle name="Heading 1 2 2 2 6 3 2 4 2" xfId="10956"/>
    <cellStyle name="Heading 1 2 2 2 6 3 2 4 2 2" xfId="10957"/>
    <cellStyle name="Heading 1 2 2 2 6 3 2 4 3" xfId="10958"/>
    <cellStyle name="Heading 1 2 2 2 6 3 2 5" xfId="10959"/>
    <cellStyle name="Heading 1 2 2 2 6 3 2 5 2" xfId="10960"/>
    <cellStyle name="Heading 1 2 2 2 6 3 2 5 2 2" xfId="10961"/>
    <cellStyle name="Heading 1 2 2 2 6 3 2 5 3" xfId="10962"/>
    <cellStyle name="Heading 1 2 2 2 6 3 2 6" xfId="10963"/>
    <cellStyle name="Heading 1 2 2 2 6 3 2 6 2" xfId="10964"/>
    <cellStyle name="Heading 1 2 2 2 6 3 2 6 2 2" xfId="10965"/>
    <cellStyle name="Heading 1 2 2 2 6 3 2 6 3" xfId="10966"/>
    <cellStyle name="Heading 1 2 2 2 6 3 2 7" xfId="10967"/>
    <cellStyle name="Heading 1 2 2 2 6 3 2 7 2" xfId="10968"/>
    <cellStyle name="Heading 1 2 2 2 6 3 2 7 2 2" xfId="10969"/>
    <cellStyle name="Heading 1 2 2 2 6 3 2 7 3" xfId="10970"/>
    <cellStyle name="Heading 1 2 2 2 6 3 2 8" xfId="10971"/>
    <cellStyle name="Heading 1 2 2 2 6 3 2 8 2" xfId="10972"/>
    <cellStyle name="Heading 1 2 2 2 6 3 2 9" xfId="10973"/>
    <cellStyle name="Heading 1 2 2 2 6 3 20" xfId="10974"/>
    <cellStyle name="Heading 1 2 2 2 6 3 20 2" xfId="10975"/>
    <cellStyle name="Heading 1 2 2 2 6 3 21" xfId="10976"/>
    <cellStyle name="Heading 1 2 2 2 6 3 21 2" xfId="10977"/>
    <cellStyle name="Heading 1 2 2 2 6 3 22" xfId="10978"/>
    <cellStyle name="Heading 1 2 2 2 6 3 3" xfId="10979"/>
    <cellStyle name="Heading 1 2 2 2 6 3 3 2" xfId="10980"/>
    <cellStyle name="Heading 1 2 2 2 6 3 3 2 2" xfId="10981"/>
    <cellStyle name="Heading 1 2 2 2 6 3 3 2 2 2" xfId="10982"/>
    <cellStyle name="Heading 1 2 2 2 6 3 3 2 3" xfId="10983"/>
    <cellStyle name="Heading 1 2 2 2 6 3 3 3" xfId="10984"/>
    <cellStyle name="Heading 1 2 2 2 6 3 3 3 2" xfId="10985"/>
    <cellStyle name="Heading 1 2 2 2 6 3 3 3 2 2" xfId="10986"/>
    <cellStyle name="Heading 1 2 2 2 6 3 3 3 3" xfId="10987"/>
    <cellStyle name="Heading 1 2 2 2 6 3 3 4" xfId="10988"/>
    <cellStyle name="Heading 1 2 2 2 6 3 3 4 2" xfId="10989"/>
    <cellStyle name="Heading 1 2 2 2 6 3 3 4 2 2" xfId="10990"/>
    <cellStyle name="Heading 1 2 2 2 6 3 3 4 3" xfId="10991"/>
    <cellStyle name="Heading 1 2 2 2 6 3 3 5" xfId="10992"/>
    <cellStyle name="Heading 1 2 2 2 6 3 3 5 2" xfId="10993"/>
    <cellStyle name="Heading 1 2 2 2 6 3 3 5 2 2" xfId="10994"/>
    <cellStyle name="Heading 1 2 2 2 6 3 3 5 3" xfId="10995"/>
    <cellStyle name="Heading 1 2 2 2 6 3 3 6" xfId="10996"/>
    <cellStyle name="Heading 1 2 2 2 6 3 3 6 2" xfId="10997"/>
    <cellStyle name="Heading 1 2 2 2 6 3 3 6 2 2" xfId="10998"/>
    <cellStyle name="Heading 1 2 2 2 6 3 3 6 3" xfId="10999"/>
    <cellStyle name="Heading 1 2 2 2 6 3 3 7" xfId="11000"/>
    <cellStyle name="Heading 1 2 2 2 6 3 3 7 2" xfId="11001"/>
    <cellStyle name="Heading 1 2 2 2 6 3 3 7 2 2" xfId="11002"/>
    <cellStyle name="Heading 1 2 2 2 6 3 3 7 3" xfId="11003"/>
    <cellStyle name="Heading 1 2 2 2 6 3 3 8" xfId="11004"/>
    <cellStyle name="Heading 1 2 2 2 6 3 3 8 2" xfId="11005"/>
    <cellStyle name="Heading 1 2 2 2 6 3 3 9" xfId="11006"/>
    <cellStyle name="Heading 1 2 2 2 6 3 4" xfId="11007"/>
    <cellStyle name="Heading 1 2 2 2 6 3 4 2" xfId="11008"/>
    <cellStyle name="Heading 1 2 2 2 6 3 4 2 2" xfId="11009"/>
    <cellStyle name="Heading 1 2 2 2 6 3 4 2 2 2" xfId="11010"/>
    <cellStyle name="Heading 1 2 2 2 6 3 4 2 3" xfId="11011"/>
    <cellStyle name="Heading 1 2 2 2 6 3 4 3" xfId="11012"/>
    <cellStyle name="Heading 1 2 2 2 6 3 4 3 2" xfId="11013"/>
    <cellStyle name="Heading 1 2 2 2 6 3 4 3 2 2" xfId="11014"/>
    <cellStyle name="Heading 1 2 2 2 6 3 4 3 3" xfId="11015"/>
    <cellStyle name="Heading 1 2 2 2 6 3 4 4" xfId="11016"/>
    <cellStyle name="Heading 1 2 2 2 6 3 4 4 2" xfId="11017"/>
    <cellStyle name="Heading 1 2 2 2 6 3 4 4 2 2" xfId="11018"/>
    <cellStyle name="Heading 1 2 2 2 6 3 4 4 3" xfId="11019"/>
    <cellStyle name="Heading 1 2 2 2 6 3 4 5" xfId="11020"/>
    <cellStyle name="Heading 1 2 2 2 6 3 4 5 2" xfId="11021"/>
    <cellStyle name="Heading 1 2 2 2 6 3 4 5 2 2" xfId="11022"/>
    <cellStyle name="Heading 1 2 2 2 6 3 4 5 3" xfId="11023"/>
    <cellStyle name="Heading 1 2 2 2 6 3 4 6" xfId="11024"/>
    <cellStyle name="Heading 1 2 2 2 6 3 4 6 2" xfId="11025"/>
    <cellStyle name="Heading 1 2 2 2 6 3 4 6 2 2" xfId="11026"/>
    <cellStyle name="Heading 1 2 2 2 6 3 4 6 3" xfId="11027"/>
    <cellStyle name="Heading 1 2 2 2 6 3 4 7" xfId="11028"/>
    <cellStyle name="Heading 1 2 2 2 6 3 4 7 2" xfId="11029"/>
    <cellStyle name="Heading 1 2 2 2 6 3 4 7 2 2" xfId="11030"/>
    <cellStyle name="Heading 1 2 2 2 6 3 4 7 3" xfId="11031"/>
    <cellStyle name="Heading 1 2 2 2 6 3 4 8" xfId="11032"/>
    <cellStyle name="Heading 1 2 2 2 6 3 4 8 2" xfId="11033"/>
    <cellStyle name="Heading 1 2 2 2 6 3 4 9" xfId="11034"/>
    <cellStyle name="Heading 1 2 2 2 6 3 5" xfId="11035"/>
    <cellStyle name="Heading 1 2 2 2 6 3 5 2" xfId="11036"/>
    <cellStyle name="Heading 1 2 2 2 6 3 5 2 2" xfId="11037"/>
    <cellStyle name="Heading 1 2 2 2 6 3 5 2 2 2" xfId="11038"/>
    <cellStyle name="Heading 1 2 2 2 6 3 5 2 3" xfId="11039"/>
    <cellStyle name="Heading 1 2 2 2 6 3 5 3" xfId="11040"/>
    <cellStyle name="Heading 1 2 2 2 6 3 5 3 2" xfId="11041"/>
    <cellStyle name="Heading 1 2 2 2 6 3 5 3 2 2" xfId="11042"/>
    <cellStyle name="Heading 1 2 2 2 6 3 5 3 3" xfId="11043"/>
    <cellStyle name="Heading 1 2 2 2 6 3 5 4" xfId="11044"/>
    <cellStyle name="Heading 1 2 2 2 6 3 5 4 2" xfId="11045"/>
    <cellStyle name="Heading 1 2 2 2 6 3 5 4 2 2" xfId="11046"/>
    <cellStyle name="Heading 1 2 2 2 6 3 5 4 3" xfId="11047"/>
    <cellStyle name="Heading 1 2 2 2 6 3 5 5" xfId="11048"/>
    <cellStyle name="Heading 1 2 2 2 6 3 5 5 2" xfId="11049"/>
    <cellStyle name="Heading 1 2 2 2 6 3 5 5 2 2" xfId="11050"/>
    <cellStyle name="Heading 1 2 2 2 6 3 5 5 3" xfId="11051"/>
    <cellStyle name="Heading 1 2 2 2 6 3 5 6" xfId="11052"/>
    <cellStyle name="Heading 1 2 2 2 6 3 5 6 2" xfId="11053"/>
    <cellStyle name="Heading 1 2 2 2 6 3 5 6 2 2" xfId="11054"/>
    <cellStyle name="Heading 1 2 2 2 6 3 5 6 3" xfId="11055"/>
    <cellStyle name="Heading 1 2 2 2 6 3 5 7" xfId="11056"/>
    <cellStyle name="Heading 1 2 2 2 6 3 5 7 2" xfId="11057"/>
    <cellStyle name="Heading 1 2 2 2 6 3 5 7 2 2" xfId="11058"/>
    <cellStyle name="Heading 1 2 2 2 6 3 5 7 3" xfId="11059"/>
    <cellStyle name="Heading 1 2 2 2 6 3 5 8" xfId="11060"/>
    <cellStyle name="Heading 1 2 2 2 6 3 5 8 2" xfId="11061"/>
    <cellStyle name="Heading 1 2 2 2 6 3 5 9" xfId="11062"/>
    <cellStyle name="Heading 1 2 2 2 6 3 6" xfId="11063"/>
    <cellStyle name="Heading 1 2 2 2 6 3 6 2" xfId="11064"/>
    <cellStyle name="Heading 1 2 2 2 6 3 6 2 2" xfId="11065"/>
    <cellStyle name="Heading 1 2 2 2 6 3 6 2 2 2" xfId="11066"/>
    <cellStyle name="Heading 1 2 2 2 6 3 6 2 3" xfId="11067"/>
    <cellStyle name="Heading 1 2 2 2 6 3 6 3" xfId="11068"/>
    <cellStyle name="Heading 1 2 2 2 6 3 6 3 2" xfId="11069"/>
    <cellStyle name="Heading 1 2 2 2 6 3 6 3 2 2" xfId="11070"/>
    <cellStyle name="Heading 1 2 2 2 6 3 6 3 3" xfId="11071"/>
    <cellStyle name="Heading 1 2 2 2 6 3 6 4" xfId="11072"/>
    <cellStyle name="Heading 1 2 2 2 6 3 6 4 2" xfId="11073"/>
    <cellStyle name="Heading 1 2 2 2 6 3 6 4 2 2" xfId="11074"/>
    <cellStyle name="Heading 1 2 2 2 6 3 6 4 3" xfId="11075"/>
    <cellStyle name="Heading 1 2 2 2 6 3 6 5" xfId="11076"/>
    <cellStyle name="Heading 1 2 2 2 6 3 6 5 2" xfId="11077"/>
    <cellStyle name="Heading 1 2 2 2 6 3 6 5 2 2" xfId="11078"/>
    <cellStyle name="Heading 1 2 2 2 6 3 6 5 3" xfId="11079"/>
    <cellStyle name="Heading 1 2 2 2 6 3 6 6" xfId="11080"/>
    <cellStyle name="Heading 1 2 2 2 6 3 6 6 2" xfId="11081"/>
    <cellStyle name="Heading 1 2 2 2 6 3 6 6 2 2" xfId="11082"/>
    <cellStyle name="Heading 1 2 2 2 6 3 6 6 3" xfId="11083"/>
    <cellStyle name="Heading 1 2 2 2 6 3 6 7" xfId="11084"/>
    <cellStyle name="Heading 1 2 2 2 6 3 6 7 2" xfId="11085"/>
    <cellStyle name="Heading 1 2 2 2 6 3 6 7 2 2" xfId="11086"/>
    <cellStyle name="Heading 1 2 2 2 6 3 6 7 3" xfId="11087"/>
    <cellStyle name="Heading 1 2 2 2 6 3 6 8" xfId="11088"/>
    <cellStyle name="Heading 1 2 2 2 6 3 6 8 2" xfId="11089"/>
    <cellStyle name="Heading 1 2 2 2 6 3 6 9" xfId="11090"/>
    <cellStyle name="Heading 1 2 2 2 6 3 7" xfId="11091"/>
    <cellStyle name="Heading 1 2 2 2 6 3 7 2" xfId="11092"/>
    <cellStyle name="Heading 1 2 2 2 6 3 7 2 2" xfId="11093"/>
    <cellStyle name="Heading 1 2 2 2 6 3 7 2 2 2" xfId="11094"/>
    <cellStyle name="Heading 1 2 2 2 6 3 7 2 3" xfId="11095"/>
    <cellStyle name="Heading 1 2 2 2 6 3 7 3" xfId="11096"/>
    <cellStyle name="Heading 1 2 2 2 6 3 7 3 2" xfId="11097"/>
    <cellStyle name="Heading 1 2 2 2 6 3 7 3 2 2" xfId="11098"/>
    <cellStyle name="Heading 1 2 2 2 6 3 7 3 3" xfId="11099"/>
    <cellStyle name="Heading 1 2 2 2 6 3 7 4" xfId="11100"/>
    <cellStyle name="Heading 1 2 2 2 6 3 7 4 2" xfId="11101"/>
    <cellStyle name="Heading 1 2 2 2 6 3 7 4 2 2" xfId="11102"/>
    <cellStyle name="Heading 1 2 2 2 6 3 7 4 3" xfId="11103"/>
    <cellStyle name="Heading 1 2 2 2 6 3 7 5" xfId="11104"/>
    <cellStyle name="Heading 1 2 2 2 6 3 7 5 2" xfId="11105"/>
    <cellStyle name="Heading 1 2 2 2 6 3 7 5 2 2" xfId="11106"/>
    <cellStyle name="Heading 1 2 2 2 6 3 7 5 3" xfId="11107"/>
    <cellStyle name="Heading 1 2 2 2 6 3 7 6" xfId="11108"/>
    <cellStyle name="Heading 1 2 2 2 6 3 7 6 2" xfId="11109"/>
    <cellStyle name="Heading 1 2 2 2 6 3 7 6 2 2" xfId="11110"/>
    <cellStyle name="Heading 1 2 2 2 6 3 7 6 3" xfId="11111"/>
    <cellStyle name="Heading 1 2 2 2 6 3 7 7" xfId="11112"/>
    <cellStyle name="Heading 1 2 2 2 6 3 7 7 2" xfId="11113"/>
    <cellStyle name="Heading 1 2 2 2 6 3 7 7 2 2" xfId="11114"/>
    <cellStyle name="Heading 1 2 2 2 6 3 7 7 3" xfId="11115"/>
    <cellStyle name="Heading 1 2 2 2 6 3 7 8" xfId="11116"/>
    <cellStyle name="Heading 1 2 2 2 6 3 7 8 2" xfId="11117"/>
    <cellStyle name="Heading 1 2 2 2 6 3 7 9" xfId="11118"/>
    <cellStyle name="Heading 1 2 2 2 6 3 8" xfId="11119"/>
    <cellStyle name="Heading 1 2 2 2 6 3 8 2" xfId="11120"/>
    <cellStyle name="Heading 1 2 2 2 6 3 8 2 2" xfId="11121"/>
    <cellStyle name="Heading 1 2 2 2 6 3 8 2 2 2" xfId="11122"/>
    <cellStyle name="Heading 1 2 2 2 6 3 8 2 3" xfId="11123"/>
    <cellStyle name="Heading 1 2 2 2 6 3 8 3" xfId="11124"/>
    <cellStyle name="Heading 1 2 2 2 6 3 8 3 2" xfId="11125"/>
    <cellStyle name="Heading 1 2 2 2 6 3 8 3 2 2" xfId="11126"/>
    <cellStyle name="Heading 1 2 2 2 6 3 8 3 3" xfId="11127"/>
    <cellStyle name="Heading 1 2 2 2 6 3 8 4" xfId="11128"/>
    <cellStyle name="Heading 1 2 2 2 6 3 8 4 2" xfId="11129"/>
    <cellStyle name="Heading 1 2 2 2 6 3 8 4 2 2" xfId="11130"/>
    <cellStyle name="Heading 1 2 2 2 6 3 8 4 3" xfId="11131"/>
    <cellStyle name="Heading 1 2 2 2 6 3 8 5" xfId="11132"/>
    <cellStyle name="Heading 1 2 2 2 6 3 8 5 2" xfId="11133"/>
    <cellStyle name="Heading 1 2 2 2 6 3 8 5 2 2" xfId="11134"/>
    <cellStyle name="Heading 1 2 2 2 6 3 8 5 3" xfId="11135"/>
    <cellStyle name="Heading 1 2 2 2 6 3 8 6" xfId="11136"/>
    <cellStyle name="Heading 1 2 2 2 6 3 8 6 2" xfId="11137"/>
    <cellStyle name="Heading 1 2 2 2 6 3 8 6 2 2" xfId="11138"/>
    <cellStyle name="Heading 1 2 2 2 6 3 8 6 3" xfId="11139"/>
    <cellStyle name="Heading 1 2 2 2 6 3 8 7" xfId="11140"/>
    <cellStyle name="Heading 1 2 2 2 6 3 8 7 2" xfId="11141"/>
    <cellStyle name="Heading 1 2 2 2 6 3 8 7 2 2" xfId="11142"/>
    <cellStyle name="Heading 1 2 2 2 6 3 8 7 3" xfId="11143"/>
    <cellStyle name="Heading 1 2 2 2 6 3 8 8" xfId="11144"/>
    <cellStyle name="Heading 1 2 2 2 6 3 8 8 2" xfId="11145"/>
    <cellStyle name="Heading 1 2 2 2 6 3 8 9" xfId="11146"/>
    <cellStyle name="Heading 1 2 2 2 6 3 9" xfId="11147"/>
    <cellStyle name="Heading 1 2 2 2 6 3 9 2" xfId="11148"/>
    <cellStyle name="Heading 1 2 2 2 6 3 9 2 2" xfId="11149"/>
    <cellStyle name="Heading 1 2 2 2 6 3 9 3" xfId="11150"/>
    <cellStyle name="Heading 1 2 2 2 6 4" xfId="11151"/>
    <cellStyle name="Heading 1 2 2 2 6 4 2" xfId="11152"/>
    <cellStyle name="Heading 1 2 2 2 6 4 2 2" xfId="11153"/>
    <cellStyle name="Heading 1 2 2 2 6 4 3" xfId="11154"/>
    <cellStyle name="Heading 1 2 2 2 6 5" xfId="11155"/>
    <cellStyle name="Heading 1 2 2 2 6 5 2" xfId="11156"/>
    <cellStyle name="Heading 1 2 2 2 6 6" xfId="11157"/>
    <cellStyle name="Heading 1 2 2 2 7" xfId="11158"/>
    <cellStyle name="Heading 1 2 2 2 7 2" xfId="11159"/>
    <cellStyle name="Heading 1 2 2 2 7 2 10" xfId="11160"/>
    <cellStyle name="Heading 1 2 2 2 7 2 10 2" xfId="11161"/>
    <cellStyle name="Heading 1 2 2 2 7 2 10 2 2" xfId="11162"/>
    <cellStyle name="Heading 1 2 2 2 7 2 10 3" xfId="11163"/>
    <cellStyle name="Heading 1 2 2 2 7 2 11" xfId="11164"/>
    <cellStyle name="Heading 1 2 2 2 7 2 11 2" xfId="11165"/>
    <cellStyle name="Heading 1 2 2 2 7 2 11 2 2" xfId="11166"/>
    <cellStyle name="Heading 1 2 2 2 7 2 11 3" xfId="11167"/>
    <cellStyle name="Heading 1 2 2 2 7 2 12" xfId="11168"/>
    <cellStyle name="Heading 1 2 2 2 7 2 12 2" xfId="11169"/>
    <cellStyle name="Heading 1 2 2 2 7 2 12 2 2" xfId="11170"/>
    <cellStyle name="Heading 1 2 2 2 7 2 12 3" xfId="11171"/>
    <cellStyle name="Heading 1 2 2 2 7 2 13" xfId="11172"/>
    <cellStyle name="Heading 1 2 2 2 7 2 13 2" xfId="11173"/>
    <cellStyle name="Heading 1 2 2 2 7 2 13 2 2" xfId="11174"/>
    <cellStyle name="Heading 1 2 2 2 7 2 13 3" xfId="11175"/>
    <cellStyle name="Heading 1 2 2 2 7 2 14" xfId="11176"/>
    <cellStyle name="Heading 1 2 2 2 7 2 14 2" xfId="11177"/>
    <cellStyle name="Heading 1 2 2 2 7 2 14 2 2" xfId="11178"/>
    <cellStyle name="Heading 1 2 2 2 7 2 14 3" xfId="11179"/>
    <cellStyle name="Heading 1 2 2 2 7 2 15" xfId="11180"/>
    <cellStyle name="Heading 1 2 2 2 7 2 15 2" xfId="11181"/>
    <cellStyle name="Heading 1 2 2 2 7 2 15 2 2" xfId="11182"/>
    <cellStyle name="Heading 1 2 2 2 7 2 15 3" xfId="11183"/>
    <cellStyle name="Heading 1 2 2 2 7 2 16" xfId="11184"/>
    <cellStyle name="Heading 1 2 2 2 7 2 16 2" xfId="11185"/>
    <cellStyle name="Heading 1 2 2 2 7 2 16 2 2" xfId="11186"/>
    <cellStyle name="Heading 1 2 2 2 7 2 16 3" xfId="11187"/>
    <cellStyle name="Heading 1 2 2 2 7 2 17" xfId="11188"/>
    <cellStyle name="Heading 1 2 2 2 7 2 17 2" xfId="11189"/>
    <cellStyle name="Heading 1 2 2 2 7 2 17 2 2" xfId="11190"/>
    <cellStyle name="Heading 1 2 2 2 7 2 17 3" xfId="11191"/>
    <cellStyle name="Heading 1 2 2 2 7 2 18" xfId="11192"/>
    <cellStyle name="Heading 1 2 2 2 7 2 18 2" xfId="11193"/>
    <cellStyle name="Heading 1 2 2 2 7 2 18 2 2" xfId="11194"/>
    <cellStyle name="Heading 1 2 2 2 7 2 18 3" xfId="11195"/>
    <cellStyle name="Heading 1 2 2 2 7 2 19" xfId="11196"/>
    <cellStyle name="Heading 1 2 2 2 7 2 19 2" xfId="11197"/>
    <cellStyle name="Heading 1 2 2 2 7 2 19 2 2" xfId="11198"/>
    <cellStyle name="Heading 1 2 2 2 7 2 19 3" xfId="11199"/>
    <cellStyle name="Heading 1 2 2 2 7 2 2" xfId="11200"/>
    <cellStyle name="Heading 1 2 2 2 7 2 2 10" xfId="11201"/>
    <cellStyle name="Heading 1 2 2 2 7 2 2 10 2" xfId="11202"/>
    <cellStyle name="Heading 1 2 2 2 7 2 2 10 2 2" xfId="11203"/>
    <cellStyle name="Heading 1 2 2 2 7 2 2 10 3" xfId="11204"/>
    <cellStyle name="Heading 1 2 2 2 7 2 2 11" xfId="11205"/>
    <cellStyle name="Heading 1 2 2 2 7 2 2 11 2" xfId="11206"/>
    <cellStyle name="Heading 1 2 2 2 7 2 2 11 2 2" xfId="11207"/>
    <cellStyle name="Heading 1 2 2 2 7 2 2 11 3" xfId="11208"/>
    <cellStyle name="Heading 1 2 2 2 7 2 2 12" xfId="11209"/>
    <cellStyle name="Heading 1 2 2 2 7 2 2 12 2" xfId="11210"/>
    <cellStyle name="Heading 1 2 2 2 7 2 2 12 2 2" xfId="11211"/>
    <cellStyle name="Heading 1 2 2 2 7 2 2 12 3" xfId="11212"/>
    <cellStyle name="Heading 1 2 2 2 7 2 2 13" xfId="11213"/>
    <cellStyle name="Heading 1 2 2 2 7 2 2 13 2" xfId="11214"/>
    <cellStyle name="Heading 1 2 2 2 7 2 2 13 2 2" xfId="11215"/>
    <cellStyle name="Heading 1 2 2 2 7 2 2 13 3" xfId="11216"/>
    <cellStyle name="Heading 1 2 2 2 7 2 2 14" xfId="11217"/>
    <cellStyle name="Heading 1 2 2 2 7 2 2 14 2" xfId="11218"/>
    <cellStyle name="Heading 1 2 2 2 7 2 2 14 2 2" xfId="11219"/>
    <cellStyle name="Heading 1 2 2 2 7 2 2 14 3" xfId="11220"/>
    <cellStyle name="Heading 1 2 2 2 7 2 2 15" xfId="11221"/>
    <cellStyle name="Heading 1 2 2 2 7 2 2 15 2" xfId="11222"/>
    <cellStyle name="Heading 1 2 2 2 7 2 2 15 2 2" xfId="11223"/>
    <cellStyle name="Heading 1 2 2 2 7 2 2 15 3" xfId="11224"/>
    <cellStyle name="Heading 1 2 2 2 7 2 2 16" xfId="11225"/>
    <cellStyle name="Heading 1 2 2 2 7 2 2 16 2" xfId="11226"/>
    <cellStyle name="Heading 1 2 2 2 7 2 2 16 2 2" xfId="11227"/>
    <cellStyle name="Heading 1 2 2 2 7 2 2 16 3" xfId="11228"/>
    <cellStyle name="Heading 1 2 2 2 7 2 2 17" xfId="11229"/>
    <cellStyle name="Heading 1 2 2 2 7 2 2 17 2" xfId="11230"/>
    <cellStyle name="Heading 1 2 2 2 7 2 2 17 2 2" xfId="11231"/>
    <cellStyle name="Heading 1 2 2 2 7 2 2 17 3" xfId="11232"/>
    <cellStyle name="Heading 1 2 2 2 7 2 2 18" xfId="11233"/>
    <cellStyle name="Heading 1 2 2 2 7 2 2 18 2" xfId="11234"/>
    <cellStyle name="Heading 1 2 2 2 7 2 2 18 2 2" xfId="11235"/>
    <cellStyle name="Heading 1 2 2 2 7 2 2 18 3" xfId="11236"/>
    <cellStyle name="Heading 1 2 2 2 7 2 2 19" xfId="11237"/>
    <cellStyle name="Heading 1 2 2 2 7 2 2 19 2" xfId="11238"/>
    <cellStyle name="Heading 1 2 2 2 7 2 2 2" xfId="11239"/>
    <cellStyle name="Heading 1 2 2 2 7 2 2 2 2" xfId="11240"/>
    <cellStyle name="Heading 1 2 2 2 7 2 2 2 2 2" xfId="11241"/>
    <cellStyle name="Heading 1 2 2 2 7 2 2 2 2 2 2" xfId="11242"/>
    <cellStyle name="Heading 1 2 2 2 7 2 2 2 2 3" xfId="11243"/>
    <cellStyle name="Heading 1 2 2 2 7 2 2 2 3" xfId="11244"/>
    <cellStyle name="Heading 1 2 2 2 7 2 2 2 3 2" xfId="11245"/>
    <cellStyle name="Heading 1 2 2 2 7 2 2 2 3 2 2" xfId="11246"/>
    <cellStyle name="Heading 1 2 2 2 7 2 2 2 3 3" xfId="11247"/>
    <cellStyle name="Heading 1 2 2 2 7 2 2 2 4" xfId="11248"/>
    <cellStyle name="Heading 1 2 2 2 7 2 2 2 4 2" xfId="11249"/>
    <cellStyle name="Heading 1 2 2 2 7 2 2 2 4 2 2" xfId="11250"/>
    <cellStyle name="Heading 1 2 2 2 7 2 2 2 4 3" xfId="11251"/>
    <cellStyle name="Heading 1 2 2 2 7 2 2 2 5" xfId="11252"/>
    <cellStyle name="Heading 1 2 2 2 7 2 2 2 5 2" xfId="11253"/>
    <cellStyle name="Heading 1 2 2 2 7 2 2 2 5 2 2" xfId="11254"/>
    <cellStyle name="Heading 1 2 2 2 7 2 2 2 5 3" xfId="11255"/>
    <cellStyle name="Heading 1 2 2 2 7 2 2 2 6" xfId="11256"/>
    <cellStyle name="Heading 1 2 2 2 7 2 2 2 6 2" xfId="11257"/>
    <cellStyle name="Heading 1 2 2 2 7 2 2 2 6 2 2" xfId="11258"/>
    <cellStyle name="Heading 1 2 2 2 7 2 2 2 6 3" xfId="11259"/>
    <cellStyle name="Heading 1 2 2 2 7 2 2 2 7" xfId="11260"/>
    <cellStyle name="Heading 1 2 2 2 7 2 2 2 7 2" xfId="11261"/>
    <cellStyle name="Heading 1 2 2 2 7 2 2 2 7 2 2" xfId="11262"/>
    <cellStyle name="Heading 1 2 2 2 7 2 2 2 7 3" xfId="11263"/>
    <cellStyle name="Heading 1 2 2 2 7 2 2 2 8" xfId="11264"/>
    <cellStyle name="Heading 1 2 2 2 7 2 2 2 8 2" xfId="11265"/>
    <cellStyle name="Heading 1 2 2 2 7 2 2 2 9" xfId="11266"/>
    <cellStyle name="Heading 1 2 2 2 7 2 2 20" xfId="11267"/>
    <cellStyle name="Heading 1 2 2 2 7 2 2 20 2" xfId="11268"/>
    <cellStyle name="Heading 1 2 2 2 7 2 2 21" xfId="11269"/>
    <cellStyle name="Heading 1 2 2 2 7 2 2 21 2" xfId="11270"/>
    <cellStyle name="Heading 1 2 2 2 7 2 2 22" xfId="11271"/>
    <cellStyle name="Heading 1 2 2 2 7 2 2 3" xfId="11272"/>
    <cellStyle name="Heading 1 2 2 2 7 2 2 3 2" xfId="11273"/>
    <cellStyle name="Heading 1 2 2 2 7 2 2 3 2 2" xfId="11274"/>
    <cellStyle name="Heading 1 2 2 2 7 2 2 3 2 2 2" xfId="11275"/>
    <cellStyle name="Heading 1 2 2 2 7 2 2 3 2 3" xfId="11276"/>
    <cellStyle name="Heading 1 2 2 2 7 2 2 3 3" xfId="11277"/>
    <cellStyle name="Heading 1 2 2 2 7 2 2 3 3 2" xfId="11278"/>
    <cellStyle name="Heading 1 2 2 2 7 2 2 3 3 2 2" xfId="11279"/>
    <cellStyle name="Heading 1 2 2 2 7 2 2 3 3 3" xfId="11280"/>
    <cellStyle name="Heading 1 2 2 2 7 2 2 3 4" xfId="11281"/>
    <cellStyle name="Heading 1 2 2 2 7 2 2 3 4 2" xfId="11282"/>
    <cellStyle name="Heading 1 2 2 2 7 2 2 3 4 2 2" xfId="11283"/>
    <cellStyle name="Heading 1 2 2 2 7 2 2 3 4 3" xfId="11284"/>
    <cellStyle name="Heading 1 2 2 2 7 2 2 3 5" xfId="11285"/>
    <cellStyle name="Heading 1 2 2 2 7 2 2 3 5 2" xfId="11286"/>
    <cellStyle name="Heading 1 2 2 2 7 2 2 3 5 2 2" xfId="11287"/>
    <cellStyle name="Heading 1 2 2 2 7 2 2 3 5 3" xfId="11288"/>
    <cellStyle name="Heading 1 2 2 2 7 2 2 3 6" xfId="11289"/>
    <cellStyle name="Heading 1 2 2 2 7 2 2 3 6 2" xfId="11290"/>
    <cellStyle name="Heading 1 2 2 2 7 2 2 3 6 2 2" xfId="11291"/>
    <cellStyle name="Heading 1 2 2 2 7 2 2 3 6 3" xfId="11292"/>
    <cellStyle name="Heading 1 2 2 2 7 2 2 3 7" xfId="11293"/>
    <cellStyle name="Heading 1 2 2 2 7 2 2 3 7 2" xfId="11294"/>
    <cellStyle name="Heading 1 2 2 2 7 2 2 3 7 2 2" xfId="11295"/>
    <cellStyle name="Heading 1 2 2 2 7 2 2 3 7 3" xfId="11296"/>
    <cellStyle name="Heading 1 2 2 2 7 2 2 3 8" xfId="11297"/>
    <cellStyle name="Heading 1 2 2 2 7 2 2 3 8 2" xfId="11298"/>
    <cellStyle name="Heading 1 2 2 2 7 2 2 3 9" xfId="11299"/>
    <cellStyle name="Heading 1 2 2 2 7 2 2 4" xfId="11300"/>
    <cellStyle name="Heading 1 2 2 2 7 2 2 4 2" xfId="11301"/>
    <cellStyle name="Heading 1 2 2 2 7 2 2 4 2 2" xfId="11302"/>
    <cellStyle name="Heading 1 2 2 2 7 2 2 4 2 2 2" xfId="11303"/>
    <cellStyle name="Heading 1 2 2 2 7 2 2 4 2 3" xfId="11304"/>
    <cellStyle name="Heading 1 2 2 2 7 2 2 4 3" xfId="11305"/>
    <cellStyle name="Heading 1 2 2 2 7 2 2 4 3 2" xfId="11306"/>
    <cellStyle name="Heading 1 2 2 2 7 2 2 4 3 2 2" xfId="11307"/>
    <cellStyle name="Heading 1 2 2 2 7 2 2 4 3 3" xfId="11308"/>
    <cellStyle name="Heading 1 2 2 2 7 2 2 4 4" xfId="11309"/>
    <cellStyle name="Heading 1 2 2 2 7 2 2 4 4 2" xfId="11310"/>
    <cellStyle name="Heading 1 2 2 2 7 2 2 4 4 2 2" xfId="11311"/>
    <cellStyle name="Heading 1 2 2 2 7 2 2 4 4 3" xfId="11312"/>
    <cellStyle name="Heading 1 2 2 2 7 2 2 4 5" xfId="11313"/>
    <cellStyle name="Heading 1 2 2 2 7 2 2 4 5 2" xfId="11314"/>
    <cellStyle name="Heading 1 2 2 2 7 2 2 4 5 2 2" xfId="11315"/>
    <cellStyle name="Heading 1 2 2 2 7 2 2 4 5 3" xfId="11316"/>
    <cellStyle name="Heading 1 2 2 2 7 2 2 4 6" xfId="11317"/>
    <cellStyle name="Heading 1 2 2 2 7 2 2 4 6 2" xfId="11318"/>
    <cellStyle name="Heading 1 2 2 2 7 2 2 4 6 2 2" xfId="11319"/>
    <cellStyle name="Heading 1 2 2 2 7 2 2 4 6 3" xfId="11320"/>
    <cellStyle name="Heading 1 2 2 2 7 2 2 4 7" xfId="11321"/>
    <cellStyle name="Heading 1 2 2 2 7 2 2 4 7 2" xfId="11322"/>
    <cellStyle name="Heading 1 2 2 2 7 2 2 4 7 2 2" xfId="11323"/>
    <cellStyle name="Heading 1 2 2 2 7 2 2 4 7 3" xfId="11324"/>
    <cellStyle name="Heading 1 2 2 2 7 2 2 4 8" xfId="11325"/>
    <cellStyle name="Heading 1 2 2 2 7 2 2 4 8 2" xfId="11326"/>
    <cellStyle name="Heading 1 2 2 2 7 2 2 4 9" xfId="11327"/>
    <cellStyle name="Heading 1 2 2 2 7 2 2 5" xfId="11328"/>
    <cellStyle name="Heading 1 2 2 2 7 2 2 5 2" xfId="11329"/>
    <cellStyle name="Heading 1 2 2 2 7 2 2 5 2 2" xfId="11330"/>
    <cellStyle name="Heading 1 2 2 2 7 2 2 5 2 2 2" xfId="11331"/>
    <cellStyle name="Heading 1 2 2 2 7 2 2 5 2 3" xfId="11332"/>
    <cellStyle name="Heading 1 2 2 2 7 2 2 5 3" xfId="11333"/>
    <cellStyle name="Heading 1 2 2 2 7 2 2 5 3 2" xfId="11334"/>
    <cellStyle name="Heading 1 2 2 2 7 2 2 5 3 2 2" xfId="11335"/>
    <cellStyle name="Heading 1 2 2 2 7 2 2 5 3 3" xfId="11336"/>
    <cellStyle name="Heading 1 2 2 2 7 2 2 5 4" xfId="11337"/>
    <cellStyle name="Heading 1 2 2 2 7 2 2 5 4 2" xfId="11338"/>
    <cellStyle name="Heading 1 2 2 2 7 2 2 5 4 2 2" xfId="11339"/>
    <cellStyle name="Heading 1 2 2 2 7 2 2 5 4 3" xfId="11340"/>
    <cellStyle name="Heading 1 2 2 2 7 2 2 5 5" xfId="11341"/>
    <cellStyle name="Heading 1 2 2 2 7 2 2 5 5 2" xfId="11342"/>
    <cellStyle name="Heading 1 2 2 2 7 2 2 5 5 2 2" xfId="11343"/>
    <cellStyle name="Heading 1 2 2 2 7 2 2 5 5 3" xfId="11344"/>
    <cellStyle name="Heading 1 2 2 2 7 2 2 5 6" xfId="11345"/>
    <cellStyle name="Heading 1 2 2 2 7 2 2 5 6 2" xfId="11346"/>
    <cellStyle name="Heading 1 2 2 2 7 2 2 5 6 2 2" xfId="11347"/>
    <cellStyle name="Heading 1 2 2 2 7 2 2 5 6 3" xfId="11348"/>
    <cellStyle name="Heading 1 2 2 2 7 2 2 5 7" xfId="11349"/>
    <cellStyle name="Heading 1 2 2 2 7 2 2 5 7 2" xfId="11350"/>
    <cellStyle name="Heading 1 2 2 2 7 2 2 5 7 2 2" xfId="11351"/>
    <cellStyle name="Heading 1 2 2 2 7 2 2 5 7 3" xfId="11352"/>
    <cellStyle name="Heading 1 2 2 2 7 2 2 5 8" xfId="11353"/>
    <cellStyle name="Heading 1 2 2 2 7 2 2 5 8 2" xfId="11354"/>
    <cellStyle name="Heading 1 2 2 2 7 2 2 5 9" xfId="11355"/>
    <cellStyle name="Heading 1 2 2 2 7 2 2 6" xfId="11356"/>
    <cellStyle name="Heading 1 2 2 2 7 2 2 6 2" xfId="11357"/>
    <cellStyle name="Heading 1 2 2 2 7 2 2 6 2 2" xfId="11358"/>
    <cellStyle name="Heading 1 2 2 2 7 2 2 6 2 2 2" xfId="11359"/>
    <cellStyle name="Heading 1 2 2 2 7 2 2 6 2 3" xfId="11360"/>
    <cellStyle name="Heading 1 2 2 2 7 2 2 6 3" xfId="11361"/>
    <cellStyle name="Heading 1 2 2 2 7 2 2 6 3 2" xfId="11362"/>
    <cellStyle name="Heading 1 2 2 2 7 2 2 6 3 2 2" xfId="11363"/>
    <cellStyle name="Heading 1 2 2 2 7 2 2 6 3 3" xfId="11364"/>
    <cellStyle name="Heading 1 2 2 2 7 2 2 6 4" xfId="11365"/>
    <cellStyle name="Heading 1 2 2 2 7 2 2 6 4 2" xfId="11366"/>
    <cellStyle name="Heading 1 2 2 2 7 2 2 6 4 2 2" xfId="11367"/>
    <cellStyle name="Heading 1 2 2 2 7 2 2 6 4 3" xfId="11368"/>
    <cellStyle name="Heading 1 2 2 2 7 2 2 6 5" xfId="11369"/>
    <cellStyle name="Heading 1 2 2 2 7 2 2 6 5 2" xfId="11370"/>
    <cellStyle name="Heading 1 2 2 2 7 2 2 6 5 2 2" xfId="11371"/>
    <cellStyle name="Heading 1 2 2 2 7 2 2 6 5 3" xfId="11372"/>
    <cellStyle name="Heading 1 2 2 2 7 2 2 6 6" xfId="11373"/>
    <cellStyle name="Heading 1 2 2 2 7 2 2 6 6 2" xfId="11374"/>
    <cellStyle name="Heading 1 2 2 2 7 2 2 6 6 2 2" xfId="11375"/>
    <cellStyle name="Heading 1 2 2 2 7 2 2 6 6 3" xfId="11376"/>
    <cellStyle name="Heading 1 2 2 2 7 2 2 6 7" xfId="11377"/>
    <cellStyle name="Heading 1 2 2 2 7 2 2 6 7 2" xfId="11378"/>
    <cellStyle name="Heading 1 2 2 2 7 2 2 6 7 2 2" xfId="11379"/>
    <cellStyle name="Heading 1 2 2 2 7 2 2 6 7 3" xfId="11380"/>
    <cellStyle name="Heading 1 2 2 2 7 2 2 6 8" xfId="11381"/>
    <cellStyle name="Heading 1 2 2 2 7 2 2 6 8 2" xfId="11382"/>
    <cellStyle name="Heading 1 2 2 2 7 2 2 6 9" xfId="11383"/>
    <cellStyle name="Heading 1 2 2 2 7 2 2 7" xfId="11384"/>
    <cellStyle name="Heading 1 2 2 2 7 2 2 7 2" xfId="11385"/>
    <cellStyle name="Heading 1 2 2 2 7 2 2 7 2 2" xfId="11386"/>
    <cellStyle name="Heading 1 2 2 2 7 2 2 7 2 2 2" xfId="11387"/>
    <cellStyle name="Heading 1 2 2 2 7 2 2 7 2 3" xfId="11388"/>
    <cellStyle name="Heading 1 2 2 2 7 2 2 7 3" xfId="11389"/>
    <cellStyle name="Heading 1 2 2 2 7 2 2 7 3 2" xfId="11390"/>
    <cellStyle name="Heading 1 2 2 2 7 2 2 7 3 2 2" xfId="11391"/>
    <cellStyle name="Heading 1 2 2 2 7 2 2 7 3 3" xfId="11392"/>
    <cellStyle name="Heading 1 2 2 2 7 2 2 7 4" xfId="11393"/>
    <cellStyle name="Heading 1 2 2 2 7 2 2 7 4 2" xfId="11394"/>
    <cellStyle name="Heading 1 2 2 2 7 2 2 7 4 2 2" xfId="11395"/>
    <cellStyle name="Heading 1 2 2 2 7 2 2 7 4 3" xfId="11396"/>
    <cellStyle name="Heading 1 2 2 2 7 2 2 7 5" xfId="11397"/>
    <cellStyle name="Heading 1 2 2 2 7 2 2 7 5 2" xfId="11398"/>
    <cellStyle name="Heading 1 2 2 2 7 2 2 7 5 2 2" xfId="11399"/>
    <cellStyle name="Heading 1 2 2 2 7 2 2 7 5 3" xfId="11400"/>
    <cellStyle name="Heading 1 2 2 2 7 2 2 7 6" xfId="11401"/>
    <cellStyle name="Heading 1 2 2 2 7 2 2 7 6 2" xfId="11402"/>
    <cellStyle name="Heading 1 2 2 2 7 2 2 7 6 2 2" xfId="11403"/>
    <cellStyle name="Heading 1 2 2 2 7 2 2 7 6 3" xfId="11404"/>
    <cellStyle name="Heading 1 2 2 2 7 2 2 7 7" xfId="11405"/>
    <cellStyle name="Heading 1 2 2 2 7 2 2 7 7 2" xfId="11406"/>
    <cellStyle name="Heading 1 2 2 2 7 2 2 7 7 2 2" xfId="11407"/>
    <cellStyle name="Heading 1 2 2 2 7 2 2 7 7 3" xfId="11408"/>
    <cellStyle name="Heading 1 2 2 2 7 2 2 7 8" xfId="11409"/>
    <cellStyle name="Heading 1 2 2 2 7 2 2 7 8 2" xfId="11410"/>
    <cellStyle name="Heading 1 2 2 2 7 2 2 7 9" xfId="11411"/>
    <cellStyle name="Heading 1 2 2 2 7 2 2 8" xfId="11412"/>
    <cellStyle name="Heading 1 2 2 2 7 2 2 8 2" xfId="11413"/>
    <cellStyle name="Heading 1 2 2 2 7 2 2 8 2 2" xfId="11414"/>
    <cellStyle name="Heading 1 2 2 2 7 2 2 8 2 2 2" xfId="11415"/>
    <cellStyle name="Heading 1 2 2 2 7 2 2 8 2 3" xfId="11416"/>
    <cellStyle name="Heading 1 2 2 2 7 2 2 8 3" xfId="11417"/>
    <cellStyle name="Heading 1 2 2 2 7 2 2 8 3 2" xfId="11418"/>
    <cellStyle name="Heading 1 2 2 2 7 2 2 8 3 2 2" xfId="11419"/>
    <cellStyle name="Heading 1 2 2 2 7 2 2 8 3 3" xfId="11420"/>
    <cellStyle name="Heading 1 2 2 2 7 2 2 8 4" xfId="11421"/>
    <cellStyle name="Heading 1 2 2 2 7 2 2 8 4 2" xfId="11422"/>
    <cellStyle name="Heading 1 2 2 2 7 2 2 8 4 2 2" xfId="11423"/>
    <cellStyle name="Heading 1 2 2 2 7 2 2 8 4 3" xfId="11424"/>
    <cellStyle name="Heading 1 2 2 2 7 2 2 8 5" xfId="11425"/>
    <cellStyle name="Heading 1 2 2 2 7 2 2 8 5 2" xfId="11426"/>
    <cellStyle name="Heading 1 2 2 2 7 2 2 8 5 2 2" xfId="11427"/>
    <cellStyle name="Heading 1 2 2 2 7 2 2 8 5 3" xfId="11428"/>
    <cellStyle name="Heading 1 2 2 2 7 2 2 8 6" xfId="11429"/>
    <cellStyle name="Heading 1 2 2 2 7 2 2 8 6 2" xfId="11430"/>
    <cellStyle name="Heading 1 2 2 2 7 2 2 8 6 2 2" xfId="11431"/>
    <cellStyle name="Heading 1 2 2 2 7 2 2 8 6 3" xfId="11432"/>
    <cellStyle name="Heading 1 2 2 2 7 2 2 8 7" xfId="11433"/>
    <cellStyle name="Heading 1 2 2 2 7 2 2 8 7 2" xfId="11434"/>
    <cellStyle name="Heading 1 2 2 2 7 2 2 8 7 2 2" xfId="11435"/>
    <cellStyle name="Heading 1 2 2 2 7 2 2 8 7 3" xfId="11436"/>
    <cellStyle name="Heading 1 2 2 2 7 2 2 8 8" xfId="11437"/>
    <cellStyle name="Heading 1 2 2 2 7 2 2 8 8 2" xfId="11438"/>
    <cellStyle name="Heading 1 2 2 2 7 2 2 8 9" xfId="11439"/>
    <cellStyle name="Heading 1 2 2 2 7 2 2 9" xfId="11440"/>
    <cellStyle name="Heading 1 2 2 2 7 2 2 9 2" xfId="11441"/>
    <cellStyle name="Heading 1 2 2 2 7 2 2 9 2 2" xfId="11442"/>
    <cellStyle name="Heading 1 2 2 2 7 2 2 9 3" xfId="11443"/>
    <cellStyle name="Heading 1 2 2 2 7 2 20" xfId="11444"/>
    <cellStyle name="Heading 1 2 2 2 7 2 20 2" xfId="11445"/>
    <cellStyle name="Heading 1 2 2 2 7 2 21" xfId="11446"/>
    <cellStyle name="Heading 1 2 2 2 7 2 21 2" xfId="11447"/>
    <cellStyle name="Heading 1 2 2 2 7 2 22" xfId="11448"/>
    <cellStyle name="Heading 1 2 2 2 7 2 22 2" xfId="11449"/>
    <cellStyle name="Heading 1 2 2 2 7 2 23" xfId="11450"/>
    <cellStyle name="Heading 1 2 2 2 7 2 3" xfId="11451"/>
    <cellStyle name="Heading 1 2 2 2 7 2 3 2" xfId="11452"/>
    <cellStyle name="Heading 1 2 2 2 7 2 3 2 2" xfId="11453"/>
    <cellStyle name="Heading 1 2 2 2 7 2 3 2 2 2" xfId="11454"/>
    <cellStyle name="Heading 1 2 2 2 7 2 3 2 3" xfId="11455"/>
    <cellStyle name="Heading 1 2 2 2 7 2 3 3" xfId="11456"/>
    <cellStyle name="Heading 1 2 2 2 7 2 3 3 2" xfId="11457"/>
    <cellStyle name="Heading 1 2 2 2 7 2 3 3 2 2" xfId="11458"/>
    <cellStyle name="Heading 1 2 2 2 7 2 3 3 3" xfId="11459"/>
    <cellStyle name="Heading 1 2 2 2 7 2 3 4" xfId="11460"/>
    <cellStyle name="Heading 1 2 2 2 7 2 3 4 2" xfId="11461"/>
    <cellStyle name="Heading 1 2 2 2 7 2 3 4 2 2" xfId="11462"/>
    <cellStyle name="Heading 1 2 2 2 7 2 3 4 3" xfId="11463"/>
    <cellStyle name="Heading 1 2 2 2 7 2 3 5" xfId="11464"/>
    <cellStyle name="Heading 1 2 2 2 7 2 3 5 2" xfId="11465"/>
    <cellStyle name="Heading 1 2 2 2 7 2 3 5 2 2" xfId="11466"/>
    <cellStyle name="Heading 1 2 2 2 7 2 3 5 3" xfId="11467"/>
    <cellStyle name="Heading 1 2 2 2 7 2 3 6" xfId="11468"/>
    <cellStyle name="Heading 1 2 2 2 7 2 3 6 2" xfId="11469"/>
    <cellStyle name="Heading 1 2 2 2 7 2 3 6 2 2" xfId="11470"/>
    <cellStyle name="Heading 1 2 2 2 7 2 3 6 3" xfId="11471"/>
    <cellStyle name="Heading 1 2 2 2 7 2 3 7" xfId="11472"/>
    <cellStyle name="Heading 1 2 2 2 7 2 3 7 2" xfId="11473"/>
    <cellStyle name="Heading 1 2 2 2 7 2 3 7 2 2" xfId="11474"/>
    <cellStyle name="Heading 1 2 2 2 7 2 3 7 3" xfId="11475"/>
    <cellStyle name="Heading 1 2 2 2 7 2 3 8" xfId="11476"/>
    <cellStyle name="Heading 1 2 2 2 7 2 3 8 2" xfId="11477"/>
    <cellStyle name="Heading 1 2 2 2 7 2 3 9" xfId="11478"/>
    <cellStyle name="Heading 1 2 2 2 7 2 4" xfId="11479"/>
    <cellStyle name="Heading 1 2 2 2 7 2 4 2" xfId="11480"/>
    <cellStyle name="Heading 1 2 2 2 7 2 4 2 2" xfId="11481"/>
    <cellStyle name="Heading 1 2 2 2 7 2 4 2 2 2" xfId="11482"/>
    <cellStyle name="Heading 1 2 2 2 7 2 4 2 3" xfId="11483"/>
    <cellStyle name="Heading 1 2 2 2 7 2 4 3" xfId="11484"/>
    <cellStyle name="Heading 1 2 2 2 7 2 4 3 2" xfId="11485"/>
    <cellStyle name="Heading 1 2 2 2 7 2 4 3 2 2" xfId="11486"/>
    <cellStyle name="Heading 1 2 2 2 7 2 4 3 3" xfId="11487"/>
    <cellStyle name="Heading 1 2 2 2 7 2 4 4" xfId="11488"/>
    <cellStyle name="Heading 1 2 2 2 7 2 4 4 2" xfId="11489"/>
    <cellStyle name="Heading 1 2 2 2 7 2 4 4 2 2" xfId="11490"/>
    <cellStyle name="Heading 1 2 2 2 7 2 4 4 3" xfId="11491"/>
    <cellStyle name="Heading 1 2 2 2 7 2 4 5" xfId="11492"/>
    <cellStyle name="Heading 1 2 2 2 7 2 4 5 2" xfId="11493"/>
    <cellStyle name="Heading 1 2 2 2 7 2 4 5 2 2" xfId="11494"/>
    <cellStyle name="Heading 1 2 2 2 7 2 4 5 3" xfId="11495"/>
    <cellStyle name="Heading 1 2 2 2 7 2 4 6" xfId="11496"/>
    <cellStyle name="Heading 1 2 2 2 7 2 4 6 2" xfId="11497"/>
    <cellStyle name="Heading 1 2 2 2 7 2 4 6 2 2" xfId="11498"/>
    <cellStyle name="Heading 1 2 2 2 7 2 4 6 3" xfId="11499"/>
    <cellStyle name="Heading 1 2 2 2 7 2 4 7" xfId="11500"/>
    <cellStyle name="Heading 1 2 2 2 7 2 4 7 2" xfId="11501"/>
    <cellStyle name="Heading 1 2 2 2 7 2 4 7 2 2" xfId="11502"/>
    <cellStyle name="Heading 1 2 2 2 7 2 4 7 3" xfId="11503"/>
    <cellStyle name="Heading 1 2 2 2 7 2 4 8" xfId="11504"/>
    <cellStyle name="Heading 1 2 2 2 7 2 4 8 2" xfId="11505"/>
    <cellStyle name="Heading 1 2 2 2 7 2 4 9" xfId="11506"/>
    <cellStyle name="Heading 1 2 2 2 7 2 5" xfId="11507"/>
    <cellStyle name="Heading 1 2 2 2 7 2 5 2" xfId="11508"/>
    <cellStyle name="Heading 1 2 2 2 7 2 5 2 2" xfId="11509"/>
    <cellStyle name="Heading 1 2 2 2 7 2 5 2 2 2" xfId="11510"/>
    <cellStyle name="Heading 1 2 2 2 7 2 5 2 3" xfId="11511"/>
    <cellStyle name="Heading 1 2 2 2 7 2 5 3" xfId="11512"/>
    <cellStyle name="Heading 1 2 2 2 7 2 5 3 2" xfId="11513"/>
    <cellStyle name="Heading 1 2 2 2 7 2 5 3 2 2" xfId="11514"/>
    <cellStyle name="Heading 1 2 2 2 7 2 5 3 3" xfId="11515"/>
    <cellStyle name="Heading 1 2 2 2 7 2 5 4" xfId="11516"/>
    <cellStyle name="Heading 1 2 2 2 7 2 5 4 2" xfId="11517"/>
    <cellStyle name="Heading 1 2 2 2 7 2 5 4 2 2" xfId="11518"/>
    <cellStyle name="Heading 1 2 2 2 7 2 5 4 3" xfId="11519"/>
    <cellStyle name="Heading 1 2 2 2 7 2 5 5" xfId="11520"/>
    <cellStyle name="Heading 1 2 2 2 7 2 5 5 2" xfId="11521"/>
    <cellStyle name="Heading 1 2 2 2 7 2 5 5 2 2" xfId="11522"/>
    <cellStyle name="Heading 1 2 2 2 7 2 5 5 3" xfId="11523"/>
    <cellStyle name="Heading 1 2 2 2 7 2 5 6" xfId="11524"/>
    <cellStyle name="Heading 1 2 2 2 7 2 5 6 2" xfId="11525"/>
    <cellStyle name="Heading 1 2 2 2 7 2 5 6 2 2" xfId="11526"/>
    <cellStyle name="Heading 1 2 2 2 7 2 5 6 3" xfId="11527"/>
    <cellStyle name="Heading 1 2 2 2 7 2 5 7" xfId="11528"/>
    <cellStyle name="Heading 1 2 2 2 7 2 5 7 2" xfId="11529"/>
    <cellStyle name="Heading 1 2 2 2 7 2 5 7 2 2" xfId="11530"/>
    <cellStyle name="Heading 1 2 2 2 7 2 5 7 3" xfId="11531"/>
    <cellStyle name="Heading 1 2 2 2 7 2 5 8" xfId="11532"/>
    <cellStyle name="Heading 1 2 2 2 7 2 5 8 2" xfId="11533"/>
    <cellStyle name="Heading 1 2 2 2 7 2 5 9" xfId="11534"/>
    <cellStyle name="Heading 1 2 2 2 7 2 6" xfId="11535"/>
    <cellStyle name="Heading 1 2 2 2 7 2 6 2" xfId="11536"/>
    <cellStyle name="Heading 1 2 2 2 7 2 6 2 2" xfId="11537"/>
    <cellStyle name="Heading 1 2 2 2 7 2 6 2 2 2" xfId="11538"/>
    <cellStyle name="Heading 1 2 2 2 7 2 6 2 3" xfId="11539"/>
    <cellStyle name="Heading 1 2 2 2 7 2 6 3" xfId="11540"/>
    <cellStyle name="Heading 1 2 2 2 7 2 6 3 2" xfId="11541"/>
    <cellStyle name="Heading 1 2 2 2 7 2 6 3 2 2" xfId="11542"/>
    <cellStyle name="Heading 1 2 2 2 7 2 6 3 3" xfId="11543"/>
    <cellStyle name="Heading 1 2 2 2 7 2 6 4" xfId="11544"/>
    <cellStyle name="Heading 1 2 2 2 7 2 6 4 2" xfId="11545"/>
    <cellStyle name="Heading 1 2 2 2 7 2 6 4 2 2" xfId="11546"/>
    <cellStyle name="Heading 1 2 2 2 7 2 6 4 3" xfId="11547"/>
    <cellStyle name="Heading 1 2 2 2 7 2 6 5" xfId="11548"/>
    <cellStyle name="Heading 1 2 2 2 7 2 6 5 2" xfId="11549"/>
    <cellStyle name="Heading 1 2 2 2 7 2 6 5 2 2" xfId="11550"/>
    <cellStyle name="Heading 1 2 2 2 7 2 6 5 3" xfId="11551"/>
    <cellStyle name="Heading 1 2 2 2 7 2 6 6" xfId="11552"/>
    <cellStyle name="Heading 1 2 2 2 7 2 6 6 2" xfId="11553"/>
    <cellStyle name="Heading 1 2 2 2 7 2 6 6 2 2" xfId="11554"/>
    <cellStyle name="Heading 1 2 2 2 7 2 6 6 3" xfId="11555"/>
    <cellStyle name="Heading 1 2 2 2 7 2 6 7" xfId="11556"/>
    <cellStyle name="Heading 1 2 2 2 7 2 6 7 2" xfId="11557"/>
    <cellStyle name="Heading 1 2 2 2 7 2 6 7 2 2" xfId="11558"/>
    <cellStyle name="Heading 1 2 2 2 7 2 6 7 3" xfId="11559"/>
    <cellStyle name="Heading 1 2 2 2 7 2 6 8" xfId="11560"/>
    <cellStyle name="Heading 1 2 2 2 7 2 6 8 2" xfId="11561"/>
    <cellStyle name="Heading 1 2 2 2 7 2 6 9" xfId="11562"/>
    <cellStyle name="Heading 1 2 2 2 7 2 7" xfId="11563"/>
    <cellStyle name="Heading 1 2 2 2 7 2 7 2" xfId="11564"/>
    <cellStyle name="Heading 1 2 2 2 7 2 7 2 2" xfId="11565"/>
    <cellStyle name="Heading 1 2 2 2 7 2 7 2 2 2" xfId="11566"/>
    <cellStyle name="Heading 1 2 2 2 7 2 7 2 3" xfId="11567"/>
    <cellStyle name="Heading 1 2 2 2 7 2 7 3" xfId="11568"/>
    <cellStyle name="Heading 1 2 2 2 7 2 7 3 2" xfId="11569"/>
    <cellStyle name="Heading 1 2 2 2 7 2 7 3 2 2" xfId="11570"/>
    <cellStyle name="Heading 1 2 2 2 7 2 7 3 3" xfId="11571"/>
    <cellStyle name="Heading 1 2 2 2 7 2 7 4" xfId="11572"/>
    <cellStyle name="Heading 1 2 2 2 7 2 7 4 2" xfId="11573"/>
    <cellStyle name="Heading 1 2 2 2 7 2 7 4 2 2" xfId="11574"/>
    <cellStyle name="Heading 1 2 2 2 7 2 7 4 3" xfId="11575"/>
    <cellStyle name="Heading 1 2 2 2 7 2 7 5" xfId="11576"/>
    <cellStyle name="Heading 1 2 2 2 7 2 7 5 2" xfId="11577"/>
    <cellStyle name="Heading 1 2 2 2 7 2 7 5 2 2" xfId="11578"/>
    <cellStyle name="Heading 1 2 2 2 7 2 7 5 3" xfId="11579"/>
    <cellStyle name="Heading 1 2 2 2 7 2 7 6" xfId="11580"/>
    <cellStyle name="Heading 1 2 2 2 7 2 7 6 2" xfId="11581"/>
    <cellStyle name="Heading 1 2 2 2 7 2 7 6 2 2" xfId="11582"/>
    <cellStyle name="Heading 1 2 2 2 7 2 7 6 3" xfId="11583"/>
    <cellStyle name="Heading 1 2 2 2 7 2 7 7" xfId="11584"/>
    <cellStyle name="Heading 1 2 2 2 7 2 7 7 2" xfId="11585"/>
    <cellStyle name="Heading 1 2 2 2 7 2 7 7 2 2" xfId="11586"/>
    <cellStyle name="Heading 1 2 2 2 7 2 7 7 3" xfId="11587"/>
    <cellStyle name="Heading 1 2 2 2 7 2 7 8" xfId="11588"/>
    <cellStyle name="Heading 1 2 2 2 7 2 7 8 2" xfId="11589"/>
    <cellStyle name="Heading 1 2 2 2 7 2 7 9" xfId="11590"/>
    <cellStyle name="Heading 1 2 2 2 7 2 8" xfId="11591"/>
    <cellStyle name="Heading 1 2 2 2 7 2 8 2" xfId="11592"/>
    <cellStyle name="Heading 1 2 2 2 7 2 8 2 2" xfId="11593"/>
    <cellStyle name="Heading 1 2 2 2 7 2 8 2 2 2" xfId="11594"/>
    <cellStyle name="Heading 1 2 2 2 7 2 8 2 3" xfId="11595"/>
    <cellStyle name="Heading 1 2 2 2 7 2 8 3" xfId="11596"/>
    <cellStyle name="Heading 1 2 2 2 7 2 8 3 2" xfId="11597"/>
    <cellStyle name="Heading 1 2 2 2 7 2 8 3 2 2" xfId="11598"/>
    <cellStyle name="Heading 1 2 2 2 7 2 8 3 3" xfId="11599"/>
    <cellStyle name="Heading 1 2 2 2 7 2 8 4" xfId="11600"/>
    <cellStyle name="Heading 1 2 2 2 7 2 8 4 2" xfId="11601"/>
    <cellStyle name="Heading 1 2 2 2 7 2 8 4 2 2" xfId="11602"/>
    <cellStyle name="Heading 1 2 2 2 7 2 8 4 3" xfId="11603"/>
    <cellStyle name="Heading 1 2 2 2 7 2 8 5" xfId="11604"/>
    <cellStyle name="Heading 1 2 2 2 7 2 8 5 2" xfId="11605"/>
    <cellStyle name="Heading 1 2 2 2 7 2 8 5 2 2" xfId="11606"/>
    <cellStyle name="Heading 1 2 2 2 7 2 8 5 3" xfId="11607"/>
    <cellStyle name="Heading 1 2 2 2 7 2 8 6" xfId="11608"/>
    <cellStyle name="Heading 1 2 2 2 7 2 8 6 2" xfId="11609"/>
    <cellStyle name="Heading 1 2 2 2 7 2 8 6 2 2" xfId="11610"/>
    <cellStyle name="Heading 1 2 2 2 7 2 8 6 3" xfId="11611"/>
    <cellStyle name="Heading 1 2 2 2 7 2 8 7" xfId="11612"/>
    <cellStyle name="Heading 1 2 2 2 7 2 8 7 2" xfId="11613"/>
    <cellStyle name="Heading 1 2 2 2 7 2 8 7 2 2" xfId="11614"/>
    <cellStyle name="Heading 1 2 2 2 7 2 8 7 3" xfId="11615"/>
    <cellStyle name="Heading 1 2 2 2 7 2 8 8" xfId="11616"/>
    <cellStyle name="Heading 1 2 2 2 7 2 8 8 2" xfId="11617"/>
    <cellStyle name="Heading 1 2 2 2 7 2 8 9" xfId="11618"/>
    <cellStyle name="Heading 1 2 2 2 7 2 9" xfId="11619"/>
    <cellStyle name="Heading 1 2 2 2 7 2 9 2" xfId="11620"/>
    <cellStyle name="Heading 1 2 2 2 7 2 9 2 2" xfId="11621"/>
    <cellStyle name="Heading 1 2 2 2 7 2 9 2 2 2" xfId="11622"/>
    <cellStyle name="Heading 1 2 2 2 7 2 9 2 3" xfId="11623"/>
    <cellStyle name="Heading 1 2 2 2 7 2 9 3" xfId="11624"/>
    <cellStyle name="Heading 1 2 2 2 7 2 9 3 2" xfId="11625"/>
    <cellStyle name="Heading 1 2 2 2 7 2 9 3 2 2" xfId="11626"/>
    <cellStyle name="Heading 1 2 2 2 7 2 9 3 3" xfId="11627"/>
    <cellStyle name="Heading 1 2 2 2 7 2 9 4" xfId="11628"/>
    <cellStyle name="Heading 1 2 2 2 7 2 9 4 2" xfId="11629"/>
    <cellStyle name="Heading 1 2 2 2 7 2 9 4 2 2" xfId="11630"/>
    <cellStyle name="Heading 1 2 2 2 7 2 9 4 3" xfId="11631"/>
    <cellStyle name="Heading 1 2 2 2 7 2 9 5" xfId="11632"/>
    <cellStyle name="Heading 1 2 2 2 7 2 9 5 2" xfId="11633"/>
    <cellStyle name="Heading 1 2 2 2 7 2 9 5 2 2" xfId="11634"/>
    <cellStyle name="Heading 1 2 2 2 7 2 9 5 3" xfId="11635"/>
    <cellStyle name="Heading 1 2 2 2 7 2 9 6" xfId="11636"/>
    <cellStyle name="Heading 1 2 2 2 7 2 9 6 2" xfId="11637"/>
    <cellStyle name="Heading 1 2 2 2 7 2 9 6 2 2" xfId="11638"/>
    <cellStyle name="Heading 1 2 2 2 7 2 9 6 3" xfId="11639"/>
    <cellStyle name="Heading 1 2 2 2 7 2 9 7" xfId="11640"/>
    <cellStyle name="Heading 1 2 2 2 7 2 9 7 2" xfId="11641"/>
    <cellStyle name="Heading 1 2 2 2 7 2 9 7 2 2" xfId="11642"/>
    <cellStyle name="Heading 1 2 2 2 7 2 9 7 3" xfId="11643"/>
    <cellStyle name="Heading 1 2 2 2 7 2 9 8" xfId="11644"/>
    <cellStyle name="Heading 1 2 2 2 7 2 9 8 2" xfId="11645"/>
    <cellStyle name="Heading 1 2 2 2 7 2 9 9" xfId="11646"/>
    <cellStyle name="Heading 1 2 2 2 7 3" xfId="11647"/>
    <cellStyle name="Heading 1 2 2 2 7 3 10" xfId="11648"/>
    <cellStyle name="Heading 1 2 2 2 7 3 10 2" xfId="11649"/>
    <cellStyle name="Heading 1 2 2 2 7 3 10 2 2" xfId="11650"/>
    <cellStyle name="Heading 1 2 2 2 7 3 10 3" xfId="11651"/>
    <cellStyle name="Heading 1 2 2 2 7 3 11" xfId="11652"/>
    <cellStyle name="Heading 1 2 2 2 7 3 11 2" xfId="11653"/>
    <cellStyle name="Heading 1 2 2 2 7 3 11 2 2" xfId="11654"/>
    <cellStyle name="Heading 1 2 2 2 7 3 11 3" xfId="11655"/>
    <cellStyle name="Heading 1 2 2 2 7 3 12" xfId="11656"/>
    <cellStyle name="Heading 1 2 2 2 7 3 12 2" xfId="11657"/>
    <cellStyle name="Heading 1 2 2 2 7 3 12 2 2" xfId="11658"/>
    <cellStyle name="Heading 1 2 2 2 7 3 12 3" xfId="11659"/>
    <cellStyle name="Heading 1 2 2 2 7 3 13" xfId="11660"/>
    <cellStyle name="Heading 1 2 2 2 7 3 13 2" xfId="11661"/>
    <cellStyle name="Heading 1 2 2 2 7 3 13 2 2" xfId="11662"/>
    <cellStyle name="Heading 1 2 2 2 7 3 13 3" xfId="11663"/>
    <cellStyle name="Heading 1 2 2 2 7 3 14" xfId="11664"/>
    <cellStyle name="Heading 1 2 2 2 7 3 14 2" xfId="11665"/>
    <cellStyle name="Heading 1 2 2 2 7 3 14 2 2" xfId="11666"/>
    <cellStyle name="Heading 1 2 2 2 7 3 14 3" xfId="11667"/>
    <cellStyle name="Heading 1 2 2 2 7 3 15" xfId="11668"/>
    <cellStyle name="Heading 1 2 2 2 7 3 15 2" xfId="11669"/>
    <cellStyle name="Heading 1 2 2 2 7 3 15 2 2" xfId="11670"/>
    <cellStyle name="Heading 1 2 2 2 7 3 15 3" xfId="11671"/>
    <cellStyle name="Heading 1 2 2 2 7 3 16" xfId="11672"/>
    <cellStyle name="Heading 1 2 2 2 7 3 16 2" xfId="11673"/>
    <cellStyle name="Heading 1 2 2 2 7 3 16 2 2" xfId="11674"/>
    <cellStyle name="Heading 1 2 2 2 7 3 16 3" xfId="11675"/>
    <cellStyle name="Heading 1 2 2 2 7 3 17" xfId="11676"/>
    <cellStyle name="Heading 1 2 2 2 7 3 17 2" xfId="11677"/>
    <cellStyle name="Heading 1 2 2 2 7 3 17 2 2" xfId="11678"/>
    <cellStyle name="Heading 1 2 2 2 7 3 17 3" xfId="11679"/>
    <cellStyle name="Heading 1 2 2 2 7 3 18" xfId="11680"/>
    <cellStyle name="Heading 1 2 2 2 7 3 18 2" xfId="11681"/>
    <cellStyle name="Heading 1 2 2 2 7 3 18 2 2" xfId="11682"/>
    <cellStyle name="Heading 1 2 2 2 7 3 18 3" xfId="11683"/>
    <cellStyle name="Heading 1 2 2 2 7 3 19" xfId="11684"/>
    <cellStyle name="Heading 1 2 2 2 7 3 19 2" xfId="11685"/>
    <cellStyle name="Heading 1 2 2 2 7 3 2" xfId="11686"/>
    <cellStyle name="Heading 1 2 2 2 7 3 2 2" xfId="11687"/>
    <cellStyle name="Heading 1 2 2 2 7 3 2 2 2" xfId="11688"/>
    <cellStyle name="Heading 1 2 2 2 7 3 2 2 2 2" xfId="11689"/>
    <cellStyle name="Heading 1 2 2 2 7 3 2 2 3" xfId="11690"/>
    <cellStyle name="Heading 1 2 2 2 7 3 2 3" xfId="11691"/>
    <cellStyle name="Heading 1 2 2 2 7 3 2 3 2" xfId="11692"/>
    <cellStyle name="Heading 1 2 2 2 7 3 2 3 2 2" xfId="11693"/>
    <cellStyle name="Heading 1 2 2 2 7 3 2 3 3" xfId="11694"/>
    <cellStyle name="Heading 1 2 2 2 7 3 2 4" xfId="11695"/>
    <cellStyle name="Heading 1 2 2 2 7 3 2 4 2" xfId="11696"/>
    <cellStyle name="Heading 1 2 2 2 7 3 2 4 2 2" xfId="11697"/>
    <cellStyle name="Heading 1 2 2 2 7 3 2 4 3" xfId="11698"/>
    <cellStyle name="Heading 1 2 2 2 7 3 2 5" xfId="11699"/>
    <cellStyle name="Heading 1 2 2 2 7 3 2 5 2" xfId="11700"/>
    <cellStyle name="Heading 1 2 2 2 7 3 2 5 2 2" xfId="11701"/>
    <cellStyle name="Heading 1 2 2 2 7 3 2 5 3" xfId="11702"/>
    <cellStyle name="Heading 1 2 2 2 7 3 2 6" xfId="11703"/>
    <cellStyle name="Heading 1 2 2 2 7 3 2 6 2" xfId="11704"/>
    <cellStyle name="Heading 1 2 2 2 7 3 2 6 2 2" xfId="11705"/>
    <cellStyle name="Heading 1 2 2 2 7 3 2 6 3" xfId="11706"/>
    <cellStyle name="Heading 1 2 2 2 7 3 2 7" xfId="11707"/>
    <cellStyle name="Heading 1 2 2 2 7 3 2 7 2" xfId="11708"/>
    <cellStyle name="Heading 1 2 2 2 7 3 2 7 2 2" xfId="11709"/>
    <cellStyle name="Heading 1 2 2 2 7 3 2 7 3" xfId="11710"/>
    <cellStyle name="Heading 1 2 2 2 7 3 2 8" xfId="11711"/>
    <cellStyle name="Heading 1 2 2 2 7 3 2 8 2" xfId="11712"/>
    <cellStyle name="Heading 1 2 2 2 7 3 2 9" xfId="11713"/>
    <cellStyle name="Heading 1 2 2 2 7 3 20" xfId="11714"/>
    <cellStyle name="Heading 1 2 2 2 7 3 20 2" xfId="11715"/>
    <cellStyle name="Heading 1 2 2 2 7 3 21" xfId="11716"/>
    <cellStyle name="Heading 1 2 2 2 7 3 21 2" xfId="11717"/>
    <cellStyle name="Heading 1 2 2 2 7 3 22" xfId="11718"/>
    <cellStyle name="Heading 1 2 2 2 7 3 3" xfId="11719"/>
    <cellStyle name="Heading 1 2 2 2 7 3 3 2" xfId="11720"/>
    <cellStyle name="Heading 1 2 2 2 7 3 3 2 2" xfId="11721"/>
    <cellStyle name="Heading 1 2 2 2 7 3 3 2 2 2" xfId="11722"/>
    <cellStyle name="Heading 1 2 2 2 7 3 3 2 3" xfId="11723"/>
    <cellStyle name="Heading 1 2 2 2 7 3 3 3" xfId="11724"/>
    <cellStyle name="Heading 1 2 2 2 7 3 3 3 2" xfId="11725"/>
    <cellStyle name="Heading 1 2 2 2 7 3 3 3 2 2" xfId="11726"/>
    <cellStyle name="Heading 1 2 2 2 7 3 3 3 3" xfId="11727"/>
    <cellStyle name="Heading 1 2 2 2 7 3 3 4" xfId="11728"/>
    <cellStyle name="Heading 1 2 2 2 7 3 3 4 2" xfId="11729"/>
    <cellStyle name="Heading 1 2 2 2 7 3 3 4 2 2" xfId="11730"/>
    <cellStyle name="Heading 1 2 2 2 7 3 3 4 3" xfId="11731"/>
    <cellStyle name="Heading 1 2 2 2 7 3 3 5" xfId="11732"/>
    <cellStyle name="Heading 1 2 2 2 7 3 3 5 2" xfId="11733"/>
    <cellStyle name="Heading 1 2 2 2 7 3 3 5 2 2" xfId="11734"/>
    <cellStyle name="Heading 1 2 2 2 7 3 3 5 3" xfId="11735"/>
    <cellStyle name="Heading 1 2 2 2 7 3 3 6" xfId="11736"/>
    <cellStyle name="Heading 1 2 2 2 7 3 3 6 2" xfId="11737"/>
    <cellStyle name="Heading 1 2 2 2 7 3 3 6 2 2" xfId="11738"/>
    <cellStyle name="Heading 1 2 2 2 7 3 3 6 3" xfId="11739"/>
    <cellStyle name="Heading 1 2 2 2 7 3 3 7" xfId="11740"/>
    <cellStyle name="Heading 1 2 2 2 7 3 3 7 2" xfId="11741"/>
    <cellStyle name="Heading 1 2 2 2 7 3 3 7 2 2" xfId="11742"/>
    <cellStyle name="Heading 1 2 2 2 7 3 3 7 3" xfId="11743"/>
    <cellStyle name="Heading 1 2 2 2 7 3 3 8" xfId="11744"/>
    <cellStyle name="Heading 1 2 2 2 7 3 3 8 2" xfId="11745"/>
    <cellStyle name="Heading 1 2 2 2 7 3 3 9" xfId="11746"/>
    <cellStyle name="Heading 1 2 2 2 7 3 4" xfId="11747"/>
    <cellStyle name="Heading 1 2 2 2 7 3 4 2" xfId="11748"/>
    <cellStyle name="Heading 1 2 2 2 7 3 4 2 2" xfId="11749"/>
    <cellStyle name="Heading 1 2 2 2 7 3 4 2 2 2" xfId="11750"/>
    <cellStyle name="Heading 1 2 2 2 7 3 4 2 3" xfId="11751"/>
    <cellStyle name="Heading 1 2 2 2 7 3 4 3" xfId="11752"/>
    <cellStyle name="Heading 1 2 2 2 7 3 4 3 2" xfId="11753"/>
    <cellStyle name="Heading 1 2 2 2 7 3 4 3 2 2" xfId="11754"/>
    <cellStyle name="Heading 1 2 2 2 7 3 4 3 3" xfId="11755"/>
    <cellStyle name="Heading 1 2 2 2 7 3 4 4" xfId="11756"/>
    <cellStyle name="Heading 1 2 2 2 7 3 4 4 2" xfId="11757"/>
    <cellStyle name="Heading 1 2 2 2 7 3 4 4 2 2" xfId="11758"/>
    <cellStyle name="Heading 1 2 2 2 7 3 4 4 3" xfId="11759"/>
    <cellStyle name="Heading 1 2 2 2 7 3 4 5" xfId="11760"/>
    <cellStyle name="Heading 1 2 2 2 7 3 4 5 2" xfId="11761"/>
    <cellStyle name="Heading 1 2 2 2 7 3 4 5 2 2" xfId="11762"/>
    <cellStyle name="Heading 1 2 2 2 7 3 4 5 3" xfId="11763"/>
    <cellStyle name="Heading 1 2 2 2 7 3 4 6" xfId="11764"/>
    <cellStyle name="Heading 1 2 2 2 7 3 4 6 2" xfId="11765"/>
    <cellStyle name="Heading 1 2 2 2 7 3 4 6 2 2" xfId="11766"/>
    <cellStyle name="Heading 1 2 2 2 7 3 4 6 3" xfId="11767"/>
    <cellStyle name="Heading 1 2 2 2 7 3 4 7" xfId="11768"/>
    <cellStyle name="Heading 1 2 2 2 7 3 4 7 2" xfId="11769"/>
    <cellStyle name="Heading 1 2 2 2 7 3 4 7 2 2" xfId="11770"/>
    <cellStyle name="Heading 1 2 2 2 7 3 4 7 3" xfId="11771"/>
    <cellStyle name="Heading 1 2 2 2 7 3 4 8" xfId="11772"/>
    <cellStyle name="Heading 1 2 2 2 7 3 4 8 2" xfId="11773"/>
    <cellStyle name="Heading 1 2 2 2 7 3 4 9" xfId="11774"/>
    <cellStyle name="Heading 1 2 2 2 7 3 5" xfId="11775"/>
    <cellStyle name="Heading 1 2 2 2 7 3 5 2" xfId="11776"/>
    <cellStyle name="Heading 1 2 2 2 7 3 5 2 2" xfId="11777"/>
    <cellStyle name="Heading 1 2 2 2 7 3 5 2 2 2" xfId="11778"/>
    <cellStyle name="Heading 1 2 2 2 7 3 5 2 3" xfId="11779"/>
    <cellStyle name="Heading 1 2 2 2 7 3 5 3" xfId="11780"/>
    <cellStyle name="Heading 1 2 2 2 7 3 5 3 2" xfId="11781"/>
    <cellStyle name="Heading 1 2 2 2 7 3 5 3 2 2" xfId="11782"/>
    <cellStyle name="Heading 1 2 2 2 7 3 5 3 3" xfId="11783"/>
    <cellStyle name="Heading 1 2 2 2 7 3 5 4" xfId="11784"/>
    <cellStyle name="Heading 1 2 2 2 7 3 5 4 2" xfId="11785"/>
    <cellStyle name="Heading 1 2 2 2 7 3 5 4 2 2" xfId="11786"/>
    <cellStyle name="Heading 1 2 2 2 7 3 5 4 3" xfId="11787"/>
    <cellStyle name="Heading 1 2 2 2 7 3 5 5" xfId="11788"/>
    <cellStyle name="Heading 1 2 2 2 7 3 5 5 2" xfId="11789"/>
    <cellStyle name="Heading 1 2 2 2 7 3 5 5 2 2" xfId="11790"/>
    <cellStyle name="Heading 1 2 2 2 7 3 5 5 3" xfId="11791"/>
    <cellStyle name="Heading 1 2 2 2 7 3 5 6" xfId="11792"/>
    <cellStyle name="Heading 1 2 2 2 7 3 5 6 2" xfId="11793"/>
    <cellStyle name="Heading 1 2 2 2 7 3 5 6 2 2" xfId="11794"/>
    <cellStyle name="Heading 1 2 2 2 7 3 5 6 3" xfId="11795"/>
    <cellStyle name="Heading 1 2 2 2 7 3 5 7" xfId="11796"/>
    <cellStyle name="Heading 1 2 2 2 7 3 5 7 2" xfId="11797"/>
    <cellStyle name="Heading 1 2 2 2 7 3 5 7 2 2" xfId="11798"/>
    <cellStyle name="Heading 1 2 2 2 7 3 5 7 3" xfId="11799"/>
    <cellStyle name="Heading 1 2 2 2 7 3 5 8" xfId="11800"/>
    <cellStyle name="Heading 1 2 2 2 7 3 5 8 2" xfId="11801"/>
    <cellStyle name="Heading 1 2 2 2 7 3 5 9" xfId="11802"/>
    <cellStyle name="Heading 1 2 2 2 7 3 6" xfId="11803"/>
    <cellStyle name="Heading 1 2 2 2 7 3 6 2" xfId="11804"/>
    <cellStyle name="Heading 1 2 2 2 7 3 6 2 2" xfId="11805"/>
    <cellStyle name="Heading 1 2 2 2 7 3 6 2 2 2" xfId="11806"/>
    <cellStyle name="Heading 1 2 2 2 7 3 6 2 3" xfId="11807"/>
    <cellStyle name="Heading 1 2 2 2 7 3 6 3" xfId="11808"/>
    <cellStyle name="Heading 1 2 2 2 7 3 6 3 2" xfId="11809"/>
    <cellStyle name="Heading 1 2 2 2 7 3 6 3 2 2" xfId="11810"/>
    <cellStyle name="Heading 1 2 2 2 7 3 6 3 3" xfId="11811"/>
    <cellStyle name="Heading 1 2 2 2 7 3 6 4" xfId="11812"/>
    <cellStyle name="Heading 1 2 2 2 7 3 6 4 2" xfId="11813"/>
    <cellStyle name="Heading 1 2 2 2 7 3 6 4 2 2" xfId="11814"/>
    <cellStyle name="Heading 1 2 2 2 7 3 6 4 3" xfId="11815"/>
    <cellStyle name="Heading 1 2 2 2 7 3 6 5" xfId="11816"/>
    <cellStyle name="Heading 1 2 2 2 7 3 6 5 2" xfId="11817"/>
    <cellStyle name="Heading 1 2 2 2 7 3 6 5 2 2" xfId="11818"/>
    <cellStyle name="Heading 1 2 2 2 7 3 6 5 3" xfId="11819"/>
    <cellStyle name="Heading 1 2 2 2 7 3 6 6" xfId="11820"/>
    <cellStyle name="Heading 1 2 2 2 7 3 6 6 2" xfId="11821"/>
    <cellStyle name="Heading 1 2 2 2 7 3 6 6 2 2" xfId="11822"/>
    <cellStyle name="Heading 1 2 2 2 7 3 6 6 3" xfId="11823"/>
    <cellStyle name="Heading 1 2 2 2 7 3 6 7" xfId="11824"/>
    <cellStyle name="Heading 1 2 2 2 7 3 6 7 2" xfId="11825"/>
    <cellStyle name="Heading 1 2 2 2 7 3 6 7 2 2" xfId="11826"/>
    <cellStyle name="Heading 1 2 2 2 7 3 6 7 3" xfId="11827"/>
    <cellStyle name="Heading 1 2 2 2 7 3 6 8" xfId="11828"/>
    <cellStyle name="Heading 1 2 2 2 7 3 6 8 2" xfId="11829"/>
    <cellStyle name="Heading 1 2 2 2 7 3 6 9" xfId="11830"/>
    <cellStyle name="Heading 1 2 2 2 7 3 7" xfId="11831"/>
    <cellStyle name="Heading 1 2 2 2 7 3 7 2" xfId="11832"/>
    <cellStyle name="Heading 1 2 2 2 7 3 7 2 2" xfId="11833"/>
    <cellStyle name="Heading 1 2 2 2 7 3 7 2 2 2" xfId="11834"/>
    <cellStyle name="Heading 1 2 2 2 7 3 7 2 3" xfId="11835"/>
    <cellStyle name="Heading 1 2 2 2 7 3 7 3" xfId="11836"/>
    <cellStyle name="Heading 1 2 2 2 7 3 7 3 2" xfId="11837"/>
    <cellStyle name="Heading 1 2 2 2 7 3 7 3 2 2" xfId="11838"/>
    <cellStyle name="Heading 1 2 2 2 7 3 7 3 3" xfId="11839"/>
    <cellStyle name="Heading 1 2 2 2 7 3 7 4" xfId="11840"/>
    <cellStyle name="Heading 1 2 2 2 7 3 7 4 2" xfId="11841"/>
    <cellStyle name="Heading 1 2 2 2 7 3 7 4 2 2" xfId="11842"/>
    <cellStyle name="Heading 1 2 2 2 7 3 7 4 3" xfId="11843"/>
    <cellStyle name="Heading 1 2 2 2 7 3 7 5" xfId="11844"/>
    <cellStyle name="Heading 1 2 2 2 7 3 7 5 2" xfId="11845"/>
    <cellStyle name="Heading 1 2 2 2 7 3 7 5 2 2" xfId="11846"/>
    <cellStyle name="Heading 1 2 2 2 7 3 7 5 3" xfId="11847"/>
    <cellStyle name="Heading 1 2 2 2 7 3 7 6" xfId="11848"/>
    <cellStyle name="Heading 1 2 2 2 7 3 7 6 2" xfId="11849"/>
    <cellStyle name="Heading 1 2 2 2 7 3 7 6 2 2" xfId="11850"/>
    <cellStyle name="Heading 1 2 2 2 7 3 7 6 3" xfId="11851"/>
    <cellStyle name="Heading 1 2 2 2 7 3 7 7" xfId="11852"/>
    <cellStyle name="Heading 1 2 2 2 7 3 7 7 2" xfId="11853"/>
    <cellStyle name="Heading 1 2 2 2 7 3 7 7 2 2" xfId="11854"/>
    <cellStyle name="Heading 1 2 2 2 7 3 7 7 3" xfId="11855"/>
    <cellStyle name="Heading 1 2 2 2 7 3 7 8" xfId="11856"/>
    <cellStyle name="Heading 1 2 2 2 7 3 7 8 2" xfId="11857"/>
    <cellStyle name="Heading 1 2 2 2 7 3 7 9" xfId="11858"/>
    <cellStyle name="Heading 1 2 2 2 7 3 8" xfId="11859"/>
    <cellStyle name="Heading 1 2 2 2 7 3 8 2" xfId="11860"/>
    <cellStyle name="Heading 1 2 2 2 7 3 8 2 2" xfId="11861"/>
    <cellStyle name="Heading 1 2 2 2 7 3 8 2 2 2" xfId="11862"/>
    <cellStyle name="Heading 1 2 2 2 7 3 8 2 3" xfId="11863"/>
    <cellStyle name="Heading 1 2 2 2 7 3 8 3" xfId="11864"/>
    <cellStyle name="Heading 1 2 2 2 7 3 8 3 2" xfId="11865"/>
    <cellStyle name="Heading 1 2 2 2 7 3 8 3 2 2" xfId="11866"/>
    <cellStyle name="Heading 1 2 2 2 7 3 8 3 3" xfId="11867"/>
    <cellStyle name="Heading 1 2 2 2 7 3 8 4" xfId="11868"/>
    <cellStyle name="Heading 1 2 2 2 7 3 8 4 2" xfId="11869"/>
    <cellStyle name="Heading 1 2 2 2 7 3 8 4 2 2" xfId="11870"/>
    <cellStyle name="Heading 1 2 2 2 7 3 8 4 3" xfId="11871"/>
    <cellStyle name="Heading 1 2 2 2 7 3 8 5" xfId="11872"/>
    <cellStyle name="Heading 1 2 2 2 7 3 8 5 2" xfId="11873"/>
    <cellStyle name="Heading 1 2 2 2 7 3 8 5 2 2" xfId="11874"/>
    <cellStyle name="Heading 1 2 2 2 7 3 8 5 3" xfId="11875"/>
    <cellStyle name="Heading 1 2 2 2 7 3 8 6" xfId="11876"/>
    <cellStyle name="Heading 1 2 2 2 7 3 8 6 2" xfId="11877"/>
    <cellStyle name="Heading 1 2 2 2 7 3 8 6 2 2" xfId="11878"/>
    <cellStyle name="Heading 1 2 2 2 7 3 8 6 3" xfId="11879"/>
    <cellStyle name="Heading 1 2 2 2 7 3 8 7" xfId="11880"/>
    <cellStyle name="Heading 1 2 2 2 7 3 8 7 2" xfId="11881"/>
    <cellStyle name="Heading 1 2 2 2 7 3 8 7 2 2" xfId="11882"/>
    <cellStyle name="Heading 1 2 2 2 7 3 8 7 3" xfId="11883"/>
    <cellStyle name="Heading 1 2 2 2 7 3 8 8" xfId="11884"/>
    <cellStyle name="Heading 1 2 2 2 7 3 8 8 2" xfId="11885"/>
    <cellStyle name="Heading 1 2 2 2 7 3 8 9" xfId="11886"/>
    <cellStyle name="Heading 1 2 2 2 7 3 9" xfId="11887"/>
    <cellStyle name="Heading 1 2 2 2 7 3 9 2" xfId="11888"/>
    <cellStyle name="Heading 1 2 2 2 7 3 9 2 2" xfId="11889"/>
    <cellStyle name="Heading 1 2 2 2 7 3 9 3" xfId="11890"/>
    <cellStyle name="Heading 1 2 2 2 7 4" xfId="11891"/>
    <cellStyle name="Heading 1 2 2 2 7 4 2" xfId="11892"/>
    <cellStyle name="Heading 1 2 2 2 7 4 2 2" xfId="11893"/>
    <cellStyle name="Heading 1 2 2 2 7 4 3" xfId="11894"/>
    <cellStyle name="Heading 1 2 2 2 7 5" xfId="11895"/>
    <cellStyle name="Heading 1 2 2 2 7 5 2" xfId="11896"/>
    <cellStyle name="Heading 1 2 2 2 7 6" xfId="11897"/>
    <cellStyle name="Heading 1 2 2 2 8" xfId="11898"/>
    <cellStyle name="Heading 1 2 2 2 8 10" xfId="11899"/>
    <cellStyle name="Heading 1 2 2 2 8 10 2" xfId="11900"/>
    <cellStyle name="Heading 1 2 2 2 8 10 2 2" xfId="11901"/>
    <cellStyle name="Heading 1 2 2 2 8 10 3" xfId="11902"/>
    <cellStyle name="Heading 1 2 2 2 8 11" xfId="11903"/>
    <cellStyle name="Heading 1 2 2 2 8 11 2" xfId="11904"/>
    <cellStyle name="Heading 1 2 2 2 8 11 2 2" xfId="11905"/>
    <cellStyle name="Heading 1 2 2 2 8 11 3" xfId="11906"/>
    <cellStyle name="Heading 1 2 2 2 8 12" xfId="11907"/>
    <cellStyle name="Heading 1 2 2 2 8 12 2" xfId="11908"/>
    <cellStyle name="Heading 1 2 2 2 8 12 2 2" xfId="11909"/>
    <cellStyle name="Heading 1 2 2 2 8 12 3" xfId="11910"/>
    <cellStyle name="Heading 1 2 2 2 8 13" xfId="11911"/>
    <cellStyle name="Heading 1 2 2 2 8 13 2" xfId="11912"/>
    <cellStyle name="Heading 1 2 2 2 8 13 2 2" xfId="11913"/>
    <cellStyle name="Heading 1 2 2 2 8 13 3" xfId="11914"/>
    <cellStyle name="Heading 1 2 2 2 8 14" xfId="11915"/>
    <cellStyle name="Heading 1 2 2 2 8 14 2" xfId="11916"/>
    <cellStyle name="Heading 1 2 2 2 8 14 2 2" xfId="11917"/>
    <cellStyle name="Heading 1 2 2 2 8 14 3" xfId="11918"/>
    <cellStyle name="Heading 1 2 2 2 8 15" xfId="11919"/>
    <cellStyle name="Heading 1 2 2 2 8 15 2" xfId="11920"/>
    <cellStyle name="Heading 1 2 2 2 8 15 2 2" xfId="11921"/>
    <cellStyle name="Heading 1 2 2 2 8 15 3" xfId="11922"/>
    <cellStyle name="Heading 1 2 2 2 8 16" xfId="11923"/>
    <cellStyle name="Heading 1 2 2 2 8 16 2" xfId="11924"/>
    <cellStyle name="Heading 1 2 2 2 8 16 2 2" xfId="11925"/>
    <cellStyle name="Heading 1 2 2 2 8 16 3" xfId="11926"/>
    <cellStyle name="Heading 1 2 2 2 8 17" xfId="11927"/>
    <cellStyle name="Heading 1 2 2 2 8 17 2" xfId="11928"/>
    <cellStyle name="Heading 1 2 2 2 8 17 2 2" xfId="11929"/>
    <cellStyle name="Heading 1 2 2 2 8 17 3" xfId="11930"/>
    <cellStyle name="Heading 1 2 2 2 8 18" xfId="11931"/>
    <cellStyle name="Heading 1 2 2 2 8 18 2" xfId="11932"/>
    <cellStyle name="Heading 1 2 2 2 8 18 2 2" xfId="11933"/>
    <cellStyle name="Heading 1 2 2 2 8 18 3" xfId="11934"/>
    <cellStyle name="Heading 1 2 2 2 8 19" xfId="11935"/>
    <cellStyle name="Heading 1 2 2 2 8 19 2" xfId="11936"/>
    <cellStyle name="Heading 1 2 2 2 8 19 2 2" xfId="11937"/>
    <cellStyle name="Heading 1 2 2 2 8 19 3" xfId="11938"/>
    <cellStyle name="Heading 1 2 2 2 8 2" xfId="11939"/>
    <cellStyle name="Heading 1 2 2 2 8 2 10" xfId="11940"/>
    <cellStyle name="Heading 1 2 2 2 8 2 10 2" xfId="11941"/>
    <cellStyle name="Heading 1 2 2 2 8 2 10 2 2" xfId="11942"/>
    <cellStyle name="Heading 1 2 2 2 8 2 10 3" xfId="11943"/>
    <cellStyle name="Heading 1 2 2 2 8 2 11" xfId="11944"/>
    <cellStyle name="Heading 1 2 2 2 8 2 11 2" xfId="11945"/>
    <cellStyle name="Heading 1 2 2 2 8 2 11 2 2" xfId="11946"/>
    <cellStyle name="Heading 1 2 2 2 8 2 11 3" xfId="11947"/>
    <cellStyle name="Heading 1 2 2 2 8 2 12" xfId="11948"/>
    <cellStyle name="Heading 1 2 2 2 8 2 12 2" xfId="11949"/>
    <cellStyle name="Heading 1 2 2 2 8 2 12 2 2" xfId="11950"/>
    <cellStyle name="Heading 1 2 2 2 8 2 12 3" xfId="11951"/>
    <cellStyle name="Heading 1 2 2 2 8 2 13" xfId="11952"/>
    <cellStyle name="Heading 1 2 2 2 8 2 13 2" xfId="11953"/>
    <cellStyle name="Heading 1 2 2 2 8 2 13 2 2" xfId="11954"/>
    <cellStyle name="Heading 1 2 2 2 8 2 13 3" xfId="11955"/>
    <cellStyle name="Heading 1 2 2 2 8 2 14" xfId="11956"/>
    <cellStyle name="Heading 1 2 2 2 8 2 14 2" xfId="11957"/>
    <cellStyle name="Heading 1 2 2 2 8 2 14 2 2" xfId="11958"/>
    <cellStyle name="Heading 1 2 2 2 8 2 14 3" xfId="11959"/>
    <cellStyle name="Heading 1 2 2 2 8 2 15" xfId="11960"/>
    <cellStyle name="Heading 1 2 2 2 8 2 15 2" xfId="11961"/>
    <cellStyle name="Heading 1 2 2 2 8 2 15 2 2" xfId="11962"/>
    <cellStyle name="Heading 1 2 2 2 8 2 15 3" xfId="11963"/>
    <cellStyle name="Heading 1 2 2 2 8 2 16" xfId="11964"/>
    <cellStyle name="Heading 1 2 2 2 8 2 16 2" xfId="11965"/>
    <cellStyle name="Heading 1 2 2 2 8 2 16 2 2" xfId="11966"/>
    <cellStyle name="Heading 1 2 2 2 8 2 16 3" xfId="11967"/>
    <cellStyle name="Heading 1 2 2 2 8 2 17" xfId="11968"/>
    <cellStyle name="Heading 1 2 2 2 8 2 17 2" xfId="11969"/>
    <cellStyle name="Heading 1 2 2 2 8 2 17 2 2" xfId="11970"/>
    <cellStyle name="Heading 1 2 2 2 8 2 17 3" xfId="11971"/>
    <cellStyle name="Heading 1 2 2 2 8 2 18" xfId="11972"/>
    <cellStyle name="Heading 1 2 2 2 8 2 18 2" xfId="11973"/>
    <cellStyle name="Heading 1 2 2 2 8 2 18 2 2" xfId="11974"/>
    <cellStyle name="Heading 1 2 2 2 8 2 18 3" xfId="11975"/>
    <cellStyle name="Heading 1 2 2 2 8 2 19" xfId="11976"/>
    <cellStyle name="Heading 1 2 2 2 8 2 19 2" xfId="11977"/>
    <cellStyle name="Heading 1 2 2 2 8 2 2" xfId="11978"/>
    <cellStyle name="Heading 1 2 2 2 8 2 2 2" xfId="11979"/>
    <cellStyle name="Heading 1 2 2 2 8 2 2 2 2" xfId="11980"/>
    <cellStyle name="Heading 1 2 2 2 8 2 2 2 2 2" xfId="11981"/>
    <cellStyle name="Heading 1 2 2 2 8 2 2 2 3" xfId="11982"/>
    <cellStyle name="Heading 1 2 2 2 8 2 2 3" xfId="11983"/>
    <cellStyle name="Heading 1 2 2 2 8 2 2 3 2" xfId="11984"/>
    <cellStyle name="Heading 1 2 2 2 8 2 2 3 2 2" xfId="11985"/>
    <cellStyle name="Heading 1 2 2 2 8 2 2 3 3" xfId="11986"/>
    <cellStyle name="Heading 1 2 2 2 8 2 2 4" xfId="11987"/>
    <cellStyle name="Heading 1 2 2 2 8 2 2 4 2" xfId="11988"/>
    <cellStyle name="Heading 1 2 2 2 8 2 2 4 2 2" xfId="11989"/>
    <cellStyle name="Heading 1 2 2 2 8 2 2 4 3" xfId="11990"/>
    <cellStyle name="Heading 1 2 2 2 8 2 2 5" xfId="11991"/>
    <cellStyle name="Heading 1 2 2 2 8 2 2 5 2" xfId="11992"/>
    <cellStyle name="Heading 1 2 2 2 8 2 2 5 2 2" xfId="11993"/>
    <cellStyle name="Heading 1 2 2 2 8 2 2 5 3" xfId="11994"/>
    <cellStyle name="Heading 1 2 2 2 8 2 2 6" xfId="11995"/>
    <cellStyle name="Heading 1 2 2 2 8 2 2 6 2" xfId="11996"/>
    <cellStyle name="Heading 1 2 2 2 8 2 2 6 2 2" xfId="11997"/>
    <cellStyle name="Heading 1 2 2 2 8 2 2 6 3" xfId="11998"/>
    <cellStyle name="Heading 1 2 2 2 8 2 2 7" xfId="11999"/>
    <cellStyle name="Heading 1 2 2 2 8 2 2 7 2" xfId="12000"/>
    <cellStyle name="Heading 1 2 2 2 8 2 2 7 2 2" xfId="12001"/>
    <cellStyle name="Heading 1 2 2 2 8 2 2 7 3" xfId="12002"/>
    <cellStyle name="Heading 1 2 2 2 8 2 2 8" xfId="12003"/>
    <cellStyle name="Heading 1 2 2 2 8 2 2 8 2" xfId="12004"/>
    <cellStyle name="Heading 1 2 2 2 8 2 2 9" xfId="12005"/>
    <cellStyle name="Heading 1 2 2 2 8 2 20" xfId="12006"/>
    <cellStyle name="Heading 1 2 2 2 8 2 20 2" xfId="12007"/>
    <cellStyle name="Heading 1 2 2 2 8 2 21" xfId="12008"/>
    <cellStyle name="Heading 1 2 2 2 8 2 21 2" xfId="12009"/>
    <cellStyle name="Heading 1 2 2 2 8 2 22" xfId="12010"/>
    <cellStyle name="Heading 1 2 2 2 8 2 3" xfId="12011"/>
    <cellStyle name="Heading 1 2 2 2 8 2 3 2" xfId="12012"/>
    <cellStyle name="Heading 1 2 2 2 8 2 3 2 2" xfId="12013"/>
    <cellStyle name="Heading 1 2 2 2 8 2 3 2 2 2" xfId="12014"/>
    <cellStyle name="Heading 1 2 2 2 8 2 3 2 3" xfId="12015"/>
    <cellStyle name="Heading 1 2 2 2 8 2 3 3" xfId="12016"/>
    <cellStyle name="Heading 1 2 2 2 8 2 3 3 2" xfId="12017"/>
    <cellStyle name="Heading 1 2 2 2 8 2 3 3 2 2" xfId="12018"/>
    <cellStyle name="Heading 1 2 2 2 8 2 3 3 3" xfId="12019"/>
    <cellStyle name="Heading 1 2 2 2 8 2 3 4" xfId="12020"/>
    <cellStyle name="Heading 1 2 2 2 8 2 3 4 2" xfId="12021"/>
    <cellStyle name="Heading 1 2 2 2 8 2 3 4 2 2" xfId="12022"/>
    <cellStyle name="Heading 1 2 2 2 8 2 3 4 3" xfId="12023"/>
    <cellStyle name="Heading 1 2 2 2 8 2 3 5" xfId="12024"/>
    <cellStyle name="Heading 1 2 2 2 8 2 3 5 2" xfId="12025"/>
    <cellStyle name="Heading 1 2 2 2 8 2 3 5 2 2" xfId="12026"/>
    <cellStyle name="Heading 1 2 2 2 8 2 3 5 3" xfId="12027"/>
    <cellStyle name="Heading 1 2 2 2 8 2 3 6" xfId="12028"/>
    <cellStyle name="Heading 1 2 2 2 8 2 3 6 2" xfId="12029"/>
    <cellStyle name="Heading 1 2 2 2 8 2 3 6 2 2" xfId="12030"/>
    <cellStyle name="Heading 1 2 2 2 8 2 3 6 3" xfId="12031"/>
    <cellStyle name="Heading 1 2 2 2 8 2 3 7" xfId="12032"/>
    <cellStyle name="Heading 1 2 2 2 8 2 3 7 2" xfId="12033"/>
    <cellStyle name="Heading 1 2 2 2 8 2 3 7 2 2" xfId="12034"/>
    <cellStyle name="Heading 1 2 2 2 8 2 3 7 3" xfId="12035"/>
    <cellStyle name="Heading 1 2 2 2 8 2 3 8" xfId="12036"/>
    <cellStyle name="Heading 1 2 2 2 8 2 3 8 2" xfId="12037"/>
    <cellStyle name="Heading 1 2 2 2 8 2 3 9" xfId="12038"/>
    <cellStyle name="Heading 1 2 2 2 8 2 4" xfId="12039"/>
    <cellStyle name="Heading 1 2 2 2 8 2 4 2" xfId="12040"/>
    <cellStyle name="Heading 1 2 2 2 8 2 4 2 2" xfId="12041"/>
    <cellStyle name="Heading 1 2 2 2 8 2 4 2 2 2" xfId="12042"/>
    <cellStyle name="Heading 1 2 2 2 8 2 4 2 3" xfId="12043"/>
    <cellStyle name="Heading 1 2 2 2 8 2 4 3" xfId="12044"/>
    <cellStyle name="Heading 1 2 2 2 8 2 4 3 2" xfId="12045"/>
    <cellStyle name="Heading 1 2 2 2 8 2 4 3 2 2" xfId="12046"/>
    <cellStyle name="Heading 1 2 2 2 8 2 4 3 3" xfId="12047"/>
    <cellStyle name="Heading 1 2 2 2 8 2 4 4" xfId="12048"/>
    <cellStyle name="Heading 1 2 2 2 8 2 4 4 2" xfId="12049"/>
    <cellStyle name="Heading 1 2 2 2 8 2 4 4 2 2" xfId="12050"/>
    <cellStyle name="Heading 1 2 2 2 8 2 4 4 3" xfId="12051"/>
    <cellStyle name="Heading 1 2 2 2 8 2 4 5" xfId="12052"/>
    <cellStyle name="Heading 1 2 2 2 8 2 4 5 2" xfId="12053"/>
    <cellStyle name="Heading 1 2 2 2 8 2 4 5 2 2" xfId="12054"/>
    <cellStyle name="Heading 1 2 2 2 8 2 4 5 3" xfId="12055"/>
    <cellStyle name="Heading 1 2 2 2 8 2 4 6" xfId="12056"/>
    <cellStyle name="Heading 1 2 2 2 8 2 4 6 2" xfId="12057"/>
    <cellStyle name="Heading 1 2 2 2 8 2 4 6 2 2" xfId="12058"/>
    <cellStyle name="Heading 1 2 2 2 8 2 4 6 3" xfId="12059"/>
    <cellStyle name="Heading 1 2 2 2 8 2 4 7" xfId="12060"/>
    <cellStyle name="Heading 1 2 2 2 8 2 4 7 2" xfId="12061"/>
    <cellStyle name="Heading 1 2 2 2 8 2 4 7 2 2" xfId="12062"/>
    <cellStyle name="Heading 1 2 2 2 8 2 4 7 3" xfId="12063"/>
    <cellStyle name="Heading 1 2 2 2 8 2 4 8" xfId="12064"/>
    <cellStyle name="Heading 1 2 2 2 8 2 4 8 2" xfId="12065"/>
    <cellStyle name="Heading 1 2 2 2 8 2 4 9" xfId="12066"/>
    <cellStyle name="Heading 1 2 2 2 8 2 5" xfId="12067"/>
    <cellStyle name="Heading 1 2 2 2 8 2 5 2" xfId="12068"/>
    <cellStyle name="Heading 1 2 2 2 8 2 5 2 2" xfId="12069"/>
    <cellStyle name="Heading 1 2 2 2 8 2 5 2 2 2" xfId="12070"/>
    <cellStyle name="Heading 1 2 2 2 8 2 5 2 3" xfId="12071"/>
    <cellStyle name="Heading 1 2 2 2 8 2 5 3" xfId="12072"/>
    <cellStyle name="Heading 1 2 2 2 8 2 5 3 2" xfId="12073"/>
    <cellStyle name="Heading 1 2 2 2 8 2 5 3 2 2" xfId="12074"/>
    <cellStyle name="Heading 1 2 2 2 8 2 5 3 3" xfId="12075"/>
    <cellStyle name="Heading 1 2 2 2 8 2 5 4" xfId="12076"/>
    <cellStyle name="Heading 1 2 2 2 8 2 5 4 2" xfId="12077"/>
    <cellStyle name="Heading 1 2 2 2 8 2 5 4 2 2" xfId="12078"/>
    <cellStyle name="Heading 1 2 2 2 8 2 5 4 3" xfId="12079"/>
    <cellStyle name="Heading 1 2 2 2 8 2 5 5" xfId="12080"/>
    <cellStyle name="Heading 1 2 2 2 8 2 5 5 2" xfId="12081"/>
    <cellStyle name="Heading 1 2 2 2 8 2 5 5 2 2" xfId="12082"/>
    <cellStyle name="Heading 1 2 2 2 8 2 5 5 3" xfId="12083"/>
    <cellStyle name="Heading 1 2 2 2 8 2 5 6" xfId="12084"/>
    <cellStyle name="Heading 1 2 2 2 8 2 5 6 2" xfId="12085"/>
    <cellStyle name="Heading 1 2 2 2 8 2 5 6 2 2" xfId="12086"/>
    <cellStyle name="Heading 1 2 2 2 8 2 5 6 3" xfId="12087"/>
    <cellStyle name="Heading 1 2 2 2 8 2 5 7" xfId="12088"/>
    <cellStyle name="Heading 1 2 2 2 8 2 5 7 2" xfId="12089"/>
    <cellStyle name="Heading 1 2 2 2 8 2 5 7 2 2" xfId="12090"/>
    <cellStyle name="Heading 1 2 2 2 8 2 5 7 3" xfId="12091"/>
    <cellStyle name="Heading 1 2 2 2 8 2 5 8" xfId="12092"/>
    <cellStyle name="Heading 1 2 2 2 8 2 5 8 2" xfId="12093"/>
    <cellStyle name="Heading 1 2 2 2 8 2 5 9" xfId="12094"/>
    <cellStyle name="Heading 1 2 2 2 8 2 6" xfId="12095"/>
    <cellStyle name="Heading 1 2 2 2 8 2 6 2" xfId="12096"/>
    <cellStyle name="Heading 1 2 2 2 8 2 6 2 2" xfId="12097"/>
    <cellStyle name="Heading 1 2 2 2 8 2 6 2 2 2" xfId="12098"/>
    <cellStyle name="Heading 1 2 2 2 8 2 6 2 3" xfId="12099"/>
    <cellStyle name="Heading 1 2 2 2 8 2 6 3" xfId="12100"/>
    <cellStyle name="Heading 1 2 2 2 8 2 6 3 2" xfId="12101"/>
    <cellStyle name="Heading 1 2 2 2 8 2 6 3 2 2" xfId="12102"/>
    <cellStyle name="Heading 1 2 2 2 8 2 6 3 3" xfId="12103"/>
    <cellStyle name="Heading 1 2 2 2 8 2 6 4" xfId="12104"/>
    <cellStyle name="Heading 1 2 2 2 8 2 6 4 2" xfId="12105"/>
    <cellStyle name="Heading 1 2 2 2 8 2 6 4 2 2" xfId="12106"/>
    <cellStyle name="Heading 1 2 2 2 8 2 6 4 3" xfId="12107"/>
    <cellStyle name="Heading 1 2 2 2 8 2 6 5" xfId="12108"/>
    <cellStyle name="Heading 1 2 2 2 8 2 6 5 2" xfId="12109"/>
    <cellStyle name="Heading 1 2 2 2 8 2 6 5 2 2" xfId="12110"/>
    <cellStyle name="Heading 1 2 2 2 8 2 6 5 3" xfId="12111"/>
    <cellStyle name="Heading 1 2 2 2 8 2 6 6" xfId="12112"/>
    <cellStyle name="Heading 1 2 2 2 8 2 6 6 2" xfId="12113"/>
    <cellStyle name="Heading 1 2 2 2 8 2 6 6 2 2" xfId="12114"/>
    <cellStyle name="Heading 1 2 2 2 8 2 6 6 3" xfId="12115"/>
    <cellStyle name="Heading 1 2 2 2 8 2 6 7" xfId="12116"/>
    <cellStyle name="Heading 1 2 2 2 8 2 6 7 2" xfId="12117"/>
    <cellStyle name="Heading 1 2 2 2 8 2 6 7 2 2" xfId="12118"/>
    <cellStyle name="Heading 1 2 2 2 8 2 6 7 3" xfId="12119"/>
    <cellStyle name="Heading 1 2 2 2 8 2 6 8" xfId="12120"/>
    <cellStyle name="Heading 1 2 2 2 8 2 6 8 2" xfId="12121"/>
    <cellStyle name="Heading 1 2 2 2 8 2 6 9" xfId="12122"/>
    <cellStyle name="Heading 1 2 2 2 8 2 7" xfId="12123"/>
    <cellStyle name="Heading 1 2 2 2 8 2 7 2" xfId="12124"/>
    <cellStyle name="Heading 1 2 2 2 8 2 7 2 2" xfId="12125"/>
    <cellStyle name="Heading 1 2 2 2 8 2 7 2 2 2" xfId="12126"/>
    <cellStyle name="Heading 1 2 2 2 8 2 7 2 3" xfId="12127"/>
    <cellStyle name="Heading 1 2 2 2 8 2 7 3" xfId="12128"/>
    <cellStyle name="Heading 1 2 2 2 8 2 7 3 2" xfId="12129"/>
    <cellStyle name="Heading 1 2 2 2 8 2 7 3 2 2" xfId="12130"/>
    <cellStyle name="Heading 1 2 2 2 8 2 7 3 3" xfId="12131"/>
    <cellStyle name="Heading 1 2 2 2 8 2 7 4" xfId="12132"/>
    <cellStyle name="Heading 1 2 2 2 8 2 7 4 2" xfId="12133"/>
    <cellStyle name="Heading 1 2 2 2 8 2 7 4 2 2" xfId="12134"/>
    <cellStyle name="Heading 1 2 2 2 8 2 7 4 3" xfId="12135"/>
    <cellStyle name="Heading 1 2 2 2 8 2 7 5" xfId="12136"/>
    <cellStyle name="Heading 1 2 2 2 8 2 7 5 2" xfId="12137"/>
    <cellStyle name="Heading 1 2 2 2 8 2 7 5 2 2" xfId="12138"/>
    <cellStyle name="Heading 1 2 2 2 8 2 7 5 3" xfId="12139"/>
    <cellStyle name="Heading 1 2 2 2 8 2 7 6" xfId="12140"/>
    <cellStyle name="Heading 1 2 2 2 8 2 7 6 2" xfId="12141"/>
    <cellStyle name="Heading 1 2 2 2 8 2 7 6 2 2" xfId="12142"/>
    <cellStyle name="Heading 1 2 2 2 8 2 7 6 3" xfId="12143"/>
    <cellStyle name="Heading 1 2 2 2 8 2 7 7" xfId="12144"/>
    <cellStyle name="Heading 1 2 2 2 8 2 7 7 2" xfId="12145"/>
    <cellStyle name="Heading 1 2 2 2 8 2 7 7 2 2" xfId="12146"/>
    <cellStyle name="Heading 1 2 2 2 8 2 7 7 3" xfId="12147"/>
    <cellStyle name="Heading 1 2 2 2 8 2 7 8" xfId="12148"/>
    <cellStyle name="Heading 1 2 2 2 8 2 7 8 2" xfId="12149"/>
    <cellStyle name="Heading 1 2 2 2 8 2 7 9" xfId="12150"/>
    <cellStyle name="Heading 1 2 2 2 8 2 8" xfId="12151"/>
    <cellStyle name="Heading 1 2 2 2 8 2 8 2" xfId="12152"/>
    <cellStyle name="Heading 1 2 2 2 8 2 8 2 2" xfId="12153"/>
    <cellStyle name="Heading 1 2 2 2 8 2 8 2 2 2" xfId="12154"/>
    <cellStyle name="Heading 1 2 2 2 8 2 8 2 3" xfId="12155"/>
    <cellStyle name="Heading 1 2 2 2 8 2 8 3" xfId="12156"/>
    <cellStyle name="Heading 1 2 2 2 8 2 8 3 2" xfId="12157"/>
    <cellStyle name="Heading 1 2 2 2 8 2 8 3 2 2" xfId="12158"/>
    <cellStyle name="Heading 1 2 2 2 8 2 8 3 3" xfId="12159"/>
    <cellStyle name="Heading 1 2 2 2 8 2 8 4" xfId="12160"/>
    <cellStyle name="Heading 1 2 2 2 8 2 8 4 2" xfId="12161"/>
    <cellStyle name="Heading 1 2 2 2 8 2 8 4 2 2" xfId="12162"/>
    <cellStyle name="Heading 1 2 2 2 8 2 8 4 3" xfId="12163"/>
    <cellStyle name="Heading 1 2 2 2 8 2 8 5" xfId="12164"/>
    <cellStyle name="Heading 1 2 2 2 8 2 8 5 2" xfId="12165"/>
    <cellStyle name="Heading 1 2 2 2 8 2 8 5 2 2" xfId="12166"/>
    <cellStyle name="Heading 1 2 2 2 8 2 8 5 3" xfId="12167"/>
    <cellStyle name="Heading 1 2 2 2 8 2 8 6" xfId="12168"/>
    <cellStyle name="Heading 1 2 2 2 8 2 8 6 2" xfId="12169"/>
    <cellStyle name="Heading 1 2 2 2 8 2 8 6 2 2" xfId="12170"/>
    <cellStyle name="Heading 1 2 2 2 8 2 8 6 3" xfId="12171"/>
    <cellStyle name="Heading 1 2 2 2 8 2 8 7" xfId="12172"/>
    <cellStyle name="Heading 1 2 2 2 8 2 8 7 2" xfId="12173"/>
    <cellStyle name="Heading 1 2 2 2 8 2 8 7 2 2" xfId="12174"/>
    <cellStyle name="Heading 1 2 2 2 8 2 8 7 3" xfId="12175"/>
    <cellStyle name="Heading 1 2 2 2 8 2 8 8" xfId="12176"/>
    <cellStyle name="Heading 1 2 2 2 8 2 8 8 2" xfId="12177"/>
    <cellStyle name="Heading 1 2 2 2 8 2 8 9" xfId="12178"/>
    <cellStyle name="Heading 1 2 2 2 8 2 9" xfId="12179"/>
    <cellStyle name="Heading 1 2 2 2 8 2 9 2" xfId="12180"/>
    <cellStyle name="Heading 1 2 2 2 8 2 9 2 2" xfId="12181"/>
    <cellStyle name="Heading 1 2 2 2 8 2 9 3" xfId="12182"/>
    <cellStyle name="Heading 1 2 2 2 8 20" xfId="12183"/>
    <cellStyle name="Heading 1 2 2 2 8 20 2" xfId="12184"/>
    <cellStyle name="Heading 1 2 2 2 8 21" xfId="12185"/>
    <cellStyle name="Heading 1 2 2 2 8 21 2" xfId="12186"/>
    <cellStyle name="Heading 1 2 2 2 8 22" xfId="12187"/>
    <cellStyle name="Heading 1 2 2 2 8 22 2" xfId="12188"/>
    <cellStyle name="Heading 1 2 2 2 8 23" xfId="12189"/>
    <cellStyle name="Heading 1 2 2 2 8 3" xfId="12190"/>
    <cellStyle name="Heading 1 2 2 2 8 3 2" xfId="12191"/>
    <cellStyle name="Heading 1 2 2 2 8 3 2 2" xfId="12192"/>
    <cellStyle name="Heading 1 2 2 2 8 3 2 2 2" xfId="12193"/>
    <cellStyle name="Heading 1 2 2 2 8 3 2 3" xfId="12194"/>
    <cellStyle name="Heading 1 2 2 2 8 3 3" xfId="12195"/>
    <cellStyle name="Heading 1 2 2 2 8 3 3 2" xfId="12196"/>
    <cellStyle name="Heading 1 2 2 2 8 3 3 2 2" xfId="12197"/>
    <cellStyle name="Heading 1 2 2 2 8 3 3 3" xfId="12198"/>
    <cellStyle name="Heading 1 2 2 2 8 3 4" xfId="12199"/>
    <cellStyle name="Heading 1 2 2 2 8 3 4 2" xfId="12200"/>
    <cellStyle name="Heading 1 2 2 2 8 3 4 2 2" xfId="12201"/>
    <cellStyle name="Heading 1 2 2 2 8 3 4 3" xfId="12202"/>
    <cellStyle name="Heading 1 2 2 2 8 3 5" xfId="12203"/>
    <cellStyle name="Heading 1 2 2 2 8 3 5 2" xfId="12204"/>
    <cellStyle name="Heading 1 2 2 2 8 3 5 2 2" xfId="12205"/>
    <cellStyle name="Heading 1 2 2 2 8 3 5 3" xfId="12206"/>
    <cellStyle name="Heading 1 2 2 2 8 3 6" xfId="12207"/>
    <cellStyle name="Heading 1 2 2 2 8 3 6 2" xfId="12208"/>
    <cellStyle name="Heading 1 2 2 2 8 3 6 2 2" xfId="12209"/>
    <cellStyle name="Heading 1 2 2 2 8 3 6 3" xfId="12210"/>
    <cellStyle name="Heading 1 2 2 2 8 3 7" xfId="12211"/>
    <cellStyle name="Heading 1 2 2 2 8 3 7 2" xfId="12212"/>
    <cellStyle name="Heading 1 2 2 2 8 3 7 2 2" xfId="12213"/>
    <cellStyle name="Heading 1 2 2 2 8 3 7 3" xfId="12214"/>
    <cellStyle name="Heading 1 2 2 2 8 3 8" xfId="12215"/>
    <cellStyle name="Heading 1 2 2 2 8 3 8 2" xfId="12216"/>
    <cellStyle name="Heading 1 2 2 2 8 3 9" xfId="12217"/>
    <cellStyle name="Heading 1 2 2 2 8 4" xfId="12218"/>
    <cellStyle name="Heading 1 2 2 2 8 4 2" xfId="12219"/>
    <cellStyle name="Heading 1 2 2 2 8 4 2 2" xfId="12220"/>
    <cellStyle name="Heading 1 2 2 2 8 4 2 2 2" xfId="12221"/>
    <cellStyle name="Heading 1 2 2 2 8 4 2 3" xfId="12222"/>
    <cellStyle name="Heading 1 2 2 2 8 4 3" xfId="12223"/>
    <cellStyle name="Heading 1 2 2 2 8 4 3 2" xfId="12224"/>
    <cellStyle name="Heading 1 2 2 2 8 4 3 2 2" xfId="12225"/>
    <cellStyle name="Heading 1 2 2 2 8 4 3 3" xfId="12226"/>
    <cellStyle name="Heading 1 2 2 2 8 4 4" xfId="12227"/>
    <cellStyle name="Heading 1 2 2 2 8 4 4 2" xfId="12228"/>
    <cellStyle name="Heading 1 2 2 2 8 4 4 2 2" xfId="12229"/>
    <cellStyle name="Heading 1 2 2 2 8 4 4 3" xfId="12230"/>
    <cellStyle name="Heading 1 2 2 2 8 4 5" xfId="12231"/>
    <cellStyle name="Heading 1 2 2 2 8 4 5 2" xfId="12232"/>
    <cellStyle name="Heading 1 2 2 2 8 4 5 2 2" xfId="12233"/>
    <cellStyle name="Heading 1 2 2 2 8 4 5 3" xfId="12234"/>
    <cellStyle name="Heading 1 2 2 2 8 4 6" xfId="12235"/>
    <cellStyle name="Heading 1 2 2 2 8 4 6 2" xfId="12236"/>
    <cellStyle name="Heading 1 2 2 2 8 4 6 2 2" xfId="12237"/>
    <cellStyle name="Heading 1 2 2 2 8 4 6 3" xfId="12238"/>
    <cellStyle name="Heading 1 2 2 2 8 4 7" xfId="12239"/>
    <cellStyle name="Heading 1 2 2 2 8 4 7 2" xfId="12240"/>
    <cellStyle name="Heading 1 2 2 2 8 4 7 2 2" xfId="12241"/>
    <cellStyle name="Heading 1 2 2 2 8 4 7 3" xfId="12242"/>
    <cellStyle name="Heading 1 2 2 2 8 4 8" xfId="12243"/>
    <cellStyle name="Heading 1 2 2 2 8 4 8 2" xfId="12244"/>
    <cellStyle name="Heading 1 2 2 2 8 4 9" xfId="12245"/>
    <cellStyle name="Heading 1 2 2 2 8 5" xfId="12246"/>
    <cellStyle name="Heading 1 2 2 2 8 5 2" xfId="12247"/>
    <cellStyle name="Heading 1 2 2 2 8 5 2 2" xfId="12248"/>
    <cellStyle name="Heading 1 2 2 2 8 5 2 2 2" xfId="12249"/>
    <cellStyle name="Heading 1 2 2 2 8 5 2 3" xfId="12250"/>
    <cellStyle name="Heading 1 2 2 2 8 5 3" xfId="12251"/>
    <cellStyle name="Heading 1 2 2 2 8 5 3 2" xfId="12252"/>
    <cellStyle name="Heading 1 2 2 2 8 5 3 2 2" xfId="12253"/>
    <cellStyle name="Heading 1 2 2 2 8 5 3 3" xfId="12254"/>
    <cellStyle name="Heading 1 2 2 2 8 5 4" xfId="12255"/>
    <cellStyle name="Heading 1 2 2 2 8 5 4 2" xfId="12256"/>
    <cellStyle name="Heading 1 2 2 2 8 5 4 2 2" xfId="12257"/>
    <cellStyle name="Heading 1 2 2 2 8 5 4 3" xfId="12258"/>
    <cellStyle name="Heading 1 2 2 2 8 5 5" xfId="12259"/>
    <cellStyle name="Heading 1 2 2 2 8 5 5 2" xfId="12260"/>
    <cellStyle name="Heading 1 2 2 2 8 5 5 2 2" xfId="12261"/>
    <cellStyle name="Heading 1 2 2 2 8 5 5 3" xfId="12262"/>
    <cellStyle name="Heading 1 2 2 2 8 5 6" xfId="12263"/>
    <cellStyle name="Heading 1 2 2 2 8 5 6 2" xfId="12264"/>
    <cellStyle name="Heading 1 2 2 2 8 5 6 2 2" xfId="12265"/>
    <cellStyle name="Heading 1 2 2 2 8 5 6 3" xfId="12266"/>
    <cellStyle name="Heading 1 2 2 2 8 5 7" xfId="12267"/>
    <cellStyle name="Heading 1 2 2 2 8 5 7 2" xfId="12268"/>
    <cellStyle name="Heading 1 2 2 2 8 5 7 2 2" xfId="12269"/>
    <cellStyle name="Heading 1 2 2 2 8 5 7 3" xfId="12270"/>
    <cellStyle name="Heading 1 2 2 2 8 5 8" xfId="12271"/>
    <cellStyle name="Heading 1 2 2 2 8 5 8 2" xfId="12272"/>
    <cellStyle name="Heading 1 2 2 2 8 5 9" xfId="12273"/>
    <cellStyle name="Heading 1 2 2 2 8 6" xfId="12274"/>
    <cellStyle name="Heading 1 2 2 2 8 6 2" xfId="12275"/>
    <cellStyle name="Heading 1 2 2 2 8 6 2 2" xfId="12276"/>
    <cellStyle name="Heading 1 2 2 2 8 6 2 2 2" xfId="12277"/>
    <cellStyle name="Heading 1 2 2 2 8 6 2 3" xfId="12278"/>
    <cellStyle name="Heading 1 2 2 2 8 6 3" xfId="12279"/>
    <cellStyle name="Heading 1 2 2 2 8 6 3 2" xfId="12280"/>
    <cellStyle name="Heading 1 2 2 2 8 6 3 2 2" xfId="12281"/>
    <cellStyle name="Heading 1 2 2 2 8 6 3 3" xfId="12282"/>
    <cellStyle name="Heading 1 2 2 2 8 6 4" xfId="12283"/>
    <cellStyle name="Heading 1 2 2 2 8 6 4 2" xfId="12284"/>
    <cellStyle name="Heading 1 2 2 2 8 6 4 2 2" xfId="12285"/>
    <cellStyle name="Heading 1 2 2 2 8 6 4 3" xfId="12286"/>
    <cellStyle name="Heading 1 2 2 2 8 6 5" xfId="12287"/>
    <cellStyle name="Heading 1 2 2 2 8 6 5 2" xfId="12288"/>
    <cellStyle name="Heading 1 2 2 2 8 6 5 2 2" xfId="12289"/>
    <cellStyle name="Heading 1 2 2 2 8 6 5 3" xfId="12290"/>
    <cellStyle name="Heading 1 2 2 2 8 6 6" xfId="12291"/>
    <cellStyle name="Heading 1 2 2 2 8 6 6 2" xfId="12292"/>
    <cellStyle name="Heading 1 2 2 2 8 6 6 2 2" xfId="12293"/>
    <cellStyle name="Heading 1 2 2 2 8 6 6 3" xfId="12294"/>
    <cellStyle name="Heading 1 2 2 2 8 6 7" xfId="12295"/>
    <cellStyle name="Heading 1 2 2 2 8 6 7 2" xfId="12296"/>
    <cellStyle name="Heading 1 2 2 2 8 6 7 2 2" xfId="12297"/>
    <cellStyle name="Heading 1 2 2 2 8 6 7 3" xfId="12298"/>
    <cellStyle name="Heading 1 2 2 2 8 6 8" xfId="12299"/>
    <cellStyle name="Heading 1 2 2 2 8 6 8 2" xfId="12300"/>
    <cellStyle name="Heading 1 2 2 2 8 6 9" xfId="12301"/>
    <cellStyle name="Heading 1 2 2 2 8 7" xfId="12302"/>
    <cellStyle name="Heading 1 2 2 2 8 7 2" xfId="12303"/>
    <cellStyle name="Heading 1 2 2 2 8 7 2 2" xfId="12304"/>
    <cellStyle name="Heading 1 2 2 2 8 7 2 2 2" xfId="12305"/>
    <cellStyle name="Heading 1 2 2 2 8 7 2 3" xfId="12306"/>
    <cellStyle name="Heading 1 2 2 2 8 7 3" xfId="12307"/>
    <cellStyle name="Heading 1 2 2 2 8 7 3 2" xfId="12308"/>
    <cellStyle name="Heading 1 2 2 2 8 7 3 2 2" xfId="12309"/>
    <cellStyle name="Heading 1 2 2 2 8 7 3 3" xfId="12310"/>
    <cellStyle name="Heading 1 2 2 2 8 7 4" xfId="12311"/>
    <cellStyle name="Heading 1 2 2 2 8 7 4 2" xfId="12312"/>
    <cellStyle name="Heading 1 2 2 2 8 7 4 2 2" xfId="12313"/>
    <cellStyle name="Heading 1 2 2 2 8 7 4 3" xfId="12314"/>
    <cellStyle name="Heading 1 2 2 2 8 7 5" xfId="12315"/>
    <cellStyle name="Heading 1 2 2 2 8 7 5 2" xfId="12316"/>
    <cellStyle name="Heading 1 2 2 2 8 7 5 2 2" xfId="12317"/>
    <cellStyle name="Heading 1 2 2 2 8 7 5 3" xfId="12318"/>
    <cellStyle name="Heading 1 2 2 2 8 7 6" xfId="12319"/>
    <cellStyle name="Heading 1 2 2 2 8 7 6 2" xfId="12320"/>
    <cellStyle name="Heading 1 2 2 2 8 7 6 2 2" xfId="12321"/>
    <cellStyle name="Heading 1 2 2 2 8 7 6 3" xfId="12322"/>
    <cellStyle name="Heading 1 2 2 2 8 7 7" xfId="12323"/>
    <cellStyle name="Heading 1 2 2 2 8 7 7 2" xfId="12324"/>
    <cellStyle name="Heading 1 2 2 2 8 7 7 2 2" xfId="12325"/>
    <cellStyle name="Heading 1 2 2 2 8 7 7 3" xfId="12326"/>
    <cellStyle name="Heading 1 2 2 2 8 7 8" xfId="12327"/>
    <cellStyle name="Heading 1 2 2 2 8 7 8 2" xfId="12328"/>
    <cellStyle name="Heading 1 2 2 2 8 7 9" xfId="12329"/>
    <cellStyle name="Heading 1 2 2 2 8 8" xfId="12330"/>
    <cellStyle name="Heading 1 2 2 2 8 8 2" xfId="12331"/>
    <cellStyle name="Heading 1 2 2 2 8 8 2 2" xfId="12332"/>
    <cellStyle name="Heading 1 2 2 2 8 8 2 2 2" xfId="12333"/>
    <cellStyle name="Heading 1 2 2 2 8 8 2 3" xfId="12334"/>
    <cellStyle name="Heading 1 2 2 2 8 8 3" xfId="12335"/>
    <cellStyle name="Heading 1 2 2 2 8 8 3 2" xfId="12336"/>
    <cellStyle name="Heading 1 2 2 2 8 8 3 2 2" xfId="12337"/>
    <cellStyle name="Heading 1 2 2 2 8 8 3 3" xfId="12338"/>
    <cellStyle name="Heading 1 2 2 2 8 8 4" xfId="12339"/>
    <cellStyle name="Heading 1 2 2 2 8 8 4 2" xfId="12340"/>
    <cellStyle name="Heading 1 2 2 2 8 8 4 2 2" xfId="12341"/>
    <cellStyle name="Heading 1 2 2 2 8 8 4 3" xfId="12342"/>
    <cellStyle name="Heading 1 2 2 2 8 8 5" xfId="12343"/>
    <cellStyle name="Heading 1 2 2 2 8 8 5 2" xfId="12344"/>
    <cellStyle name="Heading 1 2 2 2 8 8 5 2 2" xfId="12345"/>
    <cellStyle name="Heading 1 2 2 2 8 8 5 3" xfId="12346"/>
    <cellStyle name="Heading 1 2 2 2 8 8 6" xfId="12347"/>
    <cellStyle name="Heading 1 2 2 2 8 8 6 2" xfId="12348"/>
    <cellStyle name="Heading 1 2 2 2 8 8 6 2 2" xfId="12349"/>
    <cellStyle name="Heading 1 2 2 2 8 8 6 3" xfId="12350"/>
    <cellStyle name="Heading 1 2 2 2 8 8 7" xfId="12351"/>
    <cellStyle name="Heading 1 2 2 2 8 8 7 2" xfId="12352"/>
    <cellStyle name="Heading 1 2 2 2 8 8 7 2 2" xfId="12353"/>
    <cellStyle name="Heading 1 2 2 2 8 8 7 3" xfId="12354"/>
    <cellStyle name="Heading 1 2 2 2 8 8 8" xfId="12355"/>
    <cellStyle name="Heading 1 2 2 2 8 8 8 2" xfId="12356"/>
    <cellStyle name="Heading 1 2 2 2 8 8 9" xfId="12357"/>
    <cellStyle name="Heading 1 2 2 2 8 9" xfId="12358"/>
    <cellStyle name="Heading 1 2 2 2 8 9 2" xfId="12359"/>
    <cellStyle name="Heading 1 2 2 2 8 9 2 2" xfId="12360"/>
    <cellStyle name="Heading 1 2 2 2 8 9 2 2 2" xfId="12361"/>
    <cellStyle name="Heading 1 2 2 2 8 9 2 3" xfId="12362"/>
    <cellStyle name="Heading 1 2 2 2 8 9 3" xfId="12363"/>
    <cellStyle name="Heading 1 2 2 2 8 9 3 2" xfId="12364"/>
    <cellStyle name="Heading 1 2 2 2 8 9 3 2 2" xfId="12365"/>
    <cellStyle name="Heading 1 2 2 2 8 9 3 3" xfId="12366"/>
    <cellStyle name="Heading 1 2 2 2 8 9 4" xfId="12367"/>
    <cellStyle name="Heading 1 2 2 2 8 9 4 2" xfId="12368"/>
    <cellStyle name="Heading 1 2 2 2 8 9 4 2 2" xfId="12369"/>
    <cellStyle name="Heading 1 2 2 2 8 9 4 3" xfId="12370"/>
    <cellStyle name="Heading 1 2 2 2 8 9 5" xfId="12371"/>
    <cellStyle name="Heading 1 2 2 2 8 9 5 2" xfId="12372"/>
    <cellStyle name="Heading 1 2 2 2 8 9 5 2 2" xfId="12373"/>
    <cellStyle name="Heading 1 2 2 2 8 9 5 3" xfId="12374"/>
    <cellStyle name="Heading 1 2 2 2 8 9 6" xfId="12375"/>
    <cellStyle name="Heading 1 2 2 2 8 9 6 2" xfId="12376"/>
    <cellStyle name="Heading 1 2 2 2 8 9 6 2 2" xfId="12377"/>
    <cellStyle name="Heading 1 2 2 2 8 9 6 3" xfId="12378"/>
    <cellStyle name="Heading 1 2 2 2 8 9 7" xfId="12379"/>
    <cellStyle name="Heading 1 2 2 2 8 9 7 2" xfId="12380"/>
    <cellStyle name="Heading 1 2 2 2 8 9 7 2 2" xfId="12381"/>
    <cellStyle name="Heading 1 2 2 2 8 9 7 3" xfId="12382"/>
    <cellStyle name="Heading 1 2 2 2 8 9 8" xfId="12383"/>
    <cellStyle name="Heading 1 2 2 2 8 9 8 2" xfId="12384"/>
    <cellStyle name="Heading 1 2 2 2 8 9 9" xfId="12385"/>
    <cellStyle name="Heading 1 2 2 2 9" xfId="12386"/>
    <cellStyle name="Heading 1 2 2 2 9 2" xfId="12387"/>
    <cellStyle name="Heading 1 2 2 2 9 2 2" xfId="12388"/>
    <cellStyle name="Heading 1 2 2 2 9 3" xfId="12389"/>
    <cellStyle name="Heading 1 2 2 2 9 3 2" xfId="12390"/>
    <cellStyle name="Heading 1 2 2 2 9 4" xfId="12391"/>
    <cellStyle name="Heading 1 2 2 2 9 4 2" xfId="12392"/>
    <cellStyle name="Heading 1 2 2 2 9 5" xfId="12393"/>
    <cellStyle name="Heading 1 2 2 3" xfId="12394"/>
    <cellStyle name="Heading 1 2 2 3 2" xfId="12395"/>
    <cellStyle name="Heading 1 2 2 3 2 10" xfId="12396"/>
    <cellStyle name="Heading 1 2 2 3 2 10 2" xfId="12397"/>
    <cellStyle name="Heading 1 2 2 3 2 10 2 2" xfId="12398"/>
    <cellStyle name="Heading 1 2 2 3 2 10 3" xfId="12399"/>
    <cellStyle name="Heading 1 2 2 3 2 11" xfId="12400"/>
    <cellStyle name="Heading 1 2 2 3 2 11 2" xfId="12401"/>
    <cellStyle name="Heading 1 2 2 3 2 11 2 2" xfId="12402"/>
    <cellStyle name="Heading 1 2 2 3 2 11 3" xfId="12403"/>
    <cellStyle name="Heading 1 2 2 3 2 12" xfId="12404"/>
    <cellStyle name="Heading 1 2 2 3 2 12 2" xfId="12405"/>
    <cellStyle name="Heading 1 2 2 3 2 12 2 2" xfId="12406"/>
    <cellStyle name="Heading 1 2 2 3 2 12 3" xfId="12407"/>
    <cellStyle name="Heading 1 2 2 3 2 13" xfId="12408"/>
    <cellStyle name="Heading 1 2 2 3 2 13 2" xfId="12409"/>
    <cellStyle name="Heading 1 2 2 3 2 13 2 2" xfId="12410"/>
    <cellStyle name="Heading 1 2 2 3 2 13 3" xfId="12411"/>
    <cellStyle name="Heading 1 2 2 3 2 14" xfId="12412"/>
    <cellStyle name="Heading 1 2 2 3 2 14 2" xfId="12413"/>
    <cellStyle name="Heading 1 2 2 3 2 14 2 2" xfId="12414"/>
    <cellStyle name="Heading 1 2 2 3 2 14 3" xfId="12415"/>
    <cellStyle name="Heading 1 2 2 3 2 15" xfId="12416"/>
    <cellStyle name="Heading 1 2 2 3 2 15 2" xfId="12417"/>
    <cellStyle name="Heading 1 2 2 3 2 15 2 2" xfId="12418"/>
    <cellStyle name="Heading 1 2 2 3 2 15 3" xfId="12419"/>
    <cellStyle name="Heading 1 2 2 3 2 16" xfId="12420"/>
    <cellStyle name="Heading 1 2 2 3 2 16 2" xfId="12421"/>
    <cellStyle name="Heading 1 2 2 3 2 16 2 2" xfId="12422"/>
    <cellStyle name="Heading 1 2 2 3 2 16 3" xfId="12423"/>
    <cellStyle name="Heading 1 2 2 3 2 17" xfId="12424"/>
    <cellStyle name="Heading 1 2 2 3 2 17 2" xfId="12425"/>
    <cellStyle name="Heading 1 2 2 3 2 17 2 2" xfId="12426"/>
    <cellStyle name="Heading 1 2 2 3 2 17 3" xfId="12427"/>
    <cellStyle name="Heading 1 2 2 3 2 18" xfId="12428"/>
    <cellStyle name="Heading 1 2 2 3 2 18 2" xfId="12429"/>
    <cellStyle name="Heading 1 2 2 3 2 18 2 2" xfId="12430"/>
    <cellStyle name="Heading 1 2 2 3 2 18 3" xfId="12431"/>
    <cellStyle name="Heading 1 2 2 3 2 19" xfId="12432"/>
    <cellStyle name="Heading 1 2 2 3 2 19 2" xfId="12433"/>
    <cellStyle name="Heading 1 2 2 3 2 19 2 2" xfId="12434"/>
    <cellStyle name="Heading 1 2 2 3 2 19 3" xfId="12435"/>
    <cellStyle name="Heading 1 2 2 3 2 2" xfId="12436"/>
    <cellStyle name="Heading 1 2 2 3 2 2 10" xfId="12437"/>
    <cellStyle name="Heading 1 2 2 3 2 2 10 2" xfId="12438"/>
    <cellStyle name="Heading 1 2 2 3 2 2 10 2 2" xfId="12439"/>
    <cellStyle name="Heading 1 2 2 3 2 2 10 3" xfId="12440"/>
    <cellStyle name="Heading 1 2 2 3 2 2 11" xfId="12441"/>
    <cellStyle name="Heading 1 2 2 3 2 2 11 2" xfId="12442"/>
    <cellStyle name="Heading 1 2 2 3 2 2 11 2 2" xfId="12443"/>
    <cellStyle name="Heading 1 2 2 3 2 2 11 3" xfId="12444"/>
    <cellStyle name="Heading 1 2 2 3 2 2 12" xfId="12445"/>
    <cellStyle name="Heading 1 2 2 3 2 2 12 2" xfId="12446"/>
    <cellStyle name="Heading 1 2 2 3 2 2 12 2 2" xfId="12447"/>
    <cellStyle name="Heading 1 2 2 3 2 2 12 3" xfId="12448"/>
    <cellStyle name="Heading 1 2 2 3 2 2 13" xfId="12449"/>
    <cellStyle name="Heading 1 2 2 3 2 2 13 2" xfId="12450"/>
    <cellStyle name="Heading 1 2 2 3 2 2 13 2 2" xfId="12451"/>
    <cellStyle name="Heading 1 2 2 3 2 2 13 3" xfId="12452"/>
    <cellStyle name="Heading 1 2 2 3 2 2 14" xfId="12453"/>
    <cellStyle name="Heading 1 2 2 3 2 2 14 2" xfId="12454"/>
    <cellStyle name="Heading 1 2 2 3 2 2 14 2 2" xfId="12455"/>
    <cellStyle name="Heading 1 2 2 3 2 2 14 3" xfId="12456"/>
    <cellStyle name="Heading 1 2 2 3 2 2 15" xfId="12457"/>
    <cellStyle name="Heading 1 2 2 3 2 2 15 2" xfId="12458"/>
    <cellStyle name="Heading 1 2 2 3 2 2 15 2 2" xfId="12459"/>
    <cellStyle name="Heading 1 2 2 3 2 2 15 3" xfId="12460"/>
    <cellStyle name="Heading 1 2 2 3 2 2 16" xfId="12461"/>
    <cellStyle name="Heading 1 2 2 3 2 2 16 2" xfId="12462"/>
    <cellStyle name="Heading 1 2 2 3 2 2 16 2 2" xfId="12463"/>
    <cellStyle name="Heading 1 2 2 3 2 2 16 3" xfId="12464"/>
    <cellStyle name="Heading 1 2 2 3 2 2 17" xfId="12465"/>
    <cellStyle name="Heading 1 2 2 3 2 2 17 2" xfId="12466"/>
    <cellStyle name="Heading 1 2 2 3 2 2 17 2 2" xfId="12467"/>
    <cellStyle name="Heading 1 2 2 3 2 2 17 3" xfId="12468"/>
    <cellStyle name="Heading 1 2 2 3 2 2 18" xfId="12469"/>
    <cellStyle name="Heading 1 2 2 3 2 2 18 2" xfId="12470"/>
    <cellStyle name="Heading 1 2 2 3 2 2 18 2 2" xfId="12471"/>
    <cellStyle name="Heading 1 2 2 3 2 2 18 3" xfId="12472"/>
    <cellStyle name="Heading 1 2 2 3 2 2 19" xfId="12473"/>
    <cellStyle name="Heading 1 2 2 3 2 2 19 2" xfId="12474"/>
    <cellStyle name="Heading 1 2 2 3 2 2 2" xfId="12475"/>
    <cellStyle name="Heading 1 2 2 3 2 2 2 2" xfId="12476"/>
    <cellStyle name="Heading 1 2 2 3 2 2 2 2 2" xfId="12477"/>
    <cellStyle name="Heading 1 2 2 3 2 2 2 2 2 2" xfId="12478"/>
    <cellStyle name="Heading 1 2 2 3 2 2 2 2 3" xfId="12479"/>
    <cellStyle name="Heading 1 2 2 3 2 2 2 3" xfId="12480"/>
    <cellStyle name="Heading 1 2 2 3 2 2 2 3 2" xfId="12481"/>
    <cellStyle name="Heading 1 2 2 3 2 2 2 3 2 2" xfId="12482"/>
    <cellStyle name="Heading 1 2 2 3 2 2 2 3 3" xfId="12483"/>
    <cellStyle name="Heading 1 2 2 3 2 2 2 4" xfId="12484"/>
    <cellStyle name="Heading 1 2 2 3 2 2 2 4 2" xfId="12485"/>
    <cellStyle name="Heading 1 2 2 3 2 2 2 4 2 2" xfId="12486"/>
    <cellStyle name="Heading 1 2 2 3 2 2 2 4 3" xfId="12487"/>
    <cellStyle name="Heading 1 2 2 3 2 2 2 5" xfId="12488"/>
    <cellStyle name="Heading 1 2 2 3 2 2 2 5 2" xfId="12489"/>
    <cellStyle name="Heading 1 2 2 3 2 2 2 5 2 2" xfId="12490"/>
    <cellStyle name="Heading 1 2 2 3 2 2 2 5 3" xfId="12491"/>
    <cellStyle name="Heading 1 2 2 3 2 2 2 6" xfId="12492"/>
    <cellStyle name="Heading 1 2 2 3 2 2 2 6 2" xfId="12493"/>
    <cellStyle name="Heading 1 2 2 3 2 2 2 6 2 2" xfId="12494"/>
    <cellStyle name="Heading 1 2 2 3 2 2 2 6 3" xfId="12495"/>
    <cellStyle name="Heading 1 2 2 3 2 2 2 7" xfId="12496"/>
    <cellStyle name="Heading 1 2 2 3 2 2 2 7 2" xfId="12497"/>
    <cellStyle name="Heading 1 2 2 3 2 2 2 7 2 2" xfId="12498"/>
    <cellStyle name="Heading 1 2 2 3 2 2 2 7 3" xfId="12499"/>
    <cellStyle name="Heading 1 2 2 3 2 2 2 8" xfId="12500"/>
    <cellStyle name="Heading 1 2 2 3 2 2 2 8 2" xfId="12501"/>
    <cellStyle name="Heading 1 2 2 3 2 2 2 9" xfId="12502"/>
    <cellStyle name="Heading 1 2 2 3 2 2 20" xfId="12503"/>
    <cellStyle name="Heading 1 2 2 3 2 2 20 2" xfId="12504"/>
    <cellStyle name="Heading 1 2 2 3 2 2 21" xfId="12505"/>
    <cellStyle name="Heading 1 2 2 3 2 2 21 2" xfId="12506"/>
    <cellStyle name="Heading 1 2 2 3 2 2 22" xfId="12507"/>
    <cellStyle name="Heading 1 2 2 3 2 2 3" xfId="12508"/>
    <cellStyle name="Heading 1 2 2 3 2 2 3 2" xfId="12509"/>
    <cellStyle name="Heading 1 2 2 3 2 2 3 2 2" xfId="12510"/>
    <cellStyle name="Heading 1 2 2 3 2 2 3 2 2 2" xfId="12511"/>
    <cellStyle name="Heading 1 2 2 3 2 2 3 2 3" xfId="12512"/>
    <cellStyle name="Heading 1 2 2 3 2 2 3 3" xfId="12513"/>
    <cellStyle name="Heading 1 2 2 3 2 2 3 3 2" xfId="12514"/>
    <cellStyle name="Heading 1 2 2 3 2 2 3 3 2 2" xfId="12515"/>
    <cellStyle name="Heading 1 2 2 3 2 2 3 3 3" xfId="12516"/>
    <cellStyle name="Heading 1 2 2 3 2 2 3 4" xfId="12517"/>
    <cellStyle name="Heading 1 2 2 3 2 2 3 4 2" xfId="12518"/>
    <cellStyle name="Heading 1 2 2 3 2 2 3 4 2 2" xfId="12519"/>
    <cellStyle name="Heading 1 2 2 3 2 2 3 4 3" xfId="12520"/>
    <cellStyle name="Heading 1 2 2 3 2 2 3 5" xfId="12521"/>
    <cellStyle name="Heading 1 2 2 3 2 2 3 5 2" xfId="12522"/>
    <cellStyle name="Heading 1 2 2 3 2 2 3 5 2 2" xfId="12523"/>
    <cellStyle name="Heading 1 2 2 3 2 2 3 5 3" xfId="12524"/>
    <cellStyle name="Heading 1 2 2 3 2 2 3 6" xfId="12525"/>
    <cellStyle name="Heading 1 2 2 3 2 2 3 6 2" xfId="12526"/>
    <cellStyle name="Heading 1 2 2 3 2 2 3 6 2 2" xfId="12527"/>
    <cellStyle name="Heading 1 2 2 3 2 2 3 6 3" xfId="12528"/>
    <cellStyle name="Heading 1 2 2 3 2 2 3 7" xfId="12529"/>
    <cellStyle name="Heading 1 2 2 3 2 2 3 7 2" xfId="12530"/>
    <cellStyle name="Heading 1 2 2 3 2 2 3 7 2 2" xfId="12531"/>
    <cellStyle name="Heading 1 2 2 3 2 2 3 7 3" xfId="12532"/>
    <cellStyle name="Heading 1 2 2 3 2 2 3 8" xfId="12533"/>
    <cellStyle name="Heading 1 2 2 3 2 2 3 8 2" xfId="12534"/>
    <cellStyle name="Heading 1 2 2 3 2 2 3 9" xfId="12535"/>
    <cellStyle name="Heading 1 2 2 3 2 2 4" xfId="12536"/>
    <cellStyle name="Heading 1 2 2 3 2 2 4 2" xfId="12537"/>
    <cellStyle name="Heading 1 2 2 3 2 2 4 2 2" xfId="12538"/>
    <cellStyle name="Heading 1 2 2 3 2 2 4 2 2 2" xfId="12539"/>
    <cellStyle name="Heading 1 2 2 3 2 2 4 2 3" xfId="12540"/>
    <cellStyle name="Heading 1 2 2 3 2 2 4 3" xfId="12541"/>
    <cellStyle name="Heading 1 2 2 3 2 2 4 3 2" xfId="12542"/>
    <cellStyle name="Heading 1 2 2 3 2 2 4 3 2 2" xfId="12543"/>
    <cellStyle name="Heading 1 2 2 3 2 2 4 3 3" xfId="12544"/>
    <cellStyle name="Heading 1 2 2 3 2 2 4 4" xfId="12545"/>
    <cellStyle name="Heading 1 2 2 3 2 2 4 4 2" xfId="12546"/>
    <cellStyle name="Heading 1 2 2 3 2 2 4 4 2 2" xfId="12547"/>
    <cellStyle name="Heading 1 2 2 3 2 2 4 4 3" xfId="12548"/>
    <cellStyle name="Heading 1 2 2 3 2 2 4 5" xfId="12549"/>
    <cellStyle name="Heading 1 2 2 3 2 2 4 5 2" xfId="12550"/>
    <cellStyle name="Heading 1 2 2 3 2 2 4 5 2 2" xfId="12551"/>
    <cellStyle name="Heading 1 2 2 3 2 2 4 5 3" xfId="12552"/>
    <cellStyle name="Heading 1 2 2 3 2 2 4 6" xfId="12553"/>
    <cellStyle name="Heading 1 2 2 3 2 2 4 6 2" xfId="12554"/>
    <cellStyle name="Heading 1 2 2 3 2 2 4 6 2 2" xfId="12555"/>
    <cellStyle name="Heading 1 2 2 3 2 2 4 6 3" xfId="12556"/>
    <cellStyle name="Heading 1 2 2 3 2 2 4 7" xfId="12557"/>
    <cellStyle name="Heading 1 2 2 3 2 2 4 7 2" xfId="12558"/>
    <cellStyle name="Heading 1 2 2 3 2 2 4 7 2 2" xfId="12559"/>
    <cellStyle name="Heading 1 2 2 3 2 2 4 7 3" xfId="12560"/>
    <cellStyle name="Heading 1 2 2 3 2 2 4 8" xfId="12561"/>
    <cellStyle name="Heading 1 2 2 3 2 2 4 8 2" xfId="12562"/>
    <cellStyle name="Heading 1 2 2 3 2 2 4 9" xfId="12563"/>
    <cellStyle name="Heading 1 2 2 3 2 2 5" xfId="12564"/>
    <cellStyle name="Heading 1 2 2 3 2 2 5 2" xfId="12565"/>
    <cellStyle name="Heading 1 2 2 3 2 2 5 2 2" xfId="12566"/>
    <cellStyle name="Heading 1 2 2 3 2 2 5 2 2 2" xfId="12567"/>
    <cellStyle name="Heading 1 2 2 3 2 2 5 2 3" xfId="12568"/>
    <cellStyle name="Heading 1 2 2 3 2 2 5 3" xfId="12569"/>
    <cellStyle name="Heading 1 2 2 3 2 2 5 3 2" xfId="12570"/>
    <cellStyle name="Heading 1 2 2 3 2 2 5 3 2 2" xfId="12571"/>
    <cellStyle name="Heading 1 2 2 3 2 2 5 3 3" xfId="12572"/>
    <cellStyle name="Heading 1 2 2 3 2 2 5 4" xfId="12573"/>
    <cellStyle name="Heading 1 2 2 3 2 2 5 4 2" xfId="12574"/>
    <cellStyle name="Heading 1 2 2 3 2 2 5 4 2 2" xfId="12575"/>
    <cellStyle name="Heading 1 2 2 3 2 2 5 4 3" xfId="12576"/>
    <cellStyle name="Heading 1 2 2 3 2 2 5 5" xfId="12577"/>
    <cellStyle name="Heading 1 2 2 3 2 2 5 5 2" xfId="12578"/>
    <cellStyle name="Heading 1 2 2 3 2 2 5 5 2 2" xfId="12579"/>
    <cellStyle name="Heading 1 2 2 3 2 2 5 5 3" xfId="12580"/>
    <cellStyle name="Heading 1 2 2 3 2 2 5 6" xfId="12581"/>
    <cellStyle name="Heading 1 2 2 3 2 2 5 6 2" xfId="12582"/>
    <cellStyle name="Heading 1 2 2 3 2 2 5 6 2 2" xfId="12583"/>
    <cellStyle name="Heading 1 2 2 3 2 2 5 6 3" xfId="12584"/>
    <cellStyle name="Heading 1 2 2 3 2 2 5 7" xfId="12585"/>
    <cellStyle name="Heading 1 2 2 3 2 2 5 7 2" xfId="12586"/>
    <cellStyle name="Heading 1 2 2 3 2 2 5 7 2 2" xfId="12587"/>
    <cellStyle name="Heading 1 2 2 3 2 2 5 7 3" xfId="12588"/>
    <cellStyle name="Heading 1 2 2 3 2 2 5 8" xfId="12589"/>
    <cellStyle name="Heading 1 2 2 3 2 2 5 8 2" xfId="12590"/>
    <cellStyle name="Heading 1 2 2 3 2 2 5 9" xfId="12591"/>
    <cellStyle name="Heading 1 2 2 3 2 2 6" xfId="12592"/>
    <cellStyle name="Heading 1 2 2 3 2 2 6 2" xfId="12593"/>
    <cellStyle name="Heading 1 2 2 3 2 2 6 2 2" xfId="12594"/>
    <cellStyle name="Heading 1 2 2 3 2 2 6 2 2 2" xfId="12595"/>
    <cellStyle name="Heading 1 2 2 3 2 2 6 2 3" xfId="12596"/>
    <cellStyle name="Heading 1 2 2 3 2 2 6 3" xfId="12597"/>
    <cellStyle name="Heading 1 2 2 3 2 2 6 3 2" xfId="12598"/>
    <cellStyle name="Heading 1 2 2 3 2 2 6 3 2 2" xfId="12599"/>
    <cellStyle name="Heading 1 2 2 3 2 2 6 3 3" xfId="12600"/>
    <cellStyle name="Heading 1 2 2 3 2 2 6 4" xfId="12601"/>
    <cellStyle name="Heading 1 2 2 3 2 2 6 4 2" xfId="12602"/>
    <cellStyle name="Heading 1 2 2 3 2 2 6 4 2 2" xfId="12603"/>
    <cellStyle name="Heading 1 2 2 3 2 2 6 4 3" xfId="12604"/>
    <cellStyle name="Heading 1 2 2 3 2 2 6 5" xfId="12605"/>
    <cellStyle name="Heading 1 2 2 3 2 2 6 5 2" xfId="12606"/>
    <cellStyle name="Heading 1 2 2 3 2 2 6 5 2 2" xfId="12607"/>
    <cellStyle name="Heading 1 2 2 3 2 2 6 5 3" xfId="12608"/>
    <cellStyle name="Heading 1 2 2 3 2 2 6 6" xfId="12609"/>
    <cellStyle name="Heading 1 2 2 3 2 2 6 6 2" xfId="12610"/>
    <cellStyle name="Heading 1 2 2 3 2 2 6 6 2 2" xfId="12611"/>
    <cellStyle name="Heading 1 2 2 3 2 2 6 6 3" xfId="12612"/>
    <cellStyle name="Heading 1 2 2 3 2 2 6 7" xfId="12613"/>
    <cellStyle name="Heading 1 2 2 3 2 2 6 7 2" xfId="12614"/>
    <cellStyle name="Heading 1 2 2 3 2 2 6 7 2 2" xfId="12615"/>
    <cellStyle name="Heading 1 2 2 3 2 2 6 7 3" xfId="12616"/>
    <cellStyle name="Heading 1 2 2 3 2 2 6 8" xfId="12617"/>
    <cellStyle name="Heading 1 2 2 3 2 2 6 8 2" xfId="12618"/>
    <cellStyle name="Heading 1 2 2 3 2 2 6 9" xfId="12619"/>
    <cellStyle name="Heading 1 2 2 3 2 2 7" xfId="12620"/>
    <cellStyle name="Heading 1 2 2 3 2 2 7 2" xfId="12621"/>
    <cellStyle name="Heading 1 2 2 3 2 2 7 2 2" xfId="12622"/>
    <cellStyle name="Heading 1 2 2 3 2 2 7 2 2 2" xfId="12623"/>
    <cellStyle name="Heading 1 2 2 3 2 2 7 2 3" xfId="12624"/>
    <cellStyle name="Heading 1 2 2 3 2 2 7 3" xfId="12625"/>
    <cellStyle name="Heading 1 2 2 3 2 2 7 3 2" xfId="12626"/>
    <cellStyle name="Heading 1 2 2 3 2 2 7 3 2 2" xfId="12627"/>
    <cellStyle name="Heading 1 2 2 3 2 2 7 3 3" xfId="12628"/>
    <cellStyle name="Heading 1 2 2 3 2 2 7 4" xfId="12629"/>
    <cellStyle name="Heading 1 2 2 3 2 2 7 4 2" xfId="12630"/>
    <cellStyle name="Heading 1 2 2 3 2 2 7 4 2 2" xfId="12631"/>
    <cellStyle name="Heading 1 2 2 3 2 2 7 4 3" xfId="12632"/>
    <cellStyle name="Heading 1 2 2 3 2 2 7 5" xfId="12633"/>
    <cellStyle name="Heading 1 2 2 3 2 2 7 5 2" xfId="12634"/>
    <cellStyle name="Heading 1 2 2 3 2 2 7 5 2 2" xfId="12635"/>
    <cellStyle name="Heading 1 2 2 3 2 2 7 5 3" xfId="12636"/>
    <cellStyle name="Heading 1 2 2 3 2 2 7 6" xfId="12637"/>
    <cellStyle name="Heading 1 2 2 3 2 2 7 6 2" xfId="12638"/>
    <cellStyle name="Heading 1 2 2 3 2 2 7 6 2 2" xfId="12639"/>
    <cellStyle name="Heading 1 2 2 3 2 2 7 6 3" xfId="12640"/>
    <cellStyle name="Heading 1 2 2 3 2 2 7 7" xfId="12641"/>
    <cellStyle name="Heading 1 2 2 3 2 2 7 7 2" xfId="12642"/>
    <cellStyle name="Heading 1 2 2 3 2 2 7 7 2 2" xfId="12643"/>
    <cellStyle name="Heading 1 2 2 3 2 2 7 7 3" xfId="12644"/>
    <cellStyle name="Heading 1 2 2 3 2 2 7 8" xfId="12645"/>
    <cellStyle name="Heading 1 2 2 3 2 2 7 8 2" xfId="12646"/>
    <cellStyle name="Heading 1 2 2 3 2 2 7 9" xfId="12647"/>
    <cellStyle name="Heading 1 2 2 3 2 2 8" xfId="12648"/>
    <cellStyle name="Heading 1 2 2 3 2 2 8 2" xfId="12649"/>
    <cellStyle name="Heading 1 2 2 3 2 2 8 2 2" xfId="12650"/>
    <cellStyle name="Heading 1 2 2 3 2 2 8 2 2 2" xfId="12651"/>
    <cellStyle name="Heading 1 2 2 3 2 2 8 2 3" xfId="12652"/>
    <cellStyle name="Heading 1 2 2 3 2 2 8 3" xfId="12653"/>
    <cellStyle name="Heading 1 2 2 3 2 2 8 3 2" xfId="12654"/>
    <cellStyle name="Heading 1 2 2 3 2 2 8 3 2 2" xfId="12655"/>
    <cellStyle name="Heading 1 2 2 3 2 2 8 3 3" xfId="12656"/>
    <cellStyle name="Heading 1 2 2 3 2 2 8 4" xfId="12657"/>
    <cellStyle name="Heading 1 2 2 3 2 2 8 4 2" xfId="12658"/>
    <cellStyle name="Heading 1 2 2 3 2 2 8 4 2 2" xfId="12659"/>
    <cellStyle name="Heading 1 2 2 3 2 2 8 4 3" xfId="12660"/>
    <cellStyle name="Heading 1 2 2 3 2 2 8 5" xfId="12661"/>
    <cellStyle name="Heading 1 2 2 3 2 2 8 5 2" xfId="12662"/>
    <cellStyle name="Heading 1 2 2 3 2 2 8 5 2 2" xfId="12663"/>
    <cellStyle name="Heading 1 2 2 3 2 2 8 5 3" xfId="12664"/>
    <cellStyle name="Heading 1 2 2 3 2 2 8 6" xfId="12665"/>
    <cellStyle name="Heading 1 2 2 3 2 2 8 6 2" xfId="12666"/>
    <cellStyle name="Heading 1 2 2 3 2 2 8 6 2 2" xfId="12667"/>
    <cellStyle name="Heading 1 2 2 3 2 2 8 6 3" xfId="12668"/>
    <cellStyle name="Heading 1 2 2 3 2 2 8 7" xfId="12669"/>
    <cellStyle name="Heading 1 2 2 3 2 2 8 7 2" xfId="12670"/>
    <cellStyle name="Heading 1 2 2 3 2 2 8 7 2 2" xfId="12671"/>
    <cellStyle name="Heading 1 2 2 3 2 2 8 7 3" xfId="12672"/>
    <cellStyle name="Heading 1 2 2 3 2 2 8 8" xfId="12673"/>
    <cellStyle name="Heading 1 2 2 3 2 2 8 8 2" xfId="12674"/>
    <cellStyle name="Heading 1 2 2 3 2 2 8 9" xfId="12675"/>
    <cellStyle name="Heading 1 2 2 3 2 2 9" xfId="12676"/>
    <cellStyle name="Heading 1 2 2 3 2 2 9 2" xfId="12677"/>
    <cellStyle name="Heading 1 2 2 3 2 2 9 2 2" xfId="12678"/>
    <cellStyle name="Heading 1 2 2 3 2 2 9 3" xfId="12679"/>
    <cellStyle name="Heading 1 2 2 3 2 20" xfId="12680"/>
    <cellStyle name="Heading 1 2 2 3 2 20 2" xfId="12681"/>
    <cellStyle name="Heading 1 2 2 3 2 21" xfId="12682"/>
    <cellStyle name="Heading 1 2 2 3 2 21 2" xfId="12683"/>
    <cellStyle name="Heading 1 2 2 3 2 22" xfId="12684"/>
    <cellStyle name="Heading 1 2 2 3 2 22 2" xfId="12685"/>
    <cellStyle name="Heading 1 2 2 3 2 23" xfId="12686"/>
    <cellStyle name="Heading 1 2 2 3 2 3" xfId="12687"/>
    <cellStyle name="Heading 1 2 2 3 2 3 2" xfId="12688"/>
    <cellStyle name="Heading 1 2 2 3 2 3 2 2" xfId="12689"/>
    <cellStyle name="Heading 1 2 2 3 2 3 2 2 2" xfId="12690"/>
    <cellStyle name="Heading 1 2 2 3 2 3 2 3" xfId="12691"/>
    <cellStyle name="Heading 1 2 2 3 2 3 3" xfId="12692"/>
    <cellStyle name="Heading 1 2 2 3 2 3 3 2" xfId="12693"/>
    <cellStyle name="Heading 1 2 2 3 2 3 3 2 2" xfId="12694"/>
    <cellStyle name="Heading 1 2 2 3 2 3 3 3" xfId="12695"/>
    <cellStyle name="Heading 1 2 2 3 2 3 4" xfId="12696"/>
    <cellStyle name="Heading 1 2 2 3 2 3 4 2" xfId="12697"/>
    <cellStyle name="Heading 1 2 2 3 2 3 4 2 2" xfId="12698"/>
    <cellStyle name="Heading 1 2 2 3 2 3 4 3" xfId="12699"/>
    <cellStyle name="Heading 1 2 2 3 2 3 5" xfId="12700"/>
    <cellStyle name="Heading 1 2 2 3 2 3 5 2" xfId="12701"/>
    <cellStyle name="Heading 1 2 2 3 2 3 5 2 2" xfId="12702"/>
    <cellStyle name="Heading 1 2 2 3 2 3 5 3" xfId="12703"/>
    <cellStyle name="Heading 1 2 2 3 2 3 6" xfId="12704"/>
    <cellStyle name="Heading 1 2 2 3 2 3 6 2" xfId="12705"/>
    <cellStyle name="Heading 1 2 2 3 2 3 6 2 2" xfId="12706"/>
    <cellStyle name="Heading 1 2 2 3 2 3 6 3" xfId="12707"/>
    <cellStyle name="Heading 1 2 2 3 2 3 7" xfId="12708"/>
    <cellStyle name="Heading 1 2 2 3 2 3 7 2" xfId="12709"/>
    <cellStyle name="Heading 1 2 2 3 2 3 7 2 2" xfId="12710"/>
    <cellStyle name="Heading 1 2 2 3 2 3 7 3" xfId="12711"/>
    <cellStyle name="Heading 1 2 2 3 2 3 8" xfId="12712"/>
    <cellStyle name="Heading 1 2 2 3 2 3 8 2" xfId="12713"/>
    <cellStyle name="Heading 1 2 2 3 2 3 9" xfId="12714"/>
    <cellStyle name="Heading 1 2 2 3 2 4" xfId="12715"/>
    <cellStyle name="Heading 1 2 2 3 2 4 2" xfId="12716"/>
    <cellStyle name="Heading 1 2 2 3 2 4 2 2" xfId="12717"/>
    <cellStyle name="Heading 1 2 2 3 2 4 2 2 2" xfId="12718"/>
    <cellStyle name="Heading 1 2 2 3 2 4 2 3" xfId="12719"/>
    <cellStyle name="Heading 1 2 2 3 2 4 3" xfId="12720"/>
    <cellStyle name="Heading 1 2 2 3 2 4 3 2" xfId="12721"/>
    <cellStyle name="Heading 1 2 2 3 2 4 3 2 2" xfId="12722"/>
    <cellStyle name="Heading 1 2 2 3 2 4 3 3" xfId="12723"/>
    <cellStyle name="Heading 1 2 2 3 2 4 4" xfId="12724"/>
    <cellStyle name="Heading 1 2 2 3 2 4 4 2" xfId="12725"/>
    <cellStyle name="Heading 1 2 2 3 2 4 4 2 2" xfId="12726"/>
    <cellStyle name="Heading 1 2 2 3 2 4 4 3" xfId="12727"/>
    <cellStyle name="Heading 1 2 2 3 2 4 5" xfId="12728"/>
    <cellStyle name="Heading 1 2 2 3 2 4 5 2" xfId="12729"/>
    <cellStyle name="Heading 1 2 2 3 2 4 5 2 2" xfId="12730"/>
    <cellStyle name="Heading 1 2 2 3 2 4 5 3" xfId="12731"/>
    <cellStyle name="Heading 1 2 2 3 2 4 6" xfId="12732"/>
    <cellStyle name="Heading 1 2 2 3 2 4 6 2" xfId="12733"/>
    <cellStyle name="Heading 1 2 2 3 2 4 6 2 2" xfId="12734"/>
    <cellStyle name="Heading 1 2 2 3 2 4 6 3" xfId="12735"/>
    <cellStyle name="Heading 1 2 2 3 2 4 7" xfId="12736"/>
    <cellStyle name="Heading 1 2 2 3 2 4 7 2" xfId="12737"/>
    <cellStyle name="Heading 1 2 2 3 2 4 7 2 2" xfId="12738"/>
    <cellStyle name="Heading 1 2 2 3 2 4 7 3" xfId="12739"/>
    <cellStyle name="Heading 1 2 2 3 2 4 8" xfId="12740"/>
    <cellStyle name="Heading 1 2 2 3 2 4 8 2" xfId="12741"/>
    <cellStyle name="Heading 1 2 2 3 2 4 9" xfId="12742"/>
    <cellStyle name="Heading 1 2 2 3 2 5" xfId="12743"/>
    <cellStyle name="Heading 1 2 2 3 2 5 2" xfId="12744"/>
    <cellStyle name="Heading 1 2 2 3 2 5 2 2" xfId="12745"/>
    <cellStyle name="Heading 1 2 2 3 2 5 2 2 2" xfId="12746"/>
    <cellStyle name="Heading 1 2 2 3 2 5 2 3" xfId="12747"/>
    <cellStyle name="Heading 1 2 2 3 2 5 3" xfId="12748"/>
    <cellStyle name="Heading 1 2 2 3 2 5 3 2" xfId="12749"/>
    <cellStyle name="Heading 1 2 2 3 2 5 3 2 2" xfId="12750"/>
    <cellStyle name="Heading 1 2 2 3 2 5 3 3" xfId="12751"/>
    <cellStyle name="Heading 1 2 2 3 2 5 4" xfId="12752"/>
    <cellStyle name="Heading 1 2 2 3 2 5 4 2" xfId="12753"/>
    <cellStyle name="Heading 1 2 2 3 2 5 4 2 2" xfId="12754"/>
    <cellStyle name="Heading 1 2 2 3 2 5 4 3" xfId="12755"/>
    <cellStyle name="Heading 1 2 2 3 2 5 5" xfId="12756"/>
    <cellStyle name="Heading 1 2 2 3 2 5 5 2" xfId="12757"/>
    <cellStyle name="Heading 1 2 2 3 2 5 5 2 2" xfId="12758"/>
    <cellStyle name="Heading 1 2 2 3 2 5 5 3" xfId="12759"/>
    <cellStyle name="Heading 1 2 2 3 2 5 6" xfId="12760"/>
    <cellStyle name="Heading 1 2 2 3 2 5 6 2" xfId="12761"/>
    <cellStyle name="Heading 1 2 2 3 2 5 6 2 2" xfId="12762"/>
    <cellStyle name="Heading 1 2 2 3 2 5 6 3" xfId="12763"/>
    <cellStyle name="Heading 1 2 2 3 2 5 7" xfId="12764"/>
    <cellStyle name="Heading 1 2 2 3 2 5 7 2" xfId="12765"/>
    <cellStyle name="Heading 1 2 2 3 2 5 7 2 2" xfId="12766"/>
    <cellStyle name="Heading 1 2 2 3 2 5 7 3" xfId="12767"/>
    <cellStyle name="Heading 1 2 2 3 2 5 8" xfId="12768"/>
    <cellStyle name="Heading 1 2 2 3 2 5 8 2" xfId="12769"/>
    <cellStyle name="Heading 1 2 2 3 2 5 9" xfId="12770"/>
    <cellStyle name="Heading 1 2 2 3 2 6" xfId="12771"/>
    <cellStyle name="Heading 1 2 2 3 2 6 2" xfId="12772"/>
    <cellStyle name="Heading 1 2 2 3 2 6 2 2" xfId="12773"/>
    <cellStyle name="Heading 1 2 2 3 2 6 2 2 2" xfId="12774"/>
    <cellStyle name="Heading 1 2 2 3 2 6 2 3" xfId="12775"/>
    <cellStyle name="Heading 1 2 2 3 2 6 3" xfId="12776"/>
    <cellStyle name="Heading 1 2 2 3 2 6 3 2" xfId="12777"/>
    <cellStyle name="Heading 1 2 2 3 2 6 3 2 2" xfId="12778"/>
    <cellStyle name="Heading 1 2 2 3 2 6 3 3" xfId="12779"/>
    <cellStyle name="Heading 1 2 2 3 2 6 4" xfId="12780"/>
    <cellStyle name="Heading 1 2 2 3 2 6 4 2" xfId="12781"/>
    <cellStyle name="Heading 1 2 2 3 2 6 4 2 2" xfId="12782"/>
    <cellStyle name="Heading 1 2 2 3 2 6 4 3" xfId="12783"/>
    <cellStyle name="Heading 1 2 2 3 2 6 5" xfId="12784"/>
    <cellStyle name="Heading 1 2 2 3 2 6 5 2" xfId="12785"/>
    <cellStyle name="Heading 1 2 2 3 2 6 5 2 2" xfId="12786"/>
    <cellStyle name="Heading 1 2 2 3 2 6 5 3" xfId="12787"/>
    <cellStyle name="Heading 1 2 2 3 2 6 6" xfId="12788"/>
    <cellStyle name="Heading 1 2 2 3 2 6 6 2" xfId="12789"/>
    <cellStyle name="Heading 1 2 2 3 2 6 6 2 2" xfId="12790"/>
    <cellStyle name="Heading 1 2 2 3 2 6 6 3" xfId="12791"/>
    <cellStyle name="Heading 1 2 2 3 2 6 7" xfId="12792"/>
    <cellStyle name="Heading 1 2 2 3 2 6 7 2" xfId="12793"/>
    <cellStyle name="Heading 1 2 2 3 2 6 7 2 2" xfId="12794"/>
    <cellStyle name="Heading 1 2 2 3 2 6 7 3" xfId="12795"/>
    <cellStyle name="Heading 1 2 2 3 2 6 8" xfId="12796"/>
    <cellStyle name="Heading 1 2 2 3 2 6 8 2" xfId="12797"/>
    <cellStyle name="Heading 1 2 2 3 2 6 9" xfId="12798"/>
    <cellStyle name="Heading 1 2 2 3 2 7" xfId="12799"/>
    <cellStyle name="Heading 1 2 2 3 2 7 2" xfId="12800"/>
    <cellStyle name="Heading 1 2 2 3 2 7 2 2" xfId="12801"/>
    <cellStyle name="Heading 1 2 2 3 2 7 2 2 2" xfId="12802"/>
    <cellStyle name="Heading 1 2 2 3 2 7 2 3" xfId="12803"/>
    <cellStyle name="Heading 1 2 2 3 2 7 3" xfId="12804"/>
    <cellStyle name="Heading 1 2 2 3 2 7 3 2" xfId="12805"/>
    <cellStyle name="Heading 1 2 2 3 2 7 3 2 2" xfId="12806"/>
    <cellStyle name="Heading 1 2 2 3 2 7 3 3" xfId="12807"/>
    <cellStyle name="Heading 1 2 2 3 2 7 4" xfId="12808"/>
    <cellStyle name="Heading 1 2 2 3 2 7 4 2" xfId="12809"/>
    <cellStyle name="Heading 1 2 2 3 2 7 4 2 2" xfId="12810"/>
    <cellStyle name="Heading 1 2 2 3 2 7 4 3" xfId="12811"/>
    <cellStyle name="Heading 1 2 2 3 2 7 5" xfId="12812"/>
    <cellStyle name="Heading 1 2 2 3 2 7 5 2" xfId="12813"/>
    <cellStyle name="Heading 1 2 2 3 2 7 5 2 2" xfId="12814"/>
    <cellStyle name="Heading 1 2 2 3 2 7 5 3" xfId="12815"/>
    <cellStyle name="Heading 1 2 2 3 2 7 6" xfId="12816"/>
    <cellStyle name="Heading 1 2 2 3 2 7 6 2" xfId="12817"/>
    <cellStyle name="Heading 1 2 2 3 2 7 6 2 2" xfId="12818"/>
    <cellStyle name="Heading 1 2 2 3 2 7 6 3" xfId="12819"/>
    <cellStyle name="Heading 1 2 2 3 2 7 7" xfId="12820"/>
    <cellStyle name="Heading 1 2 2 3 2 7 7 2" xfId="12821"/>
    <cellStyle name="Heading 1 2 2 3 2 7 7 2 2" xfId="12822"/>
    <cellStyle name="Heading 1 2 2 3 2 7 7 3" xfId="12823"/>
    <cellStyle name="Heading 1 2 2 3 2 7 8" xfId="12824"/>
    <cellStyle name="Heading 1 2 2 3 2 7 8 2" xfId="12825"/>
    <cellStyle name="Heading 1 2 2 3 2 7 9" xfId="12826"/>
    <cellStyle name="Heading 1 2 2 3 2 8" xfId="12827"/>
    <cellStyle name="Heading 1 2 2 3 2 8 2" xfId="12828"/>
    <cellStyle name="Heading 1 2 2 3 2 8 2 2" xfId="12829"/>
    <cellStyle name="Heading 1 2 2 3 2 8 2 2 2" xfId="12830"/>
    <cellStyle name="Heading 1 2 2 3 2 8 2 3" xfId="12831"/>
    <cellStyle name="Heading 1 2 2 3 2 8 3" xfId="12832"/>
    <cellStyle name="Heading 1 2 2 3 2 8 3 2" xfId="12833"/>
    <cellStyle name="Heading 1 2 2 3 2 8 3 2 2" xfId="12834"/>
    <cellStyle name="Heading 1 2 2 3 2 8 3 3" xfId="12835"/>
    <cellStyle name="Heading 1 2 2 3 2 8 4" xfId="12836"/>
    <cellStyle name="Heading 1 2 2 3 2 8 4 2" xfId="12837"/>
    <cellStyle name="Heading 1 2 2 3 2 8 4 2 2" xfId="12838"/>
    <cellStyle name="Heading 1 2 2 3 2 8 4 3" xfId="12839"/>
    <cellStyle name="Heading 1 2 2 3 2 8 5" xfId="12840"/>
    <cellStyle name="Heading 1 2 2 3 2 8 5 2" xfId="12841"/>
    <cellStyle name="Heading 1 2 2 3 2 8 5 2 2" xfId="12842"/>
    <cellStyle name="Heading 1 2 2 3 2 8 5 3" xfId="12843"/>
    <cellStyle name="Heading 1 2 2 3 2 8 6" xfId="12844"/>
    <cellStyle name="Heading 1 2 2 3 2 8 6 2" xfId="12845"/>
    <cellStyle name="Heading 1 2 2 3 2 8 6 2 2" xfId="12846"/>
    <cellStyle name="Heading 1 2 2 3 2 8 6 3" xfId="12847"/>
    <cellStyle name="Heading 1 2 2 3 2 8 7" xfId="12848"/>
    <cellStyle name="Heading 1 2 2 3 2 8 7 2" xfId="12849"/>
    <cellStyle name="Heading 1 2 2 3 2 8 7 2 2" xfId="12850"/>
    <cellStyle name="Heading 1 2 2 3 2 8 7 3" xfId="12851"/>
    <cellStyle name="Heading 1 2 2 3 2 8 8" xfId="12852"/>
    <cellStyle name="Heading 1 2 2 3 2 8 8 2" xfId="12853"/>
    <cellStyle name="Heading 1 2 2 3 2 8 9" xfId="12854"/>
    <cellStyle name="Heading 1 2 2 3 2 9" xfId="12855"/>
    <cellStyle name="Heading 1 2 2 3 2 9 2" xfId="12856"/>
    <cellStyle name="Heading 1 2 2 3 2 9 2 2" xfId="12857"/>
    <cellStyle name="Heading 1 2 2 3 2 9 2 2 2" xfId="12858"/>
    <cellStyle name="Heading 1 2 2 3 2 9 2 3" xfId="12859"/>
    <cellStyle name="Heading 1 2 2 3 2 9 3" xfId="12860"/>
    <cellStyle name="Heading 1 2 2 3 2 9 3 2" xfId="12861"/>
    <cellStyle name="Heading 1 2 2 3 2 9 3 2 2" xfId="12862"/>
    <cellStyle name="Heading 1 2 2 3 2 9 3 3" xfId="12863"/>
    <cellStyle name="Heading 1 2 2 3 2 9 4" xfId="12864"/>
    <cellStyle name="Heading 1 2 2 3 2 9 4 2" xfId="12865"/>
    <cellStyle name="Heading 1 2 2 3 2 9 4 2 2" xfId="12866"/>
    <cellStyle name="Heading 1 2 2 3 2 9 4 3" xfId="12867"/>
    <cellStyle name="Heading 1 2 2 3 2 9 5" xfId="12868"/>
    <cellStyle name="Heading 1 2 2 3 2 9 5 2" xfId="12869"/>
    <cellStyle name="Heading 1 2 2 3 2 9 5 2 2" xfId="12870"/>
    <cellStyle name="Heading 1 2 2 3 2 9 5 3" xfId="12871"/>
    <cellStyle name="Heading 1 2 2 3 2 9 6" xfId="12872"/>
    <cellStyle name="Heading 1 2 2 3 2 9 6 2" xfId="12873"/>
    <cellStyle name="Heading 1 2 2 3 2 9 6 2 2" xfId="12874"/>
    <cellStyle name="Heading 1 2 2 3 2 9 6 3" xfId="12875"/>
    <cellStyle name="Heading 1 2 2 3 2 9 7" xfId="12876"/>
    <cellStyle name="Heading 1 2 2 3 2 9 7 2" xfId="12877"/>
    <cellStyle name="Heading 1 2 2 3 2 9 7 2 2" xfId="12878"/>
    <cellStyle name="Heading 1 2 2 3 2 9 7 3" xfId="12879"/>
    <cellStyle name="Heading 1 2 2 3 2 9 8" xfId="12880"/>
    <cellStyle name="Heading 1 2 2 3 2 9 8 2" xfId="12881"/>
    <cellStyle name="Heading 1 2 2 3 2 9 9" xfId="12882"/>
    <cellStyle name="Heading 1 2 2 3 3" xfId="12883"/>
    <cellStyle name="Heading 1 2 2 3 3 10" xfId="12884"/>
    <cellStyle name="Heading 1 2 2 3 3 10 2" xfId="12885"/>
    <cellStyle name="Heading 1 2 2 3 3 10 2 2" xfId="12886"/>
    <cellStyle name="Heading 1 2 2 3 3 10 3" xfId="12887"/>
    <cellStyle name="Heading 1 2 2 3 3 11" xfId="12888"/>
    <cellStyle name="Heading 1 2 2 3 3 11 2" xfId="12889"/>
    <cellStyle name="Heading 1 2 2 3 3 11 2 2" xfId="12890"/>
    <cellStyle name="Heading 1 2 2 3 3 11 3" xfId="12891"/>
    <cellStyle name="Heading 1 2 2 3 3 12" xfId="12892"/>
    <cellStyle name="Heading 1 2 2 3 3 12 2" xfId="12893"/>
    <cellStyle name="Heading 1 2 2 3 3 12 2 2" xfId="12894"/>
    <cellStyle name="Heading 1 2 2 3 3 12 3" xfId="12895"/>
    <cellStyle name="Heading 1 2 2 3 3 13" xfId="12896"/>
    <cellStyle name="Heading 1 2 2 3 3 13 2" xfId="12897"/>
    <cellStyle name="Heading 1 2 2 3 3 13 2 2" xfId="12898"/>
    <cellStyle name="Heading 1 2 2 3 3 13 3" xfId="12899"/>
    <cellStyle name="Heading 1 2 2 3 3 14" xfId="12900"/>
    <cellStyle name="Heading 1 2 2 3 3 14 2" xfId="12901"/>
    <cellStyle name="Heading 1 2 2 3 3 14 2 2" xfId="12902"/>
    <cellStyle name="Heading 1 2 2 3 3 14 3" xfId="12903"/>
    <cellStyle name="Heading 1 2 2 3 3 15" xfId="12904"/>
    <cellStyle name="Heading 1 2 2 3 3 15 2" xfId="12905"/>
    <cellStyle name="Heading 1 2 2 3 3 15 2 2" xfId="12906"/>
    <cellStyle name="Heading 1 2 2 3 3 15 3" xfId="12907"/>
    <cellStyle name="Heading 1 2 2 3 3 16" xfId="12908"/>
    <cellStyle name="Heading 1 2 2 3 3 16 2" xfId="12909"/>
    <cellStyle name="Heading 1 2 2 3 3 16 2 2" xfId="12910"/>
    <cellStyle name="Heading 1 2 2 3 3 16 3" xfId="12911"/>
    <cellStyle name="Heading 1 2 2 3 3 17" xfId="12912"/>
    <cellStyle name="Heading 1 2 2 3 3 17 2" xfId="12913"/>
    <cellStyle name="Heading 1 2 2 3 3 17 2 2" xfId="12914"/>
    <cellStyle name="Heading 1 2 2 3 3 17 3" xfId="12915"/>
    <cellStyle name="Heading 1 2 2 3 3 18" xfId="12916"/>
    <cellStyle name="Heading 1 2 2 3 3 18 2" xfId="12917"/>
    <cellStyle name="Heading 1 2 2 3 3 18 2 2" xfId="12918"/>
    <cellStyle name="Heading 1 2 2 3 3 18 3" xfId="12919"/>
    <cellStyle name="Heading 1 2 2 3 3 19" xfId="12920"/>
    <cellStyle name="Heading 1 2 2 3 3 19 2" xfId="12921"/>
    <cellStyle name="Heading 1 2 2 3 3 2" xfId="12922"/>
    <cellStyle name="Heading 1 2 2 3 3 2 2" xfId="12923"/>
    <cellStyle name="Heading 1 2 2 3 3 2 2 2" xfId="12924"/>
    <cellStyle name="Heading 1 2 2 3 3 2 2 2 2" xfId="12925"/>
    <cellStyle name="Heading 1 2 2 3 3 2 2 3" xfId="12926"/>
    <cellStyle name="Heading 1 2 2 3 3 2 3" xfId="12927"/>
    <cellStyle name="Heading 1 2 2 3 3 2 3 2" xfId="12928"/>
    <cellStyle name="Heading 1 2 2 3 3 2 3 2 2" xfId="12929"/>
    <cellStyle name="Heading 1 2 2 3 3 2 3 3" xfId="12930"/>
    <cellStyle name="Heading 1 2 2 3 3 2 4" xfId="12931"/>
    <cellStyle name="Heading 1 2 2 3 3 2 4 2" xfId="12932"/>
    <cellStyle name="Heading 1 2 2 3 3 2 4 2 2" xfId="12933"/>
    <cellStyle name="Heading 1 2 2 3 3 2 4 3" xfId="12934"/>
    <cellStyle name="Heading 1 2 2 3 3 2 5" xfId="12935"/>
    <cellStyle name="Heading 1 2 2 3 3 2 5 2" xfId="12936"/>
    <cellStyle name="Heading 1 2 2 3 3 2 5 2 2" xfId="12937"/>
    <cellStyle name="Heading 1 2 2 3 3 2 5 3" xfId="12938"/>
    <cellStyle name="Heading 1 2 2 3 3 2 6" xfId="12939"/>
    <cellStyle name="Heading 1 2 2 3 3 2 6 2" xfId="12940"/>
    <cellStyle name="Heading 1 2 2 3 3 2 6 2 2" xfId="12941"/>
    <cellStyle name="Heading 1 2 2 3 3 2 6 3" xfId="12942"/>
    <cellStyle name="Heading 1 2 2 3 3 2 7" xfId="12943"/>
    <cellStyle name="Heading 1 2 2 3 3 2 7 2" xfId="12944"/>
    <cellStyle name="Heading 1 2 2 3 3 2 7 2 2" xfId="12945"/>
    <cellStyle name="Heading 1 2 2 3 3 2 7 3" xfId="12946"/>
    <cellStyle name="Heading 1 2 2 3 3 2 8" xfId="12947"/>
    <cellStyle name="Heading 1 2 2 3 3 2 8 2" xfId="12948"/>
    <cellStyle name="Heading 1 2 2 3 3 2 9" xfId="12949"/>
    <cellStyle name="Heading 1 2 2 3 3 20" xfId="12950"/>
    <cellStyle name="Heading 1 2 2 3 3 20 2" xfId="12951"/>
    <cellStyle name="Heading 1 2 2 3 3 21" xfId="12952"/>
    <cellStyle name="Heading 1 2 2 3 3 21 2" xfId="12953"/>
    <cellStyle name="Heading 1 2 2 3 3 22" xfId="12954"/>
    <cellStyle name="Heading 1 2 2 3 3 3" xfId="12955"/>
    <cellStyle name="Heading 1 2 2 3 3 3 2" xfId="12956"/>
    <cellStyle name="Heading 1 2 2 3 3 3 2 2" xfId="12957"/>
    <cellStyle name="Heading 1 2 2 3 3 3 2 2 2" xfId="12958"/>
    <cellStyle name="Heading 1 2 2 3 3 3 2 3" xfId="12959"/>
    <cellStyle name="Heading 1 2 2 3 3 3 3" xfId="12960"/>
    <cellStyle name="Heading 1 2 2 3 3 3 3 2" xfId="12961"/>
    <cellStyle name="Heading 1 2 2 3 3 3 3 2 2" xfId="12962"/>
    <cellStyle name="Heading 1 2 2 3 3 3 3 3" xfId="12963"/>
    <cellStyle name="Heading 1 2 2 3 3 3 4" xfId="12964"/>
    <cellStyle name="Heading 1 2 2 3 3 3 4 2" xfId="12965"/>
    <cellStyle name="Heading 1 2 2 3 3 3 4 2 2" xfId="12966"/>
    <cellStyle name="Heading 1 2 2 3 3 3 4 3" xfId="12967"/>
    <cellStyle name="Heading 1 2 2 3 3 3 5" xfId="12968"/>
    <cellStyle name="Heading 1 2 2 3 3 3 5 2" xfId="12969"/>
    <cellStyle name="Heading 1 2 2 3 3 3 5 2 2" xfId="12970"/>
    <cellStyle name="Heading 1 2 2 3 3 3 5 3" xfId="12971"/>
    <cellStyle name="Heading 1 2 2 3 3 3 6" xfId="12972"/>
    <cellStyle name="Heading 1 2 2 3 3 3 6 2" xfId="12973"/>
    <cellStyle name="Heading 1 2 2 3 3 3 6 2 2" xfId="12974"/>
    <cellStyle name="Heading 1 2 2 3 3 3 6 3" xfId="12975"/>
    <cellStyle name="Heading 1 2 2 3 3 3 7" xfId="12976"/>
    <cellStyle name="Heading 1 2 2 3 3 3 7 2" xfId="12977"/>
    <cellStyle name="Heading 1 2 2 3 3 3 7 2 2" xfId="12978"/>
    <cellStyle name="Heading 1 2 2 3 3 3 7 3" xfId="12979"/>
    <cellStyle name="Heading 1 2 2 3 3 3 8" xfId="12980"/>
    <cellStyle name="Heading 1 2 2 3 3 3 8 2" xfId="12981"/>
    <cellStyle name="Heading 1 2 2 3 3 3 9" xfId="12982"/>
    <cellStyle name="Heading 1 2 2 3 3 4" xfId="12983"/>
    <cellStyle name="Heading 1 2 2 3 3 4 2" xfId="12984"/>
    <cellStyle name="Heading 1 2 2 3 3 4 2 2" xfId="12985"/>
    <cellStyle name="Heading 1 2 2 3 3 4 2 2 2" xfId="12986"/>
    <cellStyle name="Heading 1 2 2 3 3 4 2 3" xfId="12987"/>
    <cellStyle name="Heading 1 2 2 3 3 4 3" xfId="12988"/>
    <cellStyle name="Heading 1 2 2 3 3 4 3 2" xfId="12989"/>
    <cellStyle name="Heading 1 2 2 3 3 4 3 2 2" xfId="12990"/>
    <cellStyle name="Heading 1 2 2 3 3 4 3 3" xfId="12991"/>
    <cellStyle name="Heading 1 2 2 3 3 4 4" xfId="12992"/>
    <cellStyle name="Heading 1 2 2 3 3 4 4 2" xfId="12993"/>
    <cellStyle name="Heading 1 2 2 3 3 4 4 2 2" xfId="12994"/>
    <cellStyle name="Heading 1 2 2 3 3 4 4 3" xfId="12995"/>
    <cellStyle name="Heading 1 2 2 3 3 4 5" xfId="12996"/>
    <cellStyle name="Heading 1 2 2 3 3 4 5 2" xfId="12997"/>
    <cellStyle name="Heading 1 2 2 3 3 4 5 2 2" xfId="12998"/>
    <cellStyle name="Heading 1 2 2 3 3 4 5 3" xfId="12999"/>
    <cellStyle name="Heading 1 2 2 3 3 4 6" xfId="13000"/>
    <cellStyle name="Heading 1 2 2 3 3 4 6 2" xfId="13001"/>
    <cellStyle name="Heading 1 2 2 3 3 4 6 2 2" xfId="13002"/>
    <cellStyle name="Heading 1 2 2 3 3 4 6 3" xfId="13003"/>
    <cellStyle name="Heading 1 2 2 3 3 4 7" xfId="13004"/>
    <cellStyle name="Heading 1 2 2 3 3 4 7 2" xfId="13005"/>
    <cellStyle name="Heading 1 2 2 3 3 4 7 2 2" xfId="13006"/>
    <cellStyle name="Heading 1 2 2 3 3 4 7 3" xfId="13007"/>
    <cellStyle name="Heading 1 2 2 3 3 4 8" xfId="13008"/>
    <cellStyle name="Heading 1 2 2 3 3 4 8 2" xfId="13009"/>
    <cellStyle name="Heading 1 2 2 3 3 4 9" xfId="13010"/>
    <cellStyle name="Heading 1 2 2 3 3 5" xfId="13011"/>
    <cellStyle name="Heading 1 2 2 3 3 5 2" xfId="13012"/>
    <cellStyle name="Heading 1 2 2 3 3 5 2 2" xfId="13013"/>
    <cellStyle name="Heading 1 2 2 3 3 5 2 2 2" xfId="13014"/>
    <cellStyle name="Heading 1 2 2 3 3 5 2 3" xfId="13015"/>
    <cellStyle name="Heading 1 2 2 3 3 5 3" xfId="13016"/>
    <cellStyle name="Heading 1 2 2 3 3 5 3 2" xfId="13017"/>
    <cellStyle name="Heading 1 2 2 3 3 5 3 2 2" xfId="13018"/>
    <cellStyle name="Heading 1 2 2 3 3 5 3 3" xfId="13019"/>
    <cellStyle name="Heading 1 2 2 3 3 5 4" xfId="13020"/>
    <cellStyle name="Heading 1 2 2 3 3 5 4 2" xfId="13021"/>
    <cellStyle name="Heading 1 2 2 3 3 5 4 2 2" xfId="13022"/>
    <cellStyle name="Heading 1 2 2 3 3 5 4 3" xfId="13023"/>
    <cellStyle name="Heading 1 2 2 3 3 5 5" xfId="13024"/>
    <cellStyle name="Heading 1 2 2 3 3 5 5 2" xfId="13025"/>
    <cellStyle name="Heading 1 2 2 3 3 5 5 2 2" xfId="13026"/>
    <cellStyle name="Heading 1 2 2 3 3 5 5 3" xfId="13027"/>
    <cellStyle name="Heading 1 2 2 3 3 5 6" xfId="13028"/>
    <cellStyle name="Heading 1 2 2 3 3 5 6 2" xfId="13029"/>
    <cellStyle name="Heading 1 2 2 3 3 5 6 2 2" xfId="13030"/>
    <cellStyle name="Heading 1 2 2 3 3 5 6 3" xfId="13031"/>
    <cellStyle name="Heading 1 2 2 3 3 5 7" xfId="13032"/>
    <cellStyle name="Heading 1 2 2 3 3 5 7 2" xfId="13033"/>
    <cellStyle name="Heading 1 2 2 3 3 5 7 2 2" xfId="13034"/>
    <cellStyle name="Heading 1 2 2 3 3 5 7 3" xfId="13035"/>
    <cellStyle name="Heading 1 2 2 3 3 5 8" xfId="13036"/>
    <cellStyle name="Heading 1 2 2 3 3 5 8 2" xfId="13037"/>
    <cellStyle name="Heading 1 2 2 3 3 5 9" xfId="13038"/>
    <cellStyle name="Heading 1 2 2 3 3 6" xfId="13039"/>
    <cellStyle name="Heading 1 2 2 3 3 6 2" xfId="13040"/>
    <cellStyle name="Heading 1 2 2 3 3 6 2 2" xfId="13041"/>
    <cellStyle name="Heading 1 2 2 3 3 6 2 2 2" xfId="13042"/>
    <cellStyle name="Heading 1 2 2 3 3 6 2 3" xfId="13043"/>
    <cellStyle name="Heading 1 2 2 3 3 6 3" xfId="13044"/>
    <cellStyle name="Heading 1 2 2 3 3 6 3 2" xfId="13045"/>
    <cellStyle name="Heading 1 2 2 3 3 6 3 2 2" xfId="13046"/>
    <cellStyle name="Heading 1 2 2 3 3 6 3 3" xfId="13047"/>
    <cellStyle name="Heading 1 2 2 3 3 6 4" xfId="13048"/>
    <cellStyle name="Heading 1 2 2 3 3 6 4 2" xfId="13049"/>
    <cellStyle name="Heading 1 2 2 3 3 6 4 2 2" xfId="13050"/>
    <cellStyle name="Heading 1 2 2 3 3 6 4 3" xfId="13051"/>
    <cellStyle name="Heading 1 2 2 3 3 6 5" xfId="13052"/>
    <cellStyle name="Heading 1 2 2 3 3 6 5 2" xfId="13053"/>
    <cellStyle name="Heading 1 2 2 3 3 6 5 2 2" xfId="13054"/>
    <cellStyle name="Heading 1 2 2 3 3 6 5 3" xfId="13055"/>
    <cellStyle name="Heading 1 2 2 3 3 6 6" xfId="13056"/>
    <cellStyle name="Heading 1 2 2 3 3 6 6 2" xfId="13057"/>
    <cellStyle name="Heading 1 2 2 3 3 6 6 2 2" xfId="13058"/>
    <cellStyle name="Heading 1 2 2 3 3 6 6 3" xfId="13059"/>
    <cellStyle name="Heading 1 2 2 3 3 6 7" xfId="13060"/>
    <cellStyle name="Heading 1 2 2 3 3 6 7 2" xfId="13061"/>
    <cellStyle name="Heading 1 2 2 3 3 6 7 2 2" xfId="13062"/>
    <cellStyle name="Heading 1 2 2 3 3 6 7 3" xfId="13063"/>
    <cellStyle name="Heading 1 2 2 3 3 6 8" xfId="13064"/>
    <cellStyle name="Heading 1 2 2 3 3 6 8 2" xfId="13065"/>
    <cellStyle name="Heading 1 2 2 3 3 6 9" xfId="13066"/>
    <cellStyle name="Heading 1 2 2 3 3 7" xfId="13067"/>
    <cellStyle name="Heading 1 2 2 3 3 7 2" xfId="13068"/>
    <cellStyle name="Heading 1 2 2 3 3 7 2 2" xfId="13069"/>
    <cellStyle name="Heading 1 2 2 3 3 7 2 2 2" xfId="13070"/>
    <cellStyle name="Heading 1 2 2 3 3 7 2 3" xfId="13071"/>
    <cellStyle name="Heading 1 2 2 3 3 7 3" xfId="13072"/>
    <cellStyle name="Heading 1 2 2 3 3 7 3 2" xfId="13073"/>
    <cellStyle name="Heading 1 2 2 3 3 7 3 2 2" xfId="13074"/>
    <cellStyle name="Heading 1 2 2 3 3 7 3 3" xfId="13075"/>
    <cellStyle name="Heading 1 2 2 3 3 7 4" xfId="13076"/>
    <cellStyle name="Heading 1 2 2 3 3 7 4 2" xfId="13077"/>
    <cellStyle name="Heading 1 2 2 3 3 7 4 2 2" xfId="13078"/>
    <cellStyle name="Heading 1 2 2 3 3 7 4 3" xfId="13079"/>
    <cellStyle name="Heading 1 2 2 3 3 7 5" xfId="13080"/>
    <cellStyle name="Heading 1 2 2 3 3 7 5 2" xfId="13081"/>
    <cellStyle name="Heading 1 2 2 3 3 7 5 2 2" xfId="13082"/>
    <cellStyle name="Heading 1 2 2 3 3 7 5 3" xfId="13083"/>
    <cellStyle name="Heading 1 2 2 3 3 7 6" xfId="13084"/>
    <cellStyle name="Heading 1 2 2 3 3 7 6 2" xfId="13085"/>
    <cellStyle name="Heading 1 2 2 3 3 7 6 2 2" xfId="13086"/>
    <cellStyle name="Heading 1 2 2 3 3 7 6 3" xfId="13087"/>
    <cellStyle name="Heading 1 2 2 3 3 7 7" xfId="13088"/>
    <cellStyle name="Heading 1 2 2 3 3 7 7 2" xfId="13089"/>
    <cellStyle name="Heading 1 2 2 3 3 7 7 2 2" xfId="13090"/>
    <cellStyle name="Heading 1 2 2 3 3 7 7 3" xfId="13091"/>
    <cellStyle name="Heading 1 2 2 3 3 7 8" xfId="13092"/>
    <cellStyle name="Heading 1 2 2 3 3 7 8 2" xfId="13093"/>
    <cellStyle name="Heading 1 2 2 3 3 7 9" xfId="13094"/>
    <cellStyle name="Heading 1 2 2 3 3 8" xfId="13095"/>
    <cellStyle name="Heading 1 2 2 3 3 8 2" xfId="13096"/>
    <cellStyle name="Heading 1 2 2 3 3 8 2 2" xfId="13097"/>
    <cellStyle name="Heading 1 2 2 3 3 8 2 2 2" xfId="13098"/>
    <cellStyle name="Heading 1 2 2 3 3 8 2 3" xfId="13099"/>
    <cellStyle name="Heading 1 2 2 3 3 8 3" xfId="13100"/>
    <cellStyle name="Heading 1 2 2 3 3 8 3 2" xfId="13101"/>
    <cellStyle name="Heading 1 2 2 3 3 8 3 2 2" xfId="13102"/>
    <cellStyle name="Heading 1 2 2 3 3 8 3 3" xfId="13103"/>
    <cellStyle name="Heading 1 2 2 3 3 8 4" xfId="13104"/>
    <cellStyle name="Heading 1 2 2 3 3 8 4 2" xfId="13105"/>
    <cellStyle name="Heading 1 2 2 3 3 8 4 2 2" xfId="13106"/>
    <cellStyle name="Heading 1 2 2 3 3 8 4 3" xfId="13107"/>
    <cellStyle name="Heading 1 2 2 3 3 8 5" xfId="13108"/>
    <cellStyle name="Heading 1 2 2 3 3 8 5 2" xfId="13109"/>
    <cellStyle name="Heading 1 2 2 3 3 8 5 2 2" xfId="13110"/>
    <cellStyle name="Heading 1 2 2 3 3 8 5 3" xfId="13111"/>
    <cellStyle name="Heading 1 2 2 3 3 8 6" xfId="13112"/>
    <cellStyle name="Heading 1 2 2 3 3 8 6 2" xfId="13113"/>
    <cellStyle name="Heading 1 2 2 3 3 8 6 2 2" xfId="13114"/>
    <cellStyle name="Heading 1 2 2 3 3 8 6 3" xfId="13115"/>
    <cellStyle name="Heading 1 2 2 3 3 8 7" xfId="13116"/>
    <cellStyle name="Heading 1 2 2 3 3 8 7 2" xfId="13117"/>
    <cellStyle name="Heading 1 2 2 3 3 8 7 2 2" xfId="13118"/>
    <cellStyle name="Heading 1 2 2 3 3 8 7 3" xfId="13119"/>
    <cellStyle name="Heading 1 2 2 3 3 8 8" xfId="13120"/>
    <cellStyle name="Heading 1 2 2 3 3 8 8 2" xfId="13121"/>
    <cellStyle name="Heading 1 2 2 3 3 8 9" xfId="13122"/>
    <cellStyle name="Heading 1 2 2 3 3 9" xfId="13123"/>
    <cellStyle name="Heading 1 2 2 3 3 9 2" xfId="13124"/>
    <cellStyle name="Heading 1 2 2 3 3 9 2 2" xfId="13125"/>
    <cellStyle name="Heading 1 2 2 3 3 9 3" xfId="13126"/>
    <cellStyle name="Heading 1 2 2 3 4" xfId="13127"/>
    <cellStyle name="Heading 1 2 2 3 4 2" xfId="13128"/>
    <cellStyle name="Heading 1 2 2 3 4 2 2" xfId="13129"/>
    <cellStyle name="Heading 1 2 2 3 4 3" xfId="13130"/>
    <cellStyle name="Heading 1 2 2 3 5" xfId="13131"/>
    <cellStyle name="Heading 1 2 2 3 5 2" xfId="13132"/>
    <cellStyle name="Heading 1 2 2 3 6" xfId="13133"/>
    <cellStyle name="Heading 1 2 2 4" xfId="13134"/>
    <cellStyle name="Heading 1 2 2 4 2" xfId="13135"/>
    <cellStyle name="Heading 1 2 2 4 2 10" xfId="13136"/>
    <cellStyle name="Heading 1 2 2 4 2 10 2" xfId="13137"/>
    <cellStyle name="Heading 1 2 2 4 2 10 2 2" xfId="13138"/>
    <cellStyle name="Heading 1 2 2 4 2 10 3" xfId="13139"/>
    <cellStyle name="Heading 1 2 2 4 2 11" xfId="13140"/>
    <cellStyle name="Heading 1 2 2 4 2 11 2" xfId="13141"/>
    <cellStyle name="Heading 1 2 2 4 2 11 2 2" xfId="13142"/>
    <cellStyle name="Heading 1 2 2 4 2 11 3" xfId="13143"/>
    <cellStyle name="Heading 1 2 2 4 2 12" xfId="13144"/>
    <cellStyle name="Heading 1 2 2 4 2 12 2" xfId="13145"/>
    <cellStyle name="Heading 1 2 2 4 2 12 2 2" xfId="13146"/>
    <cellStyle name="Heading 1 2 2 4 2 12 3" xfId="13147"/>
    <cellStyle name="Heading 1 2 2 4 2 13" xfId="13148"/>
    <cellStyle name="Heading 1 2 2 4 2 13 2" xfId="13149"/>
    <cellStyle name="Heading 1 2 2 4 2 13 2 2" xfId="13150"/>
    <cellStyle name="Heading 1 2 2 4 2 13 3" xfId="13151"/>
    <cellStyle name="Heading 1 2 2 4 2 14" xfId="13152"/>
    <cellStyle name="Heading 1 2 2 4 2 14 2" xfId="13153"/>
    <cellStyle name="Heading 1 2 2 4 2 14 2 2" xfId="13154"/>
    <cellStyle name="Heading 1 2 2 4 2 14 3" xfId="13155"/>
    <cellStyle name="Heading 1 2 2 4 2 15" xfId="13156"/>
    <cellStyle name="Heading 1 2 2 4 2 15 2" xfId="13157"/>
    <cellStyle name="Heading 1 2 2 4 2 15 2 2" xfId="13158"/>
    <cellStyle name="Heading 1 2 2 4 2 15 3" xfId="13159"/>
    <cellStyle name="Heading 1 2 2 4 2 16" xfId="13160"/>
    <cellStyle name="Heading 1 2 2 4 2 16 2" xfId="13161"/>
    <cellStyle name="Heading 1 2 2 4 2 16 2 2" xfId="13162"/>
    <cellStyle name="Heading 1 2 2 4 2 16 3" xfId="13163"/>
    <cellStyle name="Heading 1 2 2 4 2 17" xfId="13164"/>
    <cellStyle name="Heading 1 2 2 4 2 17 2" xfId="13165"/>
    <cellStyle name="Heading 1 2 2 4 2 17 2 2" xfId="13166"/>
    <cellStyle name="Heading 1 2 2 4 2 17 3" xfId="13167"/>
    <cellStyle name="Heading 1 2 2 4 2 18" xfId="13168"/>
    <cellStyle name="Heading 1 2 2 4 2 18 2" xfId="13169"/>
    <cellStyle name="Heading 1 2 2 4 2 18 2 2" xfId="13170"/>
    <cellStyle name="Heading 1 2 2 4 2 18 3" xfId="13171"/>
    <cellStyle name="Heading 1 2 2 4 2 19" xfId="13172"/>
    <cellStyle name="Heading 1 2 2 4 2 19 2" xfId="13173"/>
    <cellStyle name="Heading 1 2 2 4 2 19 2 2" xfId="13174"/>
    <cellStyle name="Heading 1 2 2 4 2 19 3" xfId="13175"/>
    <cellStyle name="Heading 1 2 2 4 2 2" xfId="13176"/>
    <cellStyle name="Heading 1 2 2 4 2 2 10" xfId="13177"/>
    <cellStyle name="Heading 1 2 2 4 2 2 10 2" xfId="13178"/>
    <cellStyle name="Heading 1 2 2 4 2 2 10 2 2" xfId="13179"/>
    <cellStyle name="Heading 1 2 2 4 2 2 10 3" xfId="13180"/>
    <cellStyle name="Heading 1 2 2 4 2 2 11" xfId="13181"/>
    <cellStyle name="Heading 1 2 2 4 2 2 11 2" xfId="13182"/>
    <cellStyle name="Heading 1 2 2 4 2 2 11 2 2" xfId="13183"/>
    <cellStyle name="Heading 1 2 2 4 2 2 11 3" xfId="13184"/>
    <cellStyle name="Heading 1 2 2 4 2 2 12" xfId="13185"/>
    <cellStyle name="Heading 1 2 2 4 2 2 12 2" xfId="13186"/>
    <cellStyle name="Heading 1 2 2 4 2 2 12 2 2" xfId="13187"/>
    <cellStyle name="Heading 1 2 2 4 2 2 12 3" xfId="13188"/>
    <cellStyle name="Heading 1 2 2 4 2 2 13" xfId="13189"/>
    <cellStyle name="Heading 1 2 2 4 2 2 13 2" xfId="13190"/>
    <cellStyle name="Heading 1 2 2 4 2 2 13 2 2" xfId="13191"/>
    <cellStyle name="Heading 1 2 2 4 2 2 13 3" xfId="13192"/>
    <cellStyle name="Heading 1 2 2 4 2 2 14" xfId="13193"/>
    <cellStyle name="Heading 1 2 2 4 2 2 14 2" xfId="13194"/>
    <cellStyle name="Heading 1 2 2 4 2 2 14 2 2" xfId="13195"/>
    <cellStyle name="Heading 1 2 2 4 2 2 14 3" xfId="13196"/>
    <cellStyle name="Heading 1 2 2 4 2 2 15" xfId="13197"/>
    <cellStyle name="Heading 1 2 2 4 2 2 15 2" xfId="13198"/>
    <cellStyle name="Heading 1 2 2 4 2 2 15 2 2" xfId="13199"/>
    <cellStyle name="Heading 1 2 2 4 2 2 15 3" xfId="13200"/>
    <cellStyle name="Heading 1 2 2 4 2 2 16" xfId="13201"/>
    <cellStyle name="Heading 1 2 2 4 2 2 16 2" xfId="13202"/>
    <cellStyle name="Heading 1 2 2 4 2 2 16 2 2" xfId="13203"/>
    <cellStyle name="Heading 1 2 2 4 2 2 16 3" xfId="13204"/>
    <cellStyle name="Heading 1 2 2 4 2 2 17" xfId="13205"/>
    <cellStyle name="Heading 1 2 2 4 2 2 17 2" xfId="13206"/>
    <cellStyle name="Heading 1 2 2 4 2 2 17 2 2" xfId="13207"/>
    <cellStyle name="Heading 1 2 2 4 2 2 17 3" xfId="13208"/>
    <cellStyle name="Heading 1 2 2 4 2 2 18" xfId="13209"/>
    <cellStyle name="Heading 1 2 2 4 2 2 18 2" xfId="13210"/>
    <cellStyle name="Heading 1 2 2 4 2 2 18 2 2" xfId="13211"/>
    <cellStyle name="Heading 1 2 2 4 2 2 18 3" xfId="13212"/>
    <cellStyle name="Heading 1 2 2 4 2 2 19" xfId="13213"/>
    <cellStyle name="Heading 1 2 2 4 2 2 19 2" xfId="13214"/>
    <cellStyle name="Heading 1 2 2 4 2 2 2" xfId="13215"/>
    <cellStyle name="Heading 1 2 2 4 2 2 2 2" xfId="13216"/>
    <cellStyle name="Heading 1 2 2 4 2 2 2 2 2" xfId="13217"/>
    <cellStyle name="Heading 1 2 2 4 2 2 2 2 2 2" xfId="13218"/>
    <cellStyle name="Heading 1 2 2 4 2 2 2 2 3" xfId="13219"/>
    <cellStyle name="Heading 1 2 2 4 2 2 2 3" xfId="13220"/>
    <cellStyle name="Heading 1 2 2 4 2 2 2 3 2" xfId="13221"/>
    <cellStyle name="Heading 1 2 2 4 2 2 2 3 2 2" xfId="13222"/>
    <cellStyle name="Heading 1 2 2 4 2 2 2 3 3" xfId="13223"/>
    <cellStyle name="Heading 1 2 2 4 2 2 2 4" xfId="13224"/>
    <cellStyle name="Heading 1 2 2 4 2 2 2 4 2" xfId="13225"/>
    <cellStyle name="Heading 1 2 2 4 2 2 2 4 2 2" xfId="13226"/>
    <cellStyle name="Heading 1 2 2 4 2 2 2 4 3" xfId="13227"/>
    <cellStyle name="Heading 1 2 2 4 2 2 2 5" xfId="13228"/>
    <cellStyle name="Heading 1 2 2 4 2 2 2 5 2" xfId="13229"/>
    <cellStyle name="Heading 1 2 2 4 2 2 2 5 2 2" xfId="13230"/>
    <cellStyle name="Heading 1 2 2 4 2 2 2 5 3" xfId="13231"/>
    <cellStyle name="Heading 1 2 2 4 2 2 2 6" xfId="13232"/>
    <cellStyle name="Heading 1 2 2 4 2 2 2 6 2" xfId="13233"/>
    <cellStyle name="Heading 1 2 2 4 2 2 2 6 2 2" xfId="13234"/>
    <cellStyle name="Heading 1 2 2 4 2 2 2 6 3" xfId="13235"/>
    <cellStyle name="Heading 1 2 2 4 2 2 2 7" xfId="13236"/>
    <cellStyle name="Heading 1 2 2 4 2 2 2 7 2" xfId="13237"/>
    <cellStyle name="Heading 1 2 2 4 2 2 2 7 2 2" xfId="13238"/>
    <cellStyle name="Heading 1 2 2 4 2 2 2 7 3" xfId="13239"/>
    <cellStyle name="Heading 1 2 2 4 2 2 2 8" xfId="13240"/>
    <cellStyle name="Heading 1 2 2 4 2 2 2 8 2" xfId="13241"/>
    <cellStyle name="Heading 1 2 2 4 2 2 2 9" xfId="13242"/>
    <cellStyle name="Heading 1 2 2 4 2 2 20" xfId="13243"/>
    <cellStyle name="Heading 1 2 2 4 2 2 20 2" xfId="13244"/>
    <cellStyle name="Heading 1 2 2 4 2 2 21" xfId="13245"/>
    <cellStyle name="Heading 1 2 2 4 2 2 21 2" xfId="13246"/>
    <cellStyle name="Heading 1 2 2 4 2 2 22" xfId="13247"/>
    <cellStyle name="Heading 1 2 2 4 2 2 3" xfId="13248"/>
    <cellStyle name="Heading 1 2 2 4 2 2 3 2" xfId="13249"/>
    <cellStyle name="Heading 1 2 2 4 2 2 3 2 2" xfId="13250"/>
    <cellStyle name="Heading 1 2 2 4 2 2 3 2 2 2" xfId="13251"/>
    <cellStyle name="Heading 1 2 2 4 2 2 3 2 3" xfId="13252"/>
    <cellStyle name="Heading 1 2 2 4 2 2 3 3" xfId="13253"/>
    <cellStyle name="Heading 1 2 2 4 2 2 3 3 2" xfId="13254"/>
    <cellStyle name="Heading 1 2 2 4 2 2 3 3 2 2" xfId="13255"/>
    <cellStyle name="Heading 1 2 2 4 2 2 3 3 3" xfId="13256"/>
    <cellStyle name="Heading 1 2 2 4 2 2 3 4" xfId="13257"/>
    <cellStyle name="Heading 1 2 2 4 2 2 3 4 2" xfId="13258"/>
    <cellStyle name="Heading 1 2 2 4 2 2 3 4 2 2" xfId="13259"/>
    <cellStyle name="Heading 1 2 2 4 2 2 3 4 3" xfId="13260"/>
    <cellStyle name="Heading 1 2 2 4 2 2 3 5" xfId="13261"/>
    <cellStyle name="Heading 1 2 2 4 2 2 3 5 2" xfId="13262"/>
    <cellStyle name="Heading 1 2 2 4 2 2 3 5 2 2" xfId="13263"/>
    <cellStyle name="Heading 1 2 2 4 2 2 3 5 3" xfId="13264"/>
    <cellStyle name="Heading 1 2 2 4 2 2 3 6" xfId="13265"/>
    <cellStyle name="Heading 1 2 2 4 2 2 3 6 2" xfId="13266"/>
    <cellStyle name="Heading 1 2 2 4 2 2 3 6 2 2" xfId="13267"/>
    <cellStyle name="Heading 1 2 2 4 2 2 3 6 3" xfId="13268"/>
    <cellStyle name="Heading 1 2 2 4 2 2 3 7" xfId="13269"/>
    <cellStyle name="Heading 1 2 2 4 2 2 3 7 2" xfId="13270"/>
    <cellStyle name="Heading 1 2 2 4 2 2 3 7 2 2" xfId="13271"/>
    <cellStyle name="Heading 1 2 2 4 2 2 3 7 3" xfId="13272"/>
    <cellStyle name="Heading 1 2 2 4 2 2 3 8" xfId="13273"/>
    <cellStyle name="Heading 1 2 2 4 2 2 3 8 2" xfId="13274"/>
    <cellStyle name="Heading 1 2 2 4 2 2 3 9" xfId="13275"/>
    <cellStyle name="Heading 1 2 2 4 2 2 4" xfId="13276"/>
    <cellStyle name="Heading 1 2 2 4 2 2 4 2" xfId="13277"/>
    <cellStyle name="Heading 1 2 2 4 2 2 4 2 2" xfId="13278"/>
    <cellStyle name="Heading 1 2 2 4 2 2 4 2 2 2" xfId="13279"/>
    <cellStyle name="Heading 1 2 2 4 2 2 4 2 3" xfId="13280"/>
    <cellStyle name="Heading 1 2 2 4 2 2 4 3" xfId="13281"/>
    <cellStyle name="Heading 1 2 2 4 2 2 4 3 2" xfId="13282"/>
    <cellStyle name="Heading 1 2 2 4 2 2 4 3 2 2" xfId="13283"/>
    <cellStyle name="Heading 1 2 2 4 2 2 4 3 3" xfId="13284"/>
    <cellStyle name="Heading 1 2 2 4 2 2 4 4" xfId="13285"/>
    <cellStyle name="Heading 1 2 2 4 2 2 4 4 2" xfId="13286"/>
    <cellStyle name="Heading 1 2 2 4 2 2 4 4 2 2" xfId="13287"/>
    <cellStyle name="Heading 1 2 2 4 2 2 4 4 3" xfId="13288"/>
    <cellStyle name="Heading 1 2 2 4 2 2 4 5" xfId="13289"/>
    <cellStyle name="Heading 1 2 2 4 2 2 4 5 2" xfId="13290"/>
    <cellStyle name="Heading 1 2 2 4 2 2 4 5 2 2" xfId="13291"/>
    <cellStyle name="Heading 1 2 2 4 2 2 4 5 3" xfId="13292"/>
    <cellStyle name="Heading 1 2 2 4 2 2 4 6" xfId="13293"/>
    <cellStyle name="Heading 1 2 2 4 2 2 4 6 2" xfId="13294"/>
    <cellStyle name="Heading 1 2 2 4 2 2 4 6 2 2" xfId="13295"/>
    <cellStyle name="Heading 1 2 2 4 2 2 4 6 3" xfId="13296"/>
    <cellStyle name="Heading 1 2 2 4 2 2 4 7" xfId="13297"/>
    <cellStyle name="Heading 1 2 2 4 2 2 4 7 2" xfId="13298"/>
    <cellStyle name="Heading 1 2 2 4 2 2 4 7 2 2" xfId="13299"/>
    <cellStyle name="Heading 1 2 2 4 2 2 4 7 3" xfId="13300"/>
    <cellStyle name="Heading 1 2 2 4 2 2 4 8" xfId="13301"/>
    <cellStyle name="Heading 1 2 2 4 2 2 4 8 2" xfId="13302"/>
    <cellStyle name="Heading 1 2 2 4 2 2 4 9" xfId="13303"/>
    <cellStyle name="Heading 1 2 2 4 2 2 5" xfId="13304"/>
    <cellStyle name="Heading 1 2 2 4 2 2 5 2" xfId="13305"/>
    <cellStyle name="Heading 1 2 2 4 2 2 5 2 2" xfId="13306"/>
    <cellStyle name="Heading 1 2 2 4 2 2 5 2 2 2" xfId="13307"/>
    <cellStyle name="Heading 1 2 2 4 2 2 5 2 3" xfId="13308"/>
    <cellStyle name="Heading 1 2 2 4 2 2 5 3" xfId="13309"/>
    <cellStyle name="Heading 1 2 2 4 2 2 5 3 2" xfId="13310"/>
    <cellStyle name="Heading 1 2 2 4 2 2 5 3 2 2" xfId="13311"/>
    <cellStyle name="Heading 1 2 2 4 2 2 5 3 3" xfId="13312"/>
    <cellStyle name="Heading 1 2 2 4 2 2 5 4" xfId="13313"/>
    <cellStyle name="Heading 1 2 2 4 2 2 5 4 2" xfId="13314"/>
    <cellStyle name="Heading 1 2 2 4 2 2 5 4 2 2" xfId="13315"/>
    <cellStyle name="Heading 1 2 2 4 2 2 5 4 3" xfId="13316"/>
    <cellStyle name="Heading 1 2 2 4 2 2 5 5" xfId="13317"/>
    <cellStyle name="Heading 1 2 2 4 2 2 5 5 2" xfId="13318"/>
    <cellStyle name="Heading 1 2 2 4 2 2 5 5 2 2" xfId="13319"/>
    <cellStyle name="Heading 1 2 2 4 2 2 5 5 3" xfId="13320"/>
    <cellStyle name="Heading 1 2 2 4 2 2 5 6" xfId="13321"/>
    <cellStyle name="Heading 1 2 2 4 2 2 5 6 2" xfId="13322"/>
    <cellStyle name="Heading 1 2 2 4 2 2 5 6 2 2" xfId="13323"/>
    <cellStyle name="Heading 1 2 2 4 2 2 5 6 3" xfId="13324"/>
    <cellStyle name="Heading 1 2 2 4 2 2 5 7" xfId="13325"/>
    <cellStyle name="Heading 1 2 2 4 2 2 5 7 2" xfId="13326"/>
    <cellStyle name="Heading 1 2 2 4 2 2 5 7 2 2" xfId="13327"/>
    <cellStyle name="Heading 1 2 2 4 2 2 5 7 3" xfId="13328"/>
    <cellStyle name="Heading 1 2 2 4 2 2 5 8" xfId="13329"/>
    <cellStyle name="Heading 1 2 2 4 2 2 5 8 2" xfId="13330"/>
    <cellStyle name="Heading 1 2 2 4 2 2 5 9" xfId="13331"/>
    <cellStyle name="Heading 1 2 2 4 2 2 6" xfId="13332"/>
    <cellStyle name="Heading 1 2 2 4 2 2 6 2" xfId="13333"/>
    <cellStyle name="Heading 1 2 2 4 2 2 6 2 2" xfId="13334"/>
    <cellStyle name="Heading 1 2 2 4 2 2 6 2 2 2" xfId="13335"/>
    <cellStyle name="Heading 1 2 2 4 2 2 6 2 3" xfId="13336"/>
    <cellStyle name="Heading 1 2 2 4 2 2 6 3" xfId="13337"/>
    <cellStyle name="Heading 1 2 2 4 2 2 6 3 2" xfId="13338"/>
    <cellStyle name="Heading 1 2 2 4 2 2 6 3 2 2" xfId="13339"/>
    <cellStyle name="Heading 1 2 2 4 2 2 6 3 3" xfId="13340"/>
    <cellStyle name="Heading 1 2 2 4 2 2 6 4" xfId="13341"/>
    <cellStyle name="Heading 1 2 2 4 2 2 6 4 2" xfId="13342"/>
    <cellStyle name="Heading 1 2 2 4 2 2 6 4 2 2" xfId="13343"/>
    <cellStyle name="Heading 1 2 2 4 2 2 6 4 3" xfId="13344"/>
    <cellStyle name="Heading 1 2 2 4 2 2 6 5" xfId="13345"/>
    <cellStyle name="Heading 1 2 2 4 2 2 6 5 2" xfId="13346"/>
    <cellStyle name="Heading 1 2 2 4 2 2 6 5 2 2" xfId="13347"/>
    <cellStyle name="Heading 1 2 2 4 2 2 6 5 3" xfId="13348"/>
    <cellStyle name="Heading 1 2 2 4 2 2 6 6" xfId="13349"/>
    <cellStyle name="Heading 1 2 2 4 2 2 6 6 2" xfId="13350"/>
    <cellStyle name="Heading 1 2 2 4 2 2 6 6 2 2" xfId="13351"/>
    <cellStyle name="Heading 1 2 2 4 2 2 6 6 3" xfId="13352"/>
    <cellStyle name="Heading 1 2 2 4 2 2 6 7" xfId="13353"/>
    <cellStyle name="Heading 1 2 2 4 2 2 6 7 2" xfId="13354"/>
    <cellStyle name="Heading 1 2 2 4 2 2 6 7 2 2" xfId="13355"/>
    <cellStyle name="Heading 1 2 2 4 2 2 6 7 3" xfId="13356"/>
    <cellStyle name="Heading 1 2 2 4 2 2 6 8" xfId="13357"/>
    <cellStyle name="Heading 1 2 2 4 2 2 6 8 2" xfId="13358"/>
    <cellStyle name="Heading 1 2 2 4 2 2 6 9" xfId="13359"/>
    <cellStyle name="Heading 1 2 2 4 2 2 7" xfId="13360"/>
    <cellStyle name="Heading 1 2 2 4 2 2 7 2" xfId="13361"/>
    <cellStyle name="Heading 1 2 2 4 2 2 7 2 2" xfId="13362"/>
    <cellStyle name="Heading 1 2 2 4 2 2 7 2 2 2" xfId="13363"/>
    <cellStyle name="Heading 1 2 2 4 2 2 7 2 3" xfId="13364"/>
    <cellStyle name="Heading 1 2 2 4 2 2 7 3" xfId="13365"/>
    <cellStyle name="Heading 1 2 2 4 2 2 7 3 2" xfId="13366"/>
    <cellStyle name="Heading 1 2 2 4 2 2 7 3 2 2" xfId="13367"/>
    <cellStyle name="Heading 1 2 2 4 2 2 7 3 3" xfId="13368"/>
    <cellStyle name="Heading 1 2 2 4 2 2 7 4" xfId="13369"/>
    <cellStyle name="Heading 1 2 2 4 2 2 7 4 2" xfId="13370"/>
    <cellStyle name="Heading 1 2 2 4 2 2 7 4 2 2" xfId="13371"/>
    <cellStyle name="Heading 1 2 2 4 2 2 7 4 3" xfId="13372"/>
    <cellStyle name="Heading 1 2 2 4 2 2 7 5" xfId="13373"/>
    <cellStyle name="Heading 1 2 2 4 2 2 7 5 2" xfId="13374"/>
    <cellStyle name="Heading 1 2 2 4 2 2 7 5 2 2" xfId="13375"/>
    <cellStyle name="Heading 1 2 2 4 2 2 7 5 3" xfId="13376"/>
    <cellStyle name="Heading 1 2 2 4 2 2 7 6" xfId="13377"/>
    <cellStyle name="Heading 1 2 2 4 2 2 7 6 2" xfId="13378"/>
    <cellStyle name="Heading 1 2 2 4 2 2 7 6 2 2" xfId="13379"/>
    <cellStyle name="Heading 1 2 2 4 2 2 7 6 3" xfId="13380"/>
    <cellStyle name="Heading 1 2 2 4 2 2 7 7" xfId="13381"/>
    <cellStyle name="Heading 1 2 2 4 2 2 7 7 2" xfId="13382"/>
    <cellStyle name="Heading 1 2 2 4 2 2 7 7 2 2" xfId="13383"/>
    <cellStyle name="Heading 1 2 2 4 2 2 7 7 3" xfId="13384"/>
    <cellStyle name="Heading 1 2 2 4 2 2 7 8" xfId="13385"/>
    <cellStyle name="Heading 1 2 2 4 2 2 7 8 2" xfId="13386"/>
    <cellStyle name="Heading 1 2 2 4 2 2 7 9" xfId="13387"/>
    <cellStyle name="Heading 1 2 2 4 2 2 8" xfId="13388"/>
    <cellStyle name="Heading 1 2 2 4 2 2 8 2" xfId="13389"/>
    <cellStyle name="Heading 1 2 2 4 2 2 8 2 2" xfId="13390"/>
    <cellStyle name="Heading 1 2 2 4 2 2 8 2 2 2" xfId="13391"/>
    <cellStyle name="Heading 1 2 2 4 2 2 8 2 3" xfId="13392"/>
    <cellStyle name="Heading 1 2 2 4 2 2 8 3" xfId="13393"/>
    <cellStyle name="Heading 1 2 2 4 2 2 8 3 2" xfId="13394"/>
    <cellStyle name="Heading 1 2 2 4 2 2 8 3 2 2" xfId="13395"/>
    <cellStyle name="Heading 1 2 2 4 2 2 8 3 3" xfId="13396"/>
    <cellStyle name="Heading 1 2 2 4 2 2 8 4" xfId="13397"/>
    <cellStyle name="Heading 1 2 2 4 2 2 8 4 2" xfId="13398"/>
    <cellStyle name="Heading 1 2 2 4 2 2 8 4 2 2" xfId="13399"/>
    <cellStyle name="Heading 1 2 2 4 2 2 8 4 3" xfId="13400"/>
    <cellStyle name="Heading 1 2 2 4 2 2 8 5" xfId="13401"/>
    <cellStyle name="Heading 1 2 2 4 2 2 8 5 2" xfId="13402"/>
    <cellStyle name="Heading 1 2 2 4 2 2 8 5 2 2" xfId="13403"/>
    <cellStyle name="Heading 1 2 2 4 2 2 8 5 3" xfId="13404"/>
    <cellStyle name="Heading 1 2 2 4 2 2 8 6" xfId="13405"/>
    <cellStyle name="Heading 1 2 2 4 2 2 8 6 2" xfId="13406"/>
    <cellStyle name="Heading 1 2 2 4 2 2 8 6 2 2" xfId="13407"/>
    <cellStyle name="Heading 1 2 2 4 2 2 8 6 3" xfId="13408"/>
    <cellStyle name="Heading 1 2 2 4 2 2 8 7" xfId="13409"/>
    <cellStyle name="Heading 1 2 2 4 2 2 8 7 2" xfId="13410"/>
    <cellStyle name="Heading 1 2 2 4 2 2 8 7 2 2" xfId="13411"/>
    <cellStyle name="Heading 1 2 2 4 2 2 8 7 3" xfId="13412"/>
    <cellStyle name="Heading 1 2 2 4 2 2 8 8" xfId="13413"/>
    <cellStyle name="Heading 1 2 2 4 2 2 8 8 2" xfId="13414"/>
    <cellStyle name="Heading 1 2 2 4 2 2 8 9" xfId="13415"/>
    <cellStyle name="Heading 1 2 2 4 2 2 9" xfId="13416"/>
    <cellStyle name="Heading 1 2 2 4 2 2 9 2" xfId="13417"/>
    <cellStyle name="Heading 1 2 2 4 2 2 9 2 2" xfId="13418"/>
    <cellStyle name="Heading 1 2 2 4 2 2 9 3" xfId="13419"/>
    <cellStyle name="Heading 1 2 2 4 2 20" xfId="13420"/>
    <cellStyle name="Heading 1 2 2 4 2 20 2" xfId="13421"/>
    <cellStyle name="Heading 1 2 2 4 2 21" xfId="13422"/>
    <cellStyle name="Heading 1 2 2 4 2 21 2" xfId="13423"/>
    <cellStyle name="Heading 1 2 2 4 2 22" xfId="13424"/>
    <cellStyle name="Heading 1 2 2 4 2 22 2" xfId="13425"/>
    <cellStyle name="Heading 1 2 2 4 2 23" xfId="13426"/>
    <cellStyle name="Heading 1 2 2 4 2 3" xfId="13427"/>
    <cellStyle name="Heading 1 2 2 4 2 3 2" xfId="13428"/>
    <cellStyle name="Heading 1 2 2 4 2 3 2 2" xfId="13429"/>
    <cellStyle name="Heading 1 2 2 4 2 3 2 2 2" xfId="13430"/>
    <cellStyle name="Heading 1 2 2 4 2 3 2 3" xfId="13431"/>
    <cellStyle name="Heading 1 2 2 4 2 3 3" xfId="13432"/>
    <cellStyle name="Heading 1 2 2 4 2 3 3 2" xfId="13433"/>
    <cellStyle name="Heading 1 2 2 4 2 3 3 2 2" xfId="13434"/>
    <cellStyle name="Heading 1 2 2 4 2 3 3 3" xfId="13435"/>
    <cellStyle name="Heading 1 2 2 4 2 3 4" xfId="13436"/>
    <cellStyle name="Heading 1 2 2 4 2 3 4 2" xfId="13437"/>
    <cellStyle name="Heading 1 2 2 4 2 3 4 2 2" xfId="13438"/>
    <cellStyle name="Heading 1 2 2 4 2 3 4 3" xfId="13439"/>
    <cellStyle name="Heading 1 2 2 4 2 3 5" xfId="13440"/>
    <cellStyle name="Heading 1 2 2 4 2 3 5 2" xfId="13441"/>
    <cellStyle name="Heading 1 2 2 4 2 3 5 2 2" xfId="13442"/>
    <cellStyle name="Heading 1 2 2 4 2 3 5 3" xfId="13443"/>
    <cellStyle name="Heading 1 2 2 4 2 3 6" xfId="13444"/>
    <cellStyle name="Heading 1 2 2 4 2 3 6 2" xfId="13445"/>
    <cellStyle name="Heading 1 2 2 4 2 3 6 2 2" xfId="13446"/>
    <cellStyle name="Heading 1 2 2 4 2 3 6 3" xfId="13447"/>
    <cellStyle name="Heading 1 2 2 4 2 3 7" xfId="13448"/>
    <cellStyle name="Heading 1 2 2 4 2 3 7 2" xfId="13449"/>
    <cellStyle name="Heading 1 2 2 4 2 3 7 2 2" xfId="13450"/>
    <cellStyle name="Heading 1 2 2 4 2 3 7 3" xfId="13451"/>
    <cellStyle name="Heading 1 2 2 4 2 3 8" xfId="13452"/>
    <cellStyle name="Heading 1 2 2 4 2 3 8 2" xfId="13453"/>
    <cellStyle name="Heading 1 2 2 4 2 3 9" xfId="13454"/>
    <cellStyle name="Heading 1 2 2 4 2 4" xfId="13455"/>
    <cellStyle name="Heading 1 2 2 4 2 4 2" xfId="13456"/>
    <cellStyle name="Heading 1 2 2 4 2 4 2 2" xfId="13457"/>
    <cellStyle name="Heading 1 2 2 4 2 4 2 2 2" xfId="13458"/>
    <cellStyle name="Heading 1 2 2 4 2 4 2 3" xfId="13459"/>
    <cellStyle name="Heading 1 2 2 4 2 4 3" xfId="13460"/>
    <cellStyle name="Heading 1 2 2 4 2 4 3 2" xfId="13461"/>
    <cellStyle name="Heading 1 2 2 4 2 4 3 2 2" xfId="13462"/>
    <cellStyle name="Heading 1 2 2 4 2 4 3 3" xfId="13463"/>
    <cellStyle name="Heading 1 2 2 4 2 4 4" xfId="13464"/>
    <cellStyle name="Heading 1 2 2 4 2 4 4 2" xfId="13465"/>
    <cellStyle name="Heading 1 2 2 4 2 4 4 2 2" xfId="13466"/>
    <cellStyle name="Heading 1 2 2 4 2 4 4 3" xfId="13467"/>
    <cellStyle name="Heading 1 2 2 4 2 4 5" xfId="13468"/>
    <cellStyle name="Heading 1 2 2 4 2 4 5 2" xfId="13469"/>
    <cellStyle name="Heading 1 2 2 4 2 4 5 2 2" xfId="13470"/>
    <cellStyle name="Heading 1 2 2 4 2 4 5 3" xfId="13471"/>
    <cellStyle name="Heading 1 2 2 4 2 4 6" xfId="13472"/>
    <cellStyle name="Heading 1 2 2 4 2 4 6 2" xfId="13473"/>
    <cellStyle name="Heading 1 2 2 4 2 4 6 2 2" xfId="13474"/>
    <cellStyle name="Heading 1 2 2 4 2 4 6 3" xfId="13475"/>
    <cellStyle name="Heading 1 2 2 4 2 4 7" xfId="13476"/>
    <cellStyle name="Heading 1 2 2 4 2 4 7 2" xfId="13477"/>
    <cellStyle name="Heading 1 2 2 4 2 4 7 2 2" xfId="13478"/>
    <cellStyle name="Heading 1 2 2 4 2 4 7 3" xfId="13479"/>
    <cellStyle name="Heading 1 2 2 4 2 4 8" xfId="13480"/>
    <cellStyle name="Heading 1 2 2 4 2 4 8 2" xfId="13481"/>
    <cellStyle name="Heading 1 2 2 4 2 4 9" xfId="13482"/>
    <cellStyle name="Heading 1 2 2 4 2 5" xfId="13483"/>
    <cellStyle name="Heading 1 2 2 4 2 5 2" xfId="13484"/>
    <cellStyle name="Heading 1 2 2 4 2 5 2 2" xfId="13485"/>
    <cellStyle name="Heading 1 2 2 4 2 5 2 2 2" xfId="13486"/>
    <cellStyle name="Heading 1 2 2 4 2 5 2 3" xfId="13487"/>
    <cellStyle name="Heading 1 2 2 4 2 5 3" xfId="13488"/>
    <cellStyle name="Heading 1 2 2 4 2 5 3 2" xfId="13489"/>
    <cellStyle name="Heading 1 2 2 4 2 5 3 2 2" xfId="13490"/>
    <cellStyle name="Heading 1 2 2 4 2 5 3 3" xfId="13491"/>
    <cellStyle name="Heading 1 2 2 4 2 5 4" xfId="13492"/>
    <cellStyle name="Heading 1 2 2 4 2 5 4 2" xfId="13493"/>
    <cellStyle name="Heading 1 2 2 4 2 5 4 2 2" xfId="13494"/>
    <cellStyle name="Heading 1 2 2 4 2 5 4 3" xfId="13495"/>
    <cellStyle name="Heading 1 2 2 4 2 5 5" xfId="13496"/>
    <cellStyle name="Heading 1 2 2 4 2 5 5 2" xfId="13497"/>
    <cellStyle name="Heading 1 2 2 4 2 5 5 2 2" xfId="13498"/>
    <cellStyle name="Heading 1 2 2 4 2 5 5 3" xfId="13499"/>
    <cellStyle name="Heading 1 2 2 4 2 5 6" xfId="13500"/>
    <cellStyle name="Heading 1 2 2 4 2 5 6 2" xfId="13501"/>
    <cellStyle name="Heading 1 2 2 4 2 5 6 2 2" xfId="13502"/>
    <cellStyle name="Heading 1 2 2 4 2 5 6 3" xfId="13503"/>
    <cellStyle name="Heading 1 2 2 4 2 5 7" xfId="13504"/>
    <cellStyle name="Heading 1 2 2 4 2 5 7 2" xfId="13505"/>
    <cellStyle name="Heading 1 2 2 4 2 5 7 2 2" xfId="13506"/>
    <cellStyle name="Heading 1 2 2 4 2 5 7 3" xfId="13507"/>
    <cellStyle name="Heading 1 2 2 4 2 5 8" xfId="13508"/>
    <cellStyle name="Heading 1 2 2 4 2 5 8 2" xfId="13509"/>
    <cellStyle name="Heading 1 2 2 4 2 5 9" xfId="13510"/>
    <cellStyle name="Heading 1 2 2 4 2 6" xfId="13511"/>
    <cellStyle name="Heading 1 2 2 4 2 6 2" xfId="13512"/>
    <cellStyle name="Heading 1 2 2 4 2 6 2 2" xfId="13513"/>
    <cellStyle name="Heading 1 2 2 4 2 6 2 2 2" xfId="13514"/>
    <cellStyle name="Heading 1 2 2 4 2 6 2 3" xfId="13515"/>
    <cellStyle name="Heading 1 2 2 4 2 6 3" xfId="13516"/>
    <cellStyle name="Heading 1 2 2 4 2 6 3 2" xfId="13517"/>
    <cellStyle name="Heading 1 2 2 4 2 6 3 2 2" xfId="13518"/>
    <cellStyle name="Heading 1 2 2 4 2 6 3 3" xfId="13519"/>
    <cellStyle name="Heading 1 2 2 4 2 6 4" xfId="13520"/>
    <cellStyle name="Heading 1 2 2 4 2 6 4 2" xfId="13521"/>
    <cellStyle name="Heading 1 2 2 4 2 6 4 2 2" xfId="13522"/>
    <cellStyle name="Heading 1 2 2 4 2 6 4 3" xfId="13523"/>
    <cellStyle name="Heading 1 2 2 4 2 6 5" xfId="13524"/>
    <cellStyle name="Heading 1 2 2 4 2 6 5 2" xfId="13525"/>
    <cellStyle name="Heading 1 2 2 4 2 6 5 2 2" xfId="13526"/>
    <cellStyle name="Heading 1 2 2 4 2 6 5 3" xfId="13527"/>
    <cellStyle name="Heading 1 2 2 4 2 6 6" xfId="13528"/>
    <cellStyle name="Heading 1 2 2 4 2 6 6 2" xfId="13529"/>
    <cellStyle name="Heading 1 2 2 4 2 6 6 2 2" xfId="13530"/>
    <cellStyle name="Heading 1 2 2 4 2 6 6 3" xfId="13531"/>
    <cellStyle name="Heading 1 2 2 4 2 6 7" xfId="13532"/>
    <cellStyle name="Heading 1 2 2 4 2 6 7 2" xfId="13533"/>
    <cellStyle name="Heading 1 2 2 4 2 6 7 2 2" xfId="13534"/>
    <cellStyle name="Heading 1 2 2 4 2 6 7 3" xfId="13535"/>
    <cellStyle name="Heading 1 2 2 4 2 6 8" xfId="13536"/>
    <cellStyle name="Heading 1 2 2 4 2 6 8 2" xfId="13537"/>
    <cellStyle name="Heading 1 2 2 4 2 6 9" xfId="13538"/>
    <cellStyle name="Heading 1 2 2 4 2 7" xfId="13539"/>
    <cellStyle name="Heading 1 2 2 4 2 7 2" xfId="13540"/>
    <cellStyle name="Heading 1 2 2 4 2 7 2 2" xfId="13541"/>
    <cellStyle name="Heading 1 2 2 4 2 7 2 2 2" xfId="13542"/>
    <cellStyle name="Heading 1 2 2 4 2 7 2 3" xfId="13543"/>
    <cellStyle name="Heading 1 2 2 4 2 7 3" xfId="13544"/>
    <cellStyle name="Heading 1 2 2 4 2 7 3 2" xfId="13545"/>
    <cellStyle name="Heading 1 2 2 4 2 7 3 2 2" xfId="13546"/>
    <cellStyle name="Heading 1 2 2 4 2 7 3 3" xfId="13547"/>
    <cellStyle name="Heading 1 2 2 4 2 7 4" xfId="13548"/>
    <cellStyle name="Heading 1 2 2 4 2 7 4 2" xfId="13549"/>
    <cellStyle name="Heading 1 2 2 4 2 7 4 2 2" xfId="13550"/>
    <cellStyle name="Heading 1 2 2 4 2 7 4 3" xfId="13551"/>
    <cellStyle name="Heading 1 2 2 4 2 7 5" xfId="13552"/>
    <cellStyle name="Heading 1 2 2 4 2 7 5 2" xfId="13553"/>
    <cellStyle name="Heading 1 2 2 4 2 7 5 2 2" xfId="13554"/>
    <cellStyle name="Heading 1 2 2 4 2 7 5 3" xfId="13555"/>
    <cellStyle name="Heading 1 2 2 4 2 7 6" xfId="13556"/>
    <cellStyle name="Heading 1 2 2 4 2 7 6 2" xfId="13557"/>
    <cellStyle name="Heading 1 2 2 4 2 7 6 2 2" xfId="13558"/>
    <cellStyle name="Heading 1 2 2 4 2 7 6 3" xfId="13559"/>
    <cellStyle name="Heading 1 2 2 4 2 7 7" xfId="13560"/>
    <cellStyle name="Heading 1 2 2 4 2 7 7 2" xfId="13561"/>
    <cellStyle name="Heading 1 2 2 4 2 7 7 2 2" xfId="13562"/>
    <cellStyle name="Heading 1 2 2 4 2 7 7 3" xfId="13563"/>
    <cellStyle name="Heading 1 2 2 4 2 7 8" xfId="13564"/>
    <cellStyle name="Heading 1 2 2 4 2 7 8 2" xfId="13565"/>
    <cellStyle name="Heading 1 2 2 4 2 7 9" xfId="13566"/>
    <cellStyle name="Heading 1 2 2 4 2 8" xfId="13567"/>
    <cellStyle name="Heading 1 2 2 4 2 8 2" xfId="13568"/>
    <cellStyle name="Heading 1 2 2 4 2 8 2 2" xfId="13569"/>
    <cellStyle name="Heading 1 2 2 4 2 8 2 2 2" xfId="13570"/>
    <cellStyle name="Heading 1 2 2 4 2 8 2 3" xfId="13571"/>
    <cellStyle name="Heading 1 2 2 4 2 8 3" xfId="13572"/>
    <cellStyle name="Heading 1 2 2 4 2 8 3 2" xfId="13573"/>
    <cellStyle name="Heading 1 2 2 4 2 8 3 2 2" xfId="13574"/>
    <cellStyle name="Heading 1 2 2 4 2 8 3 3" xfId="13575"/>
    <cellStyle name="Heading 1 2 2 4 2 8 4" xfId="13576"/>
    <cellStyle name="Heading 1 2 2 4 2 8 4 2" xfId="13577"/>
    <cellStyle name="Heading 1 2 2 4 2 8 4 2 2" xfId="13578"/>
    <cellStyle name="Heading 1 2 2 4 2 8 4 3" xfId="13579"/>
    <cellStyle name="Heading 1 2 2 4 2 8 5" xfId="13580"/>
    <cellStyle name="Heading 1 2 2 4 2 8 5 2" xfId="13581"/>
    <cellStyle name="Heading 1 2 2 4 2 8 5 2 2" xfId="13582"/>
    <cellStyle name="Heading 1 2 2 4 2 8 5 3" xfId="13583"/>
    <cellStyle name="Heading 1 2 2 4 2 8 6" xfId="13584"/>
    <cellStyle name="Heading 1 2 2 4 2 8 6 2" xfId="13585"/>
    <cellStyle name="Heading 1 2 2 4 2 8 6 2 2" xfId="13586"/>
    <cellStyle name="Heading 1 2 2 4 2 8 6 3" xfId="13587"/>
    <cellStyle name="Heading 1 2 2 4 2 8 7" xfId="13588"/>
    <cellStyle name="Heading 1 2 2 4 2 8 7 2" xfId="13589"/>
    <cellStyle name="Heading 1 2 2 4 2 8 7 2 2" xfId="13590"/>
    <cellStyle name="Heading 1 2 2 4 2 8 7 3" xfId="13591"/>
    <cellStyle name="Heading 1 2 2 4 2 8 8" xfId="13592"/>
    <cellStyle name="Heading 1 2 2 4 2 8 8 2" xfId="13593"/>
    <cellStyle name="Heading 1 2 2 4 2 8 9" xfId="13594"/>
    <cellStyle name="Heading 1 2 2 4 2 9" xfId="13595"/>
    <cellStyle name="Heading 1 2 2 4 2 9 2" xfId="13596"/>
    <cellStyle name="Heading 1 2 2 4 2 9 2 2" xfId="13597"/>
    <cellStyle name="Heading 1 2 2 4 2 9 2 2 2" xfId="13598"/>
    <cellStyle name="Heading 1 2 2 4 2 9 2 3" xfId="13599"/>
    <cellStyle name="Heading 1 2 2 4 2 9 3" xfId="13600"/>
    <cellStyle name="Heading 1 2 2 4 2 9 3 2" xfId="13601"/>
    <cellStyle name="Heading 1 2 2 4 2 9 3 2 2" xfId="13602"/>
    <cellStyle name="Heading 1 2 2 4 2 9 3 3" xfId="13603"/>
    <cellStyle name="Heading 1 2 2 4 2 9 4" xfId="13604"/>
    <cellStyle name="Heading 1 2 2 4 2 9 4 2" xfId="13605"/>
    <cellStyle name="Heading 1 2 2 4 2 9 4 2 2" xfId="13606"/>
    <cellStyle name="Heading 1 2 2 4 2 9 4 3" xfId="13607"/>
    <cellStyle name="Heading 1 2 2 4 2 9 5" xfId="13608"/>
    <cellStyle name="Heading 1 2 2 4 2 9 5 2" xfId="13609"/>
    <cellStyle name="Heading 1 2 2 4 2 9 5 2 2" xfId="13610"/>
    <cellStyle name="Heading 1 2 2 4 2 9 5 3" xfId="13611"/>
    <cellStyle name="Heading 1 2 2 4 2 9 6" xfId="13612"/>
    <cellStyle name="Heading 1 2 2 4 2 9 6 2" xfId="13613"/>
    <cellStyle name="Heading 1 2 2 4 2 9 6 2 2" xfId="13614"/>
    <cellStyle name="Heading 1 2 2 4 2 9 6 3" xfId="13615"/>
    <cellStyle name="Heading 1 2 2 4 2 9 7" xfId="13616"/>
    <cellStyle name="Heading 1 2 2 4 2 9 7 2" xfId="13617"/>
    <cellStyle name="Heading 1 2 2 4 2 9 7 2 2" xfId="13618"/>
    <cellStyle name="Heading 1 2 2 4 2 9 7 3" xfId="13619"/>
    <cellStyle name="Heading 1 2 2 4 2 9 8" xfId="13620"/>
    <cellStyle name="Heading 1 2 2 4 2 9 8 2" xfId="13621"/>
    <cellStyle name="Heading 1 2 2 4 2 9 9" xfId="13622"/>
    <cellStyle name="Heading 1 2 2 4 3" xfId="13623"/>
    <cellStyle name="Heading 1 2 2 4 3 10" xfId="13624"/>
    <cellStyle name="Heading 1 2 2 4 3 10 2" xfId="13625"/>
    <cellStyle name="Heading 1 2 2 4 3 10 2 2" xfId="13626"/>
    <cellStyle name="Heading 1 2 2 4 3 10 3" xfId="13627"/>
    <cellStyle name="Heading 1 2 2 4 3 11" xfId="13628"/>
    <cellStyle name="Heading 1 2 2 4 3 11 2" xfId="13629"/>
    <cellStyle name="Heading 1 2 2 4 3 11 2 2" xfId="13630"/>
    <cellStyle name="Heading 1 2 2 4 3 11 3" xfId="13631"/>
    <cellStyle name="Heading 1 2 2 4 3 12" xfId="13632"/>
    <cellStyle name="Heading 1 2 2 4 3 12 2" xfId="13633"/>
    <cellStyle name="Heading 1 2 2 4 3 12 2 2" xfId="13634"/>
    <cellStyle name="Heading 1 2 2 4 3 12 3" xfId="13635"/>
    <cellStyle name="Heading 1 2 2 4 3 13" xfId="13636"/>
    <cellStyle name="Heading 1 2 2 4 3 13 2" xfId="13637"/>
    <cellStyle name="Heading 1 2 2 4 3 13 2 2" xfId="13638"/>
    <cellStyle name="Heading 1 2 2 4 3 13 3" xfId="13639"/>
    <cellStyle name="Heading 1 2 2 4 3 14" xfId="13640"/>
    <cellStyle name="Heading 1 2 2 4 3 14 2" xfId="13641"/>
    <cellStyle name="Heading 1 2 2 4 3 14 2 2" xfId="13642"/>
    <cellStyle name="Heading 1 2 2 4 3 14 3" xfId="13643"/>
    <cellStyle name="Heading 1 2 2 4 3 15" xfId="13644"/>
    <cellStyle name="Heading 1 2 2 4 3 15 2" xfId="13645"/>
    <cellStyle name="Heading 1 2 2 4 3 15 2 2" xfId="13646"/>
    <cellStyle name="Heading 1 2 2 4 3 15 3" xfId="13647"/>
    <cellStyle name="Heading 1 2 2 4 3 16" xfId="13648"/>
    <cellStyle name="Heading 1 2 2 4 3 16 2" xfId="13649"/>
    <cellStyle name="Heading 1 2 2 4 3 16 2 2" xfId="13650"/>
    <cellStyle name="Heading 1 2 2 4 3 16 3" xfId="13651"/>
    <cellStyle name="Heading 1 2 2 4 3 17" xfId="13652"/>
    <cellStyle name="Heading 1 2 2 4 3 17 2" xfId="13653"/>
    <cellStyle name="Heading 1 2 2 4 3 17 2 2" xfId="13654"/>
    <cellStyle name="Heading 1 2 2 4 3 17 3" xfId="13655"/>
    <cellStyle name="Heading 1 2 2 4 3 18" xfId="13656"/>
    <cellStyle name="Heading 1 2 2 4 3 18 2" xfId="13657"/>
    <cellStyle name="Heading 1 2 2 4 3 18 2 2" xfId="13658"/>
    <cellStyle name="Heading 1 2 2 4 3 18 3" xfId="13659"/>
    <cellStyle name="Heading 1 2 2 4 3 19" xfId="13660"/>
    <cellStyle name="Heading 1 2 2 4 3 19 2" xfId="13661"/>
    <cellStyle name="Heading 1 2 2 4 3 2" xfId="13662"/>
    <cellStyle name="Heading 1 2 2 4 3 2 2" xfId="13663"/>
    <cellStyle name="Heading 1 2 2 4 3 2 2 2" xfId="13664"/>
    <cellStyle name="Heading 1 2 2 4 3 2 2 2 2" xfId="13665"/>
    <cellStyle name="Heading 1 2 2 4 3 2 2 3" xfId="13666"/>
    <cellStyle name="Heading 1 2 2 4 3 2 3" xfId="13667"/>
    <cellStyle name="Heading 1 2 2 4 3 2 3 2" xfId="13668"/>
    <cellStyle name="Heading 1 2 2 4 3 2 3 2 2" xfId="13669"/>
    <cellStyle name="Heading 1 2 2 4 3 2 3 3" xfId="13670"/>
    <cellStyle name="Heading 1 2 2 4 3 2 4" xfId="13671"/>
    <cellStyle name="Heading 1 2 2 4 3 2 4 2" xfId="13672"/>
    <cellStyle name="Heading 1 2 2 4 3 2 4 2 2" xfId="13673"/>
    <cellStyle name="Heading 1 2 2 4 3 2 4 3" xfId="13674"/>
    <cellStyle name="Heading 1 2 2 4 3 2 5" xfId="13675"/>
    <cellStyle name="Heading 1 2 2 4 3 2 5 2" xfId="13676"/>
    <cellStyle name="Heading 1 2 2 4 3 2 5 2 2" xfId="13677"/>
    <cellStyle name="Heading 1 2 2 4 3 2 5 3" xfId="13678"/>
    <cellStyle name="Heading 1 2 2 4 3 2 6" xfId="13679"/>
    <cellStyle name="Heading 1 2 2 4 3 2 6 2" xfId="13680"/>
    <cellStyle name="Heading 1 2 2 4 3 2 6 2 2" xfId="13681"/>
    <cellStyle name="Heading 1 2 2 4 3 2 6 3" xfId="13682"/>
    <cellStyle name="Heading 1 2 2 4 3 2 7" xfId="13683"/>
    <cellStyle name="Heading 1 2 2 4 3 2 7 2" xfId="13684"/>
    <cellStyle name="Heading 1 2 2 4 3 2 7 2 2" xfId="13685"/>
    <cellStyle name="Heading 1 2 2 4 3 2 7 3" xfId="13686"/>
    <cellStyle name="Heading 1 2 2 4 3 2 8" xfId="13687"/>
    <cellStyle name="Heading 1 2 2 4 3 2 8 2" xfId="13688"/>
    <cellStyle name="Heading 1 2 2 4 3 2 9" xfId="13689"/>
    <cellStyle name="Heading 1 2 2 4 3 20" xfId="13690"/>
    <cellStyle name="Heading 1 2 2 4 3 20 2" xfId="13691"/>
    <cellStyle name="Heading 1 2 2 4 3 21" xfId="13692"/>
    <cellStyle name="Heading 1 2 2 4 3 21 2" xfId="13693"/>
    <cellStyle name="Heading 1 2 2 4 3 22" xfId="13694"/>
    <cellStyle name="Heading 1 2 2 4 3 3" xfId="13695"/>
    <cellStyle name="Heading 1 2 2 4 3 3 2" xfId="13696"/>
    <cellStyle name="Heading 1 2 2 4 3 3 2 2" xfId="13697"/>
    <cellStyle name="Heading 1 2 2 4 3 3 2 2 2" xfId="13698"/>
    <cellStyle name="Heading 1 2 2 4 3 3 2 3" xfId="13699"/>
    <cellStyle name="Heading 1 2 2 4 3 3 3" xfId="13700"/>
    <cellStyle name="Heading 1 2 2 4 3 3 3 2" xfId="13701"/>
    <cellStyle name="Heading 1 2 2 4 3 3 3 2 2" xfId="13702"/>
    <cellStyle name="Heading 1 2 2 4 3 3 3 3" xfId="13703"/>
    <cellStyle name="Heading 1 2 2 4 3 3 4" xfId="13704"/>
    <cellStyle name="Heading 1 2 2 4 3 3 4 2" xfId="13705"/>
    <cellStyle name="Heading 1 2 2 4 3 3 4 2 2" xfId="13706"/>
    <cellStyle name="Heading 1 2 2 4 3 3 4 3" xfId="13707"/>
    <cellStyle name="Heading 1 2 2 4 3 3 5" xfId="13708"/>
    <cellStyle name="Heading 1 2 2 4 3 3 5 2" xfId="13709"/>
    <cellStyle name="Heading 1 2 2 4 3 3 5 2 2" xfId="13710"/>
    <cellStyle name="Heading 1 2 2 4 3 3 5 3" xfId="13711"/>
    <cellStyle name="Heading 1 2 2 4 3 3 6" xfId="13712"/>
    <cellStyle name="Heading 1 2 2 4 3 3 6 2" xfId="13713"/>
    <cellStyle name="Heading 1 2 2 4 3 3 6 2 2" xfId="13714"/>
    <cellStyle name="Heading 1 2 2 4 3 3 6 3" xfId="13715"/>
    <cellStyle name="Heading 1 2 2 4 3 3 7" xfId="13716"/>
    <cellStyle name="Heading 1 2 2 4 3 3 7 2" xfId="13717"/>
    <cellStyle name="Heading 1 2 2 4 3 3 7 2 2" xfId="13718"/>
    <cellStyle name="Heading 1 2 2 4 3 3 7 3" xfId="13719"/>
    <cellStyle name="Heading 1 2 2 4 3 3 8" xfId="13720"/>
    <cellStyle name="Heading 1 2 2 4 3 3 8 2" xfId="13721"/>
    <cellStyle name="Heading 1 2 2 4 3 3 9" xfId="13722"/>
    <cellStyle name="Heading 1 2 2 4 3 4" xfId="13723"/>
    <cellStyle name="Heading 1 2 2 4 3 4 2" xfId="13724"/>
    <cellStyle name="Heading 1 2 2 4 3 4 2 2" xfId="13725"/>
    <cellStyle name="Heading 1 2 2 4 3 4 2 2 2" xfId="13726"/>
    <cellStyle name="Heading 1 2 2 4 3 4 2 3" xfId="13727"/>
    <cellStyle name="Heading 1 2 2 4 3 4 3" xfId="13728"/>
    <cellStyle name="Heading 1 2 2 4 3 4 3 2" xfId="13729"/>
    <cellStyle name="Heading 1 2 2 4 3 4 3 2 2" xfId="13730"/>
    <cellStyle name="Heading 1 2 2 4 3 4 3 3" xfId="13731"/>
    <cellStyle name="Heading 1 2 2 4 3 4 4" xfId="13732"/>
    <cellStyle name="Heading 1 2 2 4 3 4 4 2" xfId="13733"/>
    <cellStyle name="Heading 1 2 2 4 3 4 4 2 2" xfId="13734"/>
    <cellStyle name="Heading 1 2 2 4 3 4 4 3" xfId="13735"/>
    <cellStyle name="Heading 1 2 2 4 3 4 5" xfId="13736"/>
    <cellStyle name="Heading 1 2 2 4 3 4 5 2" xfId="13737"/>
    <cellStyle name="Heading 1 2 2 4 3 4 5 2 2" xfId="13738"/>
    <cellStyle name="Heading 1 2 2 4 3 4 5 3" xfId="13739"/>
    <cellStyle name="Heading 1 2 2 4 3 4 6" xfId="13740"/>
    <cellStyle name="Heading 1 2 2 4 3 4 6 2" xfId="13741"/>
    <cellStyle name="Heading 1 2 2 4 3 4 6 2 2" xfId="13742"/>
    <cellStyle name="Heading 1 2 2 4 3 4 6 3" xfId="13743"/>
    <cellStyle name="Heading 1 2 2 4 3 4 7" xfId="13744"/>
    <cellStyle name="Heading 1 2 2 4 3 4 7 2" xfId="13745"/>
    <cellStyle name="Heading 1 2 2 4 3 4 7 2 2" xfId="13746"/>
    <cellStyle name="Heading 1 2 2 4 3 4 7 3" xfId="13747"/>
    <cellStyle name="Heading 1 2 2 4 3 4 8" xfId="13748"/>
    <cellStyle name="Heading 1 2 2 4 3 4 8 2" xfId="13749"/>
    <cellStyle name="Heading 1 2 2 4 3 4 9" xfId="13750"/>
    <cellStyle name="Heading 1 2 2 4 3 5" xfId="13751"/>
    <cellStyle name="Heading 1 2 2 4 3 5 2" xfId="13752"/>
    <cellStyle name="Heading 1 2 2 4 3 5 2 2" xfId="13753"/>
    <cellStyle name="Heading 1 2 2 4 3 5 2 2 2" xfId="13754"/>
    <cellStyle name="Heading 1 2 2 4 3 5 2 3" xfId="13755"/>
    <cellStyle name="Heading 1 2 2 4 3 5 3" xfId="13756"/>
    <cellStyle name="Heading 1 2 2 4 3 5 3 2" xfId="13757"/>
    <cellStyle name="Heading 1 2 2 4 3 5 3 2 2" xfId="13758"/>
    <cellStyle name="Heading 1 2 2 4 3 5 3 3" xfId="13759"/>
    <cellStyle name="Heading 1 2 2 4 3 5 4" xfId="13760"/>
    <cellStyle name="Heading 1 2 2 4 3 5 4 2" xfId="13761"/>
    <cellStyle name="Heading 1 2 2 4 3 5 4 2 2" xfId="13762"/>
    <cellStyle name="Heading 1 2 2 4 3 5 4 3" xfId="13763"/>
    <cellStyle name="Heading 1 2 2 4 3 5 5" xfId="13764"/>
    <cellStyle name="Heading 1 2 2 4 3 5 5 2" xfId="13765"/>
    <cellStyle name="Heading 1 2 2 4 3 5 5 2 2" xfId="13766"/>
    <cellStyle name="Heading 1 2 2 4 3 5 5 3" xfId="13767"/>
    <cellStyle name="Heading 1 2 2 4 3 5 6" xfId="13768"/>
    <cellStyle name="Heading 1 2 2 4 3 5 6 2" xfId="13769"/>
    <cellStyle name="Heading 1 2 2 4 3 5 6 2 2" xfId="13770"/>
    <cellStyle name="Heading 1 2 2 4 3 5 6 3" xfId="13771"/>
    <cellStyle name="Heading 1 2 2 4 3 5 7" xfId="13772"/>
    <cellStyle name="Heading 1 2 2 4 3 5 7 2" xfId="13773"/>
    <cellStyle name="Heading 1 2 2 4 3 5 7 2 2" xfId="13774"/>
    <cellStyle name="Heading 1 2 2 4 3 5 7 3" xfId="13775"/>
    <cellStyle name="Heading 1 2 2 4 3 5 8" xfId="13776"/>
    <cellStyle name="Heading 1 2 2 4 3 5 8 2" xfId="13777"/>
    <cellStyle name="Heading 1 2 2 4 3 5 9" xfId="13778"/>
    <cellStyle name="Heading 1 2 2 4 3 6" xfId="13779"/>
    <cellStyle name="Heading 1 2 2 4 3 6 2" xfId="13780"/>
    <cellStyle name="Heading 1 2 2 4 3 6 2 2" xfId="13781"/>
    <cellStyle name="Heading 1 2 2 4 3 6 2 2 2" xfId="13782"/>
    <cellStyle name="Heading 1 2 2 4 3 6 2 3" xfId="13783"/>
    <cellStyle name="Heading 1 2 2 4 3 6 3" xfId="13784"/>
    <cellStyle name="Heading 1 2 2 4 3 6 3 2" xfId="13785"/>
    <cellStyle name="Heading 1 2 2 4 3 6 3 2 2" xfId="13786"/>
    <cellStyle name="Heading 1 2 2 4 3 6 3 3" xfId="13787"/>
    <cellStyle name="Heading 1 2 2 4 3 6 4" xfId="13788"/>
    <cellStyle name="Heading 1 2 2 4 3 6 4 2" xfId="13789"/>
    <cellStyle name="Heading 1 2 2 4 3 6 4 2 2" xfId="13790"/>
    <cellStyle name="Heading 1 2 2 4 3 6 4 3" xfId="13791"/>
    <cellStyle name="Heading 1 2 2 4 3 6 5" xfId="13792"/>
    <cellStyle name="Heading 1 2 2 4 3 6 5 2" xfId="13793"/>
    <cellStyle name="Heading 1 2 2 4 3 6 5 2 2" xfId="13794"/>
    <cellStyle name="Heading 1 2 2 4 3 6 5 3" xfId="13795"/>
    <cellStyle name="Heading 1 2 2 4 3 6 6" xfId="13796"/>
    <cellStyle name="Heading 1 2 2 4 3 6 6 2" xfId="13797"/>
    <cellStyle name="Heading 1 2 2 4 3 6 6 2 2" xfId="13798"/>
    <cellStyle name="Heading 1 2 2 4 3 6 6 3" xfId="13799"/>
    <cellStyle name="Heading 1 2 2 4 3 6 7" xfId="13800"/>
    <cellStyle name="Heading 1 2 2 4 3 6 7 2" xfId="13801"/>
    <cellStyle name="Heading 1 2 2 4 3 6 7 2 2" xfId="13802"/>
    <cellStyle name="Heading 1 2 2 4 3 6 7 3" xfId="13803"/>
    <cellStyle name="Heading 1 2 2 4 3 6 8" xfId="13804"/>
    <cellStyle name="Heading 1 2 2 4 3 6 8 2" xfId="13805"/>
    <cellStyle name="Heading 1 2 2 4 3 6 9" xfId="13806"/>
    <cellStyle name="Heading 1 2 2 4 3 7" xfId="13807"/>
    <cellStyle name="Heading 1 2 2 4 3 7 2" xfId="13808"/>
    <cellStyle name="Heading 1 2 2 4 3 7 2 2" xfId="13809"/>
    <cellStyle name="Heading 1 2 2 4 3 7 2 2 2" xfId="13810"/>
    <cellStyle name="Heading 1 2 2 4 3 7 2 3" xfId="13811"/>
    <cellStyle name="Heading 1 2 2 4 3 7 3" xfId="13812"/>
    <cellStyle name="Heading 1 2 2 4 3 7 3 2" xfId="13813"/>
    <cellStyle name="Heading 1 2 2 4 3 7 3 2 2" xfId="13814"/>
    <cellStyle name="Heading 1 2 2 4 3 7 3 3" xfId="13815"/>
    <cellStyle name="Heading 1 2 2 4 3 7 4" xfId="13816"/>
    <cellStyle name="Heading 1 2 2 4 3 7 4 2" xfId="13817"/>
    <cellStyle name="Heading 1 2 2 4 3 7 4 2 2" xfId="13818"/>
    <cellStyle name="Heading 1 2 2 4 3 7 4 3" xfId="13819"/>
    <cellStyle name="Heading 1 2 2 4 3 7 5" xfId="13820"/>
    <cellStyle name="Heading 1 2 2 4 3 7 5 2" xfId="13821"/>
    <cellStyle name="Heading 1 2 2 4 3 7 5 2 2" xfId="13822"/>
    <cellStyle name="Heading 1 2 2 4 3 7 5 3" xfId="13823"/>
    <cellStyle name="Heading 1 2 2 4 3 7 6" xfId="13824"/>
    <cellStyle name="Heading 1 2 2 4 3 7 6 2" xfId="13825"/>
    <cellStyle name="Heading 1 2 2 4 3 7 6 2 2" xfId="13826"/>
    <cellStyle name="Heading 1 2 2 4 3 7 6 3" xfId="13827"/>
    <cellStyle name="Heading 1 2 2 4 3 7 7" xfId="13828"/>
    <cellStyle name="Heading 1 2 2 4 3 7 7 2" xfId="13829"/>
    <cellStyle name="Heading 1 2 2 4 3 7 7 2 2" xfId="13830"/>
    <cellStyle name="Heading 1 2 2 4 3 7 7 3" xfId="13831"/>
    <cellStyle name="Heading 1 2 2 4 3 7 8" xfId="13832"/>
    <cellStyle name="Heading 1 2 2 4 3 7 8 2" xfId="13833"/>
    <cellStyle name="Heading 1 2 2 4 3 7 9" xfId="13834"/>
    <cellStyle name="Heading 1 2 2 4 3 8" xfId="13835"/>
    <cellStyle name="Heading 1 2 2 4 3 8 2" xfId="13836"/>
    <cellStyle name="Heading 1 2 2 4 3 8 2 2" xfId="13837"/>
    <cellStyle name="Heading 1 2 2 4 3 8 2 2 2" xfId="13838"/>
    <cellStyle name="Heading 1 2 2 4 3 8 2 3" xfId="13839"/>
    <cellStyle name="Heading 1 2 2 4 3 8 3" xfId="13840"/>
    <cellStyle name="Heading 1 2 2 4 3 8 3 2" xfId="13841"/>
    <cellStyle name="Heading 1 2 2 4 3 8 3 2 2" xfId="13842"/>
    <cellStyle name="Heading 1 2 2 4 3 8 3 3" xfId="13843"/>
    <cellStyle name="Heading 1 2 2 4 3 8 4" xfId="13844"/>
    <cellStyle name="Heading 1 2 2 4 3 8 4 2" xfId="13845"/>
    <cellStyle name="Heading 1 2 2 4 3 8 4 2 2" xfId="13846"/>
    <cellStyle name="Heading 1 2 2 4 3 8 4 3" xfId="13847"/>
    <cellStyle name="Heading 1 2 2 4 3 8 5" xfId="13848"/>
    <cellStyle name="Heading 1 2 2 4 3 8 5 2" xfId="13849"/>
    <cellStyle name="Heading 1 2 2 4 3 8 5 2 2" xfId="13850"/>
    <cellStyle name="Heading 1 2 2 4 3 8 5 3" xfId="13851"/>
    <cellStyle name="Heading 1 2 2 4 3 8 6" xfId="13852"/>
    <cellStyle name="Heading 1 2 2 4 3 8 6 2" xfId="13853"/>
    <cellStyle name="Heading 1 2 2 4 3 8 6 2 2" xfId="13854"/>
    <cellStyle name="Heading 1 2 2 4 3 8 6 3" xfId="13855"/>
    <cellStyle name="Heading 1 2 2 4 3 8 7" xfId="13856"/>
    <cellStyle name="Heading 1 2 2 4 3 8 7 2" xfId="13857"/>
    <cellStyle name="Heading 1 2 2 4 3 8 7 2 2" xfId="13858"/>
    <cellStyle name="Heading 1 2 2 4 3 8 7 3" xfId="13859"/>
    <cellStyle name="Heading 1 2 2 4 3 8 8" xfId="13860"/>
    <cellStyle name="Heading 1 2 2 4 3 8 8 2" xfId="13861"/>
    <cellStyle name="Heading 1 2 2 4 3 8 9" xfId="13862"/>
    <cellStyle name="Heading 1 2 2 4 3 9" xfId="13863"/>
    <cellStyle name="Heading 1 2 2 4 3 9 2" xfId="13864"/>
    <cellStyle name="Heading 1 2 2 4 3 9 2 2" xfId="13865"/>
    <cellStyle name="Heading 1 2 2 4 3 9 3" xfId="13866"/>
    <cellStyle name="Heading 1 2 2 4 4" xfId="13867"/>
    <cellStyle name="Heading 1 2 2 4 4 2" xfId="13868"/>
    <cellStyle name="Heading 1 2 2 4 4 2 2" xfId="13869"/>
    <cellStyle name="Heading 1 2 2 4 4 3" xfId="13870"/>
    <cellStyle name="Heading 1 2 2 4 5" xfId="13871"/>
    <cellStyle name="Heading 1 2 2 4 5 2" xfId="13872"/>
    <cellStyle name="Heading 1 2 2 4 6" xfId="13873"/>
    <cellStyle name="Heading 1 2 2 5" xfId="13874"/>
    <cellStyle name="Heading 1 2 2 5 2" xfId="13875"/>
    <cellStyle name="Heading 1 2 2 5 2 10" xfId="13876"/>
    <cellStyle name="Heading 1 2 2 5 2 10 2" xfId="13877"/>
    <cellStyle name="Heading 1 2 2 5 2 10 2 2" xfId="13878"/>
    <cellStyle name="Heading 1 2 2 5 2 10 3" xfId="13879"/>
    <cellStyle name="Heading 1 2 2 5 2 11" xfId="13880"/>
    <cellStyle name="Heading 1 2 2 5 2 11 2" xfId="13881"/>
    <cellStyle name="Heading 1 2 2 5 2 11 2 2" xfId="13882"/>
    <cellStyle name="Heading 1 2 2 5 2 11 3" xfId="13883"/>
    <cellStyle name="Heading 1 2 2 5 2 12" xfId="13884"/>
    <cellStyle name="Heading 1 2 2 5 2 12 2" xfId="13885"/>
    <cellStyle name="Heading 1 2 2 5 2 12 2 2" xfId="13886"/>
    <cellStyle name="Heading 1 2 2 5 2 12 3" xfId="13887"/>
    <cellStyle name="Heading 1 2 2 5 2 13" xfId="13888"/>
    <cellStyle name="Heading 1 2 2 5 2 13 2" xfId="13889"/>
    <cellStyle name="Heading 1 2 2 5 2 13 2 2" xfId="13890"/>
    <cellStyle name="Heading 1 2 2 5 2 13 3" xfId="13891"/>
    <cellStyle name="Heading 1 2 2 5 2 14" xfId="13892"/>
    <cellStyle name="Heading 1 2 2 5 2 14 2" xfId="13893"/>
    <cellStyle name="Heading 1 2 2 5 2 14 2 2" xfId="13894"/>
    <cellStyle name="Heading 1 2 2 5 2 14 3" xfId="13895"/>
    <cellStyle name="Heading 1 2 2 5 2 15" xfId="13896"/>
    <cellStyle name="Heading 1 2 2 5 2 15 2" xfId="13897"/>
    <cellStyle name="Heading 1 2 2 5 2 15 2 2" xfId="13898"/>
    <cellStyle name="Heading 1 2 2 5 2 15 3" xfId="13899"/>
    <cellStyle name="Heading 1 2 2 5 2 16" xfId="13900"/>
    <cellStyle name="Heading 1 2 2 5 2 16 2" xfId="13901"/>
    <cellStyle name="Heading 1 2 2 5 2 16 2 2" xfId="13902"/>
    <cellStyle name="Heading 1 2 2 5 2 16 3" xfId="13903"/>
    <cellStyle name="Heading 1 2 2 5 2 17" xfId="13904"/>
    <cellStyle name="Heading 1 2 2 5 2 17 2" xfId="13905"/>
    <cellStyle name="Heading 1 2 2 5 2 17 2 2" xfId="13906"/>
    <cellStyle name="Heading 1 2 2 5 2 17 3" xfId="13907"/>
    <cellStyle name="Heading 1 2 2 5 2 18" xfId="13908"/>
    <cellStyle name="Heading 1 2 2 5 2 18 2" xfId="13909"/>
    <cellStyle name="Heading 1 2 2 5 2 18 2 2" xfId="13910"/>
    <cellStyle name="Heading 1 2 2 5 2 18 3" xfId="13911"/>
    <cellStyle name="Heading 1 2 2 5 2 19" xfId="13912"/>
    <cellStyle name="Heading 1 2 2 5 2 19 2" xfId="13913"/>
    <cellStyle name="Heading 1 2 2 5 2 19 2 2" xfId="13914"/>
    <cellStyle name="Heading 1 2 2 5 2 19 3" xfId="13915"/>
    <cellStyle name="Heading 1 2 2 5 2 2" xfId="13916"/>
    <cellStyle name="Heading 1 2 2 5 2 2 10" xfId="13917"/>
    <cellStyle name="Heading 1 2 2 5 2 2 10 2" xfId="13918"/>
    <cellStyle name="Heading 1 2 2 5 2 2 10 2 2" xfId="13919"/>
    <cellStyle name="Heading 1 2 2 5 2 2 10 3" xfId="13920"/>
    <cellStyle name="Heading 1 2 2 5 2 2 11" xfId="13921"/>
    <cellStyle name="Heading 1 2 2 5 2 2 11 2" xfId="13922"/>
    <cellStyle name="Heading 1 2 2 5 2 2 11 2 2" xfId="13923"/>
    <cellStyle name="Heading 1 2 2 5 2 2 11 3" xfId="13924"/>
    <cellStyle name="Heading 1 2 2 5 2 2 12" xfId="13925"/>
    <cellStyle name="Heading 1 2 2 5 2 2 12 2" xfId="13926"/>
    <cellStyle name="Heading 1 2 2 5 2 2 12 2 2" xfId="13927"/>
    <cellStyle name="Heading 1 2 2 5 2 2 12 3" xfId="13928"/>
    <cellStyle name="Heading 1 2 2 5 2 2 13" xfId="13929"/>
    <cellStyle name="Heading 1 2 2 5 2 2 13 2" xfId="13930"/>
    <cellStyle name="Heading 1 2 2 5 2 2 13 2 2" xfId="13931"/>
    <cellStyle name="Heading 1 2 2 5 2 2 13 3" xfId="13932"/>
    <cellStyle name="Heading 1 2 2 5 2 2 14" xfId="13933"/>
    <cellStyle name="Heading 1 2 2 5 2 2 14 2" xfId="13934"/>
    <cellStyle name="Heading 1 2 2 5 2 2 14 2 2" xfId="13935"/>
    <cellStyle name="Heading 1 2 2 5 2 2 14 3" xfId="13936"/>
    <cellStyle name="Heading 1 2 2 5 2 2 15" xfId="13937"/>
    <cellStyle name="Heading 1 2 2 5 2 2 15 2" xfId="13938"/>
    <cellStyle name="Heading 1 2 2 5 2 2 15 2 2" xfId="13939"/>
    <cellStyle name="Heading 1 2 2 5 2 2 15 3" xfId="13940"/>
    <cellStyle name="Heading 1 2 2 5 2 2 16" xfId="13941"/>
    <cellStyle name="Heading 1 2 2 5 2 2 16 2" xfId="13942"/>
    <cellStyle name="Heading 1 2 2 5 2 2 16 2 2" xfId="13943"/>
    <cellStyle name="Heading 1 2 2 5 2 2 16 3" xfId="13944"/>
    <cellStyle name="Heading 1 2 2 5 2 2 17" xfId="13945"/>
    <cellStyle name="Heading 1 2 2 5 2 2 17 2" xfId="13946"/>
    <cellStyle name="Heading 1 2 2 5 2 2 17 2 2" xfId="13947"/>
    <cellStyle name="Heading 1 2 2 5 2 2 17 3" xfId="13948"/>
    <cellStyle name="Heading 1 2 2 5 2 2 18" xfId="13949"/>
    <cellStyle name="Heading 1 2 2 5 2 2 18 2" xfId="13950"/>
    <cellStyle name="Heading 1 2 2 5 2 2 18 2 2" xfId="13951"/>
    <cellStyle name="Heading 1 2 2 5 2 2 18 3" xfId="13952"/>
    <cellStyle name="Heading 1 2 2 5 2 2 19" xfId="13953"/>
    <cellStyle name="Heading 1 2 2 5 2 2 19 2" xfId="13954"/>
    <cellStyle name="Heading 1 2 2 5 2 2 2" xfId="13955"/>
    <cellStyle name="Heading 1 2 2 5 2 2 2 2" xfId="13956"/>
    <cellStyle name="Heading 1 2 2 5 2 2 2 2 2" xfId="13957"/>
    <cellStyle name="Heading 1 2 2 5 2 2 2 2 2 2" xfId="13958"/>
    <cellStyle name="Heading 1 2 2 5 2 2 2 2 3" xfId="13959"/>
    <cellStyle name="Heading 1 2 2 5 2 2 2 3" xfId="13960"/>
    <cellStyle name="Heading 1 2 2 5 2 2 2 3 2" xfId="13961"/>
    <cellStyle name="Heading 1 2 2 5 2 2 2 3 2 2" xfId="13962"/>
    <cellStyle name="Heading 1 2 2 5 2 2 2 3 3" xfId="13963"/>
    <cellStyle name="Heading 1 2 2 5 2 2 2 4" xfId="13964"/>
    <cellStyle name="Heading 1 2 2 5 2 2 2 4 2" xfId="13965"/>
    <cellStyle name="Heading 1 2 2 5 2 2 2 4 2 2" xfId="13966"/>
    <cellStyle name="Heading 1 2 2 5 2 2 2 4 3" xfId="13967"/>
    <cellStyle name="Heading 1 2 2 5 2 2 2 5" xfId="13968"/>
    <cellStyle name="Heading 1 2 2 5 2 2 2 5 2" xfId="13969"/>
    <cellStyle name="Heading 1 2 2 5 2 2 2 5 2 2" xfId="13970"/>
    <cellStyle name="Heading 1 2 2 5 2 2 2 5 3" xfId="13971"/>
    <cellStyle name="Heading 1 2 2 5 2 2 2 6" xfId="13972"/>
    <cellStyle name="Heading 1 2 2 5 2 2 2 6 2" xfId="13973"/>
    <cellStyle name="Heading 1 2 2 5 2 2 2 6 2 2" xfId="13974"/>
    <cellStyle name="Heading 1 2 2 5 2 2 2 6 3" xfId="13975"/>
    <cellStyle name="Heading 1 2 2 5 2 2 2 7" xfId="13976"/>
    <cellStyle name="Heading 1 2 2 5 2 2 2 7 2" xfId="13977"/>
    <cellStyle name="Heading 1 2 2 5 2 2 2 7 2 2" xfId="13978"/>
    <cellStyle name="Heading 1 2 2 5 2 2 2 7 3" xfId="13979"/>
    <cellStyle name="Heading 1 2 2 5 2 2 2 8" xfId="13980"/>
    <cellStyle name="Heading 1 2 2 5 2 2 2 8 2" xfId="13981"/>
    <cellStyle name="Heading 1 2 2 5 2 2 2 9" xfId="13982"/>
    <cellStyle name="Heading 1 2 2 5 2 2 20" xfId="13983"/>
    <cellStyle name="Heading 1 2 2 5 2 2 20 2" xfId="13984"/>
    <cellStyle name="Heading 1 2 2 5 2 2 21" xfId="13985"/>
    <cellStyle name="Heading 1 2 2 5 2 2 21 2" xfId="13986"/>
    <cellStyle name="Heading 1 2 2 5 2 2 22" xfId="13987"/>
    <cellStyle name="Heading 1 2 2 5 2 2 3" xfId="13988"/>
    <cellStyle name="Heading 1 2 2 5 2 2 3 2" xfId="13989"/>
    <cellStyle name="Heading 1 2 2 5 2 2 3 2 2" xfId="13990"/>
    <cellStyle name="Heading 1 2 2 5 2 2 3 2 2 2" xfId="13991"/>
    <cellStyle name="Heading 1 2 2 5 2 2 3 2 3" xfId="13992"/>
    <cellStyle name="Heading 1 2 2 5 2 2 3 3" xfId="13993"/>
    <cellStyle name="Heading 1 2 2 5 2 2 3 3 2" xfId="13994"/>
    <cellStyle name="Heading 1 2 2 5 2 2 3 3 2 2" xfId="13995"/>
    <cellStyle name="Heading 1 2 2 5 2 2 3 3 3" xfId="13996"/>
    <cellStyle name="Heading 1 2 2 5 2 2 3 4" xfId="13997"/>
    <cellStyle name="Heading 1 2 2 5 2 2 3 4 2" xfId="13998"/>
    <cellStyle name="Heading 1 2 2 5 2 2 3 4 2 2" xfId="13999"/>
    <cellStyle name="Heading 1 2 2 5 2 2 3 4 3" xfId="14000"/>
    <cellStyle name="Heading 1 2 2 5 2 2 3 5" xfId="14001"/>
    <cellStyle name="Heading 1 2 2 5 2 2 3 5 2" xfId="14002"/>
    <cellStyle name="Heading 1 2 2 5 2 2 3 5 2 2" xfId="14003"/>
    <cellStyle name="Heading 1 2 2 5 2 2 3 5 3" xfId="14004"/>
    <cellStyle name="Heading 1 2 2 5 2 2 3 6" xfId="14005"/>
    <cellStyle name="Heading 1 2 2 5 2 2 3 6 2" xfId="14006"/>
    <cellStyle name="Heading 1 2 2 5 2 2 3 6 2 2" xfId="14007"/>
    <cellStyle name="Heading 1 2 2 5 2 2 3 6 3" xfId="14008"/>
    <cellStyle name="Heading 1 2 2 5 2 2 3 7" xfId="14009"/>
    <cellStyle name="Heading 1 2 2 5 2 2 3 7 2" xfId="14010"/>
    <cellStyle name="Heading 1 2 2 5 2 2 3 7 2 2" xfId="14011"/>
    <cellStyle name="Heading 1 2 2 5 2 2 3 7 3" xfId="14012"/>
    <cellStyle name="Heading 1 2 2 5 2 2 3 8" xfId="14013"/>
    <cellStyle name="Heading 1 2 2 5 2 2 3 8 2" xfId="14014"/>
    <cellStyle name="Heading 1 2 2 5 2 2 3 9" xfId="14015"/>
    <cellStyle name="Heading 1 2 2 5 2 2 4" xfId="14016"/>
    <cellStyle name="Heading 1 2 2 5 2 2 4 2" xfId="14017"/>
    <cellStyle name="Heading 1 2 2 5 2 2 4 2 2" xfId="14018"/>
    <cellStyle name="Heading 1 2 2 5 2 2 4 2 2 2" xfId="14019"/>
    <cellStyle name="Heading 1 2 2 5 2 2 4 2 3" xfId="14020"/>
    <cellStyle name="Heading 1 2 2 5 2 2 4 3" xfId="14021"/>
    <cellStyle name="Heading 1 2 2 5 2 2 4 3 2" xfId="14022"/>
    <cellStyle name="Heading 1 2 2 5 2 2 4 3 2 2" xfId="14023"/>
    <cellStyle name="Heading 1 2 2 5 2 2 4 3 3" xfId="14024"/>
    <cellStyle name="Heading 1 2 2 5 2 2 4 4" xfId="14025"/>
    <cellStyle name="Heading 1 2 2 5 2 2 4 4 2" xfId="14026"/>
    <cellStyle name="Heading 1 2 2 5 2 2 4 4 2 2" xfId="14027"/>
    <cellStyle name="Heading 1 2 2 5 2 2 4 4 3" xfId="14028"/>
    <cellStyle name="Heading 1 2 2 5 2 2 4 5" xfId="14029"/>
    <cellStyle name="Heading 1 2 2 5 2 2 4 5 2" xfId="14030"/>
    <cellStyle name="Heading 1 2 2 5 2 2 4 5 2 2" xfId="14031"/>
    <cellStyle name="Heading 1 2 2 5 2 2 4 5 3" xfId="14032"/>
    <cellStyle name="Heading 1 2 2 5 2 2 4 6" xfId="14033"/>
    <cellStyle name="Heading 1 2 2 5 2 2 4 6 2" xfId="14034"/>
    <cellStyle name="Heading 1 2 2 5 2 2 4 6 2 2" xfId="14035"/>
    <cellStyle name="Heading 1 2 2 5 2 2 4 6 3" xfId="14036"/>
    <cellStyle name="Heading 1 2 2 5 2 2 4 7" xfId="14037"/>
    <cellStyle name="Heading 1 2 2 5 2 2 4 7 2" xfId="14038"/>
    <cellStyle name="Heading 1 2 2 5 2 2 4 7 2 2" xfId="14039"/>
    <cellStyle name="Heading 1 2 2 5 2 2 4 7 3" xfId="14040"/>
    <cellStyle name="Heading 1 2 2 5 2 2 4 8" xfId="14041"/>
    <cellStyle name="Heading 1 2 2 5 2 2 4 8 2" xfId="14042"/>
    <cellStyle name="Heading 1 2 2 5 2 2 4 9" xfId="14043"/>
    <cellStyle name="Heading 1 2 2 5 2 2 5" xfId="14044"/>
    <cellStyle name="Heading 1 2 2 5 2 2 5 2" xfId="14045"/>
    <cellStyle name="Heading 1 2 2 5 2 2 5 2 2" xfId="14046"/>
    <cellStyle name="Heading 1 2 2 5 2 2 5 2 2 2" xfId="14047"/>
    <cellStyle name="Heading 1 2 2 5 2 2 5 2 3" xfId="14048"/>
    <cellStyle name="Heading 1 2 2 5 2 2 5 3" xfId="14049"/>
    <cellStyle name="Heading 1 2 2 5 2 2 5 3 2" xfId="14050"/>
    <cellStyle name="Heading 1 2 2 5 2 2 5 3 2 2" xfId="14051"/>
    <cellStyle name="Heading 1 2 2 5 2 2 5 3 3" xfId="14052"/>
    <cellStyle name="Heading 1 2 2 5 2 2 5 4" xfId="14053"/>
    <cellStyle name="Heading 1 2 2 5 2 2 5 4 2" xfId="14054"/>
    <cellStyle name="Heading 1 2 2 5 2 2 5 4 2 2" xfId="14055"/>
    <cellStyle name="Heading 1 2 2 5 2 2 5 4 3" xfId="14056"/>
    <cellStyle name="Heading 1 2 2 5 2 2 5 5" xfId="14057"/>
    <cellStyle name="Heading 1 2 2 5 2 2 5 5 2" xfId="14058"/>
    <cellStyle name="Heading 1 2 2 5 2 2 5 5 2 2" xfId="14059"/>
    <cellStyle name="Heading 1 2 2 5 2 2 5 5 3" xfId="14060"/>
    <cellStyle name="Heading 1 2 2 5 2 2 5 6" xfId="14061"/>
    <cellStyle name="Heading 1 2 2 5 2 2 5 6 2" xfId="14062"/>
    <cellStyle name="Heading 1 2 2 5 2 2 5 6 2 2" xfId="14063"/>
    <cellStyle name="Heading 1 2 2 5 2 2 5 6 3" xfId="14064"/>
    <cellStyle name="Heading 1 2 2 5 2 2 5 7" xfId="14065"/>
    <cellStyle name="Heading 1 2 2 5 2 2 5 7 2" xfId="14066"/>
    <cellStyle name="Heading 1 2 2 5 2 2 5 7 2 2" xfId="14067"/>
    <cellStyle name="Heading 1 2 2 5 2 2 5 7 3" xfId="14068"/>
    <cellStyle name="Heading 1 2 2 5 2 2 5 8" xfId="14069"/>
    <cellStyle name="Heading 1 2 2 5 2 2 5 8 2" xfId="14070"/>
    <cellStyle name="Heading 1 2 2 5 2 2 5 9" xfId="14071"/>
    <cellStyle name="Heading 1 2 2 5 2 2 6" xfId="14072"/>
    <cellStyle name="Heading 1 2 2 5 2 2 6 2" xfId="14073"/>
    <cellStyle name="Heading 1 2 2 5 2 2 6 2 2" xfId="14074"/>
    <cellStyle name="Heading 1 2 2 5 2 2 6 2 2 2" xfId="14075"/>
    <cellStyle name="Heading 1 2 2 5 2 2 6 2 3" xfId="14076"/>
    <cellStyle name="Heading 1 2 2 5 2 2 6 3" xfId="14077"/>
    <cellStyle name="Heading 1 2 2 5 2 2 6 3 2" xfId="14078"/>
    <cellStyle name="Heading 1 2 2 5 2 2 6 3 2 2" xfId="14079"/>
    <cellStyle name="Heading 1 2 2 5 2 2 6 3 3" xfId="14080"/>
    <cellStyle name="Heading 1 2 2 5 2 2 6 4" xfId="14081"/>
    <cellStyle name="Heading 1 2 2 5 2 2 6 4 2" xfId="14082"/>
    <cellStyle name="Heading 1 2 2 5 2 2 6 4 2 2" xfId="14083"/>
    <cellStyle name="Heading 1 2 2 5 2 2 6 4 3" xfId="14084"/>
    <cellStyle name="Heading 1 2 2 5 2 2 6 5" xfId="14085"/>
    <cellStyle name="Heading 1 2 2 5 2 2 6 5 2" xfId="14086"/>
    <cellStyle name="Heading 1 2 2 5 2 2 6 5 2 2" xfId="14087"/>
    <cellStyle name="Heading 1 2 2 5 2 2 6 5 3" xfId="14088"/>
    <cellStyle name="Heading 1 2 2 5 2 2 6 6" xfId="14089"/>
    <cellStyle name="Heading 1 2 2 5 2 2 6 6 2" xfId="14090"/>
    <cellStyle name="Heading 1 2 2 5 2 2 6 6 2 2" xfId="14091"/>
    <cellStyle name="Heading 1 2 2 5 2 2 6 6 3" xfId="14092"/>
    <cellStyle name="Heading 1 2 2 5 2 2 6 7" xfId="14093"/>
    <cellStyle name="Heading 1 2 2 5 2 2 6 7 2" xfId="14094"/>
    <cellStyle name="Heading 1 2 2 5 2 2 6 7 2 2" xfId="14095"/>
    <cellStyle name="Heading 1 2 2 5 2 2 6 7 3" xfId="14096"/>
    <cellStyle name="Heading 1 2 2 5 2 2 6 8" xfId="14097"/>
    <cellStyle name="Heading 1 2 2 5 2 2 6 8 2" xfId="14098"/>
    <cellStyle name="Heading 1 2 2 5 2 2 6 9" xfId="14099"/>
    <cellStyle name="Heading 1 2 2 5 2 2 7" xfId="14100"/>
    <cellStyle name="Heading 1 2 2 5 2 2 7 2" xfId="14101"/>
    <cellStyle name="Heading 1 2 2 5 2 2 7 2 2" xfId="14102"/>
    <cellStyle name="Heading 1 2 2 5 2 2 7 2 2 2" xfId="14103"/>
    <cellStyle name="Heading 1 2 2 5 2 2 7 2 3" xfId="14104"/>
    <cellStyle name="Heading 1 2 2 5 2 2 7 3" xfId="14105"/>
    <cellStyle name="Heading 1 2 2 5 2 2 7 3 2" xfId="14106"/>
    <cellStyle name="Heading 1 2 2 5 2 2 7 3 2 2" xfId="14107"/>
    <cellStyle name="Heading 1 2 2 5 2 2 7 3 3" xfId="14108"/>
    <cellStyle name="Heading 1 2 2 5 2 2 7 4" xfId="14109"/>
    <cellStyle name="Heading 1 2 2 5 2 2 7 4 2" xfId="14110"/>
    <cellStyle name="Heading 1 2 2 5 2 2 7 4 2 2" xfId="14111"/>
    <cellStyle name="Heading 1 2 2 5 2 2 7 4 3" xfId="14112"/>
    <cellStyle name="Heading 1 2 2 5 2 2 7 5" xfId="14113"/>
    <cellStyle name="Heading 1 2 2 5 2 2 7 5 2" xfId="14114"/>
    <cellStyle name="Heading 1 2 2 5 2 2 7 5 2 2" xfId="14115"/>
    <cellStyle name="Heading 1 2 2 5 2 2 7 5 3" xfId="14116"/>
    <cellStyle name="Heading 1 2 2 5 2 2 7 6" xfId="14117"/>
    <cellStyle name="Heading 1 2 2 5 2 2 7 6 2" xfId="14118"/>
    <cellStyle name="Heading 1 2 2 5 2 2 7 6 2 2" xfId="14119"/>
    <cellStyle name="Heading 1 2 2 5 2 2 7 6 3" xfId="14120"/>
    <cellStyle name="Heading 1 2 2 5 2 2 7 7" xfId="14121"/>
    <cellStyle name="Heading 1 2 2 5 2 2 7 7 2" xfId="14122"/>
    <cellStyle name="Heading 1 2 2 5 2 2 7 7 2 2" xfId="14123"/>
    <cellStyle name="Heading 1 2 2 5 2 2 7 7 3" xfId="14124"/>
    <cellStyle name="Heading 1 2 2 5 2 2 7 8" xfId="14125"/>
    <cellStyle name="Heading 1 2 2 5 2 2 7 8 2" xfId="14126"/>
    <cellStyle name="Heading 1 2 2 5 2 2 7 9" xfId="14127"/>
    <cellStyle name="Heading 1 2 2 5 2 2 8" xfId="14128"/>
    <cellStyle name="Heading 1 2 2 5 2 2 8 2" xfId="14129"/>
    <cellStyle name="Heading 1 2 2 5 2 2 8 2 2" xfId="14130"/>
    <cellStyle name="Heading 1 2 2 5 2 2 8 2 2 2" xfId="14131"/>
    <cellStyle name="Heading 1 2 2 5 2 2 8 2 3" xfId="14132"/>
    <cellStyle name="Heading 1 2 2 5 2 2 8 3" xfId="14133"/>
    <cellStyle name="Heading 1 2 2 5 2 2 8 3 2" xfId="14134"/>
    <cellStyle name="Heading 1 2 2 5 2 2 8 3 2 2" xfId="14135"/>
    <cellStyle name="Heading 1 2 2 5 2 2 8 3 3" xfId="14136"/>
    <cellStyle name="Heading 1 2 2 5 2 2 8 4" xfId="14137"/>
    <cellStyle name="Heading 1 2 2 5 2 2 8 4 2" xfId="14138"/>
    <cellStyle name="Heading 1 2 2 5 2 2 8 4 2 2" xfId="14139"/>
    <cellStyle name="Heading 1 2 2 5 2 2 8 4 3" xfId="14140"/>
    <cellStyle name="Heading 1 2 2 5 2 2 8 5" xfId="14141"/>
    <cellStyle name="Heading 1 2 2 5 2 2 8 5 2" xfId="14142"/>
    <cellStyle name="Heading 1 2 2 5 2 2 8 5 2 2" xfId="14143"/>
    <cellStyle name="Heading 1 2 2 5 2 2 8 5 3" xfId="14144"/>
    <cellStyle name="Heading 1 2 2 5 2 2 8 6" xfId="14145"/>
    <cellStyle name="Heading 1 2 2 5 2 2 8 6 2" xfId="14146"/>
    <cellStyle name="Heading 1 2 2 5 2 2 8 6 2 2" xfId="14147"/>
    <cellStyle name="Heading 1 2 2 5 2 2 8 6 3" xfId="14148"/>
    <cellStyle name="Heading 1 2 2 5 2 2 8 7" xfId="14149"/>
    <cellStyle name="Heading 1 2 2 5 2 2 8 7 2" xfId="14150"/>
    <cellStyle name="Heading 1 2 2 5 2 2 8 7 2 2" xfId="14151"/>
    <cellStyle name="Heading 1 2 2 5 2 2 8 7 3" xfId="14152"/>
    <cellStyle name="Heading 1 2 2 5 2 2 8 8" xfId="14153"/>
    <cellStyle name="Heading 1 2 2 5 2 2 8 8 2" xfId="14154"/>
    <cellStyle name="Heading 1 2 2 5 2 2 8 9" xfId="14155"/>
    <cellStyle name="Heading 1 2 2 5 2 2 9" xfId="14156"/>
    <cellStyle name="Heading 1 2 2 5 2 2 9 2" xfId="14157"/>
    <cellStyle name="Heading 1 2 2 5 2 2 9 2 2" xfId="14158"/>
    <cellStyle name="Heading 1 2 2 5 2 2 9 3" xfId="14159"/>
    <cellStyle name="Heading 1 2 2 5 2 20" xfId="14160"/>
    <cellStyle name="Heading 1 2 2 5 2 20 2" xfId="14161"/>
    <cellStyle name="Heading 1 2 2 5 2 21" xfId="14162"/>
    <cellStyle name="Heading 1 2 2 5 2 21 2" xfId="14163"/>
    <cellStyle name="Heading 1 2 2 5 2 22" xfId="14164"/>
    <cellStyle name="Heading 1 2 2 5 2 22 2" xfId="14165"/>
    <cellStyle name="Heading 1 2 2 5 2 23" xfId="14166"/>
    <cellStyle name="Heading 1 2 2 5 2 3" xfId="14167"/>
    <cellStyle name="Heading 1 2 2 5 2 3 2" xfId="14168"/>
    <cellStyle name="Heading 1 2 2 5 2 3 2 2" xfId="14169"/>
    <cellStyle name="Heading 1 2 2 5 2 3 2 2 2" xfId="14170"/>
    <cellStyle name="Heading 1 2 2 5 2 3 2 3" xfId="14171"/>
    <cellStyle name="Heading 1 2 2 5 2 3 3" xfId="14172"/>
    <cellStyle name="Heading 1 2 2 5 2 3 3 2" xfId="14173"/>
    <cellStyle name="Heading 1 2 2 5 2 3 3 2 2" xfId="14174"/>
    <cellStyle name="Heading 1 2 2 5 2 3 3 3" xfId="14175"/>
    <cellStyle name="Heading 1 2 2 5 2 3 4" xfId="14176"/>
    <cellStyle name="Heading 1 2 2 5 2 3 4 2" xfId="14177"/>
    <cellStyle name="Heading 1 2 2 5 2 3 4 2 2" xfId="14178"/>
    <cellStyle name="Heading 1 2 2 5 2 3 4 3" xfId="14179"/>
    <cellStyle name="Heading 1 2 2 5 2 3 5" xfId="14180"/>
    <cellStyle name="Heading 1 2 2 5 2 3 5 2" xfId="14181"/>
    <cellStyle name="Heading 1 2 2 5 2 3 5 2 2" xfId="14182"/>
    <cellStyle name="Heading 1 2 2 5 2 3 5 3" xfId="14183"/>
    <cellStyle name="Heading 1 2 2 5 2 3 6" xfId="14184"/>
    <cellStyle name="Heading 1 2 2 5 2 3 6 2" xfId="14185"/>
    <cellStyle name="Heading 1 2 2 5 2 3 6 2 2" xfId="14186"/>
    <cellStyle name="Heading 1 2 2 5 2 3 6 3" xfId="14187"/>
    <cellStyle name="Heading 1 2 2 5 2 3 7" xfId="14188"/>
    <cellStyle name="Heading 1 2 2 5 2 3 7 2" xfId="14189"/>
    <cellStyle name="Heading 1 2 2 5 2 3 7 2 2" xfId="14190"/>
    <cellStyle name="Heading 1 2 2 5 2 3 7 3" xfId="14191"/>
    <cellStyle name="Heading 1 2 2 5 2 3 8" xfId="14192"/>
    <cellStyle name="Heading 1 2 2 5 2 3 8 2" xfId="14193"/>
    <cellStyle name="Heading 1 2 2 5 2 3 9" xfId="14194"/>
    <cellStyle name="Heading 1 2 2 5 2 4" xfId="14195"/>
    <cellStyle name="Heading 1 2 2 5 2 4 2" xfId="14196"/>
    <cellStyle name="Heading 1 2 2 5 2 4 2 2" xfId="14197"/>
    <cellStyle name="Heading 1 2 2 5 2 4 2 2 2" xfId="14198"/>
    <cellStyle name="Heading 1 2 2 5 2 4 2 3" xfId="14199"/>
    <cellStyle name="Heading 1 2 2 5 2 4 3" xfId="14200"/>
    <cellStyle name="Heading 1 2 2 5 2 4 3 2" xfId="14201"/>
    <cellStyle name="Heading 1 2 2 5 2 4 3 2 2" xfId="14202"/>
    <cellStyle name="Heading 1 2 2 5 2 4 3 3" xfId="14203"/>
    <cellStyle name="Heading 1 2 2 5 2 4 4" xfId="14204"/>
    <cellStyle name="Heading 1 2 2 5 2 4 4 2" xfId="14205"/>
    <cellStyle name="Heading 1 2 2 5 2 4 4 2 2" xfId="14206"/>
    <cellStyle name="Heading 1 2 2 5 2 4 4 3" xfId="14207"/>
    <cellStyle name="Heading 1 2 2 5 2 4 5" xfId="14208"/>
    <cellStyle name="Heading 1 2 2 5 2 4 5 2" xfId="14209"/>
    <cellStyle name="Heading 1 2 2 5 2 4 5 2 2" xfId="14210"/>
    <cellStyle name="Heading 1 2 2 5 2 4 5 3" xfId="14211"/>
    <cellStyle name="Heading 1 2 2 5 2 4 6" xfId="14212"/>
    <cellStyle name="Heading 1 2 2 5 2 4 6 2" xfId="14213"/>
    <cellStyle name="Heading 1 2 2 5 2 4 6 2 2" xfId="14214"/>
    <cellStyle name="Heading 1 2 2 5 2 4 6 3" xfId="14215"/>
    <cellStyle name="Heading 1 2 2 5 2 4 7" xfId="14216"/>
    <cellStyle name="Heading 1 2 2 5 2 4 7 2" xfId="14217"/>
    <cellStyle name="Heading 1 2 2 5 2 4 7 2 2" xfId="14218"/>
    <cellStyle name="Heading 1 2 2 5 2 4 7 3" xfId="14219"/>
    <cellStyle name="Heading 1 2 2 5 2 4 8" xfId="14220"/>
    <cellStyle name="Heading 1 2 2 5 2 4 8 2" xfId="14221"/>
    <cellStyle name="Heading 1 2 2 5 2 4 9" xfId="14222"/>
    <cellStyle name="Heading 1 2 2 5 2 5" xfId="14223"/>
    <cellStyle name="Heading 1 2 2 5 2 5 2" xfId="14224"/>
    <cellStyle name="Heading 1 2 2 5 2 5 2 2" xfId="14225"/>
    <cellStyle name="Heading 1 2 2 5 2 5 2 2 2" xfId="14226"/>
    <cellStyle name="Heading 1 2 2 5 2 5 2 3" xfId="14227"/>
    <cellStyle name="Heading 1 2 2 5 2 5 3" xfId="14228"/>
    <cellStyle name="Heading 1 2 2 5 2 5 3 2" xfId="14229"/>
    <cellStyle name="Heading 1 2 2 5 2 5 3 2 2" xfId="14230"/>
    <cellStyle name="Heading 1 2 2 5 2 5 3 3" xfId="14231"/>
    <cellStyle name="Heading 1 2 2 5 2 5 4" xfId="14232"/>
    <cellStyle name="Heading 1 2 2 5 2 5 4 2" xfId="14233"/>
    <cellStyle name="Heading 1 2 2 5 2 5 4 2 2" xfId="14234"/>
    <cellStyle name="Heading 1 2 2 5 2 5 4 3" xfId="14235"/>
    <cellStyle name="Heading 1 2 2 5 2 5 5" xfId="14236"/>
    <cellStyle name="Heading 1 2 2 5 2 5 5 2" xfId="14237"/>
    <cellStyle name="Heading 1 2 2 5 2 5 5 2 2" xfId="14238"/>
    <cellStyle name="Heading 1 2 2 5 2 5 5 3" xfId="14239"/>
    <cellStyle name="Heading 1 2 2 5 2 5 6" xfId="14240"/>
    <cellStyle name="Heading 1 2 2 5 2 5 6 2" xfId="14241"/>
    <cellStyle name="Heading 1 2 2 5 2 5 6 2 2" xfId="14242"/>
    <cellStyle name="Heading 1 2 2 5 2 5 6 3" xfId="14243"/>
    <cellStyle name="Heading 1 2 2 5 2 5 7" xfId="14244"/>
    <cellStyle name="Heading 1 2 2 5 2 5 7 2" xfId="14245"/>
    <cellStyle name="Heading 1 2 2 5 2 5 7 2 2" xfId="14246"/>
    <cellStyle name="Heading 1 2 2 5 2 5 7 3" xfId="14247"/>
    <cellStyle name="Heading 1 2 2 5 2 5 8" xfId="14248"/>
    <cellStyle name="Heading 1 2 2 5 2 5 8 2" xfId="14249"/>
    <cellStyle name="Heading 1 2 2 5 2 5 9" xfId="14250"/>
    <cellStyle name="Heading 1 2 2 5 2 6" xfId="14251"/>
    <cellStyle name="Heading 1 2 2 5 2 6 2" xfId="14252"/>
    <cellStyle name="Heading 1 2 2 5 2 6 2 2" xfId="14253"/>
    <cellStyle name="Heading 1 2 2 5 2 6 2 2 2" xfId="14254"/>
    <cellStyle name="Heading 1 2 2 5 2 6 2 3" xfId="14255"/>
    <cellStyle name="Heading 1 2 2 5 2 6 3" xfId="14256"/>
    <cellStyle name="Heading 1 2 2 5 2 6 3 2" xfId="14257"/>
    <cellStyle name="Heading 1 2 2 5 2 6 3 2 2" xfId="14258"/>
    <cellStyle name="Heading 1 2 2 5 2 6 3 3" xfId="14259"/>
    <cellStyle name="Heading 1 2 2 5 2 6 4" xfId="14260"/>
    <cellStyle name="Heading 1 2 2 5 2 6 4 2" xfId="14261"/>
    <cellStyle name="Heading 1 2 2 5 2 6 4 2 2" xfId="14262"/>
    <cellStyle name="Heading 1 2 2 5 2 6 4 3" xfId="14263"/>
    <cellStyle name="Heading 1 2 2 5 2 6 5" xfId="14264"/>
    <cellStyle name="Heading 1 2 2 5 2 6 5 2" xfId="14265"/>
    <cellStyle name="Heading 1 2 2 5 2 6 5 2 2" xfId="14266"/>
    <cellStyle name="Heading 1 2 2 5 2 6 5 3" xfId="14267"/>
    <cellStyle name="Heading 1 2 2 5 2 6 6" xfId="14268"/>
    <cellStyle name="Heading 1 2 2 5 2 6 6 2" xfId="14269"/>
    <cellStyle name="Heading 1 2 2 5 2 6 6 2 2" xfId="14270"/>
    <cellStyle name="Heading 1 2 2 5 2 6 6 3" xfId="14271"/>
    <cellStyle name="Heading 1 2 2 5 2 6 7" xfId="14272"/>
    <cellStyle name="Heading 1 2 2 5 2 6 7 2" xfId="14273"/>
    <cellStyle name="Heading 1 2 2 5 2 6 7 2 2" xfId="14274"/>
    <cellStyle name="Heading 1 2 2 5 2 6 7 3" xfId="14275"/>
    <cellStyle name="Heading 1 2 2 5 2 6 8" xfId="14276"/>
    <cellStyle name="Heading 1 2 2 5 2 6 8 2" xfId="14277"/>
    <cellStyle name="Heading 1 2 2 5 2 6 9" xfId="14278"/>
    <cellStyle name="Heading 1 2 2 5 2 7" xfId="14279"/>
    <cellStyle name="Heading 1 2 2 5 2 7 2" xfId="14280"/>
    <cellStyle name="Heading 1 2 2 5 2 7 2 2" xfId="14281"/>
    <cellStyle name="Heading 1 2 2 5 2 7 2 2 2" xfId="14282"/>
    <cellStyle name="Heading 1 2 2 5 2 7 2 3" xfId="14283"/>
    <cellStyle name="Heading 1 2 2 5 2 7 3" xfId="14284"/>
    <cellStyle name="Heading 1 2 2 5 2 7 3 2" xfId="14285"/>
    <cellStyle name="Heading 1 2 2 5 2 7 3 2 2" xfId="14286"/>
    <cellStyle name="Heading 1 2 2 5 2 7 3 3" xfId="14287"/>
    <cellStyle name="Heading 1 2 2 5 2 7 4" xfId="14288"/>
    <cellStyle name="Heading 1 2 2 5 2 7 4 2" xfId="14289"/>
    <cellStyle name="Heading 1 2 2 5 2 7 4 2 2" xfId="14290"/>
    <cellStyle name="Heading 1 2 2 5 2 7 4 3" xfId="14291"/>
    <cellStyle name="Heading 1 2 2 5 2 7 5" xfId="14292"/>
    <cellStyle name="Heading 1 2 2 5 2 7 5 2" xfId="14293"/>
    <cellStyle name="Heading 1 2 2 5 2 7 5 2 2" xfId="14294"/>
    <cellStyle name="Heading 1 2 2 5 2 7 5 3" xfId="14295"/>
    <cellStyle name="Heading 1 2 2 5 2 7 6" xfId="14296"/>
    <cellStyle name="Heading 1 2 2 5 2 7 6 2" xfId="14297"/>
    <cellStyle name="Heading 1 2 2 5 2 7 6 2 2" xfId="14298"/>
    <cellStyle name="Heading 1 2 2 5 2 7 6 3" xfId="14299"/>
    <cellStyle name="Heading 1 2 2 5 2 7 7" xfId="14300"/>
    <cellStyle name="Heading 1 2 2 5 2 7 7 2" xfId="14301"/>
    <cellStyle name="Heading 1 2 2 5 2 7 7 2 2" xfId="14302"/>
    <cellStyle name="Heading 1 2 2 5 2 7 7 3" xfId="14303"/>
    <cellStyle name="Heading 1 2 2 5 2 7 8" xfId="14304"/>
    <cellStyle name="Heading 1 2 2 5 2 7 8 2" xfId="14305"/>
    <cellStyle name="Heading 1 2 2 5 2 7 9" xfId="14306"/>
    <cellStyle name="Heading 1 2 2 5 2 8" xfId="14307"/>
    <cellStyle name="Heading 1 2 2 5 2 8 2" xfId="14308"/>
    <cellStyle name="Heading 1 2 2 5 2 8 2 2" xfId="14309"/>
    <cellStyle name="Heading 1 2 2 5 2 8 2 2 2" xfId="14310"/>
    <cellStyle name="Heading 1 2 2 5 2 8 2 3" xfId="14311"/>
    <cellStyle name="Heading 1 2 2 5 2 8 3" xfId="14312"/>
    <cellStyle name="Heading 1 2 2 5 2 8 3 2" xfId="14313"/>
    <cellStyle name="Heading 1 2 2 5 2 8 3 2 2" xfId="14314"/>
    <cellStyle name="Heading 1 2 2 5 2 8 3 3" xfId="14315"/>
    <cellStyle name="Heading 1 2 2 5 2 8 4" xfId="14316"/>
    <cellStyle name="Heading 1 2 2 5 2 8 4 2" xfId="14317"/>
    <cellStyle name="Heading 1 2 2 5 2 8 4 2 2" xfId="14318"/>
    <cellStyle name="Heading 1 2 2 5 2 8 4 3" xfId="14319"/>
    <cellStyle name="Heading 1 2 2 5 2 8 5" xfId="14320"/>
    <cellStyle name="Heading 1 2 2 5 2 8 5 2" xfId="14321"/>
    <cellStyle name="Heading 1 2 2 5 2 8 5 2 2" xfId="14322"/>
    <cellStyle name="Heading 1 2 2 5 2 8 5 3" xfId="14323"/>
    <cellStyle name="Heading 1 2 2 5 2 8 6" xfId="14324"/>
    <cellStyle name="Heading 1 2 2 5 2 8 6 2" xfId="14325"/>
    <cellStyle name="Heading 1 2 2 5 2 8 6 2 2" xfId="14326"/>
    <cellStyle name="Heading 1 2 2 5 2 8 6 3" xfId="14327"/>
    <cellStyle name="Heading 1 2 2 5 2 8 7" xfId="14328"/>
    <cellStyle name="Heading 1 2 2 5 2 8 7 2" xfId="14329"/>
    <cellStyle name="Heading 1 2 2 5 2 8 7 2 2" xfId="14330"/>
    <cellStyle name="Heading 1 2 2 5 2 8 7 3" xfId="14331"/>
    <cellStyle name="Heading 1 2 2 5 2 8 8" xfId="14332"/>
    <cellStyle name="Heading 1 2 2 5 2 8 8 2" xfId="14333"/>
    <cellStyle name="Heading 1 2 2 5 2 8 9" xfId="14334"/>
    <cellStyle name="Heading 1 2 2 5 2 9" xfId="14335"/>
    <cellStyle name="Heading 1 2 2 5 2 9 2" xfId="14336"/>
    <cellStyle name="Heading 1 2 2 5 2 9 2 2" xfId="14337"/>
    <cellStyle name="Heading 1 2 2 5 2 9 2 2 2" xfId="14338"/>
    <cellStyle name="Heading 1 2 2 5 2 9 2 3" xfId="14339"/>
    <cellStyle name="Heading 1 2 2 5 2 9 3" xfId="14340"/>
    <cellStyle name="Heading 1 2 2 5 2 9 3 2" xfId="14341"/>
    <cellStyle name="Heading 1 2 2 5 2 9 3 2 2" xfId="14342"/>
    <cellStyle name="Heading 1 2 2 5 2 9 3 3" xfId="14343"/>
    <cellStyle name="Heading 1 2 2 5 2 9 4" xfId="14344"/>
    <cellStyle name="Heading 1 2 2 5 2 9 4 2" xfId="14345"/>
    <cellStyle name="Heading 1 2 2 5 2 9 4 2 2" xfId="14346"/>
    <cellStyle name="Heading 1 2 2 5 2 9 4 3" xfId="14347"/>
    <cellStyle name="Heading 1 2 2 5 2 9 5" xfId="14348"/>
    <cellStyle name="Heading 1 2 2 5 2 9 5 2" xfId="14349"/>
    <cellStyle name="Heading 1 2 2 5 2 9 5 2 2" xfId="14350"/>
    <cellStyle name="Heading 1 2 2 5 2 9 5 3" xfId="14351"/>
    <cellStyle name="Heading 1 2 2 5 2 9 6" xfId="14352"/>
    <cellStyle name="Heading 1 2 2 5 2 9 6 2" xfId="14353"/>
    <cellStyle name="Heading 1 2 2 5 2 9 6 2 2" xfId="14354"/>
    <cellStyle name="Heading 1 2 2 5 2 9 6 3" xfId="14355"/>
    <cellStyle name="Heading 1 2 2 5 2 9 7" xfId="14356"/>
    <cellStyle name="Heading 1 2 2 5 2 9 7 2" xfId="14357"/>
    <cellStyle name="Heading 1 2 2 5 2 9 7 2 2" xfId="14358"/>
    <cellStyle name="Heading 1 2 2 5 2 9 7 3" xfId="14359"/>
    <cellStyle name="Heading 1 2 2 5 2 9 8" xfId="14360"/>
    <cellStyle name="Heading 1 2 2 5 2 9 8 2" xfId="14361"/>
    <cellStyle name="Heading 1 2 2 5 2 9 9" xfId="14362"/>
    <cellStyle name="Heading 1 2 2 5 3" xfId="14363"/>
    <cellStyle name="Heading 1 2 2 5 3 10" xfId="14364"/>
    <cellStyle name="Heading 1 2 2 5 3 10 2" xfId="14365"/>
    <cellStyle name="Heading 1 2 2 5 3 10 2 2" xfId="14366"/>
    <cellStyle name="Heading 1 2 2 5 3 10 3" xfId="14367"/>
    <cellStyle name="Heading 1 2 2 5 3 11" xfId="14368"/>
    <cellStyle name="Heading 1 2 2 5 3 11 2" xfId="14369"/>
    <cellStyle name="Heading 1 2 2 5 3 11 2 2" xfId="14370"/>
    <cellStyle name="Heading 1 2 2 5 3 11 3" xfId="14371"/>
    <cellStyle name="Heading 1 2 2 5 3 12" xfId="14372"/>
    <cellStyle name="Heading 1 2 2 5 3 12 2" xfId="14373"/>
    <cellStyle name="Heading 1 2 2 5 3 12 2 2" xfId="14374"/>
    <cellStyle name="Heading 1 2 2 5 3 12 3" xfId="14375"/>
    <cellStyle name="Heading 1 2 2 5 3 13" xfId="14376"/>
    <cellStyle name="Heading 1 2 2 5 3 13 2" xfId="14377"/>
    <cellStyle name="Heading 1 2 2 5 3 13 2 2" xfId="14378"/>
    <cellStyle name="Heading 1 2 2 5 3 13 3" xfId="14379"/>
    <cellStyle name="Heading 1 2 2 5 3 14" xfId="14380"/>
    <cellStyle name="Heading 1 2 2 5 3 14 2" xfId="14381"/>
    <cellStyle name="Heading 1 2 2 5 3 14 2 2" xfId="14382"/>
    <cellStyle name="Heading 1 2 2 5 3 14 3" xfId="14383"/>
    <cellStyle name="Heading 1 2 2 5 3 15" xfId="14384"/>
    <cellStyle name="Heading 1 2 2 5 3 15 2" xfId="14385"/>
    <cellStyle name="Heading 1 2 2 5 3 15 2 2" xfId="14386"/>
    <cellStyle name="Heading 1 2 2 5 3 15 3" xfId="14387"/>
    <cellStyle name="Heading 1 2 2 5 3 16" xfId="14388"/>
    <cellStyle name="Heading 1 2 2 5 3 16 2" xfId="14389"/>
    <cellStyle name="Heading 1 2 2 5 3 16 2 2" xfId="14390"/>
    <cellStyle name="Heading 1 2 2 5 3 16 3" xfId="14391"/>
    <cellStyle name="Heading 1 2 2 5 3 17" xfId="14392"/>
    <cellStyle name="Heading 1 2 2 5 3 17 2" xfId="14393"/>
    <cellStyle name="Heading 1 2 2 5 3 17 2 2" xfId="14394"/>
    <cellStyle name="Heading 1 2 2 5 3 17 3" xfId="14395"/>
    <cellStyle name="Heading 1 2 2 5 3 18" xfId="14396"/>
    <cellStyle name="Heading 1 2 2 5 3 18 2" xfId="14397"/>
    <cellStyle name="Heading 1 2 2 5 3 18 2 2" xfId="14398"/>
    <cellStyle name="Heading 1 2 2 5 3 18 3" xfId="14399"/>
    <cellStyle name="Heading 1 2 2 5 3 19" xfId="14400"/>
    <cellStyle name="Heading 1 2 2 5 3 19 2" xfId="14401"/>
    <cellStyle name="Heading 1 2 2 5 3 2" xfId="14402"/>
    <cellStyle name="Heading 1 2 2 5 3 2 2" xfId="14403"/>
    <cellStyle name="Heading 1 2 2 5 3 2 2 2" xfId="14404"/>
    <cellStyle name="Heading 1 2 2 5 3 2 2 2 2" xfId="14405"/>
    <cellStyle name="Heading 1 2 2 5 3 2 2 3" xfId="14406"/>
    <cellStyle name="Heading 1 2 2 5 3 2 3" xfId="14407"/>
    <cellStyle name="Heading 1 2 2 5 3 2 3 2" xfId="14408"/>
    <cellStyle name="Heading 1 2 2 5 3 2 3 2 2" xfId="14409"/>
    <cellStyle name="Heading 1 2 2 5 3 2 3 3" xfId="14410"/>
    <cellStyle name="Heading 1 2 2 5 3 2 4" xfId="14411"/>
    <cellStyle name="Heading 1 2 2 5 3 2 4 2" xfId="14412"/>
    <cellStyle name="Heading 1 2 2 5 3 2 4 2 2" xfId="14413"/>
    <cellStyle name="Heading 1 2 2 5 3 2 4 3" xfId="14414"/>
    <cellStyle name="Heading 1 2 2 5 3 2 5" xfId="14415"/>
    <cellStyle name="Heading 1 2 2 5 3 2 5 2" xfId="14416"/>
    <cellStyle name="Heading 1 2 2 5 3 2 5 2 2" xfId="14417"/>
    <cellStyle name="Heading 1 2 2 5 3 2 5 3" xfId="14418"/>
    <cellStyle name="Heading 1 2 2 5 3 2 6" xfId="14419"/>
    <cellStyle name="Heading 1 2 2 5 3 2 6 2" xfId="14420"/>
    <cellStyle name="Heading 1 2 2 5 3 2 6 2 2" xfId="14421"/>
    <cellStyle name="Heading 1 2 2 5 3 2 6 3" xfId="14422"/>
    <cellStyle name="Heading 1 2 2 5 3 2 7" xfId="14423"/>
    <cellStyle name="Heading 1 2 2 5 3 2 7 2" xfId="14424"/>
    <cellStyle name="Heading 1 2 2 5 3 2 7 2 2" xfId="14425"/>
    <cellStyle name="Heading 1 2 2 5 3 2 7 3" xfId="14426"/>
    <cellStyle name="Heading 1 2 2 5 3 2 8" xfId="14427"/>
    <cellStyle name="Heading 1 2 2 5 3 2 8 2" xfId="14428"/>
    <cellStyle name="Heading 1 2 2 5 3 2 9" xfId="14429"/>
    <cellStyle name="Heading 1 2 2 5 3 20" xfId="14430"/>
    <cellStyle name="Heading 1 2 2 5 3 20 2" xfId="14431"/>
    <cellStyle name="Heading 1 2 2 5 3 21" xfId="14432"/>
    <cellStyle name="Heading 1 2 2 5 3 21 2" xfId="14433"/>
    <cellStyle name="Heading 1 2 2 5 3 22" xfId="14434"/>
    <cellStyle name="Heading 1 2 2 5 3 3" xfId="14435"/>
    <cellStyle name="Heading 1 2 2 5 3 3 2" xfId="14436"/>
    <cellStyle name="Heading 1 2 2 5 3 3 2 2" xfId="14437"/>
    <cellStyle name="Heading 1 2 2 5 3 3 2 2 2" xfId="14438"/>
    <cellStyle name="Heading 1 2 2 5 3 3 2 3" xfId="14439"/>
    <cellStyle name="Heading 1 2 2 5 3 3 3" xfId="14440"/>
    <cellStyle name="Heading 1 2 2 5 3 3 3 2" xfId="14441"/>
    <cellStyle name="Heading 1 2 2 5 3 3 3 2 2" xfId="14442"/>
    <cellStyle name="Heading 1 2 2 5 3 3 3 3" xfId="14443"/>
    <cellStyle name="Heading 1 2 2 5 3 3 4" xfId="14444"/>
    <cellStyle name="Heading 1 2 2 5 3 3 4 2" xfId="14445"/>
    <cellStyle name="Heading 1 2 2 5 3 3 4 2 2" xfId="14446"/>
    <cellStyle name="Heading 1 2 2 5 3 3 4 3" xfId="14447"/>
    <cellStyle name="Heading 1 2 2 5 3 3 5" xfId="14448"/>
    <cellStyle name="Heading 1 2 2 5 3 3 5 2" xfId="14449"/>
    <cellStyle name="Heading 1 2 2 5 3 3 5 2 2" xfId="14450"/>
    <cellStyle name="Heading 1 2 2 5 3 3 5 3" xfId="14451"/>
    <cellStyle name="Heading 1 2 2 5 3 3 6" xfId="14452"/>
    <cellStyle name="Heading 1 2 2 5 3 3 6 2" xfId="14453"/>
    <cellStyle name="Heading 1 2 2 5 3 3 6 2 2" xfId="14454"/>
    <cellStyle name="Heading 1 2 2 5 3 3 6 3" xfId="14455"/>
    <cellStyle name="Heading 1 2 2 5 3 3 7" xfId="14456"/>
    <cellStyle name="Heading 1 2 2 5 3 3 7 2" xfId="14457"/>
    <cellStyle name="Heading 1 2 2 5 3 3 7 2 2" xfId="14458"/>
    <cellStyle name="Heading 1 2 2 5 3 3 7 3" xfId="14459"/>
    <cellStyle name="Heading 1 2 2 5 3 3 8" xfId="14460"/>
    <cellStyle name="Heading 1 2 2 5 3 3 8 2" xfId="14461"/>
    <cellStyle name="Heading 1 2 2 5 3 3 9" xfId="14462"/>
    <cellStyle name="Heading 1 2 2 5 3 4" xfId="14463"/>
    <cellStyle name="Heading 1 2 2 5 3 4 2" xfId="14464"/>
    <cellStyle name="Heading 1 2 2 5 3 4 2 2" xfId="14465"/>
    <cellStyle name="Heading 1 2 2 5 3 4 2 2 2" xfId="14466"/>
    <cellStyle name="Heading 1 2 2 5 3 4 2 3" xfId="14467"/>
    <cellStyle name="Heading 1 2 2 5 3 4 3" xfId="14468"/>
    <cellStyle name="Heading 1 2 2 5 3 4 3 2" xfId="14469"/>
    <cellStyle name="Heading 1 2 2 5 3 4 3 2 2" xfId="14470"/>
    <cellStyle name="Heading 1 2 2 5 3 4 3 3" xfId="14471"/>
    <cellStyle name="Heading 1 2 2 5 3 4 4" xfId="14472"/>
    <cellStyle name="Heading 1 2 2 5 3 4 4 2" xfId="14473"/>
    <cellStyle name="Heading 1 2 2 5 3 4 4 2 2" xfId="14474"/>
    <cellStyle name="Heading 1 2 2 5 3 4 4 3" xfId="14475"/>
    <cellStyle name="Heading 1 2 2 5 3 4 5" xfId="14476"/>
    <cellStyle name="Heading 1 2 2 5 3 4 5 2" xfId="14477"/>
    <cellStyle name="Heading 1 2 2 5 3 4 5 2 2" xfId="14478"/>
    <cellStyle name="Heading 1 2 2 5 3 4 5 3" xfId="14479"/>
    <cellStyle name="Heading 1 2 2 5 3 4 6" xfId="14480"/>
    <cellStyle name="Heading 1 2 2 5 3 4 6 2" xfId="14481"/>
    <cellStyle name="Heading 1 2 2 5 3 4 6 2 2" xfId="14482"/>
    <cellStyle name="Heading 1 2 2 5 3 4 6 3" xfId="14483"/>
    <cellStyle name="Heading 1 2 2 5 3 4 7" xfId="14484"/>
    <cellStyle name="Heading 1 2 2 5 3 4 7 2" xfId="14485"/>
    <cellStyle name="Heading 1 2 2 5 3 4 7 2 2" xfId="14486"/>
    <cellStyle name="Heading 1 2 2 5 3 4 7 3" xfId="14487"/>
    <cellStyle name="Heading 1 2 2 5 3 4 8" xfId="14488"/>
    <cellStyle name="Heading 1 2 2 5 3 4 8 2" xfId="14489"/>
    <cellStyle name="Heading 1 2 2 5 3 4 9" xfId="14490"/>
    <cellStyle name="Heading 1 2 2 5 3 5" xfId="14491"/>
    <cellStyle name="Heading 1 2 2 5 3 5 2" xfId="14492"/>
    <cellStyle name="Heading 1 2 2 5 3 5 2 2" xfId="14493"/>
    <cellStyle name="Heading 1 2 2 5 3 5 2 2 2" xfId="14494"/>
    <cellStyle name="Heading 1 2 2 5 3 5 2 3" xfId="14495"/>
    <cellStyle name="Heading 1 2 2 5 3 5 3" xfId="14496"/>
    <cellStyle name="Heading 1 2 2 5 3 5 3 2" xfId="14497"/>
    <cellStyle name="Heading 1 2 2 5 3 5 3 2 2" xfId="14498"/>
    <cellStyle name="Heading 1 2 2 5 3 5 3 3" xfId="14499"/>
    <cellStyle name="Heading 1 2 2 5 3 5 4" xfId="14500"/>
    <cellStyle name="Heading 1 2 2 5 3 5 4 2" xfId="14501"/>
    <cellStyle name="Heading 1 2 2 5 3 5 4 2 2" xfId="14502"/>
    <cellStyle name="Heading 1 2 2 5 3 5 4 3" xfId="14503"/>
    <cellStyle name="Heading 1 2 2 5 3 5 5" xfId="14504"/>
    <cellStyle name="Heading 1 2 2 5 3 5 5 2" xfId="14505"/>
    <cellStyle name="Heading 1 2 2 5 3 5 5 2 2" xfId="14506"/>
    <cellStyle name="Heading 1 2 2 5 3 5 5 3" xfId="14507"/>
    <cellStyle name="Heading 1 2 2 5 3 5 6" xfId="14508"/>
    <cellStyle name="Heading 1 2 2 5 3 5 6 2" xfId="14509"/>
    <cellStyle name="Heading 1 2 2 5 3 5 6 2 2" xfId="14510"/>
    <cellStyle name="Heading 1 2 2 5 3 5 6 3" xfId="14511"/>
    <cellStyle name="Heading 1 2 2 5 3 5 7" xfId="14512"/>
    <cellStyle name="Heading 1 2 2 5 3 5 7 2" xfId="14513"/>
    <cellStyle name="Heading 1 2 2 5 3 5 7 2 2" xfId="14514"/>
    <cellStyle name="Heading 1 2 2 5 3 5 7 3" xfId="14515"/>
    <cellStyle name="Heading 1 2 2 5 3 5 8" xfId="14516"/>
    <cellStyle name="Heading 1 2 2 5 3 5 8 2" xfId="14517"/>
    <cellStyle name="Heading 1 2 2 5 3 5 9" xfId="14518"/>
    <cellStyle name="Heading 1 2 2 5 3 6" xfId="14519"/>
    <cellStyle name="Heading 1 2 2 5 3 6 2" xfId="14520"/>
    <cellStyle name="Heading 1 2 2 5 3 6 2 2" xfId="14521"/>
    <cellStyle name="Heading 1 2 2 5 3 6 2 2 2" xfId="14522"/>
    <cellStyle name="Heading 1 2 2 5 3 6 2 3" xfId="14523"/>
    <cellStyle name="Heading 1 2 2 5 3 6 3" xfId="14524"/>
    <cellStyle name="Heading 1 2 2 5 3 6 3 2" xfId="14525"/>
    <cellStyle name="Heading 1 2 2 5 3 6 3 2 2" xfId="14526"/>
    <cellStyle name="Heading 1 2 2 5 3 6 3 3" xfId="14527"/>
    <cellStyle name="Heading 1 2 2 5 3 6 4" xfId="14528"/>
    <cellStyle name="Heading 1 2 2 5 3 6 4 2" xfId="14529"/>
    <cellStyle name="Heading 1 2 2 5 3 6 4 2 2" xfId="14530"/>
    <cellStyle name="Heading 1 2 2 5 3 6 4 3" xfId="14531"/>
    <cellStyle name="Heading 1 2 2 5 3 6 5" xfId="14532"/>
    <cellStyle name="Heading 1 2 2 5 3 6 5 2" xfId="14533"/>
    <cellStyle name="Heading 1 2 2 5 3 6 5 2 2" xfId="14534"/>
    <cellStyle name="Heading 1 2 2 5 3 6 5 3" xfId="14535"/>
    <cellStyle name="Heading 1 2 2 5 3 6 6" xfId="14536"/>
    <cellStyle name="Heading 1 2 2 5 3 6 6 2" xfId="14537"/>
    <cellStyle name="Heading 1 2 2 5 3 6 6 2 2" xfId="14538"/>
    <cellStyle name="Heading 1 2 2 5 3 6 6 3" xfId="14539"/>
    <cellStyle name="Heading 1 2 2 5 3 6 7" xfId="14540"/>
    <cellStyle name="Heading 1 2 2 5 3 6 7 2" xfId="14541"/>
    <cellStyle name="Heading 1 2 2 5 3 6 7 2 2" xfId="14542"/>
    <cellStyle name="Heading 1 2 2 5 3 6 7 3" xfId="14543"/>
    <cellStyle name="Heading 1 2 2 5 3 6 8" xfId="14544"/>
    <cellStyle name="Heading 1 2 2 5 3 6 8 2" xfId="14545"/>
    <cellStyle name="Heading 1 2 2 5 3 6 9" xfId="14546"/>
    <cellStyle name="Heading 1 2 2 5 3 7" xfId="14547"/>
    <cellStyle name="Heading 1 2 2 5 3 7 2" xfId="14548"/>
    <cellStyle name="Heading 1 2 2 5 3 7 2 2" xfId="14549"/>
    <cellStyle name="Heading 1 2 2 5 3 7 2 2 2" xfId="14550"/>
    <cellStyle name="Heading 1 2 2 5 3 7 2 3" xfId="14551"/>
    <cellStyle name="Heading 1 2 2 5 3 7 3" xfId="14552"/>
    <cellStyle name="Heading 1 2 2 5 3 7 3 2" xfId="14553"/>
    <cellStyle name="Heading 1 2 2 5 3 7 3 2 2" xfId="14554"/>
    <cellStyle name="Heading 1 2 2 5 3 7 3 3" xfId="14555"/>
    <cellStyle name="Heading 1 2 2 5 3 7 4" xfId="14556"/>
    <cellStyle name="Heading 1 2 2 5 3 7 4 2" xfId="14557"/>
    <cellStyle name="Heading 1 2 2 5 3 7 4 2 2" xfId="14558"/>
    <cellStyle name="Heading 1 2 2 5 3 7 4 3" xfId="14559"/>
    <cellStyle name="Heading 1 2 2 5 3 7 5" xfId="14560"/>
    <cellStyle name="Heading 1 2 2 5 3 7 5 2" xfId="14561"/>
    <cellStyle name="Heading 1 2 2 5 3 7 5 2 2" xfId="14562"/>
    <cellStyle name="Heading 1 2 2 5 3 7 5 3" xfId="14563"/>
    <cellStyle name="Heading 1 2 2 5 3 7 6" xfId="14564"/>
    <cellStyle name="Heading 1 2 2 5 3 7 6 2" xfId="14565"/>
    <cellStyle name="Heading 1 2 2 5 3 7 6 2 2" xfId="14566"/>
    <cellStyle name="Heading 1 2 2 5 3 7 6 3" xfId="14567"/>
    <cellStyle name="Heading 1 2 2 5 3 7 7" xfId="14568"/>
    <cellStyle name="Heading 1 2 2 5 3 7 7 2" xfId="14569"/>
    <cellStyle name="Heading 1 2 2 5 3 7 7 2 2" xfId="14570"/>
    <cellStyle name="Heading 1 2 2 5 3 7 7 3" xfId="14571"/>
    <cellStyle name="Heading 1 2 2 5 3 7 8" xfId="14572"/>
    <cellStyle name="Heading 1 2 2 5 3 7 8 2" xfId="14573"/>
    <cellStyle name="Heading 1 2 2 5 3 7 9" xfId="14574"/>
    <cellStyle name="Heading 1 2 2 5 3 8" xfId="14575"/>
    <cellStyle name="Heading 1 2 2 5 3 8 2" xfId="14576"/>
    <cellStyle name="Heading 1 2 2 5 3 8 2 2" xfId="14577"/>
    <cellStyle name="Heading 1 2 2 5 3 8 2 2 2" xfId="14578"/>
    <cellStyle name="Heading 1 2 2 5 3 8 2 3" xfId="14579"/>
    <cellStyle name="Heading 1 2 2 5 3 8 3" xfId="14580"/>
    <cellStyle name="Heading 1 2 2 5 3 8 3 2" xfId="14581"/>
    <cellStyle name="Heading 1 2 2 5 3 8 3 2 2" xfId="14582"/>
    <cellStyle name="Heading 1 2 2 5 3 8 3 3" xfId="14583"/>
    <cellStyle name="Heading 1 2 2 5 3 8 4" xfId="14584"/>
    <cellStyle name="Heading 1 2 2 5 3 8 4 2" xfId="14585"/>
    <cellStyle name="Heading 1 2 2 5 3 8 4 2 2" xfId="14586"/>
    <cellStyle name="Heading 1 2 2 5 3 8 4 3" xfId="14587"/>
    <cellStyle name="Heading 1 2 2 5 3 8 5" xfId="14588"/>
    <cellStyle name="Heading 1 2 2 5 3 8 5 2" xfId="14589"/>
    <cellStyle name="Heading 1 2 2 5 3 8 5 2 2" xfId="14590"/>
    <cellStyle name="Heading 1 2 2 5 3 8 5 3" xfId="14591"/>
    <cellStyle name="Heading 1 2 2 5 3 8 6" xfId="14592"/>
    <cellStyle name="Heading 1 2 2 5 3 8 6 2" xfId="14593"/>
    <cellStyle name="Heading 1 2 2 5 3 8 6 2 2" xfId="14594"/>
    <cellStyle name="Heading 1 2 2 5 3 8 6 3" xfId="14595"/>
    <cellStyle name="Heading 1 2 2 5 3 8 7" xfId="14596"/>
    <cellStyle name="Heading 1 2 2 5 3 8 7 2" xfId="14597"/>
    <cellStyle name="Heading 1 2 2 5 3 8 7 2 2" xfId="14598"/>
    <cellStyle name="Heading 1 2 2 5 3 8 7 3" xfId="14599"/>
    <cellStyle name="Heading 1 2 2 5 3 8 8" xfId="14600"/>
    <cellStyle name="Heading 1 2 2 5 3 8 8 2" xfId="14601"/>
    <cellStyle name="Heading 1 2 2 5 3 8 9" xfId="14602"/>
    <cellStyle name="Heading 1 2 2 5 3 9" xfId="14603"/>
    <cellStyle name="Heading 1 2 2 5 3 9 2" xfId="14604"/>
    <cellStyle name="Heading 1 2 2 5 3 9 2 2" xfId="14605"/>
    <cellStyle name="Heading 1 2 2 5 3 9 3" xfId="14606"/>
    <cellStyle name="Heading 1 2 2 5 4" xfId="14607"/>
    <cellStyle name="Heading 1 2 2 5 4 2" xfId="14608"/>
    <cellStyle name="Heading 1 2 2 5 4 2 2" xfId="14609"/>
    <cellStyle name="Heading 1 2 2 5 4 3" xfId="14610"/>
    <cellStyle name="Heading 1 2 2 5 5" xfId="14611"/>
    <cellStyle name="Heading 1 2 2 5 5 2" xfId="14612"/>
    <cellStyle name="Heading 1 2 2 5 6" xfId="14613"/>
    <cellStyle name="Heading 1 2 2 6" xfId="14614"/>
    <cellStyle name="Heading 1 2 2 6 2" xfId="14615"/>
    <cellStyle name="Heading 1 2 2 6 2 10" xfId="14616"/>
    <cellStyle name="Heading 1 2 2 6 2 10 2" xfId="14617"/>
    <cellStyle name="Heading 1 2 2 6 2 10 2 2" xfId="14618"/>
    <cellStyle name="Heading 1 2 2 6 2 10 3" xfId="14619"/>
    <cellStyle name="Heading 1 2 2 6 2 11" xfId="14620"/>
    <cellStyle name="Heading 1 2 2 6 2 11 2" xfId="14621"/>
    <cellStyle name="Heading 1 2 2 6 2 11 2 2" xfId="14622"/>
    <cellStyle name="Heading 1 2 2 6 2 11 3" xfId="14623"/>
    <cellStyle name="Heading 1 2 2 6 2 12" xfId="14624"/>
    <cellStyle name="Heading 1 2 2 6 2 12 2" xfId="14625"/>
    <cellStyle name="Heading 1 2 2 6 2 12 2 2" xfId="14626"/>
    <cellStyle name="Heading 1 2 2 6 2 12 3" xfId="14627"/>
    <cellStyle name="Heading 1 2 2 6 2 13" xfId="14628"/>
    <cellStyle name="Heading 1 2 2 6 2 13 2" xfId="14629"/>
    <cellStyle name="Heading 1 2 2 6 2 13 2 2" xfId="14630"/>
    <cellStyle name="Heading 1 2 2 6 2 13 3" xfId="14631"/>
    <cellStyle name="Heading 1 2 2 6 2 14" xfId="14632"/>
    <cellStyle name="Heading 1 2 2 6 2 14 2" xfId="14633"/>
    <cellStyle name="Heading 1 2 2 6 2 14 2 2" xfId="14634"/>
    <cellStyle name="Heading 1 2 2 6 2 14 3" xfId="14635"/>
    <cellStyle name="Heading 1 2 2 6 2 15" xfId="14636"/>
    <cellStyle name="Heading 1 2 2 6 2 15 2" xfId="14637"/>
    <cellStyle name="Heading 1 2 2 6 2 15 2 2" xfId="14638"/>
    <cellStyle name="Heading 1 2 2 6 2 15 3" xfId="14639"/>
    <cellStyle name="Heading 1 2 2 6 2 16" xfId="14640"/>
    <cellStyle name="Heading 1 2 2 6 2 16 2" xfId="14641"/>
    <cellStyle name="Heading 1 2 2 6 2 16 2 2" xfId="14642"/>
    <cellStyle name="Heading 1 2 2 6 2 16 3" xfId="14643"/>
    <cellStyle name="Heading 1 2 2 6 2 17" xfId="14644"/>
    <cellStyle name="Heading 1 2 2 6 2 17 2" xfId="14645"/>
    <cellStyle name="Heading 1 2 2 6 2 17 2 2" xfId="14646"/>
    <cellStyle name="Heading 1 2 2 6 2 17 3" xfId="14647"/>
    <cellStyle name="Heading 1 2 2 6 2 18" xfId="14648"/>
    <cellStyle name="Heading 1 2 2 6 2 18 2" xfId="14649"/>
    <cellStyle name="Heading 1 2 2 6 2 18 2 2" xfId="14650"/>
    <cellStyle name="Heading 1 2 2 6 2 18 3" xfId="14651"/>
    <cellStyle name="Heading 1 2 2 6 2 19" xfId="14652"/>
    <cellStyle name="Heading 1 2 2 6 2 19 2" xfId="14653"/>
    <cellStyle name="Heading 1 2 2 6 2 19 2 2" xfId="14654"/>
    <cellStyle name="Heading 1 2 2 6 2 19 3" xfId="14655"/>
    <cellStyle name="Heading 1 2 2 6 2 2" xfId="14656"/>
    <cellStyle name="Heading 1 2 2 6 2 2 10" xfId="14657"/>
    <cellStyle name="Heading 1 2 2 6 2 2 10 2" xfId="14658"/>
    <cellStyle name="Heading 1 2 2 6 2 2 10 2 2" xfId="14659"/>
    <cellStyle name="Heading 1 2 2 6 2 2 10 3" xfId="14660"/>
    <cellStyle name="Heading 1 2 2 6 2 2 11" xfId="14661"/>
    <cellStyle name="Heading 1 2 2 6 2 2 11 2" xfId="14662"/>
    <cellStyle name="Heading 1 2 2 6 2 2 11 2 2" xfId="14663"/>
    <cellStyle name="Heading 1 2 2 6 2 2 11 3" xfId="14664"/>
    <cellStyle name="Heading 1 2 2 6 2 2 12" xfId="14665"/>
    <cellStyle name="Heading 1 2 2 6 2 2 12 2" xfId="14666"/>
    <cellStyle name="Heading 1 2 2 6 2 2 12 2 2" xfId="14667"/>
    <cellStyle name="Heading 1 2 2 6 2 2 12 3" xfId="14668"/>
    <cellStyle name="Heading 1 2 2 6 2 2 13" xfId="14669"/>
    <cellStyle name="Heading 1 2 2 6 2 2 13 2" xfId="14670"/>
    <cellStyle name="Heading 1 2 2 6 2 2 13 2 2" xfId="14671"/>
    <cellStyle name="Heading 1 2 2 6 2 2 13 3" xfId="14672"/>
    <cellStyle name="Heading 1 2 2 6 2 2 14" xfId="14673"/>
    <cellStyle name="Heading 1 2 2 6 2 2 14 2" xfId="14674"/>
    <cellStyle name="Heading 1 2 2 6 2 2 14 2 2" xfId="14675"/>
    <cellStyle name="Heading 1 2 2 6 2 2 14 3" xfId="14676"/>
    <cellStyle name="Heading 1 2 2 6 2 2 15" xfId="14677"/>
    <cellStyle name="Heading 1 2 2 6 2 2 15 2" xfId="14678"/>
    <cellStyle name="Heading 1 2 2 6 2 2 15 2 2" xfId="14679"/>
    <cellStyle name="Heading 1 2 2 6 2 2 15 3" xfId="14680"/>
    <cellStyle name="Heading 1 2 2 6 2 2 16" xfId="14681"/>
    <cellStyle name="Heading 1 2 2 6 2 2 16 2" xfId="14682"/>
    <cellStyle name="Heading 1 2 2 6 2 2 16 2 2" xfId="14683"/>
    <cellStyle name="Heading 1 2 2 6 2 2 16 3" xfId="14684"/>
    <cellStyle name="Heading 1 2 2 6 2 2 17" xfId="14685"/>
    <cellStyle name="Heading 1 2 2 6 2 2 17 2" xfId="14686"/>
    <cellStyle name="Heading 1 2 2 6 2 2 17 2 2" xfId="14687"/>
    <cellStyle name="Heading 1 2 2 6 2 2 17 3" xfId="14688"/>
    <cellStyle name="Heading 1 2 2 6 2 2 18" xfId="14689"/>
    <cellStyle name="Heading 1 2 2 6 2 2 18 2" xfId="14690"/>
    <cellStyle name="Heading 1 2 2 6 2 2 18 2 2" xfId="14691"/>
    <cellStyle name="Heading 1 2 2 6 2 2 18 3" xfId="14692"/>
    <cellStyle name="Heading 1 2 2 6 2 2 19" xfId="14693"/>
    <cellStyle name="Heading 1 2 2 6 2 2 19 2" xfId="14694"/>
    <cellStyle name="Heading 1 2 2 6 2 2 2" xfId="14695"/>
    <cellStyle name="Heading 1 2 2 6 2 2 2 2" xfId="14696"/>
    <cellStyle name="Heading 1 2 2 6 2 2 2 2 2" xfId="14697"/>
    <cellStyle name="Heading 1 2 2 6 2 2 2 2 2 2" xfId="14698"/>
    <cellStyle name="Heading 1 2 2 6 2 2 2 2 3" xfId="14699"/>
    <cellStyle name="Heading 1 2 2 6 2 2 2 3" xfId="14700"/>
    <cellStyle name="Heading 1 2 2 6 2 2 2 3 2" xfId="14701"/>
    <cellStyle name="Heading 1 2 2 6 2 2 2 3 2 2" xfId="14702"/>
    <cellStyle name="Heading 1 2 2 6 2 2 2 3 3" xfId="14703"/>
    <cellStyle name="Heading 1 2 2 6 2 2 2 4" xfId="14704"/>
    <cellStyle name="Heading 1 2 2 6 2 2 2 4 2" xfId="14705"/>
    <cellStyle name="Heading 1 2 2 6 2 2 2 4 2 2" xfId="14706"/>
    <cellStyle name="Heading 1 2 2 6 2 2 2 4 3" xfId="14707"/>
    <cellStyle name="Heading 1 2 2 6 2 2 2 5" xfId="14708"/>
    <cellStyle name="Heading 1 2 2 6 2 2 2 5 2" xfId="14709"/>
    <cellStyle name="Heading 1 2 2 6 2 2 2 5 2 2" xfId="14710"/>
    <cellStyle name="Heading 1 2 2 6 2 2 2 5 3" xfId="14711"/>
    <cellStyle name="Heading 1 2 2 6 2 2 2 6" xfId="14712"/>
    <cellStyle name="Heading 1 2 2 6 2 2 2 6 2" xfId="14713"/>
    <cellStyle name="Heading 1 2 2 6 2 2 2 6 2 2" xfId="14714"/>
    <cellStyle name="Heading 1 2 2 6 2 2 2 6 3" xfId="14715"/>
    <cellStyle name="Heading 1 2 2 6 2 2 2 7" xfId="14716"/>
    <cellStyle name="Heading 1 2 2 6 2 2 2 7 2" xfId="14717"/>
    <cellStyle name="Heading 1 2 2 6 2 2 2 7 2 2" xfId="14718"/>
    <cellStyle name="Heading 1 2 2 6 2 2 2 7 3" xfId="14719"/>
    <cellStyle name="Heading 1 2 2 6 2 2 2 8" xfId="14720"/>
    <cellStyle name="Heading 1 2 2 6 2 2 2 8 2" xfId="14721"/>
    <cellStyle name="Heading 1 2 2 6 2 2 2 9" xfId="14722"/>
    <cellStyle name="Heading 1 2 2 6 2 2 20" xfId="14723"/>
    <cellStyle name="Heading 1 2 2 6 2 2 20 2" xfId="14724"/>
    <cellStyle name="Heading 1 2 2 6 2 2 21" xfId="14725"/>
    <cellStyle name="Heading 1 2 2 6 2 2 21 2" xfId="14726"/>
    <cellStyle name="Heading 1 2 2 6 2 2 22" xfId="14727"/>
    <cellStyle name="Heading 1 2 2 6 2 2 3" xfId="14728"/>
    <cellStyle name="Heading 1 2 2 6 2 2 3 2" xfId="14729"/>
    <cellStyle name="Heading 1 2 2 6 2 2 3 2 2" xfId="14730"/>
    <cellStyle name="Heading 1 2 2 6 2 2 3 2 2 2" xfId="14731"/>
    <cellStyle name="Heading 1 2 2 6 2 2 3 2 3" xfId="14732"/>
    <cellStyle name="Heading 1 2 2 6 2 2 3 3" xfId="14733"/>
    <cellStyle name="Heading 1 2 2 6 2 2 3 3 2" xfId="14734"/>
    <cellStyle name="Heading 1 2 2 6 2 2 3 3 2 2" xfId="14735"/>
    <cellStyle name="Heading 1 2 2 6 2 2 3 3 3" xfId="14736"/>
    <cellStyle name="Heading 1 2 2 6 2 2 3 4" xfId="14737"/>
    <cellStyle name="Heading 1 2 2 6 2 2 3 4 2" xfId="14738"/>
    <cellStyle name="Heading 1 2 2 6 2 2 3 4 2 2" xfId="14739"/>
    <cellStyle name="Heading 1 2 2 6 2 2 3 4 3" xfId="14740"/>
    <cellStyle name="Heading 1 2 2 6 2 2 3 5" xfId="14741"/>
    <cellStyle name="Heading 1 2 2 6 2 2 3 5 2" xfId="14742"/>
    <cellStyle name="Heading 1 2 2 6 2 2 3 5 2 2" xfId="14743"/>
    <cellStyle name="Heading 1 2 2 6 2 2 3 5 3" xfId="14744"/>
    <cellStyle name="Heading 1 2 2 6 2 2 3 6" xfId="14745"/>
    <cellStyle name="Heading 1 2 2 6 2 2 3 6 2" xfId="14746"/>
    <cellStyle name="Heading 1 2 2 6 2 2 3 6 2 2" xfId="14747"/>
    <cellStyle name="Heading 1 2 2 6 2 2 3 6 3" xfId="14748"/>
    <cellStyle name="Heading 1 2 2 6 2 2 3 7" xfId="14749"/>
    <cellStyle name="Heading 1 2 2 6 2 2 3 7 2" xfId="14750"/>
    <cellStyle name="Heading 1 2 2 6 2 2 3 7 2 2" xfId="14751"/>
    <cellStyle name="Heading 1 2 2 6 2 2 3 7 3" xfId="14752"/>
    <cellStyle name="Heading 1 2 2 6 2 2 3 8" xfId="14753"/>
    <cellStyle name="Heading 1 2 2 6 2 2 3 8 2" xfId="14754"/>
    <cellStyle name="Heading 1 2 2 6 2 2 3 9" xfId="14755"/>
    <cellStyle name="Heading 1 2 2 6 2 2 4" xfId="14756"/>
    <cellStyle name="Heading 1 2 2 6 2 2 4 2" xfId="14757"/>
    <cellStyle name="Heading 1 2 2 6 2 2 4 2 2" xfId="14758"/>
    <cellStyle name="Heading 1 2 2 6 2 2 4 2 2 2" xfId="14759"/>
    <cellStyle name="Heading 1 2 2 6 2 2 4 2 3" xfId="14760"/>
    <cellStyle name="Heading 1 2 2 6 2 2 4 3" xfId="14761"/>
    <cellStyle name="Heading 1 2 2 6 2 2 4 3 2" xfId="14762"/>
    <cellStyle name="Heading 1 2 2 6 2 2 4 3 2 2" xfId="14763"/>
    <cellStyle name="Heading 1 2 2 6 2 2 4 3 3" xfId="14764"/>
    <cellStyle name="Heading 1 2 2 6 2 2 4 4" xfId="14765"/>
    <cellStyle name="Heading 1 2 2 6 2 2 4 4 2" xfId="14766"/>
    <cellStyle name="Heading 1 2 2 6 2 2 4 4 2 2" xfId="14767"/>
    <cellStyle name="Heading 1 2 2 6 2 2 4 4 3" xfId="14768"/>
    <cellStyle name="Heading 1 2 2 6 2 2 4 5" xfId="14769"/>
    <cellStyle name="Heading 1 2 2 6 2 2 4 5 2" xfId="14770"/>
    <cellStyle name="Heading 1 2 2 6 2 2 4 5 2 2" xfId="14771"/>
    <cellStyle name="Heading 1 2 2 6 2 2 4 5 3" xfId="14772"/>
    <cellStyle name="Heading 1 2 2 6 2 2 4 6" xfId="14773"/>
    <cellStyle name="Heading 1 2 2 6 2 2 4 6 2" xfId="14774"/>
    <cellStyle name="Heading 1 2 2 6 2 2 4 6 2 2" xfId="14775"/>
    <cellStyle name="Heading 1 2 2 6 2 2 4 6 3" xfId="14776"/>
    <cellStyle name="Heading 1 2 2 6 2 2 4 7" xfId="14777"/>
    <cellStyle name="Heading 1 2 2 6 2 2 4 7 2" xfId="14778"/>
    <cellStyle name="Heading 1 2 2 6 2 2 4 7 2 2" xfId="14779"/>
    <cellStyle name="Heading 1 2 2 6 2 2 4 7 3" xfId="14780"/>
    <cellStyle name="Heading 1 2 2 6 2 2 4 8" xfId="14781"/>
    <cellStyle name="Heading 1 2 2 6 2 2 4 8 2" xfId="14782"/>
    <cellStyle name="Heading 1 2 2 6 2 2 4 9" xfId="14783"/>
    <cellStyle name="Heading 1 2 2 6 2 2 5" xfId="14784"/>
    <cellStyle name="Heading 1 2 2 6 2 2 5 2" xfId="14785"/>
    <cellStyle name="Heading 1 2 2 6 2 2 5 2 2" xfId="14786"/>
    <cellStyle name="Heading 1 2 2 6 2 2 5 2 2 2" xfId="14787"/>
    <cellStyle name="Heading 1 2 2 6 2 2 5 2 3" xfId="14788"/>
    <cellStyle name="Heading 1 2 2 6 2 2 5 3" xfId="14789"/>
    <cellStyle name="Heading 1 2 2 6 2 2 5 3 2" xfId="14790"/>
    <cellStyle name="Heading 1 2 2 6 2 2 5 3 2 2" xfId="14791"/>
    <cellStyle name="Heading 1 2 2 6 2 2 5 3 3" xfId="14792"/>
    <cellStyle name="Heading 1 2 2 6 2 2 5 4" xfId="14793"/>
    <cellStyle name="Heading 1 2 2 6 2 2 5 4 2" xfId="14794"/>
    <cellStyle name="Heading 1 2 2 6 2 2 5 4 2 2" xfId="14795"/>
    <cellStyle name="Heading 1 2 2 6 2 2 5 4 3" xfId="14796"/>
    <cellStyle name="Heading 1 2 2 6 2 2 5 5" xfId="14797"/>
    <cellStyle name="Heading 1 2 2 6 2 2 5 5 2" xfId="14798"/>
    <cellStyle name="Heading 1 2 2 6 2 2 5 5 2 2" xfId="14799"/>
    <cellStyle name="Heading 1 2 2 6 2 2 5 5 3" xfId="14800"/>
    <cellStyle name="Heading 1 2 2 6 2 2 5 6" xfId="14801"/>
    <cellStyle name="Heading 1 2 2 6 2 2 5 6 2" xfId="14802"/>
    <cellStyle name="Heading 1 2 2 6 2 2 5 6 2 2" xfId="14803"/>
    <cellStyle name="Heading 1 2 2 6 2 2 5 6 3" xfId="14804"/>
    <cellStyle name="Heading 1 2 2 6 2 2 5 7" xfId="14805"/>
    <cellStyle name="Heading 1 2 2 6 2 2 5 7 2" xfId="14806"/>
    <cellStyle name="Heading 1 2 2 6 2 2 5 7 2 2" xfId="14807"/>
    <cellStyle name="Heading 1 2 2 6 2 2 5 7 3" xfId="14808"/>
    <cellStyle name="Heading 1 2 2 6 2 2 5 8" xfId="14809"/>
    <cellStyle name="Heading 1 2 2 6 2 2 5 8 2" xfId="14810"/>
    <cellStyle name="Heading 1 2 2 6 2 2 5 9" xfId="14811"/>
    <cellStyle name="Heading 1 2 2 6 2 2 6" xfId="14812"/>
    <cellStyle name="Heading 1 2 2 6 2 2 6 2" xfId="14813"/>
    <cellStyle name="Heading 1 2 2 6 2 2 6 2 2" xfId="14814"/>
    <cellStyle name="Heading 1 2 2 6 2 2 6 2 2 2" xfId="14815"/>
    <cellStyle name="Heading 1 2 2 6 2 2 6 2 3" xfId="14816"/>
    <cellStyle name="Heading 1 2 2 6 2 2 6 3" xfId="14817"/>
    <cellStyle name="Heading 1 2 2 6 2 2 6 3 2" xfId="14818"/>
    <cellStyle name="Heading 1 2 2 6 2 2 6 3 2 2" xfId="14819"/>
    <cellStyle name="Heading 1 2 2 6 2 2 6 3 3" xfId="14820"/>
    <cellStyle name="Heading 1 2 2 6 2 2 6 4" xfId="14821"/>
    <cellStyle name="Heading 1 2 2 6 2 2 6 4 2" xfId="14822"/>
    <cellStyle name="Heading 1 2 2 6 2 2 6 4 2 2" xfId="14823"/>
    <cellStyle name="Heading 1 2 2 6 2 2 6 4 3" xfId="14824"/>
    <cellStyle name="Heading 1 2 2 6 2 2 6 5" xfId="14825"/>
    <cellStyle name="Heading 1 2 2 6 2 2 6 5 2" xfId="14826"/>
    <cellStyle name="Heading 1 2 2 6 2 2 6 5 2 2" xfId="14827"/>
    <cellStyle name="Heading 1 2 2 6 2 2 6 5 3" xfId="14828"/>
    <cellStyle name="Heading 1 2 2 6 2 2 6 6" xfId="14829"/>
    <cellStyle name="Heading 1 2 2 6 2 2 6 6 2" xfId="14830"/>
    <cellStyle name="Heading 1 2 2 6 2 2 6 6 2 2" xfId="14831"/>
    <cellStyle name="Heading 1 2 2 6 2 2 6 6 3" xfId="14832"/>
    <cellStyle name="Heading 1 2 2 6 2 2 6 7" xfId="14833"/>
    <cellStyle name="Heading 1 2 2 6 2 2 6 7 2" xfId="14834"/>
    <cellStyle name="Heading 1 2 2 6 2 2 6 7 2 2" xfId="14835"/>
    <cellStyle name="Heading 1 2 2 6 2 2 6 7 3" xfId="14836"/>
    <cellStyle name="Heading 1 2 2 6 2 2 6 8" xfId="14837"/>
    <cellStyle name="Heading 1 2 2 6 2 2 6 8 2" xfId="14838"/>
    <cellStyle name="Heading 1 2 2 6 2 2 6 9" xfId="14839"/>
    <cellStyle name="Heading 1 2 2 6 2 2 7" xfId="14840"/>
    <cellStyle name="Heading 1 2 2 6 2 2 7 2" xfId="14841"/>
    <cellStyle name="Heading 1 2 2 6 2 2 7 2 2" xfId="14842"/>
    <cellStyle name="Heading 1 2 2 6 2 2 7 2 2 2" xfId="14843"/>
    <cellStyle name="Heading 1 2 2 6 2 2 7 2 3" xfId="14844"/>
    <cellStyle name="Heading 1 2 2 6 2 2 7 3" xfId="14845"/>
    <cellStyle name="Heading 1 2 2 6 2 2 7 3 2" xfId="14846"/>
    <cellStyle name="Heading 1 2 2 6 2 2 7 3 2 2" xfId="14847"/>
    <cellStyle name="Heading 1 2 2 6 2 2 7 3 3" xfId="14848"/>
    <cellStyle name="Heading 1 2 2 6 2 2 7 4" xfId="14849"/>
    <cellStyle name="Heading 1 2 2 6 2 2 7 4 2" xfId="14850"/>
    <cellStyle name="Heading 1 2 2 6 2 2 7 4 2 2" xfId="14851"/>
    <cellStyle name="Heading 1 2 2 6 2 2 7 4 3" xfId="14852"/>
    <cellStyle name="Heading 1 2 2 6 2 2 7 5" xfId="14853"/>
    <cellStyle name="Heading 1 2 2 6 2 2 7 5 2" xfId="14854"/>
    <cellStyle name="Heading 1 2 2 6 2 2 7 5 2 2" xfId="14855"/>
    <cellStyle name="Heading 1 2 2 6 2 2 7 5 3" xfId="14856"/>
    <cellStyle name="Heading 1 2 2 6 2 2 7 6" xfId="14857"/>
    <cellStyle name="Heading 1 2 2 6 2 2 7 6 2" xfId="14858"/>
    <cellStyle name="Heading 1 2 2 6 2 2 7 6 2 2" xfId="14859"/>
    <cellStyle name="Heading 1 2 2 6 2 2 7 6 3" xfId="14860"/>
    <cellStyle name="Heading 1 2 2 6 2 2 7 7" xfId="14861"/>
    <cellStyle name="Heading 1 2 2 6 2 2 7 7 2" xfId="14862"/>
    <cellStyle name="Heading 1 2 2 6 2 2 7 7 2 2" xfId="14863"/>
    <cellStyle name="Heading 1 2 2 6 2 2 7 7 3" xfId="14864"/>
    <cellStyle name="Heading 1 2 2 6 2 2 7 8" xfId="14865"/>
    <cellStyle name="Heading 1 2 2 6 2 2 7 8 2" xfId="14866"/>
    <cellStyle name="Heading 1 2 2 6 2 2 7 9" xfId="14867"/>
    <cellStyle name="Heading 1 2 2 6 2 2 8" xfId="14868"/>
    <cellStyle name="Heading 1 2 2 6 2 2 8 2" xfId="14869"/>
    <cellStyle name="Heading 1 2 2 6 2 2 8 2 2" xfId="14870"/>
    <cellStyle name="Heading 1 2 2 6 2 2 8 2 2 2" xfId="14871"/>
    <cellStyle name="Heading 1 2 2 6 2 2 8 2 3" xfId="14872"/>
    <cellStyle name="Heading 1 2 2 6 2 2 8 3" xfId="14873"/>
    <cellStyle name="Heading 1 2 2 6 2 2 8 3 2" xfId="14874"/>
    <cellStyle name="Heading 1 2 2 6 2 2 8 3 2 2" xfId="14875"/>
    <cellStyle name="Heading 1 2 2 6 2 2 8 3 3" xfId="14876"/>
    <cellStyle name="Heading 1 2 2 6 2 2 8 4" xfId="14877"/>
    <cellStyle name="Heading 1 2 2 6 2 2 8 4 2" xfId="14878"/>
    <cellStyle name="Heading 1 2 2 6 2 2 8 4 2 2" xfId="14879"/>
    <cellStyle name="Heading 1 2 2 6 2 2 8 4 3" xfId="14880"/>
    <cellStyle name="Heading 1 2 2 6 2 2 8 5" xfId="14881"/>
    <cellStyle name="Heading 1 2 2 6 2 2 8 5 2" xfId="14882"/>
    <cellStyle name="Heading 1 2 2 6 2 2 8 5 2 2" xfId="14883"/>
    <cellStyle name="Heading 1 2 2 6 2 2 8 5 3" xfId="14884"/>
    <cellStyle name="Heading 1 2 2 6 2 2 8 6" xfId="14885"/>
    <cellStyle name="Heading 1 2 2 6 2 2 8 6 2" xfId="14886"/>
    <cellStyle name="Heading 1 2 2 6 2 2 8 6 2 2" xfId="14887"/>
    <cellStyle name="Heading 1 2 2 6 2 2 8 6 3" xfId="14888"/>
    <cellStyle name="Heading 1 2 2 6 2 2 8 7" xfId="14889"/>
    <cellStyle name="Heading 1 2 2 6 2 2 8 7 2" xfId="14890"/>
    <cellStyle name="Heading 1 2 2 6 2 2 8 7 2 2" xfId="14891"/>
    <cellStyle name="Heading 1 2 2 6 2 2 8 7 3" xfId="14892"/>
    <cellStyle name="Heading 1 2 2 6 2 2 8 8" xfId="14893"/>
    <cellStyle name="Heading 1 2 2 6 2 2 8 8 2" xfId="14894"/>
    <cellStyle name="Heading 1 2 2 6 2 2 8 9" xfId="14895"/>
    <cellStyle name="Heading 1 2 2 6 2 2 9" xfId="14896"/>
    <cellStyle name="Heading 1 2 2 6 2 2 9 2" xfId="14897"/>
    <cellStyle name="Heading 1 2 2 6 2 2 9 2 2" xfId="14898"/>
    <cellStyle name="Heading 1 2 2 6 2 2 9 3" xfId="14899"/>
    <cellStyle name="Heading 1 2 2 6 2 20" xfId="14900"/>
    <cellStyle name="Heading 1 2 2 6 2 20 2" xfId="14901"/>
    <cellStyle name="Heading 1 2 2 6 2 21" xfId="14902"/>
    <cellStyle name="Heading 1 2 2 6 2 21 2" xfId="14903"/>
    <cellStyle name="Heading 1 2 2 6 2 22" xfId="14904"/>
    <cellStyle name="Heading 1 2 2 6 2 22 2" xfId="14905"/>
    <cellStyle name="Heading 1 2 2 6 2 23" xfId="14906"/>
    <cellStyle name="Heading 1 2 2 6 2 3" xfId="14907"/>
    <cellStyle name="Heading 1 2 2 6 2 3 2" xfId="14908"/>
    <cellStyle name="Heading 1 2 2 6 2 3 2 2" xfId="14909"/>
    <cellStyle name="Heading 1 2 2 6 2 3 2 2 2" xfId="14910"/>
    <cellStyle name="Heading 1 2 2 6 2 3 2 3" xfId="14911"/>
    <cellStyle name="Heading 1 2 2 6 2 3 3" xfId="14912"/>
    <cellStyle name="Heading 1 2 2 6 2 3 3 2" xfId="14913"/>
    <cellStyle name="Heading 1 2 2 6 2 3 3 2 2" xfId="14914"/>
    <cellStyle name="Heading 1 2 2 6 2 3 3 3" xfId="14915"/>
    <cellStyle name="Heading 1 2 2 6 2 3 4" xfId="14916"/>
    <cellStyle name="Heading 1 2 2 6 2 3 4 2" xfId="14917"/>
    <cellStyle name="Heading 1 2 2 6 2 3 4 2 2" xfId="14918"/>
    <cellStyle name="Heading 1 2 2 6 2 3 4 3" xfId="14919"/>
    <cellStyle name="Heading 1 2 2 6 2 3 5" xfId="14920"/>
    <cellStyle name="Heading 1 2 2 6 2 3 5 2" xfId="14921"/>
    <cellStyle name="Heading 1 2 2 6 2 3 5 2 2" xfId="14922"/>
    <cellStyle name="Heading 1 2 2 6 2 3 5 3" xfId="14923"/>
    <cellStyle name="Heading 1 2 2 6 2 3 6" xfId="14924"/>
    <cellStyle name="Heading 1 2 2 6 2 3 6 2" xfId="14925"/>
    <cellStyle name="Heading 1 2 2 6 2 3 6 2 2" xfId="14926"/>
    <cellStyle name="Heading 1 2 2 6 2 3 6 3" xfId="14927"/>
    <cellStyle name="Heading 1 2 2 6 2 3 7" xfId="14928"/>
    <cellStyle name="Heading 1 2 2 6 2 3 7 2" xfId="14929"/>
    <cellStyle name="Heading 1 2 2 6 2 3 7 2 2" xfId="14930"/>
    <cellStyle name="Heading 1 2 2 6 2 3 7 3" xfId="14931"/>
    <cellStyle name="Heading 1 2 2 6 2 3 8" xfId="14932"/>
    <cellStyle name="Heading 1 2 2 6 2 3 8 2" xfId="14933"/>
    <cellStyle name="Heading 1 2 2 6 2 3 9" xfId="14934"/>
    <cellStyle name="Heading 1 2 2 6 2 4" xfId="14935"/>
    <cellStyle name="Heading 1 2 2 6 2 4 2" xfId="14936"/>
    <cellStyle name="Heading 1 2 2 6 2 4 2 2" xfId="14937"/>
    <cellStyle name="Heading 1 2 2 6 2 4 2 2 2" xfId="14938"/>
    <cellStyle name="Heading 1 2 2 6 2 4 2 3" xfId="14939"/>
    <cellStyle name="Heading 1 2 2 6 2 4 3" xfId="14940"/>
    <cellStyle name="Heading 1 2 2 6 2 4 3 2" xfId="14941"/>
    <cellStyle name="Heading 1 2 2 6 2 4 3 2 2" xfId="14942"/>
    <cellStyle name="Heading 1 2 2 6 2 4 3 3" xfId="14943"/>
    <cellStyle name="Heading 1 2 2 6 2 4 4" xfId="14944"/>
    <cellStyle name="Heading 1 2 2 6 2 4 4 2" xfId="14945"/>
    <cellStyle name="Heading 1 2 2 6 2 4 4 2 2" xfId="14946"/>
    <cellStyle name="Heading 1 2 2 6 2 4 4 3" xfId="14947"/>
    <cellStyle name="Heading 1 2 2 6 2 4 5" xfId="14948"/>
    <cellStyle name="Heading 1 2 2 6 2 4 5 2" xfId="14949"/>
    <cellStyle name="Heading 1 2 2 6 2 4 5 2 2" xfId="14950"/>
    <cellStyle name="Heading 1 2 2 6 2 4 5 3" xfId="14951"/>
    <cellStyle name="Heading 1 2 2 6 2 4 6" xfId="14952"/>
    <cellStyle name="Heading 1 2 2 6 2 4 6 2" xfId="14953"/>
    <cellStyle name="Heading 1 2 2 6 2 4 6 2 2" xfId="14954"/>
    <cellStyle name="Heading 1 2 2 6 2 4 6 3" xfId="14955"/>
    <cellStyle name="Heading 1 2 2 6 2 4 7" xfId="14956"/>
    <cellStyle name="Heading 1 2 2 6 2 4 7 2" xfId="14957"/>
    <cellStyle name="Heading 1 2 2 6 2 4 7 2 2" xfId="14958"/>
    <cellStyle name="Heading 1 2 2 6 2 4 7 3" xfId="14959"/>
    <cellStyle name="Heading 1 2 2 6 2 4 8" xfId="14960"/>
    <cellStyle name="Heading 1 2 2 6 2 4 8 2" xfId="14961"/>
    <cellStyle name="Heading 1 2 2 6 2 4 9" xfId="14962"/>
    <cellStyle name="Heading 1 2 2 6 2 5" xfId="14963"/>
    <cellStyle name="Heading 1 2 2 6 2 5 2" xfId="14964"/>
    <cellStyle name="Heading 1 2 2 6 2 5 2 2" xfId="14965"/>
    <cellStyle name="Heading 1 2 2 6 2 5 2 2 2" xfId="14966"/>
    <cellStyle name="Heading 1 2 2 6 2 5 2 3" xfId="14967"/>
    <cellStyle name="Heading 1 2 2 6 2 5 3" xfId="14968"/>
    <cellStyle name="Heading 1 2 2 6 2 5 3 2" xfId="14969"/>
    <cellStyle name="Heading 1 2 2 6 2 5 3 2 2" xfId="14970"/>
    <cellStyle name="Heading 1 2 2 6 2 5 3 3" xfId="14971"/>
    <cellStyle name="Heading 1 2 2 6 2 5 4" xfId="14972"/>
    <cellStyle name="Heading 1 2 2 6 2 5 4 2" xfId="14973"/>
    <cellStyle name="Heading 1 2 2 6 2 5 4 2 2" xfId="14974"/>
    <cellStyle name="Heading 1 2 2 6 2 5 4 3" xfId="14975"/>
    <cellStyle name="Heading 1 2 2 6 2 5 5" xfId="14976"/>
    <cellStyle name="Heading 1 2 2 6 2 5 5 2" xfId="14977"/>
    <cellStyle name="Heading 1 2 2 6 2 5 5 2 2" xfId="14978"/>
    <cellStyle name="Heading 1 2 2 6 2 5 5 3" xfId="14979"/>
    <cellStyle name="Heading 1 2 2 6 2 5 6" xfId="14980"/>
    <cellStyle name="Heading 1 2 2 6 2 5 6 2" xfId="14981"/>
    <cellStyle name="Heading 1 2 2 6 2 5 6 2 2" xfId="14982"/>
    <cellStyle name="Heading 1 2 2 6 2 5 6 3" xfId="14983"/>
    <cellStyle name="Heading 1 2 2 6 2 5 7" xfId="14984"/>
    <cellStyle name="Heading 1 2 2 6 2 5 7 2" xfId="14985"/>
    <cellStyle name="Heading 1 2 2 6 2 5 7 2 2" xfId="14986"/>
    <cellStyle name="Heading 1 2 2 6 2 5 7 3" xfId="14987"/>
    <cellStyle name="Heading 1 2 2 6 2 5 8" xfId="14988"/>
    <cellStyle name="Heading 1 2 2 6 2 5 8 2" xfId="14989"/>
    <cellStyle name="Heading 1 2 2 6 2 5 9" xfId="14990"/>
    <cellStyle name="Heading 1 2 2 6 2 6" xfId="14991"/>
    <cellStyle name="Heading 1 2 2 6 2 6 2" xfId="14992"/>
    <cellStyle name="Heading 1 2 2 6 2 6 2 2" xfId="14993"/>
    <cellStyle name="Heading 1 2 2 6 2 6 2 2 2" xfId="14994"/>
    <cellStyle name="Heading 1 2 2 6 2 6 2 3" xfId="14995"/>
    <cellStyle name="Heading 1 2 2 6 2 6 3" xfId="14996"/>
    <cellStyle name="Heading 1 2 2 6 2 6 3 2" xfId="14997"/>
    <cellStyle name="Heading 1 2 2 6 2 6 3 2 2" xfId="14998"/>
    <cellStyle name="Heading 1 2 2 6 2 6 3 3" xfId="14999"/>
    <cellStyle name="Heading 1 2 2 6 2 6 4" xfId="15000"/>
    <cellStyle name="Heading 1 2 2 6 2 6 4 2" xfId="15001"/>
    <cellStyle name="Heading 1 2 2 6 2 6 4 2 2" xfId="15002"/>
    <cellStyle name="Heading 1 2 2 6 2 6 4 3" xfId="15003"/>
    <cellStyle name="Heading 1 2 2 6 2 6 5" xfId="15004"/>
    <cellStyle name="Heading 1 2 2 6 2 6 5 2" xfId="15005"/>
    <cellStyle name="Heading 1 2 2 6 2 6 5 2 2" xfId="15006"/>
    <cellStyle name="Heading 1 2 2 6 2 6 5 3" xfId="15007"/>
    <cellStyle name="Heading 1 2 2 6 2 6 6" xfId="15008"/>
    <cellStyle name="Heading 1 2 2 6 2 6 6 2" xfId="15009"/>
    <cellStyle name="Heading 1 2 2 6 2 6 6 2 2" xfId="15010"/>
    <cellStyle name="Heading 1 2 2 6 2 6 6 3" xfId="15011"/>
    <cellStyle name="Heading 1 2 2 6 2 6 7" xfId="15012"/>
    <cellStyle name="Heading 1 2 2 6 2 6 7 2" xfId="15013"/>
    <cellStyle name="Heading 1 2 2 6 2 6 7 2 2" xfId="15014"/>
    <cellStyle name="Heading 1 2 2 6 2 6 7 3" xfId="15015"/>
    <cellStyle name="Heading 1 2 2 6 2 6 8" xfId="15016"/>
    <cellStyle name="Heading 1 2 2 6 2 6 8 2" xfId="15017"/>
    <cellStyle name="Heading 1 2 2 6 2 6 9" xfId="15018"/>
    <cellStyle name="Heading 1 2 2 6 2 7" xfId="15019"/>
    <cellStyle name="Heading 1 2 2 6 2 7 2" xfId="15020"/>
    <cellStyle name="Heading 1 2 2 6 2 7 2 2" xfId="15021"/>
    <cellStyle name="Heading 1 2 2 6 2 7 2 2 2" xfId="15022"/>
    <cellStyle name="Heading 1 2 2 6 2 7 2 3" xfId="15023"/>
    <cellStyle name="Heading 1 2 2 6 2 7 3" xfId="15024"/>
    <cellStyle name="Heading 1 2 2 6 2 7 3 2" xfId="15025"/>
    <cellStyle name="Heading 1 2 2 6 2 7 3 2 2" xfId="15026"/>
    <cellStyle name="Heading 1 2 2 6 2 7 3 3" xfId="15027"/>
    <cellStyle name="Heading 1 2 2 6 2 7 4" xfId="15028"/>
    <cellStyle name="Heading 1 2 2 6 2 7 4 2" xfId="15029"/>
    <cellStyle name="Heading 1 2 2 6 2 7 4 2 2" xfId="15030"/>
    <cellStyle name="Heading 1 2 2 6 2 7 4 3" xfId="15031"/>
    <cellStyle name="Heading 1 2 2 6 2 7 5" xfId="15032"/>
    <cellStyle name="Heading 1 2 2 6 2 7 5 2" xfId="15033"/>
    <cellStyle name="Heading 1 2 2 6 2 7 5 2 2" xfId="15034"/>
    <cellStyle name="Heading 1 2 2 6 2 7 5 3" xfId="15035"/>
    <cellStyle name="Heading 1 2 2 6 2 7 6" xfId="15036"/>
    <cellStyle name="Heading 1 2 2 6 2 7 6 2" xfId="15037"/>
    <cellStyle name="Heading 1 2 2 6 2 7 6 2 2" xfId="15038"/>
    <cellStyle name="Heading 1 2 2 6 2 7 6 3" xfId="15039"/>
    <cellStyle name="Heading 1 2 2 6 2 7 7" xfId="15040"/>
    <cellStyle name="Heading 1 2 2 6 2 7 7 2" xfId="15041"/>
    <cellStyle name="Heading 1 2 2 6 2 7 7 2 2" xfId="15042"/>
    <cellStyle name="Heading 1 2 2 6 2 7 7 3" xfId="15043"/>
    <cellStyle name="Heading 1 2 2 6 2 7 8" xfId="15044"/>
    <cellStyle name="Heading 1 2 2 6 2 7 8 2" xfId="15045"/>
    <cellStyle name="Heading 1 2 2 6 2 7 9" xfId="15046"/>
    <cellStyle name="Heading 1 2 2 6 2 8" xfId="15047"/>
    <cellStyle name="Heading 1 2 2 6 2 8 2" xfId="15048"/>
    <cellStyle name="Heading 1 2 2 6 2 8 2 2" xfId="15049"/>
    <cellStyle name="Heading 1 2 2 6 2 8 2 2 2" xfId="15050"/>
    <cellStyle name="Heading 1 2 2 6 2 8 2 3" xfId="15051"/>
    <cellStyle name="Heading 1 2 2 6 2 8 3" xfId="15052"/>
    <cellStyle name="Heading 1 2 2 6 2 8 3 2" xfId="15053"/>
    <cellStyle name="Heading 1 2 2 6 2 8 3 2 2" xfId="15054"/>
    <cellStyle name="Heading 1 2 2 6 2 8 3 3" xfId="15055"/>
    <cellStyle name="Heading 1 2 2 6 2 8 4" xfId="15056"/>
    <cellStyle name="Heading 1 2 2 6 2 8 4 2" xfId="15057"/>
    <cellStyle name="Heading 1 2 2 6 2 8 4 2 2" xfId="15058"/>
    <cellStyle name="Heading 1 2 2 6 2 8 4 3" xfId="15059"/>
    <cellStyle name="Heading 1 2 2 6 2 8 5" xfId="15060"/>
    <cellStyle name="Heading 1 2 2 6 2 8 5 2" xfId="15061"/>
    <cellStyle name="Heading 1 2 2 6 2 8 5 2 2" xfId="15062"/>
    <cellStyle name="Heading 1 2 2 6 2 8 5 3" xfId="15063"/>
    <cellStyle name="Heading 1 2 2 6 2 8 6" xfId="15064"/>
    <cellStyle name="Heading 1 2 2 6 2 8 6 2" xfId="15065"/>
    <cellStyle name="Heading 1 2 2 6 2 8 6 2 2" xfId="15066"/>
    <cellStyle name="Heading 1 2 2 6 2 8 6 3" xfId="15067"/>
    <cellStyle name="Heading 1 2 2 6 2 8 7" xfId="15068"/>
    <cellStyle name="Heading 1 2 2 6 2 8 7 2" xfId="15069"/>
    <cellStyle name="Heading 1 2 2 6 2 8 7 2 2" xfId="15070"/>
    <cellStyle name="Heading 1 2 2 6 2 8 7 3" xfId="15071"/>
    <cellStyle name="Heading 1 2 2 6 2 8 8" xfId="15072"/>
    <cellStyle name="Heading 1 2 2 6 2 8 8 2" xfId="15073"/>
    <cellStyle name="Heading 1 2 2 6 2 8 9" xfId="15074"/>
    <cellStyle name="Heading 1 2 2 6 2 9" xfId="15075"/>
    <cellStyle name="Heading 1 2 2 6 2 9 2" xfId="15076"/>
    <cellStyle name="Heading 1 2 2 6 2 9 2 2" xfId="15077"/>
    <cellStyle name="Heading 1 2 2 6 2 9 2 2 2" xfId="15078"/>
    <cellStyle name="Heading 1 2 2 6 2 9 2 3" xfId="15079"/>
    <cellStyle name="Heading 1 2 2 6 2 9 3" xfId="15080"/>
    <cellStyle name="Heading 1 2 2 6 2 9 3 2" xfId="15081"/>
    <cellStyle name="Heading 1 2 2 6 2 9 3 2 2" xfId="15082"/>
    <cellStyle name="Heading 1 2 2 6 2 9 3 3" xfId="15083"/>
    <cellStyle name="Heading 1 2 2 6 2 9 4" xfId="15084"/>
    <cellStyle name="Heading 1 2 2 6 2 9 4 2" xfId="15085"/>
    <cellStyle name="Heading 1 2 2 6 2 9 4 2 2" xfId="15086"/>
    <cellStyle name="Heading 1 2 2 6 2 9 4 3" xfId="15087"/>
    <cellStyle name="Heading 1 2 2 6 2 9 5" xfId="15088"/>
    <cellStyle name="Heading 1 2 2 6 2 9 5 2" xfId="15089"/>
    <cellStyle name="Heading 1 2 2 6 2 9 5 2 2" xfId="15090"/>
    <cellStyle name="Heading 1 2 2 6 2 9 5 3" xfId="15091"/>
    <cellStyle name="Heading 1 2 2 6 2 9 6" xfId="15092"/>
    <cellStyle name="Heading 1 2 2 6 2 9 6 2" xfId="15093"/>
    <cellStyle name="Heading 1 2 2 6 2 9 6 2 2" xfId="15094"/>
    <cellStyle name="Heading 1 2 2 6 2 9 6 3" xfId="15095"/>
    <cellStyle name="Heading 1 2 2 6 2 9 7" xfId="15096"/>
    <cellStyle name="Heading 1 2 2 6 2 9 7 2" xfId="15097"/>
    <cellStyle name="Heading 1 2 2 6 2 9 7 2 2" xfId="15098"/>
    <cellStyle name="Heading 1 2 2 6 2 9 7 3" xfId="15099"/>
    <cellStyle name="Heading 1 2 2 6 2 9 8" xfId="15100"/>
    <cellStyle name="Heading 1 2 2 6 2 9 8 2" xfId="15101"/>
    <cellStyle name="Heading 1 2 2 6 2 9 9" xfId="15102"/>
    <cellStyle name="Heading 1 2 2 6 3" xfId="15103"/>
    <cellStyle name="Heading 1 2 2 6 3 10" xfId="15104"/>
    <cellStyle name="Heading 1 2 2 6 3 10 2" xfId="15105"/>
    <cellStyle name="Heading 1 2 2 6 3 10 2 2" xfId="15106"/>
    <cellStyle name="Heading 1 2 2 6 3 10 3" xfId="15107"/>
    <cellStyle name="Heading 1 2 2 6 3 11" xfId="15108"/>
    <cellStyle name="Heading 1 2 2 6 3 11 2" xfId="15109"/>
    <cellStyle name="Heading 1 2 2 6 3 11 2 2" xfId="15110"/>
    <cellStyle name="Heading 1 2 2 6 3 11 3" xfId="15111"/>
    <cellStyle name="Heading 1 2 2 6 3 12" xfId="15112"/>
    <cellStyle name="Heading 1 2 2 6 3 12 2" xfId="15113"/>
    <cellStyle name="Heading 1 2 2 6 3 12 2 2" xfId="15114"/>
    <cellStyle name="Heading 1 2 2 6 3 12 3" xfId="15115"/>
    <cellStyle name="Heading 1 2 2 6 3 13" xfId="15116"/>
    <cellStyle name="Heading 1 2 2 6 3 13 2" xfId="15117"/>
    <cellStyle name="Heading 1 2 2 6 3 13 2 2" xfId="15118"/>
    <cellStyle name="Heading 1 2 2 6 3 13 3" xfId="15119"/>
    <cellStyle name="Heading 1 2 2 6 3 14" xfId="15120"/>
    <cellStyle name="Heading 1 2 2 6 3 14 2" xfId="15121"/>
    <cellStyle name="Heading 1 2 2 6 3 14 2 2" xfId="15122"/>
    <cellStyle name="Heading 1 2 2 6 3 14 3" xfId="15123"/>
    <cellStyle name="Heading 1 2 2 6 3 15" xfId="15124"/>
    <cellStyle name="Heading 1 2 2 6 3 15 2" xfId="15125"/>
    <cellStyle name="Heading 1 2 2 6 3 15 2 2" xfId="15126"/>
    <cellStyle name="Heading 1 2 2 6 3 15 3" xfId="15127"/>
    <cellStyle name="Heading 1 2 2 6 3 16" xfId="15128"/>
    <cellStyle name="Heading 1 2 2 6 3 16 2" xfId="15129"/>
    <cellStyle name="Heading 1 2 2 6 3 16 2 2" xfId="15130"/>
    <cellStyle name="Heading 1 2 2 6 3 16 3" xfId="15131"/>
    <cellStyle name="Heading 1 2 2 6 3 17" xfId="15132"/>
    <cellStyle name="Heading 1 2 2 6 3 17 2" xfId="15133"/>
    <cellStyle name="Heading 1 2 2 6 3 17 2 2" xfId="15134"/>
    <cellStyle name="Heading 1 2 2 6 3 17 3" xfId="15135"/>
    <cellStyle name="Heading 1 2 2 6 3 18" xfId="15136"/>
    <cellStyle name="Heading 1 2 2 6 3 18 2" xfId="15137"/>
    <cellStyle name="Heading 1 2 2 6 3 18 2 2" xfId="15138"/>
    <cellStyle name="Heading 1 2 2 6 3 18 3" xfId="15139"/>
    <cellStyle name="Heading 1 2 2 6 3 19" xfId="15140"/>
    <cellStyle name="Heading 1 2 2 6 3 19 2" xfId="15141"/>
    <cellStyle name="Heading 1 2 2 6 3 2" xfId="15142"/>
    <cellStyle name="Heading 1 2 2 6 3 2 2" xfId="15143"/>
    <cellStyle name="Heading 1 2 2 6 3 2 2 2" xfId="15144"/>
    <cellStyle name="Heading 1 2 2 6 3 2 2 2 2" xfId="15145"/>
    <cellStyle name="Heading 1 2 2 6 3 2 2 3" xfId="15146"/>
    <cellStyle name="Heading 1 2 2 6 3 2 3" xfId="15147"/>
    <cellStyle name="Heading 1 2 2 6 3 2 3 2" xfId="15148"/>
    <cellStyle name="Heading 1 2 2 6 3 2 3 2 2" xfId="15149"/>
    <cellStyle name="Heading 1 2 2 6 3 2 3 3" xfId="15150"/>
    <cellStyle name="Heading 1 2 2 6 3 2 4" xfId="15151"/>
    <cellStyle name="Heading 1 2 2 6 3 2 4 2" xfId="15152"/>
    <cellStyle name="Heading 1 2 2 6 3 2 4 2 2" xfId="15153"/>
    <cellStyle name="Heading 1 2 2 6 3 2 4 3" xfId="15154"/>
    <cellStyle name="Heading 1 2 2 6 3 2 5" xfId="15155"/>
    <cellStyle name="Heading 1 2 2 6 3 2 5 2" xfId="15156"/>
    <cellStyle name="Heading 1 2 2 6 3 2 5 2 2" xfId="15157"/>
    <cellStyle name="Heading 1 2 2 6 3 2 5 3" xfId="15158"/>
    <cellStyle name="Heading 1 2 2 6 3 2 6" xfId="15159"/>
    <cellStyle name="Heading 1 2 2 6 3 2 6 2" xfId="15160"/>
    <cellStyle name="Heading 1 2 2 6 3 2 6 2 2" xfId="15161"/>
    <cellStyle name="Heading 1 2 2 6 3 2 6 3" xfId="15162"/>
    <cellStyle name="Heading 1 2 2 6 3 2 7" xfId="15163"/>
    <cellStyle name="Heading 1 2 2 6 3 2 7 2" xfId="15164"/>
    <cellStyle name="Heading 1 2 2 6 3 2 7 2 2" xfId="15165"/>
    <cellStyle name="Heading 1 2 2 6 3 2 7 3" xfId="15166"/>
    <cellStyle name="Heading 1 2 2 6 3 2 8" xfId="15167"/>
    <cellStyle name="Heading 1 2 2 6 3 2 8 2" xfId="15168"/>
    <cellStyle name="Heading 1 2 2 6 3 2 9" xfId="15169"/>
    <cellStyle name="Heading 1 2 2 6 3 20" xfId="15170"/>
    <cellStyle name="Heading 1 2 2 6 3 20 2" xfId="15171"/>
    <cellStyle name="Heading 1 2 2 6 3 21" xfId="15172"/>
    <cellStyle name="Heading 1 2 2 6 3 21 2" xfId="15173"/>
    <cellStyle name="Heading 1 2 2 6 3 22" xfId="15174"/>
    <cellStyle name="Heading 1 2 2 6 3 3" xfId="15175"/>
    <cellStyle name="Heading 1 2 2 6 3 3 2" xfId="15176"/>
    <cellStyle name="Heading 1 2 2 6 3 3 2 2" xfId="15177"/>
    <cellStyle name="Heading 1 2 2 6 3 3 2 2 2" xfId="15178"/>
    <cellStyle name="Heading 1 2 2 6 3 3 2 3" xfId="15179"/>
    <cellStyle name="Heading 1 2 2 6 3 3 3" xfId="15180"/>
    <cellStyle name="Heading 1 2 2 6 3 3 3 2" xfId="15181"/>
    <cellStyle name="Heading 1 2 2 6 3 3 3 2 2" xfId="15182"/>
    <cellStyle name="Heading 1 2 2 6 3 3 3 3" xfId="15183"/>
    <cellStyle name="Heading 1 2 2 6 3 3 4" xfId="15184"/>
    <cellStyle name="Heading 1 2 2 6 3 3 4 2" xfId="15185"/>
    <cellStyle name="Heading 1 2 2 6 3 3 4 2 2" xfId="15186"/>
    <cellStyle name="Heading 1 2 2 6 3 3 4 3" xfId="15187"/>
    <cellStyle name="Heading 1 2 2 6 3 3 5" xfId="15188"/>
    <cellStyle name="Heading 1 2 2 6 3 3 5 2" xfId="15189"/>
    <cellStyle name="Heading 1 2 2 6 3 3 5 2 2" xfId="15190"/>
    <cellStyle name="Heading 1 2 2 6 3 3 5 3" xfId="15191"/>
    <cellStyle name="Heading 1 2 2 6 3 3 6" xfId="15192"/>
    <cellStyle name="Heading 1 2 2 6 3 3 6 2" xfId="15193"/>
    <cellStyle name="Heading 1 2 2 6 3 3 6 2 2" xfId="15194"/>
    <cellStyle name="Heading 1 2 2 6 3 3 6 3" xfId="15195"/>
    <cellStyle name="Heading 1 2 2 6 3 3 7" xfId="15196"/>
    <cellStyle name="Heading 1 2 2 6 3 3 7 2" xfId="15197"/>
    <cellStyle name="Heading 1 2 2 6 3 3 7 2 2" xfId="15198"/>
    <cellStyle name="Heading 1 2 2 6 3 3 7 3" xfId="15199"/>
    <cellStyle name="Heading 1 2 2 6 3 3 8" xfId="15200"/>
    <cellStyle name="Heading 1 2 2 6 3 3 8 2" xfId="15201"/>
    <cellStyle name="Heading 1 2 2 6 3 3 9" xfId="15202"/>
    <cellStyle name="Heading 1 2 2 6 3 4" xfId="15203"/>
    <cellStyle name="Heading 1 2 2 6 3 4 2" xfId="15204"/>
    <cellStyle name="Heading 1 2 2 6 3 4 2 2" xfId="15205"/>
    <cellStyle name="Heading 1 2 2 6 3 4 2 2 2" xfId="15206"/>
    <cellStyle name="Heading 1 2 2 6 3 4 2 3" xfId="15207"/>
    <cellStyle name="Heading 1 2 2 6 3 4 3" xfId="15208"/>
    <cellStyle name="Heading 1 2 2 6 3 4 3 2" xfId="15209"/>
    <cellStyle name="Heading 1 2 2 6 3 4 3 2 2" xfId="15210"/>
    <cellStyle name="Heading 1 2 2 6 3 4 3 3" xfId="15211"/>
    <cellStyle name="Heading 1 2 2 6 3 4 4" xfId="15212"/>
    <cellStyle name="Heading 1 2 2 6 3 4 4 2" xfId="15213"/>
    <cellStyle name="Heading 1 2 2 6 3 4 4 2 2" xfId="15214"/>
    <cellStyle name="Heading 1 2 2 6 3 4 4 3" xfId="15215"/>
    <cellStyle name="Heading 1 2 2 6 3 4 5" xfId="15216"/>
    <cellStyle name="Heading 1 2 2 6 3 4 5 2" xfId="15217"/>
    <cellStyle name="Heading 1 2 2 6 3 4 5 2 2" xfId="15218"/>
    <cellStyle name="Heading 1 2 2 6 3 4 5 3" xfId="15219"/>
    <cellStyle name="Heading 1 2 2 6 3 4 6" xfId="15220"/>
    <cellStyle name="Heading 1 2 2 6 3 4 6 2" xfId="15221"/>
    <cellStyle name="Heading 1 2 2 6 3 4 6 2 2" xfId="15222"/>
    <cellStyle name="Heading 1 2 2 6 3 4 6 3" xfId="15223"/>
    <cellStyle name="Heading 1 2 2 6 3 4 7" xfId="15224"/>
    <cellStyle name="Heading 1 2 2 6 3 4 7 2" xfId="15225"/>
    <cellStyle name="Heading 1 2 2 6 3 4 7 2 2" xfId="15226"/>
    <cellStyle name="Heading 1 2 2 6 3 4 7 3" xfId="15227"/>
    <cellStyle name="Heading 1 2 2 6 3 4 8" xfId="15228"/>
    <cellStyle name="Heading 1 2 2 6 3 4 8 2" xfId="15229"/>
    <cellStyle name="Heading 1 2 2 6 3 4 9" xfId="15230"/>
    <cellStyle name="Heading 1 2 2 6 3 5" xfId="15231"/>
    <cellStyle name="Heading 1 2 2 6 3 5 2" xfId="15232"/>
    <cellStyle name="Heading 1 2 2 6 3 5 2 2" xfId="15233"/>
    <cellStyle name="Heading 1 2 2 6 3 5 2 2 2" xfId="15234"/>
    <cellStyle name="Heading 1 2 2 6 3 5 2 3" xfId="15235"/>
    <cellStyle name="Heading 1 2 2 6 3 5 3" xfId="15236"/>
    <cellStyle name="Heading 1 2 2 6 3 5 3 2" xfId="15237"/>
    <cellStyle name="Heading 1 2 2 6 3 5 3 2 2" xfId="15238"/>
    <cellStyle name="Heading 1 2 2 6 3 5 3 3" xfId="15239"/>
    <cellStyle name="Heading 1 2 2 6 3 5 4" xfId="15240"/>
    <cellStyle name="Heading 1 2 2 6 3 5 4 2" xfId="15241"/>
    <cellStyle name="Heading 1 2 2 6 3 5 4 2 2" xfId="15242"/>
    <cellStyle name="Heading 1 2 2 6 3 5 4 3" xfId="15243"/>
    <cellStyle name="Heading 1 2 2 6 3 5 5" xfId="15244"/>
    <cellStyle name="Heading 1 2 2 6 3 5 5 2" xfId="15245"/>
    <cellStyle name="Heading 1 2 2 6 3 5 5 2 2" xfId="15246"/>
    <cellStyle name="Heading 1 2 2 6 3 5 5 3" xfId="15247"/>
    <cellStyle name="Heading 1 2 2 6 3 5 6" xfId="15248"/>
    <cellStyle name="Heading 1 2 2 6 3 5 6 2" xfId="15249"/>
    <cellStyle name="Heading 1 2 2 6 3 5 6 2 2" xfId="15250"/>
    <cellStyle name="Heading 1 2 2 6 3 5 6 3" xfId="15251"/>
    <cellStyle name="Heading 1 2 2 6 3 5 7" xfId="15252"/>
    <cellStyle name="Heading 1 2 2 6 3 5 7 2" xfId="15253"/>
    <cellStyle name="Heading 1 2 2 6 3 5 7 2 2" xfId="15254"/>
    <cellStyle name="Heading 1 2 2 6 3 5 7 3" xfId="15255"/>
    <cellStyle name="Heading 1 2 2 6 3 5 8" xfId="15256"/>
    <cellStyle name="Heading 1 2 2 6 3 5 8 2" xfId="15257"/>
    <cellStyle name="Heading 1 2 2 6 3 5 9" xfId="15258"/>
    <cellStyle name="Heading 1 2 2 6 3 6" xfId="15259"/>
    <cellStyle name="Heading 1 2 2 6 3 6 2" xfId="15260"/>
    <cellStyle name="Heading 1 2 2 6 3 6 2 2" xfId="15261"/>
    <cellStyle name="Heading 1 2 2 6 3 6 2 2 2" xfId="15262"/>
    <cellStyle name="Heading 1 2 2 6 3 6 2 3" xfId="15263"/>
    <cellStyle name="Heading 1 2 2 6 3 6 3" xfId="15264"/>
    <cellStyle name="Heading 1 2 2 6 3 6 3 2" xfId="15265"/>
    <cellStyle name="Heading 1 2 2 6 3 6 3 2 2" xfId="15266"/>
    <cellStyle name="Heading 1 2 2 6 3 6 3 3" xfId="15267"/>
    <cellStyle name="Heading 1 2 2 6 3 6 4" xfId="15268"/>
    <cellStyle name="Heading 1 2 2 6 3 6 4 2" xfId="15269"/>
    <cellStyle name="Heading 1 2 2 6 3 6 4 2 2" xfId="15270"/>
    <cellStyle name="Heading 1 2 2 6 3 6 4 3" xfId="15271"/>
    <cellStyle name="Heading 1 2 2 6 3 6 5" xfId="15272"/>
    <cellStyle name="Heading 1 2 2 6 3 6 5 2" xfId="15273"/>
    <cellStyle name="Heading 1 2 2 6 3 6 5 2 2" xfId="15274"/>
    <cellStyle name="Heading 1 2 2 6 3 6 5 3" xfId="15275"/>
    <cellStyle name="Heading 1 2 2 6 3 6 6" xfId="15276"/>
    <cellStyle name="Heading 1 2 2 6 3 6 6 2" xfId="15277"/>
    <cellStyle name="Heading 1 2 2 6 3 6 6 2 2" xfId="15278"/>
    <cellStyle name="Heading 1 2 2 6 3 6 6 3" xfId="15279"/>
    <cellStyle name="Heading 1 2 2 6 3 6 7" xfId="15280"/>
    <cellStyle name="Heading 1 2 2 6 3 6 7 2" xfId="15281"/>
    <cellStyle name="Heading 1 2 2 6 3 6 7 2 2" xfId="15282"/>
    <cellStyle name="Heading 1 2 2 6 3 6 7 3" xfId="15283"/>
    <cellStyle name="Heading 1 2 2 6 3 6 8" xfId="15284"/>
    <cellStyle name="Heading 1 2 2 6 3 6 8 2" xfId="15285"/>
    <cellStyle name="Heading 1 2 2 6 3 6 9" xfId="15286"/>
    <cellStyle name="Heading 1 2 2 6 3 7" xfId="15287"/>
    <cellStyle name="Heading 1 2 2 6 3 7 2" xfId="15288"/>
    <cellStyle name="Heading 1 2 2 6 3 7 2 2" xfId="15289"/>
    <cellStyle name="Heading 1 2 2 6 3 7 2 2 2" xfId="15290"/>
    <cellStyle name="Heading 1 2 2 6 3 7 2 3" xfId="15291"/>
    <cellStyle name="Heading 1 2 2 6 3 7 3" xfId="15292"/>
    <cellStyle name="Heading 1 2 2 6 3 7 3 2" xfId="15293"/>
    <cellStyle name="Heading 1 2 2 6 3 7 3 2 2" xfId="15294"/>
    <cellStyle name="Heading 1 2 2 6 3 7 3 3" xfId="15295"/>
    <cellStyle name="Heading 1 2 2 6 3 7 4" xfId="15296"/>
    <cellStyle name="Heading 1 2 2 6 3 7 4 2" xfId="15297"/>
    <cellStyle name="Heading 1 2 2 6 3 7 4 2 2" xfId="15298"/>
    <cellStyle name="Heading 1 2 2 6 3 7 4 3" xfId="15299"/>
    <cellStyle name="Heading 1 2 2 6 3 7 5" xfId="15300"/>
    <cellStyle name="Heading 1 2 2 6 3 7 5 2" xfId="15301"/>
    <cellStyle name="Heading 1 2 2 6 3 7 5 2 2" xfId="15302"/>
    <cellStyle name="Heading 1 2 2 6 3 7 5 3" xfId="15303"/>
    <cellStyle name="Heading 1 2 2 6 3 7 6" xfId="15304"/>
    <cellStyle name="Heading 1 2 2 6 3 7 6 2" xfId="15305"/>
    <cellStyle name="Heading 1 2 2 6 3 7 6 2 2" xfId="15306"/>
    <cellStyle name="Heading 1 2 2 6 3 7 6 3" xfId="15307"/>
    <cellStyle name="Heading 1 2 2 6 3 7 7" xfId="15308"/>
    <cellStyle name="Heading 1 2 2 6 3 7 7 2" xfId="15309"/>
    <cellStyle name="Heading 1 2 2 6 3 7 7 2 2" xfId="15310"/>
    <cellStyle name="Heading 1 2 2 6 3 7 7 3" xfId="15311"/>
    <cellStyle name="Heading 1 2 2 6 3 7 8" xfId="15312"/>
    <cellStyle name="Heading 1 2 2 6 3 7 8 2" xfId="15313"/>
    <cellStyle name="Heading 1 2 2 6 3 7 9" xfId="15314"/>
    <cellStyle name="Heading 1 2 2 6 3 8" xfId="15315"/>
    <cellStyle name="Heading 1 2 2 6 3 8 2" xfId="15316"/>
    <cellStyle name="Heading 1 2 2 6 3 8 2 2" xfId="15317"/>
    <cellStyle name="Heading 1 2 2 6 3 8 2 2 2" xfId="15318"/>
    <cellStyle name="Heading 1 2 2 6 3 8 2 3" xfId="15319"/>
    <cellStyle name="Heading 1 2 2 6 3 8 3" xfId="15320"/>
    <cellStyle name="Heading 1 2 2 6 3 8 3 2" xfId="15321"/>
    <cellStyle name="Heading 1 2 2 6 3 8 3 2 2" xfId="15322"/>
    <cellStyle name="Heading 1 2 2 6 3 8 3 3" xfId="15323"/>
    <cellStyle name="Heading 1 2 2 6 3 8 4" xfId="15324"/>
    <cellStyle name="Heading 1 2 2 6 3 8 4 2" xfId="15325"/>
    <cellStyle name="Heading 1 2 2 6 3 8 4 2 2" xfId="15326"/>
    <cellStyle name="Heading 1 2 2 6 3 8 4 3" xfId="15327"/>
    <cellStyle name="Heading 1 2 2 6 3 8 5" xfId="15328"/>
    <cellStyle name="Heading 1 2 2 6 3 8 5 2" xfId="15329"/>
    <cellStyle name="Heading 1 2 2 6 3 8 5 2 2" xfId="15330"/>
    <cellStyle name="Heading 1 2 2 6 3 8 5 3" xfId="15331"/>
    <cellStyle name="Heading 1 2 2 6 3 8 6" xfId="15332"/>
    <cellStyle name="Heading 1 2 2 6 3 8 6 2" xfId="15333"/>
    <cellStyle name="Heading 1 2 2 6 3 8 6 2 2" xfId="15334"/>
    <cellStyle name="Heading 1 2 2 6 3 8 6 3" xfId="15335"/>
    <cellStyle name="Heading 1 2 2 6 3 8 7" xfId="15336"/>
    <cellStyle name="Heading 1 2 2 6 3 8 7 2" xfId="15337"/>
    <cellStyle name="Heading 1 2 2 6 3 8 7 2 2" xfId="15338"/>
    <cellStyle name="Heading 1 2 2 6 3 8 7 3" xfId="15339"/>
    <cellStyle name="Heading 1 2 2 6 3 8 8" xfId="15340"/>
    <cellStyle name="Heading 1 2 2 6 3 8 8 2" xfId="15341"/>
    <cellStyle name="Heading 1 2 2 6 3 8 9" xfId="15342"/>
    <cellStyle name="Heading 1 2 2 6 3 9" xfId="15343"/>
    <cellStyle name="Heading 1 2 2 6 3 9 2" xfId="15344"/>
    <cellStyle name="Heading 1 2 2 6 3 9 2 2" xfId="15345"/>
    <cellStyle name="Heading 1 2 2 6 3 9 3" xfId="15346"/>
    <cellStyle name="Heading 1 2 2 6 4" xfId="15347"/>
    <cellStyle name="Heading 1 2 2 6 4 2" xfId="15348"/>
    <cellStyle name="Heading 1 2 2 6 4 2 2" xfId="15349"/>
    <cellStyle name="Heading 1 2 2 6 4 3" xfId="15350"/>
    <cellStyle name="Heading 1 2 2 6 5" xfId="15351"/>
    <cellStyle name="Heading 1 2 2 6 5 2" xfId="15352"/>
    <cellStyle name="Heading 1 2 2 6 6" xfId="15353"/>
    <cellStyle name="Heading 1 2 2 7" xfId="15354"/>
    <cellStyle name="Heading 1 2 2 7 2" xfId="15355"/>
    <cellStyle name="Heading 1 2 2 7 2 10" xfId="15356"/>
    <cellStyle name="Heading 1 2 2 7 2 10 2" xfId="15357"/>
    <cellStyle name="Heading 1 2 2 7 2 10 2 2" xfId="15358"/>
    <cellStyle name="Heading 1 2 2 7 2 10 3" xfId="15359"/>
    <cellStyle name="Heading 1 2 2 7 2 11" xfId="15360"/>
    <cellStyle name="Heading 1 2 2 7 2 11 2" xfId="15361"/>
    <cellStyle name="Heading 1 2 2 7 2 11 2 2" xfId="15362"/>
    <cellStyle name="Heading 1 2 2 7 2 11 3" xfId="15363"/>
    <cellStyle name="Heading 1 2 2 7 2 12" xfId="15364"/>
    <cellStyle name="Heading 1 2 2 7 2 12 2" xfId="15365"/>
    <cellStyle name="Heading 1 2 2 7 2 12 2 2" xfId="15366"/>
    <cellStyle name="Heading 1 2 2 7 2 12 3" xfId="15367"/>
    <cellStyle name="Heading 1 2 2 7 2 13" xfId="15368"/>
    <cellStyle name="Heading 1 2 2 7 2 13 2" xfId="15369"/>
    <cellStyle name="Heading 1 2 2 7 2 13 2 2" xfId="15370"/>
    <cellStyle name="Heading 1 2 2 7 2 13 3" xfId="15371"/>
    <cellStyle name="Heading 1 2 2 7 2 14" xfId="15372"/>
    <cellStyle name="Heading 1 2 2 7 2 14 2" xfId="15373"/>
    <cellStyle name="Heading 1 2 2 7 2 14 2 2" xfId="15374"/>
    <cellStyle name="Heading 1 2 2 7 2 14 3" xfId="15375"/>
    <cellStyle name="Heading 1 2 2 7 2 15" xfId="15376"/>
    <cellStyle name="Heading 1 2 2 7 2 15 2" xfId="15377"/>
    <cellStyle name="Heading 1 2 2 7 2 15 2 2" xfId="15378"/>
    <cellStyle name="Heading 1 2 2 7 2 15 3" xfId="15379"/>
    <cellStyle name="Heading 1 2 2 7 2 16" xfId="15380"/>
    <cellStyle name="Heading 1 2 2 7 2 16 2" xfId="15381"/>
    <cellStyle name="Heading 1 2 2 7 2 16 2 2" xfId="15382"/>
    <cellStyle name="Heading 1 2 2 7 2 16 3" xfId="15383"/>
    <cellStyle name="Heading 1 2 2 7 2 17" xfId="15384"/>
    <cellStyle name="Heading 1 2 2 7 2 17 2" xfId="15385"/>
    <cellStyle name="Heading 1 2 2 7 2 17 2 2" xfId="15386"/>
    <cellStyle name="Heading 1 2 2 7 2 17 3" xfId="15387"/>
    <cellStyle name="Heading 1 2 2 7 2 18" xfId="15388"/>
    <cellStyle name="Heading 1 2 2 7 2 18 2" xfId="15389"/>
    <cellStyle name="Heading 1 2 2 7 2 18 2 2" xfId="15390"/>
    <cellStyle name="Heading 1 2 2 7 2 18 3" xfId="15391"/>
    <cellStyle name="Heading 1 2 2 7 2 19" xfId="15392"/>
    <cellStyle name="Heading 1 2 2 7 2 19 2" xfId="15393"/>
    <cellStyle name="Heading 1 2 2 7 2 19 2 2" xfId="15394"/>
    <cellStyle name="Heading 1 2 2 7 2 19 3" xfId="15395"/>
    <cellStyle name="Heading 1 2 2 7 2 2" xfId="15396"/>
    <cellStyle name="Heading 1 2 2 7 2 2 10" xfId="15397"/>
    <cellStyle name="Heading 1 2 2 7 2 2 10 2" xfId="15398"/>
    <cellStyle name="Heading 1 2 2 7 2 2 10 2 2" xfId="15399"/>
    <cellStyle name="Heading 1 2 2 7 2 2 10 3" xfId="15400"/>
    <cellStyle name="Heading 1 2 2 7 2 2 11" xfId="15401"/>
    <cellStyle name="Heading 1 2 2 7 2 2 11 2" xfId="15402"/>
    <cellStyle name="Heading 1 2 2 7 2 2 11 2 2" xfId="15403"/>
    <cellStyle name="Heading 1 2 2 7 2 2 11 3" xfId="15404"/>
    <cellStyle name="Heading 1 2 2 7 2 2 12" xfId="15405"/>
    <cellStyle name="Heading 1 2 2 7 2 2 12 2" xfId="15406"/>
    <cellStyle name="Heading 1 2 2 7 2 2 12 2 2" xfId="15407"/>
    <cellStyle name="Heading 1 2 2 7 2 2 12 3" xfId="15408"/>
    <cellStyle name="Heading 1 2 2 7 2 2 13" xfId="15409"/>
    <cellStyle name="Heading 1 2 2 7 2 2 13 2" xfId="15410"/>
    <cellStyle name="Heading 1 2 2 7 2 2 13 2 2" xfId="15411"/>
    <cellStyle name="Heading 1 2 2 7 2 2 13 3" xfId="15412"/>
    <cellStyle name="Heading 1 2 2 7 2 2 14" xfId="15413"/>
    <cellStyle name="Heading 1 2 2 7 2 2 14 2" xfId="15414"/>
    <cellStyle name="Heading 1 2 2 7 2 2 14 2 2" xfId="15415"/>
    <cellStyle name="Heading 1 2 2 7 2 2 14 3" xfId="15416"/>
    <cellStyle name="Heading 1 2 2 7 2 2 15" xfId="15417"/>
    <cellStyle name="Heading 1 2 2 7 2 2 15 2" xfId="15418"/>
    <cellStyle name="Heading 1 2 2 7 2 2 15 2 2" xfId="15419"/>
    <cellStyle name="Heading 1 2 2 7 2 2 15 3" xfId="15420"/>
    <cellStyle name="Heading 1 2 2 7 2 2 16" xfId="15421"/>
    <cellStyle name="Heading 1 2 2 7 2 2 16 2" xfId="15422"/>
    <cellStyle name="Heading 1 2 2 7 2 2 16 2 2" xfId="15423"/>
    <cellStyle name="Heading 1 2 2 7 2 2 16 3" xfId="15424"/>
    <cellStyle name="Heading 1 2 2 7 2 2 17" xfId="15425"/>
    <cellStyle name="Heading 1 2 2 7 2 2 17 2" xfId="15426"/>
    <cellStyle name="Heading 1 2 2 7 2 2 17 2 2" xfId="15427"/>
    <cellStyle name="Heading 1 2 2 7 2 2 17 3" xfId="15428"/>
    <cellStyle name="Heading 1 2 2 7 2 2 18" xfId="15429"/>
    <cellStyle name="Heading 1 2 2 7 2 2 18 2" xfId="15430"/>
    <cellStyle name="Heading 1 2 2 7 2 2 18 2 2" xfId="15431"/>
    <cellStyle name="Heading 1 2 2 7 2 2 18 3" xfId="15432"/>
    <cellStyle name="Heading 1 2 2 7 2 2 19" xfId="15433"/>
    <cellStyle name="Heading 1 2 2 7 2 2 19 2" xfId="15434"/>
    <cellStyle name="Heading 1 2 2 7 2 2 2" xfId="15435"/>
    <cellStyle name="Heading 1 2 2 7 2 2 2 2" xfId="15436"/>
    <cellStyle name="Heading 1 2 2 7 2 2 2 2 2" xfId="15437"/>
    <cellStyle name="Heading 1 2 2 7 2 2 2 2 2 2" xfId="15438"/>
    <cellStyle name="Heading 1 2 2 7 2 2 2 2 3" xfId="15439"/>
    <cellStyle name="Heading 1 2 2 7 2 2 2 3" xfId="15440"/>
    <cellStyle name="Heading 1 2 2 7 2 2 2 3 2" xfId="15441"/>
    <cellStyle name="Heading 1 2 2 7 2 2 2 3 2 2" xfId="15442"/>
    <cellStyle name="Heading 1 2 2 7 2 2 2 3 3" xfId="15443"/>
    <cellStyle name="Heading 1 2 2 7 2 2 2 4" xfId="15444"/>
    <cellStyle name="Heading 1 2 2 7 2 2 2 4 2" xfId="15445"/>
    <cellStyle name="Heading 1 2 2 7 2 2 2 4 2 2" xfId="15446"/>
    <cellStyle name="Heading 1 2 2 7 2 2 2 4 3" xfId="15447"/>
    <cellStyle name="Heading 1 2 2 7 2 2 2 5" xfId="15448"/>
    <cellStyle name="Heading 1 2 2 7 2 2 2 5 2" xfId="15449"/>
    <cellStyle name="Heading 1 2 2 7 2 2 2 5 2 2" xfId="15450"/>
    <cellStyle name="Heading 1 2 2 7 2 2 2 5 3" xfId="15451"/>
    <cellStyle name="Heading 1 2 2 7 2 2 2 6" xfId="15452"/>
    <cellStyle name="Heading 1 2 2 7 2 2 2 6 2" xfId="15453"/>
    <cellStyle name="Heading 1 2 2 7 2 2 2 6 2 2" xfId="15454"/>
    <cellStyle name="Heading 1 2 2 7 2 2 2 6 3" xfId="15455"/>
    <cellStyle name="Heading 1 2 2 7 2 2 2 7" xfId="15456"/>
    <cellStyle name="Heading 1 2 2 7 2 2 2 7 2" xfId="15457"/>
    <cellStyle name="Heading 1 2 2 7 2 2 2 7 2 2" xfId="15458"/>
    <cellStyle name="Heading 1 2 2 7 2 2 2 7 3" xfId="15459"/>
    <cellStyle name="Heading 1 2 2 7 2 2 2 8" xfId="15460"/>
    <cellStyle name="Heading 1 2 2 7 2 2 2 8 2" xfId="15461"/>
    <cellStyle name="Heading 1 2 2 7 2 2 2 9" xfId="15462"/>
    <cellStyle name="Heading 1 2 2 7 2 2 20" xfId="15463"/>
    <cellStyle name="Heading 1 2 2 7 2 2 20 2" xfId="15464"/>
    <cellStyle name="Heading 1 2 2 7 2 2 21" xfId="15465"/>
    <cellStyle name="Heading 1 2 2 7 2 2 21 2" xfId="15466"/>
    <cellStyle name="Heading 1 2 2 7 2 2 22" xfId="15467"/>
    <cellStyle name="Heading 1 2 2 7 2 2 3" xfId="15468"/>
    <cellStyle name="Heading 1 2 2 7 2 2 3 2" xfId="15469"/>
    <cellStyle name="Heading 1 2 2 7 2 2 3 2 2" xfId="15470"/>
    <cellStyle name="Heading 1 2 2 7 2 2 3 2 2 2" xfId="15471"/>
    <cellStyle name="Heading 1 2 2 7 2 2 3 2 3" xfId="15472"/>
    <cellStyle name="Heading 1 2 2 7 2 2 3 3" xfId="15473"/>
    <cellStyle name="Heading 1 2 2 7 2 2 3 3 2" xfId="15474"/>
    <cellStyle name="Heading 1 2 2 7 2 2 3 3 2 2" xfId="15475"/>
    <cellStyle name="Heading 1 2 2 7 2 2 3 3 3" xfId="15476"/>
    <cellStyle name="Heading 1 2 2 7 2 2 3 4" xfId="15477"/>
    <cellStyle name="Heading 1 2 2 7 2 2 3 4 2" xfId="15478"/>
    <cellStyle name="Heading 1 2 2 7 2 2 3 4 2 2" xfId="15479"/>
    <cellStyle name="Heading 1 2 2 7 2 2 3 4 3" xfId="15480"/>
    <cellStyle name="Heading 1 2 2 7 2 2 3 5" xfId="15481"/>
    <cellStyle name="Heading 1 2 2 7 2 2 3 5 2" xfId="15482"/>
    <cellStyle name="Heading 1 2 2 7 2 2 3 5 2 2" xfId="15483"/>
    <cellStyle name="Heading 1 2 2 7 2 2 3 5 3" xfId="15484"/>
    <cellStyle name="Heading 1 2 2 7 2 2 3 6" xfId="15485"/>
    <cellStyle name="Heading 1 2 2 7 2 2 3 6 2" xfId="15486"/>
    <cellStyle name="Heading 1 2 2 7 2 2 3 6 2 2" xfId="15487"/>
    <cellStyle name="Heading 1 2 2 7 2 2 3 6 3" xfId="15488"/>
    <cellStyle name="Heading 1 2 2 7 2 2 3 7" xfId="15489"/>
    <cellStyle name="Heading 1 2 2 7 2 2 3 7 2" xfId="15490"/>
    <cellStyle name="Heading 1 2 2 7 2 2 3 7 2 2" xfId="15491"/>
    <cellStyle name="Heading 1 2 2 7 2 2 3 7 3" xfId="15492"/>
    <cellStyle name="Heading 1 2 2 7 2 2 3 8" xfId="15493"/>
    <cellStyle name="Heading 1 2 2 7 2 2 3 8 2" xfId="15494"/>
    <cellStyle name="Heading 1 2 2 7 2 2 3 9" xfId="15495"/>
    <cellStyle name="Heading 1 2 2 7 2 2 4" xfId="15496"/>
    <cellStyle name="Heading 1 2 2 7 2 2 4 2" xfId="15497"/>
    <cellStyle name="Heading 1 2 2 7 2 2 4 2 2" xfId="15498"/>
    <cellStyle name="Heading 1 2 2 7 2 2 4 2 2 2" xfId="15499"/>
    <cellStyle name="Heading 1 2 2 7 2 2 4 2 3" xfId="15500"/>
    <cellStyle name="Heading 1 2 2 7 2 2 4 3" xfId="15501"/>
    <cellStyle name="Heading 1 2 2 7 2 2 4 3 2" xfId="15502"/>
    <cellStyle name="Heading 1 2 2 7 2 2 4 3 2 2" xfId="15503"/>
    <cellStyle name="Heading 1 2 2 7 2 2 4 3 3" xfId="15504"/>
    <cellStyle name="Heading 1 2 2 7 2 2 4 4" xfId="15505"/>
    <cellStyle name="Heading 1 2 2 7 2 2 4 4 2" xfId="15506"/>
    <cellStyle name="Heading 1 2 2 7 2 2 4 4 2 2" xfId="15507"/>
    <cellStyle name="Heading 1 2 2 7 2 2 4 4 3" xfId="15508"/>
    <cellStyle name="Heading 1 2 2 7 2 2 4 5" xfId="15509"/>
    <cellStyle name="Heading 1 2 2 7 2 2 4 5 2" xfId="15510"/>
    <cellStyle name="Heading 1 2 2 7 2 2 4 5 2 2" xfId="15511"/>
    <cellStyle name="Heading 1 2 2 7 2 2 4 5 3" xfId="15512"/>
    <cellStyle name="Heading 1 2 2 7 2 2 4 6" xfId="15513"/>
    <cellStyle name="Heading 1 2 2 7 2 2 4 6 2" xfId="15514"/>
    <cellStyle name="Heading 1 2 2 7 2 2 4 6 2 2" xfId="15515"/>
    <cellStyle name="Heading 1 2 2 7 2 2 4 6 3" xfId="15516"/>
    <cellStyle name="Heading 1 2 2 7 2 2 4 7" xfId="15517"/>
    <cellStyle name="Heading 1 2 2 7 2 2 4 7 2" xfId="15518"/>
    <cellStyle name="Heading 1 2 2 7 2 2 4 7 2 2" xfId="15519"/>
    <cellStyle name="Heading 1 2 2 7 2 2 4 7 3" xfId="15520"/>
    <cellStyle name="Heading 1 2 2 7 2 2 4 8" xfId="15521"/>
    <cellStyle name="Heading 1 2 2 7 2 2 4 8 2" xfId="15522"/>
    <cellStyle name="Heading 1 2 2 7 2 2 4 9" xfId="15523"/>
    <cellStyle name="Heading 1 2 2 7 2 2 5" xfId="15524"/>
    <cellStyle name="Heading 1 2 2 7 2 2 5 2" xfId="15525"/>
    <cellStyle name="Heading 1 2 2 7 2 2 5 2 2" xfId="15526"/>
    <cellStyle name="Heading 1 2 2 7 2 2 5 2 2 2" xfId="15527"/>
    <cellStyle name="Heading 1 2 2 7 2 2 5 2 3" xfId="15528"/>
    <cellStyle name="Heading 1 2 2 7 2 2 5 3" xfId="15529"/>
    <cellStyle name="Heading 1 2 2 7 2 2 5 3 2" xfId="15530"/>
    <cellStyle name="Heading 1 2 2 7 2 2 5 3 2 2" xfId="15531"/>
    <cellStyle name="Heading 1 2 2 7 2 2 5 3 3" xfId="15532"/>
    <cellStyle name="Heading 1 2 2 7 2 2 5 4" xfId="15533"/>
    <cellStyle name="Heading 1 2 2 7 2 2 5 4 2" xfId="15534"/>
    <cellStyle name="Heading 1 2 2 7 2 2 5 4 2 2" xfId="15535"/>
    <cellStyle name="Heading 1 2 2 7 2 2 5 4 3" xfId="15536"/>
    <cellStyle name="Heading 1 2 2 7 2 2 5 5" xfId="15537"/>
    <cellStyle name="Heading 1 2 2 7 2 2 5 5 2" xfId="15538"/>
    <cellStyle name="Heading 1 2 2 7 2 2 5 5 2 2" xfId="15539"/>
    <cellStyle name="Heading 1 2 2 7 2 2 5 5 3" xfId="15540"/>
    <cellStyle name="Heading 1 2 2 7 2 2 5 6" xfId="15541"/>
    <cellStyle name="Heading 1 2 2 7 2 2 5 6 2" xfId="15542"/>
    <cellStyle name="Heading 1 2 2 7 2 2 5 6 2 2" xfId="15543"/>
    <cellStyle name="Heading 1 2 2 7 2 2 5 6 3" xfId="15544"/>
    <cellStyle name="Heading 1 2 2 7 2 2 5 7" xfId="15545"/>
    <cellStyle name="Heading 1 2 2 7 2 2 5 7 2" xfId="15546"/>
    <cellStyle name="Heading 1 2 2 7 2 2 5 7 2 2" xfId="15547"/>
    <cellStyle name="Heading 1 2 2 7 2 2 5 7 3" xfId="15548"/>
    <cellStyle name="Heading 1 2 2 7 2 2 5 8" xfId="15549"/>
    <cellStyle name="Heading 1 2 2 7 2 2 5 8 2" xfId="15550"/>
    <cellStyle name="Heading 1 2 2 7 2 2 5 9" xfId="15551"/>
    <cellStyle name="Heading 1 2 2 7 2 2 6" xfId="15552"/>
    <cellStyle name="Heading 1 2 2 7 2 2 6 2" xfId="15553"/>
    <cellStyle name="Heading 1 2 2 7 2 2 6 2 2" xfId="15554"/>
    <cellStyle name="Heading 1 2 2 7 2 2 6 2 2 2" xfId="15555"/>
    <cellStyle name="Heading 1 2 2 7 2 2 6 2 3" xfId="15556"/>
    <cellStyle name="Heading 1 2 2 7 2 2 6 3" xfId="15557"/>
    <cellStyle name="Heading 1 2 2 7 2 2 6 3 2" xfId="15558"/>
    <cellStyle name="Heading 1 2 2 7 2 2 6 3 2 2" xfId="15559"/>
    <cellStyle name="Heading 1 2 2 7 2 2 6 3 3" xfId="15560"/>
    <cellStyle name="Heading 1 2 2 7 2 2 6 4" xfId="15561"/>
    <cellStyle name="Heading 1 2 2 7 2 2 6 4 2" xfId="15562"/>
    <cellStyle name="Heading 1 2 2 7 2 2 6 4 2 2" xfId="15563"/>
    <cellStyle name="Heading 1 2 2 7 2 2 6 4 3" xfId="15564"/>
    <cellStyle name="Heading 1 2 2 7 2 2 6 5" xfId="15565"/>
    <cellStyle name="Heading 1 2 2 7 2 2 6 5 2" xfId="15566"/>
    <cellStyle name="Heading 1 2 2 7 2 2 6 5 2 2" xfId="15567"/>
    <cellStyle name="Heading 1 2 2 7 2 2 6 5 3" xfId="15568"/>
    <cellStyle name="Heading 1 2 2 7 2 2 6 6" xfId="15569"/>
    <cellStyle name="Heading 1 2 2 7 2 2 6 6 2" xfId="15570"/>
    <cellStyle name="Heading 1 2 2 7 2 2 6 6 2 2" xfId="15571"/>
    <cellStyle name="Heading 1 2 2 7 2 2 6 6 3" xfId="15572"/>
    <cellStyle name="Heading 1 2 2 7 2 2 6 7" xfId="15573"/>
    <cellStyle name="Heading 1 2 2 7 2 2 6 7 2" xfId="15574"/>
    <cellStyle name="Heading 1 2 2 7 2 2 6 7 2 2" xfId="15575"/>
    <cellStyle name="Heading 1 2 2 7 2 2 6 7 3" xfId="15576"/>
    <cellStyle name="Heading 1 2 2 7 2 2 6 8" xfId="15577"/>
    <cellStyle name="Heading 1 2 2 7 2 2 6 8 2" xfId="15578"/>
    <cellStyle name="Heading 1 2 2 7 2 2 6 9" xfId="15579"/>
    <cellStyle name="Heading 1 2 2 7 2 2 7" xfId="15580"/>
    <cellStyle name="Heading 1 2 2 7 2 2 7 2" xfId="15581"/>
    <cellStyle name="Heading 1 2 2 7 2 2 7 2 2" xfId="15582"/>
    <cellStyle name="Heading 1 2 2 7 2 2 7 2 2 2" xfId="15583"/>
    <cellStyle name="Heading 1 2 2 7 2 2 7 2 3" xfId="15584"/>
    <cellStyle name="Heading 1 2 2 7 2 2 7 3" xfId="15585"/>
    <cellStyle name="Heading 1 2 2 7 2 2 7 3 2" xfId="15586"/>
    <cellStyle name="Heading 1 2 2 7 2 2 7 3 2 2" xfId="15587"/>
    <cellStyle name="Heading 1 2 2 7 2 2 7 3 3" xfId="15588"/>
    <cellStyle name="Heading 1 2 2 7 2 2 7 4" xfId="15589"/>
    <cellStyle name="Heading 1 2 2 7 2 2 7 4 2" xfId="15590"/>
    <cellStyle name="Heading 1 2 2 7 2 2 7 4 2 2" xfId="15591"/>
    <cellStyle name="Heading 1 2 2 7 2 2 7 4 3" xfId="15592"/>
    <cellStyle name="Heading 1 2 2 7 2 2 7 5" xfId="15593"/>
    <cellStyle name="Heading 1 2 2 7 2 2 7 5 2" xfId="15594"/>
    <cellStyle name="Heading 1 2 2 7 2 2 7 5 2 2" xfId="15595"/>
    <cellStyle name="Heading 1 2 2 7 2 2 7 5 3" xfId="15596"/>
    <cellStyle name="Heading 1 2 2 7 2 2 7 6" xfId="15597"/>
    <cellStyle name="Heading 1 2 2 7 2 2 7 6 2" xfId="15598"/>
    <cellStyle name="Heading 1 2 2 7 2 2 7 6 2 2" xfId="15599"/>
    <cellStyle name="Heading 1 2 2 7 2 2 7 6 3" xfId="15600"/>
    <cellStyle name="Heading 1 2 2 7 2 2 7 7" xfId="15601"/>
    <cellStyle name="Heading 1 2 2 7 2 2 7 7 2" xfId="15602"/>
    <cellStyle name="Heading 1 2 2 7 2 2 7 7 2 2" xfId="15603"/>
    <cellStyle name="Heading 1 2 2 7 2 2 7 7 3" xfId="15604"/>
    <cellStyle name="Heading 1 2 2 7 2 2 7 8" xfId="15605"/>
    <cellStyle name="Heading 1 2 2 7 2 2 7 8 2" xfId="15606"/>
    <cellStyle name="Heading 1 2 2 7 2 2 7 9" xfId="15607"/>
    <cellStyle name="Heading 1 2 2 7 2 2 8" xfId="15608"/>
    <cellStyle name="Heading 1 2 2 7 2 2 8 2" xfId="15609"/>
    <cellStyle name="Heading 1 2 2 7 2 2 8 2 2" xfId="15610"/>
    <cellStyle name="Heading 1 2 2 7 2 2 8 2 2 2" xfId="15611"/>
    <cellStyle name="Heading 1 2 2 7 2 2 8 2 3" xfId="15612"/>
    <cellStyle name="Heading 1 2 2 7 2 2 8 3" xfId="15613"/>
    <cellStyle name="Heading 1 2 2 7 2 2 8 3 2" xfId="15614"/>
    <cellStyle name="Heading 1 2 2 7 2 2 8 3 2 2" xfId="15615"/>
    <cellStyle name="Heading 1 2 2 7 2 2 8 3 3" xfId="15616"/>
    <cellStyle name="Heading 1 2 2 7 2 2 8 4" xfId="15617"/>
    <cellStyle name="Heading 1 2 2 7 2 2 8 4 2" xfId="15618"/>
    <cellStyle name="Heading 1 2 2 7 2 2 8 4 2 2" xfId="15619"/>
    <cellStyle name="Heading 1 2 2 7 2 2 8 4 3" xfId="15620"/>
    <cellStyle name="Heading 1 2 2 7 2 2 8 5" xfId="15621"/>
    <cellStyle name="Heading 1 2 2 7 2 2 8 5 2" xfId="15622"/>
    <cellStyle name="Heading 1 2 2 7 2 2 8 5 2 2" xfId="15623"/>
    <cellStyle name="Heading 1 2 2 7 2 2 8 5 3" xfId="15624"/>
    <cellStyle name="Heading 1 2 2 7 2 2 8 6" xfId="15625"/>
    <cellStyle name="Heading 1 2 2 7 2 2 8 6 2" xfId="15626"/>
    <cellStyle name="Heading 1 2 2 7 2 2 8 6 2 2" xfId="15627"/>
    <cellStyle name="Heading 1 2 2 7 2 2 8 6 3" xfId="15628"/>
    <cellStyle name="Heading 1 2 2 7 2 2 8 7" xfId="15629"/>
    <cellStyle name="Heading 1 2 2 7 2 2 8 7 2" xfId="15630"/>
    <cellStyle name="Heading 1 2 2 7 2 2 8 7 2 2" xfId="15631"/>
    <cellStyle name="Heading 1 2 2 7 2 2 8 7 3" xfId="15632"/>
    <cellStyle name="Heading 1 2 2 7 2 2 8 8" xfId="15633"/>
    <cellStyle name="Heading 1 2 2 7 2 2 8 8 2" xfId="15634"/>
    <cellStyle name="Heading 1 2 2 7 2 2 8 9" xfId="15635"/>
    <cellStyle name="Heading 1 2 2 7 2 2 9" xfId="15636"/>
    <cellStyle name="Heading 1 2 2 7 2 2 9 2" xfId="15637"/>
    <cellStyle name="Heading 1 2 2 7 2 2 9 2 2" xfId="15638"/>
    <cellStyle name="Heading 1 2 2 7 2 2 9 3" xfId="15639"/>
    <cellStyle name="Heading 1 2 2 7 2 20" xfId="15640"/>
    <cellStyle name="Heading 1 2 2 7 2 20 2" xfId="15641"/>
    <cellStyle name="Heading 1 2 2 7 2 21" xfId="15642"/>
    <cellStyle name="Heading 1 2 2 7 2 21 2" xfId="15643"/>
    <cellStyle name="Heading 1 2 2 7 2 22" xfId="15644"/>
    <cellStyle name="Heading 1 2 2 7 2 22 2" xfId="15645"/>
    <cellStyle name="Heading 1 2 2 7 2 23" xfId="15646"/>
    <cellStyle name="Heading 1 2 2 7 2 3" xfId="15647"/>
    <cellStyle name="Heading 1 2 2 7 2 3 2" xfId="15648"/>
    <cellStyle name="Heading 1 2 2 7 2 3 2 2" xfId="15649"/>
    <cellStyle name="Heading 1 2 2 7 2 3 2 2 2" xfId="15650"/>
    <cellStyle name="Heading 1 2 2 7 2 3 2 3" xfId="15651"/>
    <cellStyle name="Heading 1 2 2 7 2 3 3" xfId="15652"/>
    <cellStyle name="Heading 1 2 2 7 2 3 3 2" xfId="15653"/>
    <cellStyle name="Heading 1 2 2 7 2 3 3 2 2" xfId="15654"/>
    <cellStyle name="Heading 1 2 2 7 2 3 3 3" xfId="15655"/>
    <cellStyle name="Heading 1 2 2 7 2 3 4" xfId="15656"/>
    <cellStyle name="Heading 1 2 2 7 2 3 4 2" xfId="15657"/>
    <cellStyle name="Heading 1 2 2 7 2 3 4 2 2" xfId="15658"/>
    <cellStyle name="Heading 1 2 2 7 2 3 4 3" xfId="15659"/>
    <cellStyle name="Heading 1 2 2 7 2 3 5" xfId="15660"/>
    <cellStyle name="Heading 1 2 2 7 2 3 5 2" xfId="15661"/>
    <cellStyle name="Heading 1 2 2 7 2 3 5 2 2" xfId="15662"/>
    <cellStyle name="Heading 1 2 2 7 2 3 5 3" xfId="15663"/>
    <cellStyle name="Heading 1 2 2 7 2 3 6" xfId="15664"/>
    <cellStyle name="Heading 1 2 2 7 2 3 6 2" xfId="15665"/>
    <cellStyle name="Heading 1 2 2 7 2 3 6 2 2" xfId="15666"/>
    <cellStyle name="Heading 1 2 2 7 2 3 6 3" xfId="15667"/>
    <cellStyle name="Heading 1 2 2 7 2 3 7" xfId="15668"/>
    <cellStyle name="Heading 1 2 2 7 2 3 7 2" xfId="15669"/>
    <cellStyle name="Heading 1 2 2 7 2 3 7 2 2" xfId="15670"/>
    <cellStyle name="Heading 1 2 2 7 2 3 7 3" xfId="15671"/>
    <cellStyle name="Heading 1 2 2 7 2 3 8" xfId="15672"/>
    <cellStyle name="Heading 1 2 2 7 2 3 8 2" xfId="15673"/>
    <cellStyle name="Heading 1 2 2 7 2 3 9" xfId="15674"/>
    <cellStyle name="Heading 1 2 2 7 2 4" xfId="15675"/>
    <cellStyle name="Heading 1 2 2 7 2 4 2" xfId="15676"/>
    <cellStyle name="Heading 1 2 2 7 2 4 2 2" xfId="15677"/>
    <cellStyle name="Heading 1 2 2 7 2 4 2 2 2" xfId="15678"/>
    <cellStyle name="Heading 1 2 2 7 2 4 2 3" xfId="15679"/>
    <cellStyle name="Heading 1 2 2 7 2 4 3" xfId="15680"/>
    <cellStyle name="Heading 1 2 2 7 2 4 3 2" xfId="15681"/>
    <cellStyle name="Heading 1 2 2 7 2 4 3 2 2" xfId="15682"/>
    <cellStyle name="Heading 1 2 2 7 2 4 3 3" xfId="15683"/>
    <cellStyle name="Heading 1 2 2 7 2 4 4" xfId="15684"/>
    <cellStyle name="Heading 1 2 2 7 2 4 4 2" xfId="15685"/>
    <cellStyle name="Heading 1 2 2 7 2 4 4 2 2" xfId="15686"/>
    <cellStyle name="Heading 1 2 2 7 2 4 4 3" xfId="15687"/>
    <cellStyle name="Heading 1 2 2 7 2 4 5" xfId="15688"/>
    <cellStyle name="Heading 1 2 2 7 2 4 5 2" xfId="15689"/>
    <cellStyle name="Heading 1 2 2 7 2 4 5 2 2" xfId="15690"/>
    <cellStyle name="Heading 1 2 2 7 2 4 5 3" xfId="15691"/>
    <cellStyle name="Heading 1 2 2 7 2 4 6" xfId="15692"/>
    <cellStyle name="Heading 1 2 2 7 2 4 6 2" xfId="15693"/>
    <cellStyle name="Heading 1 2 2 7 2 4 6 2 2" xfId="15694"/>
    <cellStyle name="Heading 1 2 2 7 2 4 6 3" xfId="15695"/>
    <cellStyle name="Heading 1 2 2 7 2 4 7" xfId="15696"/>
    <cellStyle name="Heading 1 2 2 7 2 4 7 2" xfId="15697"/>
    <cellStyle name="Heading 1 2 2 7 2 4 7 2 2" xfId="15698"/>
    <cellStyle name="Heading 1 2 2 7 2 4 7 3" xfId="15699"/>
    <cellStyle name="Heading 1 2 2 7 2 4 8" xfId="15700"/>
    <cellStyle name="Heading 1 2 2 7 2 4 8 2" xfId="15701"/>
    <cellStyle name="Heading 1 2 2 7 2 4 9" xfId="15702"/>
    <cellStyle name="Heading 1 2 2 7 2 5" xfId="15703"/>
    <cellStyle name="Heading 1 2 2 7 2 5 2" xfId="15704"/>
    <cellStyle name="Heading 1 2 2 7 2 5 2 2" xfId="15705"/>
    <cellStyle name="Heading 1 2 2 7 2 5 2 2 2" xfId="15706"/>
    <cellStyle name="Heading 1 2 2 7 2 5 2 3" xfId="15707"/>
    <cellStyle name="Heading 1 2 2 7 2 5 3" xfId="15708"/>
    <cellStyle name="Heading 1 2 2 7 2 5 3 2" xfId="15709"/>
    <cellStyle name="Heading 1 2 2 7 2 5 3 2 2" xfId="15710"/>
    <cellStyle name="Heading 1 2 2 7 2 5 3 3" xfId="15711"/>
    <cellStyle name="Heading 1 2 2 7 2 5 4" xfId="15712"/>
    <cellStyle name="Heading 1 2 2 7 2 5 4 2" xfId="15713"/>
    <cellStyle name="Heading 1 2 2 7 2 5 4 2 2" xfId="15714"/>
    <cellStyle name="Heading 1 2 2 7 2 5 4 3" xfId="15715"/>
    <cellStyle name="Heading 1 2 2 7 2 5 5" xfId="15716"/>
    <cellStyle name="Heading 1 2 2 7 2 5 5 2" xfId="15717"/>
    <cellStyle name="Heading 1 2 2 7 2 5 5 2 2" xfId="15718"/>
    <cellStyle name="Heading 1 2 2 7 2 5 5 3" xfId="15719"/>
    <cellStyle name="Heading 1 2 2 7 2 5 6" xfId="15720"/>
    <cellStyle name="Heading 1 2 2 7 2 5 6 2" xfId="15721"/>
    <cellStyle name="Heading 1 2 2 7 2 5 6 2 2" xfId="15722"/>
    <cellStyle name="Heading 1 2 2 7 2 5 6 3" xfId="15723"/>
    <cellStyle name="Heading 1 2 2 7 2 5 7" xfId="15724"/>
    <cellStyle name="Heading 1 2 2 7 2 5 7 2" xfId="15725"/>
    <cellStyle name="Heading 1 2 2 7 2 5 7 2 2" xfId="15726"/>
    <cellStyle name="Heading 1 2 2 7 2 5 7 3" xfId="15727"/>
    <cellStyle name="Heading 1 2 2 7 2 5 8" xfId="15728"/>
    <cellStyle name="Heading 1 2 2 7 2 5 8 2" xfId="15729"/>
    <cellStyle name="Heading 1 2 2 7 2 5 9" xfId="15730"/>
    <cellStyle name="Heading 1 2 2 7 2 6" xfId="15731"/>
    <cellStyle name="Heading 1 2 2 7 2 6 2" xfId="15732"/>
    <cellStyle name="Heading 1 2 2 7 2 6 2 2" xfId="15733"/>
    <cellStyle name="Heading 1 2 2 7 2 6 2 2 2" xfId="15734"/>
    <cellStyle name="Heading 1 2 2 7 2 6 2 3" xfId="15735"/>
    <cellStyle name="Heading 1 2 2 7 2 6 3" xfId="15736"/>
    <cellStyle name="Heading 1 2 2 7 2 6 3 2" xfId="15737"/>
    <cellStyle name="Heading 1 2 2 7 2 6 3 2 2" xfId="15738"/>
    <cellStyle name="Heading 1 2 2 7 2 6 3 3" xfId="15739"/>
    <cellStyle name="Heading 1 2 2 7 2 6 4" xfId="15740"/>
    <cellStyle name="Heading 1 2 2 7 2 6 4 2" xfId="15741"/>
    <cellStyle name="Heading 1 2 2 7 2 6 4 2 2" xfId="15742"/>
    <cellStyle name="Heading 1 2 2 7 2 6 4 3" xfId="15743"/>
    <cellStyle name="Heading 1 2 2 7 2 6 5" xfId="15744"/>
    <cellStyle name="Heading 1 2 2 7 2 6 5 2" xfId="15745"/>
    <cellStyle name="Heading 1 2 2 7 2 6 5 2 2" xfId="15746"/>
    <cellStyle name="Heading 1 2 2 7 2 6 5 3" xfId="15747"/>
    <cellStyle name="Heading 1 2 2 7 2 6 6" xfId="15748"/>
    <cellStyle name="Heading 1 2 2 7 2 6 6 2" xfId="15749"/>
    <cellStyle name="Heading 1 2 2 7 2 6 6 2 2" xfId="15750"/>
    <cellStyle name="Heading 1 2 2 7 2 6 6 3" xfId="15751"/>
    <cellStyle name="Heading 1 2 2 7 2 6 7" xfId="15752"/>
    <cellStyle name="Heading 1 2 2 7 2 6 7 2" xfId="15753"/>
    <cellStyle name="Heading 1 2 2 7 2 6 7 2 2" xfId="15754"/>
    <cellStyle name="Heading 1 2 2 7 2 6 7 3" xfId="15755"/>
    <cellStyle name="Heading 1 2 2 7 2 6 8" xfId="15756"/>
    <cellStyle name="Heading 1 2 2 7 2 6 8 2" xfId="15757"/>
    <cellStyle name="Heading 1 2 2 7 2 6 9" xfId="15758"/>
    <cellStyle name="Heading 1 2 2 7 2 7" xfId="15759"/>
    <cellStyle name="Heading 1 2 2 7 2 7 2" xfId="15760"/>
    <cellStyle name="Heading 1 2 2 7 2 7 2 2" xfId="15761"/>
    <cellStyle name="Heading 1 2 2 7 2 7 2 2 2" xfId="15762"/>
    <cellStyle name="Heading 1 2 2 7 2 7 2 3" xfId="15763"/>
    <cellStyle name="Heading 1 2 2 7 2 7 3" xfId="15764"/>
    <cellStyle name="Heading 1 2 2 7 2 7 3 2" xfId="15765"/>
    <cellStyle name="Heading 1 2 2 7 2 7 3 2 2" xfId="15766"/>
    <cellStyle name="Heading 1 2 2 7 2 7 3 3" xfId="15767"/>
    <cellStyle name="Heading 1 2 2 7 2 7 4" xfId="15768"/>
    <cellStyle name="Heading 1 2 2 7 2 7 4 2" xfId="15769"/>
    <cellStyle name="Heading 1 2 2 7 2 7 4 2 2" xfId="15770"/>
    <cellStyle name="Heading 1 2 2 7 2 7 4 3" xfId="15771"/>
    <cellStyle name="Heading 1 2 2 7 2 7 5" xfId="15772"/>
    <cellStyle name="Heading 1 2 2 7 2 7 5 2" xfId="15773"/>
    <cellStyle name="Heading 1 2 2 7 2 7 5 2 2" xfId="15774"/>
    <cellStyle name="Heading 1 2 2 7 2 7 5 3" xfId="15775"/>
    <cellStyle name="Heading 1 2 2 7 2 7 6" xfId="15776"/>
    <cellStyle name="Heading 1 2 2 7 2 7 6 2" xfId="15777"/>
    <cellStyle name="Heading 1 2 2 7 2 7 6 2 2" xfId="15778"/>
    <cellStyle name="Heading 1 2 2 7 2 7 6 3" xfId="15779"/>
    <cellStyle name="Heading 1 2 2 7 2 7 7" xfId="15780"/>
    <cellStyle name="Heading 1 2 2 7 2 7 7 2" xfId="15781"/>
    <cellStyle name="Heading 1 2 2 7 2 7 7 2 2" xfId="15782"/>
    <cellStyle name="Heading 1 2 2 7 2 7 7 3" xfId="15783"/>
    <cellStyle name="Heading 1 2 2 7 2 7 8" xfId="15784"/>
    <cellStyle name="Heading 1 2 2 7 2 7 8 2" xfId="15785"/>
    <cellStyle name="Heading 1 2 2 7 2 7 9" xfId="15786"/>
    <cellStyle name="Heading 1 2 2 7 2 8" xfId="15787"/>
    <cellStyle name="Heading 1 2 2 7 2 8 2" xfId="15788"/>
    <cellStyle name="Heading 1 2 2 7 2 8 2 2" xfId="15789"/>
    <cellStyle name="Heading 1 2 2 7 2 8 2 2 2" xfId="15790"/>
    <cellStyle name="Heading 1 2 2 7 2 8 2 3" xfId="15791"/>
    <cellStyle name="Heading 1 2 2 7 2 8 3" xfId="15792"/>
    <cellStyle name="Heading 1 2 2 7 2 8 3 2" xfId="15793"/>
    <cellStyle name="Heading 1 2 2 7 2 8 3 2 2" xfId="15794"/>
    <cellStyle name="Heading 1 2 2 7 2 8 3 3" xfId="15795"/>
    <cellStyle name="Heading 1 2 2 7 2 8 4" xfId="15796"/>
    <cellStyle name="Heading 1 2 2 7 2 8 4 2" xfId="15797"/>
    <cellStyle name="Heading 1 2 2 7 2 8 4 2 2" xfId="15798"/>
    <cellStyle name="Heading 1 2 2 7 2 8 4 3" xfId="15799"/>
    <cellStyle name="Heading 1 2 2 7 2 8 5" xfId="15800"/>
    <cellStyle name="Heading 1 2 2 7 2 8 5 2" xfId="15801"/>
    <cellStyle name="Heading 1 2 2 7 2 8 5 2 2" xfId="15802"/>
    <cellStyle name="Heading 1 2 2 7 2 8 5 3" xfId="15803"/>
    <cellStyle name="Heading 1 2 2 7 2 8 6" xfId="15804"/>
    <cellStyle name="Heading 1 2 2 7 2 8 6 2" xfId="15805"/>
    <cellStyle name="Heading 1 2 2 7 2 8 6 2 2" xfId="15806"/>
    <cellStyle name="Heading 1 2 2 7 2 8 6 3" xfId="15807"/>
    <cellStyle name="Heading 1 2 2 7 2 8 7" xfId="15808"/>
    <cellStyle name="Heading 1 2 2 7 2 8 7 2" xfId="15809"/>
    <cellStyle name="Heading 1 2 2 7 2 8 7 2 2" xfId="15810"/>
    <cellStyle name="Heading 1 2 2 7 2 8 7 3" xfId="15811"/>
    <cellStyle name="Heading 1 2 2 7 2 8 8" xfId="15812"/>
    <cellStyle name="Heading 1 2 2 7 2 8 8 2" xfId="15813"/>
    <cellStyle name="Heading 1 2 2 7 2 8 9" xfId="15814"/>
    <cellStyle name="Heading 1 2 2 7 2 9" xfId="15815"/>
    <cellStyle name="Heading 1 2 2 7 2 9 2" xfId="15816"/>
    <cellStyle name="Heading 1 2 2 7 2 9 2 2" xfId="15817"/>
    <cellStyle name="Heading 1 2 2 7 2 9 2 2 2" xfId="15818"/>
    <cellStyle name="Heading 1 2 2 7 2 9 2 3" xfId="15819"/>
    <cellStyle name="Heading 1 2 2 7 2 9 3" xfId="15820"/>
    <cellStyle name="Heading 1 2 2 7 2 9 3 2" xfId="15821"/>
    <cellStyle name="Heading 1 2 2 7 2 9 3 2 2" xfId="15822"/>
    <cellStyle name="Heading 1 2 2 7 2 9 3 3" xfId="15823"/>
    <cellStyle name="Heading 1 2 2 7 2 9 4" xfId="15824"/>
    <cellStyle name="Heading 1 2 2 7 2 9 4 2" xfId="15825"/>
    <cellStyle name="Heading 1 2 2 7 2 9 4 2 2" xfId="15826"/>
    <cellStyle name="Heading 1 2 2 7 2 9 4 3" xfId="15827"/>
    <cellStyle name="Heading 1 2 2 7 2 9 5" xfId="15828"/>
    <cellStyle name="Heading 1 2 2 7 2 9 5 2" xfId="15829"/>
    <cellStyle name="Heading 1 2 2 7 2 9 5 2 2" xfId="15830"/>
    <cellStyle name="Heading 1 2 2 7 2 9 5 3" xfId="15831"/>
    <cellStyle name="Heading 1 2 2 7 2 9 6" xfId="15832"/>
    <cellStyle name="Heading 1 2 2 7 2 9 6 2" xfId="15833"/>
    <cellStyle name="Heading 1 2 2 7 2 9 6 2 2" xfId="15834"/>
    <cellStyle name="Heading 1 2 2 7 2 9 6 3" xfId="15835"/>
    <cellStyle name="Heading 1 2 2 7 2 9 7" xfId="15836"/>
    <cellStyle name="Heading 1 2 2 7 2 9 7 2" xfId="15837"/>
    <cellStyle name="Heading 1 2 2 7 2 9 7 2 2" xfId="15838"/>
    <cellStyle name="Heading 1 2 2 7 2 9 7 3" xfId="15839"/>
    <cellStyle name="Heading 1 2 2 7 2 9 8" xfId="15840"/>
    <cellStyle name="Heading 1 2 2 7 2 9 8 2" xfId="15841"/>
    <cellStyle name="Heading 1 2 2 7 2 9 9" xfId="15842"/>
    <cellStyle name="Heading 1 2 2 7 3" xfId="15843"/>
    <cellStyle name="Heading 1 2 2 7 3 10" xfId="15844"/>
    <cellStyle name="Heading 1 2 2 7 3 10 2" xfId="15845"/>
    <cellStyle name="Heading 1 2 2 7 3 10 2 2" xfId="15846"/>
    <cellStyle name="Heading 1 2 2 7 3 10 3" xfId="15847"/>
    <cellStyle name="Heading 1 2 2 7 3 11" xfId="15848"/>
    <cellStyle name="Heading 1 2 2 7 3 11 2" xfId="15849"/>
    <cellStyle name="Heading 1 2 2 7 3 11 2 2" xfId="15850"/>
    <cellStyle name="Heading 1 2 2 7 3 11 3" xfId="15851"/>
    <cellStyle name="Heading 1 2 2 7 3 12" xfId="15852"/>
    <cellStyle name="Heading 1 2 2 7 3 12 2" xfId="15853"/>
    <cellStyle name="Heading 1 2 2 7 3 12 2 2" xfId="15854"/>
    <cellStyle name="Heading 1 2 2 7 3 12 3" xfId="15855"/>
    <cellStyle name="Heading 1 2 2 7 3 13" xfId="15856"/>
    <cellStyle name="Heading 1 2 2 7 3 13 2" xfId="15857"/>
    <cellStyle name="Heading 1 2 2 7 3 13 2 2" xfId="15858"/>
    <cellStyle name="Heading 1 2 2 7 3 13 3" xfId="15859"/>
    <cellStyle name="Heading 1 2 2 7 3 14" xfId="15860"/>
    <cellStyle name="Heading 1 2 2 7 3 14 2" xfId="15861"/>
    <cellStyle name="Heading 1 2 2 7 3 14 2 2" xfId="15862"/>
    <cellStyle name="Heading 1 2 2 7 3 14 3" xfId="15863"/>
    <cellStyle name="Heading 1 2 2 7 3 15" xfId="15864"/>
    <cellStyle name="Heading 1 2 2 7 3 15 2" xfId="15865"/>
    <cellStyle name="Heading 1 2 2 7 3 15 2 2" xfId="15866"/>
    <cellStyle name="Heading 1 2 2 7 3 15 3" xfId="15867"/>
    <cellStyle name="Heading 1 2 2 7 3 16" xfId="15868"/>
    <cellStyle name="Heading 1 2 2 7 3 16 2" xfId="15869"/>
    <cellStyle name="Heading 1 2 2 7 3 16 2 2" xfId="15870"/>
    <cellStyle name="Heading 1 2 2 7 3 16 3" xfId="15871"/>
    <cellStyle name="Heading 1 2 2 7 3 17" xfId="15872"/>
    <cellStyle name="Heading 1 2 2 7 3 17 2" xfId="15873"/>
    <cellStyle name="Heading 1 2 2 7 3 17 2 2" xfId="15874"/>
    <cellStyle name="Heading 1 2 2 7 3 17 3" xfId="15875"/>
    <cellStyle name="Heading 1 2 2 7 3 18" xfId="15876"/>
    <cellStyle name="Heading 1 2 2 7 3 18 2" xfId="15877"/>
    <cellStyle name="Heading 1 2 2 7 3 18 2 2" xfId="15878"/>
    <cellStyle name="Heading 1 2 2 7 3 18 3" xfId="15879"/>
    <cellStyle name="Heading 1 2 2 7 3 19" xfId="15880"/>
    <cellStyle name="Heading 1 2 2 7 3 19 2" xfId="15881"/>
    <cellStyle name="Heading 1 2 2 7 3 2" xfId="15882"/>
    <cellStyle name="Heading 1 2 2 7 3 2 2" xfId="15883"/>
    <cellStyle name="Heading 1 2 2 7 3 2 2 2" xfId="15884"/>
    <cellStyle name="Heading 1 2 2 7 3 2 2 2 2" xfId="15885"/>
    <cellStyle name="Heading 1 2 2 7 3 2 2 3" xfId="15886"/>
    <cellStyle name="Heading 1 2 2 7 3 2 3" xfId="15887"/>
    <cellStyle name="Heading 1 2 2 7 3 2 3 2" xfId="15888"/>
    <cellStyle name="Heading 1 2 2 7 3 2 3 2 2" xfId="15889"/>
    <cellStyle name="Heading 1 2 2 7 3 2 3 3" xfId="15890"/>
    <cellStyle name="Heading 1 2 2 7 3 2 4" xfId="15891"/>
    <cellStyle name="Heading 1 2 2 7 3 2 4 2" xfId="15892"/>
    <cellStyle name="Heading 1 2 2 7 3 2 4 2 2" xfId="15893"/>
    <cellStyle name="Heading 1 2 2 7 3 2 4 3" xfId="15894"/>
    <cellStyle name="Heading 1 2 2 7 3 2 5" xfId="15895"/>
    <cellStyle name="Heading 1 2 2 7 3 2 5 2" xfId="15896"/>
    <cellStyle name="Heading 1 2 2 7 3 2 5 2 2" xfId="15897"/>
    <cellStyle name="Heading 1 2 2 7 3 2 5 3" xfId="15898"/>
    <cellStyle name="Heading 1 2 2 7 3 2 6" xfId="15899"/>
    <cellStyle name="Heading 1 2 2 7 3 2 6 2" xfId="15900"/>
    <cellStyle name="Heading 1 2 2 7 3 2 6 2 2" xfId="15901"/>
    <cellStyle name="Heading 1 2 2 7 3 2 6 3" xfId="15902"/>
    <cellStyle name="Heading 1 2 2 7 3 2 7" xfId="15903"/>
    <cellStyle name="Heading 1 2 2 7 3 2 7 2" xfId="15904"/>
    <cellStyle name="Heading 1 2 2 7 3 2 7 2 2" xfId="15905"/>
    <cellStyle name="Heading 1 2 2 7 3 2 7 3" xfId="15906"/>
    <cellStyle name="Heading 1 2 2 7 3 2 8" xfId="15907"/>
    <cellStyle name="Heading 1 2 2 7 3 2 8 2" xfId="15908"/>
    <cellStyle name="Heading 1 2 2 7 3 2 9" xfId="15909"/>
    <cellStyle name="Heading 1 2 2 7 3 20" xfId="15910"/>
    <cellStyle name="Heading 1 2 2 7 3 20 2" xfId="15911"/>
    <cellStyle name="Heading 1 2 2 7 3 21" xfId="15912"/>
    <cellStyle name="Heading 1 2 2 7 3 21 2" xfId="15913"/>
    <cellStyle name="Heading 1 2 2 7 3 22" xfId="15914"/>
    <cellStyle name="Heading 1 2 2 7 3 3" xfId="15915"/>
    <cellStyle name="Heading 1 2 2 7 3 3 2" xfId="15916"/>
    <cellStyle name="Heading 1 2 2 7 3 3 2 2" xfId="15917"/>
    <cellStyle name="Heading 1 2 2 7 3 3 2 2 2" xfId="15918"/>
    <cellStyle name="Heading 1 2 2 7 3 3 2 3" xfId="15919"/>
    <cellStyle name="Heading 1 2 2 7 3 3 3" xfId="15920"/>
    <cellStyle name="Heading 1 2 2 7 3 3 3 2" xfId="15921"/>
    <cellStyle name="Heading 1 2 2 7 3 3 3 2 2" xfId="15922"/>
    <cellStyle name="Heading 1 2 2 7 3 3 3 3" xfId="15923"/>
    <cellStyle name="Heading 1 2 2 7 3 3 4" xfId="15924"/>
    <cellStyle name="Heading 1 2 2 7 3 3 4 2" xfId="15925"/>
    <cellStyle name="Heading 1 2 2 7 3 3 4 2 2" xfId="15926"/>
    <cellStyle name="Heading 1 2 2 7 3 3 4 3" xfId="15927"/>
    <cellStyle name="Heading 1 2 2 7 3 3 5" xfId="15928"/>
    <cellStyle name="Heading 1 2 2 7 3 3 5 2" xfId="15929"/>
    <cellStyle name="Heading 1 2 2 7 3 3 5 2 2" xfId="15930"/>
    <cellStyle name="Heading 1 2 2 7 3 3 5 3" xfId="15931"/>
    <cellStyle name="Heading 1 2 2 7 3 3 6" xfId="15932"/>
    <cellStyle name="Heading 1 2 2 7 3 3 6 2" xfId="15933"/>
    <cellStyle name="Heading 1 2 2 7 3 3 6 2 2" xfId="15934"/>
    <cellStyle name="Heading 1 2 2 7 3 3 6 3" xfId="15935"/>
    <cellStyle name="Heading 1 2 2 7 3 3 7" xfId="15936"/>
    <cellStyle name="Heading 1 2 2 7 3 3 7 2" xfId="15937"/>
    <cellStyle name="Heading 1 2 2 7 3 3 7 2 2" xfId="15938"/>
    <cellStyle name="Heading 1 2 2 7 3 3 7 3" xfId="15939"/>
    <cellStyle name="Heading 1 2 2 7 3 3 8" xfId="15940"/>
    <cellStyle name="Heading 1 2 2 7 3 3 8 2" xfId="15941"/>
    <cellStyle name="Heading 1 2 2 7 3 3 9" xfId="15942"/>
    <cellStyle name="Heading 1 2 2 7 3 4" xfId="15943"/>
    <cellStyle name="Heading 1 2 2 7 3 4 2" xfId="15944"/>
    <cellStyle name="Heading 1 2 2 7 3 4 2 2" xfId="15945"/>
    <cellStyle name="Heading 1 2 2 7 3 4 2 2 2" xfId="15946"/>
    <cellStyle name="Heading 1 2 2 7 3 4 2 3" xfId="15947"/>
    <cellStyle name="Heading 1 2 2 7 3 4 3" xfId="15948"/>
    <cellStyle name="Heading 1 2 2 7 3 4 3 2" xfId="15949"/>
    <cellStyle name="Heading 1 2 2 7 3 4 3 2 2" xfId="15950"/>
    <cellStyle name="Heading 1 2 2 7 3 4 3 3" xfId="15951"/>
    <cellStyle name="Heading 1 2 2 7 3 4 4" xfId="15952"/>
    <cellStyle name="Heading 1 2 2 7 3 4 4 2" xfId="15953"/>
    <cellStyle name="Heading 1 2 2 7 3 4 4 2 2" xfId="15954"/>
    <cellStyle name="Heading 1 2 2 7 3 4 4 3" xfId="15955"/>
    <cellStyle name="Heading 1 2 2 7 3 4 5" xfId="15956"/>
    <cellStyle name="Heading 1 2 2 7 3 4 5 2" xfId="15957"/>
    <cellStyle name="Heading 1 2 2 7 3 4 5 2 2" xfId="15958"/>
    <cellStyle name="Heading 1 2 2 7 3 4 5 3" xfId="15959"/>
    <cellStyle name="Heading 1 2 2 7 3 4 6" xfId="15960"/>
    <cellStyle name="Heading 1 2 2 7 3 4 6 2" xfId="15961"/>
    <cellStyle name="Heading 1 2 2 7 3 4 6 2 2" xfId="15962"/>
    <cellStyle name="Heading 1 2 2 7 3 4 6 3" xfId="15963"/>
    <cellStyle name="Heading 1 2 2 7 3 4 7" xfId="15964"/>
    <cellStyle name="Heading 1 2 2 7 3 4 7 2" xfId="15965"/>
    <cellStyle name="Heading 1 2 2 7 3 4 7 2 2" xfId="15966"/>
    <cellStyle name="Heading 1 2 2 7 3 4 7 3" xfId="15967"/>
    <cellStyle name="Heading 1 2 2 7 3 4 8" xfId="15968"/>
    <cellStyle name="Heading 1 2 2 7 3 4 8 2" xfId="15969"/>
    <cellStyle name="Heading 1 2 2 7 3 4 9" xfId="15970"/>
    <cellStyle name="Heading 1 2 2 7 3 5" xfId="15971"/>
    <cellStyle name="Heading 1 2 2 7 3 5 2" xfId="15972"/>
    <cellStyle name="Heading 1 2 2 7 3 5 2 2" xfId="15973"/>
    <cellStyle name="Heading 1 2 2 7 3 5 2 2 2" xfId="15974"/>
    <cellStyle name="Heading 1 2 2 7 3 5 2 3" xfId="15975"/>
    <cellStyle name="Heading 1 2 2 7 3 5 3" xfId="15976"/>
    <cellStyle name="Heading 1 2 2 7 3 5 3 2" xfId="15977"/>
    <cellStyle name="Heading 1 2 2 7 3 5 3 2 2" xfId="15978"/>
    <cellStyle name="Heading 1 2 2 7 3 5 3 3" xfId="15979"/>
    <cellStyle name="Heading 1 2 2 7 3 5 4" xfId="15980"/>
    <cellStyle name="Heading 1 2 2 7 3 5 4 2" xfId="15981"/>
    <cellStyle name="Heading 1 2 2 7 3 5 4 2 2" xfId="15982"/>
    <cellStyle name="Heading 1 2 2 7 3 5 4 3" xfId="15983"/>
    <cellStyle name="Heading 1 2 2 7 3 5 5" xfId="15984"/>
    <cellStyle name="Heading 1 2 2 7 3 5 5 2" xfId="15985"/>
    <cellStyle name="Heading 1 2 2 7 3 5 5 2 2" xfId="15986"/>
    <cellStyle name="Heading 1 2 2 7 3 5 5 3" xfId="15987"/>
    <cellStyle name="Heading 1 2 2 7 3 5 6" xfId="15988"/>
    <cellStyle name="Heading 1 2 2 7 3 5 6 2" xfId="15989"/>
    <cellStyle name="Heading 1 2 2 7 3 5 6 2 2" xfId="15990"/>
    <cellStyle name="Heading 1 2 2 7 3 5 6 3" xfId="15991"/>
    <cellStyle name="Heading 1 2 2 7 3 5 7" xfId="15992"/>
    <cellStyle name="Heading 1 2 2 7 3 5 7 2" xfId="15993"/>
    <cellStyle name="Heading 1 2 2 7 3 5 7 2 2" xfId="15994"/>
    <cellStyle name="Heading 1 2 2 7 3 5 7 3" xfId="15995"/>
    <cellStyle name="Heading 1 2 2 7 3 5 8" xfId="15996"/>
    <cellStyle name="Heading 1 2 2 7 3 5 8 2" xfId="15997"/>
    <cellStyle name="Heading 1 2 2 7 3 5 9" xfId="15998"/>
    <cellStyle name="Heading 1 2 2 7 3 6" xfId="15999"/>
    <cellStyle name="Heading 1 2 2 7 3 6 2" xfId="16000"/>
    <cellStyle name="Heading 1 2 2 7 3 6 2 2" xfId="16001"/>
    <cellStyle name="Heading 1 2 2 7 3 6 2 2 2" xfId="16002"/>
    <cellStyle name="Heading 1 2 2 7 3 6 2 3" xfId="16003"/>
    <cellStyle name="Heading 1 2 2 7 3 6 3" xfId="16004"/>
    <cellStyle name="Heading 1 2 2 7 3 6 3 2" xfId="16005"/>
    <cellStyle name="Heading 1 2 2 7 3 6 3 2 2" xfId="16006"/>
    <cellStyle name="Heading 1 2 2 7 3 6 3 3" xfId="16007"/>
    <cellStyle name="Heading 1 2 2 7 3 6 4" xfId="16008"/>
    <cellStyle name="Heading 1 2 2 7 3 6 4 2" xfId="16009"/>
    <cellStyle name="Heading 1 2 2 7 3 6 4 2 2" xfId="16010"/>
    <cellStyle name="Heading 1 2 2 7 3 6 4 3" xfId="16011"/>
    <cellStyle name="Heading 1 2 2 7 3 6 5" xfId="16012"/>
    <cellStyle name="Heading 1 2 2 7 3 6 5 2" xfId="16013"/>
    <cellStyle name="Heading 1 2 2 7 3 6 5 2 2" xfId="16014"/>
    <cellStyle name="Heading 1 2 2 7 3 6 5 3" xfId="16015"/>
    <cellStyle name="Heading 1 2 2 7 3 6 6" xfId="16016"/>
    <cellStyle name="Heading 1 2 2 7 3 6 6 2" xfId="16017"/>
    <cellStyle name="Heading 1 2 2 7 3 6 6 2 2" xfId="16018"/>
    <cellStyle name="Heading 1 2 2 7 3 6 6 3" xfId="16019"/>
    <cellStyle name="Heading 1 2 2 7 3 6 7" xfId="16020"/>
    <cellStyle name="Heading 1 2 2 7 3 6 7 2" xfId="16021"/>
    <cellStyle name="Heading 1 2 2 7 3 6 7 2 2" xfId="16022"/>
    <cellStyle name="Heading 1 2 2 7 3 6 7 3" xfId="16023"/>
    <cellStyle name="Heading 1 2 2 7 3 6 8" xfId="16024"/>
    <cellStyle name="Heading 1 2 2 7 3 6 8 2" xfId="16025"/>
    <cellStyle name="Heading 1 2 2 7 3 6 9" xfId="16026"/>
    <cellStyle name="Heading 1 2 2 7 3 7" xfId="16027"/>
    <cellStyle name="Heading 1 2 2 7 3 7 2" xfId="16028"/>
    <cellStyle name="Heading 1 2 2 7 3 7 2 2" xfId="16029"/>
    <cellStyle name="Heading 1 2 2 7 3 7 2 2 2" xfId="16030"/>
    <cellStyle name="Heading 1 2 2 7 3 7 2 3" xfId="16031"/>
    <cellStyle name="Heading 1 2 2 7 3 7 3" xfId="16032"/>
    <cellStyle name="Heading 1 2 2 7 3 7 3 2" xfId="16033"/>
    <cellStyle name="Heading 1 2 2 7 3 7 3 2 2" xfId="16034"/>
    <cellStyle name="Heading 1 2 2 7 3 7 3 3" xfId="16035"/>
    <cellStyle name="Heading 1 2 2 7 3 7 4" xfId="16036"/>
    <cellStyle name="Heading 1 2 2 7 3 7 4 2" xfId="16037"/>
    <cellStyle name="Heading 1 2 2 7 3 7 4 2 2" xfId="16038"/>
    <cellStyle name="Heading 1 2 2 7 3 7 4 3" xfId="16039"/>
    <cellStyle name="Heading 1 2 2 7 3 7 5" xfId="16040"/>
    <cellStyle name="Heading 1 2 2 7 3 7 5 2" xfId="16041"/>
    <cellStyle name="Heading 1 2 2 7 3 7 5 2 2" xfId="16042"/>
    <cellStyle name="Heading 1 2 2 7 3 7 5 3" xfId="16043"/>
    <cellStyle name="Heading 1 2 2 7 3 7 6" xfId="16044"/>
    <cellStyle name="Heading 1 2 2 7 3 7 6 2" xfId="16045"/>
    <cellStyle name="Heading 1 2 2 7 3 7 6 2 2" xfId="16046"/>
    <cellStyle name="Heading 1 2 2 7 3 7 6 3" xfId="16047"/>
    <cellStyle name="Heading 1 2 2 7 3 7 7" xfId="16048"/>
    <cellStyle name="Heading 1 2 2 7 3 7 7 2" xfId="16049"/>
    <cellStyle name="Heading 1 2 2 7 3 7 7 2 2" xfId="16050"/>
    <cellStyle name="Heading 1 2 2 7 3 7 7 3" xfId="16051"/>
    <cellStyle name="Heading 1 2 2 7 3 7 8" xfId="16052"/>
    <cellStyle name="Heading 1 2 2 7 3 7 8 2" xfId="16053"/>
    <cellStyle name="Heading 1 2 2 7 3 7 9" xfId="16054"/>
    <cellStyle name="Heading 1 2 2 7 3 8" xfId="16055"/>
    <cellStyle name="Heading 1 2 2 7 3 8 2" xfId="16056"/>
    <cellStyle name="Heading 1 2 2 7 3 8 2 2" xfId="16057"/>
    <cellStyle name="Heading 1 2 2 7 3 8 2 2 2" xfId="16058"/>
    <cellStyle name="Heading 1 2 2 7 3 8 2 3" xfId="16059"/>
    <cellStyle name="Heading 1 2 2 7 3 8 3" xfId="16060"/>
    <cellStyle name="Heading 1 2 2 7 3 8 3 2" xfId="16061"/>
    <cellStyle name="Heading 1 2 2 7 3 8 3 2 2" xfId="16062"/>
    <cellStyle name="Heading 1 2 2 7 3 8 3 3" xfId="16063"/>
    <cellStyle name="Heading 1 2 2 7 3 8 4" xfId="16064"/>
    <cellStyle name="Heading 1 2 2 7 3 8 4 2" xfId="16065"/>
    <cellStyle name="Heading 1 2 2 7 3 8 4 2 2" xfId="16066"/>
    <cellStyle name="Heading 1 2 2 7 3 8 4 3" xfId="16067"/>
    <cellStyle name="Heading 1 2 2 7 3 8 5" xfId="16068"/>
    <cellStyle name="Heading 1 2 2 7 3 8 5 2" xfId="16069"/>
    <cellStyle name="Heading 1 2 2 7 3 8 5 2 2" xfId="16070"/>
    <cellStyle name="Heading 1 2 2 7 3 8 5 3" xfId="16071"/>
    <cellStyle name="Heading 1 2 2 7 3 8 6" xfId="16072"/>
    <cellStyle name="Heading 1 2 2 7 3 8 6 2" xfId="16073"/>
    <cellStyle name="Heading 1 2 2 7 3 8 6 2 2" xfId="16074"/>
    <cellStyle name="Heading 1 2 2 7 3 8 6 3" xfId="16075"/>
    <cellStyle name="Heading 1 2 2 7 3 8 7" xfId="16076"/>
    <cellStyle name="Heading 1 2 2 7 3 8 7 2" xfId="16077"/>
    <cellStyle name="Heading 1 2 2 7 3 8 7 2 2" xfId="16078"/>
    <cellStyle name="Heading 1 2 2 7 3 8 7 3" xfId="16079"/>
    <cellStyle name="Heading 1 2 2 7 3 8 8" xfId="16080"/>
    <cellStyle name="Heading 1 2 2 7 3 8 8 2" xfId="16081"/>
    <cellStyle name="Heading 1 2 2 7 3 8 9" xfId="16082"/>
    <cellStyle name="Heading 1 2 2 7 3 9" xfId="16083"/>
    <cellStyle name="Heading 1 2 2 7 3 9 2" xfId="16084"/>
    <cellStyle name="Heading 1 2 2 7 3 9 2 2" xfId="16085"/>
    <cellStyle name="Heading 1 2 2 7 3 9 3" xfId="16086"/>
    <cellStyle name="Heading 1 2 2 7 4" xfId="16087"/>
    <cellStyle name="Heading 1 2 2 7 4 2" xfId="16088"/>
    <cellStyle name="Heading 1 2 2 7 4 2 2" xfId="16089"/>
    <cellStyle name="Heading 1 2 2 7 4 3" xfId="16090"/>
    <cellStyle name="Heading 1 2 2 7 5" xfId="16091"/>
    <cellStyle name="Heading 1 2 2 7 5 2" xfId="16092"/>
    <cellStyle name="Heading 1 2 2 7 6" xfId="16093"/>
    <cellStyle name="Heading 1 2 2 8" xfId="16094"/>
    <cellStyle name="Heading 1 2 2 8 2" xfId="16095"/>
    <cellStyle name="Heading 1 2 2 8 2 10" xfId="16096"/>
    <cellStyle name="Heading 1 2 2 8 2 10 2" xfId="16097"/>
    <cellStyle name="Heading 1 2 2 8 2 10 2 2" xfId="16098"/>
    <cellStyle name="Heading 1 2 2 8 2 10 3" xfId="16099"/>
    <cellStyle name="Heading 1 2 2 8 2 11" xfId="16100"/>
    <cellStyle name="Heading 1 2 2 8 2 11 2" xfId="16101"/>
    <cellStyle name="Heading 1 2 2 8 2 11 2 2" xfId="16102"/>
    <cellStyle name="Heading 1 2 2 8 2 11 3" xfId="16103"/>
    <cellStyle name="Heading 1 2 2 8 2 12" xfId="16104"/>
    <cellStyle name="Heading 1 2 2 8 2 12 2" xfId="16105"/>
    <cellStyle name="Heading 1 2 2 8 2 12 2 2" xfId="16106"/>
    <cellStyle name="Heading 1 2 2 8 2 12 3" xfId="16107"/>
    <cellStyle name="Heading 1 2 2 8 2 13" xfId="16108"/>
    <cellStyle name="Heading 1 2 2 8 2 13 2" xfId="16109"/>
    <cellStyle name="Heading 1 2 2 8 2 13 2 2" xfId="16110"/>
    <cellStyle name="Heading 1 2 2 8 2 13 3" xfId="16111"/>
    <cellStyle name="Heading 1 2 2 8 2 14" xfId="16112"/>
    <cellStyle name="Heading 1 2 2 8 2 14 2" xfId="16113"/>
    <cellStyle name="Heading 1 2 2 8 2 14 2 2" xfId="16114"/>
    <cellStyle name="Heading 1 2 2 8 2 14 3" xfId="16115"/>
    <cellStyle name="Heading 1 2 2 8 2 15" xfId="16116"/>
    <cellStyle name="Heading 1 2 2 8 2 15 2" xfId="16117"/>
    <cellStyle name="Heading 1 2 2 8 2 15 2 2" xfId="16118"/>
    <cellStyle name="Heading 1 2 2 8 2 15 3" xfId="16119"/>
    <cellStyle name="Heading 1 2 2 8 2 16" xfId="16120"/>
    <cellStyle name="Heading 1 2 2 8 2 16 2" xfId="16121"/>
    <cellStyle name="Heading 1 2 2 8 2 16 2 2" xfId="16122"/>
    <cellStyle name="Heading 1 2 2 8 2 16 3" xfId="16123"/>
    <cellStyle name="Heading 1 2 2 8 2 17" xfId="16124"/>
    <cellStyle name="Heading 1 2 2 8 2 17 2" xfId="16125"/>
    <cellStyle name="Heading 1 2 2 8 2 17 2 2" xfId="16126"/>
    <cellStyle name="Heading 1 2 2 8 2 17 3" xfId="16127"/>
    <cellStyle name="Heading 1 2 2 8 2 18" xfId="16128"/>
    <cellStyle name="Heading 1 2 2 8 2 18 2" xfId="16129"/>
    <cellStyle name="Heading 1 2 2 8 2 18 2 2" xfId="16130"/>
    <cellStyle name="Heading 1 2 2 8 2 18 3" xfId="16131"/>
    <cellStyle name="Heading 1 2 2 8 2 19" xfId="16132"/>
    <cellStyle name="Heading 1 2 2 8 2 19 2" xfId="16133"/>
    <cellStyle name="Heading 1 2 2 8 2 19 2 2" xfId="16134"/>
    <cellStyle name="Heading 1 2 2 8 2 19 3" xfId="16135"/>
    <cellStyle name="Heading 1 2 2 8 2 2" xfId="16136"/>
    <cellStyle name="Heading 1 2 2 8 2 2 10" xfId="16137"/>
    <cellStyle name="Heading 1 2 2 8 2 2 10 2" xfId="16138"/>
    <cellStyle name="Heading 1 2 2 8 2 2 10 2 2" xfId="16139"/>
    <cellStyle name="Heading 1 2 2 8 2 2 10 3" xfId="16140"/>
    <cellStyle name="Heading 1 2 2 8 2 2 11" xfId="16141"/>
    <cellStyle name="Heading 1 2 2 8 2 2 11 2" xfId="16142"/>
    <cellStyle name="Heading 1 2 2 8 2 2 11 2 2" xfId="16143"/>
    <cellStyle name="Heading 1 2 2 8 2 2 11 3" xfId="16144"/>
    <cellStyle name="Heading 1 2 2 8 2 2 12" xfId="16145"/>
    <cellStyle name="Heading 1 2 2 8 2 2 12 2" xfId="16146"/>
    <cellStyle name="Heading 1 2 2 8 2 2 12 2 2" xfId="16147"/>
    <cellStyle name="Heading 1 2 2 8 2 2 12 3" xfId="16148"/>
    <cellStyle name="Heading 1 2 2 8 2 2 13" xfId="16149"/>
    <cellStyle name="Heading 1 2 2 8 2 2 13 2" xfId="16150"/>
    <cellStyle name="Heading 1 2 2 8 2 2 13 2 2" xfId="16151"/>
    <cellStyle name="Heading 1 2 2 8 2 2 13 3" xfId="16152"/>
    <cellStyle name="Heading 1 2 2 8 2 2 14" xfId="16153"/>
    <cellStyle name="Heading 1 2 2 8 2 2 14 2" xfId="16154"/>
    <cellStyle name="Heading 1 2 2 8 2 2 14 2 2" xfId="16155"/>
    <cellStyle name="Heading 1 2 2 8 2 2 14 3" xfId="16156"/>
    <cellStyle name="Heading 1 2 2 8 2 2 15" xfId="16157"/>
    <cellStyle name="Heading 1 2 2 8 2 2 15 2" xfId="16158"/>
    <cellStyle name="Heading 1 2 2 8 2 2 15 2 2" xfId="16159"/>
    <cellStyle name="Heading 1 2 2 8 2 2 15 3" xfId="16160"/>
    <cellStyle name="Heading 1 2 2 8 2 2 16" xfId="16161"/>
    <cellStyle name="Heading 1 2 2 8 2 2 16 2" xfId="16162"/>
    <cellStyle name="Heading 1 2 2 8 2 2 16 2 2" xfId="16163"/>
    <cellStyle name="Heading 1 2 2 8 2 2 16 3" xfId="16164"/>
    <cellStyle name="Heading 1 2 2 8 2 2 17" xfId="16165"/>
    <cellStyle name="Heading 1 2 2 8 2 2 17 2" xfId="16166"/>
    <cellStyle name="Heading 1 2 2 8 2 2 17 2 2" xfId="16167"/>
    <cellStyle name="Heading 1 2 2 8 2 2 17 3" xfId="16168"/>
    <cellStyle name="Heading 1 2 2 8 2 2 18" xfId="16169"/>
    <cellStyle name="Heading 1 2 2 8 2 2 18 2" xfId="16170"/>
    <cellStyle name="Heading 1 2 2 8 2 2 18 2 2" xfId="16171"/>
    <cellStyle name="Heading 1 2 2 8 2 2 18 3" xfId="16172"/>
    <cellStyle name="Heading 1 2 2 8 2 2 19" xfId="16173"/>
    <cellStyle name="Heading 1 2 2 8 2 2 19 2" xfId="16174"/>
    <cellStyle name="Heading 1 2 2 8 2 2 2" xfId="16175"/>
    <cellStyle name="Heading 1 2 2 8 2 2 2 2" xfId="16176"/>
    <cellStyle name="Heading 1 2 2 8 2 2 2 2 2" xfId="16177"/>
    <cellStyle name="Heading 1 2 2 8 2 2 2 2 2 2" xfId="16178"/>
    <cellStyle name="Heading 1 2 2 8 2 2 2 2 3" xfId="16179"/>
    <cellStyle name="Heading 1 2 2 8 2 2 2 3" xfId="16180"/>
    <cellStyle name="Heading 1 2 2 8 2 2 2 3 2" xfId="16181"/>
    <cellStyle name="Heading 1 2 2 8 2 2 2 3 2 2" xfId="16182"/>
    <cellStyle name="Heading 1 2 2 8 2 2 2 3 3" xfId="16183"/>
    <cellStyle name="Heading 1 2 2 8 2 2 2 4" xfId="16184"/>
    <cellStyle name="Heading 1 2 2 8 2 2 2 4 2" xfId="16185"/>
    <cellStyle name="Heading 1 2 2 8 2 2 2 4 2 2" xfId="16186"/>
    <cellStyle name="Heading 1 2 2 8 2 2 2 4 3" xfId="16187"/>
    <cellStyle name="Heading 1 2 2 8 2 2 2 5" xfId="16188"/>
    <cellStyle name="Heading 1 2 2 8 2 2 2 5 2" xfId="16189"/>
    <cellStyle name="Heading 1 2 2 8 2 2 2 5 2 2" xfId="16190"/>
    <cellStyle name="Heading 1 2 2 8 2 2 2 5 3" xfId="16191"/>
    <cellStyle name="Heading 1 2 2 8 2 2 2 6" xfId="16192"/>
    <cellStyle name="Heading 1 2 2 8 2 2 2 6 2" xfId="16193"/>
    <cellStyle name="Heading 1 2 2 8 2 2 2 6 2 2" xfId="16194"/>
    <cellStyle name="Heading 1 2 2 8 2 2 2 6 3" xfId="16195"/>
    <cellStyle name="Heading 1 2 2 8 2 2 2 7" xfId="16196"/>
    <cellStyle name="Heading 1 2 2 8 2 2 2 7 2" xfId="16197"/>
    <cellStyle name="Heading 1 2 2 8 2 2 2 7 2 2" xfId="16198"/>
    <cellStyle name="Heading 1 2 2 8 2 2 2 7 3" xfId="16199"/>
    <cellStyle name="Heading 1 2 2 8 2 2 2 8" xfId="16200"/>
    <cellStyle name="Heading 1 2 2 8 2 2 2 8 2" xfId="16201"/>
    <cellStyle name="Heading 1 2 2 8 2 2 2 9" xfId="16202"/>
    <cellStyle name="Heading 1 2 2 8 2 2 20" xfId="16203"/>
    <cellStyle name="Heading 1 2 2 8 2 2 20 2" xfId="16204"/>
    <cellStyle name="Heading 1 2 2 8 2 2 21" xfId="16205"/>
    <cellStyle name="Heading 1 2 2 8 2 2 21 2" xfId="16206"/>
    <cellStyle name="Heading 1 2 2 8 2 2 22" xfId="16207"/>
    <cellStyle name="Heading 1 2 2 8 2 2 3" xfId="16208"/>
    <cellStyle name="Heading 1 2 2 8 2 2 3 2" xfId="16209"/>
    <cellStyle name="Heading 1 2 2 8 2 2 3 2 2" xfId="16210"/>
    <cellStyle name="Heading 1 2 2 8 2 2 3 2 2 2" xfId="16211"/>
    <cellStyle name="Heading 1 2 2 8 2 2 3 2 3" xfId="16212"/>
    <cellStyle name="Heading 1 2 2 8 2 2 3 3" xfId="16213"/>
    <cellStyle name="Heading 1 2 2 8 2 2 3 3 2" xfId="16214"/>
    <cellStyle name="Heading 1 2 2 8 2 2 3 3 2 2" xfId="16215"/>
    <cellStyle name="Heading 1 2 2 8 2 2 3 3 3" xfId="16216"/>
    <cellStyle name="Heading 1 2 2 8 2 2 3 4" xfId="16217"/>
    <cellStyle name="Heading 1 2 2 8 2 2 3 4 2" xfId="16218"/>
    <cellStyle name="Heading 1 2 2 8 2 2 3 4 2 2" xfId="16219"/>
    <cellStyle name="Heading 1 2 2 8 2 2 3 4 3" xfId="16220"/>
    <cellStyle name="Heading 1 2 2 8 2 2 3 5" xfId="16221"/>
    <cellStyle name="Heading 1 2 2 8 2 2 3 5 2" xfId="16222"/>
    <cellStyle name="Heading 1 2 2 8 2 2 3 5 2 2" xfId="16223"/>
    <cellStyle name="Heading 1 2 2 8 2 2 3 5 3" xfId="16224"/>
    <cellStyle name="Heading 1 2 2 8 2 2 3 6" xfId="16225"/>
    <cellStyle name="Heading 1 2 2 8 2 2 3 6 2" xfId="16226"/>
    <cellStyle name="Heading 1 2 2 8 2 2 3 6 2 2" xfId="16227"/>
    <cellStyle name="Heading 1 2 2 8 2 2 3 6 3" xfId="16228"/>
    <cellStyle name="Heading 1 2 2 8 2 2 3 7" xfId="16229"/>
    <cellStyle name="Heading 1 2 2 8 2 2 3 7 2" xfId="16230"/>
    <cellStyle name="Heading 1 2 2 8 2 2 3 7 2 2" xfId="16231"/>
    <cellStyle name="Heading 1 2 2 8 2 2 3 7 3" xfId="16232"/>
    <cellStyle name="Heading 1 2 2 8 2 2 3 8" xfId="16233"/>
    <cellStyle name="Heading 1 2 2 8 2 2 3 8 2" xfId="16234"/>
    <cellStyle name="Heading 1 2 2 8 2 2 3 9" xfId="16235"/>
    <cellStyle name="Heading 1 2 2 8 2 2 4" xfId="16236"/>
    <cellStyle name="Heading 1 2 2 8 2 2 4 2" xfId="16237"/>
    <cellStyle name="Heading 1 2 2 8 2 2 4 2 2" xfId="16238"/>
    <cellStyle name="Heading 1 2 2 8 2 2 4 2 2 2" xfId="16239"/>
    <cellStyle name="Heading 1 2 2 8 2 2 4 2 3" xfId="16240"/>
    <cellStyle name="Heading 1 2 2 8 2 2 4 3" xfId="16241"/>
    <cellStyle name="Heading 1 2 2 8 2 2 4 3 2" xfId="16242"/>
    <cellStyle name="Heading 1 2 2 8 2 2 4 3 2 2" xfId="16243"/>
    <cellStyle name="Heading 1 2 2 8 2 2 4 3 3" xfId="16244"/>
    <cellStyle name="Heading 1 2 2 8 2 2 4 4" xfId="16245"/>
    <cellStyle name="Heading 1 2 2 8 2 2 4 4 2" xfId="16246"/>
    <cellStyle name="Heading 1 2 2 8 2 2 4 4 2 2" xfId="16247"/>
    <cellStyle name="Heading 1 2 2 8 2 2 4 4 3" xfId="16248"/>
    <cellStyle name="Heading 1 2 2 8 2 2 4 5" xfId="16249"/>
    <cellStyle name="Heading 1 2 2 8 2 2 4 5 2" xfId="16250"/>
    <cellStyle name="Heading 1 2 2 8 2 2 4 5 2 2" xfId="16251"/>
    <cellStyle name="Heading 1 2 2 8 2 2 4 5 3" xfId="16252"/>
    <cellStyle name="Heading 1 2 2 8 2 2 4 6" xfId="16253"/>
    <cellStyle name="Heading 1 2 2 8 2 2 4 6 2" xfId="16254"/>
    <cellStyle name="Heading 1 2 2 8 2 2 4 6 2 2" xfId="16255"/>
    <cellStyle name="Heading 1 2 2 8 2 2 4 6 3" xfId="16256"/>
    <cellStyle name="Heading 1 2 2 8 2 2 4 7" xfId="16257"/>
    <cellStyle name="Heading 1 2 2 8 2 2 4 7 2" xfId="16258"/>
    <cellStyle name="Heading 1 2 2 8 2 2 4 7 2 2" xfId="16259"/>
    <cellStyle name="Heading 1 2 2 8 2 2 4 7 3" xfId="16260"/>
    <cellStyle name="Heading 1 2 2 8 2 2 4 8" xfId="16261"/>
    <cellStyle name="Heading 1 2 2 8 2 2 4 8 2" xfId="16262"/>
    <cellStyle name="Heading 1 2 2 8 2 2 4 9" xfId="16263"/>
    <cellStyle name="Heading 1 2 2 8 2 2 5" xfId="16264"/>
    <cellStyle name="Heading 1 2 2 8 2 2 5 2" xfId="16265"/>
    <cellStyle name="Heading 1 2 2 8 2 2 5 2 2" xfId="16266"/>
    <cellStyle name="Heading 1 2 2 8 2 2 5 2 2 2" xfId="16267"/>
    <cellStyle name="Heading 1 2 2 8 2 2 5 2 3" xfId="16268"/>
    <cellStyle name="Heading 1 2 2 8 2 2 5 3" xfId="16269"/>
    <cellStyle name="Heading 1 2 2 8 2 2 5 3 2" xfId="16270"/>
    <cellStyle name="Heading 1 2 2 8 2 2 5 3 2 2" xfId="16271"/>
    <cellStyle name="Heading 1 2 2 8 2 2 5 3 3" xfId="16272"/>
    <cellStyle name="Heading 1 2 2 8 2 2 5 4" xfId="16273"/>
    <cellStyle name="Heading 1 2 2 8 2 2 5 4 2" xfId="16274"/>
    <cellStyle name="Heading 1 2 2 8 2 2 5 4 2 2" xfId="16275"/>
    <cellStyle name="Heading 1 2 2 8 2 2 5 4 3" xfId="16276"/>
    <cellStyle name="Heading 1 2 2 8 2 2 5 5" xfId="16277"/>
    <cellStyle name="Heading 1 2 2 8 2 2 5 5 2" xfId="16278"/>
    <cellStyle name="Heading 1 2 2 8 2 2 5 5 2 2" xfId="16279"/>
    <cellStyle name="Heading 1 2 2 8 2 2 5 5 3" xfId="16280"/>
    <cellStyle name="Heading 1 2 2 8 2 2 5 6" xfId="16281"/>
    <cellStyle name="Heading 1 2 2 8 2 2 5 6 2" xfId="16282"/>
    <cellStyle name="Heading 1 2 2 8 2 2 5 6 2 2" xfId="16283"/>
    <cellStyle name="Heading 1 2 2 8 2 2 5 6 3" xfId="16284"/>
    <cellStyle name="Heading 1 2 2 8 2 2 5 7" xfId="16285"/>
    <cellStyle name="Heading 1 2 2 8 2 2 5 7 2" xfId="16286"/>
    <cellStyle name="Heading 1 2 2 8 2 2 5 7 2 2" xfId="16287"/>
    <cellStyle name="Heading 1 2 2 8 2 2 5 7 3" xfId="16288"/>
    <cellStyle name="Heading 1 2 2 8 2 2 5 8" xfId="16289"/>
    <cellStyle name="Heading 1 2 2 8 2 2 5 8 2" xfId="16290"/>
    <cellStyle name="Heading 1 2 2 8 2 2 5 9" xfId="16291"/>
    <cellStyle name="Heading 1 2 2 8 2 2 6" xfId="16292"/>
    <cellStyle name="Heading 1 2 2 8 2 2 6 2" xfId="16293"/>
    <cellStyle name="Heading 1 2 2 8 2 2 6 2 2" xfId="16294"/>
    <cellStyle name="Heading 1 2 2 8 2 2 6 2 2 2" xfId="16295"/>
    <cellStyle name="Heading 1 2 2 8 2 2 6 2 3" xfId="16296"/>
    <cellStyle name="Heading 1 2 2 8 2 2 6 3" xfId="16297"/>
    <cellStyle name="Heading 1 2 2 8 2 2 6 3 2" xfId="16298"/>
    <cellStyle name="Heading 1 2 2 8 2 2 6 3 2 2" xfId="16299"/>
    <cellStyle name="Heading 1 2 2 8 2 2 6 3 3" xfId="16300"/>
    <cellStyle name="Heading 1 2 2 8 2 2 6 4" xfId="16301"/>
    <cellStyle name="Heading 1 2 2 8 2 2 6 4 2" xfId="16302"/>
    <cellStyle name="Heading 1 2 2 8 2 2 6 4 2 2" xfId="16303"/>
    <cellStyle name="Heading 1 2 2 8 2 2 6 4 3" xfId="16304"/>
    <cellStyle name="Heading 1 2 2 8 2 2 6 5" xfId="16305"/>
    <cellStyle name="Heading 1 2 2 8 2 2 6 5 2" xfId="16306"/>
    <cellStyle name="Heading 1 2 2 8 2 2 6 5 2 2" xfId="16307"/>
    <cellStyle name="Heading 1 2 2 8 2 2 6 5 3" xfId="16308"/>
    <cellStyle name="Heading 1 2 2 8 2 2 6 6" xfId="16309"/>
    <cellStyle name="Heading 1 2 2 8 2 2 6 6 2" xfId="16310"/>
    <cellStyle name="Heading 1 2 2 8 2 2 6 6 2 2" xfId="16311"/>
    <cellStyle name="Heading 1 2 2 8 2 2 6 6 3" xfId="16312"/>
    <cellStyle name="Heading 1 2 2 8 2 2 6 7" xfId="16313"/>
    <cellStyle name="Heading 1 2 2 8 2 2 6 7 2" xfId="16314"/>
    <cellStyle name="Heading 1 2 2 8 2 2 6 7 2 2" xfId="16315"/>
    <cellStyle name="Heading 1 2 2 8 2 2 6 7 3" xfId="16316"/>
    <cellStyle name="Heading 1 2 2 8 2 2 6 8" xfId="16317"/>
    <cellStyle name="Heading 1 2 2 8 2 2 6 8 2" xfId="16318"/>
    <cellStyle name="Heading 1 2 2 8 2 2 6 9" xfId="16319"/>
    <cellStyle name="Heading 1 2 2 8 2 2 7" xfId="16320"/>
    <cellStyle name="Heading 1 2 2 8 2 2 7 2" xfId="16321"/>
    <cellStyle name="Heading 1 2 2 8 2 2 7 2 2" xfId="16322"/>
    <cellStyle name="Heading 1 2 2 8 2 2 7 2 2 2" xfId="16323"/>
    <cellStyle name="Heading 1 2 2 8 2 2 7 2 3" xfId="16324"/>
    <cellStyle name="Heading 1 2 2 8 2 2 7 3" xfId="16325"/>
    <cellStyle name="Heading 1 2 2 8 2 2 7 3 2" xfId="16326"/>
    <cellStyle name="Heading 1 2 2 8 2 2 7 3 2 2" xfId="16327"/>
    <cellStyle name="Heading 1 2 2 8 2 2 7 3 3" xfId="16328"/>
    <cellStyle name="Heading 1 2 2 8 2 2 7 4" xfId="16329"/>
    <cellStyle name="Heading 1 2 2 8 2 2 7 4 2" xfId="16330"/>
    <cellStyle name="Heading 1 2 2 8 2 2 7 4 2 2" xfId="16331"/>
    <cellStyle name="Heading 1 2 2 8 2 2 7 4 3" xfId="16332"/>
    <cellStyle name="Heading 1 2 2 8 2 2 7 5" xfId="16333"/>
    <cellStyle name="Heading 1 2 2 8 2 2 7 5 2" xfId="16334"/>
    <cellStyle name="Heading 1 2 2 8 2 2 7 5 2 2" xfId="16335"/>
    <cellStyle name="Heading 1 2 2 8 2 2 7 5 3" xfId="16336"/>
    <cellStyle name="Heading 1 2 2 8 2 2 7 6" xfId="16337"/>
    <cellStyle name="Heading 1 2 2 8 2 2 7 6 2" xfId="16338"/>
    <cellStyle name="Heading 1 2 2 8 2 2 7 6 2 2" xfId="16339"/>
    <cellStyle name="Heading 1 2 2 8 2 2 7 6 3" xfId="16340"/>
    <cellStyle name="Heading 1 2 2 8 2 2 7 7" xfId="16341"/>
    <cellStyle name="Heading 1 2 2 8 2 2 7 7 2" xfId="16342"/>
    <cellStyle name="Heading 1 2 2 8 2 2 7 7 2 2" xfId="16343"/>
    <cellStyle name="Heading 1 2 2 8 2 2 7 7 3" xfId="16344"/>
    <cellStyle name="Heading 1 2 2 8 2 2 7 8" xfId="16345"/>
    <cellStyle name="Heading 1 2 2 8 2 2 7 8 2" xfId="16346"/>
    <cellStyle name="Heading 1 2 2 8 2 2 7 9" xfId="16347"/>
    <cellStyle name="Heading 1 2 2 8 2 2 8" xfId="16348"/>
    <cellStyle name="Heading 1 2 2 8 2 2 8 2" xfId="16349"/>
    <cellStyle name="Heading 1 2 2 8 2 2 8 2 2" xfId="16350"/>
    <cellStyle name="Heading 1 2 2 8 2 2 8 2 2 2" xfId="16351"/>
    <cellStyle name="Heading 1 2 2 8 2 2 8 2 3" xfId="16352"/>
    <cellStyle name="Heading 1 2 2 8 2 2 8 3" xfId="16353"/>
    <cellStyle name="Heading 1 2 2 8 2 2 8 3 2" xfId="16354"/>
    <cellStyle name="Heading 1 2 2 8 2 2 8 3 2 2" xfId="16355"/>
    <cellStyle name="Heading 1 2 2 8 2 2 8 3 3" xfId="16356"/>
    <cellStyle name="Heading 1 2 2 8 2 2 8 4" xfId="16357"/>
    <cellStyle name="Heading 1 2 2 8 2 2 8 4 2" xfId="16358"/>
    <cellStyle name="Heading 1 2 2 8 2 2 8 4 2 2" xfId="16359"/>
    <cellStyle name="Heading 1 2 2 8 2 2 8 4 3" xfId="16360"/>
    <cellStyle name="Heading 1 2 2 8 2 2 8 5" xfId="16361"/>
    <cellStyle name="Heading 1 2 2 8 2 2 8 5 2" xfId="16362"/>
    <cellStyle name="Heading 1 2 2 8 2 2 8 5 2 2" xfId="16363"/>
    <cellStyle name="Heading 1 2 2 8 2 2 8 5 3" xfId="16364"/>
    <cellStyle name="Heading 1 2 2 8 2 2 8 6" xfId="16365"/>
    <cellStyle name="Heading 1 2 2 8 2 2 8 6 2" xfId="16366"/>
    <cellStyle name="Heading 1 2 2 8 2 2 8 6 2 2" xfId="16367"/>
    <cellStyle name="Heading 1 2 2 8 2 2 8 6 3" xfId="16368"/>
    <cellStyle name="Heading 1 2 2 8 2 2 8 7" xfId="16369"/>
    <cellStyle name="Heading 1 2 2 8 2 2 8 7 2" xfId="16370"/>
    <cellStyle name="Heading 1 2 2 8 2 2 8 7 2 2" xfId="16371"/>
    <cellStyle name="Heading 1 2 2 8 2 2 8 7 3" xfId="16372"/>
    <cellStyle name="Heading 1 2 2 8 2 2 8 8" xfId="16373"/>
    <cellStyle name="Heading 1 2 2 8 2 2 8 8 2" xfId="16374"/>
    <cellStyle name="Heading 1 2 2 8 2 2 8 9" xfId="16375"/>
    <cellStyle name="Heading 1 2 2 8 2 2 9" xfId="16376"/>
    <cellStyle name="Heading 1 2 2 8 2 2 9 2" xfId="16377"/>
    <cellStyle name="Heading 1 2 2 8 2 2 9 2 2" xfId="16378"/>
    <cellStyle name="Heading 1 2 2 8 2 2 9 3" xfId="16379"/>
    <cellStyle name="Heading 1 2 2 8 2 20" xfId="16380"/>
    <cellStyle name="Heading 1 2 2 8 2 20 2" xfId="16381"/>
    <cellStyle name="Heading 1 2 2 8 2 21" xfId="16382"/>
    <cellStyle name="Heading 1 2 2 8 2 21 2" xfId="16383"/>
    <cellStyle name="Heading 1 2 2 8 2 22" xfId="16384"/>
    <cellStyle name="Heading 1 2 2 8 2 22 2" xfId="16385"/>
    <cellStyle name="Heading 1 2 2 8 2 23" xfId="16386"/>
    <cellStyle name="Heading 1 2 2 8 2 3" xfId="16387"/>
    <cellStyle name="Heading 1 2 2 8 2 3 2" xfId="16388"/>
    <cellStyle name="Heading 1 2 2 8 2 3 2 2" xfId="16389"/>
    <cellStyle name="Heading 1 2 2 8 2 3 2 2 2" xfId="16390"/>
    <cellStyle name="Heading 1 2 2 8 2 3 2 3" xfId="16391"/>
    <cellStyle name="Heading 1 2 2 8 2 3 3" xfId="16392"/>
    <cellStyle name="Heading 1 2 2 8 2 3 3 2" xfId="16393"/>
    <cellStyle name="Heading 1 2 2 8 2 3 3 2 2" xfId="16394"/>
    <cellStyle name="Heading 1 2 2 8 2 3 3 3" xfId="16395"/>
    <cellStyle name="Heading 1 2 2 8 2 3 4" xfId="16396"/>
    <cellStyle name="Heading 1 2 2 8 2 3 4 2" xfId="16397"/>
    <cellStyle name="Heading 1 2 2 8 2 3 4 2 2" xfId="16398"/>
    <cellStyle name="Heading 1 2 2 8 2 3 4 3" xfId="16399"/>
    <cellStyle name="Heading 1 2 2 8 2 3 5" xfId="16400"/>
    <cellStyle name="Heading 1 2 2 8 2 3 5 2" xfId="16401"/>
    <cellStyle name="Heading 1 2 2 8 2 3 5 2 2" xfId="16402"/>
    <cellStyle name="Heading 1 2 2 8 2 3 5 3" xfId="16403"/>
    <cellStyle name="Heading 1 2 2 8 2 3 6" xfId="16404"/>
    <cellStyle name="Heading 1 2 2 8 2 3 6 2" xfId="16405"/>
    <cellStyle name="Heading 1 2 2 8 2 3 6 2 2" xfId="16406"/>
    <cellStyle name="Heading 1 2 2 8 2 3 6 3" xfId="16407"/>
    <cellStyle name="Heading 1 2 2 8 2 3 7" xfId="16408"/>
    <cellStyle name="Heading 1 2 2 8 2 3 7 2" xfId="16409"/>
    <cellStyle name="Heading 1 2 2 8 2 3 7 2 2" xfId="16410"/>
    <cellStyle name="Heading 1 2 2 8 2 3 7 3" xfId="16411"/>
    <cellStyle name="Heading 1 2 2 8 2 3 8" xfId="16412"/>
    <cellStyle name="Heading 1 2 2 8 2 3 8 2" xfId="16413"/>
    <cellStyle name="Heading 1 2 2 8 2 3 9" xfId="16414"/>
    <cellStyle name="Heading 1 2 2 8 2 4" xfId="16415"/>
    <cellStyle name="Heading 1 2 2 8 2 4 2" xfId="16416"/>
    <cellStyle name="Heading 1 2 2 8 2 4 2 2" xfId="16417"/>
    <cellStyle name="Heading 1 2 2 8 2 4 2 2 2" xfId="16418"/>
    <cellStyle name="Heading 1 2 2 8 2 4 2 3" xfId="16419"/>
    <cellStyle name="Heading 1 2 2 8 2 4 3" xfId="16420"/>
    <cellStyle name="Heading 1 2 2 8 2 4 3 2" xfId="16421"/>
    <cellStyle name="Heading 1 2 2 8 2 4 3 2 2" xfId="16422"/>
    <cellStyle name="Heading 1 2 2 8 2 4 3 3" xfId="16423"/>
    <cellStyle name="Heading 1 2 2 8 2 4 4" xfId="16424"/>
    <cellStyle name="Heading 1 2 2 8 2 4 4 2" xfId="16425"/>
    <cellStyle name="Heading 1 2 2 8 2 4 4 2 2" xfId="16426"/>
    <cellStyle name="Heading 1 2 2 8 2 4 4 3" xfId="16427"/>
    <cellStyle name="Heading 1 2 2 8 2 4 5" xfId="16428"/>
    <cellStyle name="Heading 1 2 2 8 2 4 5 2" xfId="16429"/>
    <cellStyle name="Heading 1 2 2 8 2 4 5 2 2" xfId="16430"/>
    <cellStyle name="Heading 1 2 2 8 2 4 5 3" xfId="16431"/>
    <cellStyle name="Heading 1 2 2 8 2 4 6" xfId="16432"/>
    <cellStyle name="Heading 1 2 2 8 2 4 6 2" xfId="16433"/>
    <cellStyle name="Heading 1 2 2 8 2 4 6 2 2" xfId="16434"/>
    <cellStyle name="Heading 1 2 2 8 2 4 6 3" xfId="16435"/>
    <cellStyle name="Heading 1 2 2 8 2 4 7" xfId="16436"/>
    <cellStyle name="Heading 1 2 2 8 2 4 7 2" xfId="16437"/>
    <cellStyle name="Heading 1 2 2 8 2 4 7 2 2" xfId="16438"/>
    <cellStyle name="Heading 1 2 2 8 2 4 7 3" xfId="16439"/>
    <cellStyle name="Heading 1 2 2 8 2 4 8" xfId="16440"/>
    <cellStyle name="Heading 1 2 2 8 2 4 8 2" xfId="16441"/>
    <cellStyle name="Heading 1 2 2 8 2 4 9" xfId="16442"/>
    <cellStyle name="Heading 1 2 2 8 2 5" xfId="16443"/>
    <cellStyle name="Heading 1 2 2 8 2 5 2" xfId="16444"/>
    <cellStyle name="Heading 1 2 2 8 2 5 2 2" xfId="16445"/>
    <cellStyle name="Heading 1 2 2 8 2 5 2 2 2" xfId="16446"/>
    <cellStyle name="Heading 1 2 2 8 2 5 2 3" xfId="16447"/>
    <cellStyle name="Heading 1 2 2 8 2 5 3" xfId="16448"/>
    <cellStyle name="Heading 1 2 2 8 2 5 3 2" xfId="16449"/>
    <cellStyle name="Heading 1 2 2 8 2 5 3 2 2" xfId="16450"/>
    <cellStyle name="Heading 1 2 2 8 2 5 3 3" xfId="16451"/>
    <cellStyle name="Heading 1 2 2 8 2 5 4" xfId="16452"/>
    <cellStyle name="Heading 1 2 2 8 2 5 4 2" xfId="16453"/>
    <cellStyle name="Heading 1 2 2 8 2 5 4 2 2" xfId="16454"/>
    <cellStyle name="Heading 1 2 2 8 2 5 4 3" xfId="16455"/>
    <cellStyle name="Heading 1 2 2 8 2 5 5" xfId="16456"/>
    <cellStyle name="Heading 1 2 2 8 2 5 5 2" xfId="16457"/>
    <cellStyle name="Heading 1 2 2 8 2 5 5 2 2" xfId="16458"/>
    <cellStyle name="Heading 1 2 2 8 2 5 5 3" xfId="16459"/>
    <cellStyle name="Heading 1 2 2 8 2 5 6" xfId="16460"/>
    <cellStyle name="Heading 1 2 2 8 2 5 6 2" xfId="16461"/>
    <cellStyle name="Heading 1 2 2 8 2 5 6 2 2" xfId="16462"/>
    <cellStyle name="Heading 1 2 2 8 2 5 6 3" xfId="16463"/>
    <cellStyle name="Heading 1 2 2 8 2 5 7" xfId="16464"/>
    <cellStyle name="Heading 1 2 2 8 2 5 7 2" xfId="16465"/>
    <cellStyle name="Heading 1 2 2 8 2 5 7 2 2" xfId="16466"/>
    <cellStyle name="Heading 1 2 2 8 2 5 7 3" xfId="16467"/>
    <cellStyle name="Heading 1 2 2 8 2 5 8" xfId="16468"/>
    <cellStyle name="Heading 1 2 2 8 2 5 8 2" xfId="16469"/>
    <cellStyle name="Heading 1 2 2 8 2 5 9" xfId="16470"/>
    <cellStyle name="Heading 1 2 2 8 2 6" xfId="16471"/>
    <cellStyle name="Heading 1 2 2 8 2 6 2" xfId="16472"/>
    <cellStyle name="Heading 1 2 2 8 2 6 2 2" xfId="16473"/>
    <cellStyle name="Heading 1 2 2 8 2 6 2 2 2" xfId="16474"/>
    <cellStyle name="Heading 1 2 2 8 2 6 2 3" xfId="16475"/>
    <cellStyle name="Heading 1 2 2 8 2 6 3" xfId="16476"/>
    <cellStyle name="Heading 1 2 2 8 2 6 3 2" xfId="16477"/>
    <cellStyle name="Heading 1 2 2 8 2 6 3 2 2" xfId="16478"/>
    <cellStyle name="Heading 1 2 2 8 2 6 3 3" xfId="16479"/>
    <cellStyle name="Heading 1 2 2 8 2 6 4" xfId="16480"/>
    <cellStyle name="Heading 1 2 2 8 2 6 4 2" xfId="16481"/>
    <cellStyle name="Heading 1 2 2 8 2 6 4 2 2" xfId="16482"/>
    <cellStyle name="Heading 1 2 2 8 2 6 4 3" xfId="16483"/>
    <cellStyle name="Heading 1 2 2 8 2 6 5" xfId="16484"/>
    <cellStyle name="Heading 1 2 2 8 2 6 5 2" xfId="16485"/>
    <cellStyle name="Heading 1 2 2 8 2 6 5 2 2" xfId="16486"/>
    <cellStyle name="Heading 1 2 2 8 2 6 5 3" xfId="16487"/>
    <cellStyle name="Heading 1 2 2 8 2 6 6" xfId="16488"/>
    <cellStyle name="Heading 1 2 2 8 2 6 6 2" xfId="16489"/>
    <cellStyle name="Heading 1 2 2 8 2 6 6 2 2" xfId="16490"/>
    <cellStyle name="Heading 1 2 2 8 2 6 6 3" xfId="16491"/>
    <cellStyle name="Heading 1 2 2 8 2 6 7" xfId="16492"/>
    <cellStyle name="Heading 1 2 2 8 2 6 7 2" xfId="16493"/>
    <cellStyle name="Heading 1 2 2 8 2 6 7 2 2" xfId="16494"/>
    <cellStyle name="Heading 1 2 2 8 2 6 7 3" xfId="16495"/>
    <cellStyle name="Heading 1 2 2 8 2 6 8" xfId="16496"/>
    <cellStyle name="Heading 1 2 2 8 2 6 8 2" xfId="16497"/>
    <cellStyle name="Heading 1 2 2 8 2 6 9" xfId="16498"/>
    <cellStyle name="Heading 1 2 2 8 2 7" xfId="16499"/>
    <cellStyle name="Heading 1 2 2 8 2 7 2" xfId="16500"/>
    <cellStyle name="Heading 1 2 2 8 2 7 2 2" xfId="16501"/>
    <cellStyle name="Heading 1 2 2 8 2 7 2 2 2" xfId="16502"/>
    <cellStyle name="Heading 1 2 2 8 2 7 2 3" xfId="16503"/>
    <cellStyle name="Heading 1 2 2 8 2 7 3" xfId="16504"/>
    <cellStyle name="Heading 1 2 2 8 2 7 3 2" xfId="16505"/>
    <cellStyle name="Heading 1 2 2 8 2 7 3 2 2" xfId="16506"/>
    <cellStyle name="Heading 1 2 2 8 2 7 3 3" xfId="16507"/>
    <cellStyle name="Heading 1 2 2 8 2 7 4" xfId="16508"/>
    <cellStyle name="Heading 1 2 2 8 2 7 4 2" xfId="16509"/>
    <cellStyle name="Heading 1 2 2 8 2 7 4 2 2" xfId="16510"/>
    <cellStyle name="Heading 1 2 2 8 2 7 4 3" xfId="16511"/>
    <cellStyle name="Heading 1 2 2 8 2 7 5" xfId="16512"/>
    <cellStyle name="Heading 1 2 2 8 2 7 5 2" xfId="16513"/>
    <cellStyle name="Heading 1 2 2 8 2 7 5 2 2" xfId="16514"/>
    <cellStyle name="Heading 1 2 2 8 2 7 5 3" xfId="16515"/>
    <cellStyle name="Heading 1 2 2 8 2 7 6" xfId="16516"/>
    <cellStyle name="Heading 1 2 2 8 2 7 6 2" xfId="16517"/>
    <cellStyle name="Heading 1 2 2 8 2 7 6 2 2" xfId="16518"/>
    <cellStyle name="Heading 1 2 2 8 2 7 6 3" xfId="16519"/>
    <cellStyle name="Heading 1 2 2 8 2 7 7" xfId="16520"/>
    <cellStyle name="Heading 1 2 2 8 2 7 7 2" xfId="16521"/>
    <cellStyle name="Heading 1 2 2 8 2 7 7 2 2" xfId="16522"/>
    <cellStyle name="Heading 1 2 2 8 2 7 7 3" xfId="16523"/>
    <cellStyle name="Heading 1 2 2 8 2 7 8" xfId="16524"/>
    <cellStyle name="Heading 1 2 2 8 2 7 8 2" xfId="16525"/>
    <cellStyle name="Heading 1 2 2 8 2 7 9" xfId="16526"/>
    <cellStyle name="Heading 1 2 2 8 2 8" xfId="16527"/>
    <cellStyle name="Heading 1 2 2 8 2 8 2" xfId="16528"/>
    <cellStyle name="Heading 1 2 2 8 2 8 2 2" xfId="16529"/>
    <cellStyle name="Heading 1 2 2 8 2 8 2 2 2" xfId="16530"/>
    <cellStyle name="Heading 1 2 2 8 2 8 2 3" xfId="16531"/>
    <cellStyle name="Heading 1 2 2 8 2 8 3" xfId="16532"/>
    <cellStyle name="Heading 1 2 2 8 2 8 3 2" xfId="16533"/>
    <cellStyle name="Heading 1 2 2 8 2 8 3 2 2" xfId="16534"/>
    <cellStyle name="Heading 1 2 2 8 2 8 3 3" xfId="16535"/>
    <cellStyle name="Heading 1 2 2 8 2 8 4" xfId="16536"/>
    <cellStyle name="Heading 1 2 2 8 2 8 4 2" xfId="16537"/>
    <cellStyle name="Heading 1 2 2 8 2 8 4 2 2" xfId="16538"/>
    <cellStyle name="Heading 1 2 2 8 2 8 4 3" xfId="16539"/>
    <cellStyle name="Heading 1 2 2 8 2 8 5" xfId="16540"/>
    <cellStyle name="Heading 1 2 2 8 2 8 5 2" xfId="16541"/>
    <cellStyle name="Heading 1 2 2 8 2 8 5 2 2" xfId="16542"/>
    <cellStyle name="Heading 1 2 2 8 2 8 5 3" xfId="16543"/>
    <cellStyle name="Heading 1 2 2 8 2 8 6" xfId="16544"/>
    <cellStyle name="Heading 1 2 2 8 2 8 6 2" xfId="16545"/>
    <cellStyle name="Heading 1 2 2 8 2 8 6 2 2" xfId="16546"/>
    <cellStyle name="Heading 1 2 2 8 2 8 6 3" xfId="16547"/>
    <cellStyle name="Heading 1 2 2 8 2 8 7" xfId="16548"/>
    <cellStyle name="Heading 1 2 2 8 2 8 7 2" xfId="16549"/>
    <cellStyle name="Heading 1 2 2 8 2 8 7 2 2" xfId="16550"/>
    <cellStyle name="Heading 1 2 2 8 2 8 7 3" xfId="16551"/>
    <cellStyle name="Heading 1 2 2 8 2 8 8" xfId="16552"/>
    <cellStyle name="Heading 1 2 2 8 2 8 8 2" xfId="16553"/>
    <cellStyle name="Heading 1 2 2 8 2 8 9" xfId="16554"/>
    <cellStyle name="Heading 1 2 2 8 2 9" xfId="16555"/>
    <cellStyle name="Heading 1 2 2 8 2 9 2" xfId="16556"/>
    <cellStyle name="Heading 1 2 2 8 2 9 2 2" xfId="16557"/>
    <cellStyle name="Heading 1 2 2 8 2 9 2 2 2" xfId="16558"/>
    <cellStyle name="Heading 1 2 2 8 2 9 2 3" xfId="16559"/>
    <cellStyle name="Heading 1 2 2 8 2 9 3" xfId="16560"/>
    <cellStyle name="Heading 1 2 2 8 2 9 3 2" xfId="16561"/>
    <cellStyle name="Heading 1 2 2 8 2 9 3 2 2" xfId="16562"/>
    <cellStyle name="Heading 1 2 2 8 2 9 3 3" xfId="16563"/>
    <cellStyle name="Heading 1 2 2 8 2 9 4" xfId="16564"/>
    <cellStyle name="Heading 1 2 2 8 2 9 4 2" xfId="16565"/>
    <cellStyle name="Heading 1 2 2 8 2 9 4 2 2" xfId="16566"/>
    <cellStyle name="Heading 1 2 2 8 2 9 4 3" xfId="16567"/>
    <cellStyle name="Heading 1 2 2 8 2 9 5" xfId="16568"/>
    <cellStyle name="Heading 1 2 2 8 2 9 5 2" xfId="16569"/>
    <cellStyle name="Heading 1 2 2 8 2 9 5 2 2" xfId="16570"/>
    <cellStyle name="Heading 1 2 2 8 2 9 5 3" xfId="16571"/>
    <cellStyle name="Heading 1 2 2 8 2 9 6" xfId="16572"/>
    <cellStyle name="Heading 1 2 2 8 2 9 6 2" xfId="16573"/>
    <cellStyle name="Heading 1 2 2 8 2 9 6 2 2" xfId="16574"/>
    <cellStyle name="Heading 1 2 2 8 2 9 6 3" xfId="16575"/>
    <cellStyle name="Heading 1 2 2 8 2 9 7" xfId="16576"/>
    <cellStyle name="Heading 1 2 2 8 2 9 7 2" xfId="16577"/>
    <cellStyle name="Heading 1 2 2 8 2 9 7 2 2" xfId="16578"/>
    <cellStyle name="Heading 1 2 2 8 2 9 7 3" xfId="16579"/>
    <cellStyle name="Heading 1 2 2 8 2 9 8" xfId="16580"/>
    <cellStyle name="Heading 1 2 2 8 2 9 8 2" xfId="16581"/>
    <cellStyle name="Heading 1 2 2 8 2 9 9" xfId="16582"/>
    <cellStyle name="Heading 1 2 2 8 3" xfId="16583"/>
    <cellStyle name="Heading 1 2 2 8 3 10" xfId="16584"/>
    <cellStyle name="Heading 1 2 2 8 3 10 2" xfId="16585"/>
    <cellStyle name="Heading 1 2 2 8 3 10 2 2" xfId="16586"/>
    <cellStyle name="Heading 1 2 2 8 3 10 3" xfId="16587"/>
    <cellStyle name="Heading 1 2 2 8 3 11" xfId="16588"/>
    <cellStyle name="Heading 1 2 2 8 3 11 2" xfId="16589"/>
    <cellStyle name="Heading 1 2 2 8 3 11 2 2" xfId="16590"/>
    <cellStyle name="Heading 1 2 2 8 3 11 3" xfId="16591"/>
    <cellStyle name="Heading 1 2 2 8 3 12" xfId="16592"/>
    <cellStyle name="Heading 1 2 2 8 3 12 2" xfId="16593"/>
    <cellStyle name="Heading 1 2 2 8 3 12 2 2" xfId="16594"/>
    <cellStyle name="Heading 1 2 2 8 3 12 3" xfId="16595"/>
    <cellStyle name="Heading 1 2 2 8 3 13" xfId="16596"/>
    <cellStyle name="Heading 1 2 2 8 3 13 2" xfId="16597"/>
    <cellStyle name="Heading 1 2 2 8 3 13 2 2" xfId="16598"/>
    <cellStyle name="Heading 1 2 2 8 3 13 3" xfId="16599"/>
    <cellStyle name="Heading 1 2 2 8 3 14" xfId="16600"/>
    <cellStyle name="Heading 1 2 2 8 3 14 2" xfId="16601"/>
    <cellStyle name="Heading 1 2 2 8 3 14 2 2" xfId="16602"/>
    <cellStyle name="Heading 1 2 2 8 3 14 3" xfId="16603"/>
    <cellStyle name="Heading 1 2 2 8 3 15" xfId="16604"/>
    <cellStyle name="Heading 1 2 2 8 3 15 2" xfId="16605"/>
    <cellStyle name="Heading 1 2 2 8 3 15 2 2" xfId="16606"/>
    <cellStyle name="Heading 1 2 2 8 3 15 3" xfId="16607"/>
    <cellStyle name="Heading 1 2 2 8 3 16" xfId="16608"/>
    <cellStyle name="Heading 1 2 2 8 3 16 2" xfId="16609"/>
    <cellStyle name="Heading 1 2 2 8 3 16 2 2" xfId="16610"/>
    <cellStyle name="Heading 1 2 2 8 3 16 3" xfId="16611"/>
    <cellStyle name="Heading 1 2 2 8 3 17" xfId="16612"/>
    <cellStyle name="Heading 1 2 2 8 3 17 2" xfId="16613"/>
    <cellStyle name="Heading 1 2 2 8 3 17 2 2" xfId="16614"/>
    <cellStyle name="Heading 1 2 2 8 3 17 3" xfId="16615"/>
    <cellStyle name="Heading 1 2 2 8 3 18" xfId="16616"/>
    <cellStyle name="Heading 1 2 2 8 3 18 2" xfId="16617"/>
    <cellStyle name="Heading 1 2 2 8 3 18 2 2" xfId="16618"/>
    <cellStyle name="Heading 1 2 2 8 3 18 3" xfId="16619"/>
    <cellStyle name="Heading 1 2 2 8 3 19" xfId="16620"/>
    <cellStyle name="Heading 1 2 2 8 3 19 2" xfId="16621"/>
    <cellStyle name="Heading 1 2 2 8 3 2" xfId="16622"/>
    <cellStyle name="Heading 1 2 2 8 3 2 2" xfId="16623"/>
    <cellStyle name="Heading 1 2 2 8 3 2 2 2" xfId="16624"/>
    <cellStyle name="Heading 1 2 2 8 3 2 2 2 2" xfId="16625"/>
    <cellStyle name="Heading 1 2 2 8 3 2 2 3" xfId="16626"/>
    <cellStyle name="Heading 1 2 2 8 3 2 3" xfId="16627"/>
    <cellStyle name="Heading 1 2 2 8 3 2 3 2" xfId="16628"/>
    <cellStyle name="Heading 1 2 2 8 3 2 3 2 2" xfId="16629"/>
    <cellStyle name="Heading 1 2 2 8 3 2 3 3" xfId="16630"/>
    <cellStyle name="Heading 1 2 2 8 3 2 4" xfId="16631"/>
    <cellStyle name="Heading 1 2 2 8 3 2 4 2" xfId="16632"/>
    <cellStyle name="Heading 1 2 2 8 3 2 4 2 2" xfId="16633"/>
    <cellStyle name="Heading 1 2 2 8 3 2 4 3" xfId="16634"/>
    <cellStyle name="Heading 1 2 2 8 3 2 5" xfId="16635"/>
    <cellStyle name="Heading 1 2 2 8 3 2 5 2" xfId="16636"/>
    <cellStyle name="Heading 1 2 2 8 3 2 5 2 2" xfId="16637"/>
    <cellStyle name="Heading 1 2 2 8 3 2 5 3" xfId="16638"/>
    <cellStyle name="Heading 1 2 2 8 3 2 6" xfId="16639"/>
    <cellStyle name="Heading 1 2 2 8 3 2 6 2" xfId="16640"/>
    <cellStyle name="Heading 1 2 2 8 3 2 6 2 2" xfId="16641"/>
    <cellStyle name="Heading 1 2 2 8 3 2 6 3" xfId="16642"/>
    <cellStyle name="Heading 1 2 2 8 3 2 7" xfId="16643"/>
    <cellStyle name="Heading 1 2 2 8 3 2 7 2" xfId="16644"/>
    <cellStyle name="Heading 1 2 2 8 3 2 7 2 2" xfId="16645"/>
    <cellStyle name="Heading 1 2 2 8 3 2 7 3" xfId="16646"/>
    <cellStyle name="Heading 1 2 2 8 3 2 8" xfId="16647"/>
    <cellStyle name="Heading 1 2 2 8 3 2 8 2" xfId="16648"/>
    <cellStyle name="Heading 1 2 2 8 3 2 9" xfId="16649"/>
    <cellStyle name="Heading 1 2 2 8 3 20" xfId="16650"/>
    <cellStyle name="Heading 1 2 2 8 3 20 2" xfId="16651"/>
    <cellStyle name="Heading 1 2 2 8 3 21" xfId="16652"/>
    <cellStyle name="Heading 1 2 2 8 3 21 2" xfId="16653"/>
    <cellStyle name="Heading 1 2 2 8 3 22" xfId="16654"/>
    <cellStyle name="Heading 1 2 2 8 3 3" xfId="16655"/>
    <cellStyle name="Heading 1 2 2 8 3 3 2" xfId="16656"/>
    <cellStyle name="Heading 1 2 2 8 3 3 2 2" xfId="16657"/>
    <cellStyle name="Heading 1 2 2 8 3 3 2 2 2" xfId="16658"/>
    <cellStyle name="Heading 1 2 2 8 3 3 2 3" xfId="16659"/>
    <cellStyle name="Heading 1 2 2 8 3 3 3" xfId="16660"/>
    <cellStyle name="Heading 1 2 2 8 3 3 3 2" xfId="16661"/>
    <cellStyle name="Heading 1 2 2 8 3 3 3 2 2" xfId="16662"/>
    <cellStyle name="Heading 1 2 2 8 3 3 3 3" xfId="16663"/>
    <cellStyle name="Heading 1 2 2 8 3 3 4" xfId="16664"/>
    <cellStyle name="Heading 1 2 2 8 3 3 4 2" xfId="16665"/>
    <cellStyle name="Heading 1 2 2 8 3 3 4 2 2" xfId="16666"/>
    <cellStyle name="Heading 1 2 2 8 3 3 4 3" xfId="16667"/>
    <cellStyle name="Heading 1 2 2 8 3 3 5" xfId="16668"/>
    <cellStyle name="Heading 1 2 2 8 3 3 5 2" xfId="16669"/>
    <cellStyle name="Heading 1 2 2 8 3 3 5 2 2" xfId="16670"/>
    <cellStyle name="Heading 1 2 2 8 3 3 5 3" xfId="16671"/>
    <cellStyle name="Heading 1 2 2 8 3 3 6" xfId="16672"/>
    <cellStyle name="Heading 1 2 2 8 3 3 6 2" xfId="16673"/>
    <cellStyle name="Heading 1 2 2 8 3 3 6 2 2" xfId="16674"/>
    <cellStyle name="Heading 1 2 2 8 3 3 6 3" xfId="16675"/>
    <cellStyle name="Heading 1 2 2 8 3 3 7" xfId="16676"/>
    <cellStyle name="Heading 1 2 2 8 3 3 7 2" xfId="16677"/>
    <cellStyle name="Heading 1 2 2 8 3 3 7 2 2" xfId="16678"/>
    <cellStyle name="Heading 1 2 2 8 3 3 7 3" xfId="16679"/>
    <cellStyle name="Heading 1 2 2 8 3 3 8" xfId="16680"/>
    <cellStyle name="Heading 1 2 2 8 3 3 8 2" xfId="16681"/>
    <cellStyle name="Heading 1 2 2 8 3 3 9" xfId="16682"/>
    <cellStyle name="Heading 1 2 2 8 3 4" xfId="16683"/>
    <cellStyle name="Heading 1 2 2 8 3 4 2" xfId="16684"/>
    <cellStyle name="Heading 1 2 2 8 3 4 2 2" xfId="16685"/>
    <cellStyle name="Heading 1 2 2 8 3 4 2 2 2" xfId="16686"/>
    <cellStyle name="Heading 1 2 2 8 3 4 2 3" xfId="16687"/>
    <cellStyle name="Heading 1 2 2 8 3 4 3" xfId="16688"/>
    <cellStyle name="Heading 1 2 2 8 3 4 3 2" xfId="16689"/>
    <cellStyle name="Heading 1 2 2 8 3 4 3 2 2" xfId="16690"/>
    <cellStyle name="Heading 1 2 2 8 3 4 3 3" xfId="16691"/>
    <cellStyle name="Heading 1 2 2 8 3 4 4" xfId="16692"/>
    <cellStyle name="Heading 1 2 2 8 3 4 4 2" xfId="16693"/>
    <cellStyle name="Heading 1 2 2 8 3 4 4 2 2" xfId="16694"/>
    <cellStyle name="Heading 1 2 2 8 3 4 4 3" xfId="16695"/>
    <cellStyle name="Heading 1 2 2 8 3 4 5" xfId="16696"/>
    <cellStyle name="Heading 1 2 2 8 3 4 5 2" xfId="16697"/>
    <cellStyle name="Heading 1 2 2 8 3 4 5 2 2" xfId="16698"/>
    <cellStyle name="Heading 1 2 2 8 3 4 5 3" xfId="16699"/>
    <cellStyle name="Heading 1 2 2 8 3 4 6" xfId="16700"/>
    <cellStyle name="Heading 1 2 2 8 3 4 6 2" xfId="16701"/>
    <cellStyle name="Heading 1 2 2 8 3 4 6 2 2" xfId="16702"/>
    <cellStyle name="Heading 1 2 2 8 3 4 6 3" xfId="16703"/>
    <cellStyle name="Heading 1 2 2 8 3 4 7" xfId="16704"/>
    <cellStyle name="Heading 1 2 2 8 3 4 7 2" xfId="16705"/>
    <cellStyle name="Heading 1 2 2 8 3 4 7 2 2" xfId="16706"/>
    <cellStyle name="Heading 1 2 2 8 3 4 7 3" xfId="16707"/>
    <cellStyle name="Heading 1 2 2 8 3 4 8" xfId="16708"/>
    <cellStyle name="Heading 1 2 2 8 3 4 8 2" xfId="16709"/>
    <cellStyle name="Heading 1 2 2 8 3 4 9" xfId="16710"/>
    <cellStyle name="Heading 1 2 2 8 3 5" xfId="16711"/>
    <cellStyle name="Heading 1 2 2 8 3 5 2" xfId="16712"/>
    <cellStyle name="Heading 1 2 2 8 3 5 2 2" xfId="16713"/>
    <cellStyle name="Heading 1 2 2 8 3 5 2 2 2" xfId="16714"/>
    <cellStyle name="Heading 1 2 2 8 3 5 2 3" xfId="16715"/>
    <cellStyle name="Heading 1 2 2 8 3 5 3" xfId="16716"/>
    <cellStyle name="Heading 1 2 2 8 3 5 3 2" xfId="16717"/>
    <cellStyle name="Heading 1 2 2 8 3 5 3 2 2" xfId="16718"/>
    <cellStyle name="Heading 1 2 2 8 3 5 3 3" xfId="16719"/>
    <cellStyle name="Heading 1 2 2 8 3 5 4" xfId="16720"/>
    <cellStyle name="Heading 1 2 2 8 3 5 4 2" xfId="16721"/>
    <cellStyle name="Heading 1 2 2 8 3 5 4 2 2" xfId="16722"/>
    <cellStyle name="Heading 1 2 2 8 3 5 4 3" xfId="16723"/>
    <cellStyle name="Heading 1 2 2 8 3 5 5" xfId="16724"/>
    <cellStyle name="Heading 1 2 2 8 3 5 5 2" xfId="16725"/>
    <cellStyle name="Heading 1 2 2 8 3 5 5 2 2" xfId="16726"/>
    <cellStyle name="Heading 1 2 2 8 3 5 5 3" xfId="16727"/>
    <cellStyle name="Heading 1 2 2 8 3 5 6" xfId="16728"/>
    <cellStyle name="Heading 1 2 2 8 3 5 6 2" xfId="16729"/>
    <cellStyle name="Heading 1 2 2 8 3 5 6 2 2" xfId="16730"/>
    <cellStyle name="Heading 1 2 2 8 3 5 6 3" xfId="16731"/>
    <cellStyle name="Heading 1 2 2 8 3 5 7" xfId="16732"/>
    <cellStyle name="Heading 1 2 2 8 3 5 7 2" xfId="16733"/>
    <cellStyle name="Heading 1 2 2 8 3 5 7 2 2" xfId="16734"/>
    <cellStyle name="Heading 1 2 2 8 3 5 7 3" xfId="16735"/>
    <cellStyle name="Heading 1 2 2 8 3 5 8" xfId="16736"/>
    <cellStyle name="Heading 1 2 2 8 3 5 8 2" xfId="16737"/>
    <cellStyle name="Heading 1 2 2 8 3 5 9" xfId="16738"/>
    <cellStyle name="Heading 1 2 2 8 3 6" xfId="16739"/>
    <cellStyle name="Heading 1 2 2 8 3 6 2" xfId="16740"/>
    <cellStyle name="Heading 1 2 2 8 3 6 2 2" xfId="16741"/>
    <cellStyle name="Heading 1 2 2 8 3 6 2 2 2" xfId="16742"/>
    <cellStyle name="Heading 1 2 2 8 3 6 2 3" xfId="16743"/>
    <cellStyle name="Heading 1 2 2 8 3 6 3" xfId="16744"/>
    <cellStyle name="Heading 1 2 2 8 3 6 3 2" xfId="16745"/>
    <cellStyle name="Heading 1 2 2 8 3 6 3 2 2" xfId="16746"/>
    <cellStyle name="Heading 1 2 2 8 3 6 3 3" xfId="16747"/>
    <cellStyle name="Heading 1 2 2 8 3 6 4" xfId="16748"/>
    <cellStyle name="Heading 1 2 2 8 3 6 4 2" xfId="16749"/>
    <cellStyle name="Heading 1 2 2 8 3 6 4 2 2" xfId="16750"/>
    <cellStyle name="Heading 1 2 2 8 3 6 4 3" xfId="16751"/>
    <cellStyle name="Heading 1 2 2 8 3 6 5" xfId="16752"/>
    <cellStyle name="Heading 1 2 2 8 3 6 5 2" xfId="16753"/>
    <cellStyle name="Heading 1 2 2 8 3 6 5 2 2" xfId="16754"/>
    <cellStyle name="Heading 1 2 2 8 3 6 5 3" xfId="16755"/>
    <cellStyle name="Heading 1 2 2 8 3 6 6" xfId="16756"/>
    <cellStyle name="Heading 1 2 2 8 3 6 6 2" xfId="16757"/>
    <cellStyle name="Heading 1 2 2 8 3 6 6 2 2" xfId="16758"/>
    <cellStyle name="Heading 1 2 2 8 3 6 6 3" xfId="16759"/>
    <cellStyle name="Heading 1 2 2 8 3 6 7" xfId="16760"/>
    <cellStyle name="Heading 1 2 2 8 3 6 7 2" xfId="16761"/>
    <cellStyle name="Heading 1 2 2 8 3 6 7 2 2" xfId="16762"/>
    <cellStyle name="Heading 1 2 2 8 3 6 7 3" xfId="16763"/>
    <cellStyle name="Heading 1 2 2 8 3 6 8" xfId="16764"/>
    <cellStyle name="Heading 1 2 2 8 3 6 8 2" xfId="16765"/>
    <cellStyle name="Heading 1 2 2 8 3 6 9" xfId="16766"/>
    <cellStyle name="Heading 1 2 2 8 3 7" xfId="16767"/>
    <cellStyle name="Heading 1 2 2 8 3 7 2" xfId="16768"/>
    <cellStyle name="Heading 1 2 2 8 3 7 2 2" xfId="16769"/>
    <cellStyle name="Heading 1 2 2 8 3 7 2 2 2" xfId="16770"/>
    <cellStyle name="Heading 1 2 2 8 3 7 2 3" xfId="16771"/>
    <cellStyle name="Heading 1 2 2 8 3 7 3" xfId="16772"/>
    <cellStyle name="Heading 1 2 2 8 3 7 3 2" xfId="16773"/>
    <cellStyle name="Heading 1 2 2 8 3 7 3 2 2" xfId="16774"/>
    <cellStyle name="Heading 1 2 2 8 3 7 3 3" xfId="16775"/>
    <cellStyle name="Heading 1 2 2 8 3 7 4" xfId="16776"/>
    <cellStyle name="Heading 1 2 2 8 3 7 4 2" xfId="16777"/>
    <cellStyle name="Heading 1 2 2 8 3 7 4 2 2" xfId="16778"/>
    <cellStyle name="Heading 1 2 2 8 3 7 4 3" xfId="16779"/>
    <cellStyle name="Heading 1 2 2 8 3 7 5" xfId="16780"/>
    <cellStyle name="Heading 1 2 2 8 3 7 5 2" xfId="16781"/>
    <cellStyle name="Heading 1 2 2 8 3 7 5 2 2" xfId="16782"/>
    <cellStyle name="Heading 1 2 2 8 3 7 5 3" xfId="16783"/>
    <cellStyle name="Heading 1 2 2 8 3 7 6" xfId="16784"/>
    <cellStyle name="Heading 1 2 2 8 3 7 6 2" xfId="16785"/>
    <cellStyle name="Heading 1 2 2 8 3 7 6 2 2" xfId="16786"/>
    <cellStyle name="Heading 1 2 2 8 3 7 6 3" xfId="16787"/>
    <cellStyle name="Heading 1 2 2 8 3 7 7" xfId="16788"/>
    <cellStyle name="Heading 1 2 2 8 3 7 7 2" xfId="16789"/>
    <cellStyle name="Heading 1 2 2 8 3 7 7 2 2" xfId="16790"/>
    <cellStyle name="Heading 1 2 2 8 3 7 7 3" xfId="16791"/>
    <cellStyle name="Heading 1 2 2 8 3 7 8" xfId="16792"/>
    <cellStyle name="Heading 1 2 2 8 3 7 8 2" xfId="16793"/>
    <cellStyle name="Heading 1 2 2 8 3 7 9" xfId="16794"/>
    <cellStyle name="Heading 1 2 2 8 3 8" xfId="16795"/>
    <cellStyle name="Heading 1 2 2 8 3 8 2" xfId="16796"/>
    <cellStyle name="Heading 1 2 2 8 3 8 2 2" xfId="16797"/>
    <cellStyle name="Heading 1 2 2 8 3 8 2 2 2" xfId="16798"/>
    <cellStyle name="Heading 1 2 2 8 3 8 2 3" xfId="16799"/>
    <cellStyle name="Heading 1 2 2 8 3 8 3" xfId="16800"/>
    <cellStyle name="Heading 1 2 2 8 3 8 3 2" xfId="16801"/>
    <cellStyle name="Heading 1 2 2 8 3 8 3 2 2" xfId="16802"/>
    <cellStyle name="Heading 1 2 2 8 3 8 3 3" xfId="16803"/>
    <cellStyle name="Heading 1 2 2 8 3 8 4" xfId="16804"/>
    <cellStyle name="Heading 1 2 2 8 3 8 4 2" xfId="16805"/>
    <cellStyle name="Heading 1 2 2 8 3 8 4 2 2" xfId="16806"/>
    <cellStyle name="Heading 1 2 2 8 3 8 4 3" xfId="16807"/>
    <cellStyle name="Heading 1 2 2 8 3 8 5" xfId="16808"/>
    <cellStyle name="Heading 1 2 2 8 3 8 5 2" xfId="16809"/>
    <cellStyle name="Heading 1 2 2 8 3 8 5 2 2" xfId="16810"/>
    <cellStyle name="Heading 1 2 2 8 3 8 5 3" xfId="16811"/>
    <cellStyle name="Heading 1 2 2 8 3 8 6" xfId="16812"/>
    <cellStyle name="Heading 1 2 2 8 3 8 6 2" xfId="16813"/>
    <cellStyle name="Heading 1 2 2 8 3 8 6 2 2" xfId="16814"/>
    <cellStyle name="Heading 1 2 2 8 3 8 6 3" xfId="16815"/>
    <cellStyle name="Heading 1 2 2 8 3 8 7" xfId="16816"/>
    <cellStyle name="Heading 1 2 2 8 3 8 7 2" xfId="16817"/>
    <cellStyle name="Heading 1 2 2 8 3 8 7 2 2" xfId="16818"/>
    <cellStyle name="Heading 1 2 2 8 3 8 7 3" xfId="16819"/>
    <cellStyle name="Heading 1 2 2 8 3 8 8" xfId="16820"/>
    <cellStyle name="Heading 1 2 2 8 3 8 8 2" xfId="16821"/>
    <cellStyle name="Heading 1 2 2 8 3 8 9" xfId="16822"/>
    <cellStyle name="Heading 1 2 2 8 3 9" xfId="16823"/>
    <cellStyle name="Heading 1 2 2 8 3 9 2" xfId="16824"/>
    <cellStyle name="Heading 1 2 2 8 3 9 2 2" xfId="16825"/>
    <cellStyle name="Heading 1 2 2 8 3 9 3" xfId="16826"/>
    <cellStyle name="Heading 1 2 2 8 4" xfId="16827"/>
    <cellStyle name="Heading 1 2 2 8 4 2" xfId="16828"/>
    <cellStyle name="Heading 1 2 2 8 4 2 2" xfId="16829"/>
    <cellStyle name="Heading 1 2 2 8 4 3" xfId="16830"/>
    <cellStyle name="Heading 1 2 2 8 5" xfId="16831"/>
    <cellStyle name="Heading 1 2 2 8 5 2" xfId="16832"/>
    <cellStyle name="Heading 1 2 2 8 6" xfId="16833"/>
    <cellStyle name="Heading 1 2 2 9" xfId="16834"/>
    <cellStyle name="Heading 1 2 2 9 10" xfId="16835"/>
    <cellStyle name="Heading 1 2 2 9 10 2" xfId="16836"/>
    <cellStyle name="Heading 1 2 2 9 10 2 2" xfId="16837"/>
    <cellStyle name="Heading 1 2 2 9 10 3" xfId="16838"/>
    <cellStyle name="Heading 1 2 2 9 11" xfId="16839"/>
    <cellStyle name="Heading 1 2 2 9 11 2" xfId="16840"/>
    <cellStyle name="Heading 1 2 2 9 11 2 2" xfId="16841"/>
    <cellStyle name="Heading 1 2 2 9 11 3" xfId="16842"/>
    <cellStyle name="Heading 1 2 2 9 12" xfId="16843"/>
    <cellStyle name="Heading 1 2 2 9 12 2" xfId="16844"/>
    <cellStyle name="Heading 1 2 2 9 12 2 2" xfId="16845"/>
    <cellStyle name="Heading 1 2 2 9 12 3" xfId="16846"/>
    <cellStyle name="Heading 1 2 2 9 13" xfId="16847"/>
    <cellStyle name="Heading 1 2 2 9 13 2" xfId="16848"/>
    <cellStyle name="Heading 1 2 2 9 13 2 2" xfId="16849"/>
    <cellStyle name="Heading 1 2 2 9 13 3" xfId="16850"/>
    <cellStyle name="Heading 1 2 2 9 14" xfId="16851"/>
    <cellStyle name="Heading 1 2 2 9 14 2" xfId="16852"/>
    <cellStyle name="Heading 1 2 2 9 14 2 2" xfId="16853"/>
    <cellStyle name="Heading 1 2 2 9 14 3" xfId="16854"/>
    <cellStyle name="Heading 1 2 2 9 15" xfId="16855"/>
    <cellStyle name="Heading 1 2 2 9 15 2" xfId="16856"/>
    <cellStyle name="Heading 1 2 2 9 15 2 2" xfId="16857"/>
    <cellStyle name="Heading 1 2 2 9 15 3" xfId="16858"/>
    <cellStyle name="Heading 1 2 2 9 16" xfId="16859"/>
    <cellStyle name="Heading 1 2 2 9 16 2" xfId="16860"/>
    <cellStyle name="Heading 1 2 2 9 16 2 2" xfId="16861"/>
    <cellStyle name="Heading 1 2 2 9 16 3" xfId="16862"/>
    <cellStyle name="Heading 1 2 2 9 17" xfId="16863"/>
    <cellStyle name="Heading 1 2 2 9 17 2" xfId="16864"/>
    <cellStyle name="Heading 1 2 2 9 17 2 2" xfId="16865"/>
    <cellStyle name="Heading 1 2 2 9 17 3" xfId="16866"/>
    <cellStyle name="Heading 1 2 2 9 18" xfId="16867"/>
    <cellStyle name="Heading 1 2 2 9 18 2" xfId="16868"/>
    <cellStyle name="Heading 1 2 2 9 18 2 2" xfId="16869"/>
    <cellStyle name="Heading 1 2 2 9 18 3" xfId="16870"/>
    <cellStyle name="Heading 1 2 2 9 19" xfId="16871"/>
    <cellStyle name="Heading 1 2 2 9 19 2" xfId="16872"/>
    <cellStyle name="Heading 1 2 2 9 19 2 2" xfId="16873"/>
    <cellStyle name="Heading 1 2 2 9 19 3" xfId="16874"/>
    <cellStyle name="Heading 1 2 2 9 2" xfId="16875"/>
    <cellStyle name="Heading 1 2 2 9 2 10" xfId="16876"/>
    <cellStyle name="Heading 1 2 2 9 2 10 2" xfId="16877"/>
    <cellStyle name="Heading 1 2 2 9 2 10 2 2" xfId="16878"/>
    <cellStyle name="Heading 1 2 2 9 2 10 3" xfId="16879"/>
    <cellStyle name="Heading 1 2 2 9 2 11" xfId="16880"/>
    <cellStyle name="Heading 1 2 2 9 2 11 2" xfId="16881"/>
    <cellStyle name="Heading 1 2 2 9 2 11 2 2" xfId="16882"/>
    <cellStyle name="Heading 1 2 2 9 2 11 3" xfId="16883"/>
    <cellStyle name="Heading 1 2 2 9 2 12" xfId="16884"/>
    <cellStyle name="Heading 1 2 2 9 2 12 2" xfId="16885"/>
    <cellStyle name="Heading 1 2 2 9 2 12 2 2" xfId="16886"/>
    <cellStyle name="Heading 1 2 2 9 2 12 3" xfId="16887"/>
    <cellStyle name="Heading 1 2 2 9 2 13" xfId="16888"/>
    <cellStyle name="Heading 1 2 2 9 2 13 2" xfId="16889"/>
    <cellStyle name="Heading 1 2 2 9 2 13 2 2" xfId="16890"/>
    <cellStyle name="Heading 1 2 2 9 2 13 3" xfId="16891"/>
    <cellStyle name="Heading 1 2 2 9 2 14" xfId="16892"/>
    <cellStyle name="Heading 1 2 2 9 2 14 2" xfId="16893"/>
    <cellStyle name="Heading 1 2 2 9 2 14 2 2" xfId="16894"/>
    <cellStyle name="Heading 1 2 2 9 2 14 3" xfId="16895"/>
    <cellStyle name="Heading 1 2 2 9 2 15" xfId="16896"/>
    <cellStyle name="Heading 1 2 2 9 2 15 2" xfId="16897"/>
    <cellStyle name="Heading 1 2 2 9 2 15 2 2" xfId="16898"/>
    <cellStyle name="Heading 1 2 2 9 2 15 3" xfId="16899"/>
    <cellStyle name="Heading 1 2 2 9 2 16" xfId="16900"/>
    <cellStyle name="Heading 1 2 2 9 2 16 2" xfId="16901"/>
    <cellStyle name="Heading 1 2 2 9 2 16 2 2" xfId="16902"/>
    <cellStyle name="Heading 1 2 2 9 2 16 3" xfId="16903"/>
    <cellStyle name="Heading 1 2 2 9 2 17" xfId="16904"/>
    <cellStyle name="Heading 1 2 2 9 2 17 2" xfId="16905"/>
    <cellStyle name="Heading 1 2 2 9 2 17 2 2" xfId="16906"/>
    <cellStyle name="Heading 1 2 2 9 2 17 3" xfId="16907"/>
    <cellStyle name="Heading 1 2 2 9 2 18" xfId="16908"/>
    <cellStyle name="Heading 1 2 2 9 2 18 2" xfId="16909"/>
    <cellStyle name="Heading 1 2 2 9 2 18 2 2" xfId="16910"/>
    <cellStyle name="Heading 1 2 2 9 2 18 3" xfId="16911"/>
    <cellStyle name="Heading 1 2 2 9 2 19" xfId="16912"/>
    <cellStyle name="Heading 1 2 2 9 2 19 2" xfId="16913"/>
    <cellStyle name="Heading 1 2 2 9 2 2" xfId="16914"/>
    <cellStyle name="Heading 1 2 2 9 2 2 2" xfId="16915"/>
    <cellStyle name="Heading 1 2 2 9 2 2 2 2" xfId="16916"/>
    <cellStyle name="Heading 1 2 2 9 2 2 2 2 2" xfId="16917"/>
    <cellStyle name="Heading 1 2 2 9 2 2 2 3" xfId="16918"/>
    <cellStyle name="Heading 1 2 2 9 2 2 3" xfId="16919"/>
    <cellStyle name="Heading 1 2 2 9 2 2 3 2" xfId="16920"/>
    <cellStyle name="Heading 1 2 2 9 2 2 3 2 2" xfId="16921"/>
    <cellStyle name="Heading 1 2 2 9 2 2 3 3" xfId="16922"/>
    <cellStyle name="Heading 1 2 2 9 2 2 4" xfId="16923"/>
    <cellStyle name="Heading 1 2 2 9 2 2 4 2" xfId="16924"/>
    <cellStyle name="Heading 1 2 2 9 2 2 4 2 2" xfId="16925"/>
    <cellStyle name="Heading 1 2 2 9 2 2 4 3" xfId="16926"/>
    <cellStyle name="Heading 1 2 2 9 2 2 5" xfId="16927"/>
    <cellStyle name="Heading 1 2 2 9 2 2 5 2" xfId="16928"/>
    <cellStyle name="Heading 1 2 2 9 2 2 5 2 2" xfId="16929"/>
    <cellStyle name="Heading 1 2 2 9 2 2 5 3" xfId="16930"/>
    <cellStyle name="Heading 1 2 2 9 2 2 6" xfId="16931"/>
    <cellStyle name="Heading 1 2 2 9 2 2 6 2" xfId="16932"/>
    <cellStyle name="Heading 1 2 2 9 2 2 6 2 2" xfId="16933"/>
    <cellStyle name="Heading 1 2 2 9 2 2 6 3" xfId="16934"/>
    <cellStyle name="Heading 1 2 2 9 2 2 7" xfId="16935"/>
    <cellStyle name="Heading 1 2 2 9 2 2 7 2" xfId="16936"/>
    <cellStyle name="Heading 1 2 2 9 2 2 7 2 2" xfId="16937"/>
    <cellStyle name="Heading 1 2 2 9 2 2 7 3" xfId="16938"/>
    <cellStyle name="Heading 1 2 2 9 2 2 8" xfId="16939"/>
    <cellStyle name="Heading 1 2 2 9 2 2 8 2" xfId="16940"/>
    <cellStyle name="Heading 1 2 2 9 2 2 9" xfId="16941"/>
    <cellStyle name="Heading 1 2 2 9 2 20" xfId="16942"/>
    <cellStyle name="Heading 1 2 2 9 2 20 2" xfId="16943"/>
    <cellStyle name="Heading 1 2 2 9 2 21" xfId="16944"/>
    <cellStyle name="Heading 1 2 2 9 2 21 2" xfId="16945"/>
    <cellStyle name="Heading 1 2 2 9 2 22" xfId="16946"/>
    <cellStyle name="Heading 1 2 2 9 2 3" xfId="16947"/>
    <cellStyle name="Heading 1 2 2 9 2 3 2" xfId="16948"/>
    <cellStyle name="Heading 1 2 2 9 2 3 2 2" xfId="16949"/>
    <cellStyle name="Heading 1 2 2 9 2 3 2 2 2" xfId="16950"/>
    <cellStyle name="Heading 1 2 2 9 2 3 2 3" xfId="16951"/>
    <cellStyle name="Heading 1 2 2 9 2 3 3" xfId="16952"/>
    <cellStyle name="Heading 1 2 2 9 2 3 3 2" xfId="16953"/>
    <cellStyle name="Heading 1 2 2 9 2 3 3 2 2" xfId="16954"/>
    <cellStyle name="Heading 1 2 2 9 2 3 3 3" xfId="16955"/>
    <cellStyle name="Heading 1 2 2 9 2 3 4" xfId="16956"/>
    <cellStyle name="Heading 1 2 2 9 2 3 4 2" xfId="16957"/>
    <cellStyle name="Heading 1 2 2 9 2 3 4 2 2" xfId="16958"/>
    <cellStyle name="Heading 1 2 2 9 2 3 4 3" xfId="16959"/>
    <cellStyle name="Heading 1 2 2 9 2 3 5" xfId="16960"/>
    <cellStyle name="Heading 1 2 2 9 2 3 5 2" xfId="16961"/>
    <cellStyle name="Heading 1 2 2 9 2 3 5 2 2" xfId="16962"/>
    <cellStyle name="Heading 1 2 2 9 2 3 5 3" xfId="16963"/>
    <cellStyle name="Heading 1 2 2 9 2 3 6" xfId="16964"/>
    <cellStyle name="Heading 1 2 2 9 2 3 6 2" xfId="16965"/>
    <cellStyle name="Heading 1 2 2 9 2 3 6 2 2" xfId="16966"/>
    <cellStyle name="Heading 1 2 2 9 2 3 6 3" xfId="16967"/>
    <cellStyle name="Heading 1 2 2 9 2 3 7" xfId="16968"/>
    <cellStyle name="Heading 1 2 2 9 2 3 7 2" xfId="16969"/>
    <cellStyle name="Heading 1 2 2 9 2 3 7 2 2" xfId="16970"/>
    <cellStyle name="Heading 1 2 2 9 2 3 7 3" xfId="16971"/>
    <cellStyle name="Heading 1 2 2 9 2 3 8" xfId="16972"/>
    <cellStyle name="Heading 1 2 2 9 2 3 8 2" xfId="16973"/>
    <cellStyle name="Heading 1 2 2 9 2 3 9" xfId="16974"/>
    <cellStyle name="Heading 1 2 2 9 2 4" xfId="16975"/>
    <cellStyle name="Heading 1 2 2 9 2 4 2" xfId="16976"/>
    <cellStyle name="Heading 1 2 2 9 2 4 2 2" xfId="16977"/>
    <cellStyle name="Heading 1 2 2 9 2 4 2 2 2" xfId="16978"/>
    <cellStyle name="Heading 1 2 2 9 2 4 2 3" xfId="16979"/>
    <cellStyle name="Heading 1 2 2 9 2 4 3" xfId="16980"/>
    <cellStyle name="Heading 1 2 2 9 2 4 3 2" xfId="16981"/>
    <cellStyle name="Heading 1 2 2 9 2 4 3 2 2" xfId="16982"/>
    <cellStyle name="Heading 1 2 2 9 2 4 3 3" xfId="16983"/>
    <cellStyle name="Heading 1 2 2 9 2 4 4" xfId="16984"/>
    <cellStyle name="Heading 1 2 2 9 2 4 4 2" xfId="16985"/>
    <cellStyle name="Heading 1 2 2 9 2 4 4 2 2" xfId="16986"/>
    <cellStyle name="Heading 1 2 2 9 2 4 4 3" xfId="16987"/>
    <cellStyle name="Heading 1 2 2 9 2 4 5" xfId="16988"/>
    <cellStyle name="Heading 1 2 2 9 2 4 5 2" xfId="16989"/>
    <cellStyle name="Heading 1 2 2 9 2 4 5 2 2" xfId="16990"/>
    <cellStyle name="Heading 1 2 2 9 2 4 5 3" xfId="16991"/>
    <cellStyle name="Heading 1 2 2 9 2 4 6" xfId="16992"/>
    <cellStyle name="Heading 1 2 2 9 2 4 6 2" xfId="16993"/>
    <cellStyle name="Heading 1 2 2 9 2 4 6 2 2" xfId="16994"/>
    <cellStyle name="Heading 1 2 2 9 2 4 6 3" xfId="16995"/>
    <cellStyle name="Heading 1 2 2 9 2 4 7" xfId="16996"/>
    <cellStyle name="Heading 1 2 2 9 2 4 7 2" xfId="16997"/>
    <cellStyle name="Heading 1 2 2 9 2 4 7 2 2" xfId="16998"/>
    <cellStyle name="Heading 1 2 2 9 2 4 7 3" xfId="16999"/>
    <cellStyle name="Heading 1 2 2 9 2 4 8" xfId="17000"/>
    <cellStyle name="Heading 1 2 2 9 2 4 8 2" xfId="17001"/>
    <cellStyle name="Heading 1 2 2 9 2 4 9" xfId="17002"/>
    <cellStyle name="Heading 1 2 2 9 2 5" xfId="17003"/>
    <cellStyle name="Heading 1 2 2 9 2 5 2" xfId="17004"/>
    <cellStyle name="Heading 1 2 2 9 2 5 2 2" xfId="17005"/>
    <cellStyle name="Heading 1 2 2 9 2 5 2 2 2" xfId="17006"/>
    <cellStyle name="Heading 1 2 2 9 2 5 2 3" xfId="17007"/>
    <cellStyle name="Heading 1 2 2 9 2 5 3" xfId="17008"/>
    <cellStyle name="Heading 1 2 2 9 2 5 3 2" xfId="17009"/>
    <cellStyle name="Heading 1 2 2 9 2 5 3 2 2" xfId="17010"/>
    <cellStyle name="Heading 1 2 2 9 2 5 3 3" xfId="17011"/>
    <cellStyle name="Heading 1 2 2 9 2 5 4" xfId="17012"/>
    <cellStyle name="Heading 1 2 2 9 2 5 4 2" xfId="17013"/>
    <cellStyle name="Heading 1 2 2 9 2 5 4 2 2" xfId="17014"/>
    <cellStyle name="Heading 1 2 2 9 2 5 4 3" xfId="17015"/>
    <cellStyle name="Heading 1 2 2 9 2 5 5" xfId="17016"/>
    <cellStyle name="Heading 1 2 2 9 2 5 5 2" xfId="17017"/>
    <cellStyle name="Heading 1 2 2 9 2 5 5 2 2" xfId="17018"/>
    <cellStyle name="Heading 1 2 2 9 2 5 5 3" xfId="17019"/>
    <cellStyle name="Heading 1 2 2 9 2 5 6" xfId="17020"/>
    <cellStyle name="Heading 1 2 2 9 2 5 6 2" xfId="17021"/>
    <cellStyle name="Heading 1 2 2 9 2 5 6 2 2" xfId="17022"/>
    <cellStyle name="Heading 1 2 2 9 2 5 6 3" xfId="17023"/>
    <cellStyle name="Heading 1 2 2 9 2 5 7" xfId="17024"/>
    <cellStyle name="Heading 1 2 2 9 2 5 7 2" xfId="17025"/>
    <cellStyle name="Heading 1 2 2 9 2 5 7 2 2" xfId="17026"/>
    <cellStyle name="Heading 1 2 2 9 2 5 7 3" xfId="17027"/>
    <cellStyle name="Heading 1 2 2 9 2 5 8" xfId="17028"/>
    <cellStyle name="Heading 1 2 2 9 2 5 8 2" xfId="17029"/>
    <cellStyle name="Heading 1 2 2 9 2 5 9" xfId="17030"/>
    <cellStyle name="Heading 1 2 2 9 2 6" xfId="17031"/>
    <cellStyle name="Heading 1 2 2 9 2 6 2" xfId="17032"/>
    <cellStyle name="Heading 1 2 2 9 2 6 2 2" xfId="17033"/>
    <cellStyle name="Heading 1 2 2 9 2 6 2 2 2" xfId="17034"/>
    <cellStyle name="Heading 1 2 2 9 2 6 2 3" xfId="17035"/>
    <cellStyle name="Heading 1 2 2 9 2 6 3" xfId="17036"/>
    <cellStyle name="Heading 1 2 2 9 2 6 3 2" xfId="17037"/>
    <cellStyle name="Heading 1 2 2 9 2 6 3 2 2" xfId="17038"/>
    <cellStyle name="Heading 1 2 2 9 2 6 3 3" xfId="17039"/>
    <cellStyle name="Heading 1 2 2 9 2 6 4" xfId="17040"/>
    <cellStyle name="Heading 1 2 2 9 2 6 4 2" xfId="17041"/>
    <cellStyle name="Heading 1 2 2 9 2 6 4 2 2" xfId="17042"/>
    <cellStyle name="Heading 1 2 2 9 2 6 4 3" xfId="17043"/>
    <cellStyle name="Heading 1 2 2 9 2 6 5" xfId="17044"/>
    <cellStyle name="Heading 1 2 2 9 2 6 5 2" xfId="17045"/>
    <cellStyle name="Heading 1 2 2 9 2 6 5 2 2" xfId="17046"/>
    <cellStyle name="Heading 1 2 2 9 2 6 5 3" xfId="17047"/>
    <cellStyle name="Heading 1 2 2 9 2 6 6" xfId="17048"/>
    <cellStyle name="Heading 1 2 2 9 2 6 6 2" xfId="17049"/>
    <cellStyle name="Heading 1 2 2 9 2 6 6 2 2" xfId="17050"/>
    <cellStyle name="Heading 1 2 2 9 2 6 6 3" xfId="17051"/>
    <cellStyle name="Heading 1 2 2 9 2 6 7" xfId="17052"/>
    <cellStyle name="Heading 1 2 2 9 2 6 7 2" xfId="17053"/>
    <cellStyle name="Heading 1 2 2 9 2 6 7 2 2" xfId="17054"/>
    <cellStyle name="Heading 1 2 2 9 2 6 7 3" xfId="17055"/>
    <cellStyle name="Heading 1 2 2 9 2 6 8" xfId="17056"/>
    <cellStyle name="Heading 1 2 2 9 2 6 8 2" xfId="17057"/>
    <cellStyle name="Heading 1 2 2 9 2 6 9" xfId="17058"/>
    <cellStyle name="Heading 1 2 2 9 2 7" xfId="17059"/>
    <cellStyle name="Heading 1 2 2 9 2 7 2" xfId="17060"/>
    <cellStyle name="Heading 1 2 2 9 2 7 2 2" xfId="17061"/>
    <cellStyle name="Heading 1 2 2 9 2 7 2 2 2" xfId="17062"/>
    <cellStyle name="Heading 1 2 2 9 2 7 2 3" xfId="17063"/>
    <cellStyle name="Heading 1 2 2 9 2 7 3" xfId="17064"/>
    <cellStyle name="Heading 1 2 2 9 2 7 3 2" xfId="17065"/>
    <cellStyle name="Heading 1 2 2 9 2 7 3 2 2" xfId="17066"/>
    <cellStyle name="Heading 1 2 2 9 2 7 3 3" xfId="17067"/>
    <cellStyle name="Heading 1 2 2 9 2 7 4" xfId="17068"/>
    <cellStyle name="Heading 1 2 2 9 2 7 4 2" xfId="17069"/>
    <cellStyle name="Heading 1 2 2 9 2 7 4 2 2" xfId="17070"/>
    <cellStyle name="Heading 1 2 2 9 2 7 4 3" xfId="17071"/>
    <cellStyle name="Heading 1 2 2 9 2 7 5" xfId="17072"/>
    <cellStyle name="Heading 1 2 2 9 2 7 5 2" xfId="17073"/>
    <cellStyle name="Heading 1 2 2 9 2 7 5 2 2" xfId="17074"/>
    <cellStyle name="Heading 1 2 2 9 2 7 5 3" xfId="17075"/>
    <cellStyle name="Heading 1 2 2 9 2 7 6" xfId="17076"/>
    <cellStyle name="Heading 1 2 2 9 2 7 6 2" xfId="17077"/>
    <cellStyle name="Heading 1 2 2 9 2 7 6 2 2" xfId="17078"/>
    <cellStyle name="Heading 1 2 2 9 2 7 6 3" xfId="17079"/>
    <cellStyle name="Heading 1 2 2 9 2 7 7" xfId="17080"/>
    <cellStyle name="Heading 1 2 2 9 2 7 7 2" xfId="17081"/>
    <cellStyle name="Heading 1 2 2 9 2 7 7 2 2" xfId="17082"/>
    <cellStyle name="Heading 1 2 2 9 2 7 7 3" xfId="17083"/>
    <cellStyle name="Heading 1 2 2 9 2 7 8" xfId="17084"/>
    <cellStyle name="Heading 1 2 2 9 2 7 8 2" xfId="17085"/>
    <cellStyle name="Heading 1 2 2 9 2 7 9" xfId="17086"/>
    <cellStyle name="Heading 1 2 2 9 2 8" xfId="17087"/>
    <cellStyle name="Heading 1 2 2 9 2 8 2" xfId="17088"/>
    <cellStyle name="Heading 1 2 2 9 2 8 2 2" xfId="17089"/>
    <cellStyle name="Heading 1 2 2 9 2 8 2 2 2" xfId="17090"/>
    <cellStyle name="Heading 1 2 2 9 2 8 2 3" xfId="17091"/>
    <cellStyle name="Heading 1 2 2 9 2 8 3" xfId="17092"/>
    <cellStyle name="Heading 1 2 2 9 2 8 3 2" xfId="17093"/>
    <cellStyle name="Heading 1 2 2 9 2 8 3 2 2" xfId="17094"/>
    <cellStyle name="Heading 1 2 2 9 2 8 3 3" xfId="17095"/>
    <cellStyle name="Heading 1 2 2 9 2 8 4" xfId="17096"/>
    <cellStyle name="Heading 1 2 2 9 2 8 4 2" xfId="17097"/>
    <cellStyle name="Heading 1 2 2 9 2 8 4 2 2" xfId="17098"/>
    <cellStyle name="Heading 1 2 2 9 2 8 4 3" xfId="17099"/>
    <cellStyle name="Heading 1 2 2 9 2 8 5" xfId="17100"/>
    <cellStyle name="Heading 1 2 2 9 2 8 5 2" xfId="17101"/>
    <cellStyle name="Heading 1 2 2 9 2 8 5 2 2" xfId="17102"/>
    <cellStyle name="Heading 1 2 2 9 2 8 5 3" xfId="17103"/>
    <cellStyle name="Heading 1 2 2 9 2 8 6" xfId="17104"/>
    <cellStyle name="Heading 1 2 2 9 2 8 6 2" xfId="17105"/>
    <cellStyle name="Heading 1 2 2 9 2 8 6 2 2" xfId="17106"/>
    <cellStyle name="Heading 1 2 2 9 2 8 6 3" xfId="17107"/>
    <cellStyle name="Heading 1 2 2 9 2 8 7" xfId="17108"/>
    <cellStyle name="Heading 1 2 2 9 2 8 7 2" xfId="17109"/>
    <cellStyle name="Heading 1 2 2 9 2 8 7 2 2" xfId="17110"/>
    <cellStyle name="Heading 1 2 2 9 2 8 7 3" xfId="17111"/>
    <cellStyle name="Heading 1 2 2 9 2 8 8" xfId="17112"/>
    <cellStyle name="Heading 1 2 2 9 2 8 8 2" xfId="17113"/>
    <cellStyle name="Heading 1 2 2 9 2 8 9" xfId="17114"/>
    <cellStyle name="Heading 1 2 2 9 2 9" xfId="17115"/>
    <cellStyle name="Heading 1 2 2 9 2 9 2" xfId="17116"/>
    <cellStyle name="Heading 1 2 2 9 2 9 2 2" xfId="17117"/>
    <cellStyle name="Heading 1 2 2 9 2 9 3" xfId="17118"/>
    <cellStyle name="Heading 1 2 2 9 20" xfId="17119"/>
    <cellStyle name="Heading 1 2 2 9 20 2" xfId="17120"/>
    <cellStyle name="Heading 1 2 2 9 21" xfId="17121"/>
    <cellStyle name="Heading 1 2 2 9 21 2" xfId="17122"/>
    <cellStyle name="Heading 1 2 2 9 22" xfId="17123"/>
    <cellStyle name="Heading 1 2 2 9 22 2" xfId="17124"/>
    <cellStyle name="Heading 1 2 2 9 23" xfId="17125"/>
    <cellStyle name="Heading 1 2 2 9 3" xfId="17126"/>
    <cellStyle name="Heading 1 2 2 9 3 2" xfId="17127"/>
    <cellStyle name="Heading 1 2 2 9 3 2 2" xfId="17128"/>
    <cellStyle name="Heading 1 2 2 9 3 2 2 2" xfId="17129"/>
    <cellStyle name="Heading 1 2 2 9 3 2 3" xfId="17130"/>
    <cellStyle name="Heading 1 2 2 9 3 3" xfId="17131"/>
    <cellStyle name="Heading 1 2 2 9 3 3 2" xfId="17132"/>
    <cellStyle name="Heading 1 2 2 9 3 3 2 2" xfId="17133"/>
    <cellStyle name="Heading 1 2 2 9 3 3 3" xfId="17134"/>
    <cellStyle name="Heading 1 2 2 9 3 4" xfId="17135"/>
    <cellStyle name="Heading 1 2 2 9 3 4 2" xfId="17136"/>
    <cellStyle name="Heading 1 2 2 9 3 4 2 2" xfId="17137"/>
    <cellStyle name="Heading 1 2 2 9 3 4 3" xfId="17138"/>
    <cellStyle name="Heading 1 2 2 9 3 5" xfId="17139"/>
    <cellStyle name="Heading 1 2 2 9 3 5 2" xfId="17140"/>
    <cellStyle name="Heading 1 2 2 9 3 5 2 2" xfId="17141"/>
    <cellStyle name="Heading 1 2 2 9 3 5 3" xfId="17142"/>
    <cellStyle name="Heading 1 2 2 9 3 6" xfId="17143"/>
    <cellStyle name="Heading 1 2 2 9 3 6 2" xfId="17144"/>
    <cellStyle name="Heading 1 2 2 9 3 6 2 2" xfId="17145"/>
    <cellStyle name="Heading 1 2 2 9 3 6 3" xfId="17146"/>
    <cellStyle name="Heading 1 2 2 9 3 7" xfId="17147"/>
    <cellStyle name="Heading 1 2 2 9 3 7 2" xfId="17148"/>
    <cellStyle name="Heading 1 2 2 9 3 7 2 2" xfId="17149"/>
    <cellStyle name="Heading 1 2 2 9 3 7 3" xfId="17150"/>
    <cellStyle name="Heading 1 2 2 9 3 8" xfId="17151"/>
    <cellStyle name="Heading 1 2 2 9 3 8 2" xfId="17152"/>
    <cellStyle name="Heading 1 2 2 9 3 9" xfId="17153"/>
    <cellStyle name="Heading 1 2 2 9 4" xfId="17154"/>
    <cellStyle name="Heading 1 2 2 9 4 2" xfId="17155"/>
    <cellStyle name="Heading 1 2 2 9 4 2 2" xfId="17156"/>
    <cellStyle name="Heading 1 2 2 9 4 2 2 2" xfId="17157"/>
    <cellStyle name="Heading 1 2 2 9 4 2 3" xfId="17158"/>
    <cellStyle name="Heading 1 2 2 9 4 3" xfId="17159"/>
    <cellStyle name="Heading 1 2 2 9 4 3 2" xfId="17160"/>
    <cellStyle name="Heading 1 2 2 9 4 3 2 2" xfId="17161"/>
    <cellStyle name="Heading 1 2 2 9 4 3 3" xfId="17162"/>
    <cellStyle name="Heading 1 2 2 9 4 4" xfId="17163"/>
    <cellStyle name="Heading 1 2 2 9 4 4 2" xfId="17164"/>
    <cellStyle name="Heading 1 2 2 9 4 4 2 2" xfId="17165"/>
    <cellStyle name="Heading 1 2 2 9 4 4 3" xfId="17166"/>
    <cellStyle name="Heading 1 2 2 9 4 5" xfId="17167"/>
    <cellStyle name="Heading 1 2 2 9 4 5 2" xfId="17168"/>
    <cellStyle name="Heading 1 2 2 9 4 5 2 2" xfId="17169"/>
    <cellStyle name="Heading 1 2 2 9 4 5 3" xfId="17170"/>
    <cellStyle name="Heading 1 2 2 9 4 6" xfId="17171"/>
    <cellStyle name="Heading 1 2 2 9 4 6 2" xfId="17172"/>
    <cellStyle name="Heading 1 2 2 9 4 6 2 2" xfId="17173"/>
    <cellStyle name="Heading 1 2 2 9 4 6 3" xfId="17174"/>
    <cellStyle name="Heading 1 2 2 9 4 7" xfId="17175"/>
    <cellStyle name="Heading 1 2 2 9 4 7 2" xfId="17176"/>
    <cellStyle name="Heading 1 2 2 9 4 7 2 2" xfId="17177"/>
    <cellStyle name="Heading 1 2 2 9 4 7 3" xfId="17178"/>
    <cellStyle name="Heading 1 2 2 9 4 8" xfId="17179"/>
    <cellStyle name="Heading 1 2 2 9 4 8 2" xfId="17180"/>
    <cellStyle name="Heading 1 2 2 9 4 9" xfId="17181"/>
    <cellStyle name="Heading 1 2 2 9 5" xfId="17182"/>
    <cellStyle name="Heading 1 2 2 9 5 2" xfId="17183"/>
    <cellStyle name="Heading 1 2 2 9 5 2 2" xfId="17184"/>
    <cellStyle name="Heading 1 2 2 9 5 2 2 2" xfId="17185"/>
    <cellStyle name="Heading 1 2 2 9 5 2 3" xfId="17186"/>
    <cellStyle name="Heading 1 2 2 9 5 3" xfId="17187"/>
    <cellStyle name="Heading 1 2 2 9 5 3 2" xfId="17188"/>
    <cellStyle name="Heading 1 2 2 9 5 3 2 2" xfId="17189"/>
    <cellStyle name="Heading 1 2 2 9 5 3 3" xfId="17190"/>
    <cellStyle name="Heading 1 2 2 9 5 4" xfId="17191"/>
    <cellStyle name="Heading 1 2 2 9 5 4 2" xfId="17192"/>
    <cellStyle name="Heading 1 2 2 9 5 4 2 2" xfId="17193"/>
    <cellStyle name="Heading 1 2 2 9 5 4 3" xfId="17194"/>
    <cellStyle name="Heading 1 2 2 9 5 5" xfId="17195"/>
    <cellStyle name="Heading 1 2 2 9 5 5 2" xfId="17196"/>
    <cellStyle name="Heading 1 2 2 9 5 5 2 2" xfId="17197"/>
    <cellStyle name="Heading 1 2 2 9 5 5 3" xfId="17198"/>
    <cellStyle name="Heading 1 2 2 9 5 6" xfId="17199"/>
    <cellStyle name="Heading 1 2 2 9 5 6 2" xfId="17200"/>
    <cellStyle name="Heading 1 2 2 9 5 6 2 2" xfId="17201"/>
    <cellStyle name="Heading 1 2 2 9 5 6 3" xfId="17202"/>
    <cellStyle name="Heading 1 2 2 9 5 7" xfId="17203"/>
    <cellStyle name="Heading 1 2 2 9 5 7 2" xfId="17204"/>
    <cellStyle name="Heading 1 2 2 9 5 7 2 2" xfId="17205"/>
    <cellStyle name="Heading 1 2 2 9 5 7 3" xfId="17206"/>
    <cellStyle name="Heading 1 2 2 9 5 8" xfId="17207"/>
    <cellStyle name="Heading 1 2 2 9 5 8 2" xfId="17208"/>
    <cellStyle name="Heading 1 2 2 9 5 9" xfId="17209"/>
    <cellStyle name="Heading 1 2 2 9 6" xfId="17210"/>
    <cellStyle name="Heading 1 2 2 9 6 2" xfId="17211"/>
    <cellStyle name="Heading 1 2 2 9 6 2 2" xfId="17212"/>
    <cellStyle name="Heading 1 2 2 9 6 2 2 2" xfId="17213"/>
    <cellStyle name="Heading 1 2 2 9 6 2 3" xfId="17214"/>
    <cellStyle name="Heading 1 2 2 9 6 3" xfId="17215"/>
    <cellStyle name="Heading 1 2 2 9 6 3 2" xfId="17216"/>
    <cellStyle name="Heading 1 2 2 9 6 3 2 2" xfId="17217"/>
    <cellStyle name="Heading 1 2 2 9 6 3 3" xfId="17218"/>
    <cellStyle name="Heading 1 2 2 9 6 4" xfId="17219"/>
    <cellStyle name="Heading 1 2 2 9 6 4 2" xfId="17220"/>
    <cellStyle name="Heading 1 2 2 9 6 4 2 2" xfId="17221"/>
    <cellStyle name="Heading 1 2 2 9 6 4 3" xfId="17222"/>
    <cellStyle name="Heading 1 2 2 9 6 5" xfId="17223"/>
    <cellStyle name="Heading 1 2 2 9 6 5 2" xfId="17224"/>
    <cellStyle name="Heading 1 2 2 9 6 5 2 2" xfId="17225"/>
    <cellStyle name="Heading 1 2 2 9 6 5 3" xfId="17226"/>
    <cellStyle name="Heading 1 2 2 9 6 6" xfId="17227"/>
    <cellStyle name="Heading 1 2 2 9 6 6 2" xfId="17228"/>
    <cellStyle name="Heading 1 2 2 9 6 6 2 2" xfId="17229"/>
    <cellStyle name="Heading 1 2 2 9 6 6 3" xfId="17230"/>
    <cellStyle name="Heading 1 2 2 9 6 7" xfId="17231"/>
    <cellStyle name="Heading 1 2 2 9 6 7 2" xfId="17232"/>
    <cellStyle name="Heading 1 2 2 9 6 7 2 2" xfId="17233"/>
    <cellStyle name="Heading 1 2 2 9 6 7 3" xfId="17234"/>
    <cellStyle name="Heading 1 2 2 9 6 8" xfId="17235"/>
    <cellStyle name="Heading 1 2 2 9 6 8 2" xfId="17236"/>
    <cellStyle name="Heading 1 2 2 9 6 9" xfId="17237"/>
    <cellStyle name="Heading 1 2 2 9 7" xfId="17238"/>
    <cellStyle name="Heading 1 2 2 9 7 2" xfId="17239"/>
    <cellStyle name="Heading 1 2 2 9 7 2 2" xfId="17240"/>
    <cellStyle name="Heading 1 2 2 9 7 2 2 2" xfId="17241"/>
    <cellStyle name="Heading 1 2 2 9 7 2 3" xfId="17242"/>
    <cellStyle name="Heading 1 2 2 9 7 3" xfId="17243"/>
    <cellStyle name="Heading 1 2 2 9 7 3 2" xfId="17244"/>
    <cellStyle name="Heading 1 2 2 9 7 3 2 2" xfId="17245"/>
    <cellStyle name="Heading 1 2 2 9 7 3 3" xfId="17246"/>
    <cellStyle name="Heading 1 2 2 9 7 4" xfId="17247"/>
    <cellStyle name="Heading 1 2 2 9 7 4 2" xfId="17248"/>
    <cellStyle name="Heading 1 2 2 9 7 4 2 2" xfId="17249"/>
    <cellStyle name="Heading 1 2 2 9 7 4 3" xfId="17250"/>
    <cellStyle name="Heading 1 2 2 9 7 5" xfId="17251"/>
    <cellStyle name="Heading 1 2 2 9 7 5 2" xfId="17252"/>
    <cellStyle name="Heading 1 2 2 9 7 5 2 2" xfId="17253"/>
    <cellStyle name="Heading 1 2 2 9 7 5 3" xfId="17254"/>
    <cellStyle name="Heading 1 2 2 9 7 6" xfId="17255"/>
    <cellStyle name="Heading 1 2 2 9 7 6 2" xfId="17256"/>
    <cellStyle name="Heading 1 2 2 9 7 6 2 2" xfId="17257"/>
    <cellStyle name="Heading 1 2 2 9 7 6 3" xfId="17258"/>
    <cellStyle name="Heading 1 2 2 9 7 7" xfId="17259"/>
    <cellStyle name="Heading 1 2 2 9 7 7 2" xfId="17260"/>
    <cellStyle name="Heading 1 2 2 9 7 7 2 2" xfId="17261"/>
    <cellStyle name="Heading 1 2 2 9 7 7 3" xfId="17262"/>
    <cellStyle name="Heading 1 2 2 9 7 8" xfId="17263"/>
    <cellStyle name="Heading 1 2 2 9 7 8 2" xfId="17264"/>
    <cellStyle name="Heading 1 2 2 9 7 9" xfId="17265"/>
    <cellStyle name="Heading 1 2 2 9 8" xfId="17266"/>
    <cellStyle name="Heading 1 2 2 9 8 2" xfId="17267"/>
    <cellStyle name="Heading 1 2 2 9 8 2 2" xfId="17268"/>
    <cellStyle name="Heading 1 2 2 9 8 2 2 2" xfId="17269"/>
    <cellStyle name="Heading 1 2 2 9 8 2 3" xfId="17270"/>
    <cellStyle name="Heading 1 2 2 9 8 3" xfId="17271"/>
    <cellStyle name="Heading 1 2 2 9 8 3 2" xfId="17272"/>
    <cellStyle name="Heading 1 2 2 9 8 3 2 2" xfId="17273"/>
    <cellStyle name="Heading 1 2 2 9 8 3 3" xfId="17274"/>
    <cellStyle name="Heading 1 2 2 9 8 4" xfId="17275"/>
    <cellStyle name="Heading 1 2 2 9 8 4 2" xfId="17276"/>
    <cellStyle name="Heading 1 2 2 9 8 4 2 2" xfId="17277"/>
    <cellStyle name="Heading 1 2 2 9 8 4 3" xfId="17278"/>
    <cellStyle name="Heading 1 2 2 9 8 5" xfId="17279"/>
    <cellStyle name="Heading 1 2 2 9 8 5 2" xfId="17280"/>
    <cellStyle name="Heading 1 2 2 9 8 5 2 2" xfId="17281"/>
    <cellStyle name="Heading 1 2 2 9 8 5 3" xfId="17282"/>
    <cellStyle name="Heading 1 2 2 9 8 6" xfId="17283"/>
    <cellStyle name="Heading 1 2 2 9 8 6 2" xfId="17284"/>
    <cellStyle name="Heading 1 2 2 9 8 6 2 2" xfId="17285"/>
    <cellStyle name="Heading 1 2 2 9 8 6 3" xfId="17286"/>
    <cellStyle name="Heading 1 2 2 9 8 7" xfId="17287"/>
    <cellStyle name="Heading 1 2 2 9 8 7 2" xfId="17288"/>
    <cellStyle name="Heading 1 2 2 9 8 7 2 2" xfId="17289"/>
    <cellStyle name="Heading 1 2 2 9 8 7 3" xfId="17290"/>
    <cellStyle name="Heading 1 2 2 9 8 8" xfId="17291"/>
    <cellStyle name="Heading 1 2 2 9 8 8 2" xfId="17292"/>
    <cellStyle name="Heading 1 2 2 9 8 9" xfId="17293"/>
    <cellStyle name="Heading 1 2 2 9 9" xfId="17294"/>
    <cellStyle name="Heading 1 2 2 9 9 2" xfId="17295"/>
    <cellStyle name="Heading 1 2 2 9 9 2 2" xfId="17296"/>
    <cellStyle name="Heading 1 2 2 9 9 2 2 2" xfId="17297"/>
    <cellStyle name="Heading 1 2 2 9 9 2 3" xfId="17298"/>
    <cellStyle name="Heading 1 2 2 9 9 3" xfId="17299"/>
    <cellStyle name="Heading 1 2 2 9 9 3 2" xfId="17300"/>
    <cellStyle name="Heading 1 2 2 9 9 3 2 2" xfId="17301"/>
    <cellStyle name="Heading 1 2 2 9 9 3 3" xfId="17302"/>
    <cellStyle name="Heading 1 2 2 9 9 4" xfId="17303"/>
    <cellStyle name="Heading 1 2 2 9 9 4 2" xfId="17304"/>
    <cellStyle name="Heading 1 2 2 9 9 4 2 2" xfId="17305"/>
    <cellStyle name="Heading 1 2 2 9 9 4 3" xfId="17306"/>
    <cellStyle name="Heading 1 2 2 9 9 5" xfId="17307"/>
    <cellStyle name="Heading 1 2 2 9 9 5 2" xfId="17308"/>
    <cellStyle name="Heading 1 2 2 9 9 5 2 2" xfId="17309"/>
    <cellStyle name="Heading 1 2 2 9 9 5 3" xfId="17310"/>
    <cellStyle name="Heading 1 2 2 9 9 6" xfId="17311"/>
    <cellStyle name="Heading 1 2 2 9 9 6 2" xfId="17312"/>
    <cellStyle name="Heading 1 2 2 9 9 6 2 2" xfId="17313"/>
    <cellStyle name="Heading 1 2 2 9 9 6 3" xfId="17314"/>
    <cellStyle name="Heading 1 2 2 9 9 7" xfId="17315"/>
    <cellStyle name="Heading 1 2 2 9 9 7 2" xfId="17316"/>
    <cellStyle name="Heading 1 2 2 9 9 7 2 2" xfId="17317"/>
    <cellStyle name="Heading 1 2 2 9 9 7 3" xfId="17318"/>
    <cellStyle name="Heading 1 2 2 9 9 8" xfId="17319"/>
    <cellStyle name="Heading 1 2 2 9 9 8 2" xfId="17320"/>
    <cellStyle name="Heading 1 2 2 9 9 9" xfId="17321"/>
    <cellStyle name="Heading 1 2 3" xfId="17322"/>
    <cellStyle name="Heading 1 2 3 10" xfId="17323"/>
    <cellStyle name="Heading 1 2 3 10 2" xfId="17324"/>
    <cellStyle name="Heading 1 2 3 10 2 2" xfId="17325"/>
    <cellStyle name="Heading 1 2 3 10 3" xfId="17326"/>
    <cellStyle name="Heading 1 2 3 10 3 2" xfId="17327"/>
    <cellStyle name="Heading 1 2 3 10 4" xfId="17328"/>
    <cellStyle name="Heading 1 2 3 11" xfId="17329"/>
    <cellStyle name="Heading 1 2 3 11 2" xfId="17330"/>
    <cellStyle name="Heading 1 2 3 11 2 2" xfId="17331"/>
    <cellStyle name="Heading 1 2 3 11 3" xfId="17332"/>
    <cellStyle name="Heading 1 2 3 11 3 2" xfId="17333"/>
    <cellStyle name="Heading 1 2 3 11 4" xfId="17334"/>
    <cellStyle name="Heading 1 2 3 12" xfId="17335"/>
    <cellStyle name="Heading 1 2 3 12 2" xfId="17336"/>
    <cellStyle name="Heading 1 2 3 12 2 2" xfId="17337"/>
    <cellStyle name="Heading 1 2 3 12 3" xfId="17338"/>
    <cellStyle name="Heading 1 2 3 12 3 2" xfId="17339"/>
    <cellStyle name="Heading 1 2 3 12 4" xfId="17340"/>
    <cellStyle name="Heading 1 2 3 13" xfId="17341"/>
    <cellStyle name="Heading 1 2 3 13 2" xfId="17342"/>
    <cellStyle name="Heading 1 2 3 13 2 2" xfId="17343"/>
    <cellStyle name="Heading 1 2 3 13 3" xfId="17344"/>
    <cellStyle name="Heading 1 2 3 13 3 2" xfId="17345"/>
    <cellStyle name="Heading 1 2 3 13 4" xfId="17346"/>
    <cellStyle name="Heading 1 2 3 14" xfId="17347"/>
    <cellStyle name="Heading 1 2 3 14 2" xfId="17348"/>
    <cellStyle name="Heading 1 2 3 14 2 2" xfId="17349"/>
    <cellStyle name="Heading 1 2 3 14 3" xfId="17350"/>
    <cellStyle name="Heading 1 2 3 14 3 2" xfId="17351"/>
    <cellStyle name="Heading 1 2 3 14 4" xfId="17352"/>
    <cellStyle name="Heading 1 2 3 15" xfId="17353"/>
    <cellStyle name="Heading 1 2 3 15 2" xfId="17354"/>
    <cellStyle name="Heading 1 2 3 15 2 2" xfId="17355"/>
    <cellStyle name="Heading 1 2 3 15 3" xfId="17356"/>
    <cellStyle name="Heading 1 2 3 15 3 2" xfId="17357"/>
    <cellStyle name="Heading 1 2 3 15 4" xfId="17358"/>
    <cellStyle name="Heading 1 2 3 16" xfId="17359"/>
    <cellStyle name="Heading 1 2 3 16 2" xfId="17360"/>
    <cellStyle name="Heading 1 2 3 16 2 2" xfId="17361"/>
    <cellStyle name="Heading 1 2 3 16 3" xfId="17362"/>
    <cellStyle name="Heading 1 2 3 16 3 2" xfId="17363"/>
    <cellStyle name="Heading 1 2 3 16 4" xfId="17364"/>
    <cellStyle name="Heading 1 2 3 17" xfId="17365"/>
    <cellStyle name="Heading 1 2 3 17 2" xfId="17366"/>
    <cellStyle name="Heading 1 2 3 17 2 2" xfId="17367"/>
    <cellStyle name="Heading 1 2 3 17 3" xfId="17368"/>
    <cellStyle name="Heading 1 2 3 17 3 2" xfId="17369"/>
    <cellStyle name="Heading 1 2 3 17 4" xfId="17370"/>
    <cellStyle name="Heading 1 2 3 18" xfId="17371"/>
    <cellStyle name="Heading 1 2 3 18 2" xfId="17372"/>
    <cellStyle name="Heading 1 2 3 18 2 2" xfId="17373"/>
    <cellStyle name="Heading 1 2 3 18 3" xfId="17374"/>
    <cellStyle name="Heading 1 2 3 18 3 2" xfId="17375"/>
    <cellStyle name="Heading 1 2 3 18 4" xfId="17376"/>
    <cellStyle name="Heading 1 2 3 19" xfId="17377"/>
    <cellStyle name="Heading 1 2 3 19 2" xfId="17378"/>
    <cellStyle name="Heading 1 2 3 2" xfId="17379"/>
    <cellStyle name="Heading 1 2 3 2 2" xfId="17380"/>
    <cellStyle name="Heading 1 2 3 2 2 10" xfId="17381"/>
    <cellStyle name="Heading 1 2 3 2 2 10 2" xfId="17382"/>
    <cellStyle name="Heading 1 2 3 2 2 10 2 2" xfId="17383"/>
    <cellStyle name="Heading 1 2 3 2 2 10 3" xfId="17384"/>
    <cellStyle name="Heading 1 2 3 2 2 11" xfId="17385"/>
    <cellStyle name="Heading 1 2 3 2 2 11 2" xfId="17386"/>
    <cellStyle name="Heading 1 2 3 2 2 11 2 2" xfId="17387"/>
    <cellStyle name="Heading 1 2 3 2 2 11 3" xfId="17388"/>
    <cellStyle name="Heading 1 2 3 2 2 12" xfId="17389"/>
    <cellStyle name="Heading 1 2 3 2 2 12 2" xfId="17390"/>
    <cellStyle name="Heading 1 2 3 2 2 12 2 2" xfId="17391"/>
    <cellStyle name="Heading 1 2 3 2 2 12 3" xfId="17392"/>
    <cellStyle name="Heading 1 2 3 2 2 13" xfId="17393"/>
    <cellStyle name="Heading 1 2 3 2 2 13 2" xfId="17394"/>
    <cellStyle name="Heading 1 2 3 2 2 13 2 2" xfId="17395"/>
    <cellStyle name="Heading 1 2 3 2 2 13 3" xfId="17396"/>
    <cellStyle name="Heading 1 2 3 2 2 14" xfId="17397"/>
    <cellStyle name="Heading 1 2 3 2 2 14 2" xfId="17398"/>
    <cellStyle name="Heading 1 2 3 2 2 14 2 2" xfId="17399"/>
    <cellStyle name="Heading 1 2 3 2 2 14 3" xfId="17400"/>
    <cellStyle name="Heading 1 2 3 2 2 15" xfId="17401"/>
    <cellStyle name="Heading 1 2 3 2 2 15 2" xfId="17402"/>
    <cellStyle name="Heading 1 2 3 2 2 15 2 2" xfId="17403"/>
    <cellStyle name="Heading 1 2 3 2 2 15 3" xfId="17404"/>
    <cellStyle name="Heading 1 2 3 2 2 16" xfId="17405"/>
    <cellStyle name="Heading 1 2 3 2 2 16 2" xfId="17406"/>
    <cellStyle name="Heading 1 2 3 2 2 16 2 2" xfId="17407"/>
    <cellStyle name="Heading 1 2 3 2 2 16 3" xfId="17408"/>
    <cellStyle name="Heading 1 2 3 2 2 17" xfId="17409"/>
    <cellStyle name="Heading 1 2 3 2 2 17 2" xfId="17410"/>
    <cellStyle name="Heading 1 2 3 2 2 17 2 2" xfId="17411"/>
    <cellStyle name="Heading 1 2 3 2 2 17 3" xfId="17412"/>
    <cellStyle name="Heading 1 2 3 2 2 18" xfId="17413"/>
    <cellStyle name="Heading 1 2 3 2 2 18 2" xfId="17414"/>
    <cellStyle name="Heading 1 2 3 2 2 18 2 2" xfId="17415"/>
    <cellStyle name="Heading 1 2 3 2 2 18 3" xfId="17416"/>
    <cellStyle name="Heading 1 2 3 2 2 19" xfId="17417"/>
    <cellStyle name="Heading 1 2 3 2 2 19 2" xfId="17418"/>
    <cellStyle name="Heading 1 2 3 2 2 19 2 2" xfId="17419"/>
    <cellStyle name="Heading 1 2 3 2 2 19 3" xfId="17420"/>
    <cellStyle name="Heading 1 2 3 2 2 2" xfId="17421"/>
    <cellStyle name="Heading 1 2 3 2 2 2 10" xfId="17422"/>
    <cellStyle name="Heading 1 2 3 2 2 2 10 2" xfId="17423"/>
    <cellStyle name="Heading 1 2 3 2 2 2 10 2 2" xfId="17424"/>
    <cellStyle name="Heading 1 2 3 2 2 2 10 3" xfId="17425"/>
    <cellStyle name="Heading 1 2 3 2 2 2 11" xfId="17426"/>
    <cellStyle name="Heading 1 2 3 2 2 2 11 2" xfId="17427"/>
    <cellStyle name="Heading 1 2 3 2 2 2 11 2 2" xfId="17428"/>
    <cellStyle name="Heading 1 2 3 2 2 2 11 3" xfId="17429"/>
    <cellStyle name="Heading 1 2 3 2 2 2 12" xfId="17430"/>
    <cellStyle name="Heading 1 2 3 2 2 2 12 2" xfId="17431"/>
    <cellStyle name="Heading 1 2 3 2 2 2 12 2 2" xfId="17432"/>
    <cellStyle name="Heading 1 2 3 2 2 2 12 3" xfId="17433"/>
    <cellStyle name="Heading 1 2 3 2 2 2 13" xfId="17434"/>
    <cellStyle name="Heading 1 2 3 2 2 2 13 2" xfId="17435"/>
    <cellStyle name="Heading 1 2 3 2 2 2 13 2 2" xfId="17436"/>
    <cellStyle name="Heading 1 2 3 2 2 2 13 3" xfId="17437"/>
    <cellStyle name="Heading 1 2 3 2 2 2 14" xfId="17438"/>
    <cellStyle name="Heading 1 2 3 2 2 2 14 2" xfId="17439"/>
    <cellStyle name="Heading 1 2 3 2 2 2 14 2 2" xfId="17440"/>
    <cellStyle name="Heading 1 2 3 2 2 2 14 3" xfId="17441"/>
    <cellStyle name="Heading 1 2 3 2 2 2 15" xfId="17442"/>
    <cellStyle name="Heading 1 2 3 2 2 2 15 2" xfId="17443"/>
    <cellStyle name="Heading 1 2 3 2 2 2 15 2 2" xfId="17444"/>
    <cellStyle name="Heading 1 2 3 2 2 2 15 3" xfId="17445"/>
    <cellStyle name="Heading 1 2 3 2 2 2 16" xfId="17446"/>
    <cellStyle name="Heading 1 2 3 2 2 2 16 2" xfId="17447"/>
    <cellStyle name="Heading 1 2 3 2 2 2 16 2 2" xfId="17448"/>
    <cellStyle name="Heading 1 2 3 2 2 2 16 3" xfId="17449"/>
    <cellStyle name="Heading 1 2 3 2 2 2 17" xfId="17450"/>
    <cellStyle name="Heading 1 2 3 2 2 2 17 2" xfId="17451"/>
    <cellStyle name="Heading 1 2 3 2 2 2 17 2 2" xfId="17452"/>
    <cellStyle name="Heading 1 2 3 2 2 2 17 3" xfId="17453"/>
    <cellStyle name="Heading 1 2 3 2 2 2 18" xfId="17454"/>
    <cellStyle name="Heading 1 2 3 2 2 2 18 2" xfId="17455"/>
    <cellStyle name="Heading 1 2 3 2 2 2 18 2 2" xfId="17456"/>
    <cellStyle name="Heading 1 2 3 2 2 2 18 3" xfId="17457"/>
    <cellStyle name="Heading 1 2 3 2 2 2 19" xfId="17458"/>
    <cellStyle name="Heading 1 2 3 2 2 2 19 2" xfId="17459"/>
    <cellStyle name="Heading 1 2 3 2 2 2 2" xfId="17460"/>
    <cellStyle name="Heading 1 2 3 2 2 2 2 2" xfId="17461"/>
    <cellStyle name="Heading 1 2 3 2 2 2 2 2 2" xfId="17462"/>
    <cellStyle name="Heading 1 2 3 2 2 2 2 2 2 2" xfId="17463"/>
    <cellStyle name="Heading 1 2 3 2 2 2 2 2 3" xfId="17464"/>
    <cellStyle name="Heading 1 2 3 2 2 2 2 3" xfId="17465"/>
    <cellStyle name="Heading 1 2 3 2 2 2 2 3 2" xfId="17466"/>
    <cellStyle name="Heading 1 2 3 2 2 2 2 3 2 2" xfId="17467"/>
    <cellStyle name="Heading 1 2 3 2 2 2 2 3 3" xfId="17468"/>
    <cellStyle name="Heading 1 2 3 2 2 2 2 4" xfId="17469"/>
    <cellStyle name="Heading 1 2 3 2 2 2 2 4 2" xfId="17470"/>
    <cellStyle name="Heading 1 2 3 2 2 2 2 4 2 2" xfId="17471"/>
    <cellStyle name="Heading 1 2 3 2 2 2 2 4 3" xfId="17472"/>
    <cellStyle name="Heading 1 2 3 2 2 2 2 5" xfId="17473"/>
    <cellStyle name="Heading 1 2 3 2 2 2 2 5 2" xfId="17474"/>
    <cellStyle name="Heading 1 2 3 2 2 2 2 5 2 2" xfId="17475"/>
    <cellStyle name="Heading 1 2 3 2 2 2 2 5 3" xfId="17476"/>
    <cellStyle name="Heading 1 2 3 2 2 2 2 6" xfId="17477"/>
    <cellStyle name="Heading 1 2 3 2 2 2 2 6 2" xfId="17478"/>
    <cellStyle name="Heading 1 2 3 2 2 2 2 6 2 2" xfId="17479"/>
    <cellStyle name="Heading 1 2 3 2 2 2 2 6 3" xfId="17480"/>
    <cellStyle name="Heading 1 2 3 2 2 2 2 7" xfId="17481"/>
    <cellStyle name="Heading 1 2 3 2 2 2 2 7 2" xfId="17482"/>
    <cellStyle name="Heading 1 2 3 2 2 2 2 7 2 2" xfId="17483"/>
    <cellStyle name="Heading 1 2 3 2 2 2 2 7 3" xfId="17484"/>
    <cellStyle name="Heading 1 2 3 2 2 2 2 8" xfId="17485"/>
    <cellStyle name="Heading 1 2 3 2 2 2 2 8 2" xfId="17486"/>
    <cellStyle name="Heading 1 2 3 2 2 2 2 9" xfId="17487"/>
    <cellStyle name="Heading 1 2 3 2 2 2 20" xfId="17488"/>
    <cellStyle name="Heading 1 2 3 2 2 2 20 2" xfId="17489"/>
    <cellStyle name="Heading 1 2 3 2 2 2 21" xfId="17490"/>
    <cellStyle name="Heading 1 2 3 2 2 2 21 2" xfId="17491"/>
    <cellStyle name="Heading 1 2 3 2 2 2 22" xfId="17492"/>
    <cellStyle name="Heading 1 2 3 2 2 2 3" xfId="17493"/>
    <cellStyle name="Heading 1 2 3 2 2 2 3 2" xfId="17494"/>
    <cellStyle name="Heading 1 2 3 2 2 2 3 2 2" xfId="17495"/>
    <cellStyle name="Heading 1 2 3 2 2 2 3 2 2 2" xfId="17496"/>
    <cellStyle name="Heading 1 2 3 2 2 2 3 2 3" xfId="17497"/>
    <cellStyle name="Heading 1 2 3 2 2 2 3 3" xfId="17498"/>
    <cellStyle name="Heading 1 2 3 2 2 2 3 3 2" xfId="17499"/>
    <cellStyle name="Heading 1 2 3 2 2 2 3 3 2 2" xfId="17500"/>
    <cellStyle name="Heading 1 2 3 2 2 2 3 3 3" xfId="17501"/>
    <cellStyle name="Heading 1 2 3 2 2 2 3 4" xfId="17502"/>
    <cellStyle name="Heading 1 2 3 2 2 2 3 4 2" xfId="17503"/>
    <cellStyle name="Heading 1 2 3 2 2 2 3 4 2 2" xfId="17504"/>
    <cellStyle name="Heading 1 2 3 2 2 2 3 4 3" xfId="17505"/>
    <cellStyle name="Heading 1 2 3 2 2 2 3 5" xfId="17506"/>
    <cellStyle name="Heading 1 2 3 2 2 2 3 5 2" xfId="17507"/>
    <cellStyle name="Heading 1 2 3 2 2 2 3 5 2 2" xfId="17508"/>
    <cellStyle name="Heading 1 2 3 2 2 2 3 5 3" xfId="17509"/>
    <cellStyle name="Heading 1 2 3 2 2 2 3 6" xfId="17510"/>
    <cellStyle name="Heading 1 2 3 2 2 2 3 6 2" xfId="17511"/>
    <cellStyle name="Heading 1 2 3 2 2 2 3 6 2 2" xfId="17512"/>
    <cellStyle name="Heading 1 2 3 2 2 2 3 6 3" xfId="17513"/>
    <cellStyle name="Heading 1 2 3 2 2 2 3 7" xfId="17514"/>
    <cellStyle name="Heading 1 2 3 2 2 2 3 7 2" xfId="17515"/>
    <cellStyle name="Heading 1 2 3 2 2 2 3 7 2 2" xfId="17516"/>
    <cellStyle name="Heading 1 2 3 2 2 2 3 7 3" xfId="17517"/>
    <cellStyle name="Heading 1 2 3 2 2 2 3 8" xfId="17518"/>
    <cellStyle name="Heading 1 2 3 2 2 2 3 8 2" xfId="17519"/>
    <cellStyle name="Heading 1 2 3 2 2 2 3 9" xfId="17520"/>
    <cellStyle name="Heading 1 2 3 2 2 2 4" xfId="17521"/>
    <cellStyle name="Heading 1 2 3 2 2 2 4 2" xfId="17522"/>
    <cellStyle name="Heading 1 2 3 2 2 2 4 2 2" xfId="17523"/>
    <cellStyle name="Heading 1 2 3 2 2 2 4 2 2 2" xfId="17524"/>
    <cellStyle name="Heading 1 2 3 2 2 2 4 2 3" xfId="17525"/>
    <cellStyle name="Heading 1 2 3 2 2 2 4 3" xfId="17526"/>
    <cellStyle name="Heading 1 2 3 2 2 2 4 3 2" xfId="17527"/>
    <cellStyle name="Heading 1 2 3 2 2 2 4 3 2 2" xfId="17528"/>
    <cellStyle name="Heading 1 2 3 2 2 2 4 3 3" xfId="17529"/>
    <cellStyle name="Heading 1 2 3 2 2 2 4 4" xfId="17530"/>
    <cellStyle name="Heading 1 2 3 2 2 2 4 4 2" xfId="17531"/>
    <cellStyle name="Heading 1 2 3 2 2 2 4 4 2 2" xfId="17532"/>
    <cellStyle name="Heading 1 2 3 2 2 2 4 4 3" xfId="17533"/>
    <cellStyle name="Heading 1 2 3 2 2 2 4 5" xfId="17534"/>
    <cellStyle name="Heading 1 2 3 2 2 2 4 5 2" xfId="17535"/>
    <cellStyle name="Heading 1 2 3 2 2 2 4 5 2 2" xfId="17536"/>
    <cellStyle name="Heading 1 2 3 2 2 2 4 5 3" xfId="17537"/>
    <cellStyle name="Heading 1 2 3 2 2 2 4 6" xfId="17538"/>
    <cellStyle name="Heading 1 2 3 2 2 2 4 6 2" xfId="17539"/>
    <cellStyle name="Heading 1 2 3 2 2 2 4 6 2 2" xfId="17540"/>
    <cellStyle name="Heading 1 2 3 2 2 2 4 6 3" xfId="17541"/>
    <cellStyle name="Heading 1 2 3 2 2 2 4 7" xfId="17542"/>
    <cellStyle name="Heading 1 2 3 2 2 2 4 7 2" xfId="17543"/>
    <cellStyle name="Heading 1 2 3 2 2 2 4 7 2 2" xfId="17544"/>
    <cellStyle name="Heading 1 2 3 2 2 2 4 7 3" xfId="17545"/>
    <cellStyle name="Heading 1 2 3 2 2 2 4 8" xfId="17546"/>
    <cellStyle name="Heading 1 2 3 2 2 2 4 8 2" xfId="17547"/>
    <cellStyle name="Heading 1 2 3 2 2 2 4 9" xfId="17548"/>
    <cellStyle name="Heading 1 2 3 2 2 2 5" xfId="17549"/>
    <cellStyle name="Heading 1 2 3 2 2 2 5 2" xfId="17550"/>
    <cellStyle name="Heading 1 2 3 2 2 2 5 2 2" xfId="17551"/>
    <cellStyle name="Heading 1 2 3 2 2 2 5 2 2 2" xfId="17552"/>
    <cellStyle name="Heading 1 2 3 2 2 2 5 2 3" xfId="17553"/>
    <cellStyle name="Heading 1 2 3 2 2 2 5 3" xfId="17554"/>
    <cellStyle name="Heading 1 2 3 2 2 2 5 3 2" xfId="17555"/>
    <cellStyle name="Heading 1 2 3 2 2 2 5 3 2 2" xfId="17556"/>
    <cellStyle name="Heading 1 2 3 2 2 2 5 3 3" xfId="17557"/>
    <cellStyle name="Heading 1 2 3 2 2 2 5 4" xfId="17558"/>
    <cellStyle name="Heading 1 2 3 2 2 2 5 4 2" xfId="17559"/>
    <cellStyle name="Heading 1 2 3 2 2 2 5 4 2 2" xfId="17560"/>
    <cellStyle name="Heading 1 2 3 2 2 2 5 4 3" xfId="17561"/>
    <cellStyle name="Heading 1 2 3 2 2 2 5 5" xfId="17562"/>
    <cellStyle name="Heading 1 2 3 2 2 2 5 5 2" xfId="17563"/>
    <cellStyle name="Heading 1 2 3 2 2 2 5 5 2 2" xfId="17564"/>
    <cellStyle name="Heading 1 2 3 2 2 2 5 5 3" xfId="17565"/>
    <cellStyle name="Heading 1 2 3 2 2 2 5 6" xfId="17566"/>
    <cellStyle name="Heading 1 2 3 2 2 2 5 6 2" xfId="17567"/>
    <cellStyle name="Heading 1 2 3 2 2 2 5 6 2 2" xfId="17568"/>
    <cellStyle name="Heading 1 2 3 2 2 2 5 6 3" xfId="17569"/>
    <cellStyle name="Heading 1 2 3 2 2 2 5 7" xfId="17570"/>
    <cellStyle name="Heading 1 2 3 2 2 2 5 7 2" xfId="17571"/>
    <cellStyle name="Heading 1 2 3 2 2 2 5 7 2 2" xfId="17572"/>
    <cellStyle name="Heading 1 2 3 2 2 2 5 7 3" xfId="17573"/>
    <cellStyle name="Heading 1 2 3 2 2 2 5 8" xfId="17574"/>
    <cellStyle name="Heading 1 2 3 2 2 2 5 8 2" xfId="17575"/>
    <cellStyle name="Heading 1 2 3 2 2 2 5 9" xfId="17576"/>
    <cellStyle name="Heading 1 2 3 2 2 2 6" xfId="17577"/>
    <cellStyle name="Heading 1 2 3 2 2 2 6 2" xfId="17578"/>
    <cellStyle name="Heading 1 2 3 2 2 2 6 2 2" xfId="17579"/>
    <cellStyle name="Heading 1 2 3 2 2 2 6 2 2 2" xfId="17580"/>
    <cellStyle name="Heading 1 2 3 2 2 2 6 2 3" xfId="17581"/>
    <cellStyle name="Heading 1 2 3 2 2 2 6 3" xfId="17582"/>
    <cellStyle name="Heading 1 2 3 2 2 2 6 3 2" xfId="17583"/>
    <cellStyle name="Heading 1 2 3 2 2 2 6 3 2 2" xfId="17584"/>
    <cellStyle name="Heading 1 2 3 2 2 2 6 3 3" xfId="17585"/>
    <cellStyle name="Heading 1 2 3 2 2 2 6 4" xfId="17586"/>
    <cellStyle name="Heading 1 2 3 2 2 2 6 4 2" xfId="17587"/>
    <cellStyle name="Heading 1 2 3 2 2 2 6 4 2 2" xfId="17588"/>
    <cellStyle name="Heading 1 2 3 2 2 2 6 4 3" xfId="17589"/>
    <cellStyle name="Heading 1 2 3 2 2 2 6 5" xfId="17590"/>
    <cellStyle name="Heading 1 2 3 2 2 2 6 5 2" xfId="17591"/>
    <cellStyle name="Heading 1 2 3 2 2 2 6 5 2 2" xfId="17592"/>
    <cellStyle name="Heading 1 2 3 2 2 2 6 5 3" xfId="17593"/>
    <cellStyle name="Heading 1 2 3 2 2 2 6 6" xfId="17594"/>
    <cellStyle name="Heading 1 2 3 2 2 2 6 6 2" xfId="17595"/>
    <cellStyle name="Heading 1 2 3 2 2 2 6 6 2 2" xfId="17596"/>
    <cellStyle name="Heading 1 2 3 2 2 2 6 6 3" xfId="17597"/>
    <cellStyle name="Heading 1 2 3 2 2 2 6 7" xfId="17598"/>
    <cellStyle name="Heading 1 2 3 2 2 2 6 7 2" xfId="17599"/>
    <cellStyle name="Heading 1 2 3 2 2 2 6 7 2 2" xfId="17600"/>
    <cellStyle name="Heading 1 2 3 2 2 2 6 7 3" xfId="17601"/>
    <cellStyle name="Heading 1 2 3 2 2 2 6 8" xfId="17602"/>
    <cellStyle name="Heading 1 2 3 2 2 2 6 8 2" xfId="17603"/>
    <cellStyle name="Heading 1 2 3 2 2 2 6 9" xfId="17604"/>
    <cellStyle name="Heading 1 2 3 2 2 2 7" xfId="17605"/>
    <cellStyle name="Heading 1 2 3 2 2 2 7 2" xfId="17606"/>
    <cellStyle name="Heading 1 2 3 2 2 2 7 2 2" xfId="17607"/>
    <cellStyle name="Heading 1 2 3 2 2 2 7 2 2 2" xfId="17608"/>
    <cellStyle name="Heading 1 2 3 2 2 2 7 2 3" xfId="17609"/>
    <cellStyle name="Heading 1 2 3 2 2 2 7 3" xfId="17610"/>
    <cellStyle name="Heading 1 2 3 2 2 2 7 3 2" xfId="17611"/>
    <cellStyle name="Heading 1 2 3 2 2 2 7 3 2 2" xfId="17612"/>
    <cellStyle name="Heading 1 2 3 2 2 2 7 3 3" xfId="17613"/>
    <cellStyle name="Heading 1 2 3 2 2 2 7 4" xfId="17614"/>
    <cellStyle name="Heading 1 2 3 2 2 2 7 4 2" xfId="17615"/>
    <cellStyle name="Heading 1 2 3 2 2 2 7 4 2 2" xfId="17616"/>
    <cellStyle name="Heading 1 2 3 2 2 2 7 4 3" xfId="17617"/>
    <cellStyle name="Heading 1 2 3 2 2 2 7 5" xfId="17618"/>
    <cellStyle name="Heading 1 2 3 2 2 2 7 5 2" xfId="17619"/>
    <cellStyle name="Heading 1 2 3 2 2 2 7 5 2 2" xfId="17620"/>
    <cellStyle name="Heading 1 2 3 2 2 2 7 5 3" xfId="17621"/>
    <cellStyle name="Heading 1 2 3 2 2 2 7 6" xfId="17622"/>
    <cellStyle name="Heading 1 2 3 2 2 2 7 6 2" xfId="17623"/>
    <cellStyle name="Heading 1 2 3 2 2 2 7 6 2 2" xfId="17624"/>
    <cellStyle name="Heading 1 2 3 2 2 2 7 6 3" xfId="17625"/>
    <cellStyle name="Heading 1 2 3 2 2 2 7 7" xfId="17626"/>
    <cellStyle name="Heading 1 2 3 2 2 2 7 7 2" xfId="17627"/>
    <cellStyle name="Heading 1 2 3 2 2 2 7 7 2 2" xfId="17628"/>
    <cellStyle name="Heading 1 2 3 2 2 2 7 7 3" xfId="17629"/>
    <cellStyle name="Heading 1 2 3 2 2 2 7 8" xfId="17630"/>
    <cellStyle name="Heading 1 2 3 2 2 2 7 8 2" xfId="17631"/>
    <cellStyle name="Heading 1 2 3 2 2 2 7 9" xfId="17632"/>
    <cellStyle name="Heading 1 2 3 2 2 2 8" xfId="17633"/>
    <cellStyle name="Heading 1 2 3 2 2 2 8 2" xfId="17634"/>
    <cellStyle name="Heading 1 2 3 2 2 2 8 2 2" xfId="17635"/>
    <cellStyle name="Heading 1 2 3 2 2 2 8 2 2 2" xfId="17636"/>
    <cellStyle name="Heading 1 2 3 2 2 2 8 2 3" xfId="17637"/>
    <cellStyle name="Heading 1 2 3 2 2 2 8 3" xfId="17638"/>
    <cellStyle name="Heading 1 2 3 2 2 2 8 3 2" xfId="17639"/>
    <cellStyle name="Heading 1 2 3 2 2 2 8 3 2 2" xfId="17640"/>
    <cellStyle name="Heading 1 2 3 2 2 2 8 3 3" xfId="17641"/>
    <cellStyle name="Heading 1 2 3 2 2 2 8 4" xfId="17642"/>
    <cellStyle name="Heading 1 2 3 2 2 2 8 4 2" xfId="17643"/>
    <cellStyle name="Heading 1 2 3 2 2 2 8 4 2 2" xfId="17644"/>
    <cellStyle name="Heading 1 2 3 2 2 2 8 4 3" xfId="17645"/>
    <cellStyle name="Heading 1 2 3 2 2 2 8 5" xfId="17646"/>
    <cellStyle name="Heading 1 2 3 2 2 2 8 5 2" xfId="17647"/>
    <cellStyle name="Heading 1 2 3 2 2 2 8 5 2 2" xfId="17648"/>
    <cellStyle name="Heading 1 2 3 2 2 2 8 5 3" xfId="17649"/>
    <cellStyle name="Heading 1 2 3 2 2 2 8 6" xfId="17650"/>
    <cellStyle name="Heading 1 2 3 2 2 2 8 6 2" xfId="17651"/>
    <cellStyle name="Heading 1 2 3 2 2 2 8 6 2 2" xfId="17652"/>
    <cellStyle name="Heading 1 2 3 2 2 2 8 6 3" xfId="17653"/>
    <cellStyle name="Heading 1 2 3 2 2 2 8 7" xfId="17654"/>
    <cellStyle name="Heading 1 2 3 2 2 2 8 7 2" xfId="17655"/>
    <cellStyle name="Heading 1 2 3 2 2 2 8 7 2 2" xfId="17656"/>
    <cellStyle name="Heading 1 2 3 2 2 2 8 7 3" xfId="17657"/>
    <cellStyle name="Heading 1 2 3 2 2 2 8 8" xfId="17658"/>
    <cellStyle name="Heading 1 2 3 2 2 2 8 8 2" xfId="17659"/>
    <cellStyle name="Heading 1 2 3 2 2 2 8 9" xfId="17660"/>
    <cellStyle name="Heading 1 2 3 2 2 2 9" xfId="17661"/>
    <cellStyle name="Heading 1 2 3 2 2 2 9 2" xfId="17662"/>
    <cellStyle name="Heading 1 2 3 2 2 2 9 2 2" xfId="17663"/>
    <cellStyle name="Heading 1 2 3 2 2 2 9 3" xfId="17664"/>
    <cellStyle name="Heading 1 2 3 2 2 20" xfId="17665"/>
    <cellStyle name="Heading 1 2 3 2 2 20 2" xfId="17666"/>
    <cellStyle name="Heading 1 2 3 2 2 21" xfId="17667"/>
    <cellStyle name="Heading 1 2 3 2 2 21 2" xfId="17668"/>
    <cellStyle name="Heading 1 2 3 2 2 22" xfId="17669"/>
    <cellStyle name="Heading 1 2 3 2 2 22 2" xfId="17670"/>
    <cellStyle name="Heading 1 2 3 2 2 23" xfId="17671"/>
    <cellStyle name="Heading 1 2 3 2 2 3" xfId="17672"/>
    <cellStyle name="Heading 1 2 3 2 2 3 2" xfId="17673"/>
    <cellStyle name="Heading 1 2 3 2 2 3 2 2" xfId="17674"/>
    <cellStyle name="Heading 1 2 3 2 2 3 2 2 2" xfId="17675"/>
    <cellStyle name="Heading 1 2 3 2 2 3 2 3" xfId="17676"/>
    <cellStyle name="Heading 1 2 3 2 2 3 3" xfId="17677"/>
    <cellStyle name="Heading 1 2 3 2 2 3 3 2" xfId="17678"/>
    <cellStyle name="Heading 1 2 3 2 2 3 3 2 2" xfId="17679"/>
    <cellStyle name="Heading 1 2 3 2 2 3 3 3" xfId="17680"/>
    <cellStyle name="Heading 1 2 3 2 2 3 4" xfId="17681"/>
    <cellStyle name="Heading 1 2 3 2 2 3 4 2" xfId="17682"/>
    <cellStyle name="Heading 1 2 3 2 2 3 4 2 2" xfId="17683"/>
    <cellStyle name="Heading 1 2 3 2 2 3 4 3" xfId="17684"/>
    <cellStyle name="Heading 1 2 3 2 2 3 5" xfId="17685"/>
    <cellStyle name="Heading 1 2 3 2 2 3 5 2" xfId="17686"/>
    <cellStyle name="Heading 1 2 3 2 2 3 5 2 2" xfId="17687"/>
    <cellStyle name="Heading 1 2 3 2 2 3 5 3" xfId="17688"/>
    <cellStyle name="Heading 1 2 3 2 2 3 6" xfId="17689"/>
    <cellStyle name="Heading 1 2 3 2 2 3 6 2" xfId="17690"/>
    <cellStyle name="Heading 1 2 3 2 2 3 6 2 2" xfId="17691"/>
    <cellStyle name="Heading 1 2 3 2 2 3 6 3" xfId="17692"/>
    <cellStyle name="Heading 1 2 3 2 2 3 7" xfId="17693"/>
    <cellStyle name="Heading 1 2 3 2 2 3 7 2" xfId="17694"/>
    <cellStyle name="Heading 1 2 3 2 2 3 7 2 2" xfId="17695"/>
    <cellStyle name="Heading 1 2 3 2 2 3 7 3" xfId="17696"/>
    <cellStyle name="Heading 1 2 3 2 2 3 8" xfId="17697"/>
    <cellStyle name="Heading 1 2 3 2 2 3 8 2" xfId="17698"/>
    <cellStyle name="Heading 1 2 3 2 2 3 9" xfId="17699"/>
    <cellStyle name="Heading 1 2 3 2 2 4" xfId="17700"/>
    <cellStyle name="Heading 1 2 3 2 2 4 2" xfId="17701"/>
    <cellStyle name="Heading 1 2 3 2 2 4 2 2" xfId="17702"/>
    <cellStyle name="Heading 1 2 3 2 2 4 2 2 2" xfId="17703"/>
    <cellStyle name="Heading 1 2 3 2 2 4 2 3" xfId="17704"/>
    <cellStyle name="Heading 1 2 3 2 2 4 3" xfId="17705"/>
    <cellStyle name="Heading 1 2 3 2 2 4 3 2" xfId="17706"/>
    <cellStyle name="Heading 1 2 3 2 2 4 3 2 2" xfId="17707"/>
    <cellStyle name="Heading 1 2 3 2 2 4 3 3" xfId="17708"/>
    <cellStyle name="Heading 1 2 3 2 2 4 4" xfId="17709"/>
    <cellStyle name="Heading 1 2 3 2 2 4 4 2" xfId="17710"/>
    <cellStyle name="Heading 1 2 3 2 2 4 4 2 2" xfId="17711"/>
    <cellStyle name="Heading 1 2 3 2 2 4 4 3" xfId="17712"/>
    <cellStyle name="Heading 1 2 3 2 2 4 5" xfId="17713"/>
    <cellStyle name="Heading 1 2 3 2 2 4 5 2" xfId="17714"/>
    <cellStyle name="Heading 1 2 3 2 2 4 5 2 2" xfId="17715"/>
    <cellStyle name="Heading 1 2 3 2 2 4 5 3" xfId="17716"/>
    <cellStyle name="Heading 1 2 3 2 2 4 6" xfId="17717"/>
    <cellStyle name="Heading 1 2 3 2 2 4 6 2" xfId="17718"/>
    <cellStyle name="Heading 1 2 3 2 2 4 6 2 2" xfId="17719"/>
    <cellStyle name="Heading 1 2 3 2 2 4 6 3" xfId="17720"/>
    <cellStyle name="Heading 1 2 3 2 2 4 7" xfId="17721"/>
    <cellStyle name="Heading 1 2 3 2 2 4 7 2" xfId="17722"/>
    <cellStyle name="Heading 1 2 3 2 2 4 7 2 2" xfId="17723"/>
    <cellStyle name="Heading 1 2 3 2 2 4 7 3" xfId="17724"/>
    <cellStyle name="Heading 1 2 3 2 2 4 8" xfId="17725"/>
    <cellStyle name="Heading 1 2 3 2 2 4 8 2" xfId="17726"/>
    <cellStyle name="Heading 1 2 3 2 2 4 9" xfId="17727"/>
    <cellStyle name="Heading 1 2 3 2 2 5" xfId="17728"/>
    <cellStyle name="Heading 1 2 3 2 2 5 2" xfId="17729"/>
    <cellStyle name="Heading 1 2 3 2 2 5 2 2" xfId="17730"/>
    <cellStyle name="Heading 1 2 3 2 2 5 2 2 2" xfId="17731"/>
    <cellStyle name="Heading 1 2 3 2 2 5 2 3" xfId="17732"/>
    <cellStyle name="Heading 1 2 3 2 2 5 3" xfId="17733"/>
    <cellStyle name="Heading 1 2 3 2 2 5 3 2" xfId="17734"/>
    <cellStyle name="Heading 1 2 3 2 2 5 3 2 2" xfId="17735"/>
    <cellStyle name="Heading 1 2 3 2 2 5 3 3" xfId="17736"/>
    <cellStyle name="Heading 1 2 3 2 2 5 4" xfId="17737"/>
    <cellStyle name="Heading 1 2 3 2 2 5 4 2" xfId="17738"/>
    <cellStyle name="Heading 1 2 3 2 2 5 4 2 2" xfId="17739"/>
    <cellStyle name="Heading 1 2 3 2 2 5 4 3" xfId="17740"/>
    <cellStyle name="Heading 1 2 3 2 2 5 5" xfId="17741"/>
    <cellStyle name="Heading 1 2 3 2 2 5 5 2" xfId="17742"/>
    <cellStyle name="Heading 1 2 3 2 2 5 5 2 2" xfId="17743"/>
    <cellStyle name="Heading 1 2 3 2 2 5 5 3" xfId="17744"/>
    <cellStyle name="Heading 1 2 3 2 2 5 6" xfId="17745"/>
    <cellStyle name="Heading 1 2 3 2 2 5 6 2" xfId="17746"/>
    <cellStyle name="Heading 1 2 3 2 2 5 6 2 2" xfId="17747"/>
    <cellStyle name="Heading 1 2 3 2 2 5 6 3" xfId="17748"/>
    <cellStyle name="Heading 1 2 3 2 2 5 7" xfId="17749"/>
    <cellStyle name="Heading 1 2 3 2 2 5 7 2" xfId="17750"/>
    <cellStyle name="Heading 1 2 3 2 2 5 7 2 2" xfId="17751"/>
    <cellStyle name="Heading 1 2 3 2 2 5 7 3" xfId="17752"/>
    <cellStyle name="Heading 1 2 3 2 2 5 8" xfId="17753"/>
    <cellStyle name="Heading 1 2 3 2 2 5 8 2" xfId="17754"/>
    <cellStyle name="Heading 1 2 3 2 2 5 9" xfId="17755"/>
    <cellStyle name="Heading 1 2 3 2 2 6" xfId="17756"/>
    <cellStyle name="Heading 1 2 3 2 2 6 2" xfId="17757"/>
    <cellStyle name="Heading 1 2 3 2 2 6 2 2" xfId="17758"/>
    <cellStyle name="Heading 1 2 3 2 2 6 2 2 2" xfId="17759"/>
    <cellStyle name="Heading 1 2 3 2 2 6 2 3" xfId="17760"/>
    <cellStyle name="Heading 1 2 3 2 2 6 3" xfId="17761"/>
    <cellStyle name="Heading 1 2 3 2 2 6 3 2" xfId="17762"/>
    <cellStyle name="Heading 1 2 3 2 2 6 3 2 2" xfId="17763"/>
    <cellStyle name="Heading 1 2 3 2 2 6 3 3" xfId="17764"/>
    <cellStyle name="Heading 1 2 3 2 2 6 4" xfId="17765"/>
    <cellStyle name="Heading 1 2 3 2 2 6 4 2" xfId="17766"/>
    <cellStyle name="Heading 1 2 3 2 2 6 4 2 2" xfId="17767"/>
    <cellStyle name="Heading 1 2 3 2 2 6 4 3" xfId="17768"/>
    <cellStyle name="Heading 1 2 3 2 2 6 5" xfId="17769"/>
    <cellStyle name="Heading 1 2 3 2 2 6 5 2" xfId="17770"/>
    <cellStyle name="Heading 1 2 3 2 2 6 5 2 2" xfId="17771"/>
    <cellStyle name="Heading 1 2 3 2 2 6 5 3" xfId="17772"/>
    <cellStyle name="Heading 1 2 3 2 2 6 6" xfId="17773"/>
    <cellStyle name="Heading 1 2 3 2 2 6 6 2" xfId="17774"/>
    <cellStyle name="Heading 1 2 3 2 2 6 6 2 2" xfId="17775"/>
    <cellStyle name="Heading 1 2 3 2 2 6 6 3" xfId="17776"/>
    <cellStyle name="Heading 1 2 3 2 2 6 7" xfId="17777"/>
    <cellStyle name="Heading 1 2 3 2 2 6 7 2" xfId="17778"/>
    <cellStyle name="Heading 1 2 3 2 2 6 7 2 2" xfId="17779"/>
    <cellStyle name="Heading 1 2 3 2 2 6 7 3" xfId="17780"/>
    <cellStyle name="Heading 1 2 3 2 2 6 8" xfId="17781"/>
    <cellStyle name="Heading 1 2 3 2 2 6 8 2" xfId="17782"/>
    <cellStyle name="Heading 1 2 3 2 2 6 9" xfId="17783"/>
    <cellStyle name="Heading 1 2 3 2 2 7" xfId="17784"/>
    <cellStyle name="Heading 1 2 3 2 2 7 2" xfId="17785"/>
    <cellStyle name="Heading 1 2 3 2 2 7 2 2" xfId="17786"/>
    <cellStyle name="Heading 1 2 3 2 2 7 2 2 2" xfId="17787"/>
    <cellStyle name="Heading 1 2 3 2 2 7 2 3" xfId="17788"/>
    <cellStyle name="Heading 1 2 3 2 2 7 3" xfId="17789"/>
    <cellStyle name="Heading 1 2 3 2 2 7 3 2" xfId="17790"/>
    <cellStyle name="Heading 1 2 3 2 2 7 3 2 2" xfId="17791"/>
    <cellStyle name="Heading 1 2 3 2 2 7 3 3" xfId="17792"/>
    <cellStyle name="Heading 1 2 3 2 2 7 4" xfId="17793"/>
    <cellStyle name="Heading 1 2 3 2 2 7 4 2" xfId="17794"/>
    <cellStyle name="Heading 1 2 3 2 2 7 4 2 2" xfId="17795"/>
    <cellStyle name="Heading 1 2 3 2 2 7 4 3" xfId="17796"/>
    <cellStyle name="Heading 1 2 3 2 2 7 5" xfId="17797"/>
    <cellStyle name="Heading 1 2 3 2 2 7 5 2" xfId="17798"/>
    <cellStyle name="Heading 1 2 3 2 2 7 5 2 2" xfId="17799"/>
    <cellStyle name="Heading 1 2 3 2 2 7 5 3" xfId="17800"/>
    <cellStyle name="Heading 1 2 3 2 2 7 6" xfId="17801"/>
    <cellStyle name="Heading 1 2 3 2 2 7 6 2" xfId="17802"/>
    <cellStyle name="Heading 1 2 3 2 2 7 6 2 2" xfId="17803"/>
    <cellStyle name="Heading 1 2 3 2 2 7 6 3" xfId="17804"/>
    <cellStyle name="Heading 1 2 3 2 2 7 7" xfId="17805"/>
    <cellStyle name="Heading 1 2 3 2 2 7 7 2" xfId="17806"/>
    <cellStyle name="Heading 1 2 3 2 2 7 7 2 2" xfId="17807"/>
    <cellStyle name="Heading 1 2 3 2 2 7 7 3" xfId="17808"/>
    <cellStyle name="Heading 1 2 3 2 2 7 8" xfId="17809"/>
    <cellStyle name="Heading 1 2 3 2 2 7 8 2" xfId="17810"/>
    <cellStyle name="Heading 1 2 3 2 2 7 9" xfId="17811"/>
    <cellStyle name="Heading 1 2 3 2 2 8" xfId="17812"/>
    <cellStyle name="Heading 1 2 3 2 2 8 2" xfId="17813"/>
    <cellStyle name="Heading 1 2 3 2 2 8 2 2" xfId="17814"/>
    <cellStyle name="Heading 1 2 3 2 2 8 2 2 2" xfId="17815"/>
    <cellStyle name="Heading 1 2 3 2 2 8 2 3" xfId="17816"/>
    <cellStyle name="Heading 1 2 3 2 2 8 3" xfId="17817"/>
    <cellStyle name="Heading 1 2 3 2 2 8 3 2" xfId="17818"/>
    <cellStyle name="Heading 1 2 3 2 2 8 3 2 2" xfId="17819"/>
    <cellStyle name="Heading 1 2 3 2 2 8 3 3" xfId="17820"/>
    <cellStyle name="Heading 1 2 3 2 2 8 4" xfId="17821"/>
    <cellStyle name="Heading 1 2 3 2 2 8 4 2" xfId="17822"/>
    <cellStyle name="Heading 1 2 3 2 2 8 4 2 2" xfId="17823"/>
    <cellStyle name="Heading 1 2 3 2 2 8 4 3" xfId="17824"/>
    <cellStyle name="Heading 1 2 3 2 2 8 5" xfId="17825"/>
    <cellStyle name="Heading 1 2 3 2 2 8 5 2" xfId="17826"/>
    <cellStyle name="Heading 1 2 3 2 2 8 5 2 2" xfId="17827"/>
    <cellStyle name="Heading 1 2 3 2 2 8 5 3" xfId="17828"/>
    <cellStyle name="Heading 1 2 3 2 2 8 6" xfId="17829"/>
    <cellStyle name="Heading 1 2 3 2 2 8 6 2" xfId="17830"/>
    <cellStyle name="Heading 1 2 3 2 2 8 6 2 2" xfId="17831"/>
    <cellStyle name="Heading 1 2 3 2 2 8 6 3" xfId="17832"/>
    <cellStyle name="Heading 1 2 3 2 2 8 7" xfId="17833"/>
    <cellStyle name="Heading 1 2 3 2 2 8 7 2" xfId="17834"/>
    <cellStyle name="Heading 1 2 3 2 2 8 7 2 2" xfId="17835"/>
    <cellStyle name="Heading 1 2 3 2 2 8 7 3" xfId="17836"/>
    <cellStyle name="Heading 1 2 3 2 2 8 8" xfId="17837"/>
    <cellStyle name="Heading 1 2 3 2 2 8 8 2" xfId="17838"/>
    <cellStyle name="Heading 1 2 3 2 2 8 9" xfId="17839"/>
    <cellStyle name="Heading 1 2 3 2 2 9" xfId="17840"/>
    <cellStyle name="Heading 1 2 3 2 2 9 2" xfId="17841"/>
    <cellStyle name="Heading 1 2 3 2 2 9 2 2" xfId="17842"/>
    <cellStyle name="Heading 1 2 3 2 2 9 2 2 2" xfId="17843"/>
    <cellStyle name="Heading 1 2 3 2 2 9 2 3" xfId="17844"/>
    <cellStyle name="Heading 1 2 3 2 2 9 3" xfId="17845"/>
    <cellStyle name="Heading 1 2 3 2 2 9 3 2" xfId="17846"/>
    <cellStyle name="Heading 1 2 3 2 2 9 3 2 2" xfId="17847"/>
    <cellStyle name="Heading 1 2 3 2 2 9 3 3" xfId="17848"/>
    <cellStyle name="Heading 1 2 3 2 2 9 4" xfId="17849"/>
    <cellStyle name="Heading 1 2 3 2 2 9 4 2" xfId="17850"/>
    <cellStyle name="Heading 1 2 3 2 2 9 4 2 2" xfId="17851"/>
    <cellStyle name="Heading 1 2 3 2 2 9 4 3" xfId="17852"/>
    <cellStyle name="Heading 1 2 3 2 2 9 5" xfId="17853"/>
    <cellStyle name="Heading 1 2 3 2 2 9 5 2" xfId="17854"/>
    <cellStyle name="Heading 1 2 3 2 2 9 5 2 2" xfId="17855"/>
    <cellStyle name="Heading 1 2 3 2 2 9 5 3" xfId="17856"/>
    <cellStyle name="Heading 1 2 3 2 2 9 6" xfId="17857"/>
    <cellStyle name="Heading 1 2 3 2 2 9 6 2" xfId="17858"/>
    <cellStyle name="Heading 1 2 3 2 2 9 6 2 2" xfId="17859"/>
    <cellStyle name="Heading 1 2 3 2 2 9 6 3" xfId="17860"/>
    <cellStyle name="Heading 1 2 3 2 2 9 7" xfId="17861"/>
    <cellStyle name="Heading 1 2 3 2 2 9 7 2" xfId="17862"/>
    <cellStyle name="Heading 1 2 3 2 2 9 7 2 2" xfId="17863"/>
    <cellStyle name="Heading 1 2 3 2 2 9 7 3" xfId="17864"/>
    <cellStyle name="Heading 1 2 3 2 2 9 8" xfId="17865"/>
    <cellStyle name="Heading 1 2 3 2 2 9 8 2" xfId="17866"/>
    <cellStyle name="Heading 1 2 3 2 2 9 9" xfId="17867"/>
    <cellStyle name="Heading 1 2 3 2 3" xfId="17868"/>
    <cellStyle name="Heading 1 2 3 2 3 10" xfId="17869"/>
    <cellStyle name="Heading 1 2 3 2 3 10 2" xfId="17870"/>
    <cellStyle name="Heading 1 2 3 2 3 10 2 2" xfId="17871"/>
    <cellStyle name="Heading 1 2 3 2 3 10 3" xfId="17872"/>
    <cellStyle name="Heading 1 2 3 2 3 11" xfId="17873"/>
    <cellStyle name="Heading 1 2 3 2 3 11 2" xfId="17874"/>
    <cellStyle name="Heading 1 2 3 2 3 11 2 2" xfId="17875"/>
    <cellStyle name="Heading 1 2 3 2 3 11 3" xfId="17876"/>
    <cellStyle name="Heading 1 2 3 2 3 12" xfId="17877"/>
    <cellStyle name="Heading 1 2 3 2 3 12 2" xfId="17878"/>
    <cellStyle name="Heading 1 2 3 2 3 12 2 2" xfId="17879"/>
    <cellStyle name="Heading 1 2 3 2 3 12 3" xfId="17880"/>
    <cellStyle name="Heading 1 2 3 2 3 13" xfId="17881"/>
    <cellStyle name="Heading 1 2 3 2 3 13 2" xfId="17882"/>
    <cellStyle name="Heading 1 2 3 2 3 13 2 2" xfId="17883"/>
    <cellStyle name="Heading 1 2 3 2 3 13 3" xfId="17884"/>
    <cellStyle name="Heading 1 2 3 2 3 14" xfId="17885"/>
    <cellStyle name="Heading 1 2 3 2 3 14 2" xfId="17886"/>
    <cellStyle name="Heading 1 2 3 2 3 14 2 2" xfId="17887"/>
    <cellStyle name="Heading 1 2 3 2 3 14 3" xfId="17888"/>
    <cellStyle name="Heading 1 2 3 2 3 15" xfId="17889"/>
    <cellStyle name="Heading 1 2 3 2 3 15 2" xfId="17890"/>
    <cellStyle name="Heading 1 2 3 2 3 15 2 2" xfId="17891"/>
    <cellStyle name="Heading 1 2 3 2 3 15 3" xfId="17892"/>
    <cellStyle name="Heading 1 2 3 2 3 16" xfId="17893"/>
    <cellStyle name="Heading 1 2 3 2 3 16 2" xfId="17894"/>
    <cellStyle name="Heading 1 2 3 2 3 16 2 2" xfId="17895"/>
    <cellStyle name="Heading 1 2 3 2 3 16 3" xfId="17896"/>
    <cellStyle name="Heading 1 2 3 2 3 17" xfId="17897"/>
    <cellStyle name="Heading 1 2 3 2 3 17 2" xfId="17898"/>
    <cellStyle name="Heading 1 2 3 2 3 17 2 2" xfId="17899"/>
    <cellStyle name="Heading 1 2 3 2 3 17 3" xfId="17900"/>
    <cellStyle name="Heading 1 2 3 2 3 18" xfId="17901"/>
    <cellStyle name="Heading 1 2 3 2 3 18 2" xfId="17902"/>
    <cellStyle name="Heading 1 2 3 2 3 18 2 2" xfId="17903"/>
    <cellStyle name="Heading 1 2 3 2 3 18 3" xfId="17904"/>
    <cellStyle name="Heading 1 2 3 2 3 19" xfId="17905"/>
    <cellStyle name="Heading 1 2 3 2 3 19 2" xfId="17906"/>
    <cellStyle name="Heading 1 2 3 2 3 2" xfId="17907"/>
    <cellStyle name="Heading 1 2 3 2 3 2 2" xfId="17908"/>
    <cellStyle name="Heading 1 2 3 2 3 2 2 2" xfId="17909"/>
    <cellStyle name="Heading 1 2 3 2 3 2 2 2 2" xfId="17910"/>
    <cellStyle name="Heading 1 2 3 2 3 2 2 3" xfId="17911"/>
    <cellStyle name="Heading 1 2 3 2 3 2 3" xfId="17912"/>
    <cellStyle name="Heading 1 2 3 2 3 2 3 2" xfId="17913"/>
    <cellStyle name="Heading 1 2 3 2 3 2 3 2 2" xfId="17914"/>
    <cellStyle name="Heading 1 2 3 2 3 2 3 3" xfId="17915"/>
    <cellStyle name="Heading 1 2 3 2 3 2 4" xfId="17916"/>
    <cellStyle name="Heading 1 2 3 2 3 2 4 2" xfId="17917"/>
    <cellStyle name="Heading 1 2 3 2 3 2 4 2 2" xfId="17918"/>
    <cellStyle name="Heading 1 2 3 2 3 2 4 3" xfId="17919"/>
    <cellStyle name="Heading 1 2 3 2 3 2 5" xfId="17920"/>
    <cellStyle name="Heading 1 2 3 2 3 2 5 2" xfId="17921"/>
    <cellStyle name="Heading 1 2 3 2 3 2 5 2 2" xfId="17922"/>
    <cellStyle name="Heading 1 2 3 2 3 2 5 3" xfId="17923"/>
    <cellStyle name="Heading 1 2 3 2 3 2 6" xfId="17924"/>
    <cellStyle name="Heading 1 2 3 2 3 2 6 2" xfId="17925"/>
    <cellStyle name="Heading 1 2 3 2 3 2 6 2 2" xfId="17926"/>
    <cellStyle name="Heading 1 2 3 2 3 2 6 3" xfId="17927"/>
    <cellStyle name="Heading 1 2 3 2 3 2 7" xfId="17928"/>
    <cellStyle name="Heading 1 2 3 2 3 2 7 2" xfId="17929"/>
    <cellStyle name="Heading 1 2 3 2 3 2 7 2 2" xfId="17930"/>
    <cellStyle name="Heading 1 2 3 2 3 2 7 3" xfId="17931"/>
    <cellStyle name="Heading 1 2 3 2 3 2 8" xfId="17932"/>
    <cellStyle name="Heading 1 2 3 2 3 2 8 2" xfId="17933"/>
    <cellStyle name="Heading 1 2 3 2 3 2 9" xfId="17934"/>
    <cellStyle name="Heading 1 2 3 2 3 20" xfId="17935"/>
    <cellStyle name="Heading 1 2 3 2 3 20 2" xfId="17936"/>
    <cellStyle name="Heading 1 2 3 2 3 21" xfId="17937"/>
    <cellStyle name="Heading 1 2 3 2 3 21 2" xfId="17938"/>
    <cellStyle name="Heading 1 2 3 2 3 22" xfId="17939"/>
    <cellStyle name="Heading 1 2 3 2 3 3" xfId="17940"/>
    <cellStyle name="Heading 1 2 3 2 3 3 2" xfId="17941"/>
    <cellStyle name="Heading 1 2 3 2 3 3 2 2" xfId="17942"/>
    <cellStyle name="Heading 1 2 3 2 3 3 2 2 2" xfId="17943"/>
    <cellStyle name="Heading 1 2 3 2 3 3 2 3" xfId="17944"/>
    <cellStyle name="Heading 1 2 3 2 3 3 3" xfId="17945"/>
    <cellStyle name="Heading 1 2 3 2 3 3 3 2" xfId="17946"/>
    <cellStyle name="Heading 1 2 3 2 3 3 3 2 2" xfId="17947"/>
    <cellStyle name="Heading 1 2 3 2 3 3 3 3" xfId="17948"/>
    <cellStyle name="Heading 1 2 3 2 3 3 4" xfId="17949"/>
    <cellStyle name="Heading 1 2 3 2 3 3 4 2" xfId="17950"/>
    <cellStyle name="Heading 1 2 3 2 3 3 4 2 2" xfId="17951"/>
    <cellStyle name="Heading 1 2 3 2 3 3 4 3" xfId="17952"/>
    <cellStyle name="Heading 1 2 3 2 3 3 5" xfId="17953"/>
    <cellStyle name="Heading 1 2 3 2 3 3 5 2" xfId="17954"/>
    <cellStyle name="Heading 1 2 3 2 3 3 5 2 2" xfId="17955"/>
    <cellStyle name="Heading 1 2 3 2 3 3 5 3" xfId="17956"/>
    <cellStyle name="Heading 1 2 3 2 3 3 6" xfId="17957"/>
    <cellStyle name="Heading 1 2 3 2 3 3 6 2" xfId="17958"/>
    <cellStyle name="Heading 1 2 3 2 3 3 6 2 2" xfId="17959"/>
    <cellStyle name="Heading 1 2 3 2 3 3 6 3" xfId="17960"/>
    <cellStyle name="Heading 1 2 3 2 3 3 7" xfId="17961"/>
    <cellStyle name="Heading 1 2 3 2 3 3 7 2" xfId="17962"/>
    <cellStyle name="Heading 1 2 3 2 3 3 7 2 2" xfId="17963"/>
    <cellStyle name="Heading 1 2 3 2 3 3 7 3" xfId="17964"/>
    <cellStyle name="Heading 1 2 3 2 3 3 8" xfId="17965"/>
    <cellStyle name="Heading 1 2 3 2 3 3 8 2" xfId="17966"/>
    <cellStyle name="Heading 1 2 3 2 3 3 9" xfId="17967"/>
    <cellStyle name="Heading 1 2 3 2 3 4" xfId="17968"/>
    <cellStyle name="Heading 1 2 3 2 3 4 2" xfId="17969"/>
    <cellStyle name="Heading 1 2 3 2 3 4 2 2" xfId="17970"/>
    <cellStyle name="Heading 1 2 3 2 3 4 2 2 2" xfId="17971"/>
    <cellStyle name="Heading 1 2 3 2 3 4 2 3" xfId="17972"/>
    <cellStyle name="Heading 1 2 3 2 3 4 3" xfId="17973"/>
    <cellStyle name="Heading 1 2 3 2 3 4 3 2" xfId="17974"/>
    <cellStyle name="Heading 1 2 3 2 3 4 3 2 2" xfId="17975"/>
    <cellStyle name="Heading 1 2 3 2 3 4 3 3" xfId="17976"/>
    <cellStyle name="Heading 1 2 3 2 3 4 4" xfId="17977"/>
    <cellStyle name="Heading 1 2 3 2 3 4 4 2" xfId="17978"/>
    <cellStyle name="Heading 1 2 3 2 3 4 4 2 2" xfId="17979"/>
    <cellStyle name="Heading 1 2 3 2 3 4 4 3" xfId="17980"/>
    <cellStyle name="Heading 1 2 3 2 3 4 5" xfId="17981"/>
    <cellStyle name="Heading 1 2 3 2 3 4 5 2" xfId="17982"/>
    <cellStyle name="Heading 1 2 3 2 3 4 5 2 2" xfId="17983"/>
    <cellStyle name="Heading 1 2 3 2 3 4 5 3" xfId="17984"/>
    <cellStyle name="Heading 1 2 3 2 3 4 6" xfId="17985"/>
    <cellStyle name="Heading 1 2 3 2 3 4 6 2" xfId="17986"/>
    <cellStyle name="Heading 1 2 3 2 3 4 6 2 2" xfId="17987"/>
    <cellStyle name="Heading 1 2 3 2 3 4 6 3" xfId="17988"/>
    <cellStyle name="Heading 1 2 3 2 3 4 7" xfId="17989"/>
    <cellStyle name="Heading 1 2 3 2 3 4 7 2" xfId="17990"/>
    <cellStyle name="Heading 1 2 3 2 3 4 7 2 2" xfId="17991"/>
    <cellStyle name="Heading 1 2 3 2 3 4 7 3" xfId="17992"/>
    <cellStyle name="Heading 1 2 3 2 3 4 8" xfId="17993"/>
    <cellStyle name="Heading 1 2 3 2 3 4 8 2" xfId="17994"/>
    <cellStyle name="Heading 1 2 3 2 3 4 9" xfId="17995"/>
    <cellStyle name="Heading 1 2 3 2 3 5" xfId="17996"/>
    <cellStyle name="Heading 1 2 3 2 3 5 2" xfId="17997"/>
    <cellStyle name="Heading 1 2 3 2 3 5 2 2" xfId="17998"/>
    <cellStyle name="Heading 1 2 3 2 3 5 2 2 2" xfId="17999"/>
    <cellStyle name="Heading 1 2 3 2 3 5 2 3" xfId="18000"/>
    <cellStyle name="Heading 1 2 3 2 3 5 3" xfId="18001"/>
    <cellStyle name="Heading 1 2 3 2 3 5 3 2" xfId="18002"/>
    <cellStyle name="Heading 1 2 3 2 3 5 3 2 2" xfId="18003"/>
    <cellStyle name="Heading 1 2 3 2 3 5 3 3" xfId="18004"/>
    <cellStyle name="Heading 1 2 3 2 3 5 4" xfId="18005"/>
    <cellStyle name="Heading 1 2 3 2 3 5 4 2" xfId="18006"/>
    <cellStyle name="Heading 1 2 3 2 3 5 4 2 2" xfId="18007"/>
    <cellStyle name="Heading 1 2 3 2 3 5 4 3" xfId="18008"/>
    <cellStyle name="Heading 1 2 3 2 3 5 5" xfId="18009"/>
    <cellStyle name="Heading 1 2 3 2 3 5 5 2" xfId="18010"/>
    <cellStyle name="Heading 1 2 3 2 3 5 5 2 2" xfId="18011"/>
    <cellStyle name="Heading 1 2 3 2 3 5 5 3" xfId="18012"/>
    <cellStyle name="Heading 1 2 3 2 3 5 6" xfId="18013"/>
    <cellStyle name="Heading 1 2 3 2 3 5 6 2" xfId="18014"/>
    <cellStyle name="Heading 1 2 3 2 3 5 6 2 2" xfId="18015"/>
    <cellStyle name="Heading 1 2 3 2 3 5 6 3" xfId="18016"/>
    <cellStyle name="Heading 1 2 3 2 3 5 7" xfId="18017"/>
    <cellStyle name="Heading 1 2 3 2 3 5 7 2" xfId="18018"/>
    <cellStyle name="Heading 1 2 3 2 3 5 7 2 2" xfId="18019"/>
    <cellStyle name="Heading 1 2 3 2 3 5 7 3" xfId="18020"/>
    <cellStyle name="Heading 1 2 3 2 3 5 8" xfId="18021"/>
    <cellStyle name="Heading 1 2 3 2 3 5 8 2" xfId="18022"/>
    <cellStyle name="Heading 1 2 3 2 3 5 9" xfId="18023"/>
    <cellStyle name="Heading 1 2 3 2 3 6" xfId="18024"/>
    <cellStyle name="Heading 1 2 3 2 3 6 2" xfId="18025"/>
    <cellStyle name="Heading 1 2 3 2 3 6 2 2" xfId="18026"/>
    <cellStyle name="Heading 1 2 3 2 3 6 2 2 2" xfId="18027"/>
    <cellStyle name="Heading 1 2 3 2 3 6 2 3" xfId="18028"/>
    <cellStyle name="Heading 1 2 3 2 3 6 3" xfId="18029"/>
    <cellStyle name="Heading 1 2 3 2 3 6 3 2" xfId="18030"/>
    <cellStyle name="Heading 1 2 3 2 3 6 3 2 2" xfId="18031"/>
    <cellStyle name="Heading 1 2 3 2 3 6 3 3" xfId="18032"/>
    <cellStyle name="Heading 1 2 3 2 3 6 4" xfId="18033"/>
    <cellStyle name="Heading 1 2 3 2 3 6 4 2" xfId="18034"/>
    <cellStyle name="Heading 1 2 3 2 3 6 4 2 2" xfId="18035"/>
    <cellStyle name="Heading 1 2 3 2 3 6 4 3" xfId="18036"/>
    <cellStyle name="Heading 1 2 3 2 3 6 5" xfId="18037"/>
    <cellStyle name="Heading 1 2 3 2 3 6 5 2" xfId="18038"/>
    <cellStyle name="Heading 1 2 3 2 3 6 5 2 2" xfId="18039"/>
    <cellStyle name="Heading 1 2 3 2 3 6 5 3" xfId="18040"/>
    <cellStyle name="Heading 1 2 3 2 3 6 6" xfId="18041"/>
    <cellStyle name="Heading 1 2 3 2 3 6 6 2" xfId="18042"/>
    <cellStyle name="Heading 1 2 3 2 3 6 6 2 2" xfId="18043"/>
    <cellStyle name="Heading 1 2 3 2 3 6 6 3" xfId="18044"/>
    <cellStyle name="Heading 1 2 3 2 3 6 7" xfId="18045"/>
    <cellStyle name="Heading 1 2 3 2 3 6 7 2" xfId="18046"/>
    <cellStyle name="Heading 1 2 3 2 3 6 7 2 2" xfId="18047"/>
    <cellStyle name="Heading 1 2 3 2 3 6 7 3" xfId="18048"/>
    <cellStyle name="Heading 1 2 3 2 3 6 8" xfId="18049"/>
    <cellStyle name="Heading 1 2 3 2 3 6 8 2" xfId="18050"/>
    <cellStyle name="Heading 1 2 3 2 3 6 9" xfId="18051"/>
    <cellStyle name="Heading 1 2 3 2 3 7" xfId="18052"/>
    <cellStyle name="Heading 1 2 3 2 3 7 2" xfId="18053"/>
    <cellStyle name="Heading 1 2 3 2 3 7 2 2" xfId="18054"/>
    <cellStyle name="Heading 1 2 3 2 3 7 2 2 2" xfId="18055"/>
    <cellStyle name="Heading 1 2 3 2 3 7 2 3" xfId="18056"/>
    <cellStyle name="Heading 1 2 3 2 3 7 3" xfId="18057"/>
    <cellStyle name="Heading 1 2 3 2 3 7 3 2" xfId="18058"/>
    <cellStyle name="Heading 1 2 3 2 3 7 3 2 2" xfId="18059"/>
    <cellStyle name="Heading 1 2 3 2 3 7 3 3" xfId="18060"/>
    <cellStyle name="Heading 1 2 3 2 3 7 4" xfId="18061"/>
    <cellStyle name="Heading 1 2 3 2 3 7 4 2" xfId="18062"/>
    <cellStyle name="Heading 1 2 3 2 3 7 4 2 2" xfId="18063"/>
    <cellStyle name="Heading 1 2 3 2 3 7 4 3" xfId="18064"/>
    <cellStyle name="Heading 1 2 3 2 3 7 5" xfId="18065"/>
    <cellStyle name="Heading 1 2 3 2 3 7 5 2" xfId="18066"/>
    <cellStyle name="Heading 1 2 3 2 3 7 5 2 2" xfId="18067"/>
    <cellStyle name="Heading 1 2 3 2 3 7 5 3" xfId="18068"/>
    <cellStyle name="Heading 1 2 3 2 3 7 6" xfId="18069"/>
    <cellStyle name="Heading 1 2 3 2 3 7 6 2" xfId="18070"/>
    <cellStyle name="Heading 1 2 3 2 3 7 6 2 2" xfId="18071"/>
    <cellStyle name="Heading 1 2 3 2 3 7 6 3" xfId="18072"/>
    <cellStyle name="Heading 1 2 3 2 3 7 7" xfId="18073"/>
    <cellStyle name="Heading 1 2 3 2 3 7 7 2" xfId="18074"/>
    <cellStyle name="Heading 1 2 3 2 3 7 7 2 2" xfId="18075"/>
    <cellStyle name="Heading 1 2 3 2 3 7 7 3" xfId="18076"/>
    <cellStyle name="Heading 1 2 3 2 3 7 8" xfId="18077"/>
    <cellStyle name="Heading 1 2 3 2 3 7 8 2" xfId="18078"/>
    <cellStyle name="Heading 1 2 3 2 3 7 9" xfId="18079"/>
    <cellStyle name="Heading 1 2 3 2 3 8" xfId="18080"/>
    <cellStyle name="Heading 1 2 3 2 3 8 2" xfId="18081"/>
    <cellStyle name="Heading 1 2 3 2 3 8 2 2" xfId="18082"/>
    <cellStyle name="Heading 1 2 3 2 3 8 2 2 2" xfId="18083"/>
    <cellStyle name="Heading 1 2 3 2 3 8 2 3" xfId="18084"/>
    <cellStyle name="Heading 1 2 3 2 3 8 3" xfId="18085"/>
    <cellStyle name="Heading 1 2 3 2 3 8 3 2" xfId="18086"/>
    <cellStyle name="Heading 1 2 3 2 3 8 3 2 2" xfId="18087"/>
    <cellStyle name="Heading 1 2 3 2 3 8 3 3" xfId="18088"/>
    <cellStyle name="Heading 1 2 3 2 3 8 4" xfId="18089"/>
    <cellStyle name="Heading 1 2 3 2 3 8 4 2" xfId="18090"/>
    <cellStyle name="Heading 1 2 3 2 3 8 4 2 2" xfId="18091"/>
    <cellStyle name="Heading 1 2 3 2 3 8 4 3" xfId="18092"/>
    <cellStyle name="Heading 1 2 3 2 3 8 5" xfId="18093"/>
    <cellStyle name="Heading 1 2 3 2 3 8 5 2" xfId="18094"/>
    <cellStyle name="Heading 1 2 3 2 3 8 5 2 2" xfId="18095"/>
    <cellStyle name="Heading 1 2 3 2 3 8 5 3" xfId="18096"/>
    <cellStyle name="Heading 1 2 3 2 3 8 6" xfId="18097"/>
    <cellStyle name="Heading 1 2 3 2 3 8 6 2" xfId="18098"/>
    <cellStyle name="Heading 1 2 3 2 3 8 6 2 2" xfId="18099"/>
    <cellStyle name="Heading 1 2 3 2 3 8 6 3" xfId="18100"/>
    <cellStyle name="Heading 1 2 3 2 3 8 7" xfId="18101"/>
    <cellStyle name="Heading 1 2 3 2 3 8 7 2" xfId="18102"/>
    <cellStyle name="Heading 1 2 3 2 3 8 7 2 2" xfId="18103"/>
    <cellStyle name="Heading 1 2 3 2 3 8 7 3" xfId="18104"/>
    <cellStyle name="Heading 1 2 3 2 3 8 8" xfId="18105"/>
    <cellStyle name="Heading 1 2 3 2 3 8 8 2" xfId="18106"/>
    <cellStyle name="Heading 1 2 3 2 3 8 9" xfId="18107"/>
    <cellStyle name="Heading 1 2 3 2 3 9" xfId="18108"/>
    <cellStyle name="Heading 1 2 3 2 3 9 2" xfId="18109"/>
    <cellStyle name="Heading 1 2 3 2 3 9 2 2" xfId="18110"/>
    <cellStyle name="Heading 1 2 3 2 3 9 3" xfId="18111"/>
    <cellStyle name="Heading 1 2 3 2 4" xfId="18112"/>
    <cellStyle name="Heading 1 2 3 2 4 2" xfId="18113"/>
    <cellStyle name="Heading 1 2 3 2 4 2 2" xfId="18114"/>
    <cellStyle name="Heading 1 2 3 2 4 3" xfId="18115"/>
    <cellStyle name="Heading 1 2 3 2 5" xfId="18116"/>
    <cellStyle name="Heading 1 2 3 2 5 2" xfId="18117"/>
    <cellStyle name="Heading 1 2 3 2 6" xfId="18118"/>
    <cellStyle name="Heading 1 2 3 20" xfId="18119"/>
    <cellStyle name="Heading 1 2 3 3" xfId="18120"/>
    <cellStyle name="Heading 1 2 3 3 2" xfId="18121"/>
    <cellStyle name="Heading 1 2 3 3 2 10" xfId="18122"/>
    <cellStyle name="Heading 1 2 3 3 2 10 2" xfId="18123"/>
    <cellStyle name="Heading 1 2 3 3 2 10 2 2" xfId="18124"/>
    <cellStyle name="Heading 1 2 3 3 2 10 3" xfId="18125"/>
    <cellStyle name="Heading 1 2 3 3 2 11" xfId="18126"/>
    <cellStyle name="Heading 1 2 3 3 2 11 2" xfId="18127"/>
    <cellStyle name="Heading 1 2 3 3 2 11 2 2" xfId="18128"/>
    <cellStyle name="Heading 1 2 3 3 2 11 3" xfId="18129"/>
    <cellStyle name="Heading 1 2 3 3 2 12" xfId="18130"/>
    <cellStyle name="Heading 1 2 3 3 2 12 2" xfId="18131"/>
    <cellStyle name="Heading 1 2 3 3 2 12 2 2" xfId="18132"/>
    <cellStyle name="Heading 1 2 3 3 2 12 3" xfId="18133"/>
    <cellStyle name="Heading 1 2 3 3 2 13" xfId="18134"/>
    <cellStyle name="Heading 1 2 3 3 2 13 2" xfId="18135"/>
    <cellStyle name="Heading 1 2 3 3 2 13 2 2" xfId="18136"/>
    <cellStyle name="Heading 1 2 3 3 2 13 3" xfId="18137"/>
    <cellStyle name="Heading 1 2 3 3 2 14" xfId="18138"/>
    <cellStyle name="Heading 1 2 3 3 2 14 2" xfId="18139"/>
    <cellStyle name="Heading 1 2 3 3 2 14 2 2" xfId="18140"/>
    <cellStyle name="Heading 1 2 3 3 2 14 3" xfId="18141"/>
    <cellStyle name="Heading 1 2 3 3 2 15" xfId="18142"/>
    <cellStyle name="Heading 1 2 3 3 2 15 2" xfId="18143"/>
    <cellStyle name="Heading 1 2 3 3 2 15 2 2" xfId="18144"/>
    <cellStyle name="Heading 1 2 3 3 2 15 3" xfId="18145"/>
    <cellStyle name="Heading 1 2 3 3 2 16" xfId="18146"/>
    <cellStyle name="Heading 1 2 3 3 2 16 2" xfId="18147"/>
    <cellStyle name="Heading 1 2 3 3 2 16 2 2" xfId="18148"/>
    <cellStyle name="Heading 1 2 3 3 2 16 3" xfId="18149"/>
    <cellStyle name="Heading 1 2 3 3 2 17" xfId="18150"/>
    <cellStyle name="Heading 1 2 3 3 2 17 2" xfId="18151"/>
    <cellStyle name="Heading 1 2 3 3 2 17 2 2" xfId="18152"/>
    <cellStyle name="Heading 1 2 3 3 2 17 3" xfId="18153"/>
    <cellStyle name="Heading 1 2 3 3 2 18" xfId="18154"/>
    <cellStyle name="Heading 1 2 3 3 2 18 2" xfId="18155"/>
    <cellStyle name="Heading 1 2 3 3 2 18 2 2" xfId="18156"/>
    <cellStyle name="Heading 1 2 3 3 2 18 3" xfId="18157"/>
    <cellStyle name="Heading 1 2 3 3 2 19" xfId="18158"/>
    <cellStyle name="Heading 1 2 3 3 2 19 2" xfId="18159"/>
    <cellStyle name="Heading 1 2 3 3 2 19 2 2" xfId="18160"/>
    <cellStyle name="Heading 1 2 3 3 2 19 3" xfId="18161"/>
    <cellStyle name="Heading 1 2 3 3 2 2" xfId="18162"/>
    <cellStyle name="Heading 1 2 3 3 2 2 10" xfId="18163"/>
    <cellStyle name="Heading 1 2 3 3 2 2 10 2" xfId="18164"/>
    <cellStyle name="Heading 1 2 3 3 2 2 10 2 2" xfId="18165"/>
    <cellStyle name="Heading 1 2 3 3 2 2 10 3" xfId="18166"/>
    <cellStyle name="Heading 1 2 3 3 2 2 11" xfId="18167"/>
    <cellStyle name="Heading 1 2 3 3 2 2 11 2" xfId="18168"/>
    <cellStyle name="Heading 1 2 3 3 2 2 11 2 2" xfId="18169"/>
    <cellStyle name="Heading 1 2 3 3 2 2 11 3" xfId="18170"/>
    <cellStyle name="Heading 1 2 3 3 2 2 12" xfId="18171"/>
    <cellStyle name="Heading 1 2 3 3 2 2 12 2" xfId="18172"/>
    <cellStyle name="Heading 1 2 3 3 2 2 12 2 2" xfId="18173"/>
    <cellStyle name="Heading 1 2 3 3 2 2 12 3" xfId="18174"/>
    <cellStyle name="Heading 1 2 3 3 2 2 13" xfId="18175"/>
    <cellStyle name="Heading 1 2 3 3 2 2 13 2" xfId="18176"/>
    <cellStyle name="Heading 1 2 3 3 2 2 13 2 2" xfId="18177"/>
    <cellStyle name="Heading 1 2 3 3 2 2 13 3" xfId="18178"/>
    <cellStyle name="Heading 1 2 3 3 2 2 14" xfId="18179"/>
    <cellStyle name="Heading 1 2 3 3 2 2 14 2" xfId="18180"/>
    <cellStyle name="Heading 1 2 3 3 2 2 14 2 2" xfId="18181"/>
    <cellStyle name="Heading 1 2 3 3 2 2 14 3" xfId="18182"/>
    <cellStyle name="Heading 1 2 3 3 2 2 15" xfId="18183"/>
    <cellStyle name="Heading 1 2 3 3 2 2 15 2" xfId="18184"/>
    <cellStyle name="Heading 1 2 3 3 2 2 15 2 2" xfId="18185"/>
    <cellStyle name="Heading 1 2 3 3 2 2 15 3" xfId="18186"/>
    <cellStyle name="Heading 1 2 3 3 2 2 16" xfId="18187"/>
    <cellStyle name="Heading 1 2 3 3 2 2 16 2" xfId="18188"/>
    <cellStyle name="Heading 1 2 3 3 2 2 16 2 2" xfId="18189"/>
    <cellStyle name="Heading 1 2 3 3 2 2 16 3" xfId="18190"/>
    <cellStyle name="Heading 1 2 3 3 2 2 17" xfId="18191"/>
    <cellStyle name="Heading 1 2 3 3 2 2 17 2" xfId="18192"/>
    <cellStyle name="Heading 1 2 3 3 2 2 17 2 2" xfId="18193"/>
    <cellStyle name="Heading 1 2 3 3 2 2 17 3" xfId="18194"/>
    <cellStyle name="Heading 1 2 3 3 2 2 18" xfId="18195"/>
    <cellStyle name="Heading 1 2 3 3 2 2 18 2" xfId="18196"/>
    <cellStyle name="Heading 1 2 3 3 2 2 18 2 2" xfId="18197"/>
    <cellStyle name="Heading 1 2 3 3 2 2 18 3" xfId="18198"/>
    <cellStyle name="Heading 1 2 3 3 2 2 19" xfId="18199"/>
    <cellStyle name="Heading 1 2 3 3 2 2 19 2" xfId="18200"/>
    <cellStyle name="Heading 1 2 3 3 2 2 2" xfId="18201"/>
    <cellStyle name="Heading 1 2 3 3 2 2 2 2" xfId="18202"/>
    <cellStyle name="Heading 1 2 3 3 2 2 2 2 2" xfId="18203"/>
    <cellStyle name="Heading 1 2 3 3 2 2 2 2 2 2" xfId="18204"/>
    <cellStyle name="Heading 1 2 3 3 2 2 2 2 3" xfId="18205"/>
    <cellStyle name="Heading 1 2 3 3 2 2 2 3" xfId="18206"/>
    <cellStyle name="Heading 1 2 3 3 2 2 2 3 2" xfId="18207"/>
    <cellStyle name="Heading 1 2 3 3 2 2 2 3 2 2" xfId="18208"/>
    <cellStyle name="Heading 1 2 3 3 2 2 2 3 3" xfId="18209"/>
    <cellStyle name="Heading 1 2 3 3 2 2 2 4" xfId="18210"/>
    <cellStyle name="Heading 1 2 3 3 2 2 2 4 2" xfId="18211"/>
    <cellStyle name="Heading 1 2 3 3 2 2 2 4 2 2" xfId="18212"/>
    <cellStyle name="Heading 1 2 3 3 2 2 2 4 3" xfId="18213"/>
    <cellStyle name="Heading 1 2 3 3 2 2 2 5" xfId="18214"/>
    <cellStyle name="Heading 1 2 3 3 2 2 2 5 2" xfId="18215"/>
    <cellStyle name="Heading 1 2 3 3 2 2 2 5 2 2" xfId="18216"/>
    <cellStyle name="Heading 1 2 3 3 2 2 2 5 3" xfId="18217"/>
    <cellStyle name="Heading 1 2 3 3 2 2 2 6" xfId="18218"/>
    <cellStyle name="Heading 1 2 3 3 2 2 2 6 2" xfId="18219"/>
    <cellStyle name="Heading 1 2 3 3 2 2 2 6 2 2" xfId="18220"/>
    <cellStyle name="Heading 1 2 3 3 2 2 2 6 3" xfId="18221"/>
    <cellStyle name="Heading 1 2 3 3 2 2 2 7" xfId="18222"/>
    <cellStyle name="Heading 1 2 3 3 2 2 2 7 2" xfId="18223"/>
    <cellStyle name="Heading 1 2 3 3 2 2 2 7 2 2" xfId="18224"/>
    <cellStyle name="Heading 1 2 3 3 2 2 2 7 3" xfId="18225"/>
    <cellStyle name="Heading 1 2 3 3 2 2 2 8" xfId="18226"/>
    <cellStyle name="Heading 1 2 3 3 2 2 2 8 2" xfId="18227"/>
    <cellStyle name="Heading 1 2 3 3 2 2 2 9" xfId="18228"/>
    <cellStyle name="Heading 1 2 3 3 2 2 20" xfId="18229"/>
    <cellStyle name="Heading 1 2 3 3 2 2 20 2" xfId="18230"/>
    <cellStyle name="Heading 1 2 3 3 2 2 21" xfId="18231"/>
    <cellStyle name="Heading 1 2 3 3 2 2 21 2" xfId="18232"/>
    <cellStyle name="Heading 1 2 3 3 2 2 22" xfId="18233"/>
    <cellStyle name="Heading 1 2 3 3 2 2 3" xfId="18234"/>
    <cellStyle name="Heading 1 2 3 3 2 2 3 2" xfId="18235"/>
    <cellStyle name="Heading 1 2 3 3 2 2 3 2 2" xfId="18236"/>
    <cellStyle name="Heading 1 2 3 3 2 2 3 2 2 2" xfId="18237"/>
    <cellStyle name="Heading 1 2 3 3 2 2 3 2 3" xfId="18238"/>
    <cellStyle name="Heading 1 2 3 3 2 2 3 3" xfId="18239"/>
    <cellStyle name="Heading 1 2 3 3 2 2 3 3 2" xfId="18240"/>
    <cellStyle name="Heading 1 2 3 3 2 2 3 3 2 2" xfId="18241"/>
    <cellStyle name="Heading 1 2 3 3 2 2 3 3 3" xfId="18242"/>
    <cellStyle name="Heading 1 2 3 3 2 2 3 4" xfId="18243"/>
    <cellStyle name="Heading 1 2 3 3 2 2 3 4 2" xfId="18244"/>
    <cellStyle name="Heading 1 2 3 3 2 2 3 4 2 2" xfId="18245"/>
    <cellStyle name="Heading 1 2 3 3 2 2 3 4 3" xfId="18246"/>
    <cellStyle name="Heading 1 2 3 3 2 2 3 5" xfId="18247"/>
    <cellStyle name="Heading 1 2 3 3 2 2 3 5 2" xfId="18248"/>
    <cellStyle name="Heading 1 2 3 3 2 2 3 5 2 2" xfId="18249"/>
    <cellStyle name="Heading 1 2 3 3 2 2 3 5 3" xfId="18250"/>
    <cellStyle name="Heading 1 2 3 3 2 2 3 6" xfId="18251"/>
    <cellStyle name="Heading 1 2 3 3 2 2 3 6 2" xfId="18252"/>
    <cellStyle name="Heading 1 2 3 3 2 2 3 6 2 2" xfId="18253"/>
    <cellStyle name="Heading 1 2 3 3 2 2 3 6 3" xfId="18254"/>
    <cellStyle name="Heading 1 2 3 3 2 2 3 7" xfId="18255"/>
    <cellStyle name="Heading 1 2 3 3 2 2 3 7 2" xfId="18256"/>
    <cellStyle name="Heading 1 2 3 3 2 2 3 7 2 2" xfId="18257"/>
    <cellStyle name="Heading 1 2 3 3 2 2 3 7 3" xfId="18258"/>
    <cellStyle name="Heading 1 2 3 3 2 2 3 8" xfId="18259"/>
    <cellStyle name="Heading 1 2 3 3 2 2 3 8 2" xfId="18260"/>
    <cellStyle name="Heading 1 2 3 3 2 2 3 9" xfId="18261"/>
    <cellStyle name="Heading 1 2 3 3 2 2 4" xfId="18262"/>
    <cellStyle name="Heading 1 2 3 3 2 2 4 2" xfId="18263"/>
    <cellStyle name="Heading 1 2 3 3 2 2 4 2 2" xfId="18264"/>
    <cellStyle name="Heading 1 2 3 3 2 2 4 2 2 2" xfId="18265"/>
    <cellStyle name="Heading 1 2 3 3 2 2 4 2 3" xfId="18266"/>
    <cellStyle name="Heading 1 2 3 3 2 2 4 3" xfId="18267"/>
    <cellStyle name="Heading 1 2 3 3 2 2 4 3 2" xfId="18268"/>
    <cellStyle name="Heading 1 2 3 3 2 2 4 3 2 2" xfId="18269"/>
    <cellStyle name="Heading 1 2 3 3 2 2 4 3 3" xfId="18270"/>
    <cellStyle name="Heading 1 2 3 3 2 2 4 4" xfId="18271"/>
    <cellStyle name="Heading 1 2 3 3 2 2 4 4 2" xfId="18272"/>
    <cellStyle name="Heading 1 2 3 3 2 2 4 4 2 2" xfId="18273"/>
    <cellStyle name="Heading 1 2 3 3 2 2 4 4 3" xfId="18274"/>
    <cellStyle name="Heading 1 2 3 3 2 2 4 5" xfId="18275"/>
    <cellStyle name="Heading 1 2 3 3 2 2 4 5 2" xfId="18276"/>
    <cellStyle name="Heading 1 2 3 3 2 2 4 5 2 2" xfId="18277"/>
    <cellStyle name="Heading 1 2 3 3 2 2 4 5 3" xfId="18278"/>
    <cellStyle name="Heading 1 2 3 3 2 2 4 6" xfId="18279"/>
    <cellStyle name="Heading 1 2 3 3 2 2 4 6 2" xfId="18280"/>
    <cellStyle name="Heading 1 2 3 3 2 2 4 6 2 2" xfId="18281"/>
    <cellStyle name="Heading 1 2 3 3 2 2 4 6 3" xfId="18282"/>
    <cellStyle name="Heading 1 2 3 3 2 2 4 7" xfId="18283"/>
    <cellStyle name="Heading 1 2 3 3 2 2 4 7 2" xfId="18284"/>
    <cellStyle name="Heading 1 2 3 3 2 2 4 7 2 2" xfId="18285"/>
    <cellStyle name="Heading 1 2 3 3 2 2 4 7 3" xfId="18286"/>
    <cellStyle name="Heading 1 2 3 3 2 2 4 8" xfId="18287"/>
    <cellStyle name="Heading 1 2 3 3 2 2 4 8 2" xfId="18288"/>
    <cellStyle name="Heading 1 2 3 3 2 2 4 9" xfId="18289"/>
    <cellStyle name="Heading 1 2 3 3 2 2 5" xfId="18290"/>
    <cellStyle name="Heading 1 2 3 3 2 2 5 2" xfId="18291"/>
    <cellStyle name="Heading 1 2 3 3 2 2 5 2 2" xfId="18292"/>
    <cellStyle name="Heading 1 2 3 3 2 2 5 2 2 2" xfId="18293"/>
    <cellStyle name="Heading 1 2 3 3 2 2 5 2 3" xfId="18294"/>
    <cellStyle name="Heading 1 2 3 3 2 2 5 3" xfId="18295"/>
    <cellStyle name="Heading 1 2 3 3 2 2 5 3 2" xfId="18296"/>
    <cellStyle name="Heading 1 2 3 3 2 2 5 3 2 2" xfId="18297"/>
    <cellStyle name="Heading 1 2 3 3 2 2 5 3 3" xfId="18298"/>
    <cellStyle name="Heading 1 2 3 3 2 2 5 4" xfId="18299"/>
    <cellStyle name="Heading 1 2 3 3 2 2 5 4 2" xfId="18300"/>
    <cellStyle name="Heading 1 2 3 3 2 2 5 4 2 2" xfId="18301"/>
    <cellStyle name="Heading 1 2 3 3 2 2 5 4 3" xfId="18302"/>
    <cellStyle name="Heading 1 2 3 3 2 2 5 5" xfId="18303"/>
    <cellStyle name="Heading 1 2 3 3 2 2 5 5 2" xfId="18304"/>
    <cellStyle name="Heading 1 2 3 3 2 2 5 5 2 2" xfId="18305"/>
    <cellStyle name="Heading 1 2 3 3 2 2 5 5 3" xfId="18306"/>
    <cellStyle name="Heading 1 2 3 3 2 2 5 6" xfId="18307"/>
    <cellStyle name="Heading 1 2 3 3 2 2 5 6 2" xfId="18308"/>
    <cellStyle name="Heading 1 2 3 3 2 2 5 6 2 2" xfId="18309"/>
    <cellStyle name="Heading 1 2 3 3 2 2 5 6 3" xfId="18310"/>
    <cellStyle name="Heading 1 2 3 3 2 2 5 7" xfId="18311"/>
    <cellStyle name="Heading 1 2 3 3 2 2 5 7 2" xfId="18312"/>
    <cellStyle name="Heading 1 2 3 3 2 2 5 7 2 2" xfId="18313"/>
    <cellStyle name="Heading 1 2 3 3 2 2 5 7 3" xfId="18314"/>
    <cellStyle name="Heading 1 2 3 3 2 2 5 8" xfId="18315"/>
    <cellStyle name="Heading 1 2 3 3 2 2 5 8 2" xfId="18316"/>
    <cellStyle name="Heading 1 2 3 3 2 2 5 9" xfId="18317"/>
    <cellStyle name="Heading 1 2 3 3 2 2 6" xfId="18318"/>
    <cellStyle name="Heading 1 2 3 3 2 2 6 2" xfId="18319"/>
    <cellStyle name="Heading 1 2 3 3 2 2 6 2 2" xfId="18320"/>
    <cellStyle name="Heading 1 2 3 3 2 2 6 2 2 2" xfId="18321"/>
    <cellStyle name="Heading 1 2 3 3 2 2 6 2 3" xfId="18322"/>
    <cellStyle name="Heading 1 2 3 3 2 2 6 3" xfId="18323"/>
    <cellStyle name="Heading 1 2 3 3 2 2 6 3 2" xfId="18324"/>
    <cellStyle name="Heading 1 2 3 3 2 2 6 3 2 2" xfId="18325"/>
    <cellStyle name="Heading 1 2 3 3 2 2 6 3 3" xfId="18326"/>
    <cellStyle name="Heading 1 2 3 3 2 2 6 4" xfId="18327"/>
    <cellStyle name="Heading 1 2 3 3 2 2 6 4 2" xfId="18328"/>
    <cellStyle name="Heading 1 2 3 3 2 2 6 4 2 2" xfId="18329"/>
    <cellStyle name="Heading 1 2 3 3 2 2 6 4 3" xfId="18330"/>
    <cellStyle name="Heading 1 2 3 3 2 2 6 5" xfId="18331"/>
    <cellStyle name="Heading 1 2 3 3 2 2 6 5 2" xfId="18332"/>
    <cellStyle name="Heading 1 2 3 3 2 2 6 5 2 2" xfId="18333"/>
    <cellStyle name="Heading 1 2 3 3 2 2 6 5 3" xfId="18334"/>
    <cellStyle name="Heading 1 2 3 3 2 2 6 6" xfId="18335"/>
    <cellStyle name="Heading 1 2 3 3 2 2 6 6 2" xfId="18336"/>
    <cellStyle name="Heading 1 2 3 3 2 2 6 6 2 2" xfId="18337"/>
    <cellStyle name="Heading 1 2 3 3 2 2 6 6 3" xfId="18338"/>
    <cellStyle name="Heading 1 2 3 3 2 2 6 7" xfId="18339"/>
    <cellStyle name="Heading 1 2 3 3 2 2 6 7 2" xfId="18340"/>
    <cellStyle name="Heading 1 2 3 3 2 2 6 7 2 2" xfId="18341"/>
    <cellStyle name="Heading 1 2 3 3 2 2 6 7 3" xfId="18342"/>
    <cellStyle name="Heading 1 2 3 3 2 2 6 8" xfId="18343"/>
    <cellStyle name="Heading 1 2 3 3 2 2 6 8 2" xfId="18344"/>
    <cellStyle name="Heading 1 2 3 3 2 2 6 9" xfId="18345"/>
    <cellStyle name="Heading 1 2 3 3 2 2 7" xfId="18346"/>
    <cellStyle name="Heading 1 2 3 3 2 2 7 2" xfId="18347"/>
    <cellStyle name="Heading 1 2 3 3 2 2 7 2 2" xfId="18348"/>
    <cellStyle name="Heading 1 2 3 3 2 2 7 2 2 2" xfId="18349"/>
    <cellStyle name="Heading 1 2 3 3 2 2 7 2 3" xfId="18350"/>
    <cellStyle name="Heading 1 2 3 3 2 2 7 3" xfId="18351"/>
    <cellStyle name="Heading 1 2 3 3 2 2 7 3 2" xfId="18352"/>
    <cellStyle name="Heading 1 2 3 3 2 2 7 3 2 2" xfId="18353"/>
    <cellStyle name="Heading 1 2 3 3 2 2 7 3 3" xfId="18354"/>
    <cellStyle name="Heading 1 2 3 3 2 2 7 4" xfId="18355"/>
    <cellStyle name="Heading 1 2 3 3 2 2 7 4 2" xfId="18356"/>
    <cellStyle name="Heading 1 2 3 3 2 2 7 4 2 2" xfId="18357"/>
    <cellStyle name="Heading 1 2 3 3 2 2 7 4 3" xfId="18358"/>
    <cellStyle name="Heading 1 2 3 3 2 2 7 5" xfId="18359"/>
    <cellStyle name="Heading 1 2 3 3 2 2 7 5 2" xfId="18360"/>
    <cellStyle name="Heading 1 2 3 3 2 2 7 5 2 2" xfId="18361"/>
    <cellStyle name="Heading 1 2 3 3 2 2 7 5 3" xfId="18362"/>
    <cellStyle name="Heading 1 2 3 3 2 2 7 6" xfId="18363"/>
    <cellStyle name="Heading 1 2 3 3 2 2 7 6 2" xfId="18364"/>
    <cellStyle name="Heading 1 2 3 3 2 2 7 6 2 2" xfId="18365"/>
    <cellStyle name="Heading 1 2 3 3 2 2 7 6 3" xfId="18366"/>
    <cellStyle name="Heading 1 2 3 3 2 2 7 7" xfId="18367"/>
    <cellStyle name="Heading 1 2 3 3 2 2 7 7 2" xfId="18368"/>
    <cellStyle name="Heading 1 2 3 3 2 2 7 7 2 2" xfId="18369"/>
    <cellStyle name="Heading 1 2 3 3 2 2 7 7 3" xfId="18370"/>
    <cellStyle name="Heading 1 2 3 3 2 2 7 8" xfId="18371"/>
    <cellStyle name="Heading 1 2 3 3 2 2 7 8 2" xfId="18372"/>
    <cellStyle name="Heading 1 2 3 3 2 2 7 9" xfId="18373"/>
    <cellStyle name="Heading 1 2 3 3 2 2 8" xfId="18374"/>
    <cellStyle name="Heading 1 2 3 3 2 2 8 2" xfId="18375"/>
    <cellStyle name="Heading 1 2 3 3 2 2 8 2 2" xfId="18376"/>
    <cellStyle name="Heading 1 2 3 3 2 2 8 2 2 2" xfId="18377"/>
    <cellStyle name="Heading 1 2 3 3 2 2 8 2 3" xfId="18378"/>
    <cellStyle name="Heading 1 2 3 3 2 2 8 3" xfId="18379"/>
    <cellStyle name="Heading 1 2 3 3 2 2 8 3 2" xfId="18380"/>
    <cellStyle name="Heading 1 2 3 3 2 2 8 3 2 2" xfId="18381"/>
    <cellStyle name="Heading 1 2 3 3 2 2 8 3 3" xfId="18382"/>
    <cellStyle name="Heading 1 2 3 3 2 2 8 4" xfId="18383"/>
    <cellStyle name="Heading 1 2 3 3 2 2 8 4 2" xfId="18384"/>
    <cellStyle name="Heading 1 2 3 3 2 2 8 4 2 2" xfId="18385"/>
    <cellStyle name="Heading 1 2 3 3 2 2 8 4 3" xfId="18386"/>
    <cellStyle name="Heading 1 2 3 3 2 2 8 5" xfId="18387"/>
    <cellStyle name="Heading 1 2 3 3 2 2 8 5 2" xfId="18388"/>
    <cellStyle name="Heading 1 2 3 3 2 2 8 5 2 2" xfId="18389"/>
    <cellStyle name="Heading 1 2 3 3 2 2 8 5 3" xfId="18390"/>
    <cellStyle name="Heading 1 2 3 3 2 2 8 6" xfId="18391"/>
    <cellStyle name="Heading 1 2 3 3 2 2 8 6 2" xfId="18392"/>
    <cellStyle name="Heading 1 2 3 3 2 2 8 6 2 2" xfId="18393"/>
    <cellStyle name="Heading 1 2 3 3 2 2 8 6 3" xfId="18394"/>
    <cellStyle name="Heading 1 2 3 3 2 2 8 7" xfId="18395"/>
    <cellStyle name="Heading 1 2 3 3 2 2 8 7 2" xfId="18396"/>
    <cellStyle name="Heading 1 2 3 3 2 2 8 7 2 2" xfId="18397"/>
    <cellStyle name="Heading 1 2 3 3 2 2 8 7 3" xfId="18398"/>
    <cellStyle name="Heading 1 2 3 3 2 2 8 8" xfId="18399"/>
    <cellStyle name="Heading 1 2 3 3 2 2 8 8 2" xfId="18400"/>
    <cellStyle name="Heading 1 2 3 3 2 2 8 9" xfId="18401"/>
    <cellStyle name="Heading 1 2 3 3 2 2 9" xfId="18402"/>
    <cellStyle name="Heading 1 2 3 3 2 2 9 2" xfId="18403"/>
    <cellStyle name="Heading 1 2 3 3 2 2 9 2 2" xfId="18404"/>
    <cellStyle name="Heading 1 2 3 3 2 2 9 3" xfId="18405"/>
    <cellStyle name="Heading 1 2 3 3 2 20" xfId="18406"/>
    <cellStyle name="Heading 1 2 3 3 2 20 2" xfId="18407"/>
    <cellStyle name="Heading 1 2 3 3 2 21" xfId="18408"/>
    <cellStyle name="Heading 1 2 3 3 2 21 2" xfId="18409"/>
    <cellStyle name="Heading 1 2 3 3 2 22" xfId="18410"/>
    <cellStyle name="Heading 1 2 3 3 2 22 2" xfId="18411"/>
    <cellStyle name="Heading 1 2 3 3 2 23" xfId="18412"/>
    <cellStyle name="Heading 1 2 3 3 2 3" xfId="18413"/>
    <cellStyle name="Heading 1 2 3 3 2 3 2" xfId="18414"/>
    <cellStyle name="Heading 1 2 3 3 2 3 2 2" xfId="18415"/>
    <cellStyle name="Heading 1 2 3 3 2 3 2 2 2" xfId="18416"/>
    <cellStyle name="Heading 1 2 3 3 2 3 2 3" xfId="18417"/>
    <cellStyle name="Heading 1 2 3 3 2 3 3" xfId="18418"/>
    <cellStyle name="Heading 1 2 3 3 2 3 3 2" xfId="18419"/>
    <cellStyle name="Heading 1 2 3 3 2 3 3 2 2" xfId="18420"/>
    <cellStyle name="Heading 1 2 3 3 2 3 3 3" xfId="18421"/>
    <cellStyle name="Heading 1 2 3 3 2 3 4" xfId="18422"/>
    <cellStyle name="Heading 1 2 3 3 2 3 4 2" xfId="18423"/>
    <cellStyle name="Heading 1 2 3 3 2 3 4 2 2" xfId="18424"/>
    <cellStyle name="Heading 1 2 3 3 2 3 4 3" xfId="18425"/>
    <cellStyle name="Heading 1 2 3 3 2 3 5" xfId="18426"/>
    <cellStyle name="Heading 1 2 3 3 2 3 5 2" xfId="18427"/>
    <cellStyle name="Heading 1 2 3 3 2 3 5 2 2" xfId="18428"/>
    <cellStyle name="Heading 1 2 3 3 2 3 5 3" xfId="18429"/>
    <cellStyle name="Heading 1 2 3 3 2 3 6" xfId="18430"/>
    <cellStyle name="Heading 1 2 3 3 2 3 6 2" xfId="18431"/>
    <cellStyle name="Heading 1 2 3 3 2 3 6 2 2" xfId="18432"/>
    <cellStyle name="Heading 1 2 3 3 2 3 6 3" xfId="18433"/>
    <cellStyle name="Heading 1 2 3 3 2 3 7" xfId="18434"/>
    <cellStyle name="Heading 1 2 3 3 2 3 7 2" xfId="18435"/>
    <cellStyle name="Heading 1 2 3 3 2 3 7 2 2" xfId="18436"/>
    <cellStyle name="Heading 1 2 3 3 2 3 7 3" xfId="18437"/>
    <cellStyle name="Heading 1 2 3 3 2 3 8" xfId="18438"/>
    <cellStyle name="Heading 1 2 3 3 2 3 8 2" xfId="18439"/>
    <cellStyle name="Heading 1 2 3 3 2 3 9" xfId="18440"/>
    <cellStyle name="Heading 1 2 3 3 2 4" xfId="18441"/>
    <cellStyle name="Heading 1 2 3 3 2 4 2" xfId="18442"/>
    <cellStyle name="Heading 1 2 3 3 2 4 2 2" xfId="18443"/>
    <cellStyle name="Heading 1 2 3 3 2 4 2 2 2" xfId="18444"/>
    <cellStyle name="Heading 1 2 3 3 2 4 2 3" xfId="18445"/>
    <cellStyle name="Heading 1 2 3 3 2 4 3" xfId="18446"/>
    <cellStyle name="Heading 1 2 3 3 2 4 3 2" xfId="18447"/>
    <cellStyle name="Heading 1 2 3 3 2 4 3 2 2" xfId="18448"/>
    <cellStyle name="Heading 1 2 3 3 2 4 3 3" xfId="18449"/>
    <cellStyle name="Heading 1 2 3 3 2 4 4" xfId="18450"/>
    <cellStyle name="Heading 1 2 3 3 2 4 4 2" xfId="18451"/>
    <cellStyle name="Heading 1 2 3 3 2 4 4 2 2" xfId="18452"/>
    <cellStyle name="Heading 1 2 3 3 2 4 4 3" xfId="18453"/>
    <cellStyle name="Heading 1 2 3 3 2 4 5" xfId="18454"/>
    <cellStyle name="Heading 1 2 3 3 2 4 5 2" xfId="18455"/>
    <cellStyle name="Heading 1 2 3 3 2 4 5 2 2" xfId="18456"/>
    <cellStyle name="Heading 1 2 3 3 2 4 5 3" xfId="18457"/>
    <cellStyle name="Heading 1 2 3 3 2 4 6" xfId="18458"/>
    <cellStyle name="Heading 1 2 3 3 2 4 6 2" xfId="18459"/>
    <cellStyle name="Heading 1 2 3 3 2 4 6 2 2" xfId="18460"/>
    <cellStyle name="Heading 1 2 3 3 2 4 6 3" xfId="18461"/>
    <cellStyle name="Heading 1 2 3 3 2 4 7" xfId="18462"/>
    <cellStyle name="Heading 1 2 3 3 2 4 7 2" xfId="18463"/>
    <cellStyle name="Heading 1 2 3 3 2 4 7 2 2" xfId="18464"/>
    <cellStyle name="Heading 1 2 3 3 2 4 7 3" xfId="18465"/>
    <cellStyle name="Heading 1 2 3 3 2 4 8" xfId="18466"/>
    <cellStyle name="Heading 1 2 3 3 2 4 8 2" xfId="18467"/>
    <cellStyle name="Heading 1 2 3 3 2 4 9" xfId="18468"/>
    <cellStyle name="Heading 1 2 3 3 2 5" xfId="18469"/>
    <cellStyle name="Heading 1 2 3 3 2 5 2" xfId="18470"/>
    <cellStyle name="Heading 1 2 3 3 2 5 2 2" xfId="18471"/>
    <cellStyle name="Heading 1 2 3 3 2 5 2 2 2" xfId="18472"/>
    <cellStyle name="Heading 1 2 3 3 2 5 2 3" xfId="18473"/>
    <cellStyle name="Heading 1 2 3 3 2 5 3" xfId="18474"/>
    <cellStyle name="Heading 1 2 3 3 2 5 3 2" xfId="18475"/>
    <cellStyle name="Heading 1 2 3 3 2 5 3 2 2" xfId="18476"/>
    <cellStyle name="Heading 1 2 3 3 2 5 3 3" xfId="18477"/>
    <cellStyle name="Heading 1 2 3 3 2 5 4" xfId="18478"/>
    <cellStyle name="Heading 1 2 3 3 2 5 4 2" xfId="18479"/>
    <cellStyle name="Heading 1 2 3 3 2 5 4 2 2" xfId="18480"/>
    <cellStyle name="Heading 1 2 3 3 2 5 4 3" xfId="18481"/>
    <cellStyle name="Heading 1 2 3 3 2 5 5" xfId="18482"/>
    <cellStyle name="Heading 1 2 3 3 2 5 5 2" xfId="18483"/>
    <cellStyle name="Heading 1 2 3 3 2 5 5 2 2" xfId="18484"/>
    <cellStyle name="Heading 1 2 3 3 2 5 5 3" xfId="18485"/>
    <cellStyle name="Heading 1 2 3 3 2 5 6" xfId="18486"/>
    <cellStyle name="Heading 1 2 3 3 2 5 6 2" xfId="18487"/>
    <cellStyle name="Heading 1 2 3 3 2 5 6 2 2" xfId="18488"/>
    <cellStyle name="Heading 1 2 3 3 2 5 6 3" xfId="18489"/>
    <cellStyle name="Heading 1 2 3 3 2 5 7" xfId="18490"/>
    <cellStyle name="Heading 1 2 3 3 2 5 7 2" xfId="18491"/>
    <cellStyle name="Heading 1 2 3 3 2 5 7 2 2" xfId="18492"/>
    <cellStyle name="Heading 1 2 3 3 2 5 7 3" xfId="18493"/>
    <cellStyle name="Heading 1 2 3 3 2 5 8" xfId="18494"/>
    <cellStyle name="Heading 1 2 3 3 2 5 8 2" xfId="18495"/>
    <cellStyle name="Heading 1 2 3 3 2 5 9" xfId="18496"/>
    <cellStyle name="Heading 1 2 3 3 2 6" xfId="18497"/>
    <cellStyle name="Heading 1 2 3 3 2 6 2" xfId="18498"/>
    <cellStyle name="Heading 1 2 3 3 2 6 2 2" xfId="18499"/>
    <cellStyle name="Heading 1 2 3 3 2 6 2 2 2" xfId="18500"/>
    <cellStyle name="Heading 1 2 3 3 2 6 2 3" xfId="18501"/>
    <cellStyle name="Heading 1 2 3 3 2 6 3" xfId="18502"/>
    <cellStyle name="Heading 1 2 3 3 2 6 3 2" xfId="18503"/>
    <cellStyle name="Heading 1 2 3 3 2 6 3 2 2" xfId="18504"/>
    <cellStyle name="Heading 1 2 3 3 2 6 3 3" xfId="18505"/>
    <cellStyle name="Heading 1 2 3 3 2 6 4" xfId="18506"/>
    <cellStyle name="Heading 1 2 3 3 2 6 4 2" xfId="18507"/>
    <cellStyle name="Heading 1 2 3 3 2 6 4 2 2" xfId="18508"/>
    <cellStyle name="Heading 1 2 3 3 2 6 4 3" xfId="18509"/>
    <cellStyle name="Heading 1 2 3 3 2 6 5" xfId="18510"/>
    <cellStyle name="Heading 1 2 3 3 2 6 5 2" xfId="18511"/>
    <cellStyle name="Heading 1 2 3 3 2 6 5 2 2" xfId="18512"/>
    <cellStyle name="Heading 1 2 3 3 2 6 5 3" xfId="18513"/>
    <cellStyle name="Heading 1 2 3 3 2 6 6" xfId="18514"/>
    <cellStyle name="Heading 1 2 3 3 2 6 6 2" xfId="18515"/>
    <cellStyle name="Heading 1 2 3 3 2 6 6 2 2" xfId="18516"/>
    <cellStyle name="Heading 1 2 3 3 2 6 6 3" xfId="18517"/>
    <cellStyle name="Heading 1 2 3 3 2 6 7" xfId="18518"/>
    <cellStyle name="Heading 1 2 3 3 2 6 7 2" xfId="18519"/>
    <cellStyle name="Heading 1 2 3 3 2 6 7 2 2" xfId="18520"/>
    <cellStyle name="Heading 1 2 3 3 2 6 7 3" xfId="18521"/>
    <cellStyle name="Heading 1 2 3 3 2 6 8" xfId="18522"/>
    <cellStyle name="Heading 1 2 3 3 2 6 8 2" xfId="18523"/>
    <cellStyle name="Heading 1 2 3 3 2 6 9" xfId="18524"/>
    <cellStyle name="Heading 1 2 3 3 2 7" xfId="18525"/>
    <cellStyle name="Heading 1 2 3 3 2 7 2" xfId="18526"/>
    <cellStyle name="Heading 1 2 3 3 2 7 2 2" xfId="18527"/>
    <cellStyle name="Heading 1 2 3 3 2 7 2 2 2" xfId="18528"/>
    <cellStyle name="Heading 1 2 3 3 2 7 2 3" xfId="18529"/>
    <cellStyle name="Heading 1 2 3 3 2 7 3" xfId="18530"/>
    <cellStyle name="Heading 1 2 3 3 2 7 3 2" xfId="18531"/>
    <cellStyle name="Heading 1 2 3 3 2 7 3 2 2" xfId="18532"/>
    <cellStyle name="Heading 1 2 3 3 2 7 3 3" xfId="18533"/>
    <cellStyle name="Heading 1 2 3 3 2 7 4" xfId="18534"/>
    <cellStyle name="Heading 1 2 3 3 2 7 4 2" xfId="18535"/>
    <cellStyle name="Heading 1 2 3 3 2 7 4 2 2" xfId="18536"/>
    <cellStyle name="Heading 1 2 3 3 2 7 4 3" xfId="18537"/>
    <cellStyle name="Heading 1 2 3 3 2 7 5" xfId="18538"/>
    <cellStyle name="Heading 1 2 3 3 2 7 5 2" xfId="18539"/>
    <cellStyle name="Heading 1 2 3 3 2 7 5 2 2" xfId="18540"/>
    <cellStyle name="Heading 1 2 3 3 2 7 5 3" xfId="18541"/>
    <cellStyle name="Heading 1 2 3 3 2 7 6" xfId="18542"/>
    <cellStyle name="Heading 1 2 3 3 2 7 6 2" xfId="18543"/>
    <cellStyle name="Heading 1 2 3 3 2 7 6 2 2" xfId="18544"/>
    <cellStyle name="Heading 1 2 3 3 2 7 6 3" xfId="18545"/>
    <cellStyle name="Heading 1 2 3 3 2 7 7" xfId="18546"/>
    <cellStyle name="Heading 1 2 3 3 2 7 7 2" xfId="18547"/>
    <cellStyle name="Heading 1 2 3 3 2 7 7 2 2" xfId="18548"/>
    <cellStyle name="Heading 1 2 3 3 2 7 7 3" xfId="18549"/>
    <cellStyle name="Heading 1 2 3 3 2 7 8" xfId="18550"/>
    <cellStyle name="Heading 1 2 3 3 2 7 8 2" xfId="18551"/>
    <cellStyle name="Heading 1 2 3 3 2 7 9" xfId="18552"/>
    <cellStyle name="Heading 1 2 3 3 2 8" xfId="18553"/>
    <cellStyle name="Heading 1 2 3 3 2 8 2" xfId="18554"/>
    <cellStyle name="Heading 1 2 3 3 2 8 2 2" xfId="18555"/>
    <cellStyle name="Heading 1 2 3 3 2 8 2 2 2" xfId="18556"/>
    <cellStyle name="Heading 1 2 3 3 2 8 2 3" xfId="18557"/>
    <cellStyle name="Heading 1 2 3 3 2 8 3" xfId="18558"/>
    <cellStyle name="Heading 1 2 3 3 2 8 3 2" xfId="18559"/>
    <cellStyle name="Heading 1 2 3 3 2 8 3 2 2" xfId="18560"/>
    <cellStyle name="Heading 1 2 3 3 2 8 3 3" xfId="18561"/>
    <cellStyle name="Heading 1 2 3 3 2 8 4" xfId="18562"/>
    <cellStyle name="Heading 1 2 3 3 2 8 4 2" xfId="18563"/>
    <cellStyle name="Heading 1 2 3 3 2 8 4 2 2" xfId="18564"/>
    <cellStyle name="Heading 1 2 3 3 2 8 4 3" xfId="18565"/>
    <cellStyle name="Heading 1 2 3 3 2 8 5" xfId="18566"/>
    <cellStyle name="Heading 1 2 3 3 2 8 5 2" xfId="18567"/>
    <cellStyle name="Heading 1 2 3 3 2 8 5 2 2" xfId="18568"/>
    <cellStyle name="Heading 1 2 3 3 2 8 5 3" xfId="18569"/>
    <cellStyle name="Heading 1 2 3 3 2 8 6" xfId="18570"/>
    <cellStyle name="Heading 1 2 3 3 2 8 6 2" xfId="18571"/>
    <cellStyle name="Heading 1 2 3 3 2 8 6 2 2" xfId="18572"/>
    <cellStyle name="Heading 1 2 3 3 2 8 6 3" xfId="18573"/>
    <cellStyle name="Heading 1 2 3 3 2 8 7" xfId="18574"/>
    <cellStyle name="Heading 1 2 3 3 2 8 7 2" xfId="18575"/>
    <cellStyle name="Heading 1 2 3 3 2 8 7 2 2" xfId="18576"/>
    <cellStyle name="Heading 1 2 3 3 2 8 7 3" xfId="18577"/>
    <cellStyle name="Heading 1 2 3 3 2 8 8" xfId="18578"/>
    <cellStyle name="Heading 1 2 3 3 2 8 8 2" xfId="18579"/>
    <cellStyle name="Heading 1 2 3 3 2 8 9" xfId="18580"/>
    <cellStyle name="Heading 1 2 3 3 2 9" xfId="18581"/>
    <cellStyle name="Heading 1 2 3 3 2 9 2" xfId="18582"/>
    <cellStyle name="Heading 1 2 3 3 2 9 2 2" xfId="18583"/>
    <cellStyle name="Heading 1 2 3 3 2 9 2 2 2" xfId="18584"/>
    <cellStyle name="Heading 1 2 3 3 2 9 2 3" xfId="18585"/>
    <cellStyle name="Heading 1 2 3 3 2 9 3" xfId="18586"/>
    <cellStyle name="Heading 1 2 3 3 2 9 3 2" xfId="18587"/>
    <cellStyle name="Heading 1 2 3 3 2 9 3 2 2" xfId="18588"/>
    <cellStyle name="Heading 1 2 3 3 2 9 3 3" xfId="18589"/>
    <cellStyle name="Heading 1 2 3 3 2 9 4" xfId="18590"/>
    <cellStyle name="Heading 1 2 3 3 2 9 4 2" xfId="18591"/>
    <cellStyle name="Heading 1 2 3 3 2 9 4 2 2" xfId="18592"/>
    <cellStyle name="Heading 1 2 3 3 2 9 4 3" xfId="18593"/>
    <cellStyle name="Heading 1 2 3 3 2 9 5" xfId="18594"/>
    <cellStyle name="Heading 1 2 3 3 2 9 5 2" xfId="18595"/>
    <cellStyle name="Heading 1 2 3 3 2 9 5 2 2" xfId="18596"/>
    <cellStyle name="Heading 1 2 3 3 2 9 5 3" xfId="18597"/>
    <cellStyle name="Heading 1 2 3 3 2 9 6" xfId="18598"/>
    <cellStyle name="Heading 1 2 3 3 2 9 6 2" xfId="18599"/>
    <cellStyle name="Heading 1 2 3 3 2 9 6 2 2" xfId="18600"/>
    <cellStyle name="Heading 1 2 3 3 2 9 6 3" xfId="18601"/>
    <cellStyle name="Heading 1 2 3 3 2 9 7" xfId="18602"/>
    <cellStyle name="Heading 1 2 3 3 2 9 7 2" xfId="18603"/>
    <cellStyle name="Heading 1 2 3 3 2 9 7 2 2" xfId="18604"/>
    <cellStyle name="Heading 1 2 3 3 2 9 7 3" xfId="18605"/>
    <cellStyle name="Heading 1 2 3 3 2 9 8" xfId="18606"/>
    <cellStyle name="Heading 1 2 3 3 2 9 8 2" xfId="18607"/>
    <cellStyle name="Heading 1 2 3 3 2 9 9" xfId="18608"/>
    <cellStyle name="Heading 1 2 3 3 3" xfId="18609"/>
    <cellStyle name="Heading 1 2 3 3 3 10" xfId="18610"/>
    <cellStyle name="Heading 1 2 3 3 3 10 2" xfId="18611"/>
    <cellStyle name="Heading 1 2 3 3 3 10 2 2" xfId="18612"/>
    <cellStyle name="Heading 1 2 3 3 3 10 3" xfId="18613"/>
    <cellStyle name="Heading 1 2 3 3 3 11" xfId="18614"/>
    <cellStyle name="Heading 1 2 3 3 3 11 2" xfId="18615"/>
    <cellStyle name="Heading 1 2 3 3 3 11 2 2" xfId="18616"/>
    <cellStyle name="Heading 1 2 3 3 3 11 3" xfId="18617"/>
    <cellStyle name="Heading 1 2 3 3 3 12" xfId="18618"/>
    <cellStyle name="Heading 1 2 3 3 3 12 2" xfId="18619"/>
    <cellStyle name="Heading 1 2 3 3 3 12 2 2" xfId="18620"/>
    <cellStyle name="Heading 1 2 3 3 3 12 3" xfId="18621"/>
    <cellStyle name="Heading 1 2 3 3 3 13" xfId="18622"/>
    <cellStyle name="Heading 1 2 3 3 3 13 2" xfId="18623"/>
    <cellStyle name="Heading 1 2 3 3 3 13 2 2" xfId="18624"/>
    <cellStyle name="Heading 1 2 3 3 3 13 3" xfId="18625"/>
    <cellStyle name="Heading 1 2 3 3 3 14" xfId="18626"/>
    <cellStyle name="Heading 1 2 3 3 3 14 2" xfId="18627"/>
    <cellStyle name="Heading 1 2 3 3 3 14 2 2" xfId="18628"/>
    <cellStyle name="Heading 1 2 3 3 3 14 3" xfId="18629"/>
    <cellStyle name="Heading 1 2 3 3 3 15" xfId="18630"/>
    <cellStyle name="Heading 1 2 3 3 3 15 2" xfId="18631"/>
    <cellStyle name="Heading 1 2 3 3 3 15 2 2" xfId="18632"/>
    <cellStyle name="Heading 1 2 3 3 3 15 3" xfId="18633"/>
    <cellStyle name="Heading 1 2 3 3 3 16" xfId="18634"/>
    <cellStyle name="Heading 1 2 3 3 3 16 2" xfId="18635"/>
    <cellStyle name="Heading 1 2 3 3 3 16 2 2" xfId="18636"/>
    <cellStyle name="Heading 1 2 3 3 3 16 3" xfId="18637"/>
    <cellStyle name="Heading 1 2 3 3 3 17" xfId="18638"/>
    <cellStyle name="Heading 1 2 3 3 3 17 2" xfId="18639"/>
    <cellStyle name="Heading 1 2 3 3 3 17 2 2" xfId="18640"/>
    <cellStyle name="Heading 1 2 3 3 3 17 3" xfId="18641"/>
    <cellStyle name="Heading 1 2 3 3 3 18" xfId="18642"/>
    <cellStyle name="Heading 1 2 3 3 3 18 2" xfId="18643"/>
    <cellStyle name="Heading 1 2 3 3 3 18 2 2" xfId="18644"/>
    <cellStyle name="Heading 1 2 3 3 3 18 3" xfId="18645"/>
    <cellStyle name="Heading 1 2 3 3 3 19" xfId="18646"/>
    <cellStyle name="Heading 1 2 3 3 3 19 2" xfId="18647"/>
    <cellStyle name="Heading 1 2 3 3 3 2" xfId="18648"/>
    <cellStyle name="Heading 1 2 3 3 3 2 2" xfId="18649"/>
    <cellStyle name="Heading 1 2 3 3 3 2 2 2" xfId="18650"/>
    <cellStyle name="Heading 1 2 3 3 3 2 2 2 2" xfId="18651"/>
    <cellStyle name="Heading 1 2 3 3 3 2 2 3" xfId="18652"/>
    <cellStyle name="Heading 1 2 3 3 3 2 3" xfId="18653"/>
    <cellStyle name="Heading 1 2 3 3 3 2 3 2" xfId="18654"/>
    <cellStyle name="Heading 1 2 3 3 3 2 3 2 2" xfId="18655"/>
    <cellStyle name="Heading 1 2 3 3 3 2 3 3" xfId="18656"/>
    <cellStyle name="Heading 1 2 3 3 3 2 4" xfId="18657"/>
    <cellStyle name="Heading 1 2 3 3 3 2 4 2" xfId="18658"/>
    <cellStyle name="Heading 1 2 3 3 3 2 4 2 2" xfId="18659"/>
    <cellStyle name="Heading 1 2 3 3 3 2 4 3" xfId="18660"/>
    <cellStyle name="Heading 1 2 3 3 3 2 5" xfId="18661"/>
    <cellStyle name="Heading 1 2 3 3 3 2 5 2" xfId="18662"/>
    <cellStyle name="Heading 1 2 3 3 3 2 5 2 2" xfId="18663"/>
    <cellStyle name="Heading 1 2 3 3 3 2 5 3" xfId="18664"/>
    <cellStyle name="Heading 1 2 3 3 3 2 6" xfId="18665"/>
    <cellStyle name="Heading 1 2 3 3 3 2 6 2" xfId="18666"/>
    <cellStyle name="Heading 1 2 3 3 3 2 6 2 2" xfId="18667"/>
    <cellStyle name="Heading 1 2 3 3 3 2 6 3" xfId="18668"/>
    <cellStyle name="Heading 1 2 3 3 3 2 7" xfId="18669"/>
    <cellStyle name="Heading 1 2 3 3 3 2 7 2" xfId="18670"/>
    <cellStyle name="Heading 1 2 3 3 3 2 7 2 2" xfId="18671"/>
    <cellStyle name="Heading 1 2 3 3 3 2 7 3" xfId="18672"/>
    <cellStyle name="Heading 1 2 3 3 3 2 8" xfId="18673"/>
    <cellStyle name="Heading 1 2 3 3 3 2 8 2" xfId="18674"/>
    <cellStyle name="Heading 1 2 3 3 3 2 9" xfId="18675"/>
    <cellStyle name="Heading 1 2 3 3 3 20" xfId="18676"/>
    <cellStyle name="Heading 1 2 3 3 3 20 2" xfId="18677"/>
    <cellStyle name="Heading 1 2 3 3 3 21" xfId="18678"/>
    <cellStyle name="Heading 1 2 3 3 3 21 2" xfId="18679"/>
    <cellStyle name="Heading 1 2 3 3 3 22" xfId="18680"/>
    <cellStyle name="Heading 1 2 3 3 3 3" xfId="18681"/>
    <cellStyle name="Heading 1 2 3 3 3 3 2" xfId="18682"/>
    <cellStyle name="Heading 1 2 3 3 3 3 2 2" xfId="18683"/>
    <cellStyle name="Heading 1 2 3 3 3 3 2 2 2" xfId="18684"/>
    <cellStyle name="Heading 1 2 3 3 3 3 2 3" xfId="18685"/>
    <cellStyle name="Heading 1 2 3 3 3 3 3" xfId="18686"/>
    <cellStyle name="Heading 1 2 3 3 3 3 3 2" xfId="18687"/>
    <cellStyle name="Heading 1 2 3 3 3 3 3 2 2" xfId="18688"/>
    <cellStyle name="Heading 1 2 3 3 3 3 3 3" xfId="18689"/>
    <cellStyle name="Heading 1 2 3 3 3 3 4" xfId="18690"/>
    <cellStyle name="Heading 1 2 3 3 3 3 4 2" xfId="18691"/>
    <cellStyle name="Heading 1 2 3 3 3 3 4 2 2" xfId="18692"/>
    <cellStyle name="Heading 1 2 3 3 3 3 4 3" xfId="18693"/>
    <cellStyle name="Heading 1 2 3 3 3 3 5" xfId="18694"/>
    <cellStyle name="Heading 1 2 3 3 3 3 5 2" xfId="18695"/>
    <cellStyle name="Heading 1 2 3 3 3 3 5 2 2" xfId="18696"/>
    <cellStyle name="Heading 1 2 3 3 3 3 5 3" xfId="18697"/>
    <cellStyle name="Heading 1 2 3 3 3 3 6" xfId="18698"/>
    <cellStyle name="Heading 1 2 3 3 3 3 6 2" xfId="18699"/>
    <cellStyle name="Heading 1 2 3 3 3 3 6 2 2" xfId="18700"/>
    <cellStyle name="Heading 1 2 3 3 3 3 6 3" xfId="18701"/>
    <cellStyle name="Heading 1 2 3 3 3 3 7" xfId="18702"/>
    <cellStyle name="Heading 1 2 3 3 3 3 7 2" xfId="18703"/>
    <cellStyle name="Heading 1 2 3 3 3 3 7 2 2" xfId="18704"/>
    <cellStyle name="Heading 1 2 3 3 3 3 7 3" xfId="18705"/>
    <cellStyle name="Heading 1 2 3 3 3 3 8" xfId="18706"/>
    <cellStyle name="Heading 1 2 3 3 3 3 8 2" xfId="18707"/>
    <cellStyle name="Heading 1 2 3 3 3 3 9" xfId="18708"/>
    <cellStyle name="Heading 1 2 3 3 3 4" xfId="18709"/>
    <cellStyle name="Heading 1 2 3 3 3 4 2" xfId="18710"/>
    <cellStyle name="Heading 1 2 3 3 3 4 2 2" xfId="18711"/>
    <cellStyle name="Heading 1 2 3 3 3 4 2 2 2" xfId="18712"/>
    <cellStyle name="Heading 1 2 3 3 3 4 2 3" xfId="18713"/>
    <cellStyle name="Heading 1 2 3 3 3 4 3" xfId="18714"/>
    <cellStyle name="Heading 1 2 3 3 3 4 3 2" xfId="18715"/>
    <cellStyle name="Heading 1 2 3 3 3 4 3 2 2" xfId="18716"/>
    <cellStyle name="Heading 1 2 3 3 3 4 3 3" xfId="18717"/>
    <cellStyle name="Heading 1 2 3 3 3 4 4" xfId="18718"/>
    <cellStyle name="Heading 1 2 3 3 3 4 4 2" xfId="18719"/>
    <cellStyle name="Heading 1 2 3 3 3 4 4 2 2" xfId="18720"/>
    <cellStyle name="Heading 1 2 3 3 3 4 4 3" xfId="18721"/>
    <cellStyle name="Heading 1 2 3 3 3 4 5" xfId="18722"/>
    <cellStyle name="Heading 1 2 3 3 3 4 5 2" xfId="18723"/>
    <cellStyle name="Heading 1 2 3 3 3 4 5 2 2" xfId="18724"/>
    <cellStyle name="Heading 1 2 3 3 3 4 5 3" xfId="18725"/>
    <cellStyle name="Heading 1 2 3 3 3 4 6" xfId="18726"/>
    <cellStyle name="Heading 1 2 3 3 3 4 6 2" xfId="18727"/>
    <cellStyle name="Heading 1 2 3 3 3 4 6 2 2" xfId="18728"/>
    <cellStyle name="Heading 1 2 3 3 3 4 6 3" xfId="18729"/>
    <cellStyle name="Heading 1 2 3 3 3 4 7" xfId="18730"/>
    <cellStyle name="Heading 1 2 3 3 3 4 7 2" xfId="18731"/>
    <cellStyle name="Heading 1 2 3 3 3 4 7 2 2" xfId="18732"/>
    <cellStyle name="Heading 1 2 3 3 3 4 7 3" xfId="18733"/>
    <cellStyle name="Heading 1 2 3 3 3 4 8" xfId="18734"/>
    <cellStyle name="Heading 1 2 3 3 3 4 8 2" xfId="18735"/>
    <cellStyle name="Heading 1 2 3 3 3 4 9" xfId="18736"/>
    <cellStyle name="Heading 1 2 3 3 3 5" xfId="18737"/>
    <cellStyle name="Heading 1 2 3 3 3 5 2" xfId="18738"/>
    <cellStyle name="Heading 1 2 3 3 3 5 2 2" xfId="18739"/>
    <cellStyle name="Heading 1 2 3 3 3 5 2 2 2" xfId="18740"/>
    <cellStyle name="Heading 1 2 3 3 3 5 2 3" xfId="18741"/>
    <cellStyle name="Heading 1 2 3 3 3 5 3" xfId="18742"/>
    <cellStyle name="Heading 1 2 3 3 3 5 3 2" xfId="18743"/>
    <cellStyle name="Heading 1 2 3 3 3 5 3 2 2" xfId="18744"/>
    <cellStyle name="Heading 1 2 3 3 3 5 3 3" xfId="18745"/>
    <cellStyle name="Heading 1 2 3 3 3 5 4" xfId="18746"/>
    <cellStyle name="Heading 1 2 3 3 3 5 4 2" xfId="18747"/>
    <cellStyle name="Heading 1 2 3 3 3 5 4 2 2" xfId="18748"/>
    <cellStyle name="Heading 1 2 3 3 3 5 4 3" xfId="18749"/>
    <cellStyle name="Heading 1 2 3 3 3 5 5" xfId="18750"/>
    <cellStyle name="Heading 1 2 3 3 3 5 5 2" xfId="18751"/>
    <cellStyle name="Heading 1 2 3 3 3 5 5 2 2" xfId="18752"/>
    <cellStyle name="Heading 1 2 3 3 3 5 5 3" xfId="18753"/>
    <cellStyle name="Heading 1 2 3 3 3 5 6" xfId="18754"/>
    <cellStyle name="Heading 1 2 3 3 3 5 6 2" xfId="18755"/>
    <cellStyle name="Heading 1 2 3 3 3 5 6 2 2" xfId="18756"/>
    <cellStyle name="Heading 1 2 3 3 3 5 6 3" xfId="18757"/>
    <cellStyle name="Heading 1 2 3 3 3 5 7" xfId="18758"/>
    <cellStyle name="Heading 1 2 3 3 3 5 7 2" xfId="18759"/>
    <cellStyle name="Heading 1 2 3 3 3 5 7 2 2" xfId="18760"/>
    <cellStyle name="Heading 1 2 3 3 3 5 7 3" xfId="18761"/>
    <cellStyle name="Heading 1 2 3 3 3 5 8" xfId="18762"/>
    <cellStyle name="Heading 1 2 3 3 3 5 8 2" xfId="18763"/>
    <cellStyle name="Heading 1 2 3 3 3 5 9" xfId="18764"/>
    <cellStyle name="Heading 1 2 3 3 3 6" xfId="18765"/>
    <cellStyle name="Heading 1 2 3 3 3 6 2" xfId="18766"/>
    <cellStyle name="Heading 1 2 3 3 3 6 2 2" xfId="18767"/>
    <cellStyle name="Heading 1 2 3 3 3 6 2 2 2" xfId="18768"/>
    <cellStyle name="Heading 1 2 3 3 3 6 2 3" xfId="18769"/>
    <cellStyle name="Heading 1 2 3 3 3 6 3" xfId="18770"/>
    <cellStyle name="Heading 1 2 3 3 3 6 3 2" xfId="18771"/>
    <cellStyle name="Heading 1 2 3 3 3 6 3 2 2" xfId="18772"/>
    <cellStyle name="Heading 1 2 3 3 3 6 3 3" xfId="18773"/>
    <cellStyle name="Heading 1 2 3 3 3 6 4" xfId="18774"/>
    <cellStyle name="Heading 1 2 3 3 3 6 4 2" xfId="18775"/>
    <cellStyle name="Heading 1 2 3 3 3 6 4 2 2" xfId="18776"/>
    <cellStyle name="Heading 1 2 3 3 3 6 4 3" xfId="18777"/>
    <cellStyle name="Heading 1 2 3 3 3 6 5" xfId="18778"/>
    <cellStyle name="Heading 1 2 3 3 3 6 5 2" xfId="18779"/>
    <cellStyle name="Heading 1 2 3 3 3 6 5 2 2" xfId="18780"/>
    <cellStyle name="Heading 1 2 3 3 3 6 5 3" xfId="18781"/>
    <cellStyle name="Heading 1 2 3 3 3 6 6" xfId="18782"/>
    <cellStyle name="Heading 1 2 3 3 3 6 6 2" xfId="18783"/>
    <cellStyle name="Heading 1 2 3 3 3 6 6 2 2" xfId="18784"/>
    <cellStyle name="Heading 1 2 3 3 3 6 6 3" xfId="18785"/>
    <cellStyle name="Heading 1 2 3 3 3 6 7" xfId="18786"/>
    <cellStyle name="Heading 1 2 3 3 3 6 7 2" xfId="18787"/>
    <cellStyle name="Heading 1 2 3 3 3 6 7 2 2" xfId="18788"/>
    <cellStyle name="Heading 1 2 3 3 3 6 7 3" xfId="18789"/>
    <cellStyle name="Heading 1 2 3 3 3 6 8" xfId="18790"/>
    <cellStyle name="Heading 1 2 3 3 3 6 8 2" xfId="18791"/>
    <cellStyle name="Heading 1 2 3 3 3 6 9" xfId="18792"/>
    <cellStyle name="Heading 1 2 3 3 3 7" xfId="18793"/>
    <cellStyle name="Heading 1 2 3 3 3 7 2" xfId="18794"/>
    <cellStyle name="Heading 1 2 3 3 3 7 2 2" xfId="18795"/>
    <cellStyle name="Heading 1 2 3 3 3 7 2 2 2" xfId="18796"/>
    <cellStyle name="Heading 1 2 3 3 3 7 2 3" xfId="18797"/>
    <cellStyle name="Heading 1 2 3 3 3 7 3" xfId="18798"/>
    <cellStyle name="Heading 1 2 3 3 3 7 3 2" xfId="18799"/>
    <cellStyle name="Heading 1 2 3 3 3 7 3 2 2" xfId="18800"/>
    <cellStyle name="Heading 1 2 3 3 3 7 3 3" xfId="18801"/>
    <cellStyle name="Heading 1 2 3 3 3 7 4" xfId="18802"/>
    <cellStyle name="Heading 1 2 3 3 3 7 4 2" xfId="18803"/>
    <cellStyle name="Heading 1 2 3 3 3 7 4 2 2" xfId="18804"/>
    <cellStyle name="Heading 1 2 3 3 3 7 4 3" xfId="18805"/>
    <cellStyle name="Heading 1 2 3 3 3 7 5" xfId="18806"/>
    <cellStyle name="Heading 1 2 3 3 3 7 5 2" xfId="18807"/>
    <cellStyle name="Heading 1 2 3 3 3 7 5 2 2" xfId="18808"/>
    <cellStyle name="Heading 1 2 3 3 3 7 5 3" xfId="18809"/>
    <cellStyle name="Heading 1 2 3 3 3 7 6" xfId="18810"/>
    <cellStyle name="Heading 1 2 3 3 3 7 6 2" xfId="18811"/>
    <cellStyle name="Heading 1 2 3 3 3 7 6 2 2" xfId="18812"/>
    <cellStyle name="Heading 1 2 3 3 3 7 6 3" xfId="18813"/>
    <cellStyle name="Heading 1 2 3 3 3 7 7" xfId="18814"/>
    <cellStyle name="Heading 1 2 3 3 3 7 7 2" xfId="18815"/>
    <cellStyle name="Heading 1 2 3 3 3 7 7 2 2" xfId="18816"/>
    <cellStyle name="Heading 1 2 3 3 3 7 7 3" xfId="18817"/>
    <cellStyle name="Heading 1 2 3 3 3 7 8" xfId="18818"/>
    <cellStyle name="Heading 1 2 3 3 3 7 8 2" xfId="18819"/>
    <cellStyle name="Heading 1 2 3 3 3 7 9" xfId="18820"/>
    <cellStyle name="Heading 1 2 3 3 3 8" xfId="18821"/>
    <cellStyle name="Heading 1 2 3 3 3 8 2" xfId="18822"/>
    <cellStyle name="Heading 1 2 3 3 3 8 2 2" xfId="18823"/>
    <cellStyle name="Heading 1 2 3 3 3 8 2 2 2" xfId="18824"/>
    <cellStyle name="Heading 1 2 3 3 3 8 2 3" xfId="18825"/>
    <cellStyle name="Heading 1 2 3 3 3 8 3" xfId="18826"/>
    <cellStyle name="Heading 1 2 3 3 3 8 3 2" xfId="18827"/>
    <cellStyle name="Heading 1 2 3 3 3 8 3 2 2" xfId="18828"/>
    <cellStyle name="Heading 1 2 3 3 3 8 3 3" xfId="18829"/>
    <cellStyle name="Heading 1 2 3 3 3 8 4" xfId="18830"/>
    <cellStyle name="Heading 1 2 3 3 3 8 4 2" xfId="18831"/>
    <cellStyle name="Heading 1 2 3 3 3 8 4 2 2" xfId="18832"/>
    <cellStyle name="Heading 1 2 3 3 3 8 4 3" xfId="18833"/>
    <cellStyle name="Heading 1 2 3 3 3 8 5" xfId="18834"/>
    <cellStyle name="Heading 1 2 3 3 3 8 5 2" xfId="18835"/>
    <cellStyle name="Heading 1 2 3 3 3 8 5 2 2" xfId="18836"/>
    <cellStyle name="Heading 1 2 3 3 3 8 5 3" xfId="18837"/>
    <cellStyle name="Heading 1 2 3 3 3 8 6" xfId="18838"/>
    <cellStyle name="Heading 1 2 3 3 3 8 6 2" xfId="18839"/>
    <cellStyle name="Heading 1 2 3 3 3 8 6 2 2" xfId="18840"/>
    <cellStyle name="Heading 1 2 3 3 3 8 6 3" xfId="18841"/>
    <cellStyle name="Heading 1 2 3 3 3 8 7" xfId="18842"/>
    <cellStyle name="Heading 1 2 3 3 3 8 7 2" xfId="18843"/>
    <cellStyle name="Heading 1 2 3 3 3 8 7 2 2" xfId="18844"/>
    <cellStyle name="Heading 1 2 3 3 3 8 7 3" xfId="18845"/>
    <cellStyle name="Heading 1 2 3 3 3 8 8" xfId="18846"/>
    <cellStyle name="Heading 1 2 3 3 3 8 8 2" xfId="18847"/>
    <cellStyle name="Heading 1 2 3 3 3 8 9" xfId="18848"/>
    <cellStyle name="Heading 1 2 3 3 3 9" xfId="18849"/>
    <cellStyle name="Heading 1 2 3 3 3 9 2" xfId="18850"/>
    <cellStyle name="Heading 1 2 3 3 3 9 2 2" xfId="18851"/>
    <cellStyle name="Heading 1 2 3 3 3 9 3" xfId="18852"/>
    <cellStyle name="Heading 1 2 3 3 4" xfId="18853"/>
    <cellStyle name="Heading 1 2 3 3 4 2" xfId="18854"/>
    <cellStyle name="Heading 1 2 3 3 4 2 2" xfId="18855"/>
    <cellStyle name="Heading 1 2 3 3 4 3" xfId="18856"/>
    <cellStyle name="Heading 1 2 3 3 5" xfId="18857"/>
    <cellStyle name="Heading 1 2 3 3 5 2" xfId="18858"/>
    <cellStyle name="Heading 1 2 3 3 6" xfId="18859"/>
    <cellStyle name="Heading 1 2 3 4" xfId="18860"/>
    <cellStyle name="Heading 1 2 3 4 2" xfId="18861"/>
    <cellStyle name="Heading 1 2 3 4 2 10" xfId="18862"/>
    <cellStyle name="Heading 1 2 3 4 2 10 2" xfId="18863"/>
    <cellStyle name="Heading 1 2 3 4 2 10 2 2" xfId="18864"/>
    <cellStyle name="Heading 1 2 3 4 2 10 3" xfId="18865"/>
    <cellStyle name="Heading 1 2 3 4 2 11" xfId="18866"/>
    <cellStyle name="Heading 1 2 3 4 2 11 2" xfId="18867"/>
    <cellStyle name="Heading 1 2 3 4 2 11 2 2" xfId="18868"/>
    <cellStyle name="Heading 1 2 3 4 2 11 3" xfId="18869"/>
    <cellStyle name="Heading 1 2 3 4 2 12" xfId="18870"/>
    <cellStyle name="Heading 1 2 3 4 2 12 2" xfId="18871"/>
    <cellStyle name="Heading 1 2 3 4 2 12 2 2" xfId="18872"/>
    <cellStyle name="Heading 1 2 3 4 2 12 3" xfId="18873"/>
    <cellStyle name="Heading 1 2 3 4 2 13" xfId="18874"/>
    <cellStyle name="Heading 1 2 3 4 2 13 2" xfId="18875"/>
    <cellStyle name="Heading 1 2 3 4 2 13 2 2" xfId="18876"/>
    <cellStyle name="Heading 1 2 3 4 2 13 3" xfId="18877"/>
    <cellStyle name="Heading 1 2 3 4 2 14" xfId="18878"/>
    <cellStyle name="Heading 1 2 3 4 2 14 2" xfId="18879"/>
    <cellStyle name="Heading 1 2 3 4 2 14 2 2" xfId="18880"/>
    <cellStyle name="Heading 1 2 3 4 2 14 3" xfId="18881"/>
    <cellStyle name="Heading 1 2 3 4 2 15" xfId="18882"/>
    <cellStyle name="Heading 1 2 3 4 2 15 2" xfId="18883"/>
    <cellStyle name="Heading 1 2 3 4 2 15 2 2" xfId="18884"/>
    <cellStyle name="Heading 1 2 3 4 2 15 3" xfId="18885"/>
    <cellStyle name="Heading 1 2 3 4 2 16" xfId="18886"/>
    <cellStyle name="Heading 1 2 3 4 2 16 2" xfId="18887"/>
    <cellStyle name="Heading 1 2 3 4 2 16 2 2" xfId="18888"/>
    <cellStyle name="Heading 1 2 3 4 2 16 3" xfId="18889"/>
    <cellStyle name="Heading 1 2 3 4 2 17" xfId="18890"/>
    <cellStyle name="Heading 1 2 3 4 2 17 2" xfId="18891"/>
    <cellStyle name="Heading 1 2 3 4 2 17 2 2" xfId="18892"/>
    <cellStyle name="Heading 1 2 3 4 2 17 3" xfId="18893"/>
    <cellStyle name="Heading 1 2 3 4 2 18" xfId="18894"/>
    <cellStyle name="Heading 1 2 3 4 2 18 2" xfId="18895"/>
    <cellStyle name="Heading 1 2 3 4 2 18 2 2" xfId="18896"/>
    <cellStyle name="Heading 1 2 3 4 2 18 3" xfId="18897"/>
    <cellStyle name="Heading 1 2 3 4 2 19" xfId="18898"/>
    <cellStyle name="Heading 1 2 3 4 2 19 2" xfId="18899"/>
    <cellStyle name="Heading 1 2 3 4 2 19 2 2" xfId="18900"/>
    <cellStyle name="Heading 1 2 3 4 2 19 3" xfId="18901"/>
    <cellStyle name="Heading 1 2 3 4 2 2" xfId="18902"/>
    <cellStyle name="Heading 1 2 3 4 2 2 10" xfId="18903"/>
    <cellStyle name="Heading 1 2 3 4 2 2 10 2" xfId="18904"/>
    <cellStyle name="Heading 1 2 3 4 2 2 10 2 2" xfId="18905"/>
    <cellStyle name="Heading 1 2 3 4 2 2 10 3" xfId="18906"/>
    <cellStyle name="Heading 1 2 3 4 2 2 11" xfId="18907"/>
    <cellStyle name="Heading 1 2 3 4 2 2 11 2" xfId="18908"/>
    <cellStyle name="Heading 1 2 3 4 2 2 11 2 2" xfId="18909"/>
    <cellStyle name="Heading 1 2 3 4 2 2 11 3" xfId="18910"/>
    <cellStyle name="Heading 1 2 3 4 2 2 12" xfId="18911"/>
    <cellStyle name="Heading 1 2 3 4 2 2 12 2" xfId="18912"/>
    <cellStyle name="Heading 1 2 3 4 2 2 12 2 2" xfId="18913"/>
    <cellStyle name="Heading 1 2 3 4 2 2 12 3" xfId="18914"/>
    <cellStyle name="Heading 1 2 3 4 2 2 13" xfId="18915"/>
    <cellStyle name="Heading 1 2 3 4 2 2 13 2" xfId="18916"/>
    <cellStyle name="Heading 1 2 3 4 2 2 13 2 2" xfId="18917"/>
    <cellStyle name="Heading 1 2 3 4 2 2 13 3" xfId="18918"/>
    <cellStyle name="Heading 1 2 3 4 2 2 14" xfId="18919"/>
    <cellStyle name="Heading 1 2 3 4 2 2 14 2" xfId="18920"/>
    <cellStyle name="Heading 1 2 3 4 2 2 14 2 2" xfId="18921"/>
    <cellStyle name="Heading 1 2 3 4 2 2 14 3" xfId="18922"/>
    <cellStyle name="Heading 1 2 3 4 2 2 15" xfId="18923"/>
    <cellStyle name="Heading 1 2 3 4 2 2 15 2" xfId="18924"/>
    <cellStyle name="Heading 1 2 3 4 2 2 15 2 2" xfId="18925"/>
    <cellStyle name="Heading 1 2 3 4 2 2 15 3" xfId="18926"/>
    <cellStyle name="Heading 1 2 3 4 2 2 16" xfId="18927"/>
    <cellStyle name="Heading 1 2 3 4 2 2 16 2" xfId="18928"/>
    <cellStyle name="Heading 1 2 3 4 2 2 16 2 2" xfId="18929"/>
    <cellStyle name="Heading 1 2 3 4 2 2 16 3" xfId="18930"/>
    <cellStyle name="Heading 1 2 3 4 2 2 17" xfId="18931"/>
    <cellStyle name="Heading 1 2 3 4 2 2 17 2" xfId="18932"/>
    <cellStyle name="Heading 1 2 3 4 2 2 17 2 2" xfId="18933"/>
    <cellStyle name="Heading 1 2 3 4 2 2 17 3" xfId="18934"/>
    <cellStyle name="Heading 1 2 3 4 2 2 18" xfId="18935"/>
    <cellStyle name="Heading 1 2 3 4 2 2 18 2" xfId="18936"/>
    <cellStyle name="Heading 1 2 3 4 2 2 18 2 2" xfId="18937"/>
    <cellStyle name="Heading 1 2 3 4 2 2 18 3" xfId="18938"/>
    <cellStyle name="Heading 1 2 3 4 2 2 19" xfId="18939"/>
    <cellStyle name="Heading 1 2 3 4 2 2 19 2" xfId="18940"/>
    <cellStyle name="Heading 1 2 3 4 2 2 2" xfId="18941"/>
    <cellStyle name="Heading 1 2 3 4 2 2 2 2" xfId="18942"/>
    <cellStyle name="Heading 1 2 3 4 2 2 2 2 2" xfId="18943"/>
    <cellStyle name="Heading 1 2 3 4 2 2 2 2 2 2" xfId="18944"/>
    <cellStyle name="Heading 1 2 3 4 2 2 2 2 3" xfId="18945"/>
    <cellStyle name="Heading 1 2 3 4 2 2 2 3" xfId="18946"/>
    <cellStyle name="Heading 1 2 3 4 2 2 2 3 2" xfId="18947"/>
    <cellStyle name="Heading 1 2 3 4 2 2 2 3 2 2" xfId="18948"/>
    <cellStyle name="Heading 1 2 3 4 2 2 2 3 3" xfId="18949"/>
    <cellStyle name="Heading 1 2 3 4 2 2 2 4" xfId="18950"/>
    <cellStyle name="Heading 1 2 3 4 2 2 2 4 2" xfId="18951"/>
    <cellStyle name="Heading 1 2 3 4 2 2 2 4 2 2" xfId="18952"/>
    <cellStyle name="Heading 1 2 3 4 2 2 2 4 3" xfId="18953"/>
    <cellStyle name="Heading 1 2 3 4 2 2 2 5" xfId="18954"/>
    <cellStyle name="Heading 1 2 3 4 2 2 2 5 2" xfId="18955"/>
    <cellStyle name="Heading 1 2 3 4 2 2 2 5 2 2" xfId="18956"/>
    <cellStyle name="Heading 1 2 3 4 2 2 2 5 3" xfId="18957"/>
    <cellStyle name="Heading 1 2 3 4 2 2 2 6" xfId="18958"/>
    <cellStyle name="Heading 1 2 3 4 2 2 2 6 2" xfId="18959"/>
    <cellStyle name="Heading 1 2 3 4 2 2 2 6 2 2" xfId="18960"/>
    <cellStyle name="Heading 1 2 3 4 2 2 2 6 3" xfId="18961"/>
    <cellStyle name="Heading 1 2 3 4 2 2 2 7" xfId="18962"/>
    <cellStyle name="Heading 1 2 3 4 2 2 2 7 2" xfId="18963"/>
    <cellStyle name="Heading 1 2 3 4 2 2 2 7 2 2" xfId="18964"/>
    <cellStyle name="Heading 1 2 3 4 2 2 2 7 3" xfId="18965"/>
    <cellStyle name="Heading 1 2 3 4 2 2 2 8" xfId="18966"/>
    <cellStyle name="Heading 1 2 3 4 2 2 2 8 2" xfId="18967"/>
    <cellStyle name="Heading 1 2 3 4 2 2 2 9" xfId="18968"/>
    <cellStyle name="Heading 1 2 3 4 2 2 20" xfId="18969"/>
    <cellStyle name="Heading 1 2 3 4 2 2 20 2" xfId="18970"/>
    <cellStyle name="Heading 1 2 3 4 2 2 21" xfId="18971"/>
    <cellStyle name="Heading 1 2 3 4 2 2 21 2" xfId="18972"/>
    <cellStyle name="Heading 1 2 3 4 2 2 22" xfId="18973"/>
    <cellStyle name="Heading 1 2 3 4 2 2 3" xfId="18974"/>
    <cellStyle name="Heading 1 2 3 4 2 2 3 2" xfId="18975"/>
    <cellStyle name="Heading 1 2 3 4 2 2 3 2 2" xfId="18976"/>
    <cellStyle name="Heading 1 2 3 4 2 2 3 2 2 2" xfId="18977"/>
    <cellStyle name="Heading 1 2 3 4 2 2 3 2 3" xfId="18978"/>
    <cellStyle name="Heading 1 2 3 4 2 2 3 3" xfId="18979"/>
    <cellStyle name="Heading 1 2 3 4 2 2 3 3 2" xfId="18980"/>
    <cellStyle name="Heading 1 2 3 4 2 2 3 3 2 2" xfId="18981"/>
    <cellStyle name="Heading 1 2 3 4 2 2 3 3 3" xfId="18982"/>
    <cellStyle name="Heading 1 2 3 4 2 2 3 4" xfId="18983"/>
    <cellStyle name="Heading 1 2 3 4 2 2 3 4 2" xfId="18984"/>
    <cellStyle name="Heading 1 2 3 4 2 2 3 4 2 2" xfId="18985"/>
    <cellStyle name="Heading 1 2 3 4 2 2 3 4 3" xfId="18986"/>
    <cellStyle name="Heading 1 2 3 4 2 2 3 5" xfId="18987"/>
    <cellStyle name="Heading 1 2 3 4 2 2 3 5 2" xfId="18988"/>
    <cellStyle name="Heading 1 2 3 4 2 2 3 5 2 2" xfId="18989"/>
    <cellStyle name="Heading 1 2 3 4 2 2 3 5 3" xfId="18990"/>
    <cellStyle name="Heading 1 2 3 4 2 2 3 6" xfId="18991"/>
    <cellStyle name="Heading 1 2 3 4 2 2 3 6 2" xfId="18992"/>
    <cellStyle name="Heading 1 2 3 4 2 2 3 6 2 2" xfId="18993"/>
    <cellStyle name="Heading 1 2 3 4 2 2 3 6 3" xfId="18994"/>
    <cellStyle name="Heading 1 2 3 4 2 2 3 7" xfId="18995"/>
    <cellStyle name="Heading 1 2 3 4 2 2 3 7 2" xfId="18996"/>
    <cellStyle name="Heading 1 2 3 4 2 2 3 7 2 2" xfId="18997"/>
    <cellStyle name="Heading 1 2 3 4 2 2 3 7 3" xfId="18998"/>
    <cellStyle name="Heading 1 2 3 4 2 2 3 8" xfId="18999"/>
    <cellStyle name="Heading 1 2 3 4 2 2 3 8 2" xfId="19000"/>
    <cellStyle name="Heading 1 2 3 4 2 2 3 9" xfId="19001"/>
    <cellStyle name="Heading 1 2 3 4 2 2 4" xfId="19002"/>
    <cellStyle name="Heading 1 2 3 4 2 2 4 2" xfId="19003"/>
    <cellStyle name="Heading 1 2 3 4 2 2 4 2 2" xfId="19004"/>
    <cellStyle name="Heading 1 2 3 4 2 2 4 2 2 2" xfId="19005"/>
    <cellStyle name="Heading 1 2 3 4 2 2 4 2 3" xfId="19006"/>
    <cellStyle name="Heading 1 2 3 4 2 2 4 3" xfId="19007"/>
    <cellStyle name="Heading 1 2 3 4 2 2 4 3 2" xfId="19008"/>
    <cellStyle name="Heading 1 2 3 4 2 2 4 3 2 2" xfId="19009"/>
    <cellStyle name="Heading 1 2 3 4 2 2 4 3 3" xfId="19010"/>
    <cellStyle name="Heading 1 2 3 4 2 2 4 4" xfId="19011"/>
    <cellStyle name="Heading 1 2 3 4 2 2 4 4 2" xfId="19012"/>
    <cellStyle name="Heading 1 2 3 4 2 2 4 4 2 2" xfId="19013"/>
    <cellStyle name="Heading 1 2 3 4 2 2 4 4 3" xfId="19014"/>
    <cellStyle name="Heading 1 2 3 4 2 2 4 5" xfId="19015"/>
    <cellStyle name="Heading 1 2 3 4 2 2 4 5 2" xfId="19016"/>
    <cellStyle name="Heading 1 2 3 4 2 2 4 5 2 2" xfId="19017"/>
    <cellStyle name="Heading 1 2 3 4 2 2 4 5 3" xfId="19018"/>
    <cellStyle name="Heading 1 2 3 4 2 2 4 6" xfId="19019"/>
    <cellStyle name="Heading 1 2 3 4 2 2 4 6 2" xfId="19020"/>
    <cellStyle name="Heading 1 2 3 4 2 2 4 6 2 2" xfId="19021"/>
    <cellStyle name="Heading 1 2 3 4 2 2 4 6 3" xfId="19022"/>
    <cellStyle name="Heading 1 2 3 4 2 2 4 7" xfId="19023"/>
    <cellStyle name="Heading 1 2 3 4 2 2 4 7 2" xfId="19024"/>
    <cellStyle name="Heading 1 2 3 4 2 2 4 7 2 2" xfId="19025"/>
    <cellStyle name="Heading 1 2 3 4 2 2 4 7 3" xfId="19026"/>
    <cellStyle name="Heading 1 2 3 4 2 2 4 8" xfId="19027"/>
    <cellStyle name="Heading 1 2 3 4 2 2 4 8 2" xfId="19028"/>
    <cellStyle name="Heading 1 2 3 4 2 2 4 9" xfId="19029"/>
    <cellStyle name="Heading 1 2 3 4 2 2 5" xfId="19030"/>
    <cellStyle name="Heading 1 2 3 4 2 2 5 2" xfId="19031"/>
    <cellStyle name="Heading 1 2 3 4 2 2 5 2 2" xfId="19032"/>
    <cellStyle name="Heading 1 2 3 4 2 2 5 2 2 2" xfId="19033"/>
    <cellStyle name="Heading 1 2 3 4 2 2 5 2 3" xfId="19034"/>
    <cellStyle name="Heading 1 2 3 4 2 2 5 3" xfId="19035"/>
    <cellStyle name="Heading 1 2 3 4 2 2 5 3 2" xfId="19036"/>
    <cellStyle name="Heading 1 2 3 4 2 2 5 3 2 2" xfId="19037"/>
    <cellStyle name="Heading 1 2 3 4 2 2 5 3 3" xfId="19038"/>
    <cellStyle name="Heading 1 2 3 4 2 2 5 4" xfId="19039"/>
    <cellStyle name="Heading 1 2 3 4 2 2 5 4 2" xfId="19040"/>
    <cellStyle name="Heading 1 2 3 4 2 2 5 4 2 2" xfId="19041"/>
    <cellStyle name="Heading 1 2 3 4 2 2 5 4 3" xfId="19042"/>
    <cellStyle name="Heading 1 2 3 4 2 2 5 5" xfId="19043"/>
    <cellStyle name="Heading 1 2 3 4 2 2 5 5 2" xfId="19044"/>
    <cellStyle name="Heading 1 2 3 4 2 2 5 5 2 2" xfId="19045"/>
    <cellStyle name="Heading 1 2 3 4 2 2 5 5 3" xfId="19046"/>
    <cellStyle name="Heading 1 2 3 4 2 2 5 6" xfId="19047"/>
    <cellStyle name="Heading 1 2 3 4 2 2 5 6 2" xfId="19048"/>
    <cellStyle name="Heading 1 2 3 4 2 2 5 6 2 2" xfId="19049"/>
    <cellStyle name="Heading 1 2 3 4 2 2 5 6 3" xfId="19050"/>
    <cellStyle name="Heading 1 2 3 4 2 2 5 7" xfId="19051"/>
    <cellStyle name="Heading 1 2 3 4 2 2 5 7 2" xfId="19052"/>
    <cellStyle name="Heading 1 2 3 4 2 2 5 7 2 2" xfId="19053"/>
    <cellStyle name="Heading 1 2 3 4 2 2 5 7 3" xfId="19054"/>
    <cellStyle name="Heading 1 2 3 4 2 2 5 8" xfId="19055"/>
    <cellStyle name="Heading 1 2 3 4 2 2 5 8 2" xfId="19056"/>
    <cellStyle name="Heading 1 2 3 4 2 2 5 9" xfId="19057"/>
    <cellStyle name="Heading 1 2 3 4 2 2 6" xfId="19058"/>
    <cellStyle name="Heading 1 2 3 4 2 2 6 2" xfId="19059"/>
    <cellStyle name="Heading 1 2 3 4 2 2 6 2 2" xfId="19060"/>
    <cellStyle name="Heading 1 2 3 4 2 2 6 2 2 2" xfId="19061"/>
    <cellStyle name="Heading 1 2 3 4 2 2 6 2 3" xfId="19062"/>
    <cellStyle name="Heading 1 2 3 4 2 2 6 3" xfId="19063"/>
    <cellStyle name="Heading 1 2 3 4 2 2 6 3 2" xfId="19064"/>
    <cellStyle name="Heading 1 2 3 4 2 2 6 3 2 2" xfId="19065"/>
    <cellStyle name="Heading 1 2 3 4 2 2 6 3 3" xfId="19066"/>
    <cellStyle name="Heading 1 2 3 4 2 2 6 4" xfId="19067"/>
    <cellStyle name="Heading 1 2 3 4 2 2 6 4 2" xfId="19068"/>
    <cellStyle name="Heading 1 2 3 4 2 2 6 4 2 2" xfId="19069"/>
    <cellStyle name="Heading 1 2 3 4 2 2 6 4 3" xfId="19070"/>
    <cellStyle name="Heading 1 2 3 4 2 2 6 5" xfId="19071"/>
    <cellStyle name="Heading 1 2 3 4 2 2 6 5 2" xfId="19072"/>
    <cellStyle name="Heading 1 2 3 4 2 2 6 5 2 2" xfId="19073"/>
    <cellStyle name="Heading 1 2 3 4 2 2 6 5 3" xfId="19074"/>
    <cellStyle name="Heading 1 2 3 4 2 2 6 6" xfId="19075"/>
    <cellStyle name="Heading 1 2 3 4 2 2 6 6 2" xfId="19076"/>
    <cellStyle name="Heading 1 2 3 4 2 2 6 6 2 2" xfId="19077"/>
    <cellStyle name="Heading 1 2 3 4 2 2 6 6 3" xfId="19078"/>
    <cellStyle name="Heading 1 2 3 4 2 2 6 7" xfId="19079"/>
    <cellStyle name="Heading 1 2 3 4 2 2 6 7 2" xfId="19080"/>
    <cellStyle name="Heading 1 2 3 4 2 2 6 7 2 2" xfId="19081"/>
    <cellStyle name="Heading 1 2 3 4 2 2 6 7 3" xfId="19082"/>
    <cellStyle name="Heading 1 2 3 4 2 2 6 8" xfId="19083"/>
    <cellStyle name="Heading 1 2 3 4 2 2 6 8 2" xfId="19084"/>
    <cellStyle name="Heading 1 2 3 4 2 2 6 9" xfId="19085"/>
    <cellStyle name="Heading 1 2 3 4 2 2 7" xfId="19086"/>
    <cellStyle name="Heading 1 2 3 4 2 2 7 2" xfId="19087"/>
    <cellStyle name="Heading 1 2 3 4 2 2 7 2 2" xfId="19088"/>
    <cellStyle name="Heading 1 2 3 4 2 2 7 2 2 2" xfId="19089"/>
    <cellStyle name="Heading 1 2 3 4 2 2 7 2 3" xfId="19090"/>
    <cellStyle name="Heading 1 2 3 4 2 2 7 3" xfId="19091"/>
    <cellStyle name="Heading 1 2 3 4 2 2 7 3 2" xfId="19092"/>
    <cellStyle name="Heading 1 2 3 4 2 2 7 3 2 2" xfId="19093"/>
    <cellStyle name="Heading 1 2 3 4 2 2 7 3 3" xfId="19094"/>
    <cellStyle name="Heading 1 2 3 4 2 2 7 4" xfId="19095"/>
    <cellStyle name="Heading 1 2 3 4 2 2 7 4 2" xfId="19096"/>
    <cellStyle name="Heading 1 2 3 4 2 2 7 4 2 2" xfId="19097"/>
    <cellStyle name="Heading 1 2 3 4 2 2 7 4 3" xfId="19098"/>
    <cellStyle name="Heading 1 2 3 4 2 2 7 5" xfId="19099"/>
    <cellStyle name="Heading 1 2 3 4 2 2 7 5 2" xfId="19100"/>
    <cellStyle name="Heading 1 2 3 4 2 2 7 5 2 2" xfId="19101"/>
    <cellStyle name="Heading 1 2 3 4 2 2 7 5 3" xfId="19102"/>
    <cellStyle name="Heading 1 2 3 4 2 2 7 6" xfId="19103"/>
    <cellStyle name="Heading 1 2 3 4 2 2 7 6 2" xfId="19104"/>
    <cellStyle name="Heading 1 2 3 4 2 2 7 6 2 2" xfId="19105"/>
    <cellStyle name="Heading 1 2 3 4 2 2 7 6 3" xfId="19106"/>
    <cellStyle name="Heading 1 2 3 4 2 2 7 7" xfId="19107"/>
    <cellStyle name="Heading 1 2 3 4 2 2 7 7 2" xfId="19108"/>
    <cellStyle name="Heading 1 2 3 4 2 2 7 7 2 2" xfId="19109"/>
    <cellStyle name="Heading 1 2 3 4 2 2 7 7 3" xfId="19110"/>
    <cellStyle name="Heading 1 2 3 4 2 2 7 8" xfId="19111"/>
    <cellStyle name="Heading 1 2 3 4 2 2 7 8 2" xfId="19112"/>
    <cellStyle name="Heading 1 2 3 4 2 2 7 9" xfId="19113"/>
    <cellStyle name="Heading 1 2 3 4 2 2 8" xfId="19114"/>
    <cellStyle name="Heading 1 2 3 4 2 2 8 2" xfId="19115"/>
    <cellStyle name="Heading 1 2 3 4 2 2 8 2 2" xfId="19116"/>
    <cellStyle name="Heading 1 2 3 4 2 2 8 2 2 2" xfId="19117"/>
    <cellStyle name="Heading 1 2 3 4 2 2 8 2 3" xfId="19118"/>
    <cellStyle name="Heading 1 2 3 4 2 2 8 3" xfId="19119"/>
    <cellStyle name="Heading 1 2 3 4 2 2 8 3 2" xfId="19120"/>
    <cellStyle name="Heading 1 2 3 4 2 2 8 3 2 2" xfId="19121"/>
    <cellStyle name="Heading 1 2 3 4 2 2 8 3 3" xfId="19122"/>
    <cellStyle name="Heading 1 2 3 4 2 2 8 4" xfId="19123"/>
    <cellStyle name="Heading 1 2 3 4 2 2 8 4 2" xfId="19124"/>
    <cellStyle name="Heading 1 2 3 4 2 2 8 4 2 2" xfId="19125"/>
    <cellStyle name="Heading 1 2 3 4 2 2 8 4 3" xfId="19126"/>
    <cellStyle name="Heading 1 2 3 4 2 2 8 5" xfId="19127"/>
    <cellStyle name="Heading 1 2 3 4 2 2 8 5 2" xfId="19128"/>
    <cellStyle name="Heading 1 2 3 4 2 2 8 5 2 2" xfId="19129"/>
    <cellStyle name="Heading 1 2 3 4 2 2 8 5 3" xfId="19130"/>
    <cellStyle name="Heading 1 2 3 4 2 2 8 6" xfId="19131"/>
    <cellStyle name="Heading 1 2 3 4 2 2 8 6 2" xfId="19132"/>
    <cellStyle name="Heading 1 2 3 4 2 2 8 6 2 2" xfId="19133"/>
    <cellStyle name="Heading 1 2 3 4 2 2 8 6 3" xfId="19134"/>
    <cellStyle name="Heading 1 2 3 4 2 2 8 7" xfId="19135"/>
    <cellStyle name="Heading 1 2 3 4 2 2 8 7 2" xfId="19136"/>
    <cellStyle name="Heading 1 2 3 4 2 2 8 7 2 2" xfId="19137"/>
    <cellStyle name="Heading 1 2 3 4 2 2 8 7 3" xfId="19138"/>
    <cellStyle name="Heading 1 2 3 4 2 2 8 8" xfId="19139"/>
    <cellStyle name="Heading 1 2 3 4 2 2 8 8 2" xfId="19140"/>
    <cellStyle name="Heading 1 2 3 4 2 2 8 9" xfId="19141"/>
    <cellStyle name="Heading 1 2 3 4 2 2 9" xfId="19142"/>
    <cellStyle name="Heading 1 2 3 4 2 2 9 2" xfId="19143"/>
    <cellStyle name="Heading 1 2 3 4 2 2 9 2 2" xfId="19144"/>
    <cellStyle name="Heading 1 2 3 4 2 2 9 3" xfId="19145"/>
    <cellStyle name="Heading 1 2 3 4 2 20" xfId="19146"/>
    <cellStyle name="Heading 1 2 3 4 2 20 2" xfId="19147"/>
    <cellStyle name="Heading 1 2 3 4 2 21" xfId="19148"/>
    <cellStyle name="Heading 1 2 3 4 2 21 2" xfId="19149"/>
    <cellStyle name="Heading 1 2 3 4 2 22" xfId="19150"/>
    <cellStyle name="Heading 1 2 3 4 2 22 2" xfId="19151"/>
    <cellStyle name="Heading 1 2 3 4 2 23" xfId="19152"/>
    <cellStyle name="Heading 1 2 3 4 2 3" xfId="19153"/>
    <cellStyle name="Heading 1 2 3 4 2 3 2" xfId="19154"/>
    <cellStyle name="Heading 1 2 3 4 2 3 2 2" xfId="19155"/>
    <cellStyle name="Heading 1 2 3 4 2 3 2 2 2" xfId="19156"/>
    <cellStyle name="Heading 1 2 3 4 2 3 2 3" xfId="19157"/>
    <cellStyle name="Heading 1 2 3 4 2 3 3" xfId="19158"/>
    <cellStyle name="Heading 1 2 3 4 2 3 3 2" xfId="19159"/>
    <cellStyle name="Heading 1 2 3 4 2 3 3 2 2" xfId="19160"/>
    <cellStyle name="Heading 1 2 3 4 2 3 3 3" xfId="19161"/>
    <cellStyle name="Heading 1 2 3 4 2 3 4" xfId="19162"/>
    <cellStyle name="Heading 1 2 3 4 2 3 4 2" xfId="19163"/>
    <cellStyle name="Heading 1 2 3 4 2 3 4 2 2" xfId="19164"/>
    <cellStyle name="Heading 1 2 3 4 2 3 4 3" xfId="19165"/>
    <cellStyle name="Heading 1 2 3 4 2 3 5" xfId="19166"/>
    <cellStyle name="Heading 1 2 3 4 2 3 5 2" xfId="19167"/>
    <cellStyle name="Heading 1 2 3 4 2 3 5 2 2" xfId="19168"/>
    <cellStyle name="Heading 1 2 3 4 2 3 5 3" xfId="19169"/>
    <cellStyle name="Heading 1 2 3 4 2 3 6" xfId="19170"/>
    <cellStyle name="Heading 1 2 3 4 2 3 6 2" xfId="19171"/>
    <cellStyle name="Heading 1 2 3 4 2 3 6 2 2" xfId="19172"/>
    <cellStyle name="Heading 1 2 3 4 2 3 6 3" xfId="19173"/>
    <cellStyle name="Heading 1 2 3 4 2 3 7" xfId="19174"/>
    <cellStyle name="Heading 1 2 3 4 2 3 7 2" xfId="19175"/>
    <cellStyle name="Heading 1 2 3 4 2 3 7 2 2" xfId="19176"/>
    <cellStyle name="Heading 1 2 3 4 2 3 7 3" xfId="19177"/>
    <cellStyle name="Heading 1 2 3 4 2 3 8" xfId="19178"/>
    <cellStyle name="Heading 1 2 3 4 2 3 8 2" xfId="19179"/>
    <cellStyle name="Heading 1 2 3 4 2 3 9" xfId="19180"/>
    <cellStyle name="Heading 1 2 3 4 2 4" xfId="19181"/>
    <cellStyle name="Heading 1 2 3 4 2 4 2" xfId="19182"/>
    <cellStyle name="Heading 1 2 3 4 2 4 2 2" xfId="19183"/>
    <cellStyle name="Heading 1 2 3 4 2 4 2 2 2" xfId="19184"/>
    <cellStyle name="Heading 1 2 3 4 2 4 2 3" xfId="19185"/>
    <cellStyle name="Heading 1 2 3 4 2 4 3" xfId="19186"/>
    <cellStyle name="Heading 1 2 3 4 2 4 3 2" xfId="19187"/>
    <cellStyle name="Heading 1 2 3 4 2 4 3 2 2" xfId="19188"/>
    <cellStyle name="Heading 1 2 3 4 2 4 3 3" xfId="19189"/>
    <cellStyle name="Heading 1 2 3 4 2 4 4" xfId="19190"/>
    <cellStyle name="Heading 1 2 3 4 2 4 4 2" xfId="19191"/>
    <cellStyle name="Heading 1 2 3 4 2 4 4 2 2" xfId="19192"/>
    <cellStyle name="Heading 1 2 3 4 2 4 4 3" xfId="19193"/>
    <cellStyle name="Heading 1 2 3 4 2 4 5" xfId="19194"/>
    <cellStyle name="Heading 1 2 3 4 2 4 5 2" xfId="19195"/>
    <cellStyle name="Heading 1 2 3 4 2 4 5 2 2" xfId="19196"/>
    <cellStyle name="Heading 1 2 3 4 2 4 5 3" xfId="19197"/>
    <cellStyle name="Heading 1 2 3 4 2 4 6" xfId="19198"/>
    <cellStyle name="Heading 1 2 3 4 2 4 6 2" xfId="19199"/>
    <cellStyle name="Heading 1 2 3 4 2 4 6 2 2" xfId="19200"/>
    <cellStyle name="Heading 1 2 3 4 2 4 6 3" xfId="19201"/>
    <cellStyle name="Heading 1 2 3 4 2 4 7" xfId="19202"/>
    <cellStyle name="Heading 1 2 3 4 2 4 7 2" xfId="19203"/>
    <cellStyle name="Heading 1 2 3 4 2 4 7 2 2" xfId="19204"/>
    <cellStyle name="Heading 1 2 3 4 2 4 7 3" xfId="19205"/>
    <cellStyle name="Heading 1 2 3 4 2 4 8" xfId="19206"/>
    <cellStyle name="Heading 1 2 3 4 2 4 8 2" xfId="19207"/>
    <cellStyle name="Heading 1 2 3 4 2 4 9" xfId="19208"/>
    <cellStyle name="Heading 1 2 3 4 2 5" xfId="19209"/>
    <cellStyle name="Heading 1 2 3 4 2 5 2" xfId="19210"/>
    <cellStyle name="Heading 1 2 3 4 2 5 2 2" xfId="19211"/>
    <cellStyle name="Heading 1 2 3 4 2 5 2 2 2" xfId="19212"/>
    <cellStyle name="Heading 1 2 3 4 2 5 2 3" xfId="19213"/>
    <cellStyle name="Heading 1 2 3 4 2 5 3" xfId="19214"/>
    <cellStyle name="Heading 1 2 3 4 2 5 3 2" xfId="19215"/>
    <cellStyle name="Heading 1 2 3 4 2 5 3 2 2" xfId="19216"/>
    <cellStyle name="Heading 1 2 3 4 2 5 3 3" xfId="19217"/>
    <cellStyle name="Heading 1 2 3 4 2 5 4" xfId="19218"/>
    <cellStyle name="Heading 1 2 3 4 2 5 4 2" xfId="19219"/>
    <cellStyle name="Heading 1 2 3 4 2 5 4 2 2" xfId="19220"/>
    <cellStyle name="Heading 1 2 3 4 2 5 4 3" xfId="19221"/>
    <cellStyle name="Heading 1 2 3 4 2 5 5" xfId="19222"/>
    <cellStyle name="Heading 1 2 3 4 2 5 5 2" xfId="19223"/>
    <cellStyle name="Heading 1 2 3 4 2 5 5 2 2" xfId="19224"/>
    <cellStyle name="Heading 1 2 3 4 2 5 5 3" xfId="19225"/>
    <cellStyle name="Heading 1 2 3 4 2 5 6" xfId="19226"/>
    <cellStyle name="Heading 1 2 3 4 2 5 6 2" xfId="19227"/>
    <cellStyle name="Heading 1 2 3 4 2 5 6 2 2" xfId="19228"/>
    <cellStyle name="Heading 1 2 3 4 2 5 6 3" xfId="19229"/>
    <cellStyle name="Heading 1 2 3 4 2 5 7" xfId="19230"/>
    <cellStyle name="Heading 1 2 3 4 2 5 7 2" xfId="19231"/>
    <cellStyle name="Heading 1 2 3 4 2 5 7 2 2" xfId="19232"/>
    <cellStyle name="Heading 1 2 3 4 2 5 7 3" xfId="19233"/>
    <cellStyle name="Heading 1 2 3 4 2 5 8" xfId="19234"/>
    <cellStyle name="Heading 1 2 3 4 2 5 8 2" xfId="19235"/>
    <cellStyle name="Heading 1 2 3 4 2 5 9" xfId="19236"/>
    <cellStyle name="Heading 1 2 3 4 2 6" xfId="19237"/>
    <cellStyle name="Heading 1 2 3 4 2 6 2" xfId="19238"/>
    <cellStyle name="Heading 1 2 3 4 2 6 2 2" xfId="19239"/>
    <cellStyle name="Heading 1 2 3 4 2 6 2 2 2" xfId="19240"/>
    <cellStyle name="Heading 1 2 3 4 2 6 2 3" xfId="19241"/>
    <cellStyle name="Heading 1 2 3 4 2 6 3" xfId="19242"/>
    <cellStyle name="Heading 1 2 3 4 2 6 3 2" xfId="19243"/>
    <cellStyle name="Heading 1 2 3 4 2 6 3 2 2" xfId="19244"/>
    <cellStyle name="Heading 1 2 3 4 2 6 3 3" xfId="19245"/>
    <cellStyle name="Heading 1 2 3 4 2 6 4" xfId="19246"/>
    <cellStyle name="Heading 1 2 3 4 2 6 4 2" xfId="19247"/>
    <cellStyle name="Heading 1 2 3 4 2 6 4 2 2" xfId="19248"/>
    <cellStyle name="Heading 1 2 3 4 2 6 4 3" xfId="19249"/>
    <cellStyle name="Heading 1 2 3 4 2 6 5" xfId="19250"/>
    <cellStyle name="Heading 1 2 3 4 2 6 5 2" xfId="19251"/>
    <cellStyle name="Heading 1 2 3 4 2 6 5 2 2" xfId="19252"/>
    <cellStyle name="Heading 1 2 3 4 2 6 5 3" xfId="19253"/>
    <cellStyle name="Heading 1 2 3 4 2 6 6" xfId="19254"/>
    <cellStyle name="Heading 1 2 3 4 2 6 6 2" xfId="19255"/>
    <cellStyle name="Heading 1 2 3 4 2 6 6 2 2" xfId="19256"/>
    <cellStyle name="Heading 1 2 3 4 2 6 6 3" xfId="19257"/>
    <cellStyle name="Heading 1 2 3 4 2 6 7" xfId="19258"/>
    <cellStyle name="Heading 1 2 3 4 2 6 7 2" xfId="19259"/>
    <cellStyle name="Heading 1 2 3 4 2 6 7 2 2" xfId="19260"/>
    <cellStyle name="Heading 1 2 3 4 2 6 7 3" xfId="19261"/>
    <cellStyle name="Heading 1 2 3 4 2 6 8" xfId="19262"/>
    <cellStyle name="Heading 1 2 3 4 2 6 8 2" xfId="19263"/>
    <cellStyle name="Heading 1 2 3 4 2 6 9" xfId="19264"/>
    <cellStyle name="Heading 1 2 3 4 2 7" xfId="19265"/>
    <cellStyle name="Heading 1 2 3 4 2 7 2" xfId="19266"/>
    <cellStyle name="Heading 1 2 3 4 2 7 2 2" xfId="19267"/>
    <cellStyle name="Heading 1 2 3 4 2 7 2 2 2" xfId="19268"/>
    <cellStyle name="Heading 1 2 3 4 2 7 2 3" xfId="19269"/>
    <cellStyle name="Heading 1 2 3 4 2 7 3" xfId="19270"/>
    <cellStyle name="Heading 1 2 3 4 2 7 3 2" xfId="19271"/>
    <cellStyle name="Heading 1 2 3 4 2 7 3 2 2" xfId="19272"/>
    <cellStyle name="Heading 1 2 3 4 2 7 3 3" xfId="19273"/>
    <cellStyle name="Heading 1 2 3 4 2 7 4" xfId="19274"/>
    <cellStyle name="Heading 1 2 3 4 2 7 4 2" xfId="19275"/>
    <cellStyle name="Heading 1 2 3 4 2 7 4 2 2" xfId="19276"/>
    <cellStyle name="Heading 1 2 3 4 2 7 4 3" xfId="19277"/>
    <cellStyle name="Heading 1 2 3 4 2 7 5" xfId="19278"/>
    <cellStyle name="Heading 1 2 3 4 2 7 5 2" xfId="19279"/>
    <cellStyle name="Heading 1 2 3 4 2 7 5 2 2" xfId="19280"/>
    <cellStyle name="Heading 1 2 3 4 2 7 5 3" xfId="19281"/>
    <cellStyle name="Heading 1 2 3 4 2 7 6" xfId="19282"/>
    <cellStyle name="Heading 1 2 3 4 2 7 6 2" xfId="19283"/>
    <cellStyle name="Heading 1 2 3 4 2 7 6 2 2" xfId="19284"/>
    <cellStyle name="Heading 1 2 3 4 2 7 6 3" xfId="19285"/>
    <cellStyle name="Heading 1 2 3 4 2 7 7" xfId="19286"/>
    <cellStyle name="Heading 1 2 3 4 2 7 7 2" xfId="19287"/>
    <cellStyle name="Heading 1 2 3 4 2 7 7 2 2" xfId="19288"/>
    <cellStyle name="Heading 1 2 3 4 2 7 7 3" xfId="19289"/>
    <cellStyle name="Heading 1 2 3 4 2 7 8" xfId="19290"/>
    <cellStyle name="Heading 1 2 3 4 2 7 8 2" xfId="19291"/>
    <cellStyle name="Heading 1 2 3 4 2 7 9" xfId="19292"/>
    <cellStyle name="Heading 1 2 3 4 2 8" xfId="19293"/>
    <cellStyle name="Heading 1 2 3 4 2 8 2" xfId="19294"/>
    <cellStyle name="Heading 1 2 3 4 2 8 2 2" xfId="19295"/>
    <cellStyle name="Heading 1 2 3 4 2 8 2 2 2" xfId="19296"/>
    <cellStyle name="Heading 1 2 3 4 2 8 2 3" xfId="19297"/>
    <cellStyle name="Heading 1 2 3 4 2 8 3" xfId="19298"/>
    <cellStyle name="Heading 1 2 3 4 2 8 3 2" xfId="19299"/>
    <cellStyle name="Heading 1 2 3 4 2 8 3 2 2" xfId="19300"/>
    <cellStyle name="Heading 1 2 3 4 2 8 3 3" xfId="19301"/>
    <cellStyle name="Heading 1 2 3 4 2 8 4" xfId="19302"/>
    <cellStyle name="Heading 1 2 3 4 2 8 4 2" xfId="19303"/>
    <cellStyle name="Heading 1 2 3 4 2 8 4 2 2" xfId="19304"/>
    <cellStyle name="Heading 1 2 3 4 2 8 4 3" xfId="19305"/>
    <cellStyle name="Heading 1 2 3 4 2 8 5" xfId="19306"/>
    <cellStyle name="Heading 1 2 3 4 2 8 5 2" xfId="19307"/>
    <cellStyle name="Heading 1 2 3 4 2 8 5 2 2" xfId="19308"/>
    <cellStyle name="Heading 1 2 3 4 2 8 5 3" xfId="19309"/>
    <cellStyle name="Heading 1 2 3 4 2 8 6" xfId="19310"/>
    <cellStyle name="Heading 1 2 3 4 2 8 6 2" xfId="19311"/>
    <cellStyle name="Heading 1 2 3 4 2 8 6 2 2" xfId="19312"/>
    <cellStyle name="Heading 1 2 3 4 2 8 6 3" xfId="19313"/>
    <cellStyle name="Heading 1 2 3 4 2 8 7" xfId="19314"/>
    <cellStyle name="Heading 1 2 3 4 2 8 7 2" xfId="19315"/>
    <cellStyle name="Heading 1 2 3 4 2 8 7 2 2" xfId="19316"/>
    <cellStyle name="Heading 1 2 3 4 2 8 7 3" xfId="19317"/>
    <cellStyle name="Heading 1 2 3 4 2 8 8" xfId="19318"/>
    <cellStyle name="Heading 1 2 3 4 2 8 8 2" xfId="19319"/>
    <cellStyle name="Heading 1 2 3 4 2 8 9" xfId="19320"/>
    <cellStyle name="Heading 1 2 3 4 2 9" xfId="19321"/>
    <cellStyle name="Heading 1 2 3 4 2 9 2" xfId="19322"/>
    <cellStyle name="Heading 1 2 3 4 2 9 2 2" xfId="19323"/>
    <cellStyle name="Heading 1 2 3 4 2 9 2 2 2" xfId="19324"/>
    <cellStyle name="Heading 1 2 3 4 2 9 2 3" xfId="19325"/>
    <cellStyle name="Heading 1 2 3 4 2 9 3" xfId="19326"/>
    <cellStyle name="Heading 1 2 3 4 2 9 3 2" xfId="19327"/>
    <cellStyle name="Heading 1 2 3 4 2 9 3 2 2" xfId="19328"/>
    <cellStyle name="Heading 1 2 3 4 2 9 3 3" xfId="19329"/>
    <cellStyle name="Heading 1 2 3 4 2 9 4" xfId="19330"/>
    <cellStyle name="Heading 1 2 3 4 2 9 4 2" xfId="19331"/>
    <cellStyle name="Heading 1 2 3 4 2 9 4 2 2" xfId="19332"/>
    <cellStyle name="Heading 1 2 3 4 2 9 4 3" xfId="19333"/>
    <cellStyle name="Heading 1 2 3 4 2 9 5" xfId="19334"/>
    <cellStyle name="Heading 1 2 3 4 2 9 5 2" xfId="19335"/>
    <cellStyle name="Heading 1 2 3 4 2 9 5 2 2" xfId="19336"/>
    <cellStyle name="Heading 1 2 3 4 2 9 5 3" xfId="19337"/>
    <cellStyle name="Heading 1 2 3 4 2 9 6" xfId="19338"/>
    <cellStyle name="Heading 1 2 3 4 2 9 6 2" xfId="19339"/>
    <cellStyle name="Heading 1 2 3 4 2 9 6 2 2" xfId="19340"/>
    <cellStyle name="Heading 1 2 3 4 2 9 6 3" xfId="19341"/>
    <cellStyle name="Heading 1 2 3 4 2 9 7" xfId="19342"/>
    <cellStyle name="Heading 1 2 3 4 2 9 7 2" xfId="19343"/>
    <cellStyle name="Heading 1 2 3 4 2 9 7 2 2" xfId="19344"/>
    <cellStyle name="Heading 1 2 3 4 2 9 7 3" xfId="19345"/>
    <cellStyle name="Heading 1 2 3 4 2 9 8" xfId="19346"/>
    <cellStyle name="Heading 1 2 3 4 2 9 8 2" xfId="19347"/>
    <cellStyle name="Heading 1 2 3 4 2 9 9" xfId="19348"/>
    <cellStyle name="Heading 1 2 3 4 3" xfId="19349"/>
    <cellStyle name="Heading 1 2 3 4 3 10" xfId="19350"/>
    <cellStyle name="Heading 1 2 3 4 3 10 2" xfId="19351"/>
    <cellStyle name="Heading 1 2 3 4 3 10 2 2" xfId="19352"/>
    <cellStyle name="Heading 1 2 3 4 3 10 3" xfId="19353"/>
    <cellStyle name="Heading 1 2 3 4 3 11" xfId="19354"/>
    <cellStyle name="Heading 1 2 3 4 3 11 2" xfId="19355"/>
    <cellStyle name="Heading 1 2 3 4 3 11 2 2" xfId="19356"/>
    <cellStyle name="Heading 1 2 3 4 3 11 3" xfId="19357"/>
    <cellStyle name="Heading 1 2 3 4 3 12" xfId="19358"/>
    <cellStyle name="Heading 1 2 3 4 3 12 2" xfId="19359"/>
    <cellStyle name="Heading 1 2 3 4 3 12 2 2" xfId="19360"/>
    <cellStyle name="Heading 1 2 3 4 3 12 3" xfId="19361"/>
    <cellStyle name="Heading 1 2 3 4 3 13" xfId="19362"/>
    <cellStyle name="Heading 1 2 3 4 3 13 2" xfId="19363"/>
    <cellStyle name="Heading 1 2 3 4 3 13 2 2" xfId="19364"/>
    <cellStyle name="Heading 1 2 3 4 3 13 3" xfId="19365"/>
    <cellStyle name="Heading 1 2 3 4 3 14" xfId="19366"/>
    <cellStyle name="Heading 1 2 3 4 3 14 2" xfId="19367"/>
    <cellStyle name="Heading 1 2 3 4 3 14 2 2" xfId="19368"/>
    <cellStyle name="Heading 1 2 3 4 3 14 3" xfId="19369"/>
    <cellStyle name="Heading 1 2 3 4 3 15" xfId="19370"/>
    <cellStyle name="Heading 1 2 3 4 3 15 2" xfId="19371"/>
    <cellStyle name="Heading 1 2 3 4 3 15 2 2" xfId="19372"/>
    <cellStyle name="Heading 1 2 3 4 3 15 3" xfId="19373"/>
    <cellStyle name="Heading 1 2 3 4 3 16" xfId="19374"/>
    <cellStyle name="Heading 1 2 3 4 3 16 2" xfId="19375"/>
    <cellStyle name="Heading 1 2 3 4 3 16 2 2" xfId="19376"/>
    <cellStyle name="Heading 1 2 3 4 3 16 3" xfId="19377"/>
    <cellStyle name="Heading 1 2 3 4 3 17" xfId="19378"/>
    <cellStyle name="Heading 1 2 3 4 3 17 2" xfId="19379"/>
    <cellStyle name="Heading 1 2 3 4 3 17 2 2" xfId="19380"/>
    <cellStyle name="Heading 1 2 3 4 3 17 3" xfId="19381"/>
    <cellStyle name="Heading 1 2 3 4 3 18" xfId="19382"/>
    <cellStyle name="Heading 1 2 3 4 3 18 2" xfId="19383"/>
    <cellStyle name="Heading 1 2 3 4 3 18 2 2" xfId="19384"/>
    <cellStyle name="Heading 1 2 3 4 3 18 3" xfId="19385"/>
    <cellStyle name="Heading 1 2 3 4 3 19" xfId="19386"/>
    <cellStyle name="Heading 1 2 3 4 3 19 2" xfId="19387"/>
    <cellStyle name="Heading 1 2 3 4 3 2" xfId="19388"/>
    <cellStyle name="Heading 1 2 3 4 3 2 2" xfId="19389"/>
    <cellStyle name="Heading 1 2 3 4 3 2 2 2" xfId="19390"/>
    <cellStyle name="Heading 1 2 3 4 3 2 2 2 2" xfId="19391"/>
    <cellStyle name="Heading 1 2 3 4 3 2 2 3" xfId="19392"/>
    <cellStyle name="Heading 1 2 3 4 3 2 3" xfId="19393"/>
    <cellStyle name="Heading 1 2 3 4 3 2 3 2" xfId="19394"/>
    <cellStyle name="Heading 1 2 3 4 3 2 3 2 2" xfId="19395"/>
    <cellStyle name="Heading 1 2 3 4 3 2 3 3" xfId="19396"/>
    <cellStyle name="Heading 1 2 3 4 3 2 4" xfId="19397"/>
    <cellStyle name="Heading 1 2 3 4 3 2 4 2" xfId="19398"/>
    <cellStyle name="Heading 1 2 3 4 3 2 4 2 2" xfId="19399"/>
    <cellStyle name="Heading 1 2 3 4 3 2 4 3" xfId="19400"/>
    <cellStyle name="Heading 1 2 3 4 3 2 5" xfId="19401"/>
    <cellStyle name="Heading 1 2 3 4 3 2 5 2" xfId="19402"/>
    <cellStyle name="Heading 1 2 3 4 3 2 5 2 2" xfId="19403"/>
    <cellStyle name="Heading 1 2 3 4 3 2 5 3" xfId="19404"/>
    <cellStyle name="Heading 1 2 3 4 3 2 6" xfId="19405"/>
    <cellStyle name="Heading 1 2 3 4 3 2 6 2" xfId="19406"/>
    <cellStyle name="Heading 1 2 3 4 3 2 6 2 2" xfId="19407"/>
    <cellStyle name="Heading 1 2 3 4 3 2 6 3" xfId="19408"/>
    <cellStyle name="Heading 1 2 3 4 3 2 7" xfId="19409"/>
    <cellStyle name="Heading 1 2 3 4 3 2 7 2" xfId="19410"/>
    <cellStyle name="Heading 1 2 3 4 3 2 7 2 2" xfId="19411"/>
    <cellStyle name="Heading 1 2 3 4 3 2 7 3" xfId="19412"/>
    <cellStyle name="Heading 1 2 3 4 3 2 8" xfId="19413"/>
    <cellStyle name="Heading 1 2 3 4 3 2 8 2" xfId="19414"/>
    <cellStyle name="Heading 1 2 3 4 3 2 9" xfId="19415"/>
    <cellStyle name="Heading 1 2 3 4 3 20" xfId="19416"/>
    <cellStyle name="Heading 1 2 3 4 3 20 2" xfId="19417"/>
    <cellStyle name="Heading 1 2 3 4 3 21" xfId="19418"/>
    <cellStyle name="Heading 1 2 3 4 3 21 2" xfId="19419"/>
    <cellStyle name="Heading 1 2 3 4 3 22" xfId="19420"/>
    <cellStyle name="Heading 1 2 3 4 3 3" xfId="19421"/>
    <cellStyle name="Heading 1 2 3 4 3 3 2" xfId="19422"/>
    <cellStyle name="Heading 1 2 3 4 3 3 2 2" xfId="19423"/>
    <cellStyle name="Heading 1 2 3 4 3 3 2 2 2" xfId="19424"/>
    <cellStyle name="Heading 1 2 3 4 3 3 2 3" xfId="19425"/>
    <cellStyle name="Heading 1 2 3 4 3 3 3" xfId="19426"/>
    <cellStyle name="Heading 1 2 3 4 3 3 3 2" xfId="19427"/>
    <cellStyle name="Heading 1 2 3 4 3 3 3 2 2" xfId="19428"/>
    <cellStyle name="Heading 1 2 3 4 3 3 3 3" xfId="19429"/>
    <cellStyle name="Heading 1 2 3 4 3 3 4" xfId="19430"/>
    <cellStyle name="Heading 1 2 3 4 3 3 4 2" xfId="19431"/>
    <cellStyle name="Heading 1 2 3 4 3 3 4 2 2" xfId="19432"/>
    <cellStyle name="Heading 1 2 3 4 3 3 4 3" xfId="19433"/>
    <cellStyle name="Heading 1 2 3 4 3 3 5" xfId="19434"/>
    <cellStyle name="Heading 1 2 3 4 3 3 5 2" xfId="19435"/>
    <cellStyle name="Heading 1 2 3 4 3 3 5 2 2" xfId="19436"/>
    <cellStyle name="Heading 1 2 3 4 3 3 5 3" xfId="19437"/>
    <cellStyle name="Heading 1 2 3 4 3 3 6" xfId="19438"/>
    <cellStyle name="Heading 1 2 3 4 3 3 6 2" xfId="19439"/>
    <cellStyle name="Heading 1 2 3 4 3 3 6 2 2" xfId="19440"/>
    <cellStyle name="Heading 1 2 3 4 3 3 6 3" xfId="19441"/>
    <cellStyle name="Heading 1 2 3 4 3 3 7" xfId="19442"/>
    <cellStyle name="Heading 1 2 3 4 3 3 7 2" xfId="19443"/>
    <cellStyle name="Heading 1 2 3 4 3 3 7 2 2" xfId="19444"/>
    <cellStyle name="Heading 1 2 3 4 3 3 7 3" xfId="19445"/>
    <cellStyle name="Heading 1 2 3 4 3 3 8" xfId="19446"/>
    <cellStyle name="Heading 1 2 3 4 3 3 8 2" xfId="19447"/>
    <cellStyle name="Heading 1 2 3 4 3 3 9" xfId="19448"/>
    <cellStyle name="Heading 1 2 3 4 3 4" xfId="19449"/>
    <cellStyle name="Heading 1 2 3 4 3 4 2" xfId="19450"/>
    <cellStyle name="Heading 1 2 3 4 3 4 2 2" xfId="19451"/>
    <cellStyle name="Heading 1 2 3 4 3 4 2 2 2" xfId="19452"/>
    <cellStyle name="Heading 1 2 3 4 3 4 2 3" xfId="19453"/>
    <cellStyle name="Heading 1 2 3 4 3 4 3" xfId="19454"/>
    <cellStyle name="Heading 1 2 3 4 3 4 3 2" xfId="19455"/>
    <cellStyle name="Heading 1 2 3 4 3 4 3 2 2" xfId="19456"/>
    <cellStyle name="Heading 1 2 3 4 3 4 3 3" xfId="19457"/>
    <cellStyle name="Heading 1 2 3 4 3 4 4" xfId="19458"/>
    <cellStyle name="Heading 1 2 3 4 3 4 4 2" xfId="19459"/>
    <cellStyle name="Heading 1 2 3 4 3 4 4 2 2" xfId="19460"/>
    <cellStyle name="Heading 1 2 3 4 3 4 4 3" xfId="19461"/>
    <cellStyle name="Heading 1 2 3 4 3 4 5" xfId="19462"/>
    <cellStyle name="Heading 1 2 3 4 3 4 5 2" xfId="19463"/>
    <cellStyle name="Heading 1 2 3 4 3 4 5 2 2" xfId="19464"/>
    <cellStyle name="Heading 1 2 3 4 3 4 5 3" xfId="19465"/>
    <cellStyle name="Heading 1 2 3 4 3 4 6" xfId="19466"/>
    <cellStyle name="Heading 1 2 3 4 3 4 6 2" xfId="19467"/>
    <cellStyle name="Heading 1 2 3 4 3 4 6 2 2" xfId="19468"/>
    <cellStyle name="Heading 1 2 3 4 3 4 6 3" xfId="19469"/>
    <cellStyle name="Heading 1 2 3 4 3 4 7" xfId="19470"/>
    <cellStyle name="Heading 1 2 3 4 3 4 7 2" xfId="19471"/>
    <cellStyle name="Heading 1 2 3 4 3 4 7 2 2" xfId="19472"/>
    <cellStyle name="Heading 1 2 3 4 3 4 7 3" xfId="19473"/>
    <cellStyle name="Heading 1 2 3 4 3 4 8" xfId="19474"/>
    <cellStyle name="Heading 1 2 3 4 3 4 8 2" xfId="19475"/>
    <cellStyle name="Heading 1 2 3 4 3 4 9" xfId="19476"/>
    <cellStyle name="Heading 1 2 3 4 3 5" xfId="19477"/>
    <cellStyle name="Heading 1 2 3 4 3 5 2" xfId="19478"/>
    <cellStyle name="Heading 1 2 3 4 3 5 2 2" xfId="19479"/>
    <cellStyle name="Heading 1 2 3 4 3 5 2 2 2" xfId="19480"/>
    <cellStyle name="Heading 1 2 3 4 3 5 2 3" xfId="19481"/>
    <cellStyle name="Heading 1 2 3 4 3 5 3" xfId="19482"/>
    <cellStyle name="Heading 1 2 3 4 3 5 3 2" xfId="19483"/>
    <cellStyle name="Heading 1 2 3 4 3 5 3 2 2" xfId="19484"/>
    <cellStyle name="Heading 1 2 3 4 3 5 3 3" xfId="19485"/>
    <cellStyle name="Heading 1 2 3 4 3 5 4" xfId="19486"/>
    <cellStyle name="Heading 1 2 3 4 3 5 4 2" xfId="19487"/>
    <cellStyle name="Heading 1 2 3 4 3 5 4 2 2" xfId="19488"/>
    <cellStyle name="Heading 1 2 3 4 3 5 4 3" xfId="19489"/>
    <cellStyle name="Heading 1 2 3 4 3 5 5" xfId="19490"/>
    <cellStyle name="Heading 1 2 3 4 3 5 5 2" xfId="19491"/>
    <cellStyle name="Heading 1 2 3 4 3 5 5 2 2" xfId="19492"/>
    <cellStyle name="Heading 1 2 3 4 3 5 5 3" xfId="19493"/>
    <cellStyle name="Heading 1 2 3 4 3 5 6" xfId="19494"/>
    <cellStyle name="Heading 1 2 3 4 3 5 6 2" xfId="19495"/>
    <cellStyle name="Heading 1 2 3 4 3 5 6 2 2" xfId="19496"/>
    <cellStyle name="Heading 1 2 3 4 3 5 6 3" xfId="19497"/>
    <cellStyle name="Heading 1 2 3 4 3 5 7" xfId="19498"/>
    <cellStyle name="Heading 1 2 3 4 3 5 7 2" xfId="19499"/>
    <cellStyle name="Heading 1 2 3 4 3 5 7 2 2" xfId="19500"/>
    <cellStyle name="Heading 1 2 3 4 3 5 7 3" xfId="19501"/>
    <cellStyle name="Heading 1 2 3 4 3 5 8" xfId="19502"/>
    <cellStyle name="Heading 1 2 3 4 3 5 8 2" xfId="19503"/>
    <cellStyle name="Heading 1 2 3 4 3 5 9" xfId="19504"/>
    <cellStyle name="Heading 1 2 3 4 3 6" xfId="19505"/>
    <cellStyle name="Heading 1 2 3 4 3 6 2" xfId="19506"/>
    <cellStyle name="Heading 1 2 3 4 3 6 2 2" xfId="19507"/>
    <cellStyle name="Heading 1 2 3 4 3 6 2 2 2" xfId="19508"/>
    <cellStyle name="Heading 1 2 3 4 3 6 2 3" xfId="19509"/>
    <cellStyle name="Heading 1 2 3 4 3 6 3" xfId="19510"/>
    <cellStyle name="Heading 1 2 3 4 3 6 3 2" xfId="19511"/>
    <cellStyle name="Heading 1 2 3 4 3 6 3 2 2" xfId="19512"/>
    <cellStyle name="Heading 1 2 3 4 3 6 3 3" xfId="19513"/>
    <cellStyle name="Heading 1 2 3 4 3 6 4" xfId="19514"/>
    <cellStyle name="Heading 1 2 3 4 3 6 4 2" xfId="19515"/>
    <cellStyle name="Heading 1 2 3 4 3 6 4 2 2" xfId="19516"/>
    <cellStyle name="Heading 1 2 3 4 3 6 4 3" xfId="19517"/>
    <cellStyle name="Heading 1 2 3 4 3 6 5" xfId="19518"/>
    <cellStyle name="Heading 1 2 3 4 3 6 5 2" xfId="19519"/>
    <cellStyle name="Heading 1 2 3 4 3 6 5 2 2" xfId="19520"/>
    <cellStyle name="Heading 1 2 3 4 3 6 5 3" xfId="19521"/>
    <cellStyle name="Heading 1 2 3 4 3 6 6" xfId="19522"/>
    <cellStyle name="Heading 1 2 3 4 3 6 6 2" xfId="19523"/>
    <cellStyle name="Heading 1 2 3 4 3 6 6 2 2" xfId="19524"/>
    <cellStyle name="Heading 1 2 3 4 3 6 6 3" xfId="19525"/>
    <cellStyle name="Heading 1 2 3 4 3 6 7" xfId="19526"/>
    <cellStyle name="Heading 1 2 3 4 3 6 7 2" xfId="19527"/>
    <cellStyle name="Heading 1 2 3 4 3 6 7 2 2" xfId="19528"/>
    <cellStyle name="Heading 1 2 3 4 3 6 7 3" xfId="19529"/>
    <cellStyle name="Heading 1 2 3 4 3 6 8" xfId="19530"/>
    <cellStyle name="Heading 1 2 3 4 3 6 8 2" xfId="19531"/>
    <cellStyle name="Heading 1 2 3 4 3 6 9" xfId="19532"/>
    <cellStyle name="Heading 1 2 3 4 3 7" xfId="19533"/>
    <cellStyle name="Heading 1 2 3 4 3 7 2" xfId="19534"/>
    <cellStyle name="Heading 1 2 3 4 3 7 2 2" xfId="19535"/>
    <cellStyle name="Heading 1 2 3 4 3 7 2 2 2" xfId="19536"/>
    <cellStyle name="Heading 1 2 3 4 3 7 2 3" xfId="19537"/>
    <cellStyle name="Heading 1 2 3 4 3 7 3" xfId="19538"/>
    <cellStyle name="Heading 1 2 3 4 3 7 3 2" xfId="19539"/>
    <cellStyle name="Heading 1 2 3 4 3 7 3 2 2" xfId="19540"/>
    <cellStyle name="Heading 1 2 3 4 3 7 3 3" xfId="19541"/>
    <cellStyle name="Heading 1 2 3 4 3 7 4" xfId="19542"/>
    <cellStyle name="Heading 1 2 3 4 3 7 4 2" xfId="19543"/>
    <cellStyle name="Heading 1 2 3 4 3 7 4 2 2" xfId="19544"/>
    <cellStyle name="Heading 1 2 3 4 3 7 4 3" xfId="19545"/>
    <cellStyle name="Heading 1 2 3 4 3 7 5" xfId="19546"/>
    <cellStyle name="Heading 1 2 3 4 3 7 5 2" xfId="19547"/>
    <cellStyle name="Heading 1 2 3 4 3 7 5 2 2" xfId="19548"/>
    <cellStyle name="Heading 1 2 3 4 3 7 5 3" xfId="19549"/>
    <cellStyle name="Heading 1 2 3 4 3 7 6" xfId="19550"/>
    <cellStyle name="Heading 1 2 3 4 3 7 6 2" xfId="19551"/>
    <cellStyle name="Heading 1 2 3 4 3 7 6 2 2" xfId="19552"/>
    <cellStyle name="Heading 1 2 3 4 3 7 6 3" xfId="19553"/>
    <cellStyle name="Heading 1 2 3 4 3 7 7" xfId="19554"/>
    <cellStyle name="Heading 1 2 3 4 3 7 7 2" xfId="19555"/>
    <cellStyle name="Heading 1 2 3 4 3 7 7 2 2" xfId="19556"/>
    <cellStyle name="Heading 1 2 3 4 3 7 7 3" xfId="19557"/>
    <cellStyle name="Heading 1 2 3 4 3 7 8" xfId="19558"/>
    <cellStyle name="Heading 1 2 3 4 3 7 8 2" xfId="19559"/>
    <cellStyle name="Heading 1 2 3 4 3 7 9" xfId="19560"/>
    <cellStyle name="Heading 1 2 3 4 3 8" xfId="19561"/>
    <cellStyle name="Heading 1 2 3 4 3 8 2" xfId="19562"/>
    <cellStyle name="Heading 1 2 3 4 3 8 2 2" xfId="19563"/>
    <cellStyle name="Heading 1 2 3 4 3 8 2 2 2" xfId="19564"/>
    <cellStyle name="Heading 1 2 3 4 3 8 2 3" xfId="19565"/>
    <cellStyle name="Heading 1 2 3 4 3 8 3" xfId="19566"/>
    <cellStyle name="Heading 1 2 3 4 3 8 3 2" xfId="19567"/>
    <cellStyle name="Heading 1 2 3 4 3 8 3 2 2" xfId="19568"/>
    <cellStyle name="Heading 1 2 3 4 3 8 3 3" xfId="19569"/>
    <cellStyle name="Heading 1 2 3 4 3 8 4" xfId="19570"/>
    <cellStyle name="Heading 1 2 3 4 3 8 4 2" xfId="19571"/>
    <cellStyle name="Heading 1 2 3 4 3 8 4 2 2" xfId="19572"/>
    <cellStyle name="Heading 1 2 3 4 3 8 4 3" xfId="19573"/>
    <cellStyle name="Heading 1 2 3 4 3 8 5" xfId="19574"/>
    <cellStyle name="Heading 1 2 3 4 3 8 5 2" xfId="19575"/>
    <cellStyle name="Heading 1 2 3 4 3 8 5 2 2" xfId="19576"/>
    <cellStyle name="Heading 1 2 3 4 3 8 5 3" xfId="19577"/>
    <cellStyle name="Heading 1 2 3 4 3 8 6" xfId="19578"/>
    <cellStyle name="Heading 1 2 3 4 3 8 6 2" xfId="19579"/>
    <cellStyle name="Heading 1 2 3 4 3 8 6 2 2" xfId="19580"/>
    <cellStyle name="Heading 1 2 3 4 3 8 6 3" xfId="19581"/>
    <cellStyle name="Heading 1 2 3 4 3 8 7" xfId="19582"/>
    <cellStyle name="Heading 1 2 3 4 3 8 7 2" xfId="19583"/>
    <cellStyle name="Heading 1 2 3 4 3 8 7 2 2" xfId="19584"/>
    <cellStyle name="Heading 1 2 3 4 3 8 7 3" xfId="19585"/>
    <cellStyle name="Heading 1 2 3 4 3 8 8" xfId="19586"/>
    <cellStyle name="Heading 1 2 3 4 3 8 8 2" xfId="19587"/>
    <cellStyle name="Heading 1 2 3 4 3 8 9" xfId="19588"/>
    <cellStyle name="Heading 1 2 3 4 3 9" xfId="19589"/>
    <cellStyle name="Heading 1 2 3 4 3 9 2" xfId="19590"/>
    <cellStyle name="Heading 1 2 3 4 3 9 2 2" xfId="19591"/>
    <cellStyle name="Heading 1 2 3 4 3 9 3" xfId="19592"/>
    <cellStyle name="Heading 1 2 3 4 4" xfId="19593"/>
    <cellStyle name="Heading 1 2 3 4 4 2" xfId="19594"/>
    <cellStyle name="Heading 1 2 3 4 4 2 2" xfId="19595"/>
    <cellStyle name="Heading 1 2 3 4 4 3" xfId="19596"/>
    <cellStyle name="Heading 1 2 3 4 5" xfId="19597"/>
    <cellStyle name="Heading 1 2 3 4 5 2" xfId="19598"/>
    <cellStyle name="Heading 1 2 3 4 6" xfId="19599"/>
    <cellStyle name="Heading 1 2 3 5" xfId="19600"/>
    <cellStyle name="Heading 1 2 3 5 2" xfId="19601"/>
    <cellStyle name="Heading 1 2 3 5 2 10" xfId="19602"/>
    <cellStyle name="Heading 1 2 3 5 2 10 2" xfId="19603"/>
    <cellStyle name="Heading 1 2 3 5 2 10 2 2" xfId="19604"/>
    <cellStyle name="Heading 1 2 3 5 2 10 3" xfId="19605"/>
    <cellStyle name="Heading 1 2 3 5 2 11" xfId="19606"/>
    <cellStyle name="Heading 1 2 3 5 2 11 2" xfId="19607"/>
    <cellStyle name="Heading 1 2 3 5 2 11 2 2" xfId="19608"/>
    <cellStyle name="Heading 1 2 3 5 2 11 3" xfId="19609"/>
    <cellStyle name="Heading 1 2 3 5 2 12" xfId="19610"/>
    <cellStyle name="Heading 1 2 3 5 2 12 2" xfId="19611"/>
    <cellStyle name="Heading 1 2 3 5 2 12 2 2" xfId="19612"/>
    <cellStyle name="Heading 1 2 3 5 2 12 3" xfId="19613"/>
    <cellStyle name="Heading 1 2 3 5 2 13" xfId="19614"/>
    <cellStyle name="Heading 1 2 3 5 2 13 2" xfId="19615"/>
    <cellStyle name="Heading 1 2 3 5 2 13 2 2" xfId="19616"/>
    <cellStyle name="Heading 1 2 3 5 2 13 3" xfId="19617"/>
    <cellStyle name="Heading 1 2 3 5 2 14" xfId="19618"/>
    <cellStyle name="Heading 1 2 3 5 2 14 2" xfId="19619"/>
    <cellStyle name="Heading 1 2 3 5 2 14 2 2" xfId="19620"/>
    <cellStyle name="Heading 1 2 3 5 2 14 3" xfId="19621"/>
    <cellStyle name="Heading 1 2 3 5 2 15" xfId="19622"/>
    <cellStyle name="Heading 1 2 3 5 2 15 2" xfId="19623"/>
    <cellStyle name="Heading 1 2 3 5 2 15 2 2" xfId="19624"/>
    <cellStyle name="Heading 1 2 3 5 2 15 3" xfId="19625"/>
    <cellStyle name="Heading 1 2 3 5 2 16" xfId="19626"/>
    <cellStyle name="Heading 1 2 3 5 2 16 2" xfId="19627"/>
    <cellStyle name="Heading 1 2 3 5 2 16 2 2" xfId="19628"/>
    <cellStyle name="Heading 1 2 3 5 2 16 3" xfId="19629"/>
    <cellStyle name="Heading 1 2 3 5 2 17" xfId="19630"/>
    <cellStyle name="Heading 1 2 3 5 2 17 2" xfId="19631"/>
    <cellStyle name="Heading 1 2 3 5 2 17 2 2" xfId="19632"/>
    <cellStyle name="Heading 1 2 3 5 2 17 3" xfId="19633"/>
    <cellStyle name="Heading 1 2 3 5 2 18" xfId="19634"/>
    <cellStyle name="Heading 1 2 3 5 2 18 2" xfId="19635"/>
    <cellStyle name="Heading 1 2 3 5 2 18 2 2" xfId="19636"/>
    <cellStyle name="Heading 1 2 3 5 2 18 3" xfId="19637"/>
    <cellStyle name="Heading 1 2 3 5 2 19" xfId="19638"/>
    <cellStyle name="Heading 1 2 3 5 2 19 2" xfId="19639"/>
    <cellStyle name="Heading 1 2 3 5 2 19 2 2" xfId="19640"/>
    <cellStyle name="Heading 1 2 3 5 2 19 3" xfId="19641"/>
    <cellStyle name="Heading 1 2 3 5 2 2" xfId="19642"/>
    <cellStyle name="Heading 1 2 3 5 2 2 10" xfId="19643"/>
    <cellStyle name="Heading 1 2 3 5 2 2 10 2" xfId="19644"/>
    <cellStyle name="Heading 1 2 3 5 2 2 10 2 2" xfId="19645"/>
    <cellStyle name="Heading 1 2 3 5 2 2 10 3" xfId="19646"/>
    <cellStyle name="Heading 1 2 3 5 2 2 11" xfId="19647"/>
    <cellStyle name="Heading 1 2 3 5 2 2 11 2" xfId="19648"/>
    <cellStyle name="Heading 1 2 3 5 2 2 11 2 2" xfId="19649"/>
    <cellStyle name="Heading 1 2 3 5 2 2 11 3" xfId="19650"/>
    <cellStyle name="Heading 1 2 3 5 2 2 12" xfId="19651"/>
    <cellStyle name="Heading 1 2 3 5 2 2 12 2" xfId="19652"/>
    <cellStyle name="Heading 1 2 3 5 2 2 12 2 2" xfId="19653"/>
    <cellStyle name="Heading 1 2 3 5 2 2 12 3" xfId="19654"/>
    <cellStyle name="Heading 1 2 3 5 2 2 13" xfId="19655"/>
    <cellStyle name="Heading 1 2 3 5 2 2 13 2" xfId="19656"/>
    <cellStyle name="Heading 1 2 3 5 2 2 13 2 2" xfId="19657"/>
    <cellStyle name="Heading 1 2 3 5 2 2 13 3" xfId="19658"/>
    <cellStyle name="Heading 1 2 3 5 2 2 14" xfId="19659"/>
    <cellStyle name="Heading 1 2 3 5 2 2 14 2" xfId="19660"/>
    <cellStyle name="Heading 1 2 3 5 2 2 14 2 2" xfId="19661"/>
    <cellStyle name="Heading 1 2 3 5 2 2 14 3" xfId="19662"/>
    <cellStyle name="Heading 1 2 3 5 2 2 15" xfId="19663"/>
    <cellStyle name="Heading 1 2 3 5 2 2 15 2" xfId="19664"/>
    <cellStyle name="Heading 1 2 3 5 2 2 15 2 2" xfId="19665"/>
    <cellStyle name="Heading 1 2 3 5 2 2 15 3" xfId="19666"/>
    <cellStyle name="Heading 1 2 3 5 2 2 16" xfId="19667"/>
    <cellStyle name="Heading 1 2 3 5 2 2 16 2" xfId="19668"/>
    <cellStyle name="Heading 1 2 3 5 2 2 16 2 2" xfId="19669"/>
    <cellStyle name="Heading 1 2 3 5 2 2 16 3" xfId="19670"/>
    <cellStyle name="Heading 1 2 3 5 2 2 17" xfId="19671"/>
    <cellStyle name="Heading 1 2 3 5 2 2 17 2" xfId="19672"/>
    <cellStyle name="Heading 1 2 3 5 2 2 17 2 2" xfId="19673"/>
    <cellStyle name="Heading 1 2 3 5 2 2 17 3" xfId="19674"/>
    <cellStyle name="Heading 1 2 3 5 2 2 18" xfId="19675"/>
    <cellStyle name="Heading 1 2 3 5 2 2 18 2" xfId="19676"/>
    <cellStyle name="Heading 1 2 3 5 2 2 18 2 2" xfId="19677"/>
    <cellStyle name="Heading 1 2 3 5 2 2 18 3" xfId="19678"/>
    <cellStyle name="Heading 1 2 3 5 2 2 19" xfId="19679"/>
    <cellStyle name="Heading 1 2 3 5 2 2 19 2" xfId="19680"/>
    <cellStyle name="Heading 1 2 3 5 2 2 2" xfId="19681"/>
    <cellStyle name="Heading 1 2 3 5 2 2 2 2" xfId="19682"/>
    <cellStyle name="Heading 1 2 3 5 2 2 2 2 2" xfId="19683"/>
    <cellStyle name="Heading 1 2 3 5 2 2 2 2 2 2" xfId="19684"/>
    <cellStyle name="Heading 1 2 3 5 2 2 2 2 3" xfId="19685"/>
    <cellStyle name="Heading 1 2 3 5 2 2 2 3" xfId="19686"/>
    <cellStyle name="Heading 1 2 3 5 2 2 2 3 2" xfId="19687"/>
    <cellStyle name="Heading 1 2 3 5 2 2 2 3 2 2" xfId="19688"/>
    <cellStyle name="Heading 1 2 3 5 2 2 2 3 3" xfId="19689"/>
    <cellStyle name="Heading 1 2 3 5 2 2 2 4" xfId="19690"/>
    <cellStyle name="Heading 1 2 3 5 2 2 2 4 2" xfId="19691"/>
    <cellStyle name="Heading 1 2 3 5 2 2 2 4 2 2" xfId="19692"/>
    <cellStyle name="Heading 1 2 3 5 2 2 2 4 3" xfId="19693"/>
    <cellStyle name="Heading 1 2 3 5 2 2 2 5" xfId="19694"/>
    <cellStyle name="Heading 1 2 3 5 2 2 2 5 2" xfId="19695"/>
    <cellStyle name="Heading 1 2 3 5 2 2 2 5 2 2" xfId="19696"/>
    <cellStyle name="Heading 1 2 3 5 2 2 2 5 3" xfId="19697"/>
    <cellStyle name="Heading 1 2 3 5 2 2 2 6" xfId="19698"/>
    <cellStyle name="Heading 1 2 3 5 2 2 2 6 2" xfId="19699"/>
    <cellStyle name="Heading 1 2 3 5 2 2 2 6 2 2" xfId="19700"/>
    <cellStyle name="Heading 1 2 3 5 2 2 2 6 3" xfId="19701"/>
    <cellStyle name="Heading 1 2 3 5 2 2 2 7" xfId="19702"/>
    <cellStyle name="Heading 1 2 3 5 2 2 2 7 2" xfId="19703"/>
    <cellStyle name="Heading 1 2 3 5 2 2 2 7 2 2" xfId="19704"/>
    <cellStyle name="Heading 1 2 3 5 2 2 2 7 3" xfId="19705"/>
    <cellStyle name="Heading 1 2 3 5 2 2 2 8" xfId="19706"/>
    <cellStyle name="Heading 1 2 3 5 2 2 2 8 2" xfId="19707"/>
    <cellStyle name="Heading 1 2 3 5 2 2 2 9" xfId="19708"/>
    <cellStyle name="Heading 1 2 3 5 2 2 20" xfId="19709"/>
    <cellStyle name="Heading 1 2 3 5 2 2 20 2" xfId="19710"/>
    <cellStyle name="Heading 1 2 3 5 2 2 21" xfId="19711"/>
    <cellStyle name="Heading 1 2 3 5 2 2 21 2" xfId="19712"/>
    <cellStyle name="Heading 1 2 3 5 2 2 22" xfId="19713"/>
    <cellStyle name="Heading 1 2 3 5 2 2 3" xfId="19714"/>
    <cellStyle name="Heading 1 2 3 5 2 2 3 2" xfId="19715"/>
    <cellStyle name="Heading 1 2 3 5 2 2 3 2 2" xfId="19716"/>
    <cellStyle name="Heading 1 2 3 5 2 2 3 2 2 2" xfId="19717"/>
    <cellStyle name="Heading 1 2 3 5 2 2 3 2 3" xfId="19718"/>
    <cellStyle name="Heading 1 2 3 5 2 2 3 3" xfId="19719"/>
    <cellStyle name="Heading 1 2 3 5 2 2 3 3 2" xfId="19720"/>
    <cellStyle name="Heading 1 2 3 5 2 2 3 3 2 2" xfId="19721"/>
    <cellStyle name="Heading 1 2 3 5 2 2 3 3 3" xfId="19722"/>
    <cellStyle name="Heading 1 2 3 5 2 2 3 4" xfId="19723"/>
    <cellStyle name="Heading 1 2 3 5 2 2 3 4 2" xfId="19724"/>
    <cellStyle name="Heading 1 2 3 5 2 2 3 4 2 2" xfId="19725"/>
    <cellStyle name="Heading 1 2 3 5 2 2 3 4 3" xfId="19726"/>
    <cellStyle name="Heading 1 2 3 5 2 2 3 5" xfId="19727"/>
    <cellStyle name="Heading 1 2 3 5 2 2 3 5 2" xfId="19728"/>
    <cellStyle name="Heading 1 2 3 5 2 2 3 5 2 2" xfId="19729"/>
    <cellStyle name="Heading 1 2 3 5 2 2 3 5 3" xfId="19730"/>
    <cellStyle name="Heading 1 2 3 5 2 2 3 6" xfId="19731"/>
    <cellStyle name="Heading 1 2 3 5 2 2 3 6 2" xfId="19732"/>
    <cellStyle name="Heading 1 2 3 5 2 2 3 6 2 2" xfId="19733"/>
    <cellStyle name="Heading 1 2 3 5 2 2 3 6 3" xfId="19734"/>
    <cellStyle name="Heading 1 2 3 5 2 2 3 7" xfId="19735"/>
    <cellStyle name="Heading 1 2 3 5 2 2 3 7 2" xfId="19736"/>
    <cellStyle name="Heading 1 2 3 5 2 2 3 7 2 2" xfId="19737"/>
    <cellStyle name="Heading 1 2 3 5 2 2 3 7 3" xfId="19738"/>
    <cellStyle name="Heading 1 2 3 5 2 2 3 8" xfId="19739"/>
    <cellStyle name="Heading 1 2 3 5 2 2 3 8 2" xfId="19740"/>
    <cellStyle name="Heading 1 2 3 5 2 2 3 9" xfId="19741"/>
    <cellStyle name="Heading 1 2 3 5 2 2 4" xfId="19742"/>
    <cellStyle name="Heading 1 2 3 5 2 2 4 2" xfId="19743"/>
    <cellStyle name="Heading 1 2 3 5 2 2 4 2 2" xfId="19744"/>
    <cellStyle name="Heading 1 2 3 5 2 2 4 2 2 2" xfId="19745"/>
    <cellStyle name="Heading 1 2 3 5 2 2 4 2 3" xfId="19746"/>
    <cellStyle name="Heading 1 2 3 5 2 2 4 3" xfId="19747"/>
    <cellStyle name="Heading 1 2 3 5 2 2 4 3 2" xfId="19748"/>
    <cellStyle name="Heading 1 2 3 5 2 2 4 3 2 2" xfId="19749"/>
    <cellStyle name="Heading 1 2 3 5 2 2 4 3 3" xfId="19750"/>
    <cellStyle name="Heading 1 2 3 5 2 2 4 4" xfId="19751"/>
    <cellStyle name="Heading 1 2 3 5 2 2 4 4 2" xfId="19752"/>
    <cellStyle name="Heading 1 2 3 5 2 2 4 4 2 2" xfId="19753"/>
    <cellStyle name="Heading 1 2 3 5 2 2 4 4 3" xfId="19754"/>
    <cellStyle name="Heading 1 2 3 5 2 2 4 5" xfId="19755"/>
    <cellStyle name="Heading 1 2 3 5 2 2 4 5 2" xfId="19756"/>
    <cellStyle name="Heading 1 2 3 5 2 2 4 5 2 2" xfId="19757"/>
    <cellStyle name="Heading 1 2 3 5 2 2 4 5 3" xfId="19758"/>
    <cellStyle name="Heading 1 2 3 5 2 2 4 6" xfId="19759"/>
    <cellStyle name="Heading 1 2 3 5 2 2 4 6 2" xfId="19760"/>
    <cellStyle name="Heading 1 2 3 5 2 2 4 6 2 2" xfId="19761"/>
    <cellStyle name="Heading 1 2 3 5 2 2 4 6 3" xfId="19762"/>
    <cellStyle name="Heading 1 2 3 5 2 2 4 7" xfId="19763"/>
    <cellStyle name="Heading 1 2 3 5 2 2 4 7 2" xfId="19764"/>
    <cellStyle name="Heading 1 2 3 5 2 2 4 7 2 2" xfId="19765"/>
    <cellStyle name="Heading 1 2 3 5 2 2 4 7 3" xfId="19766"/>
    <cellStyle name="Heading 1 2 3 5 2 2 4 8" xfId="19767"/>
    <cellStyle name="Heading 1 2 3 5 2 2 4 8 2" xfId="19768"/>
    <cellStyle name="Heading 1 2 3 5 2 2 4 9" xfId="19769"/>
    <cellStyle name="Heading 1 2 3 5 2 2 5" xfId="19770"/>
    <cellStyle name="Heading 1 2 3 5 2 2 5 2" xfId="19771"/>
    <cellStyle name="Heading 1 2 3 5 2 2 5 2 2" xfId="19772"/>
    <cellStyle name="Heading 1 2 3 5 2 2 5 2 2 2" xfId="19773"/>
    <cellStyle name="Heading 1 2 3 5 2 2 5 2 3" xfId="19774"/>
    <cellStyle name="Heading 1 2 3 5 2 2 5 3" xfId="19775"/>
    <cellStyle name="Heading 1 2 3 5 2 2 5 3 2" xfId="19776"/>
    <cellStyle name="Heading 1 2 3 5 2 2 5 3 2 2" xfId="19777"/>
    <cellStyle name="Heading 1 2 3 5 2 2 5 3 3" xfId="19778"/>
    <cellStyle name="Heading 1 2 3 5 2 2 5 4" xfId="19779"/>
    <cellStyle name="Heading 1 2 3 5 2 2 5 4 2" xfId="19780"/>
    <cellStyle name="Heading 1 2 3 5 2 2 5 4 2 2" xfId="19781"/>
    <cellStyle name="Heading 1 2 3 5 2 2 5 4 3" xfId="19782"/>
    <cellStyle name="Heading 1 2 3 5 2 2 5 5" xfId="19783"/>
    <cellStyle name="Heading 1 2 3 5 2 2 5 5 2" xfId="19784"/>
    <cellStyle name="Heading 1 2 3 5 2 2 5 5 2 2" xfId="19785"/>
    <cellStyle name="Heading 1 2 3 5 2 2 5 5 3" xfId="19786"/>
    <cellStyle name="Heading 1 2 3 5 2 2 5 6" xfId="19787"/>
    <cellStyle name="Heading 1 2 3 5 2 2 5 6 2" xfId="19788"/>
    <cellStyle name="Heading 1 2 3 5 2 2 5 6 2 2" xfId="19789"/>
    <cellStyle name="Heading 1 2 3 5 2 2 5 6 3" xfId="19790"/>
    <cellStyle name="Heading 1 2 3 5 2 2 5 7" xfId="19791"/>
    <cellStyle name="Heading 1 2 3 5 2 2 5 7 2" xfId="19792"/>
    <cellStyle name="Heading 1 2 3 5 2 2 5 7 2 2" xfId="19793"/>
    <cellStyle name="Heading 1 2 3 5 2 2 5 7 3" xfId="19794"/>
    <cellStyle name="Heading 1 2 3 5 2 2 5 8" xfId="19795"/>
    <cellStyle name="Heading 1 2 3 5 2 2 5 8 2" xfId="19796"/>
    <cellStyle name="Heading 1 2 3 5 2 2 5 9" xfId="19797"/>
    <cellStyle name="Heading 1 2 3 5 2 2 6" xfId="19798"/>
    <cellStyle name="Heading 1 2 3 5 2 2 6 2" xfId="19799"/>
    <cellStyle name="Heading 1 2 3 5 2 2 6 2 2" xfId="19800"/>
    <cellStyle name="Heading 1 2 3 5 2 2 6 2 2 2" xfId="19801"/>
    <cellStyle name="Heading 1 2 3 5 2 2 6 2 3" xfId="19802"/>
    <cellStyle name="Heading 1 2 3 5 2 2 6 3" xfId="19803"/>
    <cellStyle name="Heading 1 2 3 5 2 2 6 3 2" xfId="19804"/>
    <cellStyle name="Heading 1 2 3 5 2 2 6 3 2 2" xfId="19805"/>
    <cellStyle name="Heading 1 2 3 5 2 2 6 3 3" xfId="19806"/>
    <cellStyle name="Heading 1 2 3 5 2 2 6 4" xfId="19807"/>
    <cellStyle name="Heading 1 2 3 5 2 2 6 4 2" xfId="19808"/>
    <cellStyle name="Heading 1 2 3 5 2 2 6 4 2 2" xfId="19809"/>
    <cellStyle name="Heading 1 2 3 5 2 2 6 4 3" xfId="19810"/>
    <cellStyle name="Heading 1 2 3 5 2 2 6 5" xfId="19811"/>
    <cellStyle name="Heading 1 2 3 5 2 2 6 5 2" xfId="19812"/>
    <cellStyle name="Heading 1 2 3 5 2 2 6 5 2 2" xfId="19813"/>
    <cellStyle name="Heading 1 2 3 5 2 2 6 5 3" xfId="19814"/>
    <cellStyle name="Heading 1 2 3 5 2 2 6 6" xfId="19815"/>
    <cellStyle name="Heading 1 2 3 5 2 2 6 6 2" xfId="19816"/>
    <cellStyle name="Heading 1 2 3 5 2 2 6 6 2 2" xfId="19817"/>
    <cellStyle name="Heading 1 2 3 5 2 2 6 6 3" xfId="19818"/>
    <cellStyle name="Heading 1 2 3 5 2 2 6 7" xfId="19819"/>
    <cellStyle name="Heading 1 2 3 5 2 2 6 7 2" xfId="19820"/>
    <cellStyle name="Heading 1 2 3 5 2 2 6 7 2 2" xfId="19821"/>
    <cellStyle name="Heading 1 2 3 5 2 2 6 7 3" xfId="19822"/>
    <cellStyle name="Heading 1 2 3 5 2 2 6 8" xfId="19823"/>
    <cellStyle name="Heading 1 2 3 5 2 2 6 8 2" xfId="19824"/>
    <cellStyle name="Heading 1 2 3 5 2 2 6 9" xfId="19825"/>
    <cellStyle name="Heading 1 2 3 5 2 2 7" xfId="19826"/>
    <cellStyle name="Heading 1 2 3 5 2 2 7 2" xfId="19827"/>
    <cellStyle name="Heading 1 2 3 5 2 2 7 2 2" xfId="19828"/>
    <cellStyle name="Heading 1 2 3 5 2 2 7 2 2 2" xfId="19829"/>
    <cellStyle name="Heading 1 2 3 5 2 2 7 2 3" xfId="19830"/>
    <cellStyle name="Heading 1 2 3 5 2 2 7 3" xfId="19831"/>
    <cellStyle name="Heading 1 2 3 5 2 2 7 3 2" xfId="19832"/>
    <cellStyle name="Heading 1 2 3 5 2 2 7 3 2 2" xfId="19833"/>
    <cellStyle name="Heading 1 2 3 5 2 2 7 3 3" xfId="19834"/>
    <cellStyle name="Heading 1 2 3 5 2 2 7 4" xfId="19835"/>
    <cellStyle name="Heading 1 2 3 5 2 2 7 4 2" xfId="19836"/>
    <cellStyle name="Heading 1 2 3 5 2 2 7 4 2 2" xfId="19837"/>
    <cellStyle name="Heading 1 2 3 5 2 2 7 4 3" xfId="19838"/>
    <cellStyle name="Heading 1 2 3 5 2 2 7 5" xfId="19839"/>
    <cellStyle name="Heading 1 2 3 5 2 2 7 5 2" xfId="19840"/>
    <cellStyle name="Heading 1 2 3 5 2 2 7 5 2 2" xfId="19841"/>
    <cellStyle name="Heading 1 2 3 5 2 2 7 5 3" xfId="19842"/>
    <cellStyle name="Heading 1 2 3 5 2 2 7 6" xfId="19843"/>
    <cellStyle name="Heading 1 2 3 5 2 2 7 6 2" xfId="19844"/>
    <cellStyle name="Heading 1 2 3 5 2 2 7 6 2 2" xfId="19845"/>
    <cellStyle name="Heading 1 2 3 5 2 2 7 6 3" xfId="19846"/>
    <cellStyle name="Heading 1 2 3 5 2 2 7 7" xfId="19847"/>
    <cellStyle name="Heading 1 2 3 5 2 2 7 7 2" xfId="19848"/>
    <cellStyle name="Heading 1 2 3 5 2 2 7 7 2 2" xfId="19849"/>
    <cellStyle name="Heading 1 2 3 5 2 2 7 7 3" xfId="19850"/>
    <cellStyle name="Heading 1 2 3 5 2 2 7 8" xfId="19851"/>
    <cellStyle name="Heading 1 2 3 5 2 2 7 8 2" xfId="19852"/>
    <cellStyle name="Heading 1 2 3 5 2 2 7 9" xfId="19853"/>
    <cellStyle name="Heading 1 2 3 5 2 2 8" xfId="19854"/>
    <cellStyle name="Heading 1 2 3 5 2 2 8 2" xfId="19855"/>
    <cellStyle name="Heading 1 2 3 5 2 2 8 2 2" xfId="19856"/>
    <cellStyle name="Heading 1 2 3 5 2 2 8 2 2 2" xfId="19857"/>
    <cellStyle name="Heading 1 2 3 5 2 2 8 2 3" xfId="19858"/>
    <cellStyle name="Heading 1 2 3 5 2 2 8 3" xfId="19859"/>
    <cellStyle name="Heading 1 2 3 5 2 2 8 3 2" xfId="19860"/>
    <cellStyle name="Heading 1 2 3 5 2 2 8 3 2 2" xfId="19861"/>
    <cellStyle name="Heading 1 2 3 5 2 2 8 3 3" xfId="19862"/>
    <cellStyle name="Heading 1 2 3 5 2 2 8 4" xfId="19863"/>
    <cellStyle name="Heading 1 2 3 5 2 2 8 4 2" xfId="19864"/>
    <cellStyle name="Heading 1 2 3 5 2 2 8 4 2 2" xfId="19865"/>
    <cellStyle name="Heading 1 2 3 5 2 2 8 4 3" xfId="19866"/>
    <cellStyle name="Heading 1 2 3 5 2 2 8 5" xfId="19867"/>
    <cellStyle name="Heading 1 2 3 5 2 2 8 5 2" xfId="19868"/>
    <cellStyle name="Heading 1 2 3 5 2 2 8 5 2 2" xfId="19869"/>
    <cellStyle name="Heading 1 2 3 5 2 2 8 5 3" xfId="19870"/>
    <cellStyle name="Heading 1 2 3 5 2 2 8 6" xfId="19871"/>
    <cellStyle name="Heading 1 2 3 5 2 2 8 6 2" xfId="19872"/>
    <cellStyle name="Heading 1 2 3 5 2 2 8 6 2 2" xfId="19873"/>
    <cellStyle name="Heading 1 2 3 5 2 2 8 6 3" xfId="19874"/>
    <cellStyle name="Heading 1 2 3 5 2 2 8 7" xfId="19875"/>
    <cellStyle name="Heading 1 2 3 5 2 2 8 7 2" xfId="19876"/>
    <cellStyle name="Heading 1 2 3 5 2 2 8 7 2 2" xfId="19877"/>
    <cellStyle name="Heading 1 2 3 5 2 2 8 7 3" xfId="19878"/>
    <cellStyle name="Heading 1 2 3 5 2 2 8 8" xfId="19879"/>
    <cellStyle name="Heading 1 2 3 5 2 2 8 8 2" xfId="19880"/>
    <cellStyle name="Heading 1 2 3 5 2 2 8 9" xfId="19881"/>
    <cellStyle name="Heading 1 2 3 5 2 2 9" xfId="19882"/>
    <cellStyle name="Heading 1 2 3 5 2 2 9 2" xfId="19883"/>
    <cellStyle name="Heading 1 2 3 5 2 2 9 2 2" xfId="19884"/>
    <cellStyle name="Heading 1 2 3 5 2 2 9 3" xfId="19885"/>
    <cellStyle name="Heading 1 2 3 5 2 20" xfId="19886"/>
    <cellStyle name="Heading 1 2 3 5 2 20 2" xfId="19887"/>
    <cellStyle name="Heading 1 2 3 5 2 21" xfId="19888"/>
    <cellStyle name="Heading 1 2 3 5 2 21 2" xfId="19889"/>
    <cellStyle name="Heading 1 2 3 5 2 22" xfId="19890"/>
    <cellStyle name="Heading 1 2 3 5 2 22 2" xfId="19891"/>
    <cellStyle name="Heading 1 2 3 5 2 23" xfId="19892"/>
    <cellStyle name="Heading 1 2 3 5 2 3" xfId="19893"/>
    <cellStyle name="Heading 1 2 3 5 2 3 2" xfId="19894"/>
    <cellStyle name="Heading 1 2 3 5 2 3 2 2" xfId="19895"/>
    <cellStyle name="Heading 1 2 3 5 2 3 2 2 2" xfId="19896"/>
    <cellStyle name="Heading 1 2 3 5 2 3 2 3" xfId="19897"/>
    <cellStyle name="Heading 1 2 3 5 2 3 3" xfId="19898"/>
    <cellStyle name="Heading 1 2 3 5 2 3 3 2" xfId="19899"/>
    <cellStyle name="Heading 1 2 3 5 2 3 3 2 2" xfId="19900"/>
    <cellStyle name="Heading 1 2 3 5 2 3 3 3" xfId="19901"/>
    <cellStyle name="Heading 1 2 3 5 2 3 4" xfId="19902"/>
    <cellStyle name="Heading 1 2 3 5 2 3 4 2" xfId="19903"/>
    <cellStyle name="Heading 1 2 3 5 2 3 4 2 2" xfId="19904"/>
    <cellStyle name="Heading 1 2 3 5 2 3 4 3" xfId="19905"/>
    <cellStyle name="Heading 1 2 3 5 2 3 5" xfId="19906"/>
    <cellStyle name="Heading 1 2 3 5 2 3 5 2" xfId="19907"/>
    <cellStyle name="Heading 1 2 3 5 2 3 5 2 2" xfId="19908"/>
    <cellStyle name="Heading 1 2 3 5 2 3 5 3" xfId="19909"/>
    <cellStyle name="Heading 1 2 3 5 2 3 6" xfId="19910"/>
    <cellStyle name="Heading 1 2 3 5 2 3 6 2" xfId="19911"/>
    <cellStyle name="Heading 1 2 3 5 2 3 6 2 2" xfId="19912"/>
    <cellStyle name="Heading 1 2 3 5 2 3 6 3" xfId="19913"/>
    <cellStyle name="Heading 1 2 3 5 2 3 7" xfId="19914"/>
    <cellStyle name="Heading 1 2 3 5 2 3 7 2" xfId="19915"/>
    <cellStyle name="Heading 1 2 3 5 2 3 7 2 2" xfId="19916"/>
    <cellStyle name="Heading 1 2 3 5 2 3 7 3" xfId="19917"/>
    <cellStyle name="Heading 1 2 3 5 2 3 8" xfId="19918"/>
    <cellStyle name="Heading 1 2 3 5 2 3 8 2" xfId="19919"/>
    <cellStyle name="Heading 1 2 3 5 2 3 9" xfId="19920"/>
    <cellStyle name="Heading 1 2 3 5 2 4" xfId="19921"/>
    <cellStyle name="Heading 1 2 3 5 2 4 2" xfId="19922"/>
    <cellStyle name="Heading 1 2 3 5 2 4 2 2" xfId="19923"/>
    <cellStyle name="Heading 1 2 3 5 2 4 2 2 2" xfId="19924"/>
    <cellStyle name="Heading 1 2 3 5 2 4 2 3" xfId="19925"/>
    <cellStyle name="Heading 1 2 3 5 2 4 3" xfId="19926"/>
    <cellStyle name="Heading 1 2 3 5 2 4 3 2" xfId="19927"/>
    <cellStyle name="Heading 1 2 3 5 2 4 3 2 2" xfId="19928"/>
    <cellStyle name="Heading 1 2 3 5 2 4 3 3" xfId="19929"/>
    <cellStyle name="Heading 1 2 3 5 2 4 4" xfId="19930"/>
    <cellStyle name="Heading 1 2 3 5 2 4 4 2" xfId="19931"/>
    <cellStyle name="Heading 1 2 3 5 2 4 4 2 2" xfId="19932"/>
    <cellStyle name="Heading 1 2 3 5 2 4 4 3" xfId="19933"/>
    <cellStyle name="Heading 1 2 3 5 2 4 5" xfId="19934"/>
    <cellStyle name="Heading 1 2 3 5 2 4 5 2" xfId="19935"/>
    <cellStyle name="Heading 1 2 3 5 2 4 5 2 2" xfId="19936"/>
    <cellStyle name="Heading 1 2 3 5 2 4 5 3" xfId="19937"/>
    <cellStyle name="Heading 1 2 3 5 2 4 6" xfId="19938"/>
    <cellStyle name="Heading 1 2 3 5 2 4 6 2" xfId="19939"/>
    <cellStyle name="Heading 1 2 3 5 2 4 6 2 2" xfId="19940"/>
    <cellStyle name="Heading 1 2 3 5 2 4 6 3" xfId="19941"/>
    <cellStyle name="Heading 1 2 3 5 2 4 7" xfId="19942"/>
    <cellStyle name="Heading 1 2 3 5 2 4 7 2" xfId="19943"/>
    <cellStyle name="Heading 1 2 3 5 2 4 7 2 2" xfId="19944"/>
    <cellStyle name="Heading 1 2 3 5 2 4 7 3" xfId="19945"/>
    <cellStyle name="Heading 1 2 3 5 2 4 8" xfId="19946"/>
    <cellStyle name="Heading 1 2 3 5 2 4 8 2" xfId="19947"/>
    <cellStyle name="Heading 1 2 3 5 2 4 9" xfId="19948"/>
    <cellStyle name="Heading 1 2 3 5 2 5" xfId="19949"/>
    <cellStyle name="Heading 1 2 3 5 2 5 2" xfId="19950"/>
    <cellStyle name="Heading 1 2 3 5 2 5 2 2" xfId="19951"/>
    <cellStyle name="Heading 1 2 3 5 2 5 2 2 2" xfId="19952"/>
    <cellStyle name="Heading 1 2 3 5 2 5 2 3" xfId="19953"/>
    <cellStyle name="Heading 1 2 3 5 2 5 3" xfId="19954"/>
    <cellStyle name="Heading 1 2 3 5 2 5 3 2" xfId="19955"/>
    <cellStyle name="Heading 1 2 3 5 2 5 3 2 2" xfId="19956"/>
    <cellStyle name="Heading 1 2 3 5 2 5 3 3" xfId="19957"/>
    <cellStyle name="Heading 1 2 3 5 2 5 4" xfId="19958"/>
    <cellStyle name="Heading 1 2 3 5 2 5 4 2" xfId="19959"/>
    <cellStyle name="Heading 1 2 3 5 2 5 4 2 2" xfId="19960"/>
    <cellStyle name="Heading 1 2 3 5 2 5 4 3" xfId="19961"/>
    <cellStyle name="Heading 1 2 3 5 2 5 5" xfId="19962"/>
    <cellStyle name="Heading 1 2 3 5 2 5 5 2" xfId="19963"/>
    <cellStyle name="Heading 1 2 3 5 2 5 5 2 2" xfId="19964"/>
    <cellStyle name="Heading 1 2 3 5 2 5 5 3" xfId="19965"/>
    <cellStyle name="Heading 1 2 3 5 2 5 6" xfId="19966"/>
    <cellStyle name="Heading 1 2 3 5 2 5 6 2" xfId="19967"/>
    <cellStyle name="Heading 1 2 3 5 2 5 6 2 2" xfId="19968"/>
    <cellStyle name="Heading 1 2 3 5 2 5 6 3" xfId="19969"/>
    <cellStyle name="Heading 1 2 3 5 2 5 7" xfId="19970"/>
    <cellStyle name="Heading 1 2 3 5 2 5 7 2" xfId="19971"/>
    <cellStyle name="Heading 1 2 3 5 2 5 7 2 2" xfId="19972"/>
    <cellStyle name="Heading 1 2 3 5 2 5 7 3" xfId="19973"/>
    <cellStyle name="Heading 1 2 3 5 2 5 8" xfId="19974"/>
    <cellStyle name="Heading 1 2 3 5 2 5 8 2" xfId="19975"/>
    <cellStyle name="Heading 1 2 3 5 2 5 9" xfId="19976"/>
    <cellStyle name="Heading 1 2 3 5 2 6" xfId="19977"/>
    <cellStyle name="Heading 1 2 3 5 2 6 2" xfId="19978"/>
    <cellStyle name="Heading 1 2 3 5 2 6 2 2" xfId="19979"/>
    <cellStyle name="Heading 1 2 3 5 2 6 2 2 2" xfId="19980"/>
    <cellStyle name="Heading 1 2 3 5 2 6 2 3" xfId="19981"/>
    <cellStyle name="Heading 1 2 3 5 2 6 3" xfId="19982"/>
    <cellStyle name="Heading 1 2 3 5 2 6 3 2" xfId="19983"/>
    <cellStyle name="Heading 1 2 3 5 2 6 3 2 2" xfId="19984"/>
    <cellStyle name="Heading 1 2 3 5 2 6 3 3" xfId="19985"/>
    <cellStyle name="Heading 1 2 3 5 2 6 4" xfId="19986"/>
    <cellStyle name="Heading 1 2 3 5 2 6 4 2" xfId="19987"/>
    <cellStyle name="Heading 1 2 3 5 2 6 4 2 2" xfId="19988"/>
    <cellStyle name="Heading 1 2 3 5 2 6 4 3" xfId="19989"/>
    <cellStyle name="Heading 1 2 3 5 2 6 5" xfId="19990"/>
    <cellStyle name="Heading 1 2 3 5 2 6 5 2" xfId="19991"/>
    <cellStyle name="Heading 1 2 3 5 2 6 5 2 2" xfId="19992"/>
    <cellStyle name="Heading 1 2 3 5 2 6 5 3" xfId="19993"/>
    <cellStyle name="Heading 1 2 3 5 2 6 6" xfId="19994"/>
    <cellStyle name="Heading 1 2 3 5 2 6 6 2" xfId="19995"/>
    <cellStyle name="Heading 1 2 3 5 2 6 6 2 2" xfId="19996"/>
    <cellStyle name="Heading 1 2 3 5 2 6 6 3" xfId="19997"/>
    <cellStyle name="Heading 1 2 3 5 2 6 7" xfId="19998"/>
    <cellStyle name="Heading 1 2 3 5 2 6 7 2" xfId="19999"/>
    <cellStyle name="Heading 1 2 3 5 2 6 7 2 2" xfId="20000"/>
    <cellStyle name="Heading 1 2 3 5 2 6 7 3" xfId="20001"/>
    <cellStyle name="Heading 1 2 3 5 2 6 8" xfId="20002"/>
    <cellStyle name="Heading 1 2 3 5 2 6 8 2" xfId="20003"/>
    <cellStyle name="Heading 1 2 3 5 2 6 9" xfId="20004"/>
    <cellStyle name="Heading 1 2 3 5 2 7" xfId="20005"/>
    <cellStyle name="Heading 1 2 3 5 2 7 2" xfId="20006"/>
    <cellStyle name="Heading 1 2 3 5 2 7 2 2" xfId="20007"/>
    <cellStyle name="Heading 1 2 3 5 2 7 2 2 2" xfId="20008"/>
    <cellStyle name="Heading 1 2 3 5 2 7 2 3" xfId="20009"/>
    <cellStyle name="Heading 1 2 3 5 2 7 3" xfId="20010"/>
    <cellStyle name="Heading 1 2 3 5 2 7 3 2" xfId="20011"/>
    <cellStyle name="Heading 1 2 3 5 2 7 3 2 2" xfId="20012"/>
    <cellStyle name="Heading 1 2 3 5 2 7 3 3" xfId="20013"/>
    <cellStyle name="Heading 1 2 3 5 2 7 4" xfId="20014"/>
    <cellStyle name="Heading 1 2 3 5 2 7 4 2" xfId="20015"/>
    <cellStyle name="Heading 1 2 3 5 2 7 4 2 2" xfId="20016"/>
    <cellStyle name="Heading 1 2 3 5 2 7 4 3" xfId="20017"/>
    <cellStyle name="Heading 1 2 3 5 2 7 5" xfId="20018"/>
    <cellStyle name="Heading 1 2 3 5 2 7 5 2" xfId="20019"/>
    <cellStyle name="Heading 1 2 3 5 2 7 5 2 2" xfId="20020"/>
    <cellStyle name="Heading 1 2 3 5 2 7 5 3" xfId="20021"/>
    <cellStyle name="Heading 1 2 3 5 2 7 6" xfId="20022"/>
    <cellStyle name="Heading 1 2 3 5 2 7 6 2" xfId="20023"/>
    <cellStyle name="Heading 1 2 3 5 2 7 6 2 2" xfId="20024"/>
    <cellStyle name="Heading 1 2 3 5 2 7 6 3" xfId="20025"/>
    <cellStyle name="Heading 1 2 3 5 2 7 7" xfId="20026"/>
    <cellStyle name="Heading 1 2 3 5 2 7 7 2" xfId="20027"/>
    <cellStyle name="Heading 1 2 3 5 2 7 7 2 2" xfId="20028"/>
    <cellStyle name="Heading 1 2 3 5 2 7 7 3" xfId="20029"/>
    <cellStyle name="Heading 1 2 3 5 2 7 8" xfId="20030"/>
    <cellStyle name="Heading 1 2 3 5 2 7 8 2" xfId="20031"/>
    <cellStyle name="Heading 1 2 3 5 2 7 9" xfId="20032"/>
    <cellStyle name="Heading 1 2 3 5 2 8" xfId="20033"/>
    <cellStyle name="Heading 1 2 3 5 2 8 2" xfId="20034"/>
    <cellStyle name="Heading 1 2 3 5 2 8 2 2" xfId="20035"/>
    <cellStyle name="Heading 1 2 3 5 2 8 2 2 2" xfId="20036"/>
    <cellStyle name="Heading 1 2 3 5 2 8 2 3" xfId="20037"/>
    <cellStyle name="Heading 1 2 3 5 2 8 3" xfId="20038"/>
    <cellStyle name="Heading 1 2 3 5 2 8 3 2" xfId="20039"/>
    <cellStyle name="Heading 1 2 3 5 2 8 3 2 2" xfId="20040"/>
    <cellStyle name="Heading 1 2 3 5 2 8 3 3" xfId="20041"/>
    <cellStyle name="Heading 1 2 3 5 2 8 4" xfId="20042"/>
    <cellStyle name="Heading 1 2 3 5 2 8 4 2" xfId="20043"/>
    <cellStyle name="Heading 1 2 3 5 2 8 4 2 2" xfId="20044"/>
    <cellStyle name="Heading 1 2 3 5 2 8 4 3" xfId="20045"/>
    <cellStyle name="Heading 1 2 3 5 2 8 5" xfId="20046"/>
    <cellStyle name="Heading 1 2 3 5 2 8 5 2" xfId="20047"/>
    <cellStyle name="Heading 1 2 3 5 2 8 5 2 2" xfId="20048"/>
    <cellStyle name="Heading 1 2 3 5 2 8 5 3" xfId="20049"/>
    <cellStyle name="Heading 1 2 3 5 2 8 6" xfId="20050"/>
    <cellStyle name="Heading 1 2 3 5 2 8 6 2" xfId="20051"/>
    <cellStyle name="Heading 1 2 3 5 2 8 6 2 2" xfId="20052"/>
    <cellStyle name="Heading 1 2 3 5 2 8 6 3" xfId="20053"/>
    <cellStyle name="Heading 1 2 3 5 2 8 7" xfId="20054"/>
    <cellStyle name="Heading 1 2 3 5 2 8 7 2" xfId="20055"/>
    <cellStyle name="Heading 1 2 3 5 2 8 7 2 2" xfId="20056"/>
    <cellStyle name="Heading 1 2 3 5 2 8 7 3" xfId="20057"/>
    <cellStyle name="Heading 1 2 3 5 2 8 8" xfId="20058"/>
    <cellStyle name="Heading 1 2 3 5 2 8 8 2" xfId="20059"/>
    <cellStyle name="Heading 1 2 3 5 2 8 9" xfId="20060"/>
    <cellStyle name="Heading 1 2 3 5 2 9" xfId="20061"/>
    <cellStyle name="Heading 1 2 3 5 2 9 2" xfId="20062"/>
    <cellStyle name="Heading 1 2 3 5 2 9 2 2" xfId="20063"/>
    <cellStyle name="Heading 1 2 3 5 2 9 2 2 2" xfId="20064"/>
    <cellStyle name="Heading 1 2 3 5 2 9 2 3" xfId="20065"/>
    <cellStyle name="Heading 1 2 3 5 2 9 3" xfId="20066"/>
    <cellStyle name="Heading 1 2 3 5 2 9 3 2" xfId="20067"/>
    <cellStyle name="Heading 1 2 3 5 2 9 3 2 2" xfId="20068"/>
    <cellStyle name="Heading 1 2 3 5 2 9 3 3" xfId="20069"/>
    <cellStyle name="Heading 1 2 3 5 2 9 4" xfId="20070"/>
    <cellStyle name="Heading 1 2 3 5 2 9 4 2" xfId="20071"/>
    <cellStyle name="Heading 1 2 3 5 2 9 4 2 2" xfId="20072"/>
    <cellStyle name="Heading 1 2 3 5 2 9 4 3" xfId="20073"/>
    <cellStyle name="Heading 1 2 3 5 2 9 5" xfId="20074"/>
    <cellStyle name="Heading 1 2 3 5 2 9 5 2" xfId="20075"/>
    <cellStyle name="Heading 1 2 3 5 2 9 5 2 2" xfId="20076"/>
    <cellStyle name="Heading 1 2 3 5 2 9 5 3" xfId="20077"/>
    <cellStyle name="Heading 1 2 3 5 2 9 6" xfId="20078"/>
    <cellStyle name="Heading 1 2 3 5 2 9 6 2" xfId="20079"/>
    <cellStyle name="Heading 1 2 3 5 2 9 6 2 2" xfId="20080"/>
    <cellStyle name="Heading 1 2 3 5 2 9 6 3" xfId="20081"/>
    <cellStyle name="Heading 1 2 3 5 2 9 7" xfId="20082"/>
    <cellStyle name="Heading 1 2 3 5 2 9 7 2" xfId="20083"/>
    <cellStyle name="Heading 1 2 3 5 2 9 7 2 2" xfId="20084"/>
    <cellStyle name="Heading 1 2 3 5 2 9 7 3" xfId="20085"/>
    <cellStyle name="Heading 1 2 3 5 2 9 8" xfId="20086"/>
    <cellStyle name="Heading 1 2 3 5 2 9 8 2" xfId="20087"/>
    <cellStyle name="Heading 1 2 3 5 2 9 9" xfId="20088"/>
    <cellStyle name="Heading 1 2 3 5 3" xfId="20089"/>
    <cellStyle name="Heading 1 2 3 5 3 10" xfId="20090"/>
    <cellStyle name="Heading 1 2 3 5 3 10 2" xfId="20091"/>
    <cellStyle name="Heading 1 2 3 5 3 10 2 2" xfId="20092"/>
    <cellStyle name="Heading 1 2 3 5 3 10 3" xfId="20093"/>
    <cellStyle name="Heading 1 2 3 5 3 11" xfId="20094"/>
    <cellStyle name="Heading 1 2 3 5 3 11 2" xfId="20095"/>
    <cellStyle name="Heading 1 2 3 5 3 11 2 2" xfId="20096"/>
    <cellStyle name="Heading 1 2 3 5 3 11 3" xfId="20097"/>
    <cellStyle name="Heading 1 2 3 5 3 12" xfId="20098"/>
    <cellStyle name="Heading 1 2 3 5 3 12 2" xfId="20099"/>
    <cellStyle name="Heading 1 2 3 5 3 12 2 2" xfId="20100"/>
    <cellStyle name="Heading 1 2 3 5 3 12 3" xfId="20101"/>
    <cellStyle name="Heading 1 2 3 5 3 13" xfId="20102"/>
    <cellStyle name="Heading 1 2 3 5 3 13 2" xfId="20103"/>
    <cellStyle name="Heading 1 2 3 5 3 13 2 2" xfId="20104"/>
    <cellStyle name="Heading 1 2 3 5 3 13 3" xfId="20105"/>
    <cellStyle name="Heading 1 2 3 5 3 14" xfId="20106"/>
    <cellStyle name="Heading 1 2 3 5 3 14 2" xfId="20107"/>
    <cellStyle name="Heading 1 2 3 5 3 14 2 2" xfId="20108"/>
    <cellStyle name="Heading 1 2 3 5 3 14 3" xfId="20109"/>
    <cellStyle name="Heading 1 2 3 5 3 15" xfId="20110"/>
    <cellStyle name="Heading 1 2 3 5 3 15 2" xfId="20111"/>
    <cellStyle name="Heading 1 2 3 5 3 15 2 2" xfId="20112"/>
    <cellStyle name="Heading 1 2 3 5 3 15 3" xfId="20113"/>
    <cellStyle name="Heading 1 2 3 5 3 16" xfId="20114"/>
    <cellStyle name="Heading 1 2 3 5 3 16 2" xfId="20115"/>
    <cellStyle name="Heading 1 2 3 5 3 16 2 2" xfId="20116"/>
    <cellStyle name="Heading 1 2 3 5 3 16 3" xfId="20117"/>
    <cellStyle name="Heading 1 2 3 5 3 17" xfId="20118"/>
    <cellStyle name="Heading 1 2 3 5 3 17 2" xfId="20119"/>
    <cellStyle name="Heading 1 2 3 5 3 17 2 2" xfId="20120"/>
    <cellStyle name="Heading 1 2 3 5 3 17 3" xfId="20121"/>
    <cellStyle name="Heading 1 2 3 5 3 18" xfId="20122"/>
    <cellStyle name="Heading 1 2 3 5 3 18 2" xfId="20123"/>
    <cellStyle name="Heading 1 2 3 5 3 18 2 2" xfId="20124"/>
    <cellStyle name="Heading 1 2 3 5 3 18 3" xfId="20125"/>
    <cellStyle name="Heading 1 2 3 5 3 19" xfId="20126"/>
    <cellStyle name="Heading 1 2 3 5 3 19 2" xfId="20127"/>
    <cellStyle name="Heading 1 2 3 5 3 2" xfId="20128"/>
    <cellStyle name="Heading 1 2 3 5 3 2 2" xfId="20129"/>
    <cellStyle name="Heading 1 2 3 5 3 2 2 2" xfId="20130"/>
    <cellStyle name="Heading 1 2 3 5 3 2 2 2 2" xfId="20131"/>
    <cellStyle name="Heading 1 2 3 5 3 2 2 3" xfId="20132"/>
    <cellStyle name="Heading 1 2 3 5 3 2 3" xfId="20133"/>
    <cellStyle name="Heading 1 2 3 5 3 2 3 2" xfId="20134"/>
    <cellStyle name="Heading 1 2 3 5 3 2 3 2 2" xfId="20135"/>
    <cellStyle name="Heading 1 2 3 5 3 2 3 3" xfId="20136"/>
    <cellStyle name="Heading 1 2 3 5 3 2 4" xfId="20137"/>
    <cellStyle name="Heading 1 2 3 5 3 2 4 2" xfId="20138"/>
    <cellStyle name="Heading 1 2 3 5 3 2 4 2 2" xfId="20139"/>
    <cellStyle name="Heading 1 2 3 5 3 2 4 3" xfId="20140"/>
    <cellStyle name="Heading 1 2 3 5 3 2 5" xfId="20141"/>
    <cellStyle name="Heading 1 2 3 5 3 2 5 2" xfId="20142"/>
    <cellStyle name="Heading 1 2 3 5 3 2 5 2 2" xfId="20143"/>
    <cellStyle name="Heading 1 2 3 5 3 2 5 3" xfId="20144"/>
    <cellStyle name="Heading 1 2 3 5 3 2 6" xfId="20145"/>
    <cellStyle name="Heading 1 2 3 5 3 2 6 2" xfId="20146"/>
    <cellStyle name="Heading 1 2 3 5 3 2 6 2 2" xfId="20147"/>
    <cellStyle name="Heading 1 2 3 5 3 2 6 3" xfId="20148"/>
    <cellStyle name="Heading 1 2 3 5 3 2 7" xfId="20149"/>
    <cellStyle name="Heading 1 2 3 5 3 2 7 2" xfId="20150"/>
    <cellStyle name="Heading 1 2 3 5 3 2 7 2 2" xfId="20151"/>
    <cellStyle name="Heading 1 2 3 5 3 2 7 3" xfId="20152"/>
    <cellStyle name="Heading 1 2 3 5 3 2 8" xfId="20153"/>
    <cellStyle name="Heading 1 2 3 5 3 2 8 2" xfId="20154"/>
    <cellStyle name="Heading 1 2 3 5 3 2 9" xfId="20155"/>
    <cellStyle name="Heading 1 2 3 5 3 20" xfId="20156"/>
    <cellStyle name="Heading 1 2 3 5 3 20 2" xfId="20157"/>
    <cellStyle name="Heading 1 2 3 5 3 21" xfId="20158"/>
    <cellStyle name="Heading 1 2 3 5 3 21 2" xfId="20159"/>
    <cellStyle name="Heading 1 2 3 5 3 22" xfId="20160"/>
    <cellStyle name="Heading 1 2 3 5 3 3" xfId="20161"/>
    <cellStyle name="Heading 1 2 3 5 3 3 2" xfId="20162"/>
    <cellStyle name="Heading 1 2 3 5 3 3 2 2" xfId="20163"/>
    <cellStyle name="Heading 1 2 3 5 3 3 2 2 2" xfId="20164"/>
    <cellStyle name="Heading 1 2 3 5 3 3 2 3" xfId="20165"/>
    <cellStyle name="Heading 1 2 3 5 3 3 3" xfId="20166"/>
    <cellStyle name="Heading 1 2 3 5 3 3 3 2" xfId="20167"/>
    <cellStyle name="Heading 1 2 3 5 3 3 3 2 2" xfId="20168"/>
    <cellStyle name="Heading 1 2 3 5 3 3 3 3" xfId="20169"/>
    <cellStyle name="Heading 1 2 3 5 3 3 4" xfId="20170"/>
    <cellStyle name="Heading 1 2 3 5 3 3 4 2" xfId="20171"/>
    <cellStyle name="Heading 1 2 3 5 3 3 4 2 2" xfId="20172"/>
    <cellStyle name="Heading 1 2 3 5 3 3 4 3" xfId="20173"/>
    <cellStyle name="Heading 1 2 3 5 3 3 5" xfId="20174"/>
    <cellStyle name="Heading 1 2 3 5 3 3 5 2" xfId="20175"/>
    <cellStyle name="Heading 1 2 3 5 3 3 5 2 2" xfId="20176"/>
    <cellStyle name="Heading 1 2 3 5 3 3 5 3" xfId="20177"/>
    <cellStyle name="Heading 1 2 3 5 3 3 6" xfId="20178"/>
    <cellStyle name="Heading 1 2 3 5 3 3 6 2" xfId="20179"/>
    <cellStyle name="Heading 1 2 3 5 3 3 6 2 2" xfId="20180"/>
    <cellStyle name="Heading 1 2 3 5 3 3 6 3" xfId="20181"/>
    <cellStyle name="Heading 1 2 3 5 3 3 7" xfId="20182"/>
    <cellStyle name="Heading 1 2 3 5 3 3 7 2" xfId="20183"/>
    <cellStyle name="Heading 1 2 3 5 3 3 7 2 2" xfId="20184"/>
    <cellStyle name="Heading 1 2 3 5 3 3 7 3" xfId="20185"/>
    <cellStyle name="Heading 1 2 3 5 3 3 8" xfId="20186"/>
    <cellStyle name="Heading 1 2 3 5 3 3 8 2" xfId="20187"/>
    <cellStyle name="Heading 1 2 3 5 3 3 9" xfId="20188"/>
    <cellStyle name="Heading 1 2 3 5 3 4" xfId="20189"/>
    <cellStyle name="Heading 1 2 3 5 3 4 2" xfId="20190"/>
    <cellStyle name="Heading 1 2 3 5 3 4 2 2" xfId="20191"/>
    <cellStyle name="Heading 1 2 3 5 3 4 2 2 2" xfId="20192"/>
    <cellStyle name="Heading 1 2 3 5 3 4 2 3" xfId="20193"/>
    <cellStyle name="Heading 1 2 3 5 3 4 3" xfId="20194"/>
    <cellStyle name="Heading 1 2 3 5 3 4 3 2" xfId="20195"/>
    <cellStyle name="Heading 1 2 3 5 3 4 3 2 2" xfId="20196"/>
    <cellStyle name="Heading 1 2 3 5 3 4 3 3" xfId="20197"/>
    <cellStyle name="Heading 1 2 3 5 3 4 4" xfId="20198"/>
    <cellStyle name="Heading 1 2 3 5 3 4 4 2" xfId="20199"/>
    <cellStyle name="Heading 1 2 3 5 3 4 4 2 2" xfId="20200"/>
    <cellStyle name="Heading 1 2 3 5 3 4 4 3" xfId="20201"/>
    <cellStyle name="Heading 1 2 3 5 3 4 5" xfId="20202"/>
    <cellStyle name="Heading 1 2 3 5 3 4 5 2" xfId="20203"/>
    <cellStyle name="Heading 1 2 3 5 3 4 5 2 2" xfId="20204"/>
    <cellStyle name="Heading 1 2 3 5 3 4 5 3" xfId="20205"/>
    <cellStyle name="Heading 1 2 3 5 3 4 6" xfId="20206"/>
    <cellStyle name="Heading 1 2 3 5 3 4 6 2" xfId="20207"/>
    <cellStyle name="Heading 1 2 3 5 3 4 6 2 2" xfId="20208"/>
    <cellStyle name="Heading 1 2 3 5 3 4 6 3" xfId="20209"/>
    <cellStyle name="Heading 1 2 3 5 3 4 7" xfId="20210"/>
    <cellStyle name="Heading 1 2 3 5 3 4 7 2" xfId="20211"/>
    <cellStyle name="Heading 1 2 3 5 3 4 7 2 2" xfId="20212"/>
    <cellStyle name="Heading 1 2 3 5 3 4 7 3" xfId="20213"/>
    <cellStyle name="Heading 1 2 3 5 3 4 8" xfId="20214"/>
    <cellStyle name="Heading 1 2 3 5 3 4 8 2" xfId="20215"/>
    <cellStyle name="Heading 1 2 3 5 3 4 9" xfId="20216"/>
    <cellStyle name="Heading 1 2 3 5 3 5" xfId="20217"/>
    <cellStyle name="Heading 1 2 3 5 3 5 2" xfId="20218"/>
    <cellStyle name="Heading 1 2 3 5 3 5 2 2" xfId="20219"/>
    <cellStyle name="Heading 1 2 3 5 3 5 2 2 2" xfId="20220"/>
    <cellStyle name="Heading 1 2 3 5 3 5 2 3" xfId="20221"/>
    <cellStyle name="Heading 1 2 3 5 3 5 3" xfId="20222"/>
    <cellStyle name="Heading 1 2 3 5 3 5 3 2" xfId="20223"/>
    <cellStyle name="Heading 1 2 3 5 3 5 3 2 2" xfId="20224"/>
    <cellStyle name="Heading 1 2 3 5 3 5 3 3" xfId="20225"/>
    <cellStyle name="Heading 1 2 3 5 3 5 4" xfId="20226"/>
    <cellStyle name="Heading 1 2 3 5 3 5 4 2" xfId="20227"/>
    <cellStyle name="Heading 1 2 3 5 3 5 4 2 2" xfId="20228"/>
    <cellStyle name="Heading 1 2 3 5 3 5 4 3" xfId="20229"/>
    <cellStyle name="Heading 1 2 3 5 3 5 5" xfId="20230"/>
    <cellStyle name="Heading 1 2 3 5 3 5 5 2" xfId="20231"/>
    <cellStyle name="Heading 1 2 3 5 3 5 5 2 2" xfId="20232"/>
    <cellStyle name="Heading 1 2 3 5 3 5 5 3" xfId="20233"/>
    <cellStyle name="Heading 1 2 3 5 3 5 6" xfId="20234"/>
    <cellStyle name="Heading 1 2 3 5 3 5 6 2" xfId="20235"/>
    <cellStyle name="Heading 1 2 3 5 3 5 6 2 2" xfId="20236"/>
    <cellStyle name="Heading 1 2 3 5 3 5 6 3" xfId="20237"/>
    <cellStyle name="Heading 1 2 3 5 3 5 7" xfId="20238"/>
    <cellStyle name="Heading 1 2 3 5 3 5 7 2" xfId="20239"/>
    <cellStyle name="Heading 1 2 3 5 3 5 7 2 2" xfId="20240"/>
    <cellStyle name="Heading 1 2 3 5 3 5 7 3" xfId="20241"/>
    <cellStyle name="Heading 1 2 3 5 3 5 8" xfId="20242"/>
    <cellStyle name="Heading 1 2 3 5 3 5 8 2" xfId="20243"/>
    <cellStyle name="Heading 1 2 3 5 3 5 9" xfId="20244"/>
    <cellStyle name="Heading 1 2 3 5 3 6" xfId="20245"/>
    <cellStyle name="Heading 1 2 3 5 3 6 2" xfId="20246"/>
    <cellStyle name="Heading 1 2 3 5 3 6 2 2" xfId="20247"/>
    <cellStyle name="Heading 1 2 3 5 3 6 2 2 2" xfId="20248"/>
    <cellStyle name="Heading 1 2 3 5 3 6 2 3" xfId="20249"/>
    <cellStyle name="Heading 1 2 3 5 3 6 3" xfId="20250"/>
    <cellStyle name="Heading 1 2 3 5 3 6 3 2" xfId="20251"/>
    <cellStyle name="Heading 1 2 3 5 3 6 3 2 2" xfId="20252"/>
    <cellStyle name="Heading 1 2 3 5 3 6 3 3" xfId="20253"/>
    <cellStyle name="Heading 1 2 3 5 3 6 4" xfId="20254"/>
    <cellStyle name="Heading 1 2 3 5 3 6 4 2" xfId="20255"/>
    <cellStyle name="Heading 1 2 3 5 3 6 4 2 2" xfId="20256"/>
    <cellStyle name="Heading 1 2 3 5 3 6 4 3" xfId="20257"/>
    <cellStyle name="Heading 1 2 3 5 3 6 5" xfId="20258"/>
    <cellStyle name="Heading 1 2 3 5 3 6 5 2" xfId="20259"/>
    <cellStyle name="Heading 1 2 3 5 3 6 5 2 2" xfId="20260"/>
    <cellStyle name="Heading 1 2 3 5 3 6 5 3" xfId="20261"/>
    <cellStyle name="Heading 1 2 3 5 3 6 6" xfId="20262"/>
    <cellStyle name="Heading 1 2 3 5 3 6 6 2" xfId="20263"/>
    <cellStyle name="Heading 1 2 3 5 3 6 6 2 2" xfId="20264"/>
    <cellStyle name="Heading 1 2 3 5 3 6 6 3" xfId="20265"/>
    <cellStyle name="Heading 1 2 3 5 3 6 7" xfId="20266"/>
    <cellStyle name="Heading 1 2 3 5 3 6 7 2" xfId="20267"/>
    <cellStyle name="Heading 1 2 3 5 3 6 7 2 2" xfId="20268"/>
    <cellStyle name="Heading 1 2 3 5 3 6 7 3" xfId="20269"/>
    <cellStyle name="Heading 1 2 3 5 3 6 8" xfId="20270"/>
    <cellStyle name="Heading 1 2 3 5 3 6 8 2" xfId="20271"/>
    <cellStyle name="Heading 1 2 3 5 3 6 9" xfId="20272"/>
    <cellStyle name="Heading 1 2 3 5 3 7" xfId="20273"/>
    <cellStyle name="Heading 1 2 3 5 3 7 2" xfId="20274"/>
    <cellStyle name="Heading 1 2 3 5 3 7 2 2" xfId="20275"/>
    <cellStyle name="Heading 1 2 3 5 3 7 2 2 2" xfId="20276"/>
    <cellStyle name="Heading 1 2 3 5 3 7 2 3" xfId="20277"/>
    <cellStyle name="Heading 1 2 3 5 3 7 3" xfId="20278"/>
    <cellStyle name="Heading 1 2 3 5 3 7 3 2" xfId="20279"/>
    <cellStyle name="Heading 1 2 3 5 3 7 3 2 2" xfId="20280"/>
    <cellStyle name="Heading 1 2 3 5 3 7 3 3" xfId="20281"/>
    <cellStyle name="Heading 1 2 3 5 3 7 4" xfId="20282"/>
    <cellStyle name="Heading 1 2 3 5 3 7 4 2" xfId="20283"/>
    <cellStyle name="Heading 1 2 3 5 3 7 4 2 2" xfId="20284"/>
    <cellStyle name="Heading 1 2 3 5 3 7 4 3" xfId="20285"/>
    <cellStyle name="Heading 1 2 3 5 3 7 5" xfId="20286"/>
    <cellStyle name="Heading 1 2 3 5 3 7 5 2" xfId="20287"/>
    <cellStyle name="Heading 1 2 3 5 3 7 5 2 2" xfId="20288"/>
    <cellStyle name="Heading 1 2 3 5 3 7 5 3" xfId="20289"/>
    <cellStyle name="Heading 1 2 3 5 3 7 6" xfId="20290"/>
    <cellStyle name="Heading 1 2 3 5 3 7 6 2" xfId="20291"/>
    <cellStyle name="Heading 1 2 3 5 3 7 6 2 2" xfId="20292"/>
    <cellStyle name="Heading 1 2 3 5 3 7 6 3" xfId="20293"/>
    <cellStyle name="Heading 1 2 3 5 3 7 7" xfId="20294"/>
    <cellStyle name="Heading 1 2 3 5 3 7 7 2" xfId="20295"/>
    <cellStyle name="Heading 1 2 3 5 3 7 7 2 2" xfId="20296"/>
    <cellStyle name="Heading 1 2 3 5 3 7 7 3" xfId="20297"/>
    <cellStyle name="Heading 1 2 3 5 3 7 8" xfId="20298"/>
    <cellStyle name="Heading 1 2 3 5 3 7 8 2" xfId="20299"/>
    <cellStyle name="Heading 1 2 3 5 3 7 9" xfId="20300"/>
    <cellStyle name="Heading 1 2 3 5 3 8" xfId="20301"/>
    <cellStyle name="Heading 1 2 3 5 3 8 2" xfId="20302"/>
    <cellStyle name="Heading 1 2 3 5 3 8 2 2" xfId="20303"/>
    <cellStyle name="Heading 1 2 3 5 3 8 2 2 2" xfId="20304"/>
    <cellStyle name="Heading 1 2 3 5 3 8 2 3" xfId="20305"/>
    <cellStyle name="Heading 1 2 3 5 3 8 3" xfId="20306"/>
    <cellStyle name="Heading 1 2 3 5 3 8 3 2" xfId="20307"/>
    <cellStyle name="Heading 1 2 3 5 3 8 3 2 2" xfId="20308"/>
    <cellStyle name="Heading 1 2 3 5 3 8 3 3" xfId="20309"/>
    <cellStyle name="Heading 1 2 3 5 3 8 4" xfId="20310"/>
    <cellStyle name="Heading 1 2 3 5 3 8 4 2" xfId="20311"/>
    <cellStyle name="Heading 1 2 3 5 3 8 4 2 2" xfId="20312"/>
    <cellStyle name="Heading 1 2 3 5 3 8 4 3" xfId="20313"/>
    <cellStyle name="Heading 1 2 3 5 3 8 5" xfId="20314"/>
    <cellStyle name="Heading 1 2 3 5 3 8 5 2" xfId="20315"/>
    <cellStyle name="Heading 1 2 3 5 3 8 5 2 2" xfId="20316"/>
    <cellStyle name="Heading 1 2 3 5 3 8 5 3" xfId="20317"/>
    <cellStyle name="Heading 1 2 3 5 3 8 6" xfId="20318"/>
    <cellStyle name="Heading 1 2 3 5 3 8 6 2" xfId="20319"/>
    <cellStyle name="Heading 1 2 3 5 3 8 6 2 2" xfId="20320"/>
    <cellStyle name="Heading 1 2 3 5 3 8 6 3" xfId="20321"/>
    <cellStyle name="Heading 1 2 3 5 3 8 7" xfId="20322"/>
    <cellStyle name="Heading 1 2 3 5 3 8 7 2" xfId="20323"/>
    <cellStyle name="Heading 1 2 3 5 3 8 7 2 2" xfId="20324"/>
    <cellStyle name="Heading 1 2 3 5 3 8 7 3" xfId="20325"/>
    <cellStyle name="Heading 1 2 3 5 3 8 8" xfId="20326"/>
    <cellStyle name="Heading 1 2 3 5 3 8 8 2" xfId="20327"/>
    <cellStyle name="Heading 1 2 3 5 3 8 9" xfId="20328"/>
    <cellStyle name="Heading 1 2 3 5 3 9" xfId="20329"/>
    <cellStyle name="Heading 1 2 3 5 3 9 2" xfId="20330"/>
    <cellStyle name="Heading 1 2 3 5 3 9 2 2" xfId="20331"/>
    <cellStyle name="Heading 1 2 3 5 3 9 3" xfId="20332"/>
    <cellStyle name="Heading 1 2 3 5 4" xfId="20333"/>
    <cellStyle name="Heading 1 2 3 5 4 2" xfId="20334"/>
    <cellStyle name="Heading 1 2 3 5 4 2 2" xfId="20335"/>
    <cellStyle name="Heading 1 2 3 5 4 3" xfId="20336"/>
    <cellStyle name="Heading 1 2 3 5 5" xfId="20337"/>
    <cellStyle name="Heading 1 2 3 5 5 2" xfId="20338"/>
    <cellStyle name="Heading 1 2 3 5 6" xfId="20339"/>
    <cellStyle name="Heading 1 2 3 6" xfId="20340"/>
    <cellStyle name="Heading 1 2 3 6 2" xfId="20341"/>
    <cellStyle name="Heading 1 2 3 6 2 10" xfId="20342"/>
    <cellStyle name="Heading 1 2 3 6 2 10 2" xfId="20343"/>
    <cellStyle name="Heading 1 2 3 6 2 10 2 2" xfId="20344"/>
    <cellStyle name="Heading 1 2 3 6 2 10 3" xfId="20345"/>
    <cellStyle name="Heading 1 2 3 6 2 11" xfId="20346"/>
    <cellStyle name="Heading 1 2 3 6 2 11 2" xfId="20347"/>
    <cellStyle name="Heading 1 2 3 6 2 11 2 2" xfId="20348"/>
    <cellStyle name="Heading 1 2 3 6 2 11 3" xfId="20349"/>
    <cellStyle name="Heading 1 2 3 6 2 12" xfId="20350"/>
    <cellStyle name="Heading 1 2 3 6 2 12 2" xfId="20351"/>
    <cellStyle name="Heading 1 2 3 6 2 12 2 2" xfId="20352"/>
    <cellStyle name="Heading 1 2 3 6 2 12 3" xfId="20353"/>
    <cellStyle name="Heading 1 2 3 6 2 13" xfId="20354"/>
    <cellStyle name="Heading 1 2 3 6 2 13 2" xfId="20355"/>
    <cellStyle name="Heading 1 2 3 6 2 13 2 2" xfId="20356"/>
    <cellStyle name="Heading 1 2 3 6 2 13 3" xfId="20357"/>
    <cellStyle name="Heading 1 2 3 6 2 14" xfId="20358"/>
    <cellStyle name="Heading 1 2 3 6 2 14 2" xfId="20359"/>
    <cellStyle name="Heading 1 2 3 6 2 14 2 2" xfId="20360"/>
    <cellStyle name="Heading 1 2 3 6 2 14 3" xfId="20361"/>
    <cellStyle name="Heading 1 2 3 6 2 15" xfId="20362"/>
    <cellStyle name="Heading 1 2 3 6 2 15 2" xfId="20363"/>
    <cellStyle name="Heading 1 2 3 6 2 15 2 2" xfId="20364"/>
    <cellStyle name="Heading 1 2 3 6 2 15 3" xfId="20365"/>
    <cellStyle name="Heading 1 2 3 6 2 16" xfId="20366"/>
    <cellStyle name="Heading 1 2 3 6 2 16 2" xfId="20367"/>
    <cellStyle name="Heading 1 2 3 6 2 16 2 2" xfId="20368"/>
    <cellStyle name="Heading 1 2 3 6 2 16 3" xfId="20369"/>
    <cellStyle name="Heading 1 2 3 6 2 17" xfId="20370"/>
    <cellStyle name="Heading 1 2 3 6 2 17 2" xfId="20371"/>
    <cellStyle name="Heading 1 2 3 6 2 17 2 2" xfId="20372"/>
    <cellStyle name="Heading 1 2 3 6 2 17 3" xfId="20373"/>
    <cellStyle name="Heading 1 2 3 6 2 18" xfId="20374"/>
    <cellStyle name="Heading 1 2 3 6 2 18 2" xfId="20375"/>
    <cellStyle name="Heading 1 2 3 6 2 18 2 2" xfId="20376"/>
    <cellStyle name="Heading 1 2 3 6 2 18 3" xfId="20377"/>
    <cellStyle name="Heading 1 2 3 6 2 19" xfId="20378"/>
    <cellStyle name="Heading 1 2 3 6 2 19 2" xfId="20379"/>
    <cellStyle name="Heading 1 2 3 6 2 19 2 2" xfId="20380"/>
    <cellStyle name="Heading 1 2 3 6 2 19 3" xfId="20381"/>
    <cellStyle name="Heading 1 2 3 6 2 2" xfId="20382"/>
    <cellStyle name="Heading 1 2 3 6 2 2 10" xfId="20383"/>
    <cellStyle name="Heading 1 2 3 6 2 2 10 2" xfId="20384"/>
    <cellStyle name="Heading 1 2 3 6 2 2 10 2 2" xfId="20385"/>
    <cellStyle name="Heading 1 2 3 6 2 2 10 3" xfId="20386"/>
    <cellStyle name="Heading 1 2 3 6 2 2 11" xfId="20387"/>
    <cellStyle name="Heading 1 2 3 6 2 2 11 2" xfId="20388"/>
    <cellStyle name="Heading 1 2 3 6 2 2 11 2 2" xfId="20389"/>
    <cellStyle name="Heading 1 2 3 6 2 2 11 3" xfId="20390"/>
    <cellStyle name="Heading 1 2 3 6 2 2 12" xfId="20391"/>
    <cellStyle name="Heading 1 2 3 6 2 2 12 2" xfId="20392"/>
    <cellStyle name="Heading 1 2 3 6 2 2 12 2 2" xfId="20393"/>
    <cellStyle name="Heading 1 2 3 6 2 2 12 3" xfId="20394"/>
    <cellStyle name="Heading 1 2 3 6 2 2 13" xfId="20395"/>
    <cellStyle name="Heading 1 2 3 6 2 2 13 2" xfId="20396"/>
    <cellStyle name="Heading 1 2 3 6 2 2 13 2 2" xfId="20397"/>
    <cellStyle name="Heading 1 2 3 6 2 2 13 3" xfId="20398"/>
    <cellStyle name="Heading 1 2 3 6 2 2 14" xfId="20399"/>
    <cellStyle name="Heading 1 2 3 6 2 2 14 2" xfId="20400"/>
    <cellStyle name="Heading 1 2 3 6 2 2 14 2 2" xfId="20401"/>
    <cellStyle name="Heading 1 2 3 6 2 2 14 3" xfId="20402"/>
    <cellStyle name="Heading 1 2 3 6 2 2 15" xfId="20403"/>
    <cellStyle name="Heading 1 2 3 6 2 2 15 2" xfId="20404"/>
    <cellStyle name="Heading 1 2 3 6 2 2 15 2 2" xfId="20405"/>
    <cellStyle name="Heading 1 2 3 6 2 2 15 3" xfId="20406"/>
    <cellStyle name="Heading 1 2 3 6 2 2 16" xfId="20407"/>
    <cellStyle name="Heading 1 2 3 6 2 2 16 2" xfId="20408"/>
    <cellStyle name="Heading 1 2 3 6 2 2 16 2 2" xfId="20409"/>
    <cellStyle name="Heading 1 2 3 6 2 2 16 3" xfId="20410"/>
    <cellStyle name="Heading 1 2 3 6 2 2 17" xfId="20411"/>
    <cellStyle name="Heading 1 2 3 6 2 2 17 2" xfId="20412"/>
    <cellStyle name="Heading 1 2 3 6 2 2 17 2 2" xfId="20413"/>
    <cellStyle name="Heading 1 2 3 6 2 2 17 3" xfId="20414"/>
    <cellStyle name="Heading 1 2 3 6 2 2 18" xfId="20415"/>
    <cellStyle name="Heading 1 2 3 6 2 2 18 2" xfId="20416"/>
    <cellStyle name="Heading 1 2 3 6 2 2 18 2 2" xfId="20417"/>
    <cellStyle name="Heading 1 2 3 6 2 2 18 3" xfId="20418"/>
    <cellStyle name="Heading 1 2 3 6 2 2 19" xfId="20419"/>
    <cellStyle name="Heading 1 2 3 6 2 2 19 2" xfId="20420"/>
    <cellStyle name="Heading 1 2 3 6 2 2 2" xfId="20421"/>
    <cellStyle name="Heading 1 2 3 6 2 2 2 2" xfId="20422"/>
    <cellStyle name="Heading 1 2 3 6 2 2 2 2 2" xfId="20423"/>
    <cellStyle name="Heading 1 2 3 6 2 2 2 2 2 2" xfId="20424"/>
    <cellStyle name="Heading 1 2 3 6 2 2 2 2 3" xfId="20425"/>
    <cellStyle name="Heading 1 2 3 6 2 2 2 3" xfId="20426"/>
    <cellStyle name="Heading 1 2 3 6 2 2 2 3 2" xfId="20427"/>
    <cellStyle name="Heading 1 2 3 6 2 2 2 3 2 2" xfId="20428"/>
    <cellStyle name="Heading 1 2 3 6 2 2 2 3 3" xfId="20429"/>
    <cellStyle name="Heading 1 2 3 6 2 2 2 4" xfId="20430"/>
    <cellStyle name="Heading 1 2 3 6 2 2 2 4 2" xfId="20431"/>
    <cellStyle name="Heading 1 2 3 6 2 2 2 4 2 2" xfId="20432"/>
    <cellStyle name="Heading 1 2 3 6 2 2 2 4 3" xfId="20433"/>
    <cellStyle name="Heading 1 2 3 6 2 2 2 5" xfId="20434"/>
    <cellStyle name="Heading 1 2 3 6 2 2 2 5 2" xfId="20435"/>
    <cellStyle name="Heading 1 2 3 6 2 2 2 5 2 2" xfId="20436"/>
    <cellStyle name="Heading 1 2 3 6 2 2 2 5 3" xfId="20437"/>
    <cellStyle name="Heading 1 2 3 6 2 2 2 6" xfId="20438"/>
    <cellStyle name="Heading 1 2 3 6 2 2 2 6 2" xfId="20439"/>
    <cellStyle name="Heading 1 2 3 6 2 2 2 6 2 2" xfId="20440"/>
    <cellStyle name="Heading 1 2 3 6 2 2 2 6 3" xfId="20441"/>
    <cellStyle name="Heading 1 2 3 6 2 2 2 7" xfId="20442"/>
    <cellStyle name="Heading 1 2 3 6 2 2 2 7 2" xfId="20443"/>
    <cellStyle name="Heading 1 2 3 6 2 2 2 7 2 2" xfId="20444"/>
    <cellStyle name="Heading 1 2 3 6 2 2 2 7 3" xfId="20445"/>
    <cellStyle name="Heading 1 2 3 6 2 2 2 8" xfId="20446"/>
    <cellStyle name="Heading 1 2 3 6 2 2 2 8 2" xfId="20447"/>
    <cellStyle name="Heading 1 2 3 6 2 2 2 9" xfId="20448"/>
    <cellStyle name="Heading 1 2 3 6 2 2 20" xfId="20449"/>
    <cellStyle name="Heading 1 2 3 6 2 2 20 2" xfId="20450"/>
    <cellStyle name="Heading 1 2 3 6 2 2 21" xfId="20451"/>
    <cellStyle name="Heading 1 2 3 6 2 2 21 2" xfId="20452"/>
    <cellStyle name="Heading 1 2 3 6 2 2 22" xfId="20453"/>
    <cellStyle name="Heading 1 2 3 6 2 2 3" xfId="20454"/>
    <cellStyle name="Heading 1 2 3 6 2 2 3 2" xfId="20455"/>
    <cellStyle name="Heading 1 2 3 6 2 2 3 2 2" xfId="20456"/>
    <cellStyle name="Heading 1 2 3 6 2 2 3 2 2 2" xfId="20457"/>
    <cellStyle name="Heading 1 2 3 6 2 2 3 2 3" xfId="20458"/>
    <cellStyle name="Heading 1 2 3 6 2 2 3 3" xfId="20459"/>
    <cellStyle name="Heading 1 2 3 6 2 2 3 3 2" xfId="20460"/>
    <cellStyle name="Heading 1 2 3 6 2 2 3 3 2 2" xfId="20461"/>
    <cellStyle name="Heading 1 2 3 6 2 2 3 3 3" xfId="20462"/>
    <cellStyle name="Heading 1 2 3 6 2 2 3 4" xfId="20463"/>
    <cellStyle name="Heading 1 2 3 6 2 2 3 4 2" xfId="20464"/>
    <cellStyle name="Heading 1 2 3 6 2 2 3 4 2 2" xfId="20465"/>
    <cellStyle name="Heading 1 2 3 6 2 2 3 4 3" xfId="20466"/>
    <cellStyle name="Heading 1 2 3 6 2 2 3 5" xfId="20467"/>
    <cellStyle name="Heading 1 2 3 6 2 2 3 5 2" xfId="20468"/>
    <cellStyle name="Heading 1 2 3 6 2 2 3 5 2 2" xfId="20469"/>
    <cellStyle name="Heading 1 2 3 6 2 2 3 5 3" xfId="20470"/>
    <cellStyle name="Heading 1 2 3 6 2 2 3 6" xfId="20471"/>
    <cellStyle name="Heading 1 2 3 6 2 2 3 6 2" xfId="20472"/>
    <cellStyle name="Heading 1 2 3 6 2 2 3 6 2 2" xfId="20473"/>
    <cellStyle name="Heading 1 2 3 6 2 2 3 6 3" xfId="20474"/>
    <cellStyle name="Heading 1 2 3 6 2 2 3 7" xfId="20475"/>
    <cellStyle name="Heading 1 2 3 6 2 2 3 7 2" xfId="20476"/>
    <cellStyle name="Heading 1 2 3 6 2 2 3 7 2 2" xfId="20477"/>
    <cellStyle name="Heading 1 2 3 6 2 2 3 7 3" xfId="20478"/>
    <cellStyle name="Heading 1 2 3 6 2 2 3 8" xfId="20479"/>
    <cellStyle name="Heading 1 2 3 6 2 2 3 8 2" xfId="20480"/>
    <cellStyle name="Heading 1 2 3 6 2 2 3 9" xfId="20481"/>
    <cellStyle name="Heading 1 2 3 6 2 2 4" xfId="20482"/>
    <cellStyle name="Heading 1 2 3 6 2 2 4 2" xfId="20483"/>
    <cellStyle name="Heading 1 2 3 6 2 2 4 2 2" xfId="20484"/>
    <cellStyle name="Heading 1 2 3 6 2 2 4 2 2 2" xfId="20485"/>
    <cellStyle name="Heading 1 2 3 6 2 2 4 2 3" xfId="20486"/>
    <cellStyle name="Heading 1 2 3 6 2 2 4 3" xfId="20487"/>
    <cellStyle name="Heading 1 2 3 6 2 2 4 3 2" xfId="20488"/>
    <cellStyle name="Heading 1 2 3 6 2 2 4 3 2 2" xfId="20489"/>
    <cellStyle name="Heading 1 2 3 6 2 2 4 3 3" xfId="20490"/>
    <cellStyle name="Heading 1 2 3 6 2 2 4 4" xfId="20491"/>
    <cellStyle name="Heading 1 2 3 6 2 2 4 4 2" xfId="20492"/>
    <cellStyle name="Heading 1 2 3 6 2 2 4 4 2 2" xfId="20493"/>
    <cellStyle name="Heading 1 2 3 6 2 2 4 4 3" xfId="20494"/>
    <cellStyle name="Heading 1 2 3 6 2 2 4 5" xfId="20495"/>
    <cellStyle name="Heading 1 2 3 6 2 2 4 5 2" xfId="20496"/>
    <cellStyle name="Heading 1 2 3 6 2 2 4 5 2 2" xfId="20497"/>
    <cellStyle name="Heading 1 2 3 6 2 2 4 5 3" xfId="20498"/>
    <cellStyle name="Heading 1 2 3 6 2 2 4 6" xfId="20499"/>
    <cellStyle name="Heading 1 2 3 6 2 2 4 6 2" xfId="20500"/>
    <cellStyle name="Heading 1 2 3 6 2 2 4 6 2 2" xfId="20501"/>
    <cellStyle name="Heading 1 2 3 6 2 2 4 6 3" xfId="20502"/>
    <cellStyle name="Heading 1 2 3 6 2 2 4 7" xfId="20503"/>
    <cellStyle name="Heading 1 2 3 6 2 2 4 7 2" xfId="20504"/>
    <cellStyle name="Heading 1 2 3 6 2 2 4 7 2 2" xfId="20505"/>
    <cellStyle name="Heading 1 2 3 6 2 2 4 7 3" xfId="20506"/>
    <cellStyle name="Heading 1 2 3 6 2 2 4 8" xfId="20507"/>
    <cellStyle name="Heading 1 2 3 6 2 2 4 8 2" xfId="20508"/>
    <cellStyle name="Heading 1 2 3 6 2 2 4 9" xfId="20509"/>
    <cellStyle name="Heading 1 2 3 6 2 2 5" xfId="20510"/>
    <cellStyle name="Heading 1 2 3 6 2 2 5 2" xfId="20511"/>
    <cellStyle name="Heading 1 2 3 6 2 2 5 2 2" xfId="20512"/>
    <cellStyle name="Heading 1 2 3 6 2 2 5 2 2 2" xfId="20513"/>
    <cellStyle name="Heading 1 2 3 6 2 2 5 2 3" xfId="20514"/>
    <cellStyle name="Heading 1 2 3 6 2 2 5 3" xfId="20515"/>
    <cellStyle name="Heading 1 2 3 6 2 2 5 3 2" xfId="20516"/>
    <cellStyle name="Heading 1 2 3 6 2 2 5 3 2 2" xfId="20517"/>
    <cellStyle name="Heading 1 2 3 6 2 2 5 3 3" xfId="20518"/>
    <cellStyle name="Heading 1 2 3 6 2 2 5 4" xfId="20519"/>
    <cellStyle name="Heading 1 2 3 6 2 2 5 4 2" xfId="20520"/>
    <cellStyle name="Heading 1 2 3 6 2 2 5 4 2 2" xfId="20521"/>
    <cellStyle name="Heading 1 2 3 6 2 2 5 4 3" xfId="20522"/>
    <cellStyle name="Heading 1 2 3 6 2 2 5 5" xfId="20523"/>
    <cellStyle name="Heading 1 2 3 6 2 2 5 5 2" xfId="20524"/>
    <cellStyle name="Heading 1 2 3 6 2 2 5 5 2 2" xfId="20525"/>
    <cellStyle name="Heading 1 2 3 6 2 2 5 5 3" xfId="20526"/>
    <cellStyle name="Heading 1 2 3 6 2 2 5 6" xfId="20527"/>
    <cellStyle name="Heading 1 2 3 6 2 2 5 6 2" xfId="20528"/>
    <cellStyle name="Heading 1 2 3 6 2 2 5 6 2 2" xfId="20529"/>
    <cellStyle name="Heading 1 2 3 6 2 2 5 6 3" xfId="20530"/>
    <cellStyle name="Heading 1 2 3 6 2 2 5 7" xfId="20531"/>
    <cellStyle name="Heading 1 2 3 6 2 2 5 7 2" xfId="20532"/>
    <cellStyle name="Heading 1 2 3 6 2 2 5 7 2 2" xfId="20533"/>
    <cellStyle name="Heading 1 2 3 6 2 2 5 7 3" xfId="20534"/>
    <cellStyle name="Heading 1 2 3 6 2 2 5 8" xfId="20535"/>
    <cellStyle name="Heading 1 2 3 6 2 2 5 8 2" xfId="20536"/>
    <cellStyle name="Heading 1 2 3 6 2 2 5 9" xfId="20537"/>
    <cellStyle name="Heading 1 2 3 6 2 2 6" xfId="20538"/>
    <cellStyle name="Heading 1 2 3 6 2 2 6 2" xfId="20539"/>
    <cellStyle name="Heading 1 2 3 6 2 2 6 2 2" xfId="20540"/>
    <cellStyle name="Heading 1 2 3 6 2 2 6 2 2 2" xfId="20541"/>
    <cellStyle name="Heading 1 2 3 6 2 2 6 2 3" xfId="20542"/>
    <cellStyle name="Heading 1 2 3 6 2 2 6 3" xfId="20543"/>
    <cellStyle name="Heading 1 2 3 6 2 2 6 3 2" xfId="20544"/>
    <cellStyle name="Heading 1 2 3 6 2 2 6 3 2 2" xfId="20545"/>
    <cellStyle name="Heading 1 2 3 6 2 2 6 3 3" xfId="20546"/>
    <cellStyle name="Heading 1 2 3 6 2 2 6 4" xfId="20547"/>
    <cellStyle name="Heading 1 2 3 6 2 2 6 4 2" xfId="20548"/>
    <cellStyle name="Heading 1 2 3 6 2 2 6 4 2 2" xfId="20549"/>
    <cellStyle name="Heading 1 2 3 6 2 2 6 4 3" xfId="20550"/>
    <cellStyle name="Heading 1 2 3 6 2 2 6 5" xfId="20551"/>
    <cellStyle name="Heading 1 2 3 6 2 2 6 5 2" xfId="20552"/>
    <cellStyle name="Heading 1 2 3 6 2 2 6 5 2 2" xfId="20553"/>
    <cellStyle name="Heading 1 2 3 6 2 2 6 5 3" xfId="20554"/>
    <cellStyle name="Heading 1 2 3 6 2 2 6 6" xfId="20555"/>
    <cellStyle name="Heading 1 2 3 6 2 2 6 6 2" xfId="20556"/>
    <cellStyle name="Heading 1 2 3 6 2 2 6 6 2 2" xfId="20557"/>
    <cellStyle name="Heading 1 2 3 6 2 2 6 6 3" xfId="20558"/>
    <cellStyle name="Heading 1 2 3 6 2 2 6 7" xfId="20559"/>
    <cellStyle name="Heading 1 2 3 6 2 2 6 7 2" xfId="20560"/>
    <cellStyle name="Heading 1 2 3 6 2 2 6 7 2 2" xfId="20561"/>
    <cellStyle name="Heading 1 2 3 6 2 2 6 7 3" xfId="20562"/>
    <cellStyle name="Heading 1 2 3 6 2 2 6 8" xfId="20563"/>
    <cellStyle name="Heading 1 2 3 6 2 2 6 8 2" xfId="20564"/>
    <cellStyle name="Heading 1 2 3 6 2 2 6 9" xfId="20565"/>
    <cellStyle name="Heading 1 2 3 6 2 2 7" xfId="20566"/>
    <cellStyle name="Heading 1 2 3 6 2 2 7 2" xfId="20567"/>
    <cellStyle name="Heading 1 2 3 6 2 2 7 2 2" xfId="20568"/>
    <cellStyle name="Heading 1 2 3 6 2 2 7 2 2 2" xfId="20569"/>
    <cellStyle name="Heading 1 2 3 6 2 2 7 2 3" xfId="20570"/>
    <cellStyle name="Heading 1 2 3 6 2 2 7 3" xfId="20571"/>
    <cellStyle name="Heading 1 2 3 6 2 2 7 3 2" xfId="20572"/>
    <cellStyle name="Heading 1 2 3 6 2 2 7 3 2 2" xfId="20573"/>
    <cellStyle name="Heading 1 2 3 6 2 2 7 3 3" xfId="20574"/>
    <cellStyle name="Heading 1 2 3 6 2 2 7 4" xfId="20575"/>
    <cellStyle name="Heading 1 2 3 6 2 2 7 4 2" xfId="20576"/>
    <cellStyle name="Heading 1 2 3 6 2 2 7 4 2 2" xfId="20577"/>
    <cellStyle name="Heading 1 2 3 6 2 2 7 4 3" xfId="20578"/>
    <cellStyle name="Heading 1 2 3 6 2 2 7 5" xfId="20579"/>
    <cellStyle name="Heading 1 2 3 6 2 2 7 5 2" xfId="20580"/>
    <cellStyle name="Heading 1 2 3 6 2 2 7 5 2 2" xfId="20581"/>
    <cellStyle name="Heading 1 2 3 6 2 2 7 5 3" xfId="20582"/>
    <cellStyle name="Heading 1 2 3 6 2 2 7 6" xfId="20583"/>
    <cellStyle name="Heading 1 2 3 6 2 2 7 6 2" xfId="20584"/>
    <cellStyle name="Heading 1 2 3 6 2 2 7 6 2 2" xfId="20585"/>
    <cellStyle name="Heading 1 2 3 6 2 2 7 6 3" xfId="20586"/>
    <cellStyle name="Heading 1 2 3 6 2 2 7 7" xfId="20587"/>
    <cellStyle name="Heading 1 2 3 6 2 2 7 7 2" xfId="20588"/>
    <cellStyle name="Heading 1 2 3 6 2 2 7 7 2 2" xfId="20589"/>
    <cellStyle name="Heading 1 2 3 6 2 2 7 7 3" xfId="20590"/>
    <cellStyle name="Heading 1 2 3 6 2 2 7 8" xfId="20591"/>
    <cellStyle name="Heading 1 2 3 6 2 2 7 8 2" xfId="20592"/>
    <cellStyle name="Heading 1 2 3 6 2 2 7 9" xfId="20593"/>
    <cellStyle name="Heading 1 2 3 6 2 2 8" xfId="20594"/>
    <cellStyle name="Heading 1 2 3 6 2 2 8 2" xfId="20595"/>
    <cellStyle name="Heading 1 2 3 6 2 2 8 2 2" xfId="20596"/>
    <cellStyle name="Heading 1 2 3 6 2 2 8 2 2 2" xfId="20597"/>
    <cellStyle name="Heading 1 2 3 6 2 2 8 2 3" xfId="20598"/>
    <cellStyle name="Heading 1 2 3 6 2 2 8 3" xfId="20599"/>
    <cellStyle name="Heading 1 2 3 6 2 2 8 3 2" xfId="20600"/>
    <cellStyle name="Heading 1 2 3 6 2 2 8 3 2 2" xfId="20601"/>
    <cellStyle name="Heading 1 2 3 6 2 2 8 3 3" xfId="20602"/>
    <cellStyle name="Heading 1 2 3 6 2 2 8 4" xfId="20603"/>
    <cellStyle name="Heading 1 2 3 6 2 2 8 4 2" xfId="20604"/>
    <cellStyle name="Heading 1 2 3 6 2 2 8 4 2 2" xfId="20605"/>
    <cellStyle name="Heading 1 2 3 6 2 2 8 4 3" xfId="20606"/>
    <cellStyle name="Heading 1 2 3 6 2 2 8 5" xfId="20607"/>
    <cellStyle name="Heading 1 2 3 6 2 2 8 5 2" xfId="20608"/>
    <cellStyle name="Heading 1 2 3 6 2 2 8 5 2 2" xfId="20609"/>
    <cellStyle name="Heading 1 2 3 6 2 2 8 5 3" xfId="20610"/>
    <cellStyle name="Heading 1 2 3 6 2 2 8 6" xfId="20611"/>
    <cellStyle name="Heading 1 2 3 6 2 2 8 6 2" xfId="20612"/>
    <cellStyle name="Heading 1 2 3 6 2 2 8 6 2 2" xfId="20613"/>
    <cellStyle name="Heading 1 2 3 6 2 2 8 6 3" xfId="20614"/>
    <cellStyle name="Heading 1 2 3 6 2 2 8 7" xfId="20615"/>
    <cellStyle name="Heading 1 2 3 6 2 2 8 7 2" xfId="20616"/>
    <cellStyle name="Heading 1 2 3 6 2 2 8 7 2 2" xfId="20617"/>
    <cellStyle name="Heading 1 2 3 6 2 2 8 7 3" xfId="20618"/>
    <cellStyle name="Heading 1 2 3 6 2 2 8 8" xfId="20619"/>
    <cellStyle name="Heading 1 2 3 6 2 2 8 8 2" xfId="20620"/>
    <cellStyle name="Heading 1 2 3 6 2 2 8 9" xfId="20621"/>
    <cellStyle name="Heading 1 2 3 6 2 2 9" xfId="20622"/>
    <cellStyle name="Heading 1 2 3 6 2 2 9 2" xfId="20623"/>
    <cellStyle name="Heading 1 2 3 6 2 2 9 2 2" xfId="20624"/>
    <cellStyle name="Heading 1 2 3 6 2 2 9 3" xfId="20625"/>
    <cellStyle name="Heading 1 2 3 6 2 20" xfId="20626"/>
    <cellStyle name="Heading 1 2 3 6 2 20 2" xfId="20627"/>
    <cellStyle name="Heading 1 2 3 6 2 21" xfId="20628"/>
    <cellStyle name="Heading 1 2 3 6 2 21 2" xfId="20629"/>
    <cellStyle name="Heading 1 2 3 6 2 22" xfId="20630"/>
    <cellStyle name="Heading 1 2 3 6 2 22 2" xfId="20631"/>
    <cellStyle name="Heading 1 2 3 6 2 23" xfId="20632"/>
    <cellStyle name="Heading 1 2 3 6 2 3" xfId="20633"/>
    <cellStyle name="Heading 1 2 3 6 2 3 2" xfId="20634"/>
    <cellStyle name="Heading 1 2 3 6 2 3 2 2" xfId="20635"/>
    <cellStyle name="Heading 1 2 3 6 2 3 2 2 2" xfId="20636"/>
    <cellStyle name="Heading 1 2 3 6 2 3 2 3" xfId="20637"/>
    <cellStyle name="Heading 1 2 3 6 2 3 3" xfId="20638"/>
    <cellStyle name="Heading 1 2 3 6 2 3 3 2" xfId="20639"/>
    <cellStyle name="Heading 1 2 3 6 2 3 3 2 2" xfId="20640"/>
    <cellStyle name="Heading 1 2 3 6 2 3 3 3" xfId="20641"/>
    <cellStyle name="Heading 1 2 3 6 2 3 4" xfId="20642"/>
    <cellStyle name="Heading 1 2 3 6 2 3 4 2" xfId="20643"/>
    <cellStyle name="Heading 1 2 3 6 2 3 4 2 2" xfId="20644"/>
    <cellStyle name="Heading 1 2 3 6 2 3 4 3" xfId="20645"/>
    <cellStyle name="Heading 1 2 3 6 2 3 5" xfId="20646"/>
    <cellStyle name="Heading 1 2 3 6 2 3 5 2" xfId="20647"/>
    <cellStyle name="Heading 1 2 3 6 2 3 5 2 2" xfId="20648"/>
    <cellStyle name="Heading 1 2 3 6 2 3 5 3" xfId="20649"/>
    <cellStyle name="Heading 1 2 3 6 2 3 6" xfId="20650"/>
    <cellStyle name="Heading 1 2 3 6 2 3 6 2" xfId="20651"/>
    <cellStyle name="Heading 1 2 3 6 2 3 6 2 2" xfId="20652"/>
    <cellStyle name="Heading 1 2 3 6 2 3 6 3" xfId="20653"/>
    <cellStyle name="Heading 1 2 3 6 2 3 7" xfId="20654"/>
    <cellStyle name="Heading 1 2 3 6 2 3 7 2" xfId="20655"/>
    <cellStyle name="Heading 1 2 3 6 2 3 7 2 2" xfId="20656"/>
    <cellStyle name="Heading 1 2 3 6 2 3 7 3" xfId="20657"/>
    <cellStyle name="Heading 1 2 3 6 2 3 8" xfId="20658"/>
    <cellStyle name="Heading 1 2 3 6 2 3 8 2" xfId="20659"/>
    <cellStyle name="Heading 1 2 3 6 2 3 9" xfId="20660"/>
    <cellStyle name="Heading 1 2 3 6 2 4" xfId="20661"/>
    <cellStyle name="Heading 1 2 3 6 2 4 2" xfId="20662"/>
    <cellStyle name="Heading 1 2 3 6 2 4 2 2" xfId="20663"/>
    <cellStyle name="Heading 1 2 3 6 2 4 2 2 2" xfId="20664"/>
    <cellStyle name="Heading 1 2 3 6 2 4 2 3" xfId="20665"/>
    <cellStyle name="Heading 1 2 3 6 2 4 3" xfId="20666"/>
    <cellStyle name="Heading 1 2 3 6 2 4 3 2" xfId="20667"/>
    <cellStyle name="Heading 1 2 3 6 2 4 3 2 2" xfId="20668"/>
    <cellStyle name="Heading 1 2 3 6 2 4 3 3" xfId="20669"/>
    <cellStyle name="Heading 1 2 3 6 2 4 4" xfId="20670"/>
    <cellStyle name="Heading 1 2 3 6 2 4 4 2" xfId="20671"/>
    <cellStyle name="Heading 1 2 3 6 2 4 4 2 2" xfId="20672"/>
    <cellStyle name="Heading 1 2 3 6 2 4 4 3" xfId="20673"/>
    <cellStyle name="Heading 1 2 3 6 2 4 5" xfId="20674"/>
    <cellStyle name="Heading 1 2 3 6 2 4 5 2" xfId="20675"/>
    <cellStyle name="Heading 1 2 3 6 2 4 5 2 2" xfId="20676"/>
    <cellStyle name="Heading 1 2 3 6 2 4 5 3" xfId="20677"/>
    <cellStyle name="Heading 1 2 3 6 2 4 6" xfId="20678"/>
    <cellStyle name="Heading 1 2 3 6 2 4 6 2" xfId="20679"/>
    <cellStyle name="Heading 1 2 3 6 2 4 6 2 2" xfId="20680"/>
    <cellStyle name="Heading 1 2 3 6 2 4 6 3" xfId="20681"/>
    <cellStyle name="Heading 1 2 3 6 2 4 7" xfId="20682"/>
    <cellStyle name="Heading 1 2 3 6 2 4 7 2" xfId="20683"/>
    <cellStyle name="Heading 1 2 3 6 2 4 7 2 2" xfId="20684"/>
    <cellStyle name="Heading 1 2 3 6 2 4 7 3" xfId="20685"/>
    <cellStyle name="Heading 1 2 3 6 2 4 8" xfId="20686"/>
    <cellStyle name="Heading 1 2 3 6 2 4 8 2" xfId="20687"/>
    <cellStyle name="Heading 1 2 3 6 2 4 9" xfId="20688"/>
    <cellStyle name="Heading 1 2 3 6 2 5" xfId="20689"/>
    <cellStyle name="Heading 1 2 3 6 2 5 2" xfId="20690"/>
    <cellStyle name="Heading 1 2 3 6 2 5 2 2" xfId="20691"/>
    <cellStyle name="Heading 1 2 3 6 2 5 2 2 2" xfId="20692"/>
    <cellStyle name="Heading 1 2 3 6 2 5 2 3" xfId="20693"/>
    <cellStyle name="Heading 1 2 3 6 2 5 3" xfId="20694"/>
    <cellStyle name="Heading 1 2 3 6 2 5 3 2" xfId="20695"/>
    <cellStyle name="Heading 1 2 3 6 2 5 3 2 2" xfId="20696"/>
    <cellStyle name="Heading 1 2 3 6 2 5 3 3" xfId="20697"/>
    <cellStyle name="Heading 1 2 3 6 2 5 4" xfId="20698"/>
    <cellStyle name="Heading 1 2 3 6 2 5 4 2" xfId="20699"/>
    <cellStyle name="Heading 1 2 3 6 2 5 4 2 2" xfId="20700"/>
    <cellStyle name="Heading 1 2 3 6 2 5 4 3" xfId="20701"/>
    <cellStyle name="Heading 1 2 3 6 2 5 5" xfId="20702"/>
    <cellStyle name="Heading 1 2 3 6 2 5 5 2" xfId="20703"/>
    <cellStyle name="Heading 1 2 3 6 2 5 5 2 2" xfId="20704"/>
    <cellStyle name="Heading 1 2 3 6 2 5 5 3" xfId="20705"/>
    <cellStyle name="Heading 1 2 3 6 2 5 6" xfId="20706"/>
    <cellStyle name="Heading 1 2 3 6 2 5 6 2" xfId="20707"/>
    <cellStyle name="Heading 1 2 3 6 2 5 6 2 2" xfId="20708"/>
    <cellStyle name="Heading 1 2 3 6 2 5 6 3" xfId="20709"/>
    <cellStyle name="Heading 1 2 3 6 2 5 7" xfId="20710"/>
    <cellStyle name="Heading 1 2 3 6 2 5 7 2" xfId="20711"/>
    <cellStyle name="Heading 1 2 3 6 2 5 7 2 2" xfId="20712"/>
    <cellStyle name="Heading 1 2 3 6 2 5 7 3" xfId="20713"/>
    <cellStyle name="Heading 1 2 3 6 2 5 8" xfId="20714"/>
    <cellStyle name="Heading 1 2 3 6 2 5 8 2" xfId="20715"/>
    <cellStyle name="Heading 1 2 3 6 2 5 9" xfId="20716"/>
    <cellStyle name="Heading 1 2 3 6 2 6" xfId="20717"/>
    <cellStyle name="Heading 1 2 3 6 2 6 2" xfId="20718"/>
    <cellStyle name="Heading 1 2 3 6 2 6 2 2" xfId="20719"/>
    <cellStyle name="Heading 1 2 3 6 2 6 2 2 2" xfId="20720"/>
    <cellStyle name="Heading 1 2 3 6 2 6 2 3" xfId="20721"/>
    <cellStyle name="Heading 1 2 3 6 2 6 3" xfId="20722"/>
    <cellStyle name="Heading 1 2 3 6 2 6 3 2" xfId="20723"/>
    <cellStyle name="Heading 1 2 3 6 2 6 3 2 2" xfId="20724"/>
    <cellStyle name="Heading 1 2 3 6 2 6 3 3" xfId="20725"/>
    <cellStyle name="Heading 1 2 3 6 2 6 4" xfId="20726"/>
    <cellStyle name="Heading 1 2 3 6 2 6 4 2" xfId="20727"/>
    <cellStyle name="Heading 1 2 3 6 2 6 4 2 2" xfId="20728"/>
    <cellStyle name="Heading 1 2 3 6 2 6 4 3" xfId="20729"/>
    <cellStyle name="Heading 1 2 3 6 2 6 5" xfId="20730"/>
    <cellStyle name="Heading 1 2 3 6 2 6 5 2" xfId="20731"/>
    <cellStyle name="Heading 1 2 3 6 2 6 5 2 2" xfId="20732"/>
    <cellStyle name="Heading 1 2 3 6 2 6 5 3" xfId="20733"/>
    <cellStyle name="Heading 1 2 3 6 2 6 6" xfId="20734"/>
    <cellStyle name="Heading 1 2 3 6 2 6 6 2" xfId="20735"/>
    <cellStyle name="Heading 1 2 3 6 2 6 6 2 2" xfId="20736"/>
    <cellStyle name="Heading 1 2 3 6 2 6 6 3" xfId="20737"/>
    <cellStyle name="Heading 1 2 3 6 2 6 7" xfId="20738"/>
    <cellStyle name="Heading 1 2 3 6 2 6 7 2" xfId="20739"/>
    <cellStyle name="Heading 1 2 3 6 2 6 7 2 2" xfId="20740"/>
    <cellStyle name="Heading 1 2 3 6 2 6 7 3" xfId="20741"/>
    <cellStyle name="Heading 1 2 3 6 2 6 8" xfId="20742"/>
    <cellStyle name="Heading 1 2 3 6 2 6 8 2" xfId="20743"/>
    <cellStyle name="Heading 1 2 3 6 2 6 9" xfId="20744"/>
    <cellStyle name="Heading 1 2 3 6 2 7" xfId="20745"/>
    <cellStyle name="Heading 1 2 3 6 2 7 2" xfId="20746"/>
    <cellStyle name="Heading 1 2 3 6 2 7 2 2" xfId="20747"/>
    <cellStyle name="Heading 1 2 3 6 2 7 2 2 2" xfId="20748"/>
    <cellStyle name="Heading 1 2 3 6 2 7 2 3" xfId="20749"/>
    <cellStyle name="Heading 1 2 3 6 2 7 3" xfId="20750"/>
    <cellStyle name="Heading 1 2 3 6 2 7 3 2" xfId="20751"/>
    <cellStyle name="Heading 1 2 3 6 2 7 3 2 2" xfId="20752"/>
    <cellStyle name="Heading 1 2 3 6 2 7 3 3" xfId="20753"/>
    <cellStyle name="Heading 1 2 3 6 2 7 4" xfId="20754"/>
    <cellStyle name="Heading 1 2 3 6 2 7 4 2" xfId="20755"/>
    <cellStyle name="Heading 1 2 3 6 2 7 4 2 2" xfId="20756"/>
    <cellStyle name="Heading 1 2 3 6 2 7 4 3" xfId="20757"/>
    <cellStyle name="Heading 1 2 3 6 2 7 5" xfId="20758"/>
    <cellStyle name="Heading 1 2 3 6 2 7 5 2" xfId="20759"/>
    <cellStyle name="Heading 1 2 3 6 2 7 5 2 2" xfId="20760"/>
    <cellStyle name="Heading 1 2 3 6 2 7 5 3" xfId="20761"/>
    <cellStyle name="Heading 1 2 3 6 2 7 6" xfId="20762"/>
    <cellStyle name="Heading 1 2 3 6 2 7 6 2" xfId="20763"/>
    <cellStyle name="Heading 1 2 3 6 2 7 6 2 2" xfId="20764"/>
    <cellStyle name="Heading 1 2 3 6 2 7 6 3" xfId="20765"/>
    <cellStyle name="Heading 1 2 3 6 2 7 7" xfId="20766"/>
    <cellStyle name="Heading 1 2 3 6 2 7 7 2" xfId="20767"/>
    <cellStyle name="Heading 1 2 3 6 2 7 7 2 2" xfId="20768"/>
    <cellStyle name="Heading 1 2 3 6 2 7 7 3" xfId="20769"/>
    <cellStyle name="Heading 1 2 3 6 2 7 8" xfId="20770"/>
    <cellStyle name="Heading 1 2 3 6 2 7 8 2" xfId="20771"/>
    <cellStyle name="Heading 1 2 3 6 2 7 9" xfId="20772"/>
    <cellStyle name="Heading 1 2 3 6 2 8" xfId="20773"/>
    <cellStyle name="Heading 1 2 3 6 2 8 2" xfId="20774"/>
    <cellStyle name="Heading 1 2 3 6 2 8 2 2" xfId="20775"/>
    <cellStyle name="Heading 1 2 3 6 2 8 2 2 2" xfId="20776"/>
    <cellStyle name="Heading 1 2 3 6 2 8 2 3" xfId="20777"/>
    <cellStyle name="Heading 1 2 3 6 2 8 3" xfId="20778"/>
    <cellStyle name="Heading 1 2 3 6 2 8 3 2" xfId="20779"/>
    <cellStyle name="Heading 1 2 3 6 2 8 3 2 2" xfId="20780"/>
    <cellStyle name="Heading 1 2 3 6 2 8 3 3" xfId="20781"/>
    <cellStyle name="Heading 1 2 3 6 2 8 4" xfId="20782"/>
    <cellStyle name="Heading 1 2 3 6 2 8 4 2" xfId="20783"/>
    <cellStyle name="Heading 1 2 3 6 2 8 4 2 2" xfId="20784"/>
    <cellStyle name="Heading 1 2 3 6 2 8 4 3" xfId="20785"/>
    <cellStyle name="Heading 1 2 3 6 2 8 5" xfId="20786"/>
    <cellStyle name="Heading 1 2 3 6 2 8 5 2" xfId="20787"/>
    <cellStyle name="Heading 1 2 3 6 2 8 5 2 2" xfId="20788"/>
    <cellStyle name="Heading 1 2 3 6 2 8 5 3" xfId="20789"/>
    <cellStyle name="Heading 1 2 3 6 2 8 6" xfId="20790"/>
    <cellStyle name="Heading 1 2 3 6 2 8 6 2" xfId="20791"/>
    <cellStyle name="Heading 1 2 3 6 2 8 6 2 2" xfId="20792"/>
    <cellStyle name="Heading 1 2 3 6 2 8 6 3" xfId="20793"/>
    <cellStyle name="Heading 1 2 3 6 2 8 7" xfId="20794"/>
    <cellStyle name="Heading 1 2 3 6 2 8 7 2" xfId="20795"/>
    <cellStyle name="Heading 1 2 3 6 2 8 7 2 2" xfId="20796"/>
    <cellStyle name="Heading 1 2 3 6 2 8 7 3" xfId="20797"/>
    <cellStyle name="Heading 1 2 3 6 2 8 8" xfId="20798"/>
    <cellStyle name="Heading 1 2 3 6 2 8 8 2" xfId="20799"/>
    <cellStyle name="Heading 1 2 3 6 2 8 9" xfId="20800"/>
    <cellStyle name="Heading 1 2 3 6 2 9" xfId="20801"/>
    <cellStyle name="Heading 1 2 3 6 2 9 2" xfId="20802"/>
    <cellStyle name="Heading 1 2 3 6 2 9 2 2" xfId="20803"/>
    <cellStyle name="Heading 1 2 3 6 2 9 2 2 2" xfId="20804"/>
    <cellStyle name="Heading 1 2 3 6 2 9 2 3" xfId="20805"/>
    <cellStyle name="Heading 1 2 3 6 2 9 3" xfId="20806"/>
    <cellStyle name="Heading 1 2 3 6 2 9 3 2" xfId="20807"/>
    <cellStyle name="Heading 1 2 3 6 2 9 3 2 2" xfId="20808"/>
    <cellStyle name="Heading 1 2 3 6 2 9 3 3" xfId="20809"/>
    <cellStyle name="Heading 1 2 3 6 2 9 4" xfId="20810"/>
    <cellStyle name="Heading 1 2 3 6 2 9 4 2" xfId="20811"/>
    <cellStyle name="Heading 1 2 3 6 2 9 4 2 2" xfId="20812"/>
    <cellStyle name="Heading 1 2 3 6 2 9 4 3" xfId="20813"/>
    <cellStyle name="Heading 1 2 3 6 2 9 5" xfId="20814"/>
    <cellStyle name="Heading 1 2 3 6 2 9 5 2" xfId="20815"/>
    <cellStyle name="Heading 1 2 3 6 2 9 5 2 2" xfId="20816"/>
    <cellStyle name="Heading 1 2 3 6 2 9 5 3" xfId="20817"/>
    <cellStyle name="Heading 1 2 3 6 2 9 6" xfId="20818"/>
    <cellStyle name="Heading 1 2 3 6 2 9 6 2" xfId="20819"/>
    <cellStyle name="Heading 1 2 3 6 2 9 6 2 2" xfId="20820"/>
    <cellStyle name="Heading 1 2 3 6 2 9 6 3" xfId="20821"/>
    <cellStyle name="Heading 1 2 3 6 2 9 7" xfId="20822"/>
    <cellStyle name="Heading 1 2 3 6 2 9 7 2" xfId="20823"/>
    <cellStyle name="Heading 1 2 3 6 2 9 7 2 2" xfId="20824"/>
    <cellStyle name="Heading 1 2 3 6 2 9 7 3" xfId="20825"/>
    <cellStyle name="Heading 1 2 3 6 2 9 8" xfId="20826"/>
    <cellStyle name="Heading 1 2 3 6 2 9 8 2" xfId="20827"/>
    <cellStyle name="Heading 1 2 3 6 2 9 9" xfId="20828"/>
    <cellStyle name="Heading 1 2 3 6 3" xfId="20829"/>
    <cellStyle name="Heading 1 2 3 6 3 10" xfId="20830"/>
    <cellStyle name="Heading 1 2 3 6 3 10 2" xfId="20831"/>
    <cellStyle name="Heading 1 2 3 6 3 10 2 2" xfId="20832"/>
    <cellStyle name="Heading 1 2 3 6 3 10 3" xfId="20833"/>
    <cellStyle name="Heading 1 2 3 6 3 11" xfId="20834"/>
    <cellStyle name="Heading 1 2 3 6 3 11 2" xfId="20835"/>
    <cellStyle name="Heading 1 2 3 6 3 11 2 2" xfId="20836"/>
    <cellStyle name="Heading 1 2 3 6 3 11 3" xfId="20837"/>
    <cellStyle name="Heading 1 2 3 6 3 12" xfId="20838"/>
    <cellStyle name="Heading 1 2 3 6 3 12 2" xfId="20839"/>
    <cellStyle name="Heading 1 2 3 6 3 12 2 2" xfId="20840"/>
    <cellStyle name="Heading 1 2 3 6 3 12 3" xfId="20841"/>
    <cellStyle name="Heading 1 2 3 6 3 13" xfId="20842"/>
    <cellStyle name="Heading 1 2 3 6 3 13 2" xfId="20843"/>
    <cellStyle name="Heading 1 2 3 6 3 13 2 2" xfId="20844"/>
    <cellStyle name="Heading 1 2 3 6 3 13 3" xfId="20845"/>
    <cellStyle name="Heading 1 2 3 6 3 14" xfId="20846"/>
    <cellStyle name="Heading 1 2 3 6 3 14 2" xfId="20847"/>
    <cellStyle name="Heading 1 2 3 6 3 14 2 2" xfId="20848"/>
    <cellStyle name="Heading 1 2 3 6 3 14 3" xfId="20849"/>
    <cellStyle name="Heading 1 2 3 6 3 15" xfId="20850"/>
    <cellStyle name="Heading 1 2 3 6 3 15 2" xfId="20851"/>
    <cellStyle name="Heading 1 2 3 6 3 15 2 2" xfId="20852"/>
    <cellStyle name="Heading 1 2 3 6 3 15 3" xfId="20853"/>
    <cellStyle name="Heading 1 2 3 6 3 16" xfId="20854"/>
    <cellStyle name="Heading 1 2 3 6 3 16 2" xfId="20855"/>
    <cellStyle name="Heading 1 2 3 6 3 16 2 2" xfId="20856"/>
    <cellStyle name="Heading 1 2 3 6 3 16 3" xfId="20857"/>
    <cellStyle name="Heading 1 2 3 6 3 17" xfId="20858"/>
    <cellStyle name="Heading 1 2 3 6 3 17 2" xfId="20859"/>
    <cellStyle name="Heading 1 2 3 6 3 17 2 2" xfId="20860"/>
    <cellStyle name="Heading 1 2 3 6 3 17 3" xfId="20861"/>
    <cellStyle name="Heading 1 2 3 6 3 18" xfId="20862"/>
    <cellStyle name="Heading 1 2 3 6 3 18 2" xfId="20863"/>
    <cellStyle name="Heading 1 2 3 6 3 18 2 2" xfId="20864"/>
    <cellStyle name="Heading 1 2 3 6 3 18 3" xfId="20865"/>
    <cellStyle name="Heading 1 2 3 6 3 19" xfId="20866"/>
    <cellStyle name="Heading 1 2 3 6 3 19 2" xfId="20867"/>
    <cellStyle name="Heading 1 2 3 6 3 2" xfId="20868"/>
    <cellStyle name="Heading 1 2 3 6 3 2 2" xfId="20869"/>
    <cellStyle name="Heading 1 2 3 6 3 2 2 2" xfId="20870"/>
    <cellStyle name="Heading 1 2 3 6 3 2 2 2 2" xfId="20871"/>
    <cellStyle name="Heading 1 2 3 6 3 2 2 3" xfId="20872"/>
    <cellStyle name="Heading 1 2 3 6 3 2 3" xfId="20873"/>
    <cellStyle name="Heading 1 2 3 6 3 2 3 2" xfId="20874"/>
    <cellStyle name="Heading 1 2 3 6 3 2 3 2 2" xfId="20875"/>
    <cellStyle name="Heading 1 2 3 6 3 2 3 3" xfId="20876"/>
    <cellStyle name="Heading 1 2 3 6 3 2 4" xfId="20877"/>
    <cellStyle name="Heading 1 2 3 6 3 2 4 2" xfId="20878"/>
    <cellStyle name="Heading 1 2 3 6 3 2 4 2 2" xfId="20879"/>
    <cellStyle name="Heading 1 2 3 6 3 2 4 3" xfId="20880"/>
    <cellStyle name="Heading 1 2 3 6 3 2 5" xfId="20881"/>
    <cellStyle name="Heading 1 2 3 6 3 2 5 2" xfId="20882"/>
    <cellStyle name="Heading 1 2 3 6 3 2 5 2 2" xfId="20883"/>
    <cellStyle name="Heading 1 2 3 6 3 2 5 3" xfId="20884"/>
    <cellStyle name="Heading 1 2 3 6 3 2 6" xfId="20885"/>
    <cellStyle name="Heading 1 2 3 6 3 2 6 2" xfId="20886"/>
    <cellStyle name="Heading 1 2 3 6 3 2 6 2 2" xfId="20887"/>
    <cellStyle name="Heading 1 2 3 6 3 2 6 3" xfId="20888"/>
    <cellStyle name="Heading 1 2 3 6 3 2 7" xfId="20889"/>
    <cellStyle name="Heading 1 2 3 6 3 2 7 2" xfId="20890"/>
    <cellStyle name="Heading 1 2 3 6 3 2 7 2 2" xfId="20891"/>
    <cellStyle name="Heading 1 2 3 6 3 2 7 3" xfId="20892"/>
    <cellStyle name="Heading 1 2 3 6 3 2 8" xfId="20893"/>
    <cellStyle name="Heading 1 2 3 6 3 2 8 2" xfId="20894"/>
    <cellStyle name="Heading 1 2 3 6 3 2 9" xfId="20895"/>
    <cellStyle name="Heading 1 2 3 6 3 20" xfId="20896"/>
    <cellStyle name="Heading 1 2 3 6 3 20 2" xfId="20897"/>
    <cellStyle name="Heading 1 2 3 6 3 21" xfId="20898"/>
    <cellStyle name="Heading 1 2 3 6 3 21 2" xfId="20899"/>
    <cellStyle name="Heading 1 2 3 6 3 22" xfId="20900"/>
    <cellStyle name="Heading 1 2 3 6 3 3" xfId="20901"/>
    <cellStyle name="Heading 1 2 3 6 3 3 2" xfId="20902"/>
    <cellStyle name="Heading 1 2 3 6 3 3 2 2" xfId="20903"/>
    <cellStyle name="Heading 1 2 3 6 3 3 2 2 2" xfId="20904"/>
    <cellStyle name="Heading 1 2 3 6 3 3 2 3" xfId="20905"/>
    <cellStyle name="Heading 1 2 3 6 3 3 3" xfId="20906"/>
    <cellStyle name="Heading 1 2 3 6 3 3 3 2" xfId="20907"/>
    <cellStyle name="Heading 1 2 3 6 3 3 3 2 2" xfId="20908"/>
    <cellStyle name="Heading 1 2 3 6 3 3 3 3" xfId="20909"/>
    <cellStyle name="Heading 1 2 3 6 3 3 4" xfId="20910"/>
    <cellStyle name="Heading 1 2 3 6 3 3 4 2" xfId="20911"/>
    <cellStyle name="Heading 1 2 3 6 3 3 4 2 2" xfId="20912"/>
    <cellStyle name="Heading 1 2 3 6 3 3 4 3" xfId="20913"/>
    <cellStyle name="Heading 1 2 3 6 3 3 5" xfId="20914"/>
    <cellStyle name="Heading 1 2 3 6 3 3 5 2" xfId="20915"/>
    <cellStyle name="Heading 1 2 3 6 3 3 5 2 2" xfId="20916"/>
    <cellStyle name="Heading 1 2 3 6 3 3 5 3" xfId="20917"/>
    <cellStyle name="Heading 1 2 3 6 3 3 6" xfId="20918"/>
    <cellStyle name="Heading 1 2 3 6 3 3 6 2" xfId="20919"/>
    <cellStyle name="Heading 1 2 3 6 3 3 6 2 2" xfId="20920"/>
    <cellStyle name="Heading 1 2 3 6 3 3 6 3" xfId="20921"/>
    <cellStyle name="Heading 1 2 3 6 3 3 7" xfId="20922"/>
    <cellStyle name="Heading 1 2 3 6 3 3 7 2" xfId="20923"/>
    <cellStyle name="Heading 1 2 3 6 3 3 7 2 2" xfId="20924"/>
    <cellStyle name="Heading 1 2 3 6 3 3 7 3" xfId="20925"/>
    <cellStyle name="Heading 1 2 3 6 3 3 8" xfId="20926"/>
    <cellStyle name="Heading 1 2 3 6 3 3 8 2" xfId="20927"/>
    <cellStyle name="Heading 1 2 3 6 3 3 9" xfId="20928"/>
    <cellStyle name="Heading 1 2 3 6 3 4" xfId="20929"/>
    <cellStyle name="Heading 1 2 3 6 3 4 2" xfId="20930"/>
    <cellStyle name="Heading 1 2 3 6 3 4 2 2" xfId="20931"/>
    <cellStyle name="Heading 1 2 3 6 3 4 2 2 2" xfId="20932"/>
    <cellStyle name="Heading 1 2 3 6 3 4 2 3" xfId="20933"/>
    <cellStyle name="Heading 1 2 3 6 3 4 3" xfId="20934"/>
    <cellStyle name="Heading 1 2 3 6 3 4 3 2" xfId="20935"/>
    <cellStyle name="Heading 1 2 3 6 3 4 3 2 2" xfId="20936"/>
    <cellStyle name="Heading 1 2 3 6 3 4 3 3" xfId="20937"/>
    <cellStyle name="Heading 1 2 3 6 3 4 4" xfId="20938"/>
    <cellStyle name="Heading 1 2 3 6 3 4 4 2" xfId="20939"/>
    <cellStyle name="Heading 1 2 3 6 3 4 4 2 2" xfId="20940"/>
    <cellStyle name="Heading 1 2 3 6 3 4 4 3" xfId="20941"/>
    <cellStyle name="Heading 1 2 3 6 3 4 5" xfId="20942"/>
    <cellStyle name="Heading 1 2 3 6 3 4 5 2" xfId="20943"/>
    <cellStyle name="Heading 1 2 3 6 3 4 5 2 2" xfId="20944"/>
    <cellStyle name="Heading 1 2 3 6 3 4 5 3" xfId="20945"/>
    <cellStyle name="Heading 1 2 3 6 3 4 6" xfId="20946"/>
    <cellStyle name="Heading 1 2 3 6 3 4 6 2" xfId="20947"/>
    <cellStyle name="Heading 1 2 3 6 3 4 6 2 2" xfId="20948"/>
    <cellStyle name="Heading 1 2 3 6 3 4 6 3" xfId="20949"/>
    <cellStyle name="Heading 1 2 3 6 3 4 7" xfId="20950"/>
    <cellStyle name="Heading 1 2 3 6 3 4 7 2" xfId="20951"/>
    <cellStyle name="Heading 1 2 3 6 3 4 7 2 2" xfId="20952"/>
    <cellStyle name="Heading 1 2 3 6 3 4 7 3" xfId="20953"/>
    <cellStyle name="Heading 1 2 3 6 3 4 8" xfId="20954"/>
    <cellStyle name="Heading 1 2 3 6 3 4 8 2" xfId="20955"/>
    <cellStyle name="Heading 1 2 3 6 3 4 9" xfId="20956"/>
    <cellStyle name="Heading 1 2 3 6 3 5" xfId="20957"/>
    <cellStyle name="Heading 1 2 3 6 3 5 2" xfId="20958"/>
    <cellStyle name="Heading 1 2 3 6 3 5 2 2" xfId="20959"/>
    <cellStyle name="Heading 1 2 3 6 3 5 2 2 2" xfId="20960"/>
    <cellStyle name="Heading 1 2 3 6 3 5 2 3" xfId="20961"/>
    <cellStyle name="Heading 1 2 3 6 3 5 3" xfId="20962"/>
    <cellStyle name="Heading 1 2 3 6 3 5 3 2" xfId="20963"/>
    <cellStyle name="Heading 1 2 3 6 3 5 3 2 2" xfId="20964"/>
    <cellStyle name="Heading 1 2 3 6 3 5 3 3" xfId="20965"/>
    <cellStyle name="Heading 1 2 3 6 3 5 4" xfId="20966"/>
    <cellStyle name="Heading 1 2 3 6 3 5 4 2" xfId="20967"/>
    <cellStyle name="Heading 1 2 3 6 3 5 4 2 2" xfId="20968"/>
    <cellStyle name="Heading 1 2 3 6 3 5 4 3" xfId="20969"/>
    <cellStyle name="Heading 1 2 3 6 3 5 5" xfId="20970"/>
    <cellStyle name="Heading 1 2 3 6 3 5 5 2" xfId="20971"/>
    <cellStyle name="Heading 1 2 3 6 3 5 5 2 2" xfId="20972"/>
    <cellStyle name="Heading 1 2 3 6 3 5 5 3" xfId="20973"/>
    <cellStyle name="Heading 1 2 3 6 3 5 6" xfId="20974"/>
    <cellStyle name="Heading 1 2 3 6 3 5 6 2" xfId="20975"/>
    <cellStyle name="Heading 1 2 3 6 3 5 6 2 2" xfId="20976"/>
    <cellStyle name="Heading 1 2 3 6 3 5 6 3" xfId="20977"/>
    <cellStyle name="Heading 1 2 3 6 3 5 7" xfId="20978"/>
    <cellStyle name="Heading 1 2 3 6 3 5 7 2" xfId="20979"/>
    <cellStyle name="Heading 1 2 3 6 3 5 7 2 2" xfId="20980"/>
    <cellStyle name="Heading 1 2 3 6 3 5 7 3" xfId="20981"/>
    <cellStyle name="Heading 1 2 3 6 3 5 8" xfId="20982"/>
    <cellStyle name="Heading 1 2 3 6 3 5 8 2" xfId="20983"/>
    <cellStyle name="Heading 1 2 3 6 3 5 9" xfId="20984"/>
    <cellStyle name="Heading 1 2 3 6 3 6" xfId="20985"/>
    <cellStyle name="Heading 1 2 3 6 3 6 2" xfId="20986"/>
    <cellStyle name="Heading 1 2 3 6 3 6 2 2" xfId="20987"/>
    <cellStyle name="Heading 1 2 3 6 3 6 2 2 2" xfId="20988"/>
    <cellStyle name="Heading 1 2 3 6 3 6 2 3" xfId="20989"/>
    <cellStyle name="Heading 1 2 3 6 3 6 3" xfId="20990"/>
    <cellStyle name="Heading 1 2 3 6 3 6 3 2" xfId="20991"/>
    <cellStyle name="Heading 1 2 3 6 3 6 3 2 2" xfId="20992"/>
    <cellStyle name="Heading 1 2 3 6 3 6 3 3" xfId="20993"/>
    <cellStyle name="Heading 1 2 3 6 3 6 4" xfId="20994"/>
    <cellStyle name="Heading 1 2 3 6 3 6 4 2" xfId="20995"/>
    <cellStyle name="Heading 1 2 3 6 3 6 4 2 2" xfId="20996"/>
    <cellStyle name="Heading 1 2 3 6 3 6 4 3" xfId="20997"/>
    <cellStyle name="Heading 1 2 3 6 3 6 5" xfId="20998"/>
    <cellStyle name="Heading 1 2 3 6 3 6 5 2" xfId="20999"/>
    <cellStyle name="Heading 1 2 3 6 3 6 5 2 2" xfId="21000"/>
    <cellStyle name="Heading 1 2 3 6 3 6 5 3" xfId="21001"/>
    <cellStyle name="Heading 1 2 3 6 3 6 6" xfId="21002"/>
    <cellStyle name="Heading 1 2 3 6 3 6 6 2" xfId="21003"/>
    <cellStyle name="Heading 1 2 3 6 3 6 6 2 2" xfId="21004"/>
    <cellStyle name="Heading 1 2 3 6 3 6 6 3" xfId="21005"/>
    <cellStyle name="Heading 1 2 3 6 3 6 7" xfId="21006"/>
    <cellStyle name="Heading 1 2 3 6 3 6 7 2" xfId="21007"/>
    <cellStyle name="Heading 1 2 3 6 3 6 7 2 2" xfId="21008"/>
    <cellStyle name="Heading 1 2 3 6 3 6 7 3" xfId="21009"/>
    <cellStyle name="Heading 1 2 3 6 3 6 8" xfId="21010"/>
    <cellStyle name="Heading 1 2 3 6 3 6 8 2" xfId="21011"/>
    <cellStyle name="Heading 1 2 3 6 3 6 9" xfId="21012"/>
    <cellStyle name="Heading 1 2 3 6 3 7" xfId="21013"/>
    <cellStyle name="Heading 1 2 3 6 3 7 2" xfId="21014"/>
    <cellStyle name="Heading 1 2 3 6 3 7 2 2" xfId="21015"/>
    <cellStyle name="Heading 1 2 3 6 3 7 2 2 2" xfId="21016"/>
    <cellStyle name="Heading 1 2 3 6 3 7 2 3" xfId="21017"/>
    <cellStyle name="Heading 1 2 3 6 3 7 3" xfId="21018"/>
    <cellStyle name="Heading 1 2 3 6 3 7 3 2" xfId="21019"/>
    <cellStyle name="Heading 1 2 3 6 3 7 3 2 2" xfId="21020"/>
    <cellStyle name="Heading 1 2 3 6 3 7 3 3" xfId="21021"/>
    <cellStyle name="Heading 1 2 3 6 3 7 4" xfId="21022"/>
    <cellStyle name="Heading 1 2 3 6 3 7 4 2" xfId="21023"/>
    <cellStyle name="Heading 1 2 3 6 3 7 4 2 2" xfId="21024"/>
    <cellStyle name="Heading 1 2 3 6 3 7 4 3" xfId="21025"/>
    <cellStyle name="Heading 1 2 3 6 3 7 5" xfId="21026"/>
    <cellStyle name="Heading 1 2 3 6 3 7 5 2" xfId="21027"/>
    <cellStyle name="Heading 1 2 3 6 3 7 5 2 2" xfId="21028"/>
    <cellStyle name="Heading 1 2 3 6 3 7 5 3" xfId="21029"/>
    <cellStyle name="Heading 1 2 3 6 3 7 6" xfId="21030"/>
    <cellStyle name="Heading 1 2 3 6 3 7 6 2" xfId="21031"/>
    <cellStyle name="Heading 1 2 3 6 3 7 6 2 2" xfId="21032"/>
    <cellStyle name="Heading 1 2 3 6 3 7 6 3" xfId="21033"/>
    <cellStyle name="Heading 1 2 3 6 3 7 7" xfId="21034"/>
    <cellStyle name="Heading 1 2 3 6 3 7 7 2" xfId="21035"/>
    <cellStyle name="Heading 1 2 3 6 3 7 7 2 2" xfId="21036"/>
    <cellStyle name="Heading 1 2 3 6 3 7 7 3" xfId="21037"/>
    <cellStyle name="Heading 1 2 3 6 3 7 8" xfId="21038"/>
    <cellStyle name="Heading 1 2 3 6 3 7 8 2" xfId="21039"/>
    <cellStyle name="Heading 1 2 3 6 3 7 9" xfId="21040"/>
    <cellStyle name="Heading 1 2 3 6 3 8" xfId="21041"/>
    <cellStyle name="Heading 1 2 3 6 3 8 2" xfId="21042"/>
    <cellStyle name="Heading 1 2 3 6 3 8 2 2" xfId="21043"/>
    <cellStyle name="Heading 1 2 3 6 3 8 2 2 2" xfId="21044"/>
    <cellStyle name="Heading 1 2 3 6 3 8 2 3" xfId="21045"/>
    <cellStyle name="Heading 1 2 3 6 3 8 3" xfId="21046"/>
    <cellStyle name="Heading 1 2 3 6 3 8 3 2" xfId="21047"/>
    <cellStyle name="Heading 1 2 3 6 3 8 3 2 2" xfId="21048"/>
    <cellStyle name="Heading 1 2 3 6 3 8 3 3" xfId="21049"/>
    <cellStyle name="Heading 1 2 3 6 3 8 4" xfId="21050"/>
    <cellStyle name="Heading 1 2 3 6 3 8 4 2" xfId="21051"/>
    <cellStyle name="Heading 1 2 3 6 3 8 4 2 2" xfId="21052"/>
    <cellStyle name="Heading 1 2 3 6 3 8 4 3" xfId="21053"/>
    <cellStyle name="Heading 1 2 3 6 3 8 5" xfId="21054"/>
    <cellStyle name="Heading 1 2 3 6 3 8 5 2" xfId="21055"/>
    <cellStyle name="Heading 1 2 3 6 3 8 5 2 2" xfId="21056"/>
    <cellStyle name="Heading 1 2 3 6 3 8 5 3" xfId="21057"/>
    <cellStyle name="Heading 1 2 3 6 3 8 6" xfId="21058"/>
    <cellStyle name="Heading 1 2 3 6 3 8 6 2" xfId="21059"/>
    <cellStyle name="Heading 1 2 3 6 3 8 6 2 2" xfId="21060"/>
    <cellStyle name="Heading 1 2 3 6 3 8 6 3" xfId="21061"/>
    <cellStyle name="Heading 1 2 3 6 3 8 7" xfId="21062"/>
    <cellStyle name="Heading 1 2 3 6 3 8 7 2" xfId="21063"/>
    <cellStyle name="Heading 1 2 3 6 3 8 7 2 2" xfId="21064"/>
    <cellStyle name="Heading 1 2 3 6 3 8 7 3" xfId="21065"/>
    <cellStyle name="Heading 1 2 3 6 3 8 8" xfId="21066"/>
    <cellStyle name="Heading 1 2 3 6 3 8 8 2" xfId="21067"/>
    <cellStyle name="Heading 1 2 3 6 3 8 9" xfId="21068"/>
    <cellStyle name="Heading 1 2 3 6 3 9" xfId="21069"/>
    <cellStyle name="Heading 1 2 3 6 3 9 2" xfId="21070"/>
    <cellStyle name="Heading 1 2 3 6 3 9 2 2" xfId="21071"/>
    <cellStyle name="Heading 1 2 3 6 3 9 3" xfId="21072"/>
    <cellStyle name="Heading 1 2 3 6 4" xfId="21073"/>
    <cellStyle name="Heading 1 2 3 6 4 2" xfId="21074"/>
    <cellStyle name="Heading 1 2 3 6 4 2 2" xfId="21075"/>
    <cellStyle name="Heading 1 2 3 6 4 3" xfId="21076"/>
    <cellStyle name="Heading 1 2 3 6 5" xfId="21077"/>
    <cellStyle name="Heading 1 2 3 6 5 2" xfId="21078"/>
    <cellStyle name="Heading 1 2 3 6 6" xfId="21079"/>
    <cellStyle name="Heading 1 2 3 7" xfId="21080"/>
    <cellStyle name="Heading 1 2 3 7 2" xfId="21081"/>
    <cellStyle name="Heading 1 2 3 7 2 10" xfId="21082"/>
    <cellStyle name="Heading 1 2 3 7 2 10 2" xfId="21083"/>
    <cellStyle name="Heading 1 2 3 7 2 10 2 2" xfId="21084"/>
    <cellStyle name="Heading 1 2 3 7 2 10 3" xfId="21085"/>
    <cellStyle name="Heading 1 2 3 7 2 11" xfId="21086"/>
    <cellStyle name="Heading 1 2 3 7 2 11 2" xfId="21087"/>
    <cellStyle name="Heading 1 2 3 7 2 11 2 2" xfId="21088"/>
    <cellStyle name="Heading 1 2 3 7 2 11 3" xfId="21089"/>
    <cellStyle name="Heading 1 2 3 7 2 12" xfId="21090"/>
    <cellStyle name="Heading 1 2 3 7 2 12 2" xfId="21091"/>
    <cellStyle name="Heading 1 2 3 7 2 12 2 2" xfId="21092"/>
    <cellStyle name="Heading 1 2 3 7 2 12 3" xfId="21093"/>
    <cellStyle name="Heading 1 2 3 7 2 13" xfId="21094"/>
    <cellStyle name="Heading 1 2 3 7 2 13 2" xfId="21095"/>
    <cellStyle name="Heading 1 2 3 7 2 13 2 2" xfId="21096"/>
    <cellStyle name="Heading 1 2 3 7 2 13 3" xfId="21097"/>
    <cellStyle name="Heading 1 2 3 7 2 14" xfId="21098"/>
    <cellStyle name="Heading 1 2 3 7 2 14 2" xfId="21099"/>
    <cellStyle name="Heading 1 2 3 7 2 14 2 2" xfId="21100"/>
    <cellStyle name="Heading 1 2 3 7 2 14 3" xfId="21101"/>
    <cellStyle name="Heading 1 2 3 7 2 15" xfId="21102"/>
    <cellStyle name="Heading 1 2 3 7 2 15 2" xfId="21103"/>
    <cellStyle name="Heading 1 2 3 7 2 15 2 2" xfId="21104"/>
    <cellStyle name="Heading 1 2 3 7 2 15 3" xfId="21105"/>
    <cellStyle name="Heading 1 2 3 7 2 16" xfId="21106"/>
    <cellStyle name="Heading 1 2 3 7 2 16 2" xfId="21107"/>
    <cellStyle name="Heading 1 2 3 7 2 16 2 2" xfId="21108"/>
    <cellStyle name="Heading 1 2 3 7 2 16 3" xfId="21109"/>
    <cellStyle name="Heading 1 2 3 7 2 17" xfId="21110"/>
    <cellStyle name="Heading 1 2 3 7 2 17 2" xfId="21111"/>
    <cellStyle name="Heading 1 2 3 7 2 17 2 2" xfId="21112"/>
    <cellStyle name="Heading 1 2 3 7 2 17 3" xfId="21113"/>
    <cellStyle name="Heading 1 2 3 7 2 18" xfId="21114"/>
    <cellStyle name="Heading 1 2 3 7 2 18 2" xfId="21115"/>
    <cellStyle name="Heading 1 2 3 7 2 18 2 2" xfId="21116"/>
    <cellStyle name="Heading 1 2 3 7 2 18 3" xfId="21117"/>
    <cellStyle name="Heading 1 2 3 7 2 19" xfId="21118"/>
    <cellStyle name="Heading 1 2 3 7 2 19 2" xfId="21119"/>
    <cellStyle name="Heading 1 2 3 7 2 19 2 2" xfId="21120"/>
    <cellStyle name="Heading 1 2 3 7 2 19 3" xfId="21121"/>
    <cellStyle name="Heading 1 2 3 7 2 2" xfId="21122"/>
    <cellStyle name="Heading 1 2 3 7 2 2 10" xfId="21123"/>
    <cellStyle name="Heading 1 2 3 7 2 2 10 2" xfId="21124"/>
    <cellStyle name="Heading 1 2 3 7 2 2 10 2 2" xfId="21125"/>
    <cellStyle name="Heading 1 2 3 7 2 2 10 3" xfId="21126"/>
    <cellStyle name="Heading 1 2 3 7 2 2 11" xfId="21127"/>
    <cellStyle name="Heading 1 2 3 7 2 2 11 2" xfId="21128"/>
    <cellStyle name="Heading 1 2 3 7 2 2 11 2 2" xfId="21129"/>
    <cellStyle name="Heading 1 2 3 7 2 2 11 3" xfId="21130"/>
    <cellStyle name="Heading 1 2 3 7 2 2 12" xfId="21131"/>
    <cellStyle name="Heading 1 2 3 7 2 2 12 2" xfId="21132"/>
    <cellStyle name="Heading 1 2 3 7 2 2 12 2 2" xfId="21133"/>
    <cellStyle name="Heading 1 2 3 7 2 2 12 3" xfId="21134"/>
    <cellStyle name="Heading 1 2 3 7 2 2 13" xfId="21135"/>
    <cellStyle name="Heading 1 2 3 7 2 2 13 2" xfId="21136"/>
    <cellStyle name="Heading 1 2 3 7 2 2 13 2 2" xfId="21137"/>
    <cellStyle name="Heading 1 2 3 7 2 2 13 3" xfId="21138"/>
    <cellStyle name="Heading 1 2 3 7 2 2 14" xfId="21139"/>
    <cellStyle name="Heading 1 2 3 7 2 2 14 2" xfId="21140"/>
    <cellStyle name="Heading 1 2 3 7 2 2 14 2 2" xfId="21141"/>
    <cellStyle name="Heading 1 2 3 7 2 2 14 3" xfId="21142"/>
    <cellStyle name="Heading 1 2 3 7 2 2 15" xfId="21143"/>
    <cellStyle name="Heading 1 2 3 7 2 2 15 2" xfId="21144"/>
    <cellStyle name="Heading 1 2 3 7 2 2 15 2 2" xfId="21145"/>
    <cellStyle name="Heading 1 2 3 7 2 2 15 3" xfId="21146"/>
    <cellStyle name="Heading 1 2 3 7 2 2 16" xfId="21147"/>
    <cellStyle name="Heading 1 2 3 7 2 2 16 2" xfId="21148"/>
    <cellStyle name="Heading 1 2 3 7 2 2 16 2 2" xfId="21149"/>
    <cellStyle name="Heading 1 2 3 7 2 2 16 3" xfId="21150"/>
    <cellStyle name="Heading 1 2 3 7 2 2 17" xfId="21151"/>
    <cellStyle name="Heading 1 2 3 7 2 2 17 2" xfId="21152"/>
    <cellStyle name="Heading 1 2 3 7 2 2 17 2 2" xfId="21153"/>
    <cellStyle name="Heading 1 2 3 7 2 2 17 3" xfId="21154"/>
    <cellStyle name="Heading 1 2 3 7 2 2 18" xfId="21155"/>
    <cellStyle name="Heading 1 2 3 7 2 2 18 2" xfId="21156"/>
    <cellStyle name="Heading 1 2 3 7 2 2 18 2 2" xfId="21157"/>
    <cellStyle name="Heading 1 2 3 7 2 2 18 3" xfId="21158"/>
    <cellStyle name="Heading 1 2 3 7 2 2 19" xfId="21159"/>
    <cellStyle name="Heading 1 2 3 7 2 2 19 2" xfId="21160"/>
    <cellStyle name="Heading 1 2 3 7 2 2 2" xfId="21161"/>
    <cellStyle name="Heading 1 2 3 7 2 2 2 2" xfId="21162"/>
    <cellStyle name="Heading 1 2 3 7 2 2 2 2 2" xfId="21163"/>
    <cellStyle name="Heading 1 2 3 7 2 2 2 2 2 2" xfId="21164"/>
    <cellStyle name="Heading 1 2 3 7 2 2 2 2 3" xfId="21165"/>
    <cellStyle name="Heading 1 2 3 7 2 2 2 3" xfId="21166"/>
    <cellStyle name="Heading 1 2 3 7 2 2 2 3 2" xfId="21167"/>
    <cellStyle name="Heading 1 2 3 7 2 2 2 3 2 2" xfId="21168"/>
    <cellStyle name="Heading 1 2 3 7 2 2 2 3 3" xfId="21169"/>
    <cellStyle name="Heading 1 2 3 7 2 2 2 4" xfId="21170"/>
    <cellStyle name="Heading 1 2 3 7 2 2 2 4 2" xfId="21171"/>
    <cellStyle name="Heading 1 2 3 7 2 2 2 4 2 2" xfId="21172"/>
    <cellStyle name="Heading 1 2 3 7 2 2 2 4 3" xfId="21173"/>
    <cellStyle name="Heading 1 2 3 7 2 2 2 5" xfId="21174"/>
    <cellStyle name="Heading 1 2 3 7 2 2 2 5 2" xfId="21175"/>
    <cellStyle name="Heading 1 2 3 7 2 2 2 5 2 2" xfId="21176"/>
    <cellStyle name="Heading 1 2 3 7 2 2 2 5 3" xfId="21177"/>
    <cellStyle name="Heading 1 2 3 7 2 2 2 6" xfId="21178"/>
    <cellStyle name="Heading 1 2 3 7 2 2 2 6 2" xfId="21179"/>
    <cellStyle name="Heading 1 2 3 7 2 2 2 6 2 2" xfId="21180"/>
    <cellStyle name="Heading 1 2 3 7 2 2 2 6 3" xfId="21181"/>
    <cellStyle name="Heading 1 2 3 7 2 2 2 7" xfId="21182"/>
    <cellStyle name="Heading 1 2 3 7 2 2 2 7 2" xfId="21183"/>
    <cellStyle name="Heading 1 2 3 7 2 2 2 7 2 2" xfId="21184"/>
    <cellStyle name="Heading 1 2 3 7 2 2 2 7 3" xfId="21185"/>
    <cellStyle name="Heading 1 2 3 7 2 2 2 8" xfId="21186"/>
    <cellStyle name="Heading 1 2 3 7 2 2 2 8 2" xfId="21187"/>
    <cellStyle name="Heading 1 2 3 7 2 2 2 9" xfId="21188"/>
    <cellStyle name="Heading 1 2 3 7 2 2 20" xfId="21189"/>
    <cellStyle name="Heading 1 2 3 7 2 2 20 2" xfId="21190"/>
    <cellStyle name="Heading 1 2 3 7 2 2 21" xfId="21191"/>
    <cellStyle name="Heading 1 2 3 7 2 2 21 2" xfId="21192"/>
    <cellStyle name="Heading 1 2 3 7 2 2 22" xfId="21193"/>
    <cellStyle name="Heading 1 2 3 7 2 2 3" xfId="21194"/>
    <cellStyle name="Heading 1 2 3 7 2 2 3 2" xfId="21195"/>
    <cellStyle name="Heading 1 2 3 7 2 2 3 2 2" xfId="21196"/>
    <cellStyle name="Heading 1 2 3 7 2 2 3 2 2 2" xfId="21197"/>
    <cellStyle name="Heading 1 2 3 7 2 2 3 2 3" xfId="21198"/>
    <cellStyle name="Heading 1 2 3 7 2 2 3 3" xfId="21199"/>
    <cellStyle name="Heading 1 2 3 7 2 2 3 3 2" xfId="21200"/>
    <cellStyle name="Heading 1 2 3 7 2 2 3 3 2 2" xfId="21201"/>
    <cellStyle name="Heading 1 2 3 7 2 2 3 3 3" xfId="21202"/>
    <cellStyle name="Heading 1 2 3 7 2 2 3 4" xfId="21203"/>
    <cellStyle name="Heading 1 2 3 7 2 2 3 4 2" xfId="21204"/>
    <cellStyle name="Heading 1 2 3 7 2 2 3 4 2 2" xfId="21205"/>
    <cellStyle name="Heading 1 2 3 7 2 2 3 4 3" xfId="21206"/>
    <cellStyle name="Heading 1 2 3 7 2 2 3 5" xfId="21207"/>
    <cellStyle name="Heading 1 2 3 7 2 2 3 5 2" xfId="21208"/>
    <cellStyle name="Heading 1 2 3 7 2 2 3 5 2 2" xfId="21209"/>
    <cellStyle name="Heading 1 2 3 7 2 2 3 5 3" xfId="21210"/>
    <cellStyle name="Heading 1 2 3 7 2 2 3 6" xfId="21211"/>
    <cellStyle name="Heading 1 2 3 7 2 2 3 6 2" xfId="21212"/>
    <cellStyle name="Heading 1 2 3 7 2 2 3 6 2 2" xfId="21213"/>
    <cellStyle name="Heading 1 2 3 7 2 2 3 6 3" xfId="21214"/>
    <cellStyle name="Heading 1 2 3 7 2 2 3 7" xfId="21215"/>
    <cellStyle name="Heading 1 2 3 7 2 2 3 7 2" xfId="21216"/>
    <cellStyle name="Heading 1 2 3 7 2 2 3 7 2 2" xfId="21217"/>
    <cellStyle name="Heading 1 2 3 7 2 2 3 7 3" xfId="21218"/>
    <cellStyle name="Heading 1 2 3 7 2 2 3 8" xfId="21219"/>
    <cellStyle name="Heading 1 2 3 7 2 2 3 8 2" xfId="21220"/>
    <cellStyle name="Heading 1 2 3 7 2 2 3 9" xfId="21221"/>
    <cellStyle name="Heading 1 2 3 7 2 2 4" xfId="21222"/>
    <cellStyle name="Heading 1 2 3 7 2 2 4 2" xfId="21223"/>
    <cellStyle name="Heading 1 2 3 7 2 2 4 2 2" xfId="21224"/>
    <cellStyle name="Heading 1 2 3 7 2 2 4 2 2 2" xfId="21225"/>
    <cellStyle name="Heading 1 2 3 7 2 2 4 2 3" xfId="21226"/>
    <cellStyle name="Heading 1 2 3 7 2 2 4 3" xfId="21227"/>
    <cellStyle name="Heading 1 2 3 7 2 2 4 3 2" xfId="21228"/>
    <cellStyle name="Heading 1 2 3 7 2 2 4 3 2 2" xfId="21229"/>
    <cellStyle name="Heading 1 2 3 7 2 2 4 3 3" xfId="21230"/>
    <cellStyle name="Heading 1 2 3 7 2 2 4 4" xfId="21231"/>
    <cellStyle name="Heading 1 2 3 7 2 2 4 4 2" xfId="21232"/>
    <cellStyle name="Heading 1 2 3 7 2 2 4 4 2 2" xfId="21233"/>
    <cellStyle name="Heading 1 2 3 7 2 2 4 4 3" xfId="21234"/>
    <cellStyle name="Heading 1 2 3 7 2 2 4 5" xfId="21235"/>
    <cellStyle name="Heading 1 2 3 7 2 2 4 5 2" xfId="21236"/>
    <cellStyle name="Heading 1 2 3 7 2 2 4 5 2 2" xfId="21237"/>
    <cellStyle name="Heading 1 2 3 7 2 2 4 5 3" xfId="21238"/>
    <cellStyle name="Heading 1 2 3 7 2 2 4 6" xfId="21239"/>
    <cellStyle name="Heading 1 2 3 7 2 2 4 6 2" xfId="21240"/>
    <cellStyle name="Heading 1 2 3 7 2 2 4 6 2 2" xfId="21241"/>
    <cellStyle name="Heading 1 2 3 7 2 2 4 6 3" xfId="21242"/>
    <cellStyle name="Heading 1 2 3 7 2 2 4 7" xfId="21243"/>
    <cellStyle name="Heading 1 2 3 7 2 2 4 7 2" xfId="21244"/>
    <cellStyle name="Heading 1 2 3 7 2 2 4 7 2 2" xfId="21245"/>
    <cellStyle name="Heading 1 2 3 7 2 2 4 7 3" xfId="21246"/>
    <cellStyle name="Heading 1 2 3 7 2 2 4 8" xfId="21247"/>
    <cellStyle name="Heading 1 2 3 7 2 2 4 8 2" xfId="21248"/>
    <cellStyle name="Heading 1 2 3 7 2 2 4 9" xfId="21249"/>
    <cellStyle name="Heading 1 2 3 7 2 2 5" xfId="21250"/>
    <cellStyle name="Heading 1 2 3 7 2 2 5 2" xfId="21251"/>
    <cellStyle name="Heading 1 2 3 7 2 2 5 2 2" xfId="21252"/>
    <cellStyle name="Heading 1 2 3 7 2 2 5 2 2 2" xfId="21253"/>
    <cellStyle name="Heading 1 2 3 7 2 2 5 2 3" xfId="21254"/>
    <cellStyle name="Heading 1 2 3 7 2 2 5 3" xfId="21255"/>
    <cellStyle name="Heading 1 2 3 7 2 2 5 3 2" xfId="21256"/>
    <cellStyle name="Heading 1 2 3 7 2 2 5 3 2 2" xfId="21257"/>
    <cellStyle name="Heading 1 2 3 7 2 2 5 3 3" xfId="21258"/>
    <cellStyle name="Heading 1 2 3 7 2 2 5 4" xfId="21259"/>
    <cellStyle name="Heading 1 2 3 7 2 2 5 4 2" xfId="21260"/>
    <cellStyle name="Heading 1 2 3 7 2 2 5 4 2 2" xfId="21261"/>
    <cellStyle name="Heading 1 2 3 7 2 2 5 4 3" xfId="21262"/>
    <cellStyle name="Heading 1 2 3 7 2 2 5 5" xfId="21263"/>
    <cellStyle name="Heading 1 2 3 7 2 2 5 5 2" xfId="21264"/>
    <cellStyle name="Heading 1 2 3 7 2 2 5 5 2 2" xfId="21265"/>
    <cellStyle name="Heading 1 2 3 7 2 2 5 5 3" xfId="21266"/>
    <cellStyle name="Heading 1 2 3 7 2 2 5 6" xfId="21267"/>
    <cellStyle name="Heading 1 2 3 7 2 2 5 6 2" xfId="21268"/>
    <cellStyle name="Heading 1 2 3 7 2 2 5 6 2 2" xfId="21269"/>
    <cellStyle name="Heading 1 2 3 7 2 2 5 6 3" xfId="21270"/>
    <cellStyle name="Heading 1 2 3 7 2 2 5 7" xfId="21271"/>
    <cellStyle name="Heading 1 2 3 7 2 2 5 7 2" xfId="21272"/>
    <cellStyle name="Heading 1 2 3 7 2 2 5 7 2 2" xfId="21273"/>
    <cellStyle name="Heading 1 2 3 7 2 2 5 7 3" xfId="21274"/>
    <cellStyle name="Heading 1 2 3 7 2 2 5 8" xfId="21275"/>
    <cellStyle name="Heading 1 2 3 7 2 2 5 8 2" xfId="21276"/>
    <cellStyle name="Heading 1 2 3 7 2 2 5 9" xfId="21277"/>
    <cellStyle name="Heading 1 2 3 7 2 2 6" xfId="21278"/>
    <cellStyle name="Heading 1 2 3 7 2 2 6 2" xfId="21279"/>
    <cellStyle name="Heading 1 2 3 7 2 2 6 2 2" xfId="21280"/>
    <cellStyle name="Heading 1 2 3 7 2 2 6 2 2 2" xfId="21281"/>
    <cellStyle name="Heading 1 2 3 7 2 2 6 2 3" xfId="21282"/>
    <cellStyle name="Heading 1 2 3 7 2 2 6 3" xfId="21283"/>
    <cellStyle name="Heading 1 2 3 7 2 2 6 3 2" xfId="21284"/>
    <cellStyle name="Heading 1 2 3 7 2 2 6 3 2 2" xfId="21285"/>
    <cellStyle name="Heading 1 2 3 7 2 2 6 3 3" xfId="21286"/>
    <cellStyle name="Heading 1 2 3 7 2 2 6 4" xfId="21287"/>
    <cellStyle name="Heading 1 2 3 7 2 2 6 4 2" xfId="21288"/>
    <cellStyle name="Heading 1 2 3 7 2 2 6 4 2 2" xfId="21289"/>
    <cellStyle name="Heading 1 2 3 7 2 2 6 4 3" xfId="21290"/>
    <cellStyle name="Heading 1 2 3 7 2 2 6 5" xfId="21291"/>
    <cellStyle name="Heading 1 2 3 7 2 2 6 5 2" xfId="21292"/>
    <cellStyle name="Heading 1 2 3 7 2 2 6 5 2 2" xfId="21293"/>
    <cellStyle name="Heading 1 2 3 7 2 2 6 5 3" xfId="21294"/>
    <cellStyle name="Heading 1 2 3 7 2 2 6 6" xfId="21295"/>
    <cellStyle name="Heading 1 2 3 7 2 2 6 6 2" xfId="21296"/>
    <cellStyle name="Heading 1 2 3 7 2 2 6 6 2 2" xfId="21297"/>
    <cellStyle name="Heading 1 2 3 7 2 2 6 6 3" xfId="21298"/>
    <cellStyle name="Heading 1 2 3 7 2 2 6 7" xfId="21299"/>
    <cellStyle name="Heading 1 2 3 7 2 2 6 7 2" xfId="21300"/>
    <cellStyle name="Heading 1 2 3 7 2 2 6 7 2 2" xfId="21301"/>
    <cellStyle name="Heading 1 2 3 7 2 2 6 7 3" xfId="21302"/>
    <cellStyle name="Heading 1 2 3 7 2 2 6 8" xfId="21303"/>
    <cellStyle name="Heading 1 2 3 7 2 2 6 8 2" xfId="21304"/>
    <cellStyle name="Heading 1 2 3 7 2 2 6 9" xfId="21305"/>
    <cellStyle name="Heading 1 2 3 7 2 2 7" xfId="21306"/>
    <cellStyle name="Heading 1 2 3 7 2 2 7 2" xfId="21307"/>
    <cellStyle name="Heading 1 2 3 7 2 2 7 2 2" xfId="21308"/>
    <cellStyle name="Heading 1 2 3 7 2 2 7 2 2 2" xfId="21309"/>
    <cellStyle name="Heading 1 2 3 7 2 2 7 2 3" xfId="21310"/>
    <cellStyle name="Heading 1 2 3 7 2 2 7 3" xfId="21311"/>
    <cellStyle name="Heading 1 2 3 7 2 2 7 3 2" xfId="21312"/>
    <cellStyle name="Heading 1 2 3 7 2 2 7 3 2 2" xfId="21313"/>
    <cellStyle name="Heading 1 2 3 7 2 2 7 3 3" xfId="21314"/>
    <cellStyle name="Heading 1 2 3 7 2 2 7 4" xfId="21315"/>
    <cellStyle name="Heading 1 2 3 7 2 2 7 4 2" xfId="21316"/>
    <cellStyle name="Heading 1 2 3 7 2 2 7 4 2 2" xfId="21317"/>
    <cellStyle name="Heading 1 2 3 7 2 2 7 4 3" xfId="21318"/>
    <cellStyle name="Heading 1 2 3 7 2 2 7 5" xfId="21319"/>
    <cellStyle name="Heading 1 2 3 7 2 2 7 5 2" xfId="21320"/>
    <cellStyle name="Heading 1 2 3 7 2 2 7 5 2 2" xfId="21321"/>
    <cellStyle name="Heading 1 2 3 7 2 2 7 5 3" xfId="21322"/>
    <cellStyle name="Heading 1 2 3 7 2 2 7 6" xfId="21323"/>
    <cellStyle name="Heading 1 2 3 7 2 2 7 6 2" xfId="21324"/>
    <cellStyle name="Heading 1 2 3 7 2 2 7 6 2 2" xfId="21325"/>
    <cellStyle name="Heading 1 2 3 7 2 2 7 6 3" xfId="21326"/>
    <cellStyle name="Heading 1 2 3 7 2 2 7 7" xfId="21327"/>
    <cellStyle name="Heading 1 2 3 7 2 2 7 7 2" xfId="21328"/>
    <cellStyle name="Heading 1 2 3 7 2 2 7 7 2 2" xfId="21329"/>
    <cellStyle name="Heading 1 2 3 7 2 2 7 7 3" xfId="21330"/>
    <cellStyle name="Heading 1 2 3 7 2 2 7 8" xfId="21331"/>
    <cellStyle name="Heading 1 2 3 7 2 2 7 8 2" xfId="21332"/>
    <cellStyle name="Heading 1 2 3 7 2 2 7 9" xfId="21333"/>
    <cellStyle name="Heading 1 2 3 7 2 2 8" xfId="21334"/>
    <cellStyle name="Heading 1 2 3 7 2 2 8 2" xfId="21335"/>
    <cellStyle name="Heading 1 2 3 7 2 2 8 2 2" xfId="21336"/>
    <cellStyle name="Heading 1 2 3 7 2 2 8 2 2 2" xfId="21337"/>
    <cellStyle name="Heading 1 2 3 7 2 2 8 2 3" xfId="21338"/>
    <cellStyle name="Heading 1 2 3 7 2 2 8 3" xfId="21339"/>
    <cellStyle name="Heading 1 2 3 7 2 2 8 3 2" xfId="21340"/>
    <cellStyle name="Heading 1 2 3 7 2 2 8 3 2 2" xfId="21341"/>
    <cellStyle name="Heading 1 2 3 7 2 2 8 3 3" xfId="21342"/>
    <cellStyle name="Heading 1 2 3 7 2 2 8 4" xfId="21343"/>
    <cellStyle name="Heading 1 2 3 7 2 2 8 4 2" xfId="21344"/>
    <cellStyle name="Heading 1 2 3 7 2 2 8 4 2 2" xfId="21345"/>
    <cellStyle name="Heading 1 2 3 7 2 2 8 4 3" xfId="21346"/>
    <cellStyle name="Heading 1 2 3 7 2 2 8 5" xfId="21347"/>
    <cellStyle name="Heading 1 2 3 7 2 2 8 5 2" xfId="21348"/>
    <cellStyle name="Heading 1 2 3 7 2 2 8 5 2 2" xfId="21349"/>
    <cellStyle name="Heading 1 2 3 7 2 2 8 5 3" xfId="21350"/>
    <cellStyle name="Heading 1 2 3 7 2 2 8 6" xfId="21351"/>
    <cellStyle name="Heading 1 2 3 7 2 2 8 6 2" xfId="21352"/>
    <cellStyle name="Heading 1 2 3 7 2 2 8 6 2 2" xfId="21353"/>
    <cellStyle name="Heading 1 2 3 7 2 2 8 6 3" xfId="21354"/>
    <cellStyle name="Heading 1 2 3 7 2 2 8 7" xfId="21355"/>
    <cellStyle name="Heading 1 2 3 7 2 2 8 7 2" xfId="21356"/>
    <cellStyle name="Heading 1 2 3 7 2 2 8 7 2 2" xfId="21357"/>
    <cellStyle name="Heading 1 2 3 7 2 2 8 7 3" xfId="21358"/>
    <cellStyle name="Heading 1 2 3 7 2 2 8 8" xfId="21359"/>
    <cellStyle name="Heading 1 2 3 7 2 2 8 8 2" xfId="21360"/>
    <cellStyle name="Heading 1 2 3 7 2 2 8 9" xfId="21361"/>
    <cellStyle name="Heading 1 2 3 7 2 2 9" xfId="21362"/>
    <cellStyle name="Heading 1 2 3 7 2 2 9 2" xfId="21363"/>
    <cellStyle name="Heading 1 2 3 7 2 2 9 2 2" xfId="21364"/>
    <cellStyle name="Heading 1 2 3 7 2 2 9 3" xfId="21365"/>
    <cellStyle name="Heading 1 2 3 7 2 20" xfId="21366"/>
    <cellStyle name="Heading 1 2 3 7 2 20 2" xfId="21367"/>
    <cellStyle name="Heading 1 2 3 7 2 21" xfId="21368"/>
    <cellStyle name="Heading 1 2 3 7 2 21 2" xfId="21369"/>
    <cellStyle name="Heading 1 2 3 7 2 22" xfId="21370"/>
    <cellStyle name="Heading 1 2 3 7 2 22 2" xfId="21371"/>
    <cellStyle name="Heading 1 2 3 7 2 23" xfId="21372"/>
    <cellStyle name="Heading 1 2 3 7 2 3" xfId="21373"/>
    <cellStyle name="Heading 1 2 3 7 2 3 2" xfId="21374"/>
    <cellStyle name="Heading 1 2 3 7 2 3 2 2" xfId="21375"/>
    <cellStyle name="Heading 1 2 3 7 2 3 2 2 2" xfId="21376"/>
    <cellStyle name="Heading 1 2 3 7 2 3 2 3" xfId="21377"/>
    <cellStyle name="Heading 1 2 3 7 2 3 3" xfId="21378"/>
    <cellStyle name="Heading 1 2 3 7 2 3 3 2" xfId="21379"/>
    <cellStyle name="Heading 1 2 3 7 2 3 3 2 2" xfId="21380"/>
    <cellStyle name="Heading 1 2 3 7 2 3 3 3" xfId="21381"/>
    <cellStyle name="Heading 1 2 3 7 2 3 4" xfId="21382"/>
    <cellStyle name="Heading 1 2 3 7 2 3 4 2" xfId="21383"/>
    <cellStyle name="Heading 1 2 3 7 2 3 4 2 2" xfId="21384"/>
    <cellStyle name="Heading 1 2 3 7 2 3 4 3" xfId="21385"/>
    <cellStyle name="Heading 1 2 3 7 2 3 5" xfId="21386"/>
    <cellStyle name="Heading 1 2 3 7 2 3 5 2" xfId="21387"/>
    <cellStyle name="Heading 1 2 3 7 2 3 5 2 2" xfId="21388"/>
    <cellStyle name="Heading 1 2 3 7 2 3 5 3" xfId="21389"/>
    <cellStyle name="Heading 1 2 3 7 2 3 6" xfId="21390"/>
    <cellStyle name="Heading 1 2 3 7 2 3 6 2" xfId="21391"/>
    <cellStyle name="Heading 1 2 3 7 2 3 6 2 2" xfId="21392"/>
    <cellStyle name="Heading 1 2 3 7 2 3 6 3" xfId="21393"/>
    <cellStyle name="Heading 1 2 3 7 2 3 7" xfId="21394"/>
    <cellStyle name="Heading 1 2 3 7 2 3 7 2" xfId="21395"/>
    <cellStyle name="Heading 1 2 3 7 2 3 7 2 2" xfId="21396"/>
    <cellStyle name="Heading 1 2 3 7 2 3 7 3" xfId="21397"/>
    <cellStyle name="Heading 1 2 3 7 2 3 8" xfId="21398"/>
    <cellStyle name="Heading 1 2 3 7 2 3 8 2" xfId="21399"/>
    <cellStyle name="Heading 1 2 3 7 2 3 9" xfId="21400"/>
    <cellStyle name="Heading 1 2 3 7 2 4" xfId="21401"/>
    <cellStyle name="Heading 1 2 3 7 2 4 2" xfId="21402"/>
    <cellStyle name="Heading 1 2 3 7 2 4 2 2" xfId="21403"/>
    <cellStyle name="Heading 1 2 3 7 2 4 2 2 2" xfId="21404"/>
    <cellStyle name="Heading 1 2 3 7 2 4 2 3" xfId="21405"/>
    <cellStyle name="Heading 1 2 3 7 2 4 3" xfId="21406"/>
    <cellStyle name="Heading 1 2 3 7 2 4 3 2" xfId="21407"/>
    <cellStyle name="Heading 1 2 3 7 2 4 3 2 2" xfId="21408"/>
    <cellStyle name="Heading 1 2 3 7 2 4 3 3" xfId="21409"/>
    <cellStyle name="Heading 1 2 3 7 2 4 4" xfId="21410"/>
    <cellStyle name="Heading 1 2 3 7 2 4 4 2" xfId="21411"/>
    <cellStyle name="Heading 1 2 3 7 2 4 4 2 2" xfId="21412"/>
    <cellStyle name="Heading 1 2 3 7 2 4 4 3" xfId="21413"/>
    <cellStyle name="Heading 1 2 3 7 2 4 5" xfId="21414"/>
    <cellStyle name="Heading 1 2 3 7 2 4 5 2" xfId="21415"/>
    <cellStyle name="Heading 1 2 3 7 2 4 5 2 2" xfId="21416"/>
    <cellStyle name="Heading 1 2 3 7 2 4 5 3" xfId="21417"/>
    <cellStyle name="Heading 1 2 3 7 2 4 6" xfId="21418"/>
    <cellStyle name="Heading 1 2 3 7 2 4 6 2" xfId="21419"/>
    <cellStyle name="Heading 1 2 3 7 2 4 6 2 2" xfId="21420"/>
    <cellStyle name="Heading 1 2 3 7 2 4 6 3" xfId="21421"/>
    <cellStyle name="Heading 1 2 3 7 2 4 7" xfId="21422"/>
    <cellStyle name="Heading 1 2 3 7 2 4 7 2" xfId="21423"/>
    <cellStyle name="Heading 1 2 3 7 2 4 7 2 2" xfId="21424"/>
    <cellStyle name="Heading 1 2 3 7 2 4 7 3" xfId="21425"/>
    <cellStyle name="Heading 1 2 3 7 2 4 8" xfId="21426"/>
    <cellStyle name="Heading 1 2 3 7 2 4 8 2" xfId="21427"/>
    <cellStyle name="Heading 1 2 3 7 2 4 9" xfId="21428"/>
    <cellStyle name="Heading 1 2 3 7 2 5" xfId="21429"/>
    <cellStyle name="Heading 1 2 3 7 2 5 2" xfId="21430"/>
    <cellStyle name="Heading 1 2 3 7 2 5 2 2" xfId="21431"/>
    <cellStyle name="Heading 1 2 3 7 2 5 2 2 2" xfId="21432"/>
    <cellStyle name="Heading 1 2 3 7 2 5 2 3" xfId="21433"/>
    <cellStyle name="Heading 1 2 3 7 2 5 3" xfId="21434"/>
    <cellStyle name="Heading 1 2 3 7 2 5 3 2" xfId="21435"/>
    <cellStyle name="Heading 1 2 3 7 2 5 3 2 2" xfId="21436"/>
    <cellStyle name="Heading 1 2 3 7 2 5 3 3" xfId="21437"/>
    <cellStyle name="Heading 1 2 3 7 2 5 4" xfId="21438"/>
    <cellStyle name="Heading 1 2 3 7 2 5 4 2" xfId="21439"/>
    <cellStyle name="Heading 1 2 3 7 2 5 4 2 2" xfId="21440"/>
    <cellStyle name="Heading 1 2 3 7 2 5 4 3" xfId="21441"/>
    <cellStyle name="Heading 1 2 3 7 2 5 5" xfId="21442"/>
    <cellStyle name="Heading 1 2 3 7 2 5 5 2" xfId="21443"/>
    <cellStyle name="Heading 1 2 3 7 2 5 5 2 2" xfId="21444"/>
    <cellStyle name="Heading 1 2 3 7 2 5 5 3" xfId="21445"/>
    <cellStyle name="Heading 1 2 3 7 2 5 6" xfId="21446"/>
    <cellStyle name="Heading 1 2 3 7 2 5 6 2" xfId="21447"/>
    <cellStyle name="Heading 1 2 3 7 2 5 6 2 2" xfId="21448"/>
    <cellStyle name="Heading 1 2 3 7 2 5 6 3" xfId="21449"/>
    <cellStyle name="Heading 1 2 3 7 2 5 7" xfId="21450"/>
    <cellStyle name="Heading 1 2 3 7 2 5 7 2" xfId="21451"/>
    <cellStyle name="Heading 1 2 3 7 2 5 7 2 2" xfId="21452"/>
    <cellStyle name="Heading 1 2 3 7 2 5 7 3" xfId="21453"/>
    <cellStyle name="Heading 1 2 3 7 2 5 8" xfId="21454"/>
    <cellStyle name="Heading 1 2 3 7 2 5 8 2" xfId="21455"/>
    <cellStyle name="Heading 1 2 3 7 2 5 9" xfId="21456"/>
    <cellStyle name="Heading 1 2 3 7 2 6" xfId="21457"/>
    <cellStyle name="Heading 1 2 3 7 2 6 2" xfId="21458"/>
    <cellStyle name="Heading 1 2 3 7 2 6 2 2" xfId="21459"/>
    <cellStyle name="Heading 1 2 3 7 2 6 2 2 2" xfId="21460"/>
    <cellStyle name="Heading 1 2 3 7 2 6 2 3" xfId="21461"/>
    <cellStyle name="Heading 1 2 3 7 2 6 3" xfId="21462"/>
    <cellStyle name="Heading 1 2 3 7 2 6 3 2" xfId="21463"/>
    <cellStyle name="Heading 1 2 3 7 2 6 3 2 2" xfId="21464"/>
    <cellStyle name="Heading 1 2 3 7 2 6 3 3" xfId="21465"/>
    <cellStyle name="Heading 1 2 3 7 2 6 4" xfId="21466"/>
    <cellStyle name="Heading 1 2 3 7 2 6 4 2" xfId="21467"/>
    <cellStyle name="Heading 1 2 3 7 2 6 4 2 2" xfId="21468"/>
    <cellStyle name="Heading 1 2 3 7 2 6 4 3" xfId="21469"/>
    <cellStyle name="Heading 1 2 3 7 2 6 5" xfId="21470"/>
    <cellStyle name="Heading 1 2 3 7 2 6 5 2" xfId="21471"/>
    <cellStyle name="Heading 1 2 3 7 2 6 5 2 2" xfId="21472"/>
    <cellStyle name="Heading 1 2 3 7 2 6 5 3" xfId="21473"/>
    <cellStyle name="Heading 1 2 3 7 2 6 6" xfId="21474"/>
    <cellStyle name="Heading 1 2 3 7 2 6 6 2" xfId="21475"/>
    <cellStyle name="Heading 1 2 3 7 2 6 6 2 2" xfId="21476"/>
    <cellStyle name="Heading 1 2 3 7 2 6 6 3" xfId="21477"/>
    <cellStyle name="Heading 1 2 3 7 2 6 7" xfId="21478"/>
    <cellStyle name="Heading 1 2 3 7 2 6 7 2" xfId="21479"/>
    <cellStyle name="Heading 1 2 3 7 2 6 7 2 2" xfId="21480"/>
    <cellStyle name="Heading 1 2 3 7 2 6 7 3" xfId="21481"/>
    <cellStyle name="Heading 1 2 3 7 2 6 8" xfId="21482"/>
    <cellStyle name="Heading 1 2 3 7 2 6 8 2" xfId="21483"/>
    <cellStyle name="Heading 1 2 3 7 2 6 9" xfId="21484"/>
    <cellStyle name="Heading 1 2 3 7 2 7" xfId="21485"/>
    <cellStyle name="Heading 1 2 3 7 2 7 2" xfId="21486"/>
    <cellStyle name="Heading 1 2 3 7 2 7 2 2" xfId="21487"/>
    <cellStyle name="Heading 1 2 3 7 2 7 2 2 2" xfId="21488"/>
    <cellStyle name="Heading 1 2 3 7 2 7 2 3" xfId="21489"/>
    <cellStyle name="Heading 1 2 3 7 2 7 3" xfId="21490"/>
    <cellStyle name="Heading 1 2 3 7 2 7 3 2" xfId="21491"/>
    <cellStyle name="Heading 1 2 3 7 2 7 3 2 2" xfId="21492"/>
    <cellStyle name="Heading 1 2 3 7 2 7 3 3" xfId="21493"/>
    <cellStyle name="Heading 1 2 3 7 2 7 4" xfId="21494"/>
    <cellStyle name="Heading 1 2 3 7 2 7 4 2" xfId="21495"/>
    <cellStyle name="Heading 1 2 3 7 2 7 4 2 2" xfId="21496"/>
    <cellStyle name="Heading 1 2 3 7 2 7 4 3" xfId="21497"/>
    <cellStyle name="Heading 1 2 3 7 2 7 5" xfId="21498"/>
    <cellStyle name="Heading 1 2 3 7 2 7 5 2" xfId="21499"/>
    <cellStyle name="Heading 1 2 3 7 2 7 5 2 2" xfId="21500"/>
    <cellStyle name="Heading 1 2 3 7 2 7 5 3" xfId="21501"/>
    <cellStyle name="Heading 1 2 3 7 2 7 6" xfId="21502"/>
    <cellStyle name="Heading 1 2 3 7 2 7 6 2" xfId="21503"/>
    <cellStyle name="Heading 1 2 3 7 2 7 6 2 2" xfId="21504"/>
    <cellStyle name="Heading 1 2 3 7 2 7 6 3" xfId="21505"/>
    <cellStyle name="Heading 1 2 3 7 2 7 7" xfId="21506"/>
    <cellStyle name="Heading 1 2 3 7 2 7 7 2" xfId="21507"/>
    <cellStyle name="Heading 1 2 3 7 2 7 7 2 2" xfId="21508"/>
    <cellStyle name="Heading 1 2 3 7 2 7 7 3" xfId="21509"/>
    <cellStyle name="Heading 1 2 3 7 2 7 8" xfId="21510"/>
    <cellStyle name="Heading 1 2 3 7 2 7 8 2" xfId="21511"/>
    <cellStyle name="Heading 1 2 3 7 2 7 9" xfId="21512"/>
    <cellStyle name="Heading 1 2 3 7 2 8" xfId="21513"/>
    <cellStyle name="Heading 1 2 3 7 2 8 2" xfId="21514"/>
    <cellStyle name="Heading 1 2 3 7 2 8 2 2" xfId="21515"/>
    <cellStyle name="Heading 1 2 3 7 2 8 2 2 2" xfId="21516"/>
    <cellStyle name="Heading 1 2 3 7 2 8 2 3" xfId="21517"/>
    <cellStyle name="Heading 1 2 3 7 2 8 3" xfId="21518"/>
    <cellStyle name="Heading 1 2 3 7 2 8 3 2" xfId="21519"/>
    <cellStyle name="Heading 1 2 3 7 2 8 3 2 2" xfId="21520"/>
    <cellStyle name="Heading 1 2 3 7 2 8 3 3" xfId="21521"/>
    <cellStyle name="Heading 1 2 3 7 2 8 4" xfId="21522"/>
    <cellStyle name="Heading 1 2 3 7 2 8 4 2" xfId="21523"/>
    <cellStyle name="Heading 1 2 3 7 2 8 4 2 2" xfId="21524"/>
    <cellStyle name="Heading 1 2 3 7 2 8 4 3" xfId="21525"/>
    <cellStyle name="Heading 1 2 3 7 2 8 5" xfId="21526"/>
    <cellStyle name="Heading 1 2 3 7 2 8 5 2" xfId="21527"/>
    <cellStyle name="Heading 1 2 3 7 2 8 5 2 2" xfId="21528"/>
    <cellStyle name="Heading 1 2 3 7 2 8 5 3" xfId="21529"/>
    <cellStyle name="Heading 1 2 3 7 2 8 6" xfId="21530"/>
    <cellStyle name="Heading 1 2 3 7 2 8 6 2" xfId="21531"/>
    <cellStyle name="Heading 1 2 3 7 2 8 6 2 2" xfId="21532"/>
    <cellStyle name="Heading 1 2 3 7 2 8 6 3" xfId="21533"/>
    <cellStyle name="Heading 1 2 3 7 2 8 7" xfId="21534"/>
    <cellStyle name="Heading 1 2 3 7 2 8 7 2" xfId="21535"/>
    <cellStyle name="Heading 1 2 3 7 2 8 7 2 2" xfId="21536"/>
    <cellStyle name="Heading 1 2 3 7 2 8 7 3" xfId="21537"/>
    <cellStyle name="Heading 1 2 3 7 2 8 8" xfId="21538"/>
    <cellStyle name="Heading 1 2 3 7 2 8 8 2" xfId="21539"/>
    <cellStyle name="Heading 1 2 3 7 2 8 9" xfId="21540"/>
    <cellStyle name="Heading 1 2 3 7 2 9" xfId="21541"/>
    <cellStyle name="Heading 1 2 3 7 2 9 2" xfId="21542"/>
    <cellStyle name="Heading 1 2 3 7 2 9 2 2" xfId="21543"/>
    <cellStyle name="Heading 1 2 3 7 2 9 2 2 2" xfId="21544"/>
    <cellStyle name="Heading 1 2 3 7 2 9 2 3" xfId="21545"/>
    <cellStyle name="Heading 1 2 3 7 2 9 3" xfId="21546"/>
    <cellStyle name="Heading 1 2 3 7 2 9 3 2" xfId="21547"/>
    <cellStyle name="Heading 1 2 3 7 2 9 3 2 2" xfId="21548"/>
    <cellStyle name="Heading 1 2 3 7 2 9 3 3" xfId="21549"/>
    <cellStyle name="Heading 1 2 3 7 2 9 4" xfId="21550"/>
    <cellStyle name="Heading 1 2 3 7 2 9 4 2" xfId="21551"/>
    <cellStyle name="Heading 1 2 3 7 2 9 4 2 2" xfId="21552"/>
    <cellStyle name="Heading 1 2 3 7 2 9 4 3" xfId="21553"/>
    <cellStyle name="Heading 1 2 3 7 2 9 5" xfId="21554"/>
    <cellStyle name="Heading 1 2 3 7 2 9 5 2" xfId="21555"/>
    <cellStyle name="Heading 1 2 3 7 2 9 5 2 2" xfId="21556"/>
    <cellStyle name="Heading 1 2 3 7 2 9 5 3" xfId="21557"/>
    <cellStyle name="Heading 1 2 3 7 2 9 6" xfId="21558"/>
    <cellStyle name="Heading 1 2 3 7 2 9 6 2" xfId="21559"/>
    <cellStyle name="Heading 1 2 3 7 2 9 6 2 2" xfId="21560"/>
    <cellStyle name="Heading 1 2 3 7 2 9 6 3" xfId="21561"/>
    <cellStyle name="Heading 1 2 3 7 2 9 7" xfId="21562"/>
    <cellStyle name="Heading 1 2 3 7 2 9 7 2" xfId="21563"/>
    <cellStyle name="Heading 1 2 3 7 2 9 7 2 2" xfId="21564"/>
    <cellStyle name="Heading 1 2 3 7 2 9 7 3" xfId="21565"/>
    <cellStyle name="Heading 1 2 3 7 2 9 8" xfId="21566"/>
    <cellStyle name="Heading 1 2 3 7 2 9 8 2" xfId="21567"/>
    <cellStyle name="Heading 1 2 3 7 2 9 9" xfId="21568"/>
    <cellStyle name="Heading 1 2 3 7 3" xfId="21569"/>
    <cellStyle name="Heading 1 2 3 7 3 10" xfId="21570"/>
    <cellStyle name="Heading 1 2 3 7 3 10 2" xfId="21571"/>
    <cellStyle name="Heading 1 2 3 7 3 10 2 2" xfId="21572"/>
    <cellStyle name="Heading 1 2 3 7 3 10 3" xfId="21573"/>
    <cellStyle name="Heading 1 2 3 7 3 11" xfId="21574"/>
    <cellStyle name="Heading 1 2 3 7 3 11 2" xfId="21575"/>
    <cellStyle name="Heading 1 2 3 7 3 11 2 2" xfId="21576"/>
    <cellStyle name="Heading 1 2 3 7 3 11 3" xfId="21577"/>
    <cellStyle name="Heading 1 2 3 7 3 12" xfId="21578"/>
    <cellStyle name="Heading 1 2 3 7 3 12 2" xfId="21579"/>
    <cellStyle name="Heading 1 2 3 7 3 12 2 2" xfId="21580"/>
    <cellStyle name="Heading 1 2 3 7 3 12 3" xfId="21581"/>
    <cellStyle name="Heading 1 2 3 7 3 13" xfId="21582"/>
    <cellStyle name="Heading 1 2 3 7 3 13 2" xfId="21583"/>
    <cellStyle name="Heading 1 2 3 7 3 13 2 2" xfId="21584"/>
    <cellStyle name="Heading 1 2 3 7 3 13 3" xfId="21585"/>
    <cellStyle name="Heading 1 2 3 7 3 14" xfId="21586"/>
    <cellStyle name="Heading 1 2 3 7 3 14 2" xfId="21587"/>
    <cellStyle name="Heading 1 2 3 7 3 14 2 2" xfId="21588"/>
    <cellStyle name="Heading 1 2 3 7 3 14 3" xfId="21589"/>
    <cellStyle name="Heading 1 2 3 7 3 15" xfId="21590"/>
    <cellStyle name="Heading 1 2 3 7 3 15 2" xfId="21591"/>
    <cellStyle name="Heading 1 2 3 7 3 15 2 2" xfId="21592"/>
    <cellStyle name="Heading 1 2 3 7 3 15 3" xfId="21593"/>
    <cellStyle name="Heading 1 2 3 7 3 16" xfId="21594"/>
    <cellStyle name="Heading 1 2 3 7 3 16 2" xfId="21595"/>
    <cellStyle name="Heading 1 2 3 7 3 16 2 2" xfId="21596"/>
    <cellStyle name="Heading 1 2 3 7 3 16 3" xfId="21597"/>
    <cellStyle name="Heading 1 2 3 7 3 17" xfId="21598"/>
    <cellStyle name="Heading 1 2 3 7 3 17 2" xfId="21599"/>
    <cellStyle name="Heading 1 2 3 7 3 17 2 2" xfId="21600"/>
    <cellStyle name="Heading 1 2 3 7 3 17 3" xfId="21601"/>
    <cellStyle name="Heading 1 2 3 7 3 18" xfId="21602"/>
    <cellStyle name="Heading 1 2 3 7 3 18 2" xfId="21603"/>
    <cellStyle name="Heading 1 2 3 7 3 18 2 2" xfId="21604"/>
    <cellStyle name="Heading 1 2 3 7 3 18 3" xfId="21605"/>
    <cellStyle name="Heading 1 2 3 7 3 19" xfId="21606"/>
    <cellStyle name="Heading 1 2 3 7 3 19 2" xfId="21607"/>
    <cellStyle name="Heading 1 2 3 7 3 2" xfId="21608"/>
    <cellStyle name="Heading 1 2 3 7 3 2 2" xfId="21609"/>
    <cellStyle name="Heading 1 2 3 7 3 2 2 2" xfId="21610"/>
    <cellStyle name="Heading 1 2 3 7 3 2 2 2 2" xfId="21611"/>
    <cellStyle name="Heading 1 2 3 7 3 2 2 3" xfId="21612"/>
    <cellStyle name="Heading 1 2 3 7 3 2 3" xfId="21613"/>
    <cellStyle name="Heading 1 2 3 7 3 2 3 2" xfId="21614"/>
    <cellStyle name="Heading 1 2 3 7 3 2 3 2 2" xfId="21615"/>
    <cellStyle name="Heading 1 2 3 7 3 2 3 3" xfId="21616"/>
    <cellStyle name="Heading 1 2 3 7 3 2 4" xfId="21617"/>
    <cellStyle name="Heading 1 2 3 7 3 2 4 2" xfId="21618"/>
    <cellStyle name="Heading 1 2 3 7 3 2 4 2 2" xfId="21619"/>
    <cellStyle name="Heading 1 2 3 7 3 2 4 3" xfId="21620"/>
    <cellStyle name="Heading 1 2 3 7 3 2 5" xfId="21621"/>
    <cellStyle name="Heading 1 2 3 7 3 2 5 2" xfId="21622"/>
    <cellStyle name="Heading 1 2 3 7 3 2 5 2 2" xfId="21623"/>
    <cellStyle name="Heading 1 2 3 7 3 2 5 3" xfId="21624"/>
    <cellStyle name="Heading 1 2 3 7 3 2 6" xfId="21625"/>
    <cellStyle name="Heading 1 2 3 7 3 2 6 2" xfId="21626"/>
    <cellStyle name="Heading 1 2 3 7 3 2 6 2 2" xfId="21627"/>
    <cellStyle name="Heading 1 2 3 7 3 2 6 3" xfId="21628"/>
    <cellStyle name="Heading 1 2 3 7 3 2 7" xfId="21629"/>
    <cellStyle name="Heading 1 2 3 7 3 2 7 2" xfId="21630"/>
    <cellStyle name="Heading 1 2 3 7 3 2 7 2 2" xfId="21631"/>
    <cellStyle name="Heading 1 2 3 7 3 2 7 3" xfId="21632"/>
    <cellStyle name="Heading 1 2 3 7 3 2 8" xfId="21633"/>
    <cellStyle name="Heading 1 2 3 7 3 2 8 2" xfId="21634"/>
    <cellStyle name="Heading 1 2 3 7 3 2 9" xfId="21635"/>
    <cellStyle name="Heading 1 2 3 7 3 20" xfId="21636"/>
    <cellStyle name="Heading 1 2 3 7 3 20 2" xfId="21637"/>
    <cellStyle name="Heading 1 2 3 7 3 21" xfId="21638"/>
    <cellStyle name="Heading 1 2 3 7 3 21 2" xfId="21639"/>
    <cellStyle name="Heading 1 2 3 7 3 22" xfId="21640"/>
    <cellStyle name="Heading 1 2 3 7 3 3" xfId="21641"/>
    <cellStyle name="Heading 1 2 3 7 3 3 2" xfId="21642"/>
    <cellStyle name="Heading 1 2 3 7 3 3 2 2" xfId="21643"/>
    <cellStyle name="Heading 1 2 3 7 3 3 2 2 2" xfId="21644"/>
    <cellStyle name="Heading 1 2 3 7 3 3 2 3" xfId="21645"/>
    <cellStyle name="Heading 1 2 3 7 3 3 3" xfId="21646"/>
    <cellStyle name="Heading 1 2 3 7 3 3 3 2" xfId="21647"/>
    <cellStyle name="Heading 1 2 3 7 3 3 3 2 2" xfId="21648"/>
    <cellStyle name="Heading 1 2 3 7 3 3 3 3" xfId="21649"/>
    <cellStyle name="Heading 1 2 3 7 3 3 4" xfId="21650"/>
    <cellStyle name="Heading 1 2 3 7 3 3 4 2" xfId="21651"/>
    <cellStyle name="Heading 1 2 3 7 3 3 4 2 2" xfId="21652"/>
    <cellStyle name="Heading 1 2 3 7 3 3 4 3" xfId="21653"/>
    <cellStyle name="Heading 1 2 3 7 3 3 5" xfId="21654"/>
    <cellStyle name="Heading 1 2 3 7 3 3 5 2" xfId="21655"/>
    <cellStyle name="Heading 1 2 3 7 3 3 5 2 2" xfId="21656"/>
    <cellStyle name="Heading 1 2 3 7 3 3 5 3" xfId="21657"/>
    <cellStyle name="Heading 1 2 3 7 3 3 6" xfId="21658"/>
    <cellStyle name="Heading 1 2 3 7 3 3 6 2" xfId="21659"/>
    <cellStyle name="Heading 1 2 3 7 3 3 6 2 2" xfId="21660"/>
    <cellStyle name="Heading 1 2 3 7 3 3 6 3" xfId="21661"/>
    <cellStyle name="Heading 1 2 3 7 3 3 7" xfId="21662"/>
    <cellStyle name="Heading 1 2 3 7 3 3 7 2" xfId="21663"/>
    <cellStyle name="Heading 1 2 3 7 3 3 7 2 2" xfId="21664"/>
    <cellStyle name="Heading 1 2 3 7 3 3 7 3" xfId="21665"/>
    <cellStyle name="Heading 1 2 3 7 3 3 8" xfId="21666"/>
    <cellStyle name="Heading 1 2 3 7 3 3 8 2" xfId="21667"/>
    <cellStyle name="Heading 1 2 3 7 3 3 9" xfId="21668"/>
    <cellStyle name="Heading 1 2 3 7 3 4" xfId="21669"/>
    <cellStyle name="Heading 1 2 3 7 3 4 2" xfId="21670"/>
    <cellStyle name="Heading 1 2 3 7 3 4 2 2" xfId="21671"/>
    <cellStyle name="Heading 1 2 3 7 3 4 2 2 2" xfId="21672"/>
    <cellStyle name="Heading 1 2 3 7 3 4 2 3" xfId="21673"/>
    <cellStyle name="Heading 1 2 3 7 3 4 3" xfId="21674"/>
    <cellStyle name="Heading 1 2 3 7 3 4 3 2" xfId="21675"/>
    <cellStyle name="Heading 1 2 3 7 3 4 3 2 2" xfId="21676"/>
    <cellStyle name="Heading 1 2 3 7 3 4 3 3" xfId="21677"/>
    <cellStyle name="Heading 1 2 3 7 3 4 4" xfId="21678"/>
    <cellStyle name="Heading 1 2 3 7 3 4 4 2" xfId="21679"/>
    <cellStyle name="Heading 1 2 3 7 3 4 4 2 2" xfId="21680"/>
    <cellStyle name="Heading 1 2 3 7 3 4 4 3" xfId="21681"/>
    <cellStyle name="Heading 1 2 3 7 3 4 5" xfId="21682"/>
    <cellStyle name="Heading 1 2 3 7 3 4 5 2" xfId="21683"/>
    <cellStyle name="Heading 1 2 3 7 3 4 5 2 2" xfId="21684"/>
    <cellStyle name="Heading 1 2 3 7 3 4 5 3" xfId="21685"/>
    <cellStyle name="Heading 1 2 3 7 3 4 6" xfId="21686"/>
    <cellStyle name="Heading 1 2 3 7 3 4 6 2" xfId="21687"/>
    <cellStyle name="Heading 1 2 3 7 3 4 6 2 2" xfId="21688"/>
    <cellStyle name="Heading 1 2 3 7 3 4 6 3" xfId="21689"/>
    <cellStyle name="Heading 1 2 3 7 3 4 7" xfId="21690"/>
    <cellStyle name="Heading 1 2 3 7 3 4 7 2" xfId="21691"/>
    <cellStyle name="Heading 1 2 3 7 3 4 7 2 2" xfId="21692"/>
    <cellStyle name="Heading 1 2 3 7 3 4 7 3" xfId="21693"/>
    <cellStyle name="Heading 1 2 3 7 3 4 8" xfId="21694"/>
    <cellStyle name="Heading 1 2 3 7 3 4 8 2" xfId="21695"/>
    <cellStyle name="Heading 1 2 3 7 3 4 9" xfId="21696"/>
    <cellStyle name="Heading 1 2 3 7 3 5" xfId="21697"/>
    <cellStyle name="Heading 1 2 3 7 3 5 2" xfId="21698"/>
    <cellStyle name="Heading 1 2 3 7 3 5 2 2" xfId="21699"/>
    <cellStyle name="Heading 1 2 3 7 3 5 2 2 2" xfId="21700"/>
    <cellStyle name="Heading 1 2 3 7 3 5 2 3" xfId="21701"/>
    <cellStyle name="Heading 1 2 3 7 3 5 3" xfId="21702"/>
    <cellStyle name="Heading 1 2 3 7 3 5 3 2" xfId="21703"/>
    <cellStyle name="Heading 1 2 3 7 3 5 3 2 2" xfId="21704"/>
    <cellStyle name="Heading 1 2 3 7 3 5 3 3" xfId="21705"/>
    <cellStyle name="Heading 1 2 3 7 3 5 4" xfId="21706"/>
    <cellStyle name="Heading 1 2 3 7 3 5 4 2" xfId="21707"/>
    <cellStyle name="Heading 1 2 3 7 3 5 4 2 2" xfId="21708"/>
    <cellStyle name="Heading 1 2 3 7 3 5 4 3" xfId="21709"/>
    <cellStyle name="Heading 1 2 3 7 3 5 5" xfId="21710"/>
    <cellStyle name="Heading 1 2 3 7 3 5 5 2" xfId="21711"/>
    <cellStyle name="Heading 1 2 3 7 3 5 5 2 2" xfId="21712"/>
    <cellStyle name="Heading 1 2 3 7 3 5 5 3" xfId="21713"/>
    <cellStyle name="Heading 1 2 3 7 3 5 6" xfId="21714"/>
    <cellStyle name="Heading 1 2 3 7 3 5 6 2" xfId="21715"/>
    <cellStyle name="Heading 1 2 3 7 3 5 6 2 2" xfId="21716"/>
    <cellStyle name="Heading 1 2 3 7 3 5 6 3" xfId="21717"/>
    <cellStyle name="Heading 1 2 3 7 3 5 7" xfId="21718"/>
    <cellStyle name="Heading 1 2 3 7 3 5 7 2" xfId="21719"/>
    <cellStyle name="Heading 1 2 3 7 3 5 7 2 2" xfId="21720"/>
    <cellStyle name="Heading 1 2 3 7 3 5 7 3" xfId="21721"/>
    <cellStyle name="Heading 1 2 3 7 3 5 8" xfId="21722"/>
    <cellStyle name="Heading 1 2 3 7 3 5 8 2" xfId="21723"/>
    <cellStyle name="Heading 1 2 3 7 3 5 9" xfId="21724"/>
    <cellStyle name="Heading 1 2 3 7 3 6" xfId="21725"/>
    <cellStyle name="Heading 1 2 3 7 3 6 2" xfId="21726"/>
    <cellStyle name="Heading 1 2 3 7 3 6 2 2" xfId="21727"/>
    <cellStyle name="Heading 1 2 3 7 3 6 2 2 2" xfId="21728"/>
    <cellStyle name="Heading 1 2 3 7 3 6 2 3" xfId="21729"/>
    <cellStyle name="Heading 1 2 3 7 3 6 3" xfId="21730"/>
    <cellStyle name="Heading 1 2 3 7 3 6 3 2" xfId="21731"/>
    <cellStyle name="Heading 1 2 3 7 3 6 3 2 2" xfId="21732"/>
    <cellStyle name="Heading 1 2 3 7 3 6 3 3" xfId="21733"/>
    <cellStyle name="Heading 1 2 3 7 3 6 4" xfId="21734"/>
    <cellStyle name="Heading 1 2 3 7 3 6 4 2" xfId="21735"/>
    <cellStyle name="Heading 1 2 3 7 3 6 4 2 2" xfId="21736"/>
    <cellStyle name="Heading 1 2 3 7 3 6 4 3" xfId="21737"/>
    <cellStyle name="Heading 1 2 3 7 3 6 5" xfId="21738"/>
    <cellStyle name="Heading 1 2 3 7 3 6 5 2" xfId="21739"/>
    <cellStyle name="Heading 1 2 3 7 3 6 5 2 2" xfId="21740"/>
    <cellStyle name="Heading 1 2 3 7 3 6 5 3" xfId="21741"/>
    <cellStyle name="Heading 1 2 3 7 3 6 6" xfId="21742"/>
    <cellStyle name="Heading 1 2 3 7 3 6 6 2" xfId="21743"/>
    <cellStyle name="Heading 1 2 3 7 3 6 6 2 2" xfId="21744"/>
    <cellStyle name="Heading 1 2 3 7 3 6 6 3" xfId="21745"/>
    <cellStyle name="Heading 1 2 3 7 3 6 7" xfId="21746"/>
    <cellStyle name="Heading 1 2 3 7 3 6 7 2" xfId="21747"/>
    <cellStyle name="Heading 1 2 3 7 3 6 7 2 2" xfId="21748"/>
    <cellStyle name="Heading 1 2 3 7 3 6 7 3" xfId="21749"/>
    <cellStyle name="Heading 1 2 3 7 3 6 8" xfId="21750"/>
    <cellStyle name="Heading 1 2 3 7 3 6 8 2" xfId="21751"/>
    <cellStyle name="Heading 1 2 3 7 3 6 9" xfId="21752"/>
    <cellStyle name="Heading 1 2 3 7 3 7" xfId="21753"/>
    <cellStyle name="Heading 1 2 3 7 3 7 2" xfId="21754"/>
    <cellStyle name="Heading 1 2 3 7 3 7 2 2" xfId="21755"/>
    <cellStyle name="Heading 1 2 3 7 3 7 2 2 2" xfId="21756"/>
    <cellStyle name="Heading 1 2 3 7 3 7 2 3" xfId="21757"/>
    <cellStyle name="Heading 1 2 3 7 3 7 3" xfId="21758"/>
    <cellStyle name="Heading 1 2 3 7 3 7 3 2" xfId="21759"/>
    <cellStyle name="Heading 1 2 3 7 3 7 3 2 2" xfId="21760"/>
    <cellStyle name="Heading 1 2 3 7 3 7 3 3" xfId="21761"/>
    <cellStyle name="Heading 1 2 3 7 3 7 4" xfId="21762"/>
    <cellStyle name="Heading 1 2 3 7 3 7 4 2" xfId="21763"/>
    <cellStyle name="Heading 1 2 3 7 3 7 4 2 2" xfId="21764"/>
    <cellStyle name="Heading 1 2 3 7 3 7 4 3" xfId="21765"/>
    <cellStyle name="Heading 1 2 3 7 3 7 5" xfId="21766"/>
    <cellStyle name="Heading 1 2 3 7 3 7 5 2" xfId="21767"/>
    <cellStyle name="Heading 1 2 3 7 3 7 5 2 2" xfId="21768"/>
    <cellStyle name="Heading 1 2 3 7 3 7 5 3" xfId="21769"/>
    <cellStyle name="Heading 1 2 3 7 3 7 6" xfId="21770"/>
    <cellStyle name="Heading 1 2 3 7 3 7 6 2" xfId="21771"/>
    <cellStyle name="Heading 1 2 3 7 3 7 6 2 2" xfId="21772"/>
    <cellStyle name="Heading 1 2 3 7 3 7 6 3" xfId="21773"/>
    <cellStyle name="Heading 1 2 3 7 3 7 7" xfId="21774"/>
    <cellStyle name="Heading 1 2 3 7 3 7 7 2" xfId="21775"/>
    <cellStyle name="Heading 1 2 3 7 3 7 7 2 2" xfId="21776"/>
    <cellStyle name="Heading 1 2 3 7 3 7 7 3" xfId="21777"/>
    <cellStyle name="Heading 1 2 3 7 3 7 8" xfId="21778"/>
    <cellStyle name="Heading 1 2 3 7 3 7 8 2" xfId="21779"/>
    <cellStyle name="Heading 1 2 3 7 3 7 9" xfId="21780"/>
    <cellStyle name="Heading 1 2 3 7 3 8" xfId="21781"/>
    <cellStyle name="Heading 1 2 3 7 3 8 2" xfId="21782"/>
    <cellStyle name="Heading 1 2 3 7 3 8 2 2" xfId="21783"/>
    <cellStyle name="Heading 1 2 3 7 3 8 2 2 2" xfId="21784"/>
    <cellStyle name="Heading 1 2 3 7 3 8 2 3" xfId="21785"/>
    <cellStyle name="Heading 1 2 3 7 3 8 3" xfId="21786"/>
    <cellStyle name="Heading 1 2 3 7 3 8 3 2" xfId="21787"/>
    <cellStyle name="Heading 1 2 3 7 3 8 3 2 2" xfId="21788"/>
    <cellStyle name="Heading 1 2 3 7 3 8 3 3" xfId="21789"/>
    <cellStyle name="Heading 1 2 3 7 3 8 4" xfId="21790"/>
    <cellStyle name="Heading 1 2 3 7 3 8 4 2" xfId="21791"/>
    <cellStyle name="Heading 1 2 3 7 3 8 4 2 2" xfId="21792"/>
    <cellStyle name="Heading 1 2 3 7 3 8 4 3" xfId="21793"/>
    <cellStyle name="Heading 1 2 3 7 3 8 5" xfId="21794"/>
    <cellStyle name="Heading 1 2 3 7 3 8 5 2" xfId="21795"/>
    <cellStyle name="Heading 1 2 3 7 3 8 5 2 2" xfId="21796"/>
    <cellStyle name="Heading 1 2 3 7 3 8 5 3" xfId="21797"/>
    <cellStyle name="Heading 1 2 3 7 3 8 6" xfId="21798"/>
    <cellStyle name="Heading 1 2 3 7 3 8 6 2" xfId="21799"/>
    <cellStyle name="Heading 1 2 3 7 3 8 6 2 2" xfId="21800"/>
    <cellStyle name="Heading 1 2 3 7 3 8 6 3" xfId="21801"/>
    <cellStyle name="Heading 1 2 3 7 3 8 7" xfId="21802"/>
    <cellStyle name="Heading 1 2 3 7 3 8 7 2" xfId="21803"/>
    <cellStyle name="Heading 1 2 3 7 3 8 7 2 2" xfId="21804"/>
    <cellStyle name="Heading 1 2 3 7 3 8 7 3" xfId="21805"/>
    <cellStyle name="Heading 1 2 3 7 3 8 8" xfId="21806"/>
    <cellStyle name="Heading 1 2 3 7 3 8 8 2" xfId="21807"/>
    <cellStyle name="Heading 1 2 3 7 3 8 9" xfId="21808"/>
    <cellStyle name="Heading 1 2 3 7 3 9" xfId="21809"/>
    <cellStyle name="Heading 1 2 3 7 3 9 2" xfId="21810"/>
    <cellStyle name="Heading 1 2 3 7 3 9 2 2" xfId="21811"/>
    <cellStyle name="Heading 1 2 3 7 3 9 3" xfId="21812"/>
    <cellStyle name="Heading 1 2 3 7 4" xfId="21813"/>
    <cellStyle name="Heading 1 2 3 7 4 2" xfId="21814"/>
    <cellStyle name="Heading 1 2 3 7 4 2 2" xfId="21815"/>
    <cellStyle name="Heading 1 2 3 7 4 3" xfId="21816"/>
    <cellStyle name="Heading 1 2 3 7 5" xfId="21817"/>
    <cellStyle name="Heading 1 2 3 7 5 2" xfId="21818"/>
    <cellStyle name="Heading 1 2 3 7 6" xfId="21819"/>
    <cellStyle name="Heading 1 2 3 8" xfId="21820"/>
    <cellStyle name="Heading 1 2 3 8 10" xfId="21821"/>
    <cellStyle name="Heading 1 2 3 8 10 2" xfId="21822"/>
    <cellStyle name="Heading 1 2 3 8 10 2 2" xfId="21823"/>
    <cellStyle name="Heading 1 2 3 8 10 3" xfId="21824"/>
    <cellStyle name="Heading 1 2 3 8 11" xfId="21825"/>
    <cellStyle name="Heading 1 2 3 8 11 2" xfId="21826"/>
    <cellStyle name="Heading 1 2 3 8 11 2 2" xfId="21827"/>
    <cellStyle name="Heading 1 2 3 8 11 3" xfId="21828"/>
    <cellStyle name="Heading 1 2 3 8 12" xfId="21829"/>
    <cellStyle name="Heading 1 2 3 8 12 2" xfId="21830"/>
    <cellStyle name="Heading 1 2 3 8 12 2 2" xfId="21831"/>
    <cellStyle name="Heading 1 2 3 8 12 3" xfId="21832"/>
    <cellStyle name="Heading 1 2 3 8 13" xfId="21833"/>
    <cellStyle name="Heading 1 2 3 8 13 2" xfId="21834"/>
    <cellStyle name="Heading 1 2 3 8 13 2 2" xfId="21835"/>
    <cellStyle name="Heading 1 2 3 8 13 3" xfId="21836"/>
    <cellStyle name="Heading 1 2 3 8 14" xfId="21837"/>
    <cellStyle name="Heading 1 2 3 8 14 2" xfId="21838"/>
    <cellStyle name="Heading 1 2 3 8 14 2 2" xfId="21839"/>
    <cellStyle name="Heading 1 2 3 8 14 3" xfId="21840"/>
    <cellStyle name="Heading 1 2 3 8 15" xfId="21841"/>
    <cellStyle name="Heading 1 2 3 8 15 2" xfId="21842"/>
    <cellStyle name="Heading 1 2 3 8 15 2 2" xfId="21843"/>
    <cellStyle name="Heading 1 2 3 8 15 3" xfId="21844"/>
    <cellStyle name="Heading 1 2 3 8 16" xfId="21845"/>
    <cellStyle name="Heading 1 2 3 8 16 2" xfId="21846"/>
    <cellStyle name="Heading 1 2 3 8 16 2 2" xfId="21847"/>
    <cellStyle name="Heading 1 2 3 8 16 3" xfId="21848"/>
    <cellStyle name="Heading 1 2 3 8 17" xfId="21849"/>
    <cellStyle name="Heading 1 2 3 8 17 2" xfId="21850"/>
    <cellStyle name="Heading 1 2 3 8 17 2 2" xfId="21851"/>
    <cellStyle name="Heading 1 2 3 8 17 3" xfId="21852"/>
    <cellStyle name="Heading 1 2 3 8 18" xfId="21853"/>
    <cellStyle name="Heading 1 2 3 8 18 2" xfId="21854"/>
    <cellStyle name="Heading 1 2 3 8 18 2 2" xfId="21855"/>
    <cellStyle name="Heading 1 2 3 8 18 3" xfId="21856"/>
    <cellStyle name="Heading 1 2 3 8 19" xfId="21857"/>
    <cellStyle name="Heading 1 2 3 8 19 2" xfId="21858"/>
    <cellStyle name="Heading 1 2 3 8 19 2 2" xfId="21859"/>
    <cellStyle name="Heading 1 2 3 8 19 3" xfId="21860"/>
    <cellStyle name="Heading 1 2 3 8 2" xfId="21861"/>
    <cellStyle name="Heading 1 2 3 8 2 10" xfId="21862"/>
    <cellStyle name="Heading 1 2 3 8 2 10 2" xfId="21863"/>
    <cellStyle name="Heading 1 2 3 8 2 10 2 2" xfId="21864"/>
    <cellStyle name="Heading 1 2 3 8 2 10 3" xfId="21865"/>
    <cellStyle name="Heading 1 2 3 8 2 11" xfId="21866"/>
    <cellStyle name="Heading 1 2 3 8 2 11 2" xfId="21867"/>
    <cellStyle name="Heading 1 2 3 8 2 11 2 2" xfId="21868"/>
    <cellStyle name="Heading 1 2 3 8 2 11 3" xfId="21869"/>
    <cellStyle name="Heading 1 2 3 8 2 12" xfId="21870"/>
    <cellStyle name="Heading 1 2 3 8 2 12 2" xfId="21871"/>
    <cellStyle name="Heading 1 2 3 8 2 12 2 2" xfId="21872"/>
    <cellStyle name="Heading 1 2 3 8 2 12 3" xfId="21873"/>
    <cellStyle name="Heading 1 2 3 8 2 13" xfId="21874"/>
    <cellStyle name="Heading 1 2 3 8 2 13 2" xfId="21875"/>
    <cellStyle name="Heading 1 2 3 8 2 13 2 2" xfId="21876"/>
    <cellStyle name="Heading 1 2 3 8 2 13 3" xfId="21877"/>
    <cellStyle name="Heading 1 2 3 8 2 14" xfId="21878"/>
    <cellStyle name="Heading 1 2 3 8 2 14 2" xfId="21879"/>
    <cellStyle name="Heading 1 2 3 8 2 14 2 2" xfId="21880"/>
    <cellStyle name="Heading 1 2 3 8 2 14 3" xfId="21881"/>
    <cellStyle name="Heading 1 2 3 8 2 15" xfId="21882"/>
    <cellStyle name="Heading 1 2 3 8 2 15 2" xfId="21883"/>
    <cellStyle name="Heading 1 2 3 8 2 15 2 2" xfId="21884"/>
    <cellStyle name="Heading 1 2 3 8 2 15 3" xfId="21885"/>
    <cellStyle name="Heading 1 2 3 8 2 16" xfId="21886"/>
    <cellStyle name="Heading 1 2 3 8 2 16 2" xfId="21887"/>
    <cellStyle name="Heading 1 2 3 8 2 16 2 2" xfId="21888"/>
    <cellStyle name="Heading 1 2 3 8 2 16 3" xfId="21889"/>
    <cellStyle name="Heading 1 2 3 8 2 17" xfId="21890"/>
    <cellStyle name="Heading 1 2 3 8 2 17 2" xfId="21891"/>
    <cellStyle name="Heading 1 2 3 8 2 17 2 2" xfId="21892"/>
    <cellStyle name="Heading 1 2 3 8 2 17 3" xfId="21893"/>
    <cellStyle name="Heading 1 2 3 8 2 18" xfId="21894"/>
    <cellStyle name="Heading 1 2 3 8 2 18 2" xfId="21895"/>
    <cellStyle name="Heading 1 2 3 8 2 18 2 2" xfId="21896"/>
    <cellStyle name="Heading 1 2 3 8 2 18 3" xfId="21897"/>
    <cellStyle name="Heading 1 2 3 8 2 19" xfId="21898"/>
    <cellStyle name="Heading 1 2 3 8 2 19 2" xfId="21899"/>
    <cellStyle name="Heading 1 2 3 8 2 2" xfId="21900"/>
    <cellStyle name="Heading 1 2 3 8 2 2 2" xfId="21901"/>
    <cellStyle name="Heading 1 2 3 8 2 2 2 2" xfId="21902"/>
    <cellStyle name="Heading 1 2 3 8 2 2 2 2 2" xfId="21903"/>
    <cellStyle name="Heading 1 2 3 8 2 2 2 3" xfId="21904"/>
    <cellStyle name="Heading 1 2 3 8 2 2 3" xfId="21905"/>
    <cellStyle name="Heading 1 2 3 8 2 2 3 2" xfId="21906"/>
    <cellStyle name="Heading 1 2 3 8 2 2 3 2 2" xfId="21907"/>
    <cellStyle name="Heading 1 2 3 8 2 2 3 3" xfId="21908"/>
    <cellStyle name="Heading 1 2 3 8 2 2 4" xfId="21909"/>
    <cellStyle name="Heading 1 2 3 8 2 2 4 2" xfId="21910"/>
    <cellStyle name="Heading 1 2 3 8 2 2 4 2 2" xfId="21911"/>
    <cellStyle name="Heading 1 2 3 8 2 2 4 3" xfId="21912"/>
    <cellStyle name="Heading 1 2 3 8 2 2 5" xfId="21913"/>
    <cellStyle name="Heading 1 2 3 8 2 2 5 2" xfId="21914"/>
    <cellStyle name="Heading 1 2 3 8 2 2 5 2 2" xfId="21915"/>
    <cellStyle name="Heading 1 2 3 8 2 2 5 3" xfId="21916"/>
    <cellStyle name="Heading 1 2 3 8 2 2 6" xfId="21917"/>
    <cellStyle name="Heading 1 2 3 8 2 2 6 2" xfId="21918"/>
    <cellStyle name="Heading 1 2 3 8 2 2 6 2 2" xfId="21919"/>
    <cellStyle name="Heading 1 2 3 8 2 2 6 3" xfId="21920"/>
    <cellStyle name="Heading 1 2 3 8 2 2 7" xfId="21921"/>
    <cellStyle name="Heading 1 2 3 8 2 2 7 2" xfId="21922"/>
    <cellStyle name="Heading 1 2 3 8 2 2 7 2 2" xfId="21923"/>
    <cellStyle name="Heading 1 2 3 8 2 2 7 3" xfId="21924"/>
    <cellStyle name="Heading 1 2 3 8 2 2 8" xfId="21925"/>
    <cellStyle name="Heading 1 2 3 8 2 2 8 2" xfId="21926"/>
    <cellStyle name="Heading 1 2 3 8 2 2 9" xfId="21927"/>
    <cellStyle name="Heading 1 2 3 8 2 20" xfId="21928"/>
    <cellStyle name="Heading 1 2 3 8 2 20 2" xfId="21929"/>
    <cellStyle name="Heading 1 2 3 8 2 21" xfId="21930"/>
    <cellStyle name="Heading 1 2 3 8 2 21 2" xfId="21931"/>
    <cellStyle name="Heading 1 2 3 8 2 22" xfId="21932"/>
    <cellStyle name="Heading 1 2 3 8 2 3" xfId="21933"/>
    <cellStyle name="Heading 1 2 3 8 2 3 2" xfId="21934"/>
    <cellStyle name="Heading 1 2 3 8 2 3 2 2" xfId="21935"/>
    <cellStyle name="Heading 1 2 3 8 2 3 2 2 2" xfId="21936"/>
    <cellStyle name="Heading 1 2 3 8 2 3 2 3" xfId="21937"/>
    <cellStyle name="Heading 1 2 3 8 2 3 3" xfId="21938"/>
    <cellStyle name="Heading 1 2 3 8 2 3 3 2" xfId="21939"/>
    <cellStyle name="Heading 1 2 3 8 2 3 3 2 2" xfId="21940"/>
    <cellStyle name="Heading 1 2 3 8 2 3 3 3" xfId="21941"/>
    <cellStyle name="Heading 1 2 3 8 2 3 4" xfId="21942"/>
    <cellStyle name="Heading 1 2 3 8 2 3 4 2" xfId="21943"/>
    <cellStyle name="Heading 1 2 3 8 2 3 4 2 2" xfId="21944"/>
    <cellStyle name="Heading 1 2 3 8 2 3 4 3" xfId="21945"/>
    <cellStyle name="Heading 1 2 3 8 2 3 5" xfId="21946"/>
    <cellStyle name="Heading 1 2 3 8 2 3 5 2" xfId="21947"/>
    <cellStyle name="Heading 1 2 3 8 2 3 5 2 2" xfId="21948"/>
    <cellStyle name="Heading 1 2 3 8 2 3 5 3" xfId="21949"/>
    <cellStyle name="Heading 1 2 3 8 2 3 6" xfId="21950"/>
    <cellStyle name="Heading 1 2 3 8 2 3 6 2" xfId="21951"/>
    <cellStyle name="Heading 1 2 3 8 2 3 6 2 2" xfId="21952"/>
    <cellStyle name="Heading 1 2 3 8 2 3 6 3" xfId="21953"/>
    <cellStyle name="Heading 1 2 3 8 2 3 7" xfId="21954"/>
    <cellStyle name="Heading 1 2 3 8 2 3 7 2" xfId="21955"/>
    <cellStyle name="Heading 1 2 3 8 2 3 7 2 2" xfId="21956"/>
    <cellStyle name="Heading 1 2 3 8 2 3 7 3" xfId="21957"/>
    <cellStyle name="Heading 1 2 3 8 2 3 8" xfId="21958"/>
    <cellStyle name="Heading 1 2 3 8 2 3 8 2" xfId="21959"/>
    <cellStyle name="Heading 1 2 3 8 2 3 9" xfId="21960"/>
    <cellStyle name="Heading 1 2 3 8 2 4" xfId="21961"/>
    <cellStyle name="Heading 1 2 3 8 2 4 2" xfId="21962"/>
    <cellStyle name="Heading 1 2 3 8 2 4 2 2" xfId="21963"/>
    <cellStyle name="Heading 1 2 3 8 2 4 2 2 2" xfId="21964"/>
    <cellStyle name="Heading 1 2 3 8 2 4 2 3" xfId="21965"/>
    <cellStyle name="Heading 1 2 3 8 2 4 3" xfId="21966"/>
    <cellStyle name="Heading 1 2 3 8 2 4 3 2" xfId="21967"/>
    <cellStyle name="Heading 1 2 3 8 2 4 3 2 2" xfId="21968"/>
    <cellStyle name="Heading 1 2 3 8 2 4 3 3" xfId="21969"/>
    <cellStyle name="Heading 1 2 3 8 2 4 4" xfId="21970"/>
    <cellStyle name="Heading 1 2 3 8 2 4 4 2" xfId="21971"/>
    <cellStyle name="Heading 1 2 3 8 2 4 4 2 2" xfId="21972"/>
    <cellStyle name="Heading 1 2 3 8 2 4 4 3" xfId="21973"/>
    <cellStyle name="Heading 1 2 3 8 2 4 5" xfId="21974"/>
    <cellStyle name="Heading 1 2 3 8 2 4 5 2" xfId="21975"/>
    <cellStyle name="Heading 1 2 3 8 2 4 5 2 2" xfId="21976"/>
    <cellStyle name="Heading 1 2 3 8 2 4 5 3" xfId="21977"/>
    <cellStyle name="Heading 1 2 3 8 2 4 6" xfId="21978"/>
    <cellStyle name="Heading 1 2 3 8 2 4 6 2" xfId="21979"/>
    <cellStyle name="Heading 1 2 3 8 2 4 6 2 2" xfId="21980"/>
    <cellStyle name="Heading 1 2 3 8 2 4 6 3" xfId="21981"/>
    <cellStyle name="Heading 1 2 3 8 2 4 7" xfId="21982"/>
    <cellStyle name="Heading 1 2 3 8 2 4 7 2" xfId="21983"/>
    <cellStyle name="Heading 1 2 3 8 2 4 7 2 2" xfId="21984"/>
    <cellStyle name="Heading 1 2 3 8 2 4 7 3" xfId="21985"/>
    <cellStyle name="Heading 1 2 3 8 2 4 8" xfId="21986"/>
    <cellStyle name="Heading 1 2 3 8 2 4 8 2" xfId="21987"/>
    <cellStyle name="Heading 1 2 3 8 2 4 9" xfId="21988"/>
    <cellStyle name="Heading 1 2 3 8 2 5" xfId="21989"/>
    <cellStyle name="Heading 1 2 3 8 2 5 2" xfId="21990"/>
    <cellStyle name="Heading 1 2 3 8 2 5 2 2" xfId="21991"/>
    <cellStyle name="Heading 1 2 3 8 2 5 2 2 2" xfId="21992"/>
    <cellStyle name="Heading 1 2 3 8 2 5 2 3" xfId="21993"/>
    <cellStyle name="Heading 1 2 3 8 2 5 3" xfId="21994"/>
    <cellStyle name="Heading 1 2 3 8 2 5 3 2" xfId="21995"/>
    <cellStyle name="Heading 1 2 3 8 2 5 3 2 2" xfId="21996"/>
    <cellStyle name="Heading 1 2 3 8 2 5 3 3" xfId="21997"/>
    <cellStyle name="Heading 1 2 3 8 2 5 4" xfId="21998"/>
    <cellStyle name="Heading 1 2 3 8 2 5 4 2" xfId="21999"/>
    <cellStyle name="Heading 1 2 3 8 2 5 4 2 2" xfId="22000"/>
    <cellStyle name="Heading 1 2 3 8 2 5 4 3" xfId="22001"/>
    <cellStyle name="Heading 1 2 3 8 2 5 5" xfId="22002"/>
    <cellStyle name="Heading 1 2 3 8 2 5 5 2" xfId="22003"/>
    <cellStyle name="Heading 1 2 3 8 2 5 5 2 2" xfId="22004"/>
    <cellStyle name="Heading 1 2 3 8 2 5 5 3" xfId="22005"/>
    <cellStyle name="Heading 1 2 3 8 2 5 6" xfId="22006"/>
    <cellStyle name="Heading 1 2 3 8 2 5 6 2" xfId="22007"/>
    <cellStyle name="Heading 1 2 3 8 2 5 6 2 2" xfId="22008"/>
    <cellStyle name="Heading 1 2 3 8 2 5 6 3" xfId="22009"/>
    <cellStyle name="Heading 1 2 3 8 2 5 7" xfId="22010"/>
    <cellStyle name="Heading 1 2 3 8 2 5 7 2" xfId="22011"/>
    <cellStyle name="Heading 1 2 3 8 2 5 7 2 2" xfId="22012"/>
    <cellStyle name="Heading 1 2 3 8 2 5 7 3" xfId="22013"/>
    <cellStyle name="Heading 1 2 3 8 2 5 8" xfId="22014"/>
    <cellStyle name="Heading 1 2 3 8 2 5 8 2" xfId="22015"/>
    <cellStyle name="Heading 1 2 3 8 2 5 9" xfId="22016"/>
    <cellStyle name="Heading 1 2 3 8 2 6" xfId="22017"/>
    <cellStyle name="Heading 1 2 3 8 2 6 2" xfId="22018"/>
    <cellStyle name="Heading 1 2 3 8 2 6 2 2" xfId="22019"/>
    <cellStyle name="Heading 1 2 3 8 2 6 2 2 2" xfId="22020"/>
    <cellStyle name="Heading 1 2 3 8 2 6 2 3" xfId="22021"/>
    <cellStyle name="Heading 1 2 3 8 2 6 3" xfId="22022"/>
    <cellStyle name="Heading 1 2 3 8 2 6 3 2" xfId="22023"/>
    <cellStyle name="Heading 1 2 3 8 2 6 3 2 2" xfId="22024"/>
    <cellStyle name="Heading 1 2 3 8 2 6 3 3" xfId="22025"/>
    <cellStyle name="Heading 1 2 3 8 2 6 4" xfId="22026"/>
    <cellStyle name="Heading 1 2 3 8 2 6 4 2" xfId="22027"/>
    <cellStyle name="Heading 1 2 3 8 2 6 4 2 2" xfId="22028"/>
    <cellStyle name="Heading 1 2 3 8 2 6 4 3" xfId="22029"/>
    <cellStyle name="Heading 1 2 3 8 2 6 5" xfId="22030"/>
    <cellStyle name="Heading 1 2 3 8 2 6 5 2" xfId="22031"/>
    <cellStyle name="Heading 1 2 3 8 2 6 5 2 2" xfId="22032"/>
    <cellStyle name="Heading 1 2 3 8 2 6 5 3" xfId="22033"/>
    <cellStyle name="Heading 1 2 3 8 2 6 6" xfId="22034"/>
    <cellStyle name="Heading 1 2 3 8 2 6 6 2" xfId="22035"/>
    <cellStyle name="Heading 1 2 3 8 2 6 6 2 2" xfId="22036"/>
    <cellStyle name="Heading 1 2 3 8 2 6 6 3" xfId="22037"/>
    <cellStyle name="Heading 1 2 3 8 2 6 7" xfId="22038"/>
    <cellStyle name="Heading 1 2 3 8 2 6 7 2" xfId="22039"/>
    <cellStyle name="Heading 1 2 3 8 2 6 7 2 2" xfId="22040"/>
    <cellStyle name="Heading 1 2 3 8 2 6 7 3" xfId="22041"/>
    <cellStyle name="Heading 1 2 3 8 2 6 8" xfId="22042"/>
    <cellStyle name="Heading 1 2 3 8 2 6 8 2" xfId="22043"/>
    <cellStyle name="Heading 1 2 3 8 2 6 9" xfId="22044"/>
    <cellStyle name="Heading 1 2 3 8 2 7" xfId="22045"/>
    <cellStyle name="Heading 1 2 3 8 2 7 2" xfId="22046"/>
    <cellStyle name="Heading 1 2 3 8 2 7 2 2" xfId="22047"/>
    <cellStyle name="Heading 1 2 3 8 2 7 2 2 2" xfId="22048"/>
    <cellStyle name="Heading 1 2 3 8 2 7 2 3" xfId="22049"/>
    <cellStyle name="Heading 1 2 3 8 2 7 3" xfId="22050"/>
    <cellStyle name="Heading 1 2 3 8 2 7 3 2" xfId="22051"/>
    <cellStyle name="Heading 1 2 3 8 2 7 3 2 2" xfId="22052"/>
    <cellStyle name="Heading 1 2 3 8 2 7 3 3" xfId="22053"/>
    <cellStyle name="Heading 1 2 3 8 2 7 4" xfId="22054"/>
    <cellStyle name="Heading 1 2 3 8 2 7 4 2" xfId="22055"/>
    <cellStyle name="Heading 1 2 3 8 2 7 4 2 2" xfId="22056"/>
    <cellStyle name="Heading 1 2 3 8 2 7 4 3" xfId="22057"/>
    <cellStyle name="Heading 1 2 3 8 2 7 5" xfId="22058"/>
    <cellStyle name="Heading 1 2 3 8 2 7 5 2" xfId="22059"/>
    <cellStyle name="Heading 1 2 3 8 2 7 5 2 2" xfId="22060"/>
    <cellStyle name="Heading 1 2 3 8 2 7 5 3" xfId="22061"/>
    <cellStyle name="Heading 1 2 3 8 2 7 6" xfId="22062"/>
    <cellStyle name="Heading 1 2 3 8 2 7 6 2" xfId="22063"/>
    <cellStyle name="Heading 1 2 3 8 2 7 6 2 2" xfId="22064"/>
    <cellStyle name="Heading 1 2 3 8 2 7 6 3" xfId="22065"/>
    <cellStyle name="Heading 1 2 3 8 2 7 7" xfId="22066"/>
    <cellStyle name="Heading 1 2 3 8 2 7 7 2" xfId="22067"/>
    <cellStyle name="Heading 1 2 3 8 2 7 7 2 2" xfId="22068"/>
    <cellStyle name="Heading 1 2 3 8 2 7 7 3" xfId="22069"/>
    <cellStyle name="Heading 1 2 3 8 2 7 8" xfId="22070"/>
    <cellStyle name="Heading 1 2 3 8 2 7 8 2" xfId="22071"/>
    <cellStyle name="Heading 1 2 3 8 2 7 9" xfId="22072"/>
    <cellStyle name="Heading 1 2 3 8 2 8" xfId="22073"/>
    <cellStyle name="Heading 1 2 3 8 2 8 2" xfId="22074"/>
    <cellStyle name="Heading 1 2 3 8 2 8 2 2" xfId="22075"/>
    <cellStyle name="Heading 1 2 3 8 2 8 2 2 2" xfId="22076"/>
    <cellStyle name="Heading 1 2 3 8 2 8 2 3" xfId="22077"/>
    <cellStyle name="Heading 1 2 3 8 2 8 3" xfId="22078"/>
    <cellStyle name="Heading 1 2 3 8 2 8 3 2" xfId="22079"/>
    <cellStyle name="Heading 1 2 3 8 2 8 3 2 2" xfId="22080"/>
    <cellStyle name="Heading 1 2 3 8 2 8 3 3" xfId="22081"/>
    <cellStyle name="Heading 1 2 3 8 2 8 4" xfId="22082"/>
    <cellStyle name="Heading 1 2 3 8 2 8 4 2" xfId="22083"/>
    <cellStyle name="Heading 1 2 3 8 2 8 4 2 2" xfId="22084"/>
    <cellStyle name="Heading 1 2 3 8 2 8 4 3" xfId="22085"/>
    <cellStyle name="Heading 1 2 3 8 2 8 5" xfId="22086"/>
    <cellStyle name="Heading 1 2 3 8 2 8 5 2" xfId="22087"/>
    <cellStyle name="Heading 1 2 3 8 2 8 5 2 2" xfId="22088"/>
    <cellStyle name="Heading 1 2 3 8 2 8 5 3" xfId="22089"/>
    <cellStyle name="Heading 1 2 3 8 2 8 6" xfId="22090"/>
    <cellStyle name="Heading 1 2 3 8 2 8 6 2" xfId="22091"/>
    <cellStyle name="Heading 1 2 3 8 2 8 6 2 2" xfId="22092"/>
    <cellStyle name="Heading 1 2 3 8 2 8 6 3" xfId="22093"/>
    <cellStyle name="Heading 1 2 3 8 2 8 7" xfId="22094"/>
    <cellStyle name="Heading 1 2 3 8 2 8 7 2" xfId="22095"/>
    <cellStyle name="Heading 1 2 3 8 2 8 7 2 2" xfId="22096"/>
    <cellStyle name="Heading 1 2 3 8 2 8 7 3" xfId="22097"/>
    <cellStyle name="Heading 1 2 3 8 2 8 8" xfId="22098"/>
    <cellStyle name="Heading 1 2 3 8 2 8 8 2" xfId="22099"/>
    <cellStyle name="Heading 1 2 3 8 2 8 9" xfId="22100"/>
    <cellStyle name="Heading 1 2 3 8 2 9" xfId="22101"/>
    <cellStyle name="Heading 1 2 3 8 2 9 2" xfId="22102"/>
    <cellStyle name="Heading 1 2 3 8 2 9 2 2" xfId="22103"/>
    <cellStyle name="Heading 1 2 3 8 2 9 3" xfId="22104"/>
    <cellStyle name="Heading 1 2 3 8 20" xfId="22105"/>
    <cellStyle name="Heading 1 2 3 8 20 2" xfId="22106"/>
    <cellStyle name="Heading 1 2 3 8 21" xfId="22107"/>
    <cellStyle name="Heading 1 2 3 8 21 2" xfId="22108"/>
    <cellStyle name="Heading 1 2 3 8 22" xfId="22109"/>
    <cellStyle name="Heading 1 2 3 8 22 2" xfId="22110"/>
    <cellStyle name="Heading 1 2 3 8 23" xfId="22111"/>
    <cellStyle name="Heading 1 2 3 8 3" xfId="22112"/>
    <cellStyle name="Heading 1 2 3 8 3 2" xfId="22113"/>
    <cellStyle name="Heading 1 2 3 8 3 2 2" xfId="22114"/>
    <cellStyle name="Heading 1 2 3 8 3 2 2 2" xfId="22115"/>
    <cellStyle name="Heading 1 2 3 8 3 2 3" xfId="22116"/>
    <cellStyle name="Heading 1 2 3 8 3 3" xfId="22117"/>
    <cellStyle name="Heading 1 2 3 8 3 3 2" xfId="22118"/>
    <cellStyle name="Heading 1 2 3 8 3 3 2 2" xfId="22119"/>
    <cellStyle name="Heading 1 2 3 8 3 3 3" xfId="22120"/>
    <cellStyle name="Heading 1 2 3 8 3 4" xfId="22121"/>
    <cellStyle name="Heading 1 2 3 8 3 4 2" xfId="22122"/>
    <cellStyle name="Heading 1 2 3 8 3 4 2 2" xfId="22123"/>
    <cellStyle name="Heading 1 2 3 8 3 4 3" xfId="22124"/>
    <cellStyle name="Heading 1 2 3 8 3 5" xfId="22125"/>
    <cellStyle name="Heading 1 2 3 8 3 5 2" xfId="22126"/>
    <cellStyle name="Heading 1 2 3 8 3 5 2 2" xfId="22127"/>
    <cellStyle name="Heading 1 2 3 8 3 5 3" xfId="22128"/>
    <cellStyle name="Heading 1 2 3 8 3 6" xfId="22129"/>
    <cellStyle name="Heading 1 2 3 8 3 6 2" xfId="22130"/>
    <cellStyle name="Heading 1 2 3 8 3 6 2 2" xfId="22131"/>
    <cellStyle name="Heading 1 2 3 8 3 6 3" xfId="22132"/>
    <cellStyle name="Heading 1 2 3 8 3 7" xfId="22133"/>
    <cellStyle name="Heading 1 2 3 8 3 7 2" xfId="22134"/>
    <cellStyle name="Heading 1 2 3 8 3 7 2 2" xfId="22135"/>
    <cellStyle name="Heading 1 2 3 8 3 7 3" xfId="22136"/>
    <cellStyle name="Heading 1 2 3 8 3 8" xfId="22137"/>
    <cellStyle name="Heading 1 2 3 8 3 8 2" xfId="22138"/>
    <cellStyle name="Heading 1 2 3 8 3 9" xfId="22139"/>
    <cellStyle name="Heading 1 2 3 8 4" xfId="22140"/>
    <cellStyle name="Heading 1 2 3 8 4 2" xfId="22141"/>
    <cellStyle name="Heading 1 2 3 8 4 2 2" xfId="22142"/>
    <cellStyle name="Heading 1 2 3 8 4 2 2 2" xfId="22143"/>
    <cellStyle name="Heading 1 2 3 8 4 2 3" xfId="22144"/>
    <cellStyle name="Heading 1 2 3 8 4 3" xfId="22145"/>
    <cellStyle name="Heading 1 2 3 8 4 3 2" xfId="22146"/>
    <cellStyle name="Heading 1 2 3 8 4 3 2 2" xfId="22147"/>
    <cellStyle name="Heading 1 2 3 8 4 3 3" xfId="22148"/>
    <cellStyle name="Heading 1 2 3 8 4 4" xfId="22149"/>
    <cellStyle name="Heading 1 2 3 8 4 4 2" xfId="22150"/>
    <cellStyle name="Heading 1 2 3 8 4 4 2 2" xfId="22151"/>
    <cellStyle name="Heading 1 2 3 8 4 4 3" xfId="22152"/>
    <cellStyle name="Heading 1 2 3 8 4 5" xfId="22153"/>
    <cellStyle name="Heading 1 2 3 8 4 5 2" xfId="22154"/>
    <cellStyle name="Heading 1 2 3 8 4 5 2 2" xfId="22155"/>
    <cellStyle name="Heading 1 2 3 8 4 5 3" xfId="22156"/>
    <cellStyle name="Heading 1 2 3 8 4 6" xfId="22157"/>
    <cellStyle name="Heading 1 2 3 8 4 6 2" xfId="22158"/>
    <cellStyle name="Heading 1 2 3 8 4 6 2 2" xfId="22159"/>
    <cellStyle name="Heading 1 2 3 8 4 6 3" xfId="22160"/>
    <cellStyle name="Heading 1 2 3 8 4 7" xfId="22161"/>
    <cellStyle name="Heading 1 2 3 8 4 7 2" xfId="22162"/>
    <cellStyle name="Heading 1 2 3 8 4 7 2 2" xfId="22163"/>
    <cellStyle name="Heading 1 2 3 8 4 7 3" xfId="22164"/>
    <cellStyle name="Heading 1 2 3 8 4 8" xfId="22165"/>
    <cellStyle name="Heading 1 2 3 8 4 8 2" xfId="22166"/>
    <cellStyle name="Heading 1 2 3 8 4 9" xfId="22167"/>
    <cellStyle name="Heading 1 2 3 8 5" xfId="22168"/>
    <cellStyle name="Heading 1 2 3 8 5 2" xfId="22169"/>
    <cellStyle name="Heading 1 2 3 8 5 2 2" xfId="22170"/>
    <cellStyle name="Heading 1 2 3 8 5 2 2 2" xfId="22171"/>
    <cellStyle name="Heading 1 2 3 8 5 2 3" xfId="22172"/>
    <cellStyle name="Heading 1 2 3 8 5 3" xfId="22173"/>
    <cellStyle name="Heading 1 2 3 8 5 3 2" xfId="22174"/>
    <cellStyle name="Heading 1 2 3 8 5 3 2 2" xfId="22175"/>
    <cellStyle name="Heading 1 2 3 8 5 3 3" xfId="22176"/>
    <cellStyle name="Heading 1 2 3 8 5 4" xfId="22177"/>
    <cellStyle name="Heading 1 2 3 8 5 4 2" xfId="22178"/>
    <cellStyle name="Heading 1 2 3 8 5 4 2 2" xfId="22179"/>
    <cellStyle name="Heading 1 2 3 8 5 4 3" xfId="22180"/>
    <cellStyle name="Heading 1 2 3 8 5 5" xfId="22181"/>
    <cellStyle name="Heading 1 2 3 8 5 5 2" xfId="22182"/>
    <cellStyle name="Heading 1 2 3 8 5 5 2 2" xfId="22183"/>
    <cellStyle name="Heading 1 2 3 8 5 5 3" xfId="22184"/>
    <cellStyle name="Heading 1 2 3 8 5 6" xfId="22185"/>
    <cellStyle name="Heading 1 2 3 8 5 6 2" xfId="22186"/>
    <cellStyle name="Heading 1 2 3 8 5 6 2 2" xfId="22187"/>
    <cellStyle name="Heading 1 2 3 8 5 6 3" xfId="22188"/>
    <cellStyle name="Heading 1 2 3 8 5 7" xfId="22189"/>
    <cellStyle name="Heading 1 2 3 8 5 7 2" xfId="22190"/>
    <cellStyle name="Heading 1 2 3 8 5 7 2 2" xfId="22191"/>
    <cellStyle name="Heading 1 2 3 8 5 7 3" xfId="22192"/>
    <cellStyle name="Heading 1 2 3 8 5 8" xfId="22193"/>
    <cellStyle name="Heading 1 2 3 8 5 8 2" xfId="22194"/>
    <cellStyle name="Heading 1 2 3 8 5 9" xfId="22195"/>
    <cellStyle name="Heading 1 2 3 8 6" xfId="22196"/>
    <cellStyle name="Heading 1 2 3 8 6 2" xfId="22197"/>
    <cellStyle name="Heading 1 2 3 8 6 2 2" xfId="22198"/>
    <cellStyle name="Heading 1 2 3 8 6 2 2 2" xfId="22199"/>
    <cellStyle name="Heading 1 2 3 8 6 2 3" xfId="22200"/>
    <cellStyle name="Heading 1 2 3 8 6 3" xfId="22201"/>
    <cellStyle name="Heading 1 2 3 8 6 3 2" xfId="22202"/>
    <cellStyle name="Heading 1 2 3 8 6 3 2 2" xfId="22203"/>
    <cellStyle name="Heading 1 2 3 8 6 3 3" xfId="22204"/>
    <cellStyle name="Heading 1 2 3 8 6 4" xfId="22205"/>
    <cellStyle name="Heading 1 2 3 8 6 4 2" xfId="22206"/>
    <cellStyle name="Heading 1 2 3 8 6 4 2 2" xfId="22207"/>
    <cellStyle name="Heading 1 2 3 8 6 4 3" xfId="22208"/>
    <cellStyle name="Heading 1 2 3 8 6 5" xfId="22209"/>
    <cellStyle name="Heading 1 2 3 8 6 5 2" xfId="22210"/>
    <cellStyle name="Heading 1 2 3 8 6 5 2 2" xfId="22211"/>
    <cellStyle name="Heading 1 2 3 8 6 5 3" xfId="22212"/>
    <cellStyle name="Heading 1 2 3 8 6 6" xfId="22213"/>
    <cellStyle name="Heading 1 2 3 8 6 6 2" xfId="22214"/>
    <cellStyle name="Heading 1 2 3 8 6 6 2 2" xfId="22215"/>
    <cellStyle name="Heading 1 2 3 8 6 6 3" xfId="22216"/>
    <cellStyle name="Heading 1 2 3 8 6 7" xfId="22217"/>
    <cellStyle name="Heading 1 2 3 8 6 7 2" xfId="22218"/>
    <cellStyle name="Heading 1 2 3 8 6 7 2 2" xfId="22219"/>
    <cellStyle name="Heading 1 2 3 8 6 7 3" xfId="22220"/>
    <cellStyle name="Heading 1 2 3 8 6 8" xfId="22221"/>
    <cellStyle name="Heading 1 2 3 8 6 8 2" xfId="22222"/>
    <cellStyle name="Heading 1 2 3 8 6 9" xfId="22223"/>
    <cellStyle name="Heading 1 2 3 8 7" xfId="22224"/>
    <cellStyle name="Heading 1 2 3 8 7 2" xfId="22225"/>
    <cellStyle name="Heading 1 2 3 8 7 2 2" xfId="22226"/>
    <cellStyle name="Heading 1 2 3 8 7 2 2 2" xfId="22227"/>
    <cellStyle name="Heading 1 2 3 8 7 2 3" xfId="22228"/>
    <cellStyle name="Heading 1 2 3 8 7 3" xfId="22229"/>
    <cellStyle name="Heading 1 2 3 8 7 3 2" xfId="22230"/>
    <cellStyle name="Heading 1 2 3 8 7 3 2 2" xfId="22231"/>
    <cellStyle name="Heading 1 2 3 8 7 3 3" xfId="22232"/>
    <cellStyle name="Heading 1 2 3 8 7 4" xfId="22233"/>
    <cellStyle name="Heading 1 2 3 8 7 4 2" xfId="22234"/>
    <cellStyle name="Heading 1 2 3 8 7 4 2 2" xfId="22235"/>
    <cellStyle name="Heading 1 2 3 8 7 4 3" xfId="22236"/>
    <cellStyle name="Heading 1 2 3 8 7 5" xfId="22237"/>
    <cellStyle name="Heading 1 2 3 8 7 5 2" xfId="22238"/>
    <cellStyle name="Heading 1 2 3 8 7 5 2 2" xfId="22239"/>
    <cellStyle name="Heading 1 2 3 8 7 5 3" xfId="22240"/>
    <cellStyle name="Heading 1 2 3 8 7 6" xfId="22241"/>
    <cellStyle name="Heading 1 2 3 8 7 6 2" xfId="22242"/>
    <cellStyle name="Heading 1 2 3 8 7 6 2 2" xfId="22243"/>
    <cellStyle name="Heading 1 2 3 8 7 6 3" xfId="22244"/>
    <cellStyle name="Heading 1 2 3 8 7 7" xfId="22245"/>
    <cellStyle name="Heading 1 2 3 8 7 7 2" xfId="22246"/>
    <cellStyle name="Heading 1 2 3 8 7 7 2 2" xfId="22247"/>
    <cellStyle name="Heading 1 2 3 8 7 7 3" xfId="22248"/>
    <cellStyle name="Heading 1 2 3 8 7 8" xfId="22249"/>
    <cellStyle name="Heading 1 2 3 8 7 8 2" xfId="22250"/>
    <cellStyle name="Heading 1 2 3 8 7 9" xfId="22251"/>
    <cellStyle name="Heading 1 2 3 8 8" xfId="22252"/>
    <cellStyle name="Heading 1 2 3 8 8 2" xfId="22253"/>
    <cellStyle name="Heading 1 2 3 8 8 2 2" xfId="22254"/>
    <cellStyle name="Heading 1 2 3 8 8 2 2 2" xfId="22255"/>
    <cellStyle name="Heading 1 2 3 8 8 2 3" xfId="22256"/>
    <cellStyle name="Heading 1 2 3 8 8 3" xfId="22257"/>
    <cellStyle name="Heading 1 2 3 8 8 3 2" xfId="22258"/>
    <cellStyle name="Heading 1 2 3 8 8 3 2 2" xfId="22259"/>
    <cellStyle name="Heading 1 2 3 8 8 3 3" xfId="22260"/>
    <cellStyle name="Heading 1 2 3 8 8 4" xfId="22261"/>
    <cellStyle name="Heading 1 2 3 8 8 4 2" xfId="22262"/>
    <cellStyle name="Heading 1 2 3 8 8 4 2 2" xfId="22263"/>
    <cellStyle name="Heading 1 2 3 8 8 4 3" xfId="22264"/>
    <cellStyle name="Heading 1 2 3 8 8 5" xfId="22265"/>
    <cellStyle name="Heading 1 2 3 8 8 5 2" xfId="22266"/>
    <cellStyle name="Heading 1 2 3 8 8 5 2 2" xfId="22267"/>
    <cellStyle name="Heading 1 2 3 8 8 5 3" xfId="22268"/>
    <cellStyle name="Heading 1 2 3 8 8 6" xfId="22269"/>
    <cellStyle name="Heading 1 2 3 8 8 6 2" xfId="22270"/>
    <cellStyle name="Heading 1 2 3 8 8 6 2 2" xfId="22271"/>
    <cellStyle name="Heading 1 2 3 8 8 6 3" xfId="22272"/>
    <cellStyle name="Heading 1 2 3 8 8 7" xfId="22273"/>
    <cellStyle name="Heading 1 2 3 8 8 7 2" xfId="22274"/>
    <cellStyle name="Heading 1 2 3 8 8 7 2 2" xfId="22275"/>
    <cellStyle name="Heading 1 2 3 8 8 7 3" xfId="22276"/>
    <cellStyle name="Heading 1 2 3 8 8 8" xfId="22277"/>
    <cellStyle name="Heading 1 2 3 8 8 8 2" xfId="22278"/>
    <cellStyle name="Heading 1 2 3 8 8 9" xfId="22279"/>
    <cellStyle name="Heading 1 2 3 8 9" xfId="22280"/>
    <cellStyle name="Heading 1 2 3 8 9 2" xfId="22281"/>
    <cellStyle name="Heading 1 2 3 8 9 2 2" xfId="22282"/>
    <cellStyle name="Heading 1 2 3 8 9 2 2 2" xfId="22283"/>
    <cellStyle name="Heading 1 2 3 8 9 2 3" xfId="22284"/>
    <cellStyle name="Heading 1 2 3 8 9 3" xfId="22285"/>
    <cellStyle name="Heading 1 2 3 8 9 3 2" xfId="22286"/>
    <cellStyle name="Heading 1 2 3 8 9 3 2 2" xfId="22287"/>
    <cellStyle name="Heading 1 2 3 8 9 3 3" xfId="22288"/>
    <cellStyle name="Heading 1 2 3 8 9 4" xfId="22289"/>
    <cellStyle name="Heading 1 2 3 8 9 4 2" xfId="22290"/>
    <cellStyle name="Heading 1 2 3 8 9 4 2 2" xfId="22291"/>
    <cellStyle name="Heading 1 2 3 8 9 4 3" xfId="22292"/>
    <cellStyle name="Heading 1 2 3 8 9 5" xfId="22293"/>
    <cellStyle name="Heading 1 2 3 8 9 5 2" xfId="22294"/>
    <cellStyle name="Heading 1 2 3 8 9 5 2 2" xfId="22295"/>
    <cellStyle name="Heading 1 2 3 8 9 5 3" xfId="22296"/>
    <cellStyle name="Heading 1 2 3 8 9 6" xfId="22297"/>
    <cellStyle name="Heading 1 2 3 8 9 6 2" xfId="22298"/>
    <cellStyle name="Heading 1 2 3 8 9 6 2 2" xfId="22299"/>
    <cellStyle name="Heading 1 2 3 8 9 6 3" xfId="22300"/>
    <cellStyle name="Heading 1 2 3 8 9 7" xfId="22301"/>
    <cellStyle name="Heading 1 2 3 8 9 7 2" xfId="22302"/>
    <cellStyle name="Heading 1 2 3 8 9 7 2 2" xfId="22303"/>
    <cellStyle name="Heading 1 2 3 8 9 7 3" xfId="22304"/>
    <cellStyle name="Heading 1 2 3 8 9 8" xfId="22305"/>
    <cellStyle name="Heading 1 2 3 8 9 8 2" xfId="22306"/>
    <cellStyle name="Heading 1 2 3 8 9 9" xfId="22307"/>
    <cellStyle name="Heading 1 2 3 9" xfId="22308"/>
    <cellStyle name="Heading 1 2 3 9 2" xfId="22309"/>
    <cellStyle name="Heading 1 2 3 9 2 2" xfId="22310"/>
    <cellStyle name="Heading 1 2 3 9 3" xfId="22311"/>
    <cellStyle name="Heading 1 2 3 9 3 2" xfId="22312"/>
    <cellStyle name="Heading 1 2 3 9 4" xfId="22313"/>
    <cellStyle name="Heading 1 2 3 9 4 2" xfId="22314"/>
    <cellStyle name="Heading 1 2 3 9 5" xfId="22315"/>
    <cellStyle name="Heading 1 2 4" xfId="22316"/>
    <cellStyle name="Heading 1 2 4 2" xfId="22317"/>
    <cellStyle name="Heading 1 2 4 3" xfId="22318"/>
    <cellStyle name="Heading 1 2 4 3 10" xfId="22319"/>
    <cellStyle name="Heading 1 2 4 3 10 2" xfId="22320"/>
    <cellStyle name="Heading 1 2 4 3 10 2 2" xfId="22321"/>
    <cellStyle name="Heading 1 2 4 3 10 3" xfId="22322"/>
    <cellStyle name="Heading 1 2 4 3 11" xfId="22323"/>
    <cellStyle name="Heading 1 2 4 3 11 2" xfId="22324"/>
    <cellStyle name="Heading 1 2 4 3 11 2 2" xfId="22325"/>
    <cellStyle name="Heading 1 2 4 3 11 3" xfId="22326"/>
    <cellStyle name="Heading 1 2 4 3 12" xfId="22327"/>
    <cellStyle name="Heading 1 2 4 3 12 2" xfId="22328"/>
    <cellStyle name="Heading 1 2 4 3 12 2 2" xfId="22329"/>
    <cellStyle name="Heading 1 2 4 3 12 3" xfId="22330"/>
    <cellStyle name="Heading 1 2 4 3 13" xfId="22331"/>
    <cellStyle name="Heading 1 2 4 3 13 2" xfId="22332"/>
    <cellStyle name="Heading 1 2 4 3 13 2 2" xfId="22333"/>
    <cellStyle name="Heading 1 2 4 3 13 3" xfId="22334"/>
    <cellStyle name="Heading 1 2 4 3 14" xfId="22335"/>
    <cellStyle name="Heading 1 2 4 3 14 2" xfId="22336"/>
    <cellStyle name="Heading 1 2 4 3 14 2 2" xfId="22337"/>
    <cellStyle name="Heading 1 2 4 3 14 3" xfId="22338"/>
    <cellStyle name="Heading 1 2 4 3 15" xfId="22339"/>
    <cellStyle name="Heading 1 2 4 3 15 2" xfId="22340"/>
    <cellStyle name="Heading 1 2 4 3 15 2 2" xfId="22341"/>
    <cellStyle name="Heading 1 2 4 3 15 3" xfId="22342"/>
    <cellStyle name="Heading 1 2 4 3 16" xfId="22343"/>
    <cellStyle name="Heading 1 2 4 3 16 2" xfId="22344"/>
    <cellStyle name="Heading 1 2 4 3 16 2 2" xfId="22345"/>
    <cellStyle name="Heading 1 2 4 3 16 3" xfId="22346"/>
    <cellStyle name="Heading 1 2 4 3 17" xfId="22347"/>
    <cellStyle name="Heading 1 2 4 3 17 2" xfId="22348"/>
    <cellStyle name="Heading 1 2 4 3 17 2 2" xfId="22349"/>
    <cellStyle name="Heading 1 2 4 3 17 3" xfId="22350"/>
    <cellStyle name="Heading 1 2 4 3 18" xfId="22351"/>
    <cellStyle name="Heading 1 2 4 3 18 2" xfId="22352"/>
    <cellStyle name="Heading 1 2 4 3 18 2 2" xfId="22353"/>
    <cellStyle name="Heading 1 2 4 3 18 3" xfId="22354"/>
    <cellStyle name="Heading 1 2 4 3 19" xfId="22355"/>
    <cellStyle name="Heading 1 2 4 3 19 2" xfId="22356"/>
    <cellStyle name="Heading 1 2 4 3 19 2 2" xfId="22357"/>
    <cellStyle name="Heading 1 2 4 3 19 3" xfId="22358"/>
    <cellStyle name="Heading 1 2 4 3 2" xfId="22359"/>
    <cellStyle name="Heading 1 2 4 3 2 10" xfId="22360"/>
    <cellStyle name="Heading 1 2 4 3 2 10 2" xfId="22361"/>
    <cellStyle name="Heading 1 2 4 3 2 10 2 2" xfId="22362"/>
    <cellStyle name="Heading 1 2 4 3 2 10 3" xfId="22363"/>
    <cellStyle name="Heading 1 2 4 3 2 11" xfId="22364"/>
    <cellStyle name="Heading 1 2 4 3 2 11 2" xfId="22365"/>
    <cellStyle name="Heading 1 2 4 3 2 11 2 2" xfId="22366"/>
    <cellStyle name="Heading 1 2 4 3 2 11 3" xfId="22367"/>
    <cellStyle name="Heading 1 2 4 3 2 12" xfId="22368"/>
    <cellStyle name="Heading 1 2 4 3 2 12 2" xfId="22369"/>
    <cellStyle name="Heading 1 2 4 3 2 12 2 2" xfId="22370"/>
    <cellStyle name="Heading 1 2 4 3 2 12 3" xfId="22371"/>
    <cellStyle name="Heading 1 2 4 3 2 13" xfId="22372"/>
    <cellStyle name="Heading 1 2 4 3 2 13 2" xfId="22373"/>
    <cellStyle name="Heading 1 2 4 3 2 13 2 2" xfId="22374"/>
    <cellStyle name="Heading 1 2 4 3 2 13 3" xfId="22375"/>
    <cellStyle name="Heading 1 2 4 3 2 14" xfId="22376"/>
    <cellStyle name="Heading 1 2 4 3 2 14 2" xfId="22377"/>
    <cellStyle name="Heading 1 2 4 3 2 14 2 2" xfId="22378"/>
    <cellStyle name="Heading 1 2 4 3 2 14 3" xfId="22379"/>
    <cellStyle name="Heading 1 2 4 3 2 15" xfId="22380"/>
    <cellStyle name="Heading 1 2 4 3 2 15 2" xfId="22381"/>
    <cellStyle name="Heading 1 2 4 3 2 15 2 2" xfId="22382"/>
    <cellStyle name="Heading 1 2 4 3 2 15 3" xfId="22383"/>
    <cellStyle name="Heading 1 2 4 3 2 16" xfId="22384"/>
    <cellStyle name="Heading 1 2 4 3 2 16 2" xfId="22385"/>
    <cellStyle name="Heading 1 2 4 3 2 16 2 2" xfId="22386"/>
    <cellStyle name="Heading 1 2 4 3 2 16 3" xfId="22387"/>
    <cellStyle name="Heading 1 2 4 3 2 17" xfId="22388"/>
    <cellStyle name="Heading 1 2 4 3 2 17 2" xfId="22389"/>
    <cellStyle name="Heading 1 2 4 3 2 17 2 2" xfId="22390"/>
    <cellStyle name="Heading 1 2 4 3 2 17 3" xfId="22391"/>
    <cellStyle name="Heading 1 2 4 3 2 18" xfId="22392"/>
    <cellStyle name="Heading 1 2 4 3 2 18 2" xfId="22393"/>
    <cellStyle name="Heading 1 2 4 3 2 18 2 2" xfId="22394"/>
    <cellStyle name="Heading 1 2 4 3 2 18 3" xfId="22395"/>
    <cellStyle name="Heading 1 2 4 3 2 19" xfId="22396"/>
    <cellStyle name="Heading 1 2 4 3 2 19 2" xfId="22397"/>
    <cellStyle name="Heading 1 2 4 3 2 2" xfId="22398"/>
    <cellStyle name="Heading 1 2 4 3 2 2 2" xfId="22399"/>
    <cellStyle name="Heading 1 2 4 3 2 2 2 2" xfId="22400"/>
    <cellStyle name="Heading 1 2 4 3 2 2 2 2 2" xfId="22401"/>
    <cellStyle name="Heading 1 2 4 3 2 2 2 3" xfId="22402"/>
    <cellStyle name="Heading 1 2 4 3 2 2 3" xfId="22403"/>
    <cellStyle name="Heading 1 2 4 3 2 2 3 2" xfId="22404"/>
    <cellStyle name="Heading 1 2 4 3 2 2 3 2 2" xfId="22405"/>
    <cellStyle name="Heading 1 2 4 3 2 2 3 3" xfId="22406"/>
    <cellStyle name="Heading 1 2 4 3 2 2 4" xfId="22407"/>
    <cellStyle name="Heading 1 2 4 3 2 2 4 2" xfId="22408"/>
    <cellStyle name="Heading 1 2 4 3 2 2 4 2 2" xfId="22409"/>
    <cellStyle name="Heading 1 2 4 3 2 2 4 3" xfId="22410"/>
    <cellStyle name="Heading 1 2 4 3 2 2 5" xfId="22411"/>
    <cellStyle name="Heading 1 2 4 3 2 2 5 2" xfId="22412"/>
    <cellStyle name="Heading 1 2 4 3 2 2 5 2 2" xfId="22413"/>
    <cellStyle name="Heading 1 2 4 3 2 2 5 3" xfId="22414"/>
    <cellStyle name="Heading 1 2 4 3 2 2 6" xfId="22415"/>
    <cellStyle name="Heading 1 2 4 3 2 2 6 2" xfId="22416"/>
    <cellStyle name="Heading 1 2 4 3 2 2 6 2 2" xfId="22417"/>
    <cellStyle name="Heading 1 2 4 3 2 2 6 3" xfId="22418"/>
    <cellStyle name="Heading 1 2 4 3 2 2 7" xfId="22419"/>
    <cellStyle name="Heading 1 2 4 3 2 2 7 2" xfId="22420"/>
    <cellStyle name="Heading 1 2 4 3 2 2 7 2 2" xfId="22421"/>
    <cellStyle name="Heading 1 2 4 3 2 2 7 3" xfId="22422"/>
    <cellStyle name="Heading 1 2 4 3 2 2 8" xfId="22423"/>
    <cellStyle name="Heading 1 2 4 3 2 2 8 2" xfId="22424"/>
    <cellStyle name="Heading 1 2 4 3 2 2 9" xfId="22425"/>
    <cellStyle name="Heading 1 2 4 3 2 20" xfId="22426"/>
    <cellStyle name="Heading 1 2 4 3 2 20 2" xfId="22427"/>
    <cellStyle name="Heading 1 2 4 3 2 21" xfId="22428"/>
    <cellStyle name="Heading 1 2 4 3 2 21 2" xfId="22429"/>
    <cellStyle name="Heading 1 2 4 3 2 22" xfId="22430"/>
    <cellStyle name="Heading 1 2 4 3 2 3" xfId="22431"/>
    <cellStyle name="Heading 1 2 4 3 2 3 2" xfId="22432"/>
    <cellStyle name="Heading 1 2 4 3 2 3 2 2" xfId="22433"/>
    <cellStyle name="Heading 1 2 4 3 2 3 2 2 2" xfId="22434"/>
    <cellStyle name="Heading 1 2 4 3 2 3 2 3" xfId="22435"/>
    <cellStyle name="Heading 1 2 4 3 2 3 3" xfId="22436"/>
    <cellStyle name="Heading 1 2 4 3 2 3 3 2" xfId="22437"/>
    <cellStyle name="Heading 1 2 4 3 2 3 3 2 2" xfId="22438"/>
    <cellStyle name="Heading 1 2 4 3 2 3 3 3" xfId="22439"/>
    <cellStyle name="Heading 1 2 4 3 2 3 4" xfId="22440"/>
    <cellStyle name="Heading 1 2 4 3 2 3 4 2" xfId="22441"/>
    <cellStyle name="Heading 1 2 4 3 2 3 4 2 2" xfId="22442"/>
    <cellStyle name="Heading 1 2 4 3 2 3 4 3" xfId="22443"/>
    <cellStyle name="Heading 1 2 4 3 2 3 5" xfId="22444"/>
    <cellStyle name="Heading 1 2 4 3 2 3 5 2" xfId="22445"/>
    <cellStyle name="Heading 1 2 4 3 2 3 5 2 2" xfId="22446"/>
    <cellStyle name="Heading 1 2 4 3 2 3 5 3" xfId="22447"/>
    <cellStyle name="Heading 1 2 4 3 2 3 6" xfId="22448"/>
    <cellStyle name="Heading 1 2 4 3 2 3 6 2" xfId="22449"/>
    <cellStyle name="Heading 1 2 4 3 2 3 6 2 2" xfId="22450"/>
    <cellStyle name="Heading 1 2 4 3 2 3 6 3" xfId="22451"/>
    <cellStyle name="Heading 1 2 4 3 2 3 7" xfId="22452"/>
    <cellStyle name="Heading 1 2 4 3 2 3 7 2" xfId="22453"/>
    <cellStyle name="Heading 1 2 4 3 2 3 7 2 2" xfId="22454"/>
    <cellStyle name="Heading 1 2 4 3 2 3 7 3" xfId="22455"/>
    <cellStyle name="Heading 1 2 4 3 2 3 8" xfId="22456"/>
    <cellStyle name="Heading 1 2 4 3 2 3 8 2" xfId="22457"/>
    <cellStyle name="Heading 1 2 4 3 2 3 9" xfId="22458"/>
    <cellStyle name="Heading 1 2 4 3 2 4" xfId="22459"/>
    <cellStyle name="Heading 1 2 4 3 2 4 2" xfId="22460"/>
    <cellStyle name="Heading 1 2 4 3 2 4 2 2" xfId="22461"/>
    <cellStyle name="Heading 1 2 4 3 2 4 2 2 2" xfId="22462"/>
    <cellStyle name="Heading 1 2 4 3 2 4 2 3" xfId="22463"/>
    <cellStyle name="Heading 1 2 4 3 2 4 3" xfId="22464"/>
    <cellStyle name="Heading 1 2 4 3 2 4 3 2" xfId="22465"/>
    <cellStyle name="Heading 1 2 4 3 2 4 3 2 2" xfId="22466"/>
    <cellStyle name="Heading 1 2 4 3 2 4 3 3" xfId="22467"/>
    <cellStyle name="Heading 1 2 4 3 2 4 4" xfId="22468"/>
    <cellStyle name="Heading 1 2 4 3 2 4 4 2" xfId="22469"/>
    <cellStyle name="Heading 1 2 4 3 2 4 4 2 2" xfId="22470"/>
    <cellStyle name="Heading 1 2 4 3 2 4 4 3" xfId="22471"/>
    <cellStyle name="Heading 1 2 4 3 2 4 5" xfId="22472"/>
    <cellStyle name="Heading 1 2 4 3 2 4 5 2" xfId="22473"/>
    <cellStyle name="Heading 1 2 4 3 2 4 5 2 2" xfId="22474"/>
    <cellStyle name="Heading 1 2 4 3 2 4 5 3" xfId="22475"/>
    <cellStyle name="Heading 1 2 4 3 2 4 6" xfId="22476"/>
    <cellStyle name="Heading 1 2 4 3 2 4 6 2" xfId="22477"/>
    <cellStyle name="Heading 1 2 4 3 2 4 6 2 2" xfId="22478"/>
    <cellStyle name="Heading 1 2 4 3 2 4 6 3" xfId="22479"/>
    <cellStyle name="Heading 1 2 4 3 2 4 7" xfId="22480"/>
    <cellStyle name="Heading 1 2 4 3 2 4 7 2" xfId="22481"/>
    <cellStyle name="Heading 1 2 4 3 2 4 7 2 2" xfId="22482"/>
    <cellStyle name="Heading 1 2 4 3 2 4 7 3" xfId="22483"/>
    <cellStyle name="Heading 1 2 4 3 2 4 8" xfId="22484"/>
    <cellStyle name="Heading 1 2 4 3 2 4 8 2" xfId="22485"/>
    <cellStyle name="Heading 1 2 4 3 2 4 9" xfId="22486"/>
    <cellStyle name="Heading 1 2 4 3 2 5" xfId="22487"/>
    <cellStyle name="Heading 1 2 4 3 2 5 2" xfId="22488"/>
    <cellStyle name="Heading 1 2 4 3 2 5 2 2" xfId="22489"/>
    <cellStyle name="Heading 1 2 4 3 2 5 2 2 2" xfId="22490"/>
    <cellStyle name="Heading 1 2 4 3 2 5 2 3" xfId="22491"/>
    <cellStyle name="Heading 1 2 4 3 2 5 3" xfId="22492"/>
    <cellStyle name="Heading 1 2 4 3 2 5 3 2" xfId="22493"/>
    <cellStyle name="Heading 1 2 4 3 2 5 3 2 2" xfId="22494"/>
    <cellStyle name="Heading 1 2 4 3 2 5 3 3" xfId="22495"/>
    <cellStyle name="Heading 1 2 4 3 2 5 4" xfId="22496"/>
    <cellStyle name="Heading 1 2 4 3 2 5 4 2" xfId="22497"/>
    <cellStyle name="Heading 1 2 4 3 2 5 4 2 2" xfId="22498"/>
    <cellStyle name="Heading 1 2 4 3 2 5 4 3" xfId="22499"/>
    <cellStyle name="Heading 1 2 4 3 2 5 5" xfId="22500"/>
    <cellStyle name="Heading 1 2 4 3 2 5 5 2" xfId="22501"/>
    <cellStyle name="Heading 1 2 4 3 2 5 5 2 2" xfId="22502"/>
    <cellStyle name="Heading 1 2 4 3 2 5 5 3" xfId="22503"/>
    <cellStyle name="Heading 1 2 4 3 2 5 6" xfId="22504"/>
    <cellStyle name="Heading 1 2 4 3 2 5 6 2" xfId="22505"/>
    <cellStyle name="Heading 1 2 4 3 2 5 6 2 2" xfId="22506"/>
    <cellStyle name="Heading 1 2 4 3 2 5 6 3" xfId="22507"/>
    <cellStyle name="Heading 1 2 4 3 2 5 7" xfId="22508"/>
    <cellStyle name="Heading 1 2 4 3 2 5 7 2" xfId="22509"/>
    <cellStyle name="Heading 1 2 4 3 2 5 7 2 2" xfId="22510"/>
    <cellStyle name="Heading 1 2 4 3 2 5 7 3" xfId="22511"/>
    <cellStyle name="Heading 1 2 4 3 2 5 8" xfId="22512"/>
    <cellStyle name="Heading 1 2 4 3 2 5 8 2" xfId="22513"/>
    <cellStyle name="Heading 1 2 4 3 2 5 9" xfId="22514"/>
    <cellStyle name="Heading 1 2 4 3 2 6" xfId="22515"/>
    <cellStyle name="Heading 1 2 4 3 2 6 2" xfId="22516"/>
    <cellStyle name="Heading 1 2 4 3 2 6 2 2" xfId="22517"/>
    <cellStyle name="Heading 1 2 4 3 2 6 2 2 2" xfId="22518"/>
    <cellStyle name="Heading 1 2 4 3 2 6 2 3" xfId="22519"/>
    <cellStyle name="Heading 1 2 4 3 2 6 3" xfId="22520"/>
    <cellStyle name="Heading 1 2 4 3 2 6 3 2" xfId="22521"/>
    <cellStyle name="Heading 1 2 4 3 2 6 3 2 2" xfId="22522"/>
    <cellStyle name="Heading 1 2 4 3 2 6 3 3" xfId="22523"/>
    <cellStyle name="Heading 1 2 4 3 2 6 4" xfId="22524"/>
    <cellStyle name="Heading 1 2 4 3 2 6 4 2" xfId="22525"/>
    <cellStyle name="Heading 1 2 4 3 2 6 4 2 2" xfId="22526"/>
    <cellStyle name="Heading 1 2 4 3 2 6 4 3" xfId="22527"/>
    <cellStyle name="Heading 1 2 4 3 2 6 5" xfId="22528"/>
    <cellStyle name="Heading 1 2 4 3 2 6 5 2" xfId="22529"/>
    <cellStyle name="Heading 1 2 4 3 2 6 5 2 2" xfId="22530"/>
    <cellStyle name="Heading 1 2 4 3 2 6 5 3" xfId="22531"/>
    <cellStyle name="Heading 1 2 4 3 2 6 6" xfId="22532"/>
    <cellStyle name="Heading 1 2 4 3 2 6 6 2" xfId="22533"/>
    <cellStyle name="Heading 1 2 4 3 2 6 6 2 2" xfId="22534"/>
    <cellStyle name="Heading 1 2 4 3 2 6 6 3" xfId="22535"/>
    <cellStyle name="Heading 1 2 4 3 2 6 7" xfId="22536"/>
    <cellStyle name="Heading 1 2 4 3 2 6 7 2" xfId="22537"/>
    <cellStyle name="Heading 1 2 4 3 2 6 7 2 2" xfId="22538"/>
    <cellStyle name="Heading 1 2 4 3 2 6 7 3" xfId="22539"/>
    <cellStyle name="Heading 1 2 4 3 2 6 8" xfId="22540"/>
    <cellStyle name="Heading 1 2 4 3 2 6 8 2" xfId="22541"/>
    <cellStyle name="Heading 1 2 4 3 2 6 9" xfId="22542"/>
    <cellStyle name="Heading 1 2 4 3 2 7" xfId="22543"/>
    <cellStyle name="Heading 1 2 4 3 2 7 2" xfId="22544"/>
    <cellStyle name="Heading 1 2 4 3 2 7 2 2" xfId="22545"/>
    <cellStyle name="Heading 1 2 4 3 2 7 2 2 2" xfId="22546"/>
    <cellStyle name="Heading 1 2 4 3 2 7 2 3" xfId="22547"/>
    <cellStyle name="Heading 1 2 4 3 2 7 3" xfId="22548"/>
    <cellStyle name="Heading 1 2 4 3 2 7 3 2" xfId="22549"/>
    <cellStyle name="Heading 1 2 4 3 2 7 3 2 2" xfId="22550"/>
    <cellStyle name="Heading 1 2 4 3 2 7 3 3" xfId="22551"/>
    <cellStyle name="Heading 1 2 4 3 2 7 4" xfId="22552"/>
    <cellStyle name="Heading 1 2 4 3 2 7 4 2" xfId="22553"/>
    <cellStyle name="Heading 1 2 4 3 2 7 4 2 2" xfId="22554"/>
    <cellStyle name="Heading 1 2 4 3 2 7 4 3" xfId="22555"/>
    <cellStyle name="Heading 1 2 4 3 2 7 5" xfId="22556"/>
    <cellStyle name="Heading 1 2 4 3 2 7 5 2" xfId="22557"/>
    <cellStyle name="Heading 1 2 4 3 2 7 5 2 2" xfId="22558"/>
    <cellStyle name="Heading 1 2 4 3 2 7 5 3" xfId="22559"/>
    <cellStyle name="Heading 1 2 4 3 2 7 6" xfId="22560"/>
    <cellStyle name="Heading 1 2 4 3 2 7 6 2" xfId="22561"/>
    <cellStyle name="Heading 1 2 4 3 2 7 6 2 2" xfId="22562"/>
    <cellStyle name="Heading 1 2 4 3 2 7 6 3" xfId="22563"/>
    <cellStyle name="Heading 1 2 4 3 2 7 7" xfId="22564"/>
    <cellStyle name="Heading 1 2 4 3 2 7 7 2" xfId="22565"/>
    <cellStyle name="Heading 1 2 4 3 2 7 7 2 2" xfId="22566"/>
    <cellStyle name="Heading 1 2 4 3 2 7 7 3" xfId="22567"/>
    <cellStyle name="Heading 1 2 4 3 2 7 8" xfId="22568"/>
    <cellStyle name="Heading 1 2 4 3 2 7 8 2" xfId="22569"/>
    <cellStyle name="Heading 1 2 4 3 2 7 9" xfId="22570"/>
    <cellStyle name="Heading 1 2 4 3 2 8" xfId="22571"/>
    <cellStyle name="Heading 1 2 4 3 2 8 2" xfId="22572"/>
    <cellStyle name="Heading 1 2 4 3 2 8 2 2" xfId="22573"/>
    <cellStyle name="Heading 1 2 4 3 2 8 2 2 2" xfId="22574"/>
    <cellStyle name="Heading 1 2 4 3 2 8 2 3" xfId="22575"/>
    <cellStyle name="Heading 1 2 4 3 2 8 3" xfId="22576"/>
    <cellStyle name="Heading 1 2 4 3 2 8 3 2" xfId="22577"/>
    <cellStyle name="Heading 1 2 4 3 2 8 3 2 2" xfId="22578"/>
    <cellStyle name="Heading 1 2 4 3 2 8 3 3" xfId="22579"/>
    <cellStyle name="Heading 1 2 4 3 2 8 4" xfId="22580"/>
    <cellStyle name="Heading 1 2 4 3 2 8 4 2" xfId="22581"/>
    <cellStyle name="Heading 1 2 4 3 2 8 4 2 2" xfId="22582"/>
    <cellStyle name="Heading 1 2 4 3 2 8 4 3" xfId="22583"/>
    <cellStyle name="Heading 1 2 4 3 2 8 5" xfId="22584"/>
    <cellStyle name="Heading 1 2 4 3 2 8 5 2" xfId="22585"/>
    <cellStyle name="Heading 1 2 4 3 2 8 5 2 2" xfId="22586"/>
    <cellStyle name="Heading 1 2 4 3 2 8 5 3" xfId="22587"/>
    <cellStyle name="Heading 1 2 4 3 2 8 6" xfId="22588"/>
    <cellStyle name="Heading 1 2 4 3 2 8 6 2" xfId="22589"/>
    <cellStyle name="Heading 1 2 4 3 2 8 6 2 2" xfId="22590"/>
    <cellStyle name="Heading 1 2 4 3 2 8 6 3" xfId="22591"/>
    <cellStyle name="Heading 1 2 4 3 2 8 7" xfId="22592"/>
    <cellStyle name="Heading 1 2 4 3 2 8 7 2" xfId="22593"/>
    <cellStyle name="Heading 1 2 4 3 2 8 7 2 2" xfId="22594"/>
    <cellStyle name="Heading 1 2 4 3 2 8 7 3" xfId="22595"/>
    <cellStyle name="Heading 1 2 4 3 2 8 8" xfId="22596"/>
    <cellStyle name="Heading 1 2 4 3 2 8 8 2" xfId="22597"/>
    <cellStyle name="Heading 1 2 4 3 2 8 9" xfId="22598"/>
    <cellStyle name="Heading 1 2 4 3 2 9" xfId="22599"/>
    <cellStyle name="Heading 1 2 4 3 2 9 2" xfId="22600"/>
    <cellStyle name="Heading 1 2 4 3 2 9 2 2" xfId="22601"/>
    <cellStyle name="Heading 1 2 4 3 2 9 3" xfId="22602"/>
    <cellStyle name="Heading 1 2 4 3 20" xfId="22603"/>
    <cellStyle name="Heading 1 2 4 3 20 2" xfId="22604"/>
    <cellStyle name="Heading 1 2 4 3 21" xfId="22605"/>
    <cellStyle name="Heading 1 2 4 3 21 2" xfId="22606"/>
    <cellStyle name="Heading 1 2 4 3 22" xfId="22607"/>
    <cellStyle name="Heading 1 2 4 3 22 2" xfId="22608"/>
    <cellStyle name="Heading 1 2 4 3 23" xfId="22609"/>
    <cellStyle name="Heading 1 2 4 3 3" xfId="22610"/>
    <cellStyle name="Heading 1 2 4 3 3 2" xfId="22611"/>
    <cellStyle name="Heading 1 2 4 3 3 2 2" xfId="22612"/>
    <cellStyle name="Heading 1 2 4 3 3 2 2 2" xfId="22613"/>
    <cellStyle name="Heading 1 2 4 3 3 2 3" xfId="22614"/>
    <cellStyle name="Heading 1 2 4 3 3 3" xfId="22615"/>
    <cellStyle name="Heading 1 2 4 3 3 3 2" xfId="22616"/>
    <cellStyle name="Heading 1 2 4 3 3 3 2 2" xfId="22617"/>
    <cellStyle name="Heading 1 2 4 3 3 3 3" xfId="22618"/>
    <cellStyle name="Heading 1 2 4 3 3 4" xfId="22619"/>
    <cellStyle name="Heading 1 2 4 3 3 4 2" xfId="22620"/>
    <cellStyle name="Heading 1 2 4 3 3 4 2 2" xfId="22621"/>
    <cellStyle name="Heading 1 2 4 3 3 4 3" xfId="22622"/>
    <cellStyle name="Heading 1 2 4 3 3 5" xfId="22623"/>
    <cellStyle name="Heading 1 2 4 3 3 5 2" xfId="22624"/>
    <cellStyle name="Heading 1 2 4 3 3 5 2 2" xfId="22625"/>
    <cellStyle name="Heading 1 2 4 3 3 5 3" xfId="22626"/>
    <cellStyle name="Heading 1 2 4 3 3 6" xfId="22627"/>
    <cellStyle name="Heading 1 2 4 3 3 6 2" xfId="22628"/>
    <cellStyle name="Heading 1 2 4 3 3 6 2 2" xfId="22629"/>
    <cellStyle name="Heading 1 2 4 3 3 6 3" xfId="22630"/>
    <cellStyle name="Heading 1 2 4 3 3 7" xfId="22631"/>
    <cellStyle name="Heading 1 2 4 3 3 7 2" xfId="22632"/>
    <cellStyle name="Heading 1 2 4 3 3 7 2 2" xfId="22633"/>
    <cellStyle name="Heading 1 2 4 3 3 7 3" xfId="22634"/>
    <cellStyle name="Heading 1 2 4 3 3 8" xfId="22635"/>
    <cellStyle name="Heading 1 2 4 3 3 8 2" xfId="22636"/>
    <cellStyle name="Heading 1 2 4 3 3 9" xfId="22637"/>
    <cellStyle name="Heading 1 2 4 3 4" xfId="22638"/>
    <cellStyle name="Heading 1 2 4 3 4 2" xfId="22639"/>
    <cellStyle name="Heading 1 2 4 3 4 2 2" xfId="22640"/>
    <cellStyle name="Heading 1 2 4 3 4 2 2 2" xfId="22641"/>
    <cellStyle name="Heading 1 2 4 3 4 2 3" xfId="22642"/>
    <cellStyle name="Heading 1 2 4 3 4 3" xfId="22643"/>
    <cellStyle name="Heading 1 2 4 3 4 3 2" xfId="22644"/>
    <cellStyle name="Heading 1 2 4 3 4 3 2 2" xfId="22645"/>
    <cellStyle name="Heading 1 2 4 3 4 3 3" xfId="22646"/>
    <cellStyle name="Heading 1 2 4 3 4 4" xfId="22647"/>
    <cellStyle name="Heading 1 2 4 3 4 4 2" xfId="22648"/>
    <cellStyle name="Heading 1 2 4 3 4 4 2 2" xfId="22649"/>
    <cellStyle name="Heading 1 2 4 3 4 4 3" xfId="22650"/>
    <cellStyle name="Heading 1 2 4 3 4 5" xfId="22651"/>
    <cellStyle name="Heading 1 2 4 3 4 5 2" xfId="22652"/>
    <cellStyle name="Heading 1 2 4 3 4 5 2 2" xfId="22653"/>
    <cellStyle name="Heading 1 2 4 3 4 5 3" xfId="22654"/>
    <cellStyle name="Heading 1 2 4 3 4 6" xfId="22655"/>
    <cellStyle name="Heading 1 2 4 3 4 6 2" xfId="22656"/>
    <cellStyle name="Heading 1 2 4 3 4 6 2 2" xfId="22657"/>
    <cellStyle name="Heading 1 2 4 3 4 6 3" xfId="22658"/>
    <cellStyle name="Heading 1 2 4 3 4 7" xfId="22659"/>
    <cellStyle name="Heading 1 2 4 3 4 7 2" xfId="22660"/>
    <cellStyle name="Heading 1 2 4 3 4 7 2 2" xfId="22661"/>
    <cellStyle name="Heading 1 2 4 3 4 7 3" xfId="22662"/>
    <cellStyle name="Heading 1 2 4 3 4 8" xfId="22663"/>
    <cellStyle name="Heading 1 2 4 3 4 8 2" xfId="22664"/>
    <cellStyle name="Heading 1 2 4 3 4 9" xfId="22665"/>
    <cellStyle name="Heading 1 2 4 3 5" xfId="22666"/>
    <cellStyle name="Heading 1 2 4 3 5 2" xfId="22667"/>
    <cellStyle name="Heading 1 2 4 3 5 2 2" xfId="22668"/>
    <cellStyle name="Heading 1 2 4 3 5 2 2 2" xfId="22669"/>
    <cellStyle name="Heading 1 2 4 3 5 2 3" xfId="22670"/>
    <cellStyle name="Heading 1 2 4 3 5 3" xfId="22671"/>
    <cellStyle name="Heading 1 2 4 3 5 3 2" xfId="22672"/>
    <cellStyle name="Heading 1 2 4 3 5 3 2 2" xfId="22673"/>
    <cellStyle name="Heading 1 2 4 3 5 3 3" xfId="22674"/>
    <cellStyle name="Heading 1 2 4 3 5 4" xfId="22675"/>
    <cellStyle name="Heading 1 2 4 3 5 4 2" xfId="22676"/>
    <cellStyle name="Heading 1 2 4 3 5 4 2 2" xfId="22677"/>
    <cellStyle name="Heading 1 2 4 3 5 4 3" xfId="22678"/>
    <cellStyle name="Heading 1 2 4 3 5 5" xfId="22679"/>
    <cellStyle name="Heading 1 2 4 3 5 5 2" xfId="22680"/>
    <cellStyle name="Heading 1 2 4 3 5 5 2 2" xfId="22681"/>
    <cellStyle name="Heading 1 2 4 3 5 5 3" xfId="22682"/>
    <cellStyle name="Heading 1 2 4 3 5 6" xfId="22683"/>
    <cellStyle name="Heading 1 2 4 3 5 6 2" xfId="22684"/>
    <cellStyle name="Heading 1 2 4 3 5 6 2 2" xfId="22685"/>
    <cellStyle name="Heading 1 2 4 3 5 6 3" xfId="22686"/>
    <cellStyle name="Heading 1 2 4 3 5 7" xfId="22687"/>
    <cellStyle name="Heading 1 2 4 3 5 7 2" xfId="22688"/>
    <cellStyle name="Heading 1 2 4 3 5 7 2 2" xfId="22689"/>
    <cellStyle name="Heading 1 2 4 3 5 7 3" xfId="22690"/>
    <cellStyle name="Heading 1 2 4 3 5 8" xfId="22691"/>
    <cellStyle name="Heading 1 2 4 3 5 8 2" xfId="22692"/>
    <cellStyle name="Heading 1 2 4 3 5 9" xfId="22693"/>
    <cellStyle name="Heading 1 2 4 3 6" xfId="22694"/>
    <cellStyle name="Heading 1 2 4 3 6 2" xfId="22695"/>
    <cellStyle name="Heading 1 2 4 3 6 2 2" xfId="22696"/>
    <cellStyle name="Heading 1 2 4 3 6 2 2 2" xfId="22697"/>
    <cellStyle name="Heading 1 2 4 3 6 2 3" xfId="22698"/>
    <cellStyle name="Heading 1 2 4 3 6 3" xfId="22699"/>
    <cellStyle name="Heading 1 2 4 3 6 3 2" xfId="22700"/>
    <cellStyle name="Heading 1 2 4 3 6 3 2 2" xfId="22701"/>
    <cellStyle name="Heading 1 2 4 3 6 3 3" xfId="22702"/>
    <cellStyle name="Heading 1 2 4 3 6 4" xfId="22703"/>
    <cellStyle name="Heading 1 2 4 3 6 4 2" xfId="22704"/>
    <cellStyle name="Heading 1 2 4 3 6 4 2 2" xfId="22705"/>
    <cellStyle name="Heading 1 2 4 3 6 4 3" xfId="22706"/>
    <cellStyle name="Heading 1 2 4 3 6 5" xfId="22707"/>
    <cellStyle name="Heading 1 2 4 3 6 5 2" xfId="22708"/>
    <cellStyle name="Heading 1 2 4 3 6 5 2 2" xfId="22709"/>
    <cellStyle name="Heading 1 2 4 3 6 5 3" xfId="22710"/>
    <cellStyle name="Heading 1 2 4 3 6 6" xfId="22711"/>
    <cellStyle name="Heading 1 2 4 3 6 6 2" xfId="22712"/>
    <cellStyle name="Heading 1 2 4 3 6 6 2 2" xfId="22713"/>
    <cellStyle name="Heading 1 2 4 3 6 6 3" xfId="22714"/>
    <cellStyle name="Heading 1 2 4 3 6 7" xfId="22715"/>
    <cellStyle name="Heading 1 2 4 3 6 7 2" xfId="22716"/>
    <cellStyle name="Heading 1 2 4 3 6 7 2 2" xfId="22717"/>
    <cellStyle name="Heading 1 2 4 3 6 7 3" xfId="22718"/>
    <cellStyle name="Heading 1 2 4 3 6 8" xfId="22719"/>
    <cellStyle name="Heading 1 2 4 3 6 8 2" xfId="22720"/>
    <cellStyle name="Heading 1 2 4 3 6 9" xfId="22721"/>
    <cellStyle name="Heading 1 2 4 3 7" xfId="22722"/>
    <cellStyle name="Heading 1 2 4 3 7 2" xfId="22723"/>
    <cellStyle name="Heading 1 2 4 3 7 2 2" xfId="22724"/>
    <cellStyle name="Heading 1 2 4 3 7 2 2 2" xfId="22725"/>
    <cellStyle name="Heading 1 2 4 3 7 2 3" xfId="22726"/>
    <cellStyle name="Heading 1 2 4 3 7 3" xfId="22727"/>
    <cellStyle name="Heading 1 2 4 3 7 3 2" xfId="22728"/>
    <cellStyle name="Heading 1 2 4 3 7 3 2 2" xfId="22729"/>
    <cellStyle name="Heading 1 2 4 3 7 3 3" xfId="22730"/>
    <cellStyle name="Heading 1 2 4 3 7 4" xfId="22731"/>
    <cellStyle name="Heading 1 2 4 3 7 4 2" xfId="22732"/>
    <cellStyle name="Heading 1 2 4 3 7 4 2 2" xfId="22733"/>
    <cellStyle name="Heading 1 2 4 3 7 4 3" xfId="22734"/>
    <cellStyle name="Heading 1 2 4 3 7 5" xfId="22735"/>
    <cellStyle name="Heading 1 2 4 3 7 5 2" xfId="22736"/>
    <cellStyle name="Heading 1 2 4 3 7 5 2 2" xfId="22737"/>
    <cellStyle name="Heading 1 2 4 3 7 5 3" xfId="22738"/>
    <cellStyle name="Heading 1 2 4 3 7 6" xfId="22739"/>
    <cellStyle name="Heading 1 2 4 3 7 6 2" xfId="22740"/>
    <cellStyle name="Heading 1 2 4 3 7 6 2 2" xfId="22741"/>
    <cellStyle name="Heading 1 2 4 3 7 6 3" xfId="22742"/>
    <cellStyle name="Heading 1 2 4 3 7 7" xfId="22743"/>
    <cellStyle name="Heading 1 2 4 3 7 7 2" xfId="22744"/>
    <cellStyle name="Heading 1 2 4 3 7 7 2 2" xfId="22745"/>
    <cellStyle name="Heading 1 2 4 3 7 7 3" xfId="22746"/>
    <cellStyle name="Heading 1 2 4 3 7 8" xfId="22747"/>
    <cellStyle name="Heading 1 2 4 3 7 8 2" xfId="22748"/>
    <cellStyle name="Heading 1 2 4 3 7 9" xfId="22749"/>
    <cellStyle name="Heading 1 2 4 3 8" xfId="22750"/>
    <cellStyle name="Heading 1 2 4 3 8 2" xfId="22751"/>
    <cellStyle name="Heading 1 2 4 3 8 2 2" xfId="22752"/>
    <cellStyle name="Heading 1 2 4 3 8 2 2 2" xfId="22753"/>
    <cellStyle name="Heading 1 2 4 3 8 2 3" xfId="22754"/>
    <cellStyle name="Heading 1 2 4 3 8 3" xfId="22755"/>
    <cellStyle name="Heading 1 2 4 3 8 3 2" xfId="22756"/>
    <cellStyle name="Heading 1 2 4 3 8 3 2 2" xfId="22757"/>
    <cellStyle name="Heading 1 2 4 3 8 3 3" xfId="22758"/>
    <cellStyle name="Heading 1 2 4 3 8 4" xfId="22759"/>
    <cellStyle name="Heading 1 2 4 3 8 4 2" xfId="22760"/>
    <cellStyle name="Heading 1 2 4 3 8 4 2 2" xfId="22761"/>
    <cellStyle name="Heading 1 2 4 3 8 4 3" xfId="22762"/>
    <cellStyle name="Heading 1 2 4 3 8 5" xfId="22763"/>
    <cellStyle name="Heading 1 2 4 3 8 5 2" xfId="22764"/>
    <cellStyle name="Heading 1 2 4 3 8 5 2 2" xfId="22765"/>
    <cellStyle name="Heading 1 2 4 3 8 5 3" xfId="22766"/>
    <cellStyle name="Heading 1 2 4 3 8 6" xfId="22767"/>
    <cellStyle name="Heading 1 2 4 3 8 6 2" xfId="22768"/>
    <cellStyle name="Heading 1 2 4 3 8 6 2 2" xfId="22769"/>
    <cellStyle name="Heading 1 2 4 3 8 6 3" xfId="22770"/>
    <cellStyle name="Heading 1 2 4 3 8 7" xfId="22771"/>
    <cellStyle name="Heading 1 2 4 3 8 7 2" xfId="22772"/>
    <cellStyle name="Heading 1 2 4 3 8 7 2 2" xfId="22773"/>
    <cellStyle name="Heading 1 2 4 3 8 7 3" xfId="22774"/>
    <cellStyle name="Heading 1 2 4 3 8 8" xfId="22775"/>
    <cellStyle name="Heading 1 2 4 3 8 8 2" xfId="22776"/>
    <cellStyle name="Heading 1 2 4 3 8 9" xfId="22777"/>
    <cellStyle name="Heading 1 2 4 3 9" xfId="22778"/>
    <cellStyle name="Heading 1 2 4 3 9 2" xfId="22779"/>
    <cellStyle name="Heading 1 2 4 3 9 2 2" xfId="22780"/>
    <cellStyle name="Heading 1 2 4 3 9 2 2 2" xfId="22781"/>
    <cellStyle name="Heading 1 2 4 3 9 2 3" xfId="22782"/>
    <cellStyle name="Heading 1 2 4 3 9 3" xfId="22783"/>
    <cellStyle name="Heading 1 2 4 3 9 3 2" xfId="22784"/>
    <cellStyle name="Heading 1 2 4 3 9 3 2 2" xfId="22785"/>
    <cellStyle name="Heading 1 2 4 3 9 3 3" xfId="22786"/>
    <cellStyle name="Heading 1 2 4 3 9 4" xfId="22787"/>
    <cellStyle name="Heading 1 2 4 3 9 4 2" xfId="22788"/>
    <cellStyle name="Heading 1 2 4 3 9 4 2 2" xfId="22789"/>
    <cellStyle name="Heading 1 2 4 3 9 4 3" xfId="22790"/>
    <cellStyle name="Heading 1 2 4 3 9 5" xfId="22791"/>
    <cellStyle name="Heading 1 2 4 3 9 5 2" xfId="22792"/>
    <cellStyle name="Heading 1 2 4 3 9 5 2 2" xfId="22793"/>
    <cellStyle name="Heading 1 2 4 3 9 5 3" xfId="22794"/>
    <cellStyle name="Heading 1 2 4 3 9 6" xfId="22795"/>
    <cellStyle name="Heading 1 2 4 3 9 6 2" xfId="22796"/>
    <cellStyle name="Heading 1 2 4 3 9 6 2 2" xfId="22797"/>
    <cellStyle name="Heading 1 2 4 3 9 6 3" xfId="22798"/>
    <cellStyle name="Heading 1 2 4 3 9 7" xfId="22799"/>
    <cellStyle name="Heading 1 2 4 3 9 7 2" xfId="22800"/>
    <cellStyle name="Heading 1 2 4 3 9 7 2 2" xfId="22801"/>
    <cellStyle name="Heading 1 2 4 3 9 7 3" xfId="22802"/>
    <cellStyle name="Heading 1 2 4 3 9 8" xfId="22803"/>
    <cellStyle name="Heading 1 2 4 3 9 8 2" xfId="22804"/>
    <cellStyle name="Heading 1 2 4 3 9 9" xfId="22805"/>
    <cellStyle name="Heading 1 2 4 4" xfId="22806"/>
    <cellStyle name="Heading 1 2 4 4 10" xfId="22807"/>
    <cellStyle name="Heading 1 2 4 4 10 2" xfId="22808"/>
    <cellStyle name="Heading 1 2 4 4 10 2 2" xfId="22809"/>
    <cellStyle name="Heading 1 2 4 4 10 3" xfId="22810"/>
    <cellStyle name="Heading 1 2 4 4 11" xfId="22811"/>
    <cellStyle name="Heading 1 2 4 4 11 2" xfId="22812"/>
    <cellStyle name="Heading 1 2 4 4 11 2 2" xfId="22813"/>
    <cellStyle name="Heading 1 2 4 4 11 3" xfId="22814"/>
    <cellStyle name="Heading 1 2 4 4 12" xfId="22815"/>
    <cellStyle name="Heading 1 2 4 4 12 2" xfId="22816"/>
    <cellStyle name="Heading 1 2 4 4 12 2 2" xfId="22817"/>
    <cellStyle name="Heading 1 2 4 4 12 3" xfId="22818"/>
    <cellStyle name="Heading 1 2 4 4 13" xfId="22819"/>
    <cellStyle name="Heading 1 2 4 4 13 2" xfId="22820"/>
    <cellStyle name="Heading 1 2 4 4 13 2 2" xfId="22821"/>
    <cellStyle name="Heading 1 2 4 4 13 3" xfId="22822"/>
    <cellStyle name="Heading 1 2 4 4 14" xfId="22823"/>
    <cellStyle name="Heading 1 2 4 4 14 2" xfId="22824"/>
    <cellStyle name="Heading 1 2 4 4 14 2 2" xfId="22825"/>
    <cellStyle name="Heading 1 2 4 4 14 3" xfId="22826"/>
    <cellStyle name="Heading 1 2 4 4 15" xfId="22827"/>
    <cellStyle name="Heading 1 2 4 4 15 2" xfId="22828"/>
    <cellStyle name="Heading 1 2 4 4 15 2 2" xfId="22829"/>
    <cellStyle name="Heading 1 2 4 4 15 3" xfId="22830"/>
    <cellStyle name="Heading 1 2 4 4 16" xfId="22831"/>
    <cellStyle name="Heading 1 2 4 4 16 2" xfId="22832"/>
    <cellStyle name="Heading 1 2 4 4 16 2 2" xfId="22833"/>
    <cellStyle name="Heading 1 2 4 4 16 3" xfId="22834"/>
    <cellStyle name="Heading 1 2 4 4 17" xfId="22835"/>
    <cellStyle name="Heading 1 2 4 4 17 2" xfId="22836"/>
    <cellStyle name="Heading 1 2 4 4 17 2 2" xfId="22837"/>
    <cellStyle name="Heading 1 2 4 4 17 3" xfId="22838"/>
    <cellStyle name="Heading 1 2 4 4 18" xfId="22839"/>
    <cellStyle name="Heading 1 2 4 4 18 2" xfId="22840"/>
    <cellStyle name="Heading 1 2 4 4 18 2 2" xfId="22841"/>
    <cellStyle name="Heading 1 2 4 4 18 3" xfId="22842"/>
    <cellStyle name="Heading 1 2 4 4 19" xfId="22843"/>
    <cellStyle name="Heading 1 2 4 4 19 2" xfId="22844"/>
    <cellStyle name="Heading 1 2 4 4 2" xfId="22845"/>
    <cellStyle name="Heading 1 2 4 4 2 2" xfId="22846"/>
    <cellStyle name="Heading 1 2 4 4 2 2 2" xfId="22847"/>
    <cellStyle name="Heading 1 2 4 4 2 2 2 2" xfId="22848"/>
    <cellStyle name="Heading 1 2 4 4 2 2 3" xfId="22849"/>
    <cellStyle name="Heading 1 2 4 4 2 3" xfId="22850"/>
    <cellStyle name="Heading 1 2 4 4 2 3 2" xfId="22851"/>
    <cellStyle name="Heading 1 2 4 4 2 3 2 2" xfId="22852"/>
    <cellStyle name="Heading 1 2 4 4 2 3 3" xfId="22853"/>
    <cellStyle name="Heading 1 2 4 4 2 4" xfId="22854"/>
    <cellStyle name="Heading 1 2 4 4 2 4 2" xfId="22855"/>
    <cellStyle name="Heading 1 2 4 4 2 4 2 2" xfId="22856"/>
    <cellStyle name="Heading 1 2 4 4 2 4 3" xfId="22857"/>
    <cellStyle name="Heading 1 2 4 4 2 5" xfId="22858"/>
    <cellStyle name="Heading 1 2 4 4 2 5 2" xfId="22859"/>
    <cellStyle name="Heading 1 2 4 4 2 5 2 2" xfId="22860"/>
    <cellStyle name="Heading 1 2 4 4 2 5 3" xfId="22861"/>
    <cellStyle name="Heading 1 2 4 4 2 6" xfId="22862"/>
    <cellStyle name="Heading 1 2 4 4 2 6 2" xfId="22863"/>
    <cellStyle name="Heading 1 2 4 4 2 6 2 2" xfId="22864"/>
    <cellStyle name="Heading 1 2 4 4 2 6 3" xfId="22865"/>
    <cellStyle name="Heading 1 2 4 4 2 7" xfId="22866"/>
    <cellStyle name="Heading 1 2 4 4 2 7 2" xfId="22867"/>
    <cellStyle name="Heading 1 2 4 4 2 7 2 2" xfId="22868"/>
    <cellStyle name="Heading 1 2 4 4 2 7 3" xfId="22869"/>
    <cellStyle name="Heading 1 2 4 4 2 8" xfId="22870"/>
    <cellStyle name="Heading 1 2 4 4 2 8 2" xfId="22871"/>
    <cellStyle name="Heading 1 2 4 4 2 9" xfId="22872"/>
    <cellStyle name="Heading 1 2 4 4 20" xfId="22873"/>
    <cellStyle name="Heading 1 2 4 4 20 2" xfId="22874"/>
    <cellStyle name="Heading 1 2 4 4 21" xfId="22875"/>
    <cellStyle name="Heading 1 2 4 4 21 2" xfId="22876"/>
    <cellStyle name="Heading 1 2 4 4 22" xfId="22877"/>
    <cellStyle name="Heading 1 2 4 4 3" xfId="22878"/>
    <cellStyle name="Heading 1 2 4 4 3 2" xfId="22879"/>
    <cellStyle name="Heading 1 2 4 4 3 2 2" xfId="22880"/>
    <cellStyle name="Heading 1 2 4 4 3 2 2 2" xfId="22881"/>
    <cellStyle name="Heading 1 2 4 4 3 2 3" xfId="22882"/>
    <cellStyle name="Heading 1 2 4 4 3 3" xfId="22883"/>
    <cellStyle name="Heading 1 2 4 4 3 3 2" xfId="22884"/>
    <cellStyle name="Heading 1 2 4 4 3 3 2 2" xfId="22885"/>
    <cellStyle name="Heading 1 2 4 4 3 3 3" xfId="22886"/>
    <cellStyle name="Heading 1 2 4 4 3 4" xfId="22887"/>
    <cellStyle name="Heading 1 2 4 4 3 4 2" xfId="22888"/>
    <cellStyle name="Heading 1 2 4 4 3 4 2 2" xfId="22889"/>
    <cellStyle name="Heading 1 2 4 4 3 4 3" xfId="22890"/>
    <cellStyle name="Heading 1 2 4 4 3 5" xfId="22891"/>
    <cellStyle name="Heading 1 2 4 4 3 5 2" xfId="22892"/>
    <cellStyle name="Heading 1 2 4 4 3 5 2 2" xfId="22893"/>
    <cellStyle name="Heading 1 2 4 4 3 5 3" xfId="22894"/>
    <cellStyle name="Heading 1 2 4 4 3 6" xfId="22895"/>
    <cellStyle name="Heading 1 2 4 4 3 6 2" xfId="22896"/>
    <cellStyle name="Heading 1 2 4 4 3 6 2 2" xfId="22897"/>
    <cellStyle name="Heading 1 2 4 4 3 6 3" xfId="22898"/>
    <cellStyle name="Heading 1 2 4 4 3 7" xfId="22899"/>
    <cellStyle name="Heading 1 2 4 4 3 7 2" xfId="22900"/>
    <cellStyle name="Heading 1 2 4 4 3 7 2 2" xfId="22901"/>
    <cellStyle name="Heading 1 2 4 4 3 7 3" xfId="22902"/>
    <cellStyle name="Heading 1 2 4 4 3 8" xfId="22903"/>
    <cellStyle name="Heading 1 2 4 4 3 8 2" xfId="22904"/>
    <cellStyle name="Heading 1 2 4 4 3 9" xfId="22905"/>
    <cellStyle name="Heading 1 2 4 4 4" xfId="22906"/>
    <cellStyle name="Heading 1 2 4 4 4 2" xfId="22907"/>
    <cellStyle name="Heading 1 2 4 4 4 2 2" xfId="22908"/>
    <cellStyle name="Heading 1 2 4 4 4 2 2 2" xfId="22909"/>
    <cellStyle name="Heading 1 2 4 4 4 2 3" xfId="22910"/>
    <cellStyle name="Heading 1 2 4 4 4 3" xfId="22911"/>
    <cellStyle name="Heading 1 2 4 4 4 3 2" xfId="22912"/>
    <cellStyle name="Heading 1 2 4 4 4 3 2 2" xfId="22913"/>
    <cellStyle name="Heading 1 2 4 4 4 3 3" xfId="22914"/>
    <cellStyle name="Heading 1 2 4 4 4 4" xfId="22915"/>
    <cellStyle name="Heading 1 2 4 4 4 4 2" xfId="22916"/>
    <cellStyle name="Heading 1 2 4 4 4 4 2 2" xfId="22917"/>
    <cellStyle name="Heading 1 2 4 4 4 4 3" xfId="22918"/>
    <cellStyle name="Heading 1 2 4 4 4 5" xfId="22919"/>
    <cellStyle name="Heading 1 2 4 4 4 5 2" xfId="22920"/>
    <cellStyle name="Heading 1 2 4 4 4 5 2 2" xfId="22921"/>
    <cellStyle name="Heading 1 2 4 4 4 5 3" xfId="22922"/>
    <cellStyle name="Heading 1 2 4 4 4 6" xfId="22923"/>
    <cellStyle name="Heading 1 2 4 4 4 6 2" xfId="22924"/>
    <cellStyle name="Heading 1 2 4 4 4 6 2 2" xfId="22925"/>
    <cellStyle name="Heading 1 2 4 4 4 6 3" xfId="22926"/>
    <cellStyle name="Heading 1 2 4 4 4 7" xfId="22927"/>
    <cellStyle name="Heading 1 2 4 4 4 7 2" xfId="22928"/>
    <cellStyle name="Heading 1 2 4 4 4 7 2 2" xfId="22929"/>
    <cellStyle name="Heading 1 2 4 4 4 7 3" xfId="22930"/>
    <cellStyle name="Heading 1 2 4 4 4 8" xfId="22931"/>
    <cellStyle name="Heading 1 2 4 4 4 8 2" xfId="22932"/>
    <cellStyle name="Heading 1 2 4 4 4 9" xfId="22933"/>
    <cellStyle name="Heading 1 2 4 4 5" xfId="22934"/>
    <cellStyle name="Heading 1 2 4 4 5 2" xfId="22935"/>
    <cellStyle name="Heading 1 2 4 4 5 2 2" xfId="22936"/>
    <cellStyle name="Heading 1 2 4 4 5 2 2 2" xfId="22937"/>
    <cellStyle name="Heading 1 2 4 4 5 2 3" xfId="22938"/>
    <cellStyle name="Heading 1 2 4 4 5 3" xfId="22939"/>
    <cellStyle name="Heading 1 2 4 4 5 3 2" xfId="22940"/>
    <cellStyle name="Heading 1 2 4 4 5 3 2 2" xfId="22941"/>
    <cellStyle name="Heading 1 2 4 4 5 3 3" xfId="22942"/>
    <cellStyle name="Heading 1 2 4 4 5 4" xfId="22943"/>
    <cellStyle name="Heading 1 2 4 4 5 4 2" xfId="22944"/>
    <cellStyle name="Heading 1 2 4 4 5 4 2 2" xfId="22945"/>
    <cellStyle name="Heading 1 2 4 4 5 4 3" xfId="22946"/>
    <cellStyle name="Heading 1 2 4 4 5 5" xfId="22947"/>
    <cellStyle name="Heading 1 2 4 4 5 5 2" xfId="22948"/>
    <cellStyle name="Heading 1 2 4 4 5 5 2 2" xfId="22949"/>
    <cellStyle name="Heading 1 2 4 4 5 5 3" xfId="22950"/>
    <cellStyle name="Heading 1 2 4 4 5 6" xfId="22951"/>
    <cellStyle name="Heading 1 2 4 4 5 6 2" xfId="22952"/>
    <cellStyle name="Heading 1 2 4 4 5 6 2 2" xfId="22953"/>
    <cellStyle name="Heading 1 2 4 4 5 6 3" xfId="22954"/>
    <cellStyle name="Heading 1 2 4 4 5 7" xfId="22955"/>
    <cellStyle name="Heading 1 2 4 4 5 7 2" xfId="22956"/>
    <cellStyle name="Heading 1 2 4 4 5 7 2 2" xfId="22957"/>
    <cellStyle name="Heading 1 2 4 4 5 7 3" xfId="22958"/>
    <cellStyle name="Heading 1 2 4 4 5 8" xfId="22959"/>
    <cellStyle name="Heading 1 2 4 4 5 8 2" xfId="22960"/>
    <cellStyle name="Heading 1 2 4 4 5 9" xfId="22961"/>
    <cellStyle name="Heading 1 2 4 4 6" xfId="22962"/>
    <cellStyle name="Heading 1 2 4 4 6 2" xfId="22963"/>
    <cellStyle name="Heading 1 2 4 4 6 2 2" xfId="22964"/>
    <cellStyle name="Heading 1 2 4 4 6 2 2 2" xfId="22965"/>
    <cellStyle name="Heading 1 2 4 4 6 2 3" xfId="22966"/>
    <cellStyle name="Heading 1 2 4 4 6 3" xfId="22967"/>
    <cellStyle name="Heading 1 2 4 4 6 3 2" xfId="22968"/>
    <cellStyle name="Heading 1 2 4 4 6 3 2 2" xfId="22969"/>
    <cellStyle name="Heading 1 2 4 4 6 3 3" xfId="22970"/>
    <cellStyle name="Heading 1 2 4 4 6 4" xfId="22971"/>
    <cellStyle name="Heading 1 2 4 4 6 4 2" xfId="22972"/>
    <cellStyle name="Heading 1 2 4 4 6 4 2 2" xfId="22973"/>
    <cellStyle name="Heading 1 2 4 4 6 4 3" xfId="22974"/>
    <cellStyle name="Heading 1 2 4 4 6 5" xfId="22975"/>
    <cellStyle name="Heading 1 2 4 4 6 5 2" xfId="22976"/>
    <cellStyle name="Heading 1 2 4 4 6 5 2 2" xfId="22977"/>
    <cellStyle name="Heading 1 2 4 4 6 5 3" xfId="22978"/>
    <cellStyle name="Heading 1 2 4 4 6 6" xfId="22979"/>
    <cellStyle name="Heading 1 2 4 4 6 6 2" xfId="22980"/>
    <cellStyle name="Heading 1 2 4 4 6 6 2 2" xfId="22981"/>
    <cellStyle name="Heading 1 2 4 4 6 6 3" xfId="22982"/>
    <cellStyle name="Heading 1 2 4 4 6 7" xfId="22983"/>
    <cellStyle name="Heading 1 2 4 4 6 7 2" xfId="22984"/>
    <cellStyle name="Heading 1 2 4 4 6 7 2 2" xfId="22985"/>
    <cellStyle name="Heading 1 2 4 4 6 7 3" xfId="22986"/>
    <cellStyle name="Heading 1 2 4 4 6 8" xfId="22987"/>
    <cellStyle name="Heading 1 2 4 4 6 8 2" xfId="22988"/>
    <cellStyle name="Heading 1 2 4 4 6 9" xfId="22989"/>
    <cellStyle name="Heading 1 2 4 4 7" xfId="22990"/>
    <cellStyle name="Heading 1 2 4 4 7 2" xfId="22991"/>
    <cellStyle name="Heading 1 2 4 4 7 2 2" xfId="22992"/>
    <cellStyle name="Heading 1 2 4 4 7 2 2 2" xfId="22993"/>
    <cellStyle name="Heading 1 2 4 4 7 2 3" xfId="22994"/>
    <cellStyle name="Heading 1 2 4 4 7 3" xfId="22995"/>
    <cellStyle name="Heading 1 2 4 4 7 3 2" xfId="22996"/>
    <cellStyle name="Heading 1 2 4 4 7 3 2 2" xfId="22997"/>
    <cellStyle name="Heading 1 2 4 4 7 3 3" xfId="22998"/>
    <cellStyle name="Heading 1 2 4 4 7 4" xfId="22999"/>
    <cellStyle name="Heading 1 2 4 4 7 4 2" xfId="23000"/>
    <cellStyle name="Heading 1 2 4 4 7 4 2 2" xfId="23001"/>
    <cellStyle name="Heading 1 2 4 4 7 4 3" xfId="23002"/>
    <cellStyle name="Heading 1 2 4 4 7 5" xfId="23003"/>
    <cellStyle name="Heading 1 2 4 4 7 5 2" xfId="23004"/>
    <cellStyle name="Heading 1 2 4 4 7 5 2 2" xfId="23005"/>
    <cellStyle name="Heading 1 2 4 4 7 5 3" xfId="23006"/>
    <cellStyle name="Heading 1 2 4 4 7 6" xfId="23007"/>
    <cellStyle name="Heading 1 2 4 4 7 6 2" xfId="23008"/>
    <cellStyle name="Heading 1 2 4 4 7 6 2 2" xfId="23009"/>
    <cellStyle name="Heading 1 2 4 4 7 6 3" xfId="23010"/>
    <cellStyle name="Heading 1 2 4 4 7 7" xfId="23011"/>
    <cellStyle name="Heading 1 2 4 4 7 7 2" xfId="23012"/>
    <cellStyle name="Heading 1 2 4 4 7 7 2 2" xfId="23013"/>
    <cellStyle name="Heading 1 2 4 4 7 7 3" xfId="23014"/>
    <cellStyle name="Heading 1 2 4 4 7 8" xfId="23015"/>
    <cellStyle name="Heading 1 2 4 4 7 8 2" xfId="23016"/>
    <cellStyle name="Heading 1 2 4 4 7 9" xfId="23017"/>
    <cellStyle name="Heading 1 2 4 4 8" xfId="23018"/>
    <cellStyle name="Heading 1 2 4 4 8 2" xfId="23019"/>
    <cellStyle name="Heading 1 2 4 4 8 2 2" xfId="23020"/>
    <cellStyle name="Heading 1 2 4 4 8 2 2 2" xfId="23021"/>
    <cellStyle name="Heading 1 2 4 4 8 2 3" xfId="23022"/>
    <cellStyle name="Heading 1 2 4 4 8 3" xfId="23023"/>
    <cellStyle name="Heading 1 2 4 4 8 3 2" xfId="23024"/>
    <cellStyle name="Heading 1 2 4 4 8 3 2 2" xfId="23025"/>
    <cellStyle name="Heading 1 2 4 4 8 3 3" xfId="23026"/>
    <cellStyle name="Heading 1 2 4 4 8 4" xfId="23027"/>
    <cellStyle name="Heading 1 2 4 4 8 4 2" xfId="23028"/>
    <cellStyle name="Heading 1 2 4 4 8 4 2 2" xfId="23029"/>
    <cellStyle name="Heading 1 2 4 4 8 4 3" xfId="23030"/>
    <cellStyle name="Heading 1 2 4 4 8 5" xfId="23031"/>
    <cellStyle name="Heading 1 2 4 4 8 5 2" xfId="23032"/>
    <cellStyle name="Heading 1 2 4 4 8 5 2 2" xfId="23033"/>
    <cellStyle name="Heading 1 2 4 4 8 5 3" xfId="23034"/>
    <cellStyle name="Heading 1 2 4 4 8 6" xfId="23035"/>
    <cellStyle name="Heading 1 2 4 4 8 6 2" xfId="23036"/>
    <cellStyle name="Heading 1 2 4 4 8 6 2 2" xfId="23037"/>
    <cellStyle name="Heading 1 2 4 4 8 6 3" xfId="23038"/>
    <cellStyle name="Heading 1 2 4 4 8 7" xfId="23039"/>
    <cellStyle name="Heading 1 2 4 4 8 7 2" xfId="23040"/>
    <cellStyle name="Heading 1 2 4 4 8 7 2 2" xfId="23041"/>
    <cellStyle name="Heading 1 2 4 4 8 7 3" xfId="23042"/>
    <cellStyle name="Heading 1 2 4 4 8 8" xfId="23043"/>
    <cellStyle name="Heading 1 2 4 4 8 8 2" xfId="23044"/>
    <cellStyle name="Heading 1 2 4 4 8 9" xfId="23045"/>
    <cellStyle name="Heading 1 2 4 4 9" xfId="23046"/>
    <cellStyle name="Heading 1 2 4 4 9 2" xfId="23047"/>
    <cellStyle name="Heading 1 2 4 4 9 2 2" xfId="23048"/>
    <cellStyle name="Heading 1 2 4 4 9 3" xfId="23049"/>
    <cellStyle name="Heading 1 2 4 5" xfId="23050"/>
    <cellStyle name="Heading 1 2 4 5 2" xfId="23051"/>
    <cellStyle name="Heading 1 2 4 5 2 2" xfId="23052"/>
    <cellStyle name="Heading 1 2 4 5 3" xfId="23053"/>
    <cellStyle name="Heading 1 2 4 6" xfId="23054"/>
    <cellStyle name="Heading 1 2 4 6 2" xfId="23055"/>
    <cellStyle name="Heading 1 2 4 7" xfId="23056"/>
    <cellStyle name="Heading 1 2 5" xfId="23057"/>
    <cellStyle name="Heading 1 2 5 2" xfId="23058"/>
    <cellStyle name="Heading 1 2 5 2 10" xfId="23059"/>
    <cellStyle name="Heading 1 2 5 2 10 2" xfId="23060"/>
    <cellStyle name="Heading 1 2 5 2 10 2 2" xfId="23061"/>
    <cellStyle name="Heading 1 2 5 2 10 3" xfId="23062"/>
    <cellStyle name="Heading 1 2 5 2 11" xfId="23063"/>
    <cellStyle name="Heading 1 2 5 2 11 2" xfId="23064"/>
    <cellStyle name="Heading 1 2 5 2 11 2 2" xfId="23065"/>
    <cellStyle name="Heading 1 2 5 2 11 3" xfId="23066"/>
    <cellStyle name="Heading 1 2 5 2 12" xfId="23067"/>
    <cellStyle name="Heading 1 2 5 2 12 2" xfId="23068"/>
    <cellStyle name="Heading 1 2 5 2 12 2 2" xfId="23069"/>
    <cellStyle name="Heading 1 2 5 2 12 3" xfId="23070"/>
    <cellStyle name="Heading 1 2 5 2 13" xfId="23071"/>
    <cellStyle name="Heading 1 2 5 2 13 2" xfId="23072"/>
    <cellStyle name="Heading 1 2 5 2 13 2 2" xfId="23073"/>
    <cellStyle name="Heading 1 2 5 2 13 3" xfId="23074"/>
    <cellStyle name="Heading 1 2 5 2 14" xfId="23075"/>
    <cellStyle name="Heading 1 2 5 2 14 2" xfId="23076"/>
    <cellStyle name="Heading 1 2 5 2 14 2 2" xfId="23077"/>
    <cellStyle name="Heading 1 2 5 2 14 3" xfId="23078"/>
    <cellStyle name="Heading 1 2 5 2 15" xfId="23079"/>
    <cellStyle name="Heading 1 2 5 2 15 2" xfId="23080"/>
    <cellStyle name="Heading 1 2 5 2 15 2 2" xfId="23081"/>
    <cellStyle name="Heading 1 2 5 2 15 3" xfId="23082"/>
    <cellStyle name="Heading 1 2 5 2 16" xfId="23083"/>
    <cellStyle name="Heading 1 2 5 2 16 2" xfId="23084"/>
    <cellStyle name="Heading 1 2 5 2 16 2 2" xfId="23085"/>
    <cellStyle name="Heading 1 2 5 2 16 3" xfId="23086"/>
    <cellStyle name="Heading 1 2 5 2 17" xfId="23087"/>
    <cellStyle name="Heading 1 2 5 2 17 2" xfId="23088"/>
    <cellStyle name="Heading 1 2 5 2 17 2 2" xfId="23089"/>
    <cellStyle name="Heading 1 2 5 2 17 3" xfId="23090"/>
    <cellStyle name="Heading 1 2 5 2 18" xfId="23091"/>
    <cellStyle name="Heading 1 2 5 2 18 2" xfId="23092"/>
    <cellStyle name="Heading 1 2 5 2 18 2 2" xfId="23093"/>
    <cellStyle name="Heading 1 2 5 2 18 3" xfId="23094"/>
    <cellStyle name="Heading 1 2 5 2 19" xfId="23095"/>
    <cellStyle name="Heading 1 2 5 2 19 2" xfId="23096"/>
    <cellStyle name="Heading 1 2 5 2 19 2 2" xfId="23097"/>
    <cellStyle name="Heading 1 2 5 2 19 3" xfId="23098"/>
    <cellStyle name="Heading 1 2 5 2 2" xfId="23099"/>
    <cellStyle name="Heading 1 2 5 2 2 10" xfId="23100"/>
    <cellStyle name="Heading 1 2 5 2 2 10 2" xfId="23101"/>
    <cellStyle name="Heading 1 2 5 2 2 10 2 2" xfId="23102"/>
    <cellStyle name="Heading 1 2 5 2 2 10 3" xfId="23103"/>
    <cellStyle name="Heading 1 2 5 2 2 11" xfId="23104"/>
    <cellStyle name="Heading 1 2 5 2 2 11 2" xfId="23105"/>
    <cellStyle name="Heading 1 2 5 2 2 11 2 2" xfId="23106"/>
    <cellStyle name="Heading 1 2 5 2 2 11 3" xfId="23107"/>
    <cellStyle name="Heading 1 2 5 2 2 12" xfId="23108"/>
    <cellStyle name="Heading 1 2 5 2 2 12 2" xfId="23109"/>
    <cellStyle name="Heading 1 2 5 2 2 12 2 2" xfId="23110"/>
    <cellStyle name="Heading 1 2 5 2 2 12 3" xfId="23111"/>
    <cellStyle name="Heading 1 2 5 2 2 13" xfId="23112"/>
    <cellStyle name="Heading 1 2 5 2 2 13 2" xfId="23113"/>
    <cellStyle name="Heading 1 2 5 2 2 13 2 2" xfId="23114"/>
    <cellStyle name="Heading 1 2 5 2 2 13 3" xfId="23115"/>
    <cellStyle name="Heading 1 2 5 2 2 14" xfId="23116"/>
    <cellStyle name="Heading 1 2 5 2 2 14 2" xfId="23117"/>
    <cellStyle name="Heading 1 2 5 2 2 14 2 2" xfId="23118"/>
    <cellStyle name="Heading 1 2 5 2 2 14 3" xfId="23119"/>
    <cellStyle name="Heading 1 2 5 2 2 15" xfId="23120"/>
    <cellStyle name="Heading 1 2 5 2 2 15 2" xfId="23121"/>
    <cellStyle name="Heading 1 2 5 2 2 15 2 2" xfId="23122"/>
    <cellStyle name="Heading 1 2 5 2 2 15 3" xfId="23123"/>
    <cellStyle name="Heading 1 2 5 2 2 16" xfId="23124"/>
    <cellStyle name="Heading 1 2 5 2 2 16 2" xfId="23125"/>
    <cellStyle name="Heading 1 2 5 2 2 16 2 2" xfId="23126"/>
    <cellStyle name="Heading 1 2 5 2 2 16 3" xfId="23127"/>
    <cellStyle name="Heading 1 2 5 2 2 17" xfId="23128"/>
    <cellStyle name="Heading 1 2 5 2 2 17 2" xfId="23129"/>
    <cellStyle name="Heading 1 2 5 2 2 17 2 2" xfId="23130"/>
    <cellStyle name="Heading 1 2 5 2 2 17 3" xfId="23131"/>
    <cellStyle name="Heading 1 2 5 2 2 18" xfId="23132"/>
    <cellStyle name="Heading 1 2 5 2 2 18 2" xfId="23133"/>
    <cellStyle name="Heading 1 2 5 2 2 18 2 2" xfId="23134"/>
    <cellStyle name="Heading 1 2 5 2 2 18 3" xfId="23135"/>
    <cellStyle name="Heading 1 2 5 2 2 19" xfId="23136"/>
    <cellStyle name="Heading 1 2 5 2 2 19 2" xfId="23137"/>
    <cellStyle name="Heading 1 2 5 2 2 2" xfId="23138"/>
    <cellStyle name="Heading 1 2 5 2 2 2 2" xfId="23139"/>
    <cellStyle name="Heading 1 2 5 2 2 2 2 2" xfId="23140"/>
    <cellStyle name="Heading 1 2 5 2 2 2 2 2 2" xfId="23141"/>
    <cellStyle name="Heading 1 2 5 2 2 2 2 3" xfId="23142"/>
    <cellStyle name="Heading 1 2 5 2 2 2 3" xfId="23143"/>
    <cellStyle name="Heading 1 2 5 2 2 2 3 2" xfId="23144"/>
    <cellStyle name="Heading 1 2 5 2 2 2 3 2 2" xfId="23145"/>
    <cellStyle name="Heading 1 2 5 2 2 2 3 3" xfId="23146"/>
    <cellStyle name="Heading 1 2 5 2 2 2 4" xfId="23147"/>
    <cellStyle name="Heading 1 2 5 2 2 2 4 2" xfId="23148"/>
    <cellStyle name="Heading 1 2 5 2 2 2 4 2 2" xfId="23149"/>
    <cellStyle name="Heading 1 2 5 2 2 2 4 3" xfId="23150"/>
    <cellStyle name="Heading 1 2 5 2 2 2 5" xfId="23151"/>
    <cellStyle name="Heading 1 2 5 2 2 2 5 2" xfId="23152"/>
    <cellStyle name="Heading 1 2 5 2 2 2 5 2 2" xfId="23153"/>
    <cellStyle name="Heading 1 2 5 2 2 2 5 3" xfId="23154"/>
    <cellStyle name="Heading 1 2 5 2 2 2 6" xfId="23155"/>
    <cellStyle name="Heading 1 2 5 2 2 2 6 2" xfId="23156"/>
    <cellStyle name="Heading 1 2 5 2 2 2 6 2 2" xfId="23157"/>
    <cellStyle name="Heading 1 2 5 2 2 2 6 3" xfId="23158"/>
    <cellStyle name="Heading 1 2 5 2 2 2 7" xfId="23159"/>
    <cellStyle name="Heading 1 2 5 2 2 2 7 2" xfId="23160"/>
    <cellStyle name="Heading 1 2 5 2 2 2 7 2 2" xfId="23161"/>
    <cellStyle name="Heading 1 2 5 2 2 2 7 3" xfId="23162"/>
    <cellStyle name="Heading 1 2 5 2 2 2 8" xfId="23163"/>
    <cellStyle name="Heading 1 2 5 2 2 2 8 2" xfId="23164"/>
    <cellStyle name="Heading 1 2 5 2 2 2 9" xfId="23165"/>
    <cellStyle name="Heading 1 2 5 2 2 20" xfId="23166"/>
    <cellStyle name="Heading 1 2 5 2 2 20 2" xfId="23167"/>
    <cellStyle name="Heading 1 2 5 2 2 21" xfId="23168"/>
    <cellStyle name="Heading 1 2 5 2 2 21 2" xfId="23169"/>
    <cellStyle name="Heading 1 2 5 2 2 22" xfId="23170"/>
    <cellStyle name="Heading 1 2 5 2 2 3" xfId="23171"/>
    <cellStyle name="Heading 1 2 5 2 2 3 2" xfId="23172"/>
    <cellStyle name="Heading 1 2 5 2 2 3 2 2" xfId="23173"/>
    <cellStyle name="Heading 1 2 5 2 2 3 2 2 2" xfId="23174"/>
    <cellStyle name="Heading 1 2 5 2 2 3 2 3" xfId="23175"/>
    <cellStyle name="Heading 1 2 5 2 2 3 3" xfId="23176"/>
    <cellStyle name="Heading 1 2 5 2 2 3 3 2" xfId="23177"/>
    <cellStyle name="Heading 1 2 5 2 2 3 3 2 2" xfId="23178"/>
    <cellStyle name="Heading 1 2 5 2 2 3 3 3" xfId="23179"/>
    <cellStyle name="Heading 1 2 5 2 2 3 4" xfId="23180"/>
    <cellStyle name="Heading 1 2 5 2 2 3 4 2" xfId="23181"/>
    <cellStyle name="Heading 1 2 5 2 2 3 4 2 2" xfId="23182"/>
    <cellStyle name="Heading 1 2 5 2 2 3 4 3" xfId="23183"/>
    <cellStyle name="Heading 1 2 5 2 2 3 5" xfId="23184"/>
    <cellStyle name="Heading 1 2 5 2 2 3 5 2" xfId="23185"/>
    <cellStyle name="Heading 1 2 5 2 2 3 5 2 2" xfId="23186"/>
    <cellStyle name="Heading 1 2 5 2 2 3 5 3" xfId="23187"/>
    <cellStyle name="Heading 1 2 5 2 2 3 6" xfId="23188"/>
    <cellStyle name="Heading 1 2 5 2 2 3 6 2" xfId="23189"/>
    <cellStyle name="Heading 1 2 5 2 2 3 6 2 2" xfId="23190"/>
    <cellStyle name="Heading 1 2 5 2 2 3 6 3" xfId="23191"/>
    <cellStyle name="Heading 1 2 5 2 2 3 7" xfId="23192"/>
    <cellStyle name="Heading 1 2 5 2 2 3 7 2" xfId="23193"/>
    <cellStyle name="Heading 1 2 5 2 2 3 7 2 2" xfId="23194"/>
    <cellStyle name="Heading 1 2 5 2 2 3 7 3" xfId="23195"/>
    <cellStyle name="Heading 1 2 5 2 2 3 8" xfId="23196"/>
    <cellStyle name="Heading 1 2 5 2 2 3 8 2" xfId="23197"/>
    <cellStyle name="Heading 1 2 5 2 2 3 9" xfId="23198"/>
    <cellStyle name="Heading 1 2 5 2 2 4" xfId="23199"/>
    <cellStyle name="Heading 1 2 5 2 2 4 2" xfId="23200"/>
    <cellStyle name="Heading 1 2 5 2 2 4 2 2" xfId="23201"/>
    <cellStyle name="Heading 1 2 5 2 2 4 2 2 2" xfId="23202"/>
    <cellStyle name="Heading 1 2 5 2 2 4 2 3" xfId="23203"/>
    <cellStyle name="Heading 1 2 5 2 2 4 3" xfId="23204"/>
    <cellStyle name="Heading 1 2 5 2 2 4 3 2" xfId="23205"/>
    <cellStyle name="Heading 1 2 5 2 2 4 3 2 2" xfId="23206"/>
    <cellStyle name="Heading 1 2 5 2 2 4 3 3" xfId="23207"/>
    <cellStyle name="Heading 1 2 5 2 2 4 4" xfId="23208"/>
    <cellStyle name="Heading 1 2 5 2 2 4 4 2" xfId="23209"/>
    <cellStyle name="Heading 1 2 5 2 2 4 4 2 2" xfId="23210"/>
    <cellStyle name="Heading 1 2 5 2 2 4 4 3" xfId="23211"/>
    <cellStyle name="Heading 1 2 5 2 2 4 5" xfId="23212"/>
    <cellStyle name="Heading 1 2 5 2 2 4 5 2" xfId="23213"/>
    <cellStyle name="Heading 1 2 5 2 2 4 5 2 2" xfId="23214"/>
    <cellStyle name="Heading 1 2 5 2 2 4 5 3" xfId="23215"/>
    <cellStyle name="Heading 1 2 5 2 2 4 6" xfId="23216"/>
    <cellStyle name="Heading 1 2 5 2 2 4 6 2" xfId="23217"/>
    <cellStyle name="Heading 1 2 5 2 2 4 6 2 2" xfId="23218"/>
    <cellStyle name="Heading 1 2 5 2 2 4 6 3" xfId="23219"/>
    <cellStyle name="Heading 1 2 5 2 2 4 7" xfId="23220"/>
    <cellStyle name="Heading 1 2 5 2 2 4 7 2" xfId="23221"/>
    <cellStyle name="Heading 1 2 5 2 2 4 7 2 2" xfId="23222"/>
    <cellStyle name="Heading 1 2 5 2 2 4 7 3" xfId="23223"/>
    <cellStyle name="Heading 1 2 5 2 2 4 8" xfId="23224"/>
    <cellStyle name="Heading 1 2 5 2 2 4 8 2" xfId="23225"/>
    <cellStyle name="Heading 1 2 5 2 2 4 9" xfId="23226"/>
    <cellStyle name="Heading 1 2 5 2 2 5" xfId="23227"/>
    <cellStyle name="Heading 1 2 5 2 2 5 2" xfId="23228"/>
    <cellStyle name="Heading 1 2 5 2 2 5 2 2" xfId="23229"/>
    <cellStyle name="Heading 1 2 5 2 2 5 2 2 2" xfId="23230"/>
    <cellStyle name="Heading 1 2 5 2 2 5 2 3" xfId="23231"/>
    <cellStyle name="Heading 1 2 5 2 2 5 3" xfId="23232"/>
    <cellStyle name="Heading 1 2 5 2 2 5 3 2" xfId="23233"/>
    <cellStyle name="Heading 1 2 5 2 2 5 3 2 2" xfId="23234"/>
    <cellStyle name="Heading 1 2 5 2 2 5 3 3" xfId="23235"/>
    <cellStyle name="Heading 1 2 5 2 2 5 4" xfId="23236"/>
    <cellStyle name="Heading 1 2 5 2 2 5 4 2" xfId="23237"/>
    <cellStyle name="Heading 1 2 5 2 2 5 4 2 2" xfId="23238"/>
    <cellStyle name="Heading 1 2 5 2 2 5 4 3" xfId="23239"/>
    <cellStyle name="Heading 1 2 5 2 2 5 5" xfId="23240"/>
    <cellStyle name="Heading 1 2 5 2 2 5 5 2" xfId="23241"/>
    <cellStyle name="Heading 1 2 5 2 2 5 5 2 2" xfId="23242"/>
    <cellStyle name="Heading 1 2 5 2 2 5 5 3" xfId="23243"/>
    <cellStyle name="Heading 1 2 5 2 2 5 6" xfId="23244"/>
    <cellStyle name="Heading 1 2 5 2 2 5 6 2" xfId="23245"/>
    <cellStyle name="Heading 1 2 5 2 2 5 6 2 2" xfId="23246"/>
    <cellStyle name="Heading 1 2 5 2 2 5 6 3" xfId="23247"/>
    <cellStyle name="Heading 1 2 5 2 2 5 7" xfId="23248"/>
    <cellStyle name="Heading 1 2 5 2 2 5 7 2" xfId="23249"/>
    <cellStyle name="Heading 1 2 5 2 2 5 7 2 2" xfId="23250"/>
    <cellStyle name="Heading 1 2 5 2 2 5 7 3" xfId="23251"/>
    <cellStyle name="Heading 1 2 5 2 2 5 8" xfId="23252"/>
    <cellStyle name="Heading 1 2 5 2 2 5 8 2" xfId="23253"/>
    <cellStyle name="Heading 1 2 5 2 2 5 9" xfId="23254"/>
    <cellStyle name="Heading 1 2 5 2 2 6" xfId="23255"/>
    <cellStyle name="Heading 1 2 5 2 2 6 2" xfId="23256"/>
    <cellStyle name="Heading 1 2 5 2 2 6 2 2" xfId="23257"/>
    <cellStyle name="Heading 1 2 5 2 2 6 2 2 2" xfId="23258"/>
    <cellStyle name="Heading 1 2 5 2 2 6 2 3" xfId="23259"/>
    <cellStyle name="Heading 1 2 5 2 2 6 3" xfId="23260"/>
    <cellStyle name="Heading 1 2 5 2 2 6 3 2" xfId="23261"/>
    <cellStyle name="Heading 1 2 5 2 2 6 3 2 2" xfId="23262"/>
    <cellStyle name="Heading 1 2 5 2 2 6 3 3" xfId="23263"/>
    <cellStyle name="Heading 1 2 5 2 2 6 4" xfId="23264"/>
    <cellStyle name="Heading 1 2 5 2 2 6 4 2" xfId="23265"/>
    <cellStyle name="Heading 1 2 5 2 2 6 4 2 2" xfId="23266"/>
    <cellStyle name="Heading 1 2 5 2 2 6 4 3" xfId="23267"/>
    <cellStyle name="Heading 1 2 5 2 2 6 5" xfId="23268"/>
    <cellStyle name="Heading 1 2 5 2 2 6 5 2" xfId="23269"/>
    <cellStyle name="Heading 1 2 5 2 2 6 5 2 2" xfId="23270"/>
    <cellStyle name="Heading 1 2 5 2 2 6 5 3" xfId="23271"/>
    <cellStyle name="Heading 1 2 5 2 2 6 6" xfId="23272"/>
    <cellStyle name="Heading 1 2 5 2 2 6 6 2" xfId="23273"/>
    <cellStyle name="Heading 1 2 5 2 2 6 6 2 2" xfId="23274"/>
    <cellStyle name="Heading 1 2 5 2 2 6 6 3" xfId="23275"/>
    <cellStyle name="Heading 1 2 5 2 2 6 7" xfId="23276"/>
    <cellStyle name="Heading 1 2 5 2 2 6 7 2" xfId="23277"/>
    <cellStyle name="Heading 1 2 5 2 2 6 7 2 2" xfId="23278"/>
    <cellStyle name="Heading 1 2 5 2 2 6 7 3" xfId="23279"/>
    <cellStyle name="Heading 1 2 5 2 2 6 8" xfId="23280"/>
    <cellStyle name="Heading 1 2 5 2 2 6 8 2" xfId="23281"/>
    <cellStyle name="Heading 1 2 5 2 2 6 9" xfId="23282"/>
    <cellStyle name="Heading 1 2 5 2 2 7" xfId="23283"/>
    <cellStyle name="Heading 1 2 5 2 2 7 2" xfId="23284"/>
    <cellStyle name="Heading 1 2 5 2 2 7 2 2" xfId="23285"/>
    <cellStyle name="Heading 1 2 5 2 2 7 2 2 2" xfId="23286"/>
    <cellStyle name="Heading 1 2 5 2 2 7 2 3" xfId="23287"/>
    <cellStyle name="Heading 1 2 5 2 2 7 3" xfId="23288"/>
    <cellStyle name="Heading 1 2 5 2 2 7 3 2" xfId="23289"/>
    <cellStyle name="Heading 1 2 5 2 2 7 3 2 2" xfId="23290"/>
    <cellStyle name="Heading 1 2 5 2 2 7 3 3" xfId="23291"/>
    <cellStyle name="Heading 1 2 5 2 2 7 4" xfId="23292"/>
    <cellStyle name="Heading 1 2 5 2 2 7 4 2" xfId="23293"/>
    <cellStyle name="Heading 1 2 5 2 2 7 4 2 2" xfId="23294"/>
    <cellStyle name="Heading 1 2 5 2 2 7 4 3" xfId="23295"/>
    <cellStyle name="Heading 1 2 5 2 2 7 5" xfId="23296"/>
    <cellStyle name="Heading 1 2 5 2 2 7 5 2" xfId="23297"/>
    <cellStyle name="Heading 1 2 5 2 2 7 5 2 2" xfId="23298"/>
    <cellStyle name="Heading 1 2 5 2 2 7 5 3" xfId="23299"/>
    <cellStyle name="Heading 1 2 5 2 2 7 6" xfId="23300"/>
    <cellStyle name="Heading 1 2 5 2 2 7 6 2" xfId="23301"/>
    <cellStyle name="Heading 1 2 5 2 2 7 6 2 2" xfId="23302"/>
    <cellStyle name="Heading 1 2 5 2 2 7 6 3" xfId="23303"/>
    <cellStyle name="Heading 1 2 5 2 2 7 7" xfId="23304"/>
    <cellStyle name="Heading 1 2 5 2 2 7 7 2" xfId="23305"/>
    <cellStyle name="Heading 1 2 5 2 2 7 7 2 2" xfId="23306"/>
    <cellStyle name="Heading 1 2 5 2 2 7 7 3" xfId="23307"/>
    <cellStyle name="Heading 1 2 5 2 2 7 8" xfId="23308"/>
    <cellStyle name="Heading 1 2 5 2 2 7 8 2" xfId="23309"/>
    <cellStyle name="Heading 1 2 5 2 2 7 9" xfId="23310"/>
    <cellStyle name="Heading 1 2 5 2 2 8" xfId="23311"/>
    <cellStyle name="Heading 1 2 5 2 2 8 2" xfId="23312"/>
    <cellStyle name="Heading 1 2 5 2 2 8 2 2" xfId="23313"/>
    <cellStyle name="Heading 1 2 5 2 2 8 2 2 2" xfId="23314"/>
    <cellStyle name="Heading 1 2 5 2 2 8 2 3" xfId="23315"/>
    <cellStyle name="Heading 1 2 5 2 2 8 3" xfId="23316"/>
    <cellStyle name="Heading 1 2 5 2 2 8 3 2" xfId="23317"/>
    <cellStyle name="Heading 1 2 5 2 2 8 3 2 2" xfId="23318"/>
    <cellStyle name="Heading 1 2 5 2 2 8 3 3" xfId="23319"/>
    <cellStyle name="Heading 1 2 5 2 2 8 4" xfId="23320"/>
    <cellStyle name="Heading 1 2 5 2 2 8 4 2" xfId="23321"/>
    <cellStyle name="Heading 1 2 5 2 2 8 4 2 2" xfId="23322"/>
    <cellStyle name="Heading 1 2 5 2 2 8 4 3" xfId="23323"/>
    <cellStyle name="Heading 1 2 5 2 2 8 5" xfId="23324"/>
    <cellStyle name="Heading 1 2 5 2 2 8 5 2" xfId="23325"/>
    <cellStyle name="Heading 1 2 5 2 2 8 5 2 2" xfId="23326"/>
    <cellStyle name="Heading 1 2 5 2 2 8 5 3" xfId="23327"/>
    <cellStyle name="Heading 1 2 5 2 2 8 6" xfId="23328"/>
    <cellStyle name="Heading 1 2 5 2 2 8 6 2" xfId="23329"/>
    <cellStyle name="Heading 1 2 5 2 2 8 6 2 2" xfId="23330"/>
    <cellStyle name="Heading 1 2 5 2 2 8 6 3" xfId="23331"/>
    <cellStyle name="Heading 1 2 5 2 2 8 7" xfId="23332"/>
    <cellStyle name="Heading 1 2 5 2 2 8 7 2" xfId="23333"/>
    <cellStyle name="Heading 1 2 5 2 2 8 7 2 2" xfId="23334"/>
    <cellStyle name="Heading 1 2 5 2 2 8 7 3" xfId="23335"/>
    <cellStyle name="Heading 1 2 5 2 2 8 8" xfId="23336"/>
    <cellStyle name="Heading 1 2 5 2 2 8 8 2" xfId="23337"/>
    <cellStyle name="Heading 1 2 5 2 2 8 9" xfId="23338"/>
    <cellStyle name="Heading 1 2 5 2 2 9" xfId="23339"/>
    <cellStyle name="Heading 1 2 5 2 2 9 2" xfId="23340"/>
    <cellStyle name="Heading 1 2 5 2 2 9 2 2" xfId="23341"/>
    <cellStyle name="Heading 1 2 5 2 2 9 3" xfId="23342"/>
    <cellStyle name="Heading 1 2 5 2 20" xfId="23343"/>
    <cellStyle name="Heading 1 2 5 2 20 2" xfId="23344"/>
    <cellStyle name="Heading 1 2 5 2 21" xfId="23345"/>
    <cellStyle name="Heading 1 2 5 2 21 2" xfId="23346"/>
    <cellStyle name="Heading 1 2 5 2 22" xfId="23347"/>
    <cellStyle name="Heading 1 2 5 2 22 2" xfId="23348"/>
    <cellStyle name="Heading 1 2 5 2 23" xfId="23349"/>
    <cellStyle name="Heading 1 2 5 2 3" xfId="23350"/>
    <cellStyle name="Heading 1 2 5 2 3 2" xfId="23351"/>
    <cellStyle name="Heading 1 2 5 2 3 2 2" xfId="23352"/>
    <cellStyle name="Heading 1 2 5 2 3 2 2 2" xfId="23353"/>
    <cellStyle name="Heading 1 2 5 2 3 2 3" xfId="23354"/>
    <cellStyle name="Heading 1 2 5 2 3 3" xfId="23355"/>
    <cellStyle name="Heading 1 2 5 2 3 3 2" xfId="23356"/>
    <cellStyle name="Heading 1 2 5 2 3 3 2 2" xfId="23357"/>
    <cellStyle name="Heading 1 2 5 2 3 3 3" xfId="23358"/>
    <cellStyle name="Heading 1 2 5 2 3 4" xfId="23359"/>
    <cellStyle name="Heading 1 2 5 2 3 4 2" xfId="23360"/>
    <cellStyle name="Heading 1 2 5 2 3 4 2 2" xfId="23361"/>
    <cellStyle name="Heading 1 2 5 2 3 4 3" xfId="23362"/>
    <cellStyle name="Heading 1 2 5 2 3 5" xfId="23363"/>
    <cellStyle name="Heading 1 2 5 2 3 5 2" xfId="23364"/>
    <cellStyle name="Heading 1 2 5 2 3 5 2 2" xfId="23365"/>
    <cellStyle name="Heading 1 2 5 2 3 5 3" xfId="23366"/>
    <cellStyle name="Heading 1 2 5 2 3 6" xfId="23367"/>
    <cellStyle name="Heading 1 2 5 2 3 6 2" xfId="23368"/>
    <cellStyle name="Heading 1 2 5 2 3 6 2 2" xfId="23369"/>
    <cellStyle name="Heading 1 2 5 2 3 6 3" xfId="23370"/>
    <cellStyle name="Heading 1 2 5 2 3 7" xfId="23371"/>
    <cellStyle name="Heading 1 2 5 2 3 7 2" xfId="23372"/>
    <cellStyle name="Heading 1 2 5 2 3 7 2 2" xfId="23373"/>
    <cellStyle name="Heading 1 2 5 2 3 7 3" xfId="23374"/>
    <cellStyle name="Heading 1 2 5 2 3 8" xfId="23375"/>
    <cellStyle name="Heading 1 2 5 2 3 8 2" xfId="23376"/>
    <cellStyle name="Heading 1 2 5 2 3 9" xfId="23377"/>
    <cellStyle name="Heading 1 2 5 2 4" xfId="23378"/>
    <cellStyle name="Heading 1 2 5 2 4 2" xfId="23379"/>
    <cellStyle name="Heading 1 2 5 2 4 2 2" xfId="23380"/>
    <cellStyle name="Heading 1 2 5 2 4 2 2 2" xfId="23381"/>
    <cellStyle name="Heading 1 2 5 2 4 2 3" xfId="23382"/>
    <cellStyle name="Heading 1 2 5 2 4 3" xfId="23383"/>
    <cellStyle name="Heading 1 2 5 2 4 3 2" xfId="23384"/>
    <cellStyle name="Heading 1 2 5 2 4 3 2 2" xfId="23385"/>
    <cellStyle name="Heading 1 2 5 2 4 3 3" xfId="23386"/>
    <cellStyle name="Heading 1 2 5 2 4 4" xfId="23387"/>
    <cellStyle name="Heading 1 2 5 2 4 4 2" xfId="23388"/>
    <cellStyle name="Heading 1 2 5 2 4 4 2 2" xfId="23389"/>
    <cellStyle name="Heading 1 2 5 2 4 4 3" xfId="23390"/>
    <cellStyle name="Heading 1 2 5 2 4 5" xfId="23391"/>
    <cellStyle name="Heading 1 2 5 2 4 5 2" xfId="23392"/>
    <cellStyle name="Heading 1 2 5 2 4 5 2 2" xfId="23393"/>
    <cellStyle name="Heading 1 2 5 2 4 5 3" xfId="23394"/>
    <cellStyle name="Heading 1 2 5 2 4 6" xfId="23395"/>
    <cellStyle name="Heading 1 2 5 2 4 6 2" xfId="23396"/>
    <cellStyle name="Heading 1 2 5 2 4 6 2 2" xfId="23397"/>
    <cellStyle name="Heading 1 2 5 2 4 6 3" xfId="23398"/>
    <cellStyle name="Heading 1 2 5 2 4 7" xfId="23399"/>
    <cellStyle name="Heading 1 2 5 2 4 7 2" xfId="23400"/>
    <cellStyle name="Heading 1 2 5 2 4 7 2 2" xfId="23401"/>
    <cellStyle name="Heading 1 2 5 2 4 7 3" xfId="23402"/>
    <cellStyle name="Heading 1 2 5 2 4 8" xfId="23403"/>
    <cellStyle name="Heading 1 2 5 2 4 8 2" xfId="23404"/>
    <cellStyle name="Heading 1 2 5 2 4 9" xfId="23405"/>
    <cellStyle name="Heading 1 2 5 2 5" xfId="23406"/>
    <cellStyle name="Heading 1 2 5 2 5 2" xfId="23407"/>
    <cellStyle name="Heading 1 2 5 2 5 2 2" xfId="23408"/>
    <cellStyle name="Heading 1 2 5 2 5 2 2 2" xfId="23409"/>
    <cellStyle name="Heading 1 2 5 2 5 2 3" xfId="23410"/>
    <cellStyle name="Heading 1 2 5 2 5 3" xfId="23411"/>
    <cellStyle name="Heading 1 2 5 2 5 3 2" xfId="23412"/>
    <cellStyle name="Heading 1 2 5 2 5 3 2 2" xfId="23413"/>
    <cellStyle name="Heading 1 2 5 2 5 3 3" xfId="23414"/>
    <cellStyle name="Heading 1 2 5 2 5 4" xfId="23415"/>
    <cellStyle name="Heading 1 2 5 2 5 4 2" xfId="23416"/>
    <cellStyle name="Heading 1 2 5 2 5 4 2 2" xfId="23417"/>
    <cellStyle name="Heading 1 2 5 2 5 4 3" xfId="23418"/>
    <cellStyle name="Heading 1 2 5 2 5 5" xfId="23419"/>
    <cellStyle name="Heading 1 2 5 2 5 5 2" xfId="23420"/>
    <cellStyle name="Heading 1 2 5 2 5 5 2 2" xfId="23421"/>
    <cellStyle name="Heading 1 2 5 2 5 5 3" xfId="23422"/>
    <cellStyle name="Heading 1 2 5 2 5 6" xfId="23423"/>
    <cellStyle name="Heading 1 2 5 2 5 6 2" xfId="23424"/>
    <cellStyle name="Heading 1 2 5 2 5 6 2 2" xfId="23425"/>
    <cellStyle name="Heading 1 2 5 2 5 6 3" xfId="23426"/>
    <cellStyle name="Heading 1 2 5 2 5 7" xfId="23427"/>
    <cellStyle name="Heading 1 2 5 2 5 7 2" xfId="23428"/>
    <cellStyle name="Heading 1 2 5 2 5 7 2 2" xfId="23429"/>
    <cellStyle name="Heading 1 2 5 2 5 7 3" xfId="23430"/>
    <cellStyle name="Heading 1 2 5 2 5 8" xfId="23431"/>
    <cellStyle name="Heading 1 2 5 2 5 8 2" xfId="23432"/>
    <cellStyle name="Heading 1 2 5 2 5 9" xfId="23433"/>
    <cellStyle name="Heading 1 2 5 2 6" xfId="23434"/>
    <cellStyle name="Heading 1 2 5 2 6 2" xfId="23435"/>
    <cellStyle name="Heading 1 2 5 2 6 2 2" xfId="23436"/>
    <cellStyle name="Heading 1 2 5 2 6 2 2 2" xfId="23437"/>
    <cellStyle name="Heading 1 2 5 2 6 2 3" xfId="23438"/>
    <cellStyle name="Heading 1 2 5 2 6 3" xfId="23439"/>
    <cellStyle name="Heading 1 2 5 2 6 3 2" xfId="23440"/>
    <cellStyle name="Heading 1 2 5 2 6 3 2 2" xfId="23441"/>
    <cellStyle name="Heading 1 2 5 2 6 3 3" xfId="23442"/>
    <cellStyle name="Heading 1 2 5 2 6 4" xfId="23443"/>
    <cellStyle name="Heading 1 2 5 2 6 4 2" xfId="23444"/>
    <cellStyle name="Heading 1 2 5 2 6 4 2 2" xfId="23445"/>
    <cellStyle name="Heading 1 2 5 2 6 4 3" xfId="23446"/>
    <cellStyle name="Heading 1 2 5 2 6 5" xfId="23447"/>
    <cellStyle name="Heading 1 2 5 2 6 5 2" xfId="23448"/>
    <cellStyle name="Heading 1 2 5 2 6 5 2 2" xfId="23449"/>
    <cellStyle name="Heading 1 2 5 2 6 5 3" xfId="23450"/>
    <cellStyle name="Heading 1 2 5 2 6 6" xfId="23451"/>
    <cellStyle name="Heading 1 2 5 2 6 6 2" xfId="23452"/>
    <cellStyle name="Heading 1 2 5 2 6 6 2 2" xfId="23453"/>
    <cellStyle name="Heading 1 2 5 2 6 6 3" xfId="23454"/>
    <cellStyle name="Heading 1 2 5 2 6 7" xfId="23455"/>
    <cellStyle name="Heading 1 2 5 2 6 7 2" xfId="23456"/>
    <cellStyle name="Heading 1 2 5 2 6 7 2 2" xfId="23457"/>
    <cellStyle name="Heading 1 2 5 2 6 7 3" xfId="23458"/>
    <cellStyle name="Heading 1 2 5 2 6 8" xfId="23459"/>
    <cellStyle name="Heading 1 2 5 2 6 8 2" xfId="23460"/>
    <cellStyle name="Heading 1 2 5 2 6 9" xfId="23461"/>
    <cellStyle name="Heading 1 2 5 2 7" xfId="23462"/>
    <cellStyle name="Heading 1 2 5 2 7 2" xfId="23463"/>
    <cellStyle name="Heading 1 2 5 2 7 2 2" xfId="23464"/>
    <cellStyle name="Heading 1 2 5 2 7 2 2 2" xfId="23465"/>
    <cellStyle name="Heading 1 2 5 2 7 2 3" xfId="23466"/>
    <cellStyle name="Heading 1 2 5 2 7 3" xfId="23467"/>
    <cellStyle name="Heading 1 2 5 2 7 3 2" xfId="23468"/>
    <cellStyle name="Heading 1 2 5 2 7 3 2 2" xfId="23469"/>
    <cellStyle name="Heading 1 2 5 2 7 3 3" xfId="23470"/>
    <cellStyle name="Heading 1 2 5 2 7 4" xfId="23471"/>
    <cellStyle name="Heading 1 2 5 2 7 4 2" xfId="23472"/>
    <cellStyle name="Heading 1 2 5 2 7 4 2 2" xfId="23473"/>
    <cellStyle name="Heading 1 2 5 2 7 4 3" xfId="23474"/>
    <cellStyle name="Heading 1 2 5 2 7 5" xfId="23475"/>
    <cellStyle name="Heading 1 2 5 2 7 5 2" xfId="23476"/>
    <cellStyle name="Heading 1 2 5 2 7 5 2 2" xfId="23477"/>
    <cellStyle name="Heading 1 2 5 2 7 5 3" xfId="23478"/>
    <cellStyle name="Heading 1 2 5 2 7 6" xfId="23479"/>
    <cellStyle name="Heading 1 2 5 2 7 6 2" xfId="23480"/>
    <cellStyle name="Heading 1 2 5 2 7 6 2 2" xfId="23481"/>
    <cellStyle name="Heading 1 2 5 2 7 6 3" xfId="23482"/>
    <cellStyle name="Heading 1 2 5 2 7 7" xfId="23483"/>
    <cellStyle name="Heading 1 2 5 2 7 7 2" xfId="23484"/>
    <cellStyle name="Heading 1 2 5 2 7 7 2 2" xfId="23485"/>
    <cellStyle name="Heading 1 2 5 2 7 7 3" xfId="23486"/>
    <cellStyle name="Heading 1 2 5 2 7 8" xfId="23487"/>
    <cellStyle name="Heading 1 2 5 2 7 8 2" xfId="23488"/>
    <cellStyle name="Heading 1 2 5 2 7 9" xfId="23489"/>
    <cellStyle name="Heading 1 2 5 2 8" xfId="23490"/>
    <cellStyle name="Heading 1 2 5 2 8 2" xfId="23491"/>
    <cellStyle name="Heading 1 2 5 2 8 2 2" xfId="23492"/>
    <cellStyle name="Heading 1 2 5 2 8 2 2 2" xfId="23493"/>
    <cellStyle name="Heading 1 2 5 2 8 2 3" xfId="23494"/>
    <cellStyle name="Heading 1 2 5 2 8 3" xfId="23495"/>
    <cellStyle name="Heading 1 2 5 2 8 3 2" xfId="23496"/>
    <cellStyle name="Heading 1 2 5 2 8 3 2 2" xfId="23497"/>
    <cellStyle name="Heading 1 2 5 2 8 3 3" xfId="23498"/>
    <cellStyle name="Heading 1 2 5 2 8 4" xfId="23499"/>
    <cellStyle name="Heading 1 2 5 2 8 4 2" xfId="23500"/>
    <cellStyle name="Heading 1 2 5 2 8 4 2 2" xfId="23501"/>
    <cellStyle name="Heading 1 2 5 2 8 4 3" xfId="23502"/>
    <cellStyle name="Heading 1 2 5 2 8 5" xfId="23503"/>
    <cellStyle name="Heading 1 2 5 2 8 5 2" xfId="23504"/>
    <cellStyle name="Heading 1 2 5 2 8 5 2 2" xfId="23505"/>
    <cellStyle name="Heading 1 2 5 2 8 5 3" xfId="23506"/>
    <cellStyle name="Heading 1 2 5 2 8 6" xfId="23507"/>
    <cellStyle name="Heading 1 2 5 2 8 6 2" xfId="23508"/>
    <cellStyle name="Heading 1 2 5 2 8 6 2 2" xfId="23509"/>
    <cellStyle name="Heading 1 2 5 2 8 6 3" xfId="23510"/>
    <cellStyle name="Heading 1 2 5 2 8 7" xfId="23511"/>
    <cellStyle name="Heading 1 2 5 2 8 7 2" xfId="23512"/>
    <cellStyle name="Heading 1 2 5 2 8 7 2 2" xfId="23513"/>
    <cellStyle name="Heading 1 2 5 2 8 7 3" xfId="23514"/>
    <cellStyle name="Heading 1 2 5 2 8 8" xfId="23515"/>
    <cellStyle name="Heading 1 2 5 2 8 8 2" xfId="23516"/>
    <cellStyle name="Heading 1 2 5 2 8 9" xfId="23517"/>
    <cellStyle name="Heading 1 2 5 2 9" xfId="23518"/>
    <cellStyle name="Heading 1 2 5 2 9 2" xfId="23519"/>
    <cellStyle name="Heading 1 2 5 2 9 2 2" xfId="23520"/>
    <cellStyle name="Heading 1 2 5 2 9 2 2 2" xfId="23521"/>
    <cellStyle name="Heading 1 2 5 2 9 2 3" xfId="23522"/>
    <cellStyle name="Heading 1 2 5 2 9 3" xfId="23523"/>
    <cellStyle name="Heading 1 2 5 2 9 3 2" xfId="23524"/>
    <cellStyle name="Heading 1 2 5 2 9 3 2 2" xfId="23525"/>
    <cellStyle name="Heading 1 2 5 2 9 3 3" xfId="23526"/>
    <cellStyle name="Heading 1 2 5 2 9 4" xfId="23527"/>
    <cellStyle name="Heading 1 2 5 2 9 4 2" xfId="23528"/>
    <cellStyle name="Heading 1 2 5 2 9 4 2 2" xfId="23529"/>
    <cellStyle name="Heading 1 2 5 2 9 4 3" xfId="23530"/>
    <cellStyle name="Heading 1 2 5 2 9 5" xfId="23531"/>
    <cellStyle name="Heading 1 2 5 2 9 5 2" xfId="23532"/>
    <cellStyle name="Heading 1 2 5 2 9 5 2 2" xfId="23533"/>
    <cellStyle name="Heading 1 2 5 2 9 5 3" xfId="23534"/>
    <cellStyle name="Heading 1 2 5 2 9 6" xfId="23535"/>
    <cellStyle name="Heading 1 2 5 2 9 6 2" xfId="23536"/>
    <cellStyle name="Heading 1 2 5 2 9 6 2 2" xfId="23537"/>
    <cellStyle name="Heading 1 2 5 2 9 6 3" xfId="23538"/>
    <cellStyle name="Heading 1 2 5 2 9 7" xfId="23539"/>
    <cellStyle name="Heading 1 2 5 2 9 7 2" xfId="23540"/>
    <cellStyle name="Heading 1 2 5 2 9 7 2 2" xfId="23541"/>
    <cellStyle name="Heading 1 2 5 2 9 7 3" xfId="23542"/>
    <cellStyle name="Heading 1 2 5 2 9 8" xfId="23543"/>
    <cellStyle name="Heading 1 2 5 2 9 8 2" xfId="23544"/>
    <cellStyle name="Heading 1 2 5 2 9 9" xfId="23545"/>
    <cellStyle name="Heading 1 2 5 3" xfId="23546"/>
    <cellStyle name="Heading 1 2 5 3 10" xfId="23547"/>
    <cellStyle name="Heading 1 2 5 3 10 2" xfId="23548"/>
    <cellStyle name="Heading 1 2 5 3 10 2 2" xfId="23549"/>
    <cellStyle name="Heading 1 2 5 3 10 3" xfId="23550"/>
    <cellStyle name="Heading 1 2 5 3 11" xfId="23551"/>
    <cellStyle name="Heading 1 2 5 3 11 2" xfId="23552"/>
    <cellStyle name="Heading 1 2 5 3 11 2 2" xfId="23553"/>
    <cellStyle name="Heading 1 2 5 3 11 3" xfId="23554"/>
    <cellStyle name="Heading 1 2 5 3 12" xfId="23555"/>
    <cellStyle name="Heading 1 2 5 3 12 2" xfId="23556"/>
    <cellStyle name="Heading 1 2 5 3 12 2 2" xfId="23557"/>
    <cellStyle name="Heading 1 2 5 3 12 3" xfId="23558"/>
    <cellStyle name="Heading 1 2 5 3 13" xfId="23559"/>
    <cellStyle name="Heading 1 2 5 3 13 2" xfId="23560"/>
    <cellStyle name="Heading 1 2 5 3 13 2 2" xfId="23561"/>
    <cellStyle name="Heading 1 2 5 3 13 3" xfId="23562"/>
    <cellStyle name="Heading 1 2 5 3 14" xfId="23563"/>
    <cellStyle name="Heading 1 2 5 3 14 2" xfId="23564"/>
    <cellStyle name="Heading 1 2 5 3 14 2 2" xfId="23565"/>
    <cellStyle name="Heading 1 2 5 3 14 3" xfId="23566"/>
    <cellStyle name="Heading 1 2 5 3 15" xfId="23567"/>
    <cellStyle name="Heading 1 2 5 3 15 2" xfId="23568"/>
    <cellStyle name="Heading 1 2 5 3 15 2 2" xfId="23569"/>
    <cellStyle name="Heading 1 2 5 3 15 3" xfId="23570"/>
    <cellStyle name="Heading 1 2 5 3 16" xfId="23571"/>
    <cellStyle name="Heading 1 2 5 3 16 2" xfId="23572"/>
    <cellStyle name="Heading 1 2 5 3 16 2 2" xfId="23573"/>
    <cellStyle name="Heading 1 2 5 3 16 3" xfId="23574"/>
    <cellStyle name="Heading 1 2 5 3 17" xfId="23575"/>
    <cellStyle name="Heading 1 2 5 3 17 2" xfId="23576"/>
    <cellStyle name="Heading 1 2 5 3 17 2 2" xfId="23577"/>
    <cellStyle name="Heading 1 2 5 3 17 3" xfId="23578"/>
    <cellStyle name="Heading 1 2 5 3 18" xfId="23579"/>
    <cellStyle name="Heading 1 2 5 3 18 2" xfId="23580"/>
    <cellStyle name="Heading 1 2 5 3 18 2 2" xfId="23581"/>
    <cellStyle name="Heading 1 2 5 3 18 3" xfId="23582"/>
    <cellStyle name="Heading 1 2 5 3 19" xfId="23583"/>
    <cellStyle name="Heading 1 2 5 3 19 2" xfId="23584"/>
    <cellStyle name="Heading 1 2 5 3 2" xfId="23585"/>
    <cellStyle name="Heading 1 2 5 3 2 2" xfId="23586"/>
    <cellStyle name="Heading 1 2 5 3 2 2 2" xfId="23587"/>
    <cellStyle name="Heading 1 2 5 3 2 2 2 2" xfId="23588"/>
    <cellStyle name="Heading 1 2 5 3 2 2 3" xfId="23589"/>
    <cellStyle name="Heading 1 2 5 3 2 3" xfId="23590"/>
    <cellStyle name="Heading 1 2 5 3 2 3 2" xfId="23591"/>
    <cellStyle name="Heading 1 2 5 3 2 3 2 2" xfId="23592"/>
    <cellStyle name="Heading 1 2 5 3 2 3 3" xfId="23593"/>
    <cellStyle name="Heading 1 2 5 3 2 4" xfId="23594"/>
    <cellStyle name="Heading 1 2 5 3 2 4 2" xfId="23595"/>
    <cellStyle name="Heading 1 2 5 3 2 4 2 2" xfId="23596"/>
    <cellStyle name="Heading 1 2 5 3 2 4 3" xfId="23597"/>
    <cellStyle name="Heading 1 2 5 3 2 5" xfId="23598"/>
    <cellStyle name="Heading 1 2 5 3 2 5 2" xfId="23599"/>
    <cellStyle name="Heading 1 2 5 3 2 5 2 2" xfId="23600"/>
    <cellStyle name="Heading 1 2 5 3 2 5 3" xfId="23601"/>
    <cellStyle name="Heading 1 2 5 3 2 6" xfId="23602"/>
    <cellStyle name="Heading 1 2 5 3 2 6 2" xfId="23603"/>
    <cellStyle name="Heading 1 2 5 3 2 6 2 2" xfId="23604"/>
    <cellStyle name="Heading 1 2 5 3 2 6 3" xfId="23605"/>
    <cellStyle name="Heading 1 2 5 3 2 7" xfId="23606"/>
    <cellStyle name="Heading 1 2 5 3 2 7 2" xfId="23607"/>
    <cellStyle name="Heading 1 2 5 3 2 7 2 2" xfId="23608"/>
    <cellStyle name="Heading 1 2 5 3 2 7 3" xfId="23609"/>
    <cellStyle name="Heading 1 2 5 3 2 8" xfId="23610"/>
    <cellStyle name="Heading 1 2 5 3 2 8 2" xfId="23611"/>
    <cellStyle name="Heading 1 2 5 3 2 9" xfId="23612"/>
    <cellStyle name="Heading 1 2 5 3 20" xfId="23613"/>
    <cellStyle name="Heading 1 2 5 3 20 2" xfId="23614"/>
    <cellStyle name="Heading 1 2 5 3 21" xfId="23615"/>
    <cellStyle name="Heading 1 2 5 3 21 2" xfId="23616"/>
    <cellStyle name="Heading 1 2 5 3 22" xfId="23617"/>
    <cellStyle name="Heading 1 2 5 3 3" xfId="23618"/>
    <cellStyle name="Heading 1 2 5 3 3 2" xfId="23619"/>
    <cellStyle name="Heading 1 2 5 3 3 2 2" xfId="23620"/>
    <cellStyle name="Heading 1 2 5 3 3 2 2 2" xfId="23621"/>
    <cellStyle name="Heading 1 2 5 3 3 2 3" xfId="23622"/>
    <cellStyle name="Heading 1 2 5 3 3 3" xfId="23623"/>
    <cellStyle name="Heading 1 2 5 3 3 3 2" xfId="23624"/>
    <cellStyle name="Heading 1 2 5 3 3 3 2 2" xfId="23625"/>
    <cellStyle name="Heading 1 2 5 3 3 3 3" xfId="23626"/>
    <cellStyle name="Heading 1 2 5 3 3 4" xfId="23627"/>
    <cellStyle name="Heading 1 2 5 3 3 4 2" xfId="23628"/>
    <cellStyle name="Heading 1 2 5 3 3 4 2 2" xfId="23629"/>
    <cellStyle name="Heading 1 2 5 3 3 4 3" xfId="23630"/>
    <cellStyle name="Heading 1 2 5 3 3 5" xfId="23631"/>
    <cellStyle name="Heading 1 2 5 3 3 5 2" xfId="23632"/>
    <cellStyle name="Heading 1 2 5 3 3 5 2 2" xfId="23633"/>
    <cellStyle name="Heading 1 2 5 3 3 5 3" xfId="23634"/>
    <cellStyle name="Heading 1 2 5 3 3 6" xfId="23635"/>
    <cellStyle name="Heading 1 2 5 3 3 6 2" xfId="23636"/>
    <cellStyle name="Heading 1 2 5 3 3 6 2 2" xfId="23637"/>
    <cellStyle name="Heading 1 2 5 3 3 6 3" xfId="23638"/>
    <cellStyle name="Heading 1 2 5 3 3 7" xfId="23639"/>
    <cellStyle name="Heading 1 2 5 3 3 7 2" xfId="23640"/>
    <cellStyle name="Heading 1 2 5 3 3 7 2 2" xfId="23641"/>
    <cellStyle name="Heading 1 2 5 3 3 7 3" xfId="23642"/>
    <cellStyle name="Heading 1 2 5 3 3 8" xfId="23643"/>
    <cellStyle name="Heading 1 2 5 3 3 8 2" xfId="23644"/>
    <cellStyle name="Heading 1 2 5 3 3 9" xfId="23645"/>
    <cellStyle name="Heading 1 2 5 3 4" xfId="23646"/>
    <cellStyle name="Heading 1 2 5 3 4 2" xfId="23647"/>
    <cellStyle name="Heading 1 2 5 3 4 2 2" xfId="23648"/>
    <cellStyle name="Heading 1 2 5 3 4 2 2 2" xfId="23649"/>
    <cellStyle name="Heading 1 2 5 3 4 2 3" xfId="23650"/>
    <cellStyle name="Heading 1 2 5 3 4 3" xfId="23651"/>
    <cellStyle name="Heading 1 2 5 3 4 3 2" xfId="23652"/>
    <cellStyle name="Heading 1 2 5 3 4 3 2 2" xfId="23653"/>
    <cellStyle name="Heading 1 2 5 3 4 3 3" xfId="23654"/>
    <cellStyle name="Heading 1 2 5 3 4 4" xfId="23655"/>
    <cellStyle name="Heading 1 2 5 3 4 4 2" xfId="23656"/>
    <cellStyle name="Heading 1 2 5 3 4 4 2 2" xfId="23657"/>
    <cellStyle name="Heading 1 2 5 3 4 4 3" xfId="23658"/>
    <cellStyle name="Heading 1 2 5 3 4 5" xfId="23659"/>
    <cellStyle name="Heading 1 2 5 3 4 5 2" xfId="23660"/>
    <cellStyle name="Heading 1 2 5 3 4 5 2 2" xfId="23661"/>
    <cellStyle name="Heading 1 2 5 3 4 5 3" xfId="23662"/>
    <cellStyle name="Heading 1 2 5 3 4 6" xfId="23663"/>
    <cellStyle name="Heading 1 2 5 3 4 6 2" xfId="23664"/>
    <cellStyle name="Heading 1 2 5 3 4 6 2 2" xfId="23665"/>
    <cellStyle name="Heading 1 2 5 3 4 6 3" xfId="23666"/>
    <cellStyle name="Heading 1 2 5 3 4 7" xfId="23667"/>
    <cellStyle name="Heading 1 2 5 3 4 7 2" xfId="23668"/>
    <cellStyle name="Heading 1 2 5 3 4 7 2 2" xfId="23669"/>
    <cellStyle name="Heading 1 2 5 3 4 7 3" xfId="23670"/>
    <cellStyle name="Heading 1 2 5 3 4 8" xfId="23671"/>
    <cellStyle name="Heading 1 2 5 3 4 8 2" xfId="23672"/>
    <cellStyle name="Heading 1 2 5 3 4 9" xfId="23673"/>
    <cellStyle name="Heading 1 2 5 3 5" xfId="23674"/>
    <cellStyle name="Heading 1 2 5 3 5 2" xfId="23675"/>
    <cellStyle name="Heading 1 2 5 3 5 2 2" xfId="23676"/>
    <cellStyle name="Heading 1 2 5 3 5 2 2 2" xfId="23677"/>
    <cellStyle name="Heading 1 2 5 3 5 2 3" xfId="23678"/>
    <cellStyle name="Heading 1 2 5 3 5 3" xfId="23679"/>
    <cellStyle name="Heading 1 2 5 3 5 3 2" xfId="23680"/>
    <cellStyle name="Heading 1 2 5 3 5 3 2 2" xfId="23681"/>
    <cellStyle name="Heading 1 2 5 3 5 3 3" xfId="23682"/>
    <cellStyle name="Heading 1 2 5 3 5 4" xfId="23683"/>
    <cellStyle name="Heading 1 2 5 3 5 4 2" xfId="23684"/>
    <cellStyle name="Heading 1 2 5 3 5 4 2 2" xfId="23685"/>
    <cellStyle name="Heading 1 2 5 3 5 4 3" xfId="23686"/>
    <cellStyle name="Heading 1 2 5 3 5 5" xfId="23687"/>
    <cellStyle name="Heading 1 2 5 3 5 5 2" xfId="23688"/>
    <cellStyle name="Heading 1 2 5 3 5 5 2 2" xfId="23689"/>
    <cellStyle name="Heading 1 2 5 3 5 5 3" xfId="23690"/>
    <cellStyle name="Heading 1 2 5 3 5 6" xfId="23691"/>
    <cellStyle name="Heading 1 2 5 3 5 6 2" xfId="23692"/>
    <cellStyle name="Heading 1 2 5 3 5 6 2 2" xfId="23693"/>
    <cellStyle name="Heading 1 2 5 3 5 6 3" xfId="23694"/>
    <cellStyle name="Heading 1 2 5 3 5 7" xfId="23695"/>
    <cellStyle name="Heading 1 2 5 3 5 7 2" xfId="23696"/>
    <cellStyle name="Heading 1 2 5 3 5 7 2 2" xfId="23697"/>
    <cellStyle name="Heading 1 2 5 3 5 7 3" xfId="23698"/>
    <cellStyle name="Heading 1 2 5 3 5 8" xfId="23699"/>
    <cellStyle name="Heading 1 2 5 3 5 8 2" xfId="23700"/>
    <cellStyle name="Heading 1 2 5 3 5 9" xfId="23701"/>
    <cellStyle name="Heading 1 2 5 3 6" xfId="23702"/>
    <cellStyle name="Heading 1 2 5 3 6 2" xfId="23703"/>
    <cellStyle name="Heading 1 2 5 3 6 2 2" xfId="23704"/>
    <cellStyle name="Heading 1 2 5 3 6 2 2 2" xfId="23705"/>
    <cellStyle name="Heading 1 2 5 3 6 2 3" xfId="23706"/>
    <cellStyle name="Heading 1 2 5 3 6 3" xfId="23707"/>
    <cellStyle name="Heading 1 2 5 3 6 3 2" xfId="23708"/>
    <cellStyle name="Heading 1 2 5 3 6 3 2 2" xfId="23709"/>
    <cellStyle name="Heading 1 2 5 3 6 3 3" xfId="23710"/>
    <cellStyle name="Heading 1 2 5 3 6 4" xfId="23711"/>
    <cellStyle name="Heading 1 2 5 3 6 4 2" xfId="23712"/>
    <cellStyle name="Heading 1 2 5 3 6 4 2 2" xfId="23713"/>
    <cellStyle name="Heading 1 2 5 3 6 4 3" xfId="23714"/>
    <cellStyle name="Heading 1 2 5 3 6 5" xfId="23715"/>
    <cellStyle name="Heading 1 2 5 3 6 5 2" xfId="23716"/>
    <cellStyle name="Heading 1 2 5 3 6 5 2 2" xfId="23717"/>
    <cellStyle name="Heading 1 2 5 3 6 5 3" xfId="23718"/>
    <cellStyle name="Heading 1 2 5 3 6 6" xfId="23719"/>
    <cellStyle name="Heading 1 2 5 3 6 6 2" xfId="23720"/>
    <cellStyle name="Heading 1 2 5 3 6 6 2 2" xfId="23721"/>
    <cellStyle name="Heading 1 2 5 3 6 6 3" xfId="23722"/>
    <cellStyle name="Heading 1 2 5 3 6 7" xfId="23723"/>
    <cellStyle name="Heading 1 2 5 3 6 7 2" xfId="23724"/>
    <cellStyle name="Heading 1 2 5 3 6 7 2 2" xfId="23725"/>
    <cellStyle name="Heading 1 2 5 3 6 7 3" xfId="23726"/>
    <cellStyle name="Heading 1 2 5 3 6 8" xfId="23727"/>
    <cellStyle name="Heading 1 2 5 3 6 8 2" xfId="23728"/>
    <cellStyle name="Heading 1 2 5 3 6 9" xfId="23729"/>
    <cellStyle name="Heading 1 2 5 3 7" xfId="23730"/>
    <cellStyle name="Heading 1 2 5 3 7 2" xfId="23731"/>
    <cellStyle name="Heading 1 2 5 3 7 2 2" xfId="23732"/>
    <cellStyle name="Heading 1 2 5 3 7 2 2 2" xfId="23733"/>
    <cellStyle name="Heading 1 2 5 3 7 2 3" xfId="23734"/>
    <cellStyle name="Heading 1 2 5 3 7 3" xfId="23735"/>
    <cellStyle name="Heading 1 2 5 3 7 3 2" xfId="23736"/>
    <cellStyle name="Heading 1 2 5 3 7 3 2 2" xfId="23737"/>
    <cellStyle name="Heading 1 2 5 3 7 3 3" xfId="23738"/>
    <cellStyle name="Heading 1 2 5 3 7 4" xfId="23739"/>
    <cellStyle name="Heading 1 2 5 3 7 4 2" xfId="23740"/>
    <cellStyle name="Heading 1 2 5 3 7 4 2 2" xfId="23741"/>
    <cellStyle name="Heading 1 2 5 3 7 4 3" xfId="23742"/>
    <cellStyle name="Heading 1 2 5 3 7 5" xfId="23743"/>
    <cellStyle name="Heading 1 2 5 3 7 5 2" xfId="23744"/>
    <cellStyle name="Heading 1 2 5 3 7 5 2 2" xfId="23745"/>
    <cellStyle name="Heading 1 2 5 3 7 5 3" xfId="23746"/>
    <cellStyle name="Heading 1 2 5 3 7 6" xfId="23747"/>
    <cellStyle name="Heading 1 2 5 3 7 6 2" xfId="23748"/>
    <cellStyle name="Heading 1 2 5 3 7 6 2 2" xfId="23749"/>
    <cellStyle name="Heading 1 2 5 3 7 6 3" xfId="23750"/>
    <cellStyle name="Heading 1 2 5 3 7 7" xfId="23751"/>
    <cellStyle name="Heading 1 2 5 3 7 7 2" xfId="23752"/>
    <cellStyle name="Heading 1 2 5 3 7 7 2 2" xfId="23753"/>
    <cellStyle name="Heading 1 2 5 3 7 7 3" xfId="23754"/>
    <cellStyle name="Heading 1 2 5 3 7 8" xfId="23755"/>
    <cellStyle name="Heading 1 2 5 3 7 8 2" xfId="23756"/>
    <cellStyle name="Heading 1 2 5 3 7 9" xfId="23757"/>
    <cellStyle name="Heading 1 2 5 3 8" xfId="23758"/>
    <cellStyle name="Heading 1 2 5 3 8 2" xfId="23759"/>
    <cellStyle name="Heading 1 2 5 3 8 2 2" xfId="23760"/>
    <cellStyle name="Heading 1 2 5 3 8 2 2 2" xfId="23761"/>
    <cellStyle name="Heading 1 2 5 3 8 2 3" xfId="23762"/>
    <cellStyle name="Heading 1 2 5 3 8 3" xfId="23763"/>
    <cellStyle name="Heading 1 2 5 3 8 3 2" xfId="23764"/>
    <cellStyle name="Heading 1 2 5 3 8 3 2 2" xfId="23765"/>
    <cellStyle name="Heading 1 2 5 3 8 3 3" xfId="23766"/>
    <cellStyle name="Heading 1 2 5 3 8 4" xfId="23767"/>
    <cellStyle name="Heading 1 2 5 3 8 4 2" xfId="23768"/>
    <cellStyle name="Heading 1 2 5 3 8 4 2 2" xfId="23769"/>
    <cellStyle name="Heading 1 2 5 3 8 4 3" xfId="23770"/>
    <cellStyle name="Heading 1 2 5 3 8 5" xfId="23771"/>
    <cellStyle name="Heading 1 2 5 3 8 5 2" xfId="23772"/>
    <cellStyle name="Heading 1 2 5 3 8 5 2 2" xfId="23773"/>
    <cellStyle name="Heading 1 2 5 3 8 5 3" xfId="23774"/>
    <cellStyle name="Heading 1 2 5 3 8 6" xfId="23775"/>
    <cellStyle name="Heading 1 2 5 3 8 6 2" xfId="23776"/>
    <cellStyle name="Heading 1 2 5 3 8 6 2 2" xfId="23777"/>
    <cellStyle name="Heading 1 2 5 3 8 6 3" xfId="23778"/>
    <cellStyle name="Heading 1 2 5 3 8 7" xfId="23779"/>
    <cellStyle name="Heading 1 2 5 3 8 7 2" xfId="23780"/>
    <cellStyle name="Heading 1 2 5 3 8 7 2 2" xfId="23781"/>
    <cellStyle name="Heading 1 2 5 3 8 7 3" xfId="23782"/>
    <cellStyle name="Heading 1 2 5 3 8 8" xfId="23783"/>
    <cellStyle name="Heading 1 2 5 3 8 8 2" xfId="23784"/>
    <cellStyle name="Heading 1 2 5 3 8 9" xfId="23785"/>
    <cellStyle name="Heading 1 2 5 3 9" xfId="23786"/>
    <cellStyle name="Heading 1 2 5 3 9 2" xfId="23787"/>
    <cellStyle name="Heading 1 2 5 3 9 2 2" xfId="23788"/>
    <cellStyle name="Heading 1 2 5 3 9 3" xfId="23789"/>
    <cellStyle name="Heading 1 2 5 4" xfId="23790"/>
    <cellStyle name="Heading 1 2 5 4 2" xfId="23791"/>
    <cellStyle name="Heading 1 2 5 4 2 2" xfId="23792"/>
    <cellStyle name="Heading 1 2 5 4 3" xfId="23793"/>
    <cellStyle name="Heading 1 2 5 5" xfId="23794"/>
    <cellStyle name="Heading 1 2 5 5 2" xfId="23795"/>
    <cellStyle name="Heading 1 2 5 6" xfId="23796"/>
    <cellStyle name="Heading 1 2 6" xfId="23797"/>
    <cellStyle name="Heading 1 2 6 2" xfId="23798"/>
    <cellStyle name="Heading 1 2 6 2 10" xfId="23799"/>
    <cellStyle name="Heading 1 2 6 2 10 2" xfId="23800"/>
    <cellStyle name="Heading 1 2 6 2 10 2 2" xfId="23801"/>
    <cellStyle name="Heading 1 2 6 2 10 3" xfId="23802"/>
    <cellStyle name="Heading 1 2 6 2 11" xfId="23803"/>
    <cellStyle name="Heading 1 2 6 2 11 2" xfId="23804"/>
    <cellStyle name="Heading 1 2 6 2 11 2 2" xfId="23805"/>
    <cellStyle name="Heading 1 2 6 2 11 3" xfId="23806"/>
    <cellStyle name="Heading 1 2 6 2 12" xfId="23807"/>
    <cellStyle name="Heading 1 2 6 2 12 2" xfId="23808"/>
    <cellStyle name="Heading 1 2 6 2 12 2 2" xfId="23809"/>
    <cellStyle name="Heading 1 2 6 2 12 3" xfId="23810"/>
    <cellStyle name="Heading 1 2 6 2 13" xfId="23811"/>
    <cellStyle name="Heading 1 2 6 2 13 2" xfId="23812"/>
    <cellStyle name="Heading 1 2 6 2 13 2 2" xfId="23813"/>
    <cellStyle name="Heading 1 2 6 2 13 3" xfId="23814"/>
    <cellStyle name="Heading 1 2 6 2 14" xfId="23815"/>
    <cellStyle name="Heading 1 2 6 2 14 2" xfId="23816"/>
    <cellStyle name="Heading 1 2 6 2 14 2 2" xfId="23817"/>
    <cellStyle name="Heading 1 2 6 2 14 3" xfId="23818"/>
    <cellStyle name="Heading 1 2 6 2 15" xfId="23819"/>
    <cellStyle name="Heading 1 2 6 2 15 2" xfId="23820"/>
    <cellStyle name="Heading 1 2 6 2 15 2 2" xfId="23821"/>
    <cellStyle name="Heading 1 2 6 2 15 3" xfId="23822"/>
    <cellStyle name="Heading 1 2 6 2 16" xfId="23823"/>
    <cellStyle name="Heading 1 2 6 2 16 2" xfId="23824"/>
    <cellStyle name="Heading 1 2 6 2 16 2 2" xfId="23825"/>
    <cellStyle name="Heading 1 2 6 2 16 3" xfId="23826"/>
    <cellStyle name="Heading 1 2 6 2 17" xfId="23827"/>
    <cellStyle name="Heading 1 2 6 2 17 2" xfId="23828"/>
    <cellStyle name="Heading 1 2 6 2 17 2 2" xfId="23829"/>
    <cellStyle name="Heading 1 2 6 2 17 3" xfId="23830"/>
    <cellStyle name="Heading 1 2 6 2 18" xfId="23831"/>
    <cellStyle name="Heading 1 2 6 2 18 2" xfId="23832"/>
    <cellStyle name="Heading 1 2 6 2 18 2 2" xfId="23833"/>
    <cellStyle name="Heading 1 2 6 2 18 3" xfId="23834"/>
    <cellStyle name="Heading 1 2 6 2 19" xfId="23835"/>
    <cellStyle name="Heading 1 2 6 2 19 2" xfId="23836"/>
    <cellStyle name="Heading 1 2 6 2 19 2 2" xfId="23837"/>
    <cellStyle name="Heading 1 2 6 2 19 3" xfId="23838"/>
    <cellStyle name="Heading 1 2 6 2 2" xfId="23839"/>
    <cellStyle name="Heading 1 2 6 2 2 10" xfId="23840"/>
    <cellStyle name="Heading 1 2 6 2 2 10 2" xfId="23841"/>
    <cellStyle name="Heading 1 2 6 2 2 10 2 2" xfId="23842"/>
    <cellStyle name="Heading 1 2 6 2 2 10 3" xfId="23843"/>
    <cellStyle name="Heading 1 2 6 2 2 11" xfId="23844"/>
    <cellStyle name="Heading 1 2 6 2 2 11 2" xfId="23845"/>
    <cellStyle name="Heading 1 2 6 2 2 11 2 2" xfId="23846"/>
    <cellStyle name="Heading 1 2 6 2 2 11 3" xfId="23847"/>
    <cellStyle name="Heading 1 2 6 2 2 12" xfId="23848"/>
    <cellStyle name="Heading 1 2 6 2 2 12 2" xfId="23849"/>
    <cellStyle name="Heading 1 2 6 2 2 12 2 2" xfId="23850"/>
    <cellStyle name="Heading 1 2 6 2 2 12 3" xfId="23851"/>
    <cellStyle name="Heading 1 2 6 2 2 13" xfId="23852"/>
    <cellStyle name="Heading 1 2 6 2 2 13 2" xfId="23853"/>
    <cellStyle name="Heading 1 2 6 2 2 13 2 2" xfId="23854"/>
    <cellStyle name="Heading 1 2 6 2 2 13 3" xfId="23855"/>
    <cellStyle name="Heading 1 2 6 2 2 14" xfId="23856"/>
    <cellStyle name="Heading 1 2 6 2 2 14 2" xfId="23857"/>
    <cellStyle name="Heading 1 2 6 2 2 14 2 2" xfId="23858"/>
    <cellStyle name="Heading 1 2 6 2 2 14 3" xfId="23859"/>
    <cellStyle name="Heading 1 2 6 2 2 15" xfId="23860"/>
    <cellStyle name="Heading 1 2 6 2 2 15 2" xfId="23861"/>
    <cellStyle name="Heading 1 2 6 2 2 15 2 2" xfId="23862"/>
    <cellStyle name="Heading 1 2 6 2 2 15 3" xfId="23863"/>
    <cellStyle name="Heading 1 2 6 2 2 16" xfId="23864"/>
    <cellStyle name="Heading 1 2 6 2 2 16 2" xfId="23865"/>
    <cellStyle name="Heading 1 2 6 2 2 16 2 2" xfId="23866"/>
    <cellStyle name="Heading 1 2 6 2 2 16 3" xfId="23867"/>
    <cellStyle name="Heading 1 2 6 2 2 17" xfId="23868"/>
    <cellStyle name="Heading 1 2 6 2 2 17 2" xfId="23869"/>
    <cellStyle name="Heading 1 2 6 2 2 17 2 2" xfId="23870"/>
    <cellStyle name="Heading 1 2 6 2 2 17 3" xfId="23871"/>
    <cellStyle name="Heading 1 2 6 2 2 18" xfId="23872"/>
    <cellStyle name="Heading 1 2 6 2 2 18 2" xfId="23873"/>
    <cellStyle name="Heading 1 2 6 2 2 18 2 2" xfId="23874"/>
    <cellStyle name="Heading 1 2 6 2 2 18 3" xfId="23875"/>
    <cellStyle name="Heading 1 2 6 2 2 19" xfId="23876"/>
    <cellStyle name="Heading 1 2 6 2 2 19 2" xfId="23877"/>
    <cellStyle name="Heading 1 2 6 2 2 2" xfId="23878"/>
    <cellStyle name="Heading 1 2 6 2 2 2 2" xfId="23879"/>
    <cellStyle name="Heading 1 2 6 2 2 2 2 2" xfId="23880"/>
    <cellStyle name="Heading 1 2 6 2 2 2 2 2 2" xfId="23881"/>
    <cellStyle name="Heading 1 2 6 2 2 2 2 3" xfId="23882"/>
    <cellStyle name="Heading 1 2 6 2 2 2 3" xfId="23883"/>
    <cellStyle name="Heading 1 2 6 2 2 2 3 2" xfId="23884"/>
    <cellStyle name="Heading 1 2 6 2 2 2 3 2 2" xfId="23885"/>
    <cellStyle name="Heading 1 2 6 2 2 2 3 3" xfId="23886"/>
    <cellStyle name="Heading 1 2 6 2 2 2 4" xfId="23887"/>
    <cellStyle name="Heading 1 2 6 2 2 2 4 2" xfId="23888"/>
    <cellStyle name="Heading 1 2 6 2 2 2 4 2 2" xfId="23889"/>
    <cellStyle name="Heading 1 2 6 2 2 2 4 3" xfId="23890"/>
    <cellStyle name="Heading 1 2 6 2 2 2 5" xfId="23891"/>
    <cellStyle name="Heading 1 2 6 2 2 2 5 2" xfId="23892"/>
    <cellStyle name="Heading 1 2 6 2 2 2 5 2 2" xfId="23893"/>
    <cellStyle name="Heading 1 2 6 2 2 2 5 3" xfId="23894"/>
    <cellStyle name="Heading 1 2 6 2 2 2 6" xfId="23895"/>
    <cellStyle name="Heading 1 2 6 2 2 2 6 2" xfId="23896"/>
    <cellStyle name="Heading 1 2 6 2 2 2 6 2 2" xfId="23897"/>
    <cellStyle name="Heading 1 2 6 2 2 2 6 3" xfId="23898"/>
    <cellStyle name="Heading 1 2 6 2 2 2 7" xfId="23899"/>
    <cellStyle name="Heading 1 2 6 2 2 2 7 2" xfId="23900"/>
    <cellStyle name="Heading 1 2 6 2 2 2 7 2 2" xfId="23901"/>
    <cellStyle name="Heading 1 2 6 2 2 2 7 3" xfId="23902"/>
    <cellStyle name="Heading 1 2 6 2 2 2 8" xfId="23903"/>
    <cellStyle name="Heading 1 2 6 2 2 2 8 2" xfId="23904"/>
    <cellStyle name="Heading 1 2 6 2 2 2 9" xfId="23905"/>
    <cellStyle name="Heading 1 2 6 2 2 20" xfId="23906"/>
    <cellStyle name="Heading 1 2 6 2 2 20 2" xfId="23907"/>
    <cellStyle name="Heading 1 2 6 2 2 21" xfId="23908"/>
    <cellStyle name="Heading 1 2 6 2 2 21 2" xfId="23909"/>
    <cellStyle name="Heading 1 2 6 2 2 22" xfId="23910"/>
    <cellStyle name="Heading 1 2 6 2 2 3" xfId="23911"/>
    <cellStyle name="Heading 1 2 6 2 2 3 2" xfId="23912"/>
    <cellStyle name="Heading 1 2 6 2 2 3 2 2" xfId="23913"/>
    <cellStyle name="Heading 1 2 6 2 2 3 2 2 2" xfId="23914"/>
    <cellStyle name="Heading 1 2 6 2 2 3 2 3" xfId="23915"/>
    <cellStyle name="Heading 1 2 6 2 2 3 3" xfId="23916"/>
    <cellStyle name="Heading 1 2 6 2 2 3 3 2" xfId="23917"/>
    <cellStyle name="Heading 1 2 6 2 2 3 3 2 2" xfId="23918"/>
    <cellStyle name="Heading 1 2 6 2 2 3 3 3" xfId="23919"/>
    <cellStyle name="Heading 1 2 6 2 2 3 4" xfId="23920"/>
    <cellStyle name="Heading 1 2 6 2 2 3 4 2" xfId="23921"/>
    <cellStyle name="Heading 1 2 6 2 2 3 4 2 2" xfId="23922"/>
    <cellStyle name="Heading 1 2 6 2 2 3 4 3" xfId="23923"/>
    <cellStyle name="Heading 1 2 6 2 2 3 5" xfId="23924"/>
    <cellStyle name="Heading 1 2 6 2 2 3 5 2" xfId="23925"/>
    <cellStyle name="Heading 1 2 6 2 2 3 5 2 2" xfId="23926"/>
    <cellStyle name="Heading 1 2 6 2 2 3 5 3" xfId="23927"/>
    <cellStyle name="Heading 1 2 6 2 2 3 6" xfId="23928"/>
    <cellStyle name="Heading 1 2 6 2 2 3 6 2" xfId="23929"/>
    <cellStyle name="Heading 1 2 6 2 2 3 6 2 2" xfId="23930"/>
    <cellStyle name="Heading 1 2 6 2 2 3 6 3" xfId="23931"/>
    <cellStyle name="Heading 1 2 6 2 2 3 7" xfId="23932"/>
    <cellStyle name="Heading 1 2 6 2 2 3 7 2" xfId="23933"/>
    <cellStyle name="Heading 1 2 6 2 2 3 7 2 2" xfId="23934"/>
    <cellStyle name="Heading 1 2 6 2 2 3 7 3" xfId="23935"/>
    <cellStyle name="Heading 1 2 6 2 2 3 8" xfId="23936"/>
    <cellStyle name="Heading 1 2 6 2 2 3 8 2" xfId="23937"/>
    <cellStyle name="Heading 1 2 6 2 2 3 9" xfId="23938"/>
    <cellStyle name="Heading 1 2 6 2 2 4" xfId="23939"/>
    <cellStyle name="Heading 1 2 6 2 2 4 2" xfId="23940"/>
    <cellStyle name="Heading 1 2 6 2 2 4 2 2" xfId="23941"/>
    <cellStyle name="Heading 1 2 6 2 2 4 2 2 2" xfId="23942"/>
    <cellStyle name="Heading 1 2 6 2 2 4 2 3" xfId="23943"/>
    <cellStyle name="Heading 1 2 6 2 2 4 3" xfId="23944"/>
    <cellStyle name="Heading 1 2 6 2 2 4 3 2" xfId="23945"/>
    <cellStyle name="Heading 1 2 6 2 2 4 3 2 2" xfId="23946"/>
    <cellStyle name="Heading 1 2 6 2 2 4 3 3" xfId="23947"/>
    <cellStyle name="Heading 1 2 6 2 2 4 4" xfId="23948"/>
    <cellStyle name="Heading 1 2 6 2 2 4 4 2" xfId="23949"/>
    <cellStyle name="Heading 1 2 6 2 2 4 4 2 2" xfId="23950"/>
    <cellStyle name="Heading 1 2 6 2 2 4 4 3" xfId="23951"/>
    <cellStyle name="Heading 1 2 6 2 2 4 5" xfId="23952"/>
    <cellStyle name="Heading 1 2 6 2 2 4 5 2" xfId="23953"/>
    <cellStyle name="Heading 1 2 6 2 2 4 5 2 2" xfId="23954"/>
    <cellStyle name="Heading 1 2 6 2 2 4 5 3" xfId="23955"/>
    <cellStyle name="Heading 1 2 6 2 2 4 6" xfId="23956"/>
    <cellStyle name="Heading 1 2 6 2 2 4 6 2" xfId="23957"/>
    <cellStyle name="Heading 1 2 6 2 2 4 6 2 2" xfId="23958"/>
    <cellStyle name="Heading 1 2 6 2 2 4 6 3" xfId="23959"/>
    <cellStyle name="Heading 1 2 6 2 2 4 7" xfId="23960"/>
    <cellStyle name="Heading 1 2 6 2 2 4 7 2" xfId="23961"/>
    <cellStyle name="Heading 1 2 6 2 2 4 7 2 2" xfId="23962"/>
    <cellStyle name="Heading 1 2 6 2 2 4 7 3" xfId="23963"/>
    <cellStyle name="Heading 1 2 6 2 2 4 8" xfId="23964"/>
    <cellStyle name="Heading 1 2 6 2 2 4 8 2" xfId="23965"/>
    <cellStyle name="Heading 1 2 6 2 2 4 9" xfId="23966"/>
    <cellStyle name="Heading 1 2 6 2 2 5" xfId="23967"/>
    <cellStyle name="Heading 1 2 6 2 2 5 2" xfId="23968"/>
    <cellStyle name="Heading 1 2 6 2 2 5 2 2" xfId="23969"/>
    <cellStyle name="Heading 1 2 6 2 2 5 2 2 2" xfId="23970"/>
    <cellStyle name="Heading 1 2 6 2 2 5 2 3" xfId="23971"/>
    <cellStyle name="Heading 1 2 6 2 2 5 3" xfId="23972"/>
    <cellStyle name="Heading 1 2 6 2 2 5 3 2" xfId="23973"/>
    <cellStyle name="Heading 1 2 6 2 2 5 3 2 2" xfId="23974"/>
    <cellStyle name="Heading 1 2 6 2 2 5 3 3" xfId="23975"/>
    <cellStyle name="Heading 1 2 6 2 2 5 4" xfId="23976"/>
    <cellStyle name="Heading 1 2 6 2 2 5 4 2" xfId="23977"/>
    <cellStyle name="Heading 1 2 6 2 2 5 4 2 2" xfId="23978"/>
    <cellStyle name="Heading 1 2 6 2 2 5 4 3" xfId="23979"/>
    <cellStyle name="Heading 1 2 6 2 2 5 5" xfId="23980"/>
    <cellStyle name="Heading 1 2 6 2 2 5 5 2" xfId="23981"/>
    <cellStyle name="Heading 1 2 6 2 2 5 5 2 2" xfId="23982"/>
    <cellStyle name="Heading 1 2 6 2 2 5 5 3" xfId="23983"/>
    <cellStyle name="Heading 1 2 6 2 2 5 6" xfId="23984"/>
    <cellStyle name="Heading 1 2 6 2 2 5 6 2" xfId="23985"/>
    <cellStyle name="Heading 1 2 6 2 2 5 6 2 2" xfId="23986"/>
    <cellStyle name="Heading 1 2 6 2 2 5 6 3" xfId="23987"/>
    <cellStyle name="Heading 1 2 6 2 2 5 7" xfId="23988"/>
    <cellStyle name="Heading 1 2 6 2 2 5 7 2" xfId="23989"/>
    <cellStyle name="Heading 1 2 6 2 2 5 7 2 2" xfId="23990"/>
    <cellStyle name="Heading 1 2 6 2 2 5 7 3" xfId="23991"/>
    <cellStyle name="Heading 1 2 6 2 2 5 8" xfId="23992"/>
    <cellStyle name="Heading 1 2 6 2 2 5 8 2" xfId="23993"/>
    <cellStyle name="Heading 1 2 6 2 2 5 9" xfId="23994"/>
    <cellStyle name="Heading 1 2 6 2 2 6" xfId="23995"/>
    <cellStyle name="Heading 1 2 6 2 2 6 2" xfId="23996"/>
    <cellStyle name="Heading 1 2 6 2 2 6 2 2" xfId="23997"/>
    <cellStyle name="Heading 1 2 6 2 2 6 2 2 2" xfId="23998"/>
    <cellStyle name="Heading 1 2 6 2 2 6 2 3" xfId="23999"/>
    <cellStyle name="Heading 1 2 6 2 2 6 3" xfId="24000"/>
    <cellStyle name="Heading 1 2 6 2 2 6 3 2" xfId="24001"/>
    <cellStyle name="Heading 1 2 6 2 2 6 3 2 2" xfId="24002"/>
    <cellStyle name="Heading 1 2 6 2 2 6 3 3" xfId="24003"/>
    <cellStyle name="Heading 1 2 6 2 2 6 4" xfId="24004"/>
    <cellStyle name="Heading 1 2 6 2 2 6 4 2" xfId="24005"/>
    <cellStyle name="Heading 1 2 6 2 2 6 4 2 2" xfId="24006"/>
    <cellStyle name="Heading 1 2 6 2 2 6 4 3" xfId="24007"/>
    <cellStyle name="Heading 1 2 6 2 2 6 5" xfId="24008"/>
    <cellStyle name="Heading 1 2 6 2 2 6 5 2" xfId="24009"/>
    <cellStyle name="Heading 1 2 6 2 2 6 5 2 2" xfId="24010"/>
    <cellStyle name="Heading 1 2 6 2 2 6 5 3" xfId="24011"/>
    <cellStyle name="Heading 1 2 6 2 2 6 6" xfId="24012"/>
    <cellStyle name="Heading 1 2 6 2 2 6 6 2" xfId="24013"/>
    <cellStyle name="Heading 1 2 6 2 2 6 6 2 2" xfId="24014"/>
    <cellStyle name="Heading 1 2 6 2 2 6 6 3" xfId="24015"/>
    <cellStyle name="Heading 1 2 6 2 2 6 7" xfId="24016"/>
    <cellStyle name="Heading 1 2 6 2 2 6 7 2" xfId="24017"/>
    <cellStyle name="Heading 1 2 6 2 2 6 7 2 2" xfId="24018"/>
    <cellStyle name="Heading 1 2 6 2 2 6 7 3" xfId="24019"/>
    <cellStyle name="Heading 1 2 6 2 2 6 8" xfId="24020"/>
    <cellStyle name="Heading 1 2 6 2 2 6 8 2" xfId="24021"/>
    <cellStyle name="Heading 1 2 6 2 2 6 9" xfId="24022"/>
    <cellStyle name="Heading 1 2 6 2 2 7" xfId="24023"/>
    <cellStyle name="Heading 1 2 6 2 2 7 2" xfId="24024"/>
    <cellStyle name="Heading 1 2 6 2 2 7 2 2" xfId="24025"/>
    <cellStyle name="Heading 1 2 6 2 2 7 2 2 2" xfId="24026"/>
    <cellStyle name="Heading 1 2 6 2 2 7 2 3" xfId="24027"/>
    <cellStyle name="Heading 1 2 6 2 2 7 3" xfId="24028"/>
    <cellStyle name="Heading 1 2 6 2 2 7 3 2" xfId="24029"/>
    <cellStyle name="Heading 1 2 6 2 2 7 3 2 2" xfId="24030"/>
    <cellStyle name="Heading 1 2 6 2 2 7 3 3" xfId="24031"/>
    <cellStyle name="Heading 1 2 6 2 2 7 4" xfId="24032"/>
    <cellStyle name="Heading 1 2 6 2 2 7 4 2" xfId="24033"/>
    <cellStyle name="Heading 1 2 6 2 2 7 4 2 2" xfId="24034"/>
    <cellStyle name="Heading 1 2 6 2 2 7 4 3" xfId="24035"/>
    <cellStyle name="Heading 1 2 6 2 2 7 5" xfId="24036"/>
    <cellStyle name="Heading 1 2 6 2 2 7 5 2" xfId="24037"/>
    <cellStyle name="Heading 1 2 6 2 2 7 5 2 2" xfId="24038"/>
    <cellStyle name="Heading 1 2 6 2 2 7 5 3" xfId="24039"/>
    <cellStyle name="Heading 1 2 6 2 2 7 6" xfId="24040"/>
    <cellStyle name="Heading 1 2 6 2 2 7 6 2" xfId="24041"/>
    <cellStyle name="Heading 1 2 6 2 2 7 6 2 2" xfId="24042"/>
    <cellStyle name="Heading 1 2 6 2 2 7 6 3" xfId="24043"/>
    <cellStyle name="Heading 1 2 6 2 2 7 7" xfId="24044"/>
    <cellStyle name="Heading 1 2 6 2 2 7 7 2" xfId="24045"/>
    <cellStyle name="Heading 1 2 6 2 2 7 7 2 2" xfId="24046"/>
    <cellStyle name="Heading 1 2 6 2 2 7 7 3" xfId="24047"/>
    <cellStyle name="Heading 1 2 6 2 2 7 8" xfId="24048"/>
    <cellStyle name="Heading 1 2 6 2 2 7 8 2" xfId="24049"/>
    <cellStyle name="Heading 1 2 6 2 2 7 9" xfId="24050"/>
    <cellStyle name="Heading 1 2 6 2 2 8" xfId="24051"/>
    <cellStyle name="Heading 1 2 6 2 2 8 2" xfId="24052"/>
    <cellStyle name="Heading 1 2 6 2 2 8 2 2" xfId="24053"/>
    <cellStyle name="Heading 1 2 6 2 2 8 2 2 2" xfId="24054"/>
    <cellStyle name="Heading 1 2 6 2 2 8 2 3" xfId="24055"/>
    <cellStyle name="Heading 1 2 6 2 2 8 3" xfId="24056"/>
    <cellStyle name="Heading 1 2 6 2 2 8 3 2" xfId="24057"/>
    <cellStyle name="Heading 1 2 6 2 2 8 3 2 2" xfId="24058"/>
    <cellStyle name="Heading 1 2 6 2 2 8 3 3" xfId="24059"/>
    <cellStyle name="Heading 1 2 6 2 2 8 4" xfId="24060"/>
    <cellStyle name="Heading 1 2 6 2 2 8 4 2" xfId="24061"/>
    <cellStyle name="Heading 1 2 6 2 2 8 4 2 2" xfId="24062"/>
    <cellStyle name="Heading 1 2 6 2 2 8 4 3" xfId="24063"/>
    <cellStyle name="Heading 1 2 6 2 2 8 5" xfId="24064"/>
    <cellStyle name="Heading 1 2 6 2 2 8 5 2" xfId="24065"/>
    <cellStyle name="Heading 1 2 6 2 2 8 5 2 2" xfId="24066"/>
    <cellStyle name="Heading 1 2 6 2 2 8 5 3" xfId="24067"/>
    <cellStyle name="Heading 1 2 6 2 2 8 6" xfId="24068"/>
    <cellStyle name="Heading 1 2 6 2 2 8 6 2" xfId="24069"/>
    <cellStyle name="Heading 1 2 6 2 2 8 6 2 2" xfId="24070"/>
    <cellStyle name="Heading 1 2 6 2 2 8 6 3" xfId="24071"/>
    <cellStyle name="Heading 1 2 6 2 2 8 7" xfId="24072"/>
    <cellStyle name="Heading 1 2 6 2 2 8 7 2" xfId="24073"/>
    <cellStyle name="Heading 1 2 6 2 2 8 7 2 2" xfId="24074"/>
    <cellStyle name="Heading 1 2 6 2 2 8 7 3" xfId="24075"/>
    <cellStyle name="Heading 1 2 6 2 2 8 8" xfId="24076"/>
    <cellStyle name="Heading 1 2 6 2 2 8 8 2" xfId="24077"/>
    <cellStyle name="Heading 1 2 6 2 2 8 9" xfId="24078"/>
    <cellStyle name="Heading 1 2 6 2 2 9" xfId="24079"/>
    <cellStyle name="Heading 1 2 6 2 2 9 2" xfId="24080"/>
    <cellStyle name="Heading 1 2 6 2 2 9 2 2" xfId="24081"/>
    <cellStyle name="Heading 1 2 6 2 2 9 3" xfId="24082"/>
    <cellStyle name="Heading 1 2 6 2 20" xfId="24083"/>
    <cellStyle name="Heading 1 2 6 2 20 2" xfId="24084"/>
    <cellStyle name="Heading 1 2 6 2 21" xfId="24085"/>
    <cellStyle name="Heading 1 2 6 2 21 2" xfId="24086"/>
    <cellStyle name="Heading 1 2 6 2 22" xfId="24087"/>
    <cellStyle name="Heading 1 2 6 2 22 2" xfId="24088"/>
    <cellStyle name="Heading 1 2 6 2 23" xfId="24089"/>
    <cellStyle name="Heading 1 2 6 2 3" xfId="24090"/>
    <cellStyle name="Heading 1 2 6 2 3 2" xfId="24091"/>
    <cellStyle name="Heading 1 2 6 2 3 2 2" xfId="24092"/>
    <cellStyle name="Heading 1 2 6 2 3 2 2 2" xfId="24093"/>
    <cellStyle name="Heading 1 2 6 2 3 2 3" xfId="24094"/>
    <cellStyle name="Heading 1 2 6 2 3 3" xfId="24095"/>
    <cellStyle name="Heading 1 2 6 2 3 3 2" xfId="24096"/>
    <cellStyle name="Heading 1 2 6 2 3 3 2 2" xfId="24097"/>
    <cellStyle name="Heading 1 2 6 2 3 3 3" xfId="24098"/>
    <cellStyle name="Heading 1 2 6 2 3 4" xfId="24099"/>
    <cellStyle name="Heading 1 2 6 2 3 4 2" xfId="24100"/>
    <cellStyle name="Heading 1 2 6 2 3 4 2 2" xfId="24101"/>
    <cellStyle name="Heading 1 2 6 2 3 4 3" xfId="24102"/>
    <cellStyle name="Heading 1 2 6 2 3 5" xfId="24103"/>
    <cellStyle name="Heading 1 2 6 2 3 5 2" xfId="24104"/>
    <cellStyle name="Heading 1 2 6 2 3 5 2 2" xfId="24105"/>
    <cellStyle name="Heading 1 2 6 2 3 5 3" xfId="24106"/>
    <cellStyle name="Heading 1 2 6 2 3 6" xfId="24107"/>
    <cellStyle name="Heading 1 2 6 2 3 6 2" xfId="24108"/>
    <cellStyle name="Heading 1 2 6 2 3 6 2 2" xfId="24109"/>
    <cellStyle name="Heading 1 2 6 2 3 6 3" xfId="24110"/>
    <cellStyle name="Heading 1 2 6 2 3 7" xfId="24111"/>
    <cellStyle name="Heading 1 2 6 2 3 7 2" xfId="24112"/>
    <cellStyle name="Heading 1 2 6 2 3 7 2 2" xfId="24113"/>
    <cellStyle name="Heading 1 2 6 2 3 7 3" xfId="24114"/>
    <cellStyle name="Heading 1 2 6 2 3 8" xfId="24115"/>
    <cellStyle name="Heading 1 2 6 2 3 8 2" xfId="24116"/>
    <cellStyle name="Heading 1 2 6 2 3 9" xfId="24117"/>
    <cellStyle name="Heading 1 2 6 2 4" xfId="24118"/>
    <cellStyle name="Heading 1 2 6 2 4 2" xfId="24119"/>
    <cellStyle name="Heading 1 2 6 2 4 2 2" xfId="24120"/>
    <cellStyle name="Heading 1 2 6 2 4 2 2 2" xfId="24121"/>
    <cellStyle name="Heading 1 2 6 2 4 2 3" xfId="24122"/>
    <cellStyle name="Heading 1 2 6 2 4 3" xfId="24123"/>
    <cellStyle name="Heading 1 2 6 2 4 3 2" xfId="24124"/>
    <cellStyle name="Heading 1 2 6 2 4 3 2 2" xfId="24125"/>
    <cellStyle name="Heading 1 2 6 2 4 3 3" xfId="24126"/>
    <cellStyle name="Heading 1 2 6 2 4 4" xfId="24127"/>
    <cellStyle name="Heading 1 2 6 2 4 4 2" xfId="24128"/>
    <cellStyle name="Heading 1 2 6 2 4 4 2 2" xfId="24129"/>
    <cellStyle name="Heading 1 2 6 2 4 4 3" xfId="24130"/>
    <cellStyle name="Heading 1 2 6 2 4 5" xfId="24131"/>
    <cellStyle name="Heading 1 2 6 2 4 5 2" xfId="24132"/>
    <cellStyle name="Heading 1 2 6 2 4 5 2 2" xfId="24133"/>
    <cellStyle name="Heading 1 2 6 2 4 5 3" xfId="24134"/>
    <cellStyle name="Heading 1 2 6 2 4 6" xfId="24135"/>
    <cellStyle name="Heading 1 2 6 2 4 6 2" xfId="24136"/>
    <cellStyle name="Heading 1 2 6 2 4 6 2 2" xfId="24137"/>
    <cellStyle name="Heading 1 2 6 2 4 6 3" xfId="24138"/>
    <cellStyle name="Heading 1 2 6 2 4 7" xfId="24139"/>
    <cellStyle name="Heading 1 2 6 2 4 7 2" xfId="24140"/>
    <cellStyle name="Heading 1 2 6 2 4 7 2 2" xfId="24141"/>
    <cellStyle name="Heading 1 2 6 2 4 7 3" xfId="24142"/>
    <cellStyle name="Heading 1 2 6 2 4 8" xfId="24143"/>
    <cellStyle name="Heading 1 2 6 2 4 8 2" xfId="24144"/>
    <cellStyle name="Heading 1 2 6 2 4 9" xfId="24145"/>
    <cellStyle name="Heading 1 2 6 2 5" xfId="24146"/>
    <cellStyle name="Heading 1 2 6 2 5 2" xfId="24147"/>
    <cellStyle name="Heading 1 2 6 2 5 2 2" xfId="24148"/>
    <cellStyle name="Heading 1 2 6 2 5 2 2 2" xfId="24149"/>
    <cellStyle name="Heading 1 2 6 2 5 2 3" xfId="24150"/>
    <cellStyle name="Heading 1 2 6 2 5 3" xfId="24151"/>
    <cellStyle name="Heading 1 2 6 2 5 3 2" xfId="24152"/>
    <cellStyle name="Heading 1 2 6 2 5 3 2 2" xfId="24153"/>
    <cellStyle name="Heading 1 2 6 2 5 3 3" xfId="24154"/>
    <cellStyle name="Heading 1 2 6 2 5 4" xfId="24155"/>
    <cellStyle name="Heading 1 2 6 2 5 4 2" xfId="24156"/>
    <cellStyle name="Heading 1 2 6 2 5 4 2 2" xfId="24157"/>
    <cellStyle name="Heading 1 2 6 2 5 4 3" xfId="24158"/>
    <cellStyle name="Heading 1 2 6 2 5 5" xfId="24159"/>
    <cellStyle name="Heading 1 2 6 2 5 5 2" xfId="24160"/>
    <cellStyle name="Heading 1 2 6 2 5 5 2 2" xfId="24161"/>
    <cellStyle name="Heading 1 2 6 2 5 5 3" xfId="24162"/>
    <cellStyle name="Heading 1 2 6 2 5 6" xfId="24163"/>
    <cellStyle name="Heading 1 2 6 2 5 6 2" xfId="24164"/>
    <cellStyle name="Heading 1 2 6 2 5 6 2 2" xfId="24165"/>
    <cellStyle name="Heading 1 2 6 2 5 6 3" xfId="24166"/>
    <cellStyle name="Heading 1 2 6 2 5 7" xfId="24167"/>
    <cellStyle name="Heading 1 2 6 2 5 7 2" xfId="24168"/>
    <cellStyle name="Heading 1 2 6 2 5 7 2 2" xfId="24169"/>
    <cellStyle name="Heading 1 2 6 2 5 7 3" xfId="24170"/>
    <cellStyle name="Heading 1 2 6 2 5 8" xfId="24171"/>
    <cellStyle name="Heading 1 2 6 2 5 8 2" xfId="24172"/>
    <cellStyle name="Heading 1 2 6 2 5 9" xfId="24173"/>
    <cellStyle name="Heading 1 2 6 2 6" xfId="24174"/>
    <cellStyle name="Heading 1 2 6 2 6 2" xfId="24175"/>
    <cellStyle name="Heading 1 2 6 2 6 2 2" xfId="24176"/>
    <cellStyle name="Heading 1 2 6 2 6 2 2 2" xfId="24177"/>
    <cellStyle name="Heading 1 2 6 2 6 2 3" xfId="24178"/>
    <cellStyle name="Heading 1 2 6 2 6 3" xfId="24179"/>
    <cellStyle name="Heading 1 2 6 2 6 3 2" xfId="24180"/>
    <cellStyle name="Heading 1 2 6 2 6 3 2 2" xfId="24181"/>
    <cellStyle name="Heading 1 2 6 2 6 3 3" xfId="24182"/>
    <cellStyle name="Heading 1 2 6 2 6 4" xfId="24183"/>
    <cellStyle name="Heading 1 2 6 2 6 4 2" xfId="24184"/>
    <cellStyle name="Heading 1 2 6 2 6 4 2 2" xfId="24185"/>
    <cellStyle name="Heading 1 2 6 2 6 4 3" xfId="24186"/>
    <cellStyle name="Heading 1 2 6 2 6 5" xfId="24187"/>
    <cellStyle name="Heading 1 2 6 2 6 5 2" xfId="24188"/>
    <cellStyle name="Heading 1 2 6 2 6 5 2 2" xfId="24189"/>
    <cellStyle name="Heading 1 2 6 2 6 5 3" xfId="24190"/>
    <cellStyle name="Heading 1 2 6 2 6 6" xfId="24191"/>
    <cellStyle name="Heading 1 2 6 2 6 6 2" xfId="24192"/>
    <cellStyle name="Heading 1 2 6 2 6 6 2 2" xfId="24193"/>
    <cellStyle name="Heading 1 2 6 2 6 6 3" xfId="24194"/>
    <cellStyle name="Heading 1 2 6 2 6 7" xfId="24195"/>
    <cellStyle name="Heading 1 2 6 2 6 7 2" xfId="24196"/>
    <cellStyle name="Heading 1 2 6 2 6 7 2 2" xfId="24197"/>
    <cellStyle name="Heading 1 2 6 2 6 7 3" xfId="24198"/>
    <cellStyle name="Heading 1 2 6 2 6 8" xfId="24199"/>
    <cellStyle name="Heading 1 2 6 2 6 8 2" xfId="24200"/>
    <cellStyle name="Heading 1 2 6 2 6 9" xfId="24201"/>
    <cellStyle name="Heading 1 2 6 2 7" xfId="24202"/>
    <cellStyle name="Heading 1 2 6 2 7 2" xfId="24203"/>
    <cellStyle name="Heading 1 2 6 2 7 2 2" xfId="24204"/>
    <cellStyle name="Heading 1 2 6 2 7 2 2 2" xfId="24205"/>
    <cellStyle name="Heading 1 2 6 2 7 2 3" xfId="24206"/>
    <cellStyle name="Heading 1 2 6 2 7 3" xfId="24207"/>
    <cellStyle name="Heading 1 2 6 2 7 3 2" xfId="24208"/>
    <cellStyle name="Heading 1 2 6 2 7 3 2 2" xfId="24209"/>
    <cellStyle name="Heading 1 2 6 2 7 3 3" xfId="24210"/>
    <cellStyle name="Heading 1 2 6 2 7 4" xfId="24211"/>
    <cellStyle name="Heading 1 2 6 2 7 4 2" xfId="24212"/>
    <cellStyle name="Heading 1 2 6 2 7 4 2 2" xfId="24213"/>
    <cellStyle name="Heading 1 2 6 2 7 4 3" xfId="24214"/>
    <cellStyle name="Heading 1 2 6 2 7 5" xfId="24215"/>
    <cellStyle name="Heading 1 2 6 2 7 5 2" xfId="24216"/>
    <cellStyle name="Heading 1 2 6 2 7 5 2 2" xfId="24217"/>
    <cellStyle name="Heading 1 2 6 2 7 5 3" xfId="24218"/>
    <cellStyle name="Heading 1 2 6 2 7 6" xfId="24219"/>
    <cellStyle name="Heading 1 2 6 2 7 6 2" xfId="24220"/>
    <cellStyle name="Heading 1 2 6 2 7 6 2 2" xfId="24221"/>
    <cellStyle name="Heading 1 2 6 2 7 6 3" xfId="24222"/>
    <cellStyle name="Heading 1 2 6 2 7 7" xfId="24223"/>
    <cellStyle name="Heading 1 2 6 2 7 7 2" xfId="24224"/>
    <cellStyle name="Heading 1 2 6 2 7 7 2 2" xfId="24225"/>
    <cellStyle name="Heading 1 2 6 2 7 7 3" xfId="24226"/>
    <cellStyle name="Heading 1 2 6 2 7 8" xfId="24227"/>
    <cellStyle name="Heading 1 2 6 2 7 8 2" xfId="24228"/>
    <cellStyle name="Heading 1 2 6 2 7 9" xfId="24229"/>
    <cellStyle name="Heading 1 2 6 2 8" xfId="24230"/>
    <cellStyle name="Heading 1 2 6 2 8 2" xfId="24231"/>
    <cellStyle name="Heading 1 2 6 2 8 2 2" xfId="24232"/>
    <cellStyle name="Heading 1 2 6 2 8 2 2 2" xfId="24233"/>
    <cellStyle name="Heading 1 2 6 2 8 2 3" xfId="24234"/>
    <cellStyle name="Heading 1 2 6 2 8 3" xfId="24235"/>
    <cellStyle name="Heading 1 2 6 2 8 3 2" xfId="24236"/>
    <cellStyle name="Heading 1 2 6 2 8 3 2 2" xfId="24237"/>
    <cellStyle name="Heading 1 2 6 2 8 3 3" xfId="24238"/>
    <cellStyle name="Heading 1 2 6 2 8 4" xfId="24239"/>
    <cellStyle name="Heading 1 2 6 2 8 4 2" xfId="24240"/>
    <cellStyle name="Heading 1 2 6 2 8 4 2 2" xfId="24241"/>
    <cellStyle name="Heading 1 2 6 2 8 4 3" xfId="24242"/>
    <cellStyle name="Heading 1 2 6 2 8 5" xfId="24243"/>
    <cellStyle name="Heading 1 2 6 2 8 5 2" xfId="24244"/>
    <cellStyle name="Heading 1 2 6 2 8 5 2 2" xfId="24245"/>
    <cellStyle name="Heading 1 2 6 2 8 5 3" xfId="24246"/>
    <cellStyle name="Heading 1 2 6 2 8 6" xfId="24247"/>
    <cellStyle name="Heading 1 2 6 2 8 6 2" xfId="24248"/>
    <cellStyle name="Heading 1 2 6 2 8 6 2 2" xfId="24249"/>
    <cellStyle name="Heading 1 2 6 2 8 6 3" xfId="24250"/>
    <cellStyle name="Heading 1 2 6 2 8 7" xfId="24251"/>
    <cellStyle name="Heading 1 2 6 2 8 7 2" xfId="24252"/>
    <cellStyle name="Heading 1 2 6 2 8 7 2 2" xfId="24253"/>
    <cellStyle name="Heading 1 2 6 2 8 7 3" xfId="24254"/>
    <cellStyle name="Heading 1 2 6 2 8 8" xfId="24255"/>
    <cellStyle name="Heading 1 2 6 2 8 8 2" xfId="24256"/>
    <cellStyle name="Heading 1 2 6 2 8 9" xfId="24257"/>
    <cellStyle name="Heading 1 2 6 2 9" xfId="24258"/>
    <cellStyle name="Heading 1 2 6 2 9 2" xfId="24259"/>
    <cellStyle name="Heading 1 2 6 2 9 2 2" xfId="24260"/>
    <cellStyle name="Heading 1 2 6 2 9 2 2 2" xfId="24261"/>
    <cellStyle name="Heading 1 2 6 2 9 2 3" xfId="24262"/>
    <cellStyle name="Heading 1 2 6 2 9 3" xfId="24263"/>
    <cellStyle name="Heading 1 2 6 2 9 3 2" xfId="24264"/>
    <cellStyle name="Heading 1 2 6 2 9 3 2 2" xfId="24265"/>
    <cellStyle name="Heading 1 2 6 2 9 3 3" xfId="24266"/>
    <cellStyle name="Heading 1 2 6 2 9 4" xfId="24267"/>
    <cellStyle name="Heading 1 2 6 2 9 4 2" xfId="24268"/>
    <cellStyle name="Heading 1 2 6 2 9 4 2 2" xfId="24269"/>
    <cellStyle name="Heading 1 2 6 2 9 4 3" xfId="24270"/>
    <cellStyle name="Heading 1 2 6 2 9 5" xfId="24271"/>
    <cellStyle name="Heading 1 2 6 2 9 5 2" xfId="24272"/>
    <cellStyle name="Heading 1 2 6 2 9 5 2 2" xfId="24273"/>
    <cellStyle name="Heading 1 2 6 2 9 5 3" xfId="24274"/>
    <cellStyle name="Heading 1 2 6 2 9 6" xfId="24275"/>
    <cellStyle name="Heading 1 2 6 2 9 6 2" xfId="24276"/>
    <cellStyle name="Heading 1 2 6 2 9 6 2 2" xfId="24277"/>
    <cellStyle name="Heading 1 2 6 2 9 6 3" xfId="24278"/>
    <cellStyle name="Heading 1 2 6 2 9 7" xfId="24279"/>
    <cellStyle name="Heading 1 2 6 2 9 7 2" xfId="24280"/>
    <cellStyle name="Heading 1 2 6 2 9 7 2 2" xfId="24281"/>
    <cellStyle name="Heading 1 2 6 2 9 7 3" xfId="24282"/>
    <cellStyle name="Heading 1 2 6 2 9 8" xfId="24283"/>
    <cellStyle name="Heading 1 2 6 2 9 8 2" xfId="24284"/>
    <cellStyle name="Heading 1 2 6 2 9 9" xfId="24285"/>
    <cellStyle name="Heading 1 2 6 3" xfId="24286"/>
    <cellStyle name="Heading 1 2 6 3 10" xfId="24287"/>
    <cellStyle name="Heading 1 2 6 3 10 2" xfId="24288"/>
    <cellStyle name="Heading 1 2 6 3 10 2 2" xfId="24289"/>
    <cellStyle name="Heading 1 2 6 3 10 3" xfId="24290"/>
    <cellStyle name="Heading 1 2 6 3 11" xfId="24291"/>
    <cellStyle name="Heading 1 2 6 3 11 2" xfId="24292"/>
    <cellStyle name="Heading 1 2 6 3 11 2 2" xfId="24293"/>
    <cellStyle name="Heading 1 2 6 3 11 3" xfId="24294"/>
    <cellStyle name="Heading 1 2 6 3 12" xfId="24295"/>
    <cellStyle name="Heading 1 2 6 3 12 2" xfId="24296"/>
    <cellStyle name="Heading 1 2 6 3 12 2 2" xfId="24297"/>
    <cellStyle name="Heading 1 2 6 3 12 3" xfId="24298"/>
    <cellStyle name="Heading 1 2 6 3 13" xfId="24299"/>
    <cellStyle name="Heading 1 2 6 3 13 2" xfId="24300"/>
    <cellStyle name="Heading 1 2 6 3 13 2 2" xfId="24301"/>
    <cellStyle name="Heading 1 2 6 3 13 3" xfId="24302"/>
    <cellStyle name="Heading 1 2 6 3 14" xfId="24303"/>
    <cellStyle name="Heading 1 2 6 3 14 2" xfId="24304"/>
    <cellStyle name="Heading 1 2 6 3 14 2 2" xfId="24305"/>
    <cellStyle name="Heading 1 2 6 3 14 3" xfId="24306"/>
    <cellStyle name="Heading 1 2 6 3 15" xfId="24307"/>
    <cellStyle name="Heading 1 2 6 3 15 2" xfId="24308"/>
    <cellStyle name="Heading 1 2 6 3 15 2 2" xfId="24309"/>
    <cellStyle name="Heading 1 2 6 3 15 3" xfId="24310"/>
    <cellStyle name="Heading 1 2 6 3 16" xfId="24311"/>
    <cellStyle name="Heading 1 2 6 3 16 2" xfId="24312"/>
    <cellStyle name="Heading 1 2 6 3 16 2 2" xfId="24313"/>
    <cellStyle name="Heading 1 2 6 3 16 3" xfId="24314"/>
    <cellStyle name="Heading 1 2 6 3 17" xfId="24315"/>
    <cellStyle name="Heading 1 2 6 3 17 2" xfId="24316"/>
    <cellStyle name="Heading 1 2 6 3 17 2 2" xfId="24317"/>
    <cellStyle name="Heading 1 2 6 3 17 3" xfId="24318"/>
    <cellStyle name="Heading 1 2 6 3 18" xfId="24319"/>
    <cellStyle name="Heading 1 2 6 3 18 2" xfId="24320"/>
    <cellStyle name="Heading 1 2 6 3 18 2 2" xfId="24321"/>
    <cellStyle name="Heading 1 2 6 3 18 3" xfId="24322"/>
    <cellStyle name="Heading 1 2 6 3 19" xfId="24323"/>
    <cellStyle name="Heading 1 2 6 3 19 2" xfId="24324"/>
    <cellStyle name="Heading 1 2 6 3 2" xfId="24325"/>
    <cellStyle name="Heading 1 2 6 3 2 2" xfId="24326"/>
    <cellStyle name="Heading 1 2 6 3 2 2 2" xfId="24327"/>
    <cellStyle name="Heading 1 2 6 3 2 2 2 2" xfId="24328"/>
    <cellStyle name="Heading 1 2 6 3 2 2 3" xfId="24329"/>
    <cellStyle name="Heading 1 2 6 3 2 3" xfId="24330"/>
    <cellStyle name="Heading 1 2 6 3 2 3 2" xfId="24331"/>
    <cellStyle name="Heading 1 2 6 3 2 3 2 2" xfId="24332"/>
    <cellStyle name="Heading 1 2 6 3 2 3 3" xfId="24333"/>
    <cellStyle name="Heading 1 2 6 3 2 4" xfId="24334"/>
    <cellStyle name="Heading 1 2 6 3 2 4 2" xfId="24335"/>
    <cellStyle name="Heading 1 2 6 3 2 4 2 2" xfId="24336"/>
    <cellStyle name="Heading 1 2 6 3 2 4 3" xfId="24337"/>
    <cellStyle name="Heading 1 2 6 3 2 5" xfId="24338"/>
    <cellStyle name="Heading 1 2 6 3 2 5 2" xfId="24339"/>
    <cellStyle name="Heading 1 2 6 3 2 5 2 2" xfId="24340"/>
    <cellStyle name="Heading 1 2 6 3 2 5 3" xfId="24341"/>
    <cellStyle name="Heading 1 2 6 3 2 6" xfId="24342"/>
    <cellStyle name="Heading 1 2 6 3 2 6 2" xfId="24343"/>
    <cellStyle name="Heading 1 2 6 3 2 6 2 2" xfId="24344"/>
    <cellStyle name="Heading 1 2 6 3 2 6 3" xfId="24345"/>
    <cellStyle name="Heading 1 2 6 3 2 7" xfId="24346"/>
    <cellStyle name="Heading 1 2 6 3 2 7 2" xfId="24347"/>
    <cellStyle name="Heading 1 2 6 3 2 7 2 2" xfId="24348"/>
    <cellStyle name="Heading 1 2 6 3 2 7 3" xfId="24349"/>
    <cellStyle name="Heading 1 2 6 3 2 8" xfId="24350"/>
    <cellStyle name="Heading 1 2 6 3 2 8 2" xfId="24351"/>
    <cellStyle name="Heading 1 2 6 3 2 9" xfId="24352"/>
    <cellStyle name="Heading 1 2 6 3 20" xfId="24353"/>
    <cellStyle name="Heading 1 2 6 3 20 2" xfId="24354"/>
    <cellStyle name="Heading 1 2 6 3 21" xfId="24355"/>
    <cellStyle name="Heading 1 2 6 3 21 2" xfId="24356"/>
    <cellStyle name="Heading 1 2 6 3 22" xfId="24357"/>
    <cellStyle name="Heading 1 2 6 3 3" xfId="24358"/>
    <cellStyle name="Heading 1 2 6 3 3 2" xfId="24359"/>
    <cellStyle name="Heading 1 2 6 3 3 2 2" xfId="24360"/>
    <cellStyle name="Heading 1 2 6 3 3 2 2 2" xfId="24361"/>
    <cellStyle name="Heading 1 2 6 3 3 2 3" xfId="24362"/>
    <cellStyle name="Heading 1 2 6 3 3 3" xfId="24363"/>
    <cellStyle name="Heading 1 2 6 3 3 3 2" xfId="24364"/>
    <cellStyle name="Heading 1 2 6 3 3 3 2 2" xfId="24365"/>
    <cellStyle name="Heading 1 2 6 3 3 3 3" xfId="24366"/>
    <cellStyle name="Heading 1 2 6 3 3 4" xfId="24367"/>
    <cellStyle name="Heading 1 2 6 3 3 4 2" xfId="24368"/>
    <cellStyle name="Heading 1 2 6 3 3 4 2 2" xfId="24369"/>
    <cellStyle name="Heading 1 2 6 3 3 4 3" xfId="24370"/>
    <cellStyle name="Heading 1 2 6 3 3 5" xfId="24371"/>
    <cellStyle name="Heading 1 2 6 3 3 5 2" xfId="24372"/>
    <cellStyle name="Heading 1 2 6 3 3 5 2 2" xfId="24373"/>
    <cellStyle name="Heading 1 2 6 3 3 5 3" xfId="24374"/>
    <cellStyle name="Heading 1 2 6 3 3 6" xfId="24375"/>
    <cellStyle name="Heading 1 2 6 3 3 6 2" xfId="24376"/>
    <cellStyle name="Heading 1 2 6 3 3 6 2 2" xfId="24377"/>
    <cellStyle name="Heading 1 2 6 3 3 6 3" xfId="24378"/>
    <cellStyle name="Heading 1 2 6 3 3 7" xfId="24379"/>
    <cellStyle name="Heading 1 2 6 3 3 7 2" xfId="24380"/>
    <cellStyle name="Heading 1 2 6 3 3 7 2 2" xfId="24381"/>
    <cellStyle name="Heading 1 2 6 3 3 7 3" xfId="24382"/>
    <cellStyle name="Heading 1 2 6 3 3 8" xfId="24383"/>
    <cellStyle name="Heading 1 2 6 3 3 8 2" xfId="24384"/>
    <cellStyle name="Heading 1 2 6 3 3 9" xfId="24385"/>
    <cellStyle name="Heading 1 2 6 3 4" xfId="24386"/>
    <cellStyle name="Heading 1 2 6 3 4 2" xfId="24387"/>
    <cellStyle name="Heading 1 2 6 3 4 2 2" xfId="24388"/>
    <cellStyle name="Heading 1 2 6 3 4 2 2 2" xfId="24389"/>
    <cellStyle name="Heading 1 2 6 3 4 2 3" xfId="24390"/>
    <cellStyle name="Heading 1 2 6 3 4 3" xfId="24391"/>
    <cellStyle name="Heading 1 2 6 3 4 3 2" xfId="24392"/>
    <cellStyle name="Heading 1 2 6 3 4 3 2 2" xfId="24393"/>
    <cellStyle name="Heading 1 2 6 3 4 3 3" xfId="24394"/>
    <cellStyle name="Heading 1 2 6 3 4 4" xfId="24395"/>
    <cellStyle name="Heading 1 2 6 3 4 4 2" xfId="24396"/>
    <cellStyle name="Heading 1 2 6 3 4 4 2 2" xfId="24397"/>
    <cellStyle name="Heading 1 2 6 3 4 4 3" xfId="24398"/>
    <cellStyle name="Heading 1 2 6 3 4 5" xfId="24399"/>
    <cellStyle name="Heading 1 2 6 3 4 5 2" xfId="24400"/>
    <cellStyle name="Heading 1 2 6 3 4 5 2 2" xfId="24401"/>
    <cellStyle name="Heading 1 2 6 3 4 5 3" xfId="24402"/>
    <cellStyle name="Heading 1 2 6 3 4 6" xfId="24403"/>
    <cellStyle name="Heading 1 2 6 3 4 6 2" xfId="24404"/>
    <cellStyle name="Heading 1 2 6 3 4 6 2 2" xfId="24405"/>
    <cellStyle name="Heading 1 2 6 3 4 6 3" xfId="24406"/>
    <cellStyle name="Heading 1 2 6 3 4 7" xfId="24407"/>
    <cellStyle name="Heading 1 2 6 3 4 7 2" xfId="24408"/>
    <cellStyle name="Heading 1 2 6 3 4 7 2 2" xfId="24409"/>
    <cellStyle name="Heading 1 2 6 3 4 7 3" xfId="24410"/>
    <cellStyle name="Heading 1 2 6 3 4 8" xfId="24411"/>
    <cellStyle name="Heading 1 2 6 3 4 8 2" xfId="24412"/>
    <cellStyle name="Heading 1 2 6 3 4 9" xfId="24413"/>
    <cellStyle name="Heading 1 2 6 3 5" xfId="24414"/>
    <cellStyle name="Heading 1 2 6 3 5 2" xfId="24415"/>
    <cellStyle name="Heading 1 2 6 3 5 2 2" xfId="24416"/>
    <cellStyle name="Heading 1 2 6 3 5 2 2 2" xfId="24417"/>
    <cellStyle name="Heading 1 2 6 3 5 2 3" xfId="24418"/>
    <cellStyle name="Heading 1 2 6 3 5 3" xfId="24419"/>
    <cellStyle name="Heading 1 2 6 3 5 3 2" xfId="24420"/>
    <cellStyle name="Heading 1 2 6 3 5 3 2 2" xfId="24421"/>
    <cellStyle name="Heading 1 2 6 3 5 3 3" xfId="24422"/>
    <cellStyle name="Heading 1 2 6 3 5 4" xfId="24423"/>
    <cellStyle name="Heading 1 2 6 3 5 4 2" xfId="24424"/>
    <cellStyle name="Heading 1 2 6 3 5 4 2 2" xfId="24425"/>
    <cellStyle name="Heading 1 2 6 3 5 4 3" xfId="24426"/>
    <cellStyle name="Heading 1 2 6 3 5 5" xfId="24427"/>
    <cellStyle name="Heading 1 2 6 3 5 5 2" xfId="24428"/>
    <cellStyle name="Heading 1 2 6 3 5 5 2 2" xfId="24429"/>
    <cellStyle name="Heading 1 2 6 3 5 5 3" xfId="24430"/>
    <cellStyle name="Heading 1 2 6 3 5 6" xfId="24431"/>
    <cellStyle name="Heading 1 2 6 3 5 6 2" xfId="24432"/>
    <cellStyle name="Heading 1 2 6 3 5 6 2 2" xfId="24433"/>
    <cellStyle name="Heading 1 2 6 3 5 6 3" xfId="24434"/>
    <cellStyle name="Heading 1 2 6 3 5 7" xfId="24435"/>
    <cellStyle name="Heading 1 2 6 3 5 7 2" xfId="24436"/>
    <cellStyle name="Heading 1 2 6 3 5 7 2 2" xfId="24437"/>
    <cellStyle name="Heading 1 2 6 3 5 7 3" xfId="24438"/>
    <cellStyle name="Heading 1 2 6 3 5 8" xfId="24439"/>
    <cellStyle name="Heading 1 2 6 3 5 8 2" xfId="24440"/>
    <cellStyle name="Heading 1 2 6 3 5 9" xfId="24441"/>
    <cellStyle name="Heading 1 2 6 3 6" xfId="24442"/>
    <cellStyle name="Heading 1 2 6 3 6 2" xfId="24443"/>
    <cellStyle name="Heading 1 2 6 3 6 2 2" xfId="24444"/>
    <cellStyle name="Heading 1 2 6 3 6 2 2 2" xfId="24445"/>
    <cellStyle name="Heading 1 2 6 3 6 2 3" xfId="24446"/>
    <cellStyle name="Heading 1 2 6 3 6 3" xfId="24447"/>
    <cellStyle name="Heading 1 2 6 3 6 3 2" xfId="24448"/>
    <cellStyle name="Heading 1 2 6 3 6 3 2 2" xfId="24449"/>
    <cellStyle name="Heading 1 2 6 3 6 3 3" xfId="24450"/>
    <cellStyle name="Heading 1 2 6 3 6 4" xfId="24451"/>
    <cellStyle name="Heading 1 2 6 3 6 4 2" xfId="24452"/>
    <cellStyle name="Heading 1 2 6 3 6 4 2 2" xfId="24453"/>
    <cellStyle name="Heading 1 2 6 3 6 4 3" xfId="24454"/>
    <cellStyle name="Heading 1 2 6 3 6 5" xfId="24455"/>
    <cellStyle name="Heading 1 2 6 3 6 5 2" xfId="24456"/>
    <cellStyle name="Heading 1 2 6 3 6 5 2 2" xfId="24457"/>
    <cellStyle name="Heading 1 2 6 3 6 5 3" xfId="24458"/>
    <cellStyle name="Heading 1 2 6 3 6 6" xfId="24459"/>
    <cellStyle name="Heading 1 2 6 3 6 6 2" xfId="24460"/>
    <cellStyle name="Heading 1 2 6 3 6 6 2 2" xfId="24461"/>
    <cellStyle name="Heading 1 2 6 3 6 6 3" xfId="24462"/>
    <cellStyle name="Heading 1 2 6 3 6 7" xfId="24463"/>
    <cellStyle name="Heading 1 2 6 3 6 7 2" xfId="24464"/>
    <cellStyle name="Heading 1 2 6 3 6 7 2 2" xfId="24465"/>
    <cellStyle name="Heading 1 2 6 3 6 7 3" xfId="24466"/>
    <cellStyle name="Heading 1 2 6 3 6 8" xfId="24467"/>
    <cellStyle name="Heading 1 2 6 3 6 8 2" xfId="24468"/>
    <cellStyle name="Heading 1 2 6 3 6 9" xfId="24469"/>
    <cellStyle name="Heading 1 2 6 3 7" xfId="24470"/>
    <cellStyle name="Heading 1 2 6 3 7 2" xfId="24471"/>
    <cellStyle name="Heading 1 2 6 3 7 2 2" xfId="24472"/>
    <cellStyle name="Heading 1 2 6 3 7 2 2 2" xfId="24473"/>
    <cellStyle name="Heading 1 2 6 3 7 2 3" xfId="24474"/>
    <cellStyle name="Heading 1 2 6 3 7 3" xfId="24475"/>
    <cellStyle name="Heading 1 2 6 3 7 3 2" xfId="24476"/>
    <cellStyle name="Heading 1 2 6 3 7 3 2 2" xfId="24477"/>
    <cellStyle name="Heading 1 2 6 3 7 3 3" xfId="24478"/>
    <cellStyle name="Heading 1 2 6 3 7 4" xfId="24479"/>
    <cellStyle name="Heading 1 2 6 3 7 4 2" xfId="24480"/>
    <cellStyle name="Heading 1 2 6 3 7 4 2 2" xfId="24481"/>
    <cellStyle name="Heading 1 2 6 3 7 4 3" xfId="24482"/>
    <cellStyle name="Heading 1 2 6 3 7 5" xfId="24483"/>
    <cellStyle name="Heading 1 2 6 3 7 5 2" xfId="24484"/>
    <cellStyle name="Heading 1 2 6 3 7 5 2 2" xfId="24485"/>
    <cellStyle name="Heading 1 2 6 3 7 5 3" xfId="24486"/>
    <cellStyle name="Heading 1 2 6 3 7 6" xfId="24487"/>
    <cellStyle name="Heading 1 2 6 3 7 6 2" xfId="24488"/>
    <cellStyle name="Heading 1 2 6 3 7 6 2 2" xfId="24489"/>
    <cellStyle name="Heading 1 2 6 3 7 6 3" xfId="24490"/>
    <cellStyle name="Heading 1 2 6 3 7 7" xfId="24491"/>
    <cellStyle name="Heading 1 2 6 3 7 7 2" xfId="24492"/>
    <cellStyle name="Heading 1 2 6 3 7 7 2 2" xfId="24493"/>
    <cellStyle name="Heading 1 2 6 3 7 7 3" xfId="24494"/>
    <cellStyle name="Heading 1 2 6 3 7 8" xfId="24495"/>
    <cellStyle name="Heading 1 2 6 3 7 8 2" xfId="24496"/>
    <cellStyle name="Heading 1 2 6 3 7 9" xfId="24497"/>
    <cellStyle name="Heading 1 2 6 3 8" xfId="24498"/>
    <cellStyle name="Heading 1 2 6 3 8 2" xfId="24499"/>
    <cellStyle name="Heading 1 2 6 3 8 2 2" xfId="24500"/>
    <cellStyle name="Heading 1 2 6 3 8 2 2 2" xfId="24501"/>
    <cellStyle name="Heading 1 2 6 3 8 2 3" xfId="24502"/>
    <cellStyle name="Heading 1 2 6 3 8 3" xfId="24503"/>
    <cellStyle name="Heading 1 2 6 3 8 3 2" xfId="24504"/>
    <cellStyle name="Heading 1 2 6 3 8 3 2 2" xfId="24505"/>
    <cellStyle name="Heading 1 2 6 3 8 3 3" xfId="24506"/>
    <cellStyle name="Heading 1 2 6 3 8 4" xfId="24507"/>
    <cellStyle name="Heading 1 2 6 3 8 4 2" xfId="24508"/>
    <cellStyle name="Heading 1 2 6 3 8 4 2 2" xfId="24509"/>
    <cellStyle name="Heading 1 2 6 3 8 4 3" xfId="24510"/>
    <cellStyle name="Heading 1 2 6 3 8 5" xfId="24511"/>
    <cellStyle name="Heading 1 2 6 3 8 5 2" xfId="24512"/>
    <cellStyle name="Heading 1 2 6 3 8 5 2 2" xfId="24513"/>
    <cellStyle name="Heading 1 2 6 3 8 5 3" xfId="24514"/>
    <cellStyle name="Heading 1 2 6 3 8 6" xfId="24515"/>
    <cellStyle name="Heading 1 2 6 3 8 6 2" xfId="24516"/>
    <cellStyle name="Heading 1 2 6 3 8 6 2 2" xfId="24517"/>
    <cellStyle name="Heading 1 2 6 3 8 6 3" xfId="24518"/>
    <cellStyle name="Heading 1 2 6 3 8 7" xfId="24519"/>
    <cellStyle name="Heading 1 2 6 3 8 7 2" xfId="24520"/>
    <cellStyle name="Heading 1 2 6 3 8 7 2 2" xfId="24521"/>
    <cellStyle name="Heading 1 2 6 3 8 7 3" xfId="24522"/>
    <cellStyle name="Heading 1 2 6 3 8 8" xfId="24523"/>
    <cellStyle name="Heading 1 2 6 3 8 8 2" xfId="24524"/>
    <cellStyle name="Heading 1 2 6 3 8 9" xfId="24525"/>
    <cellStyle name="Heading 1 2 6 3 9" xfId="24526"/>
    <cellStyle name="Heading 1 2 6 3 9 2" xfId="24527"/>
    <cellStyle name="Heading 1 2 6 3 9 2 2" xfId="24528"/>
    <cellStyle name="Heading 1 2 6 3 9 3" xfId="24529"/>
    <cellStyle name="Heading 1 2 6 4" xfId="24530"/>
    <cellStyle name="Heading 1 2 6 4 2" xfId="24531"/>
    <cellStyle name="Heading 1 2 6 4 2 2" xfId="24532"/>
    <cellStyle name="Heading 1 2 6 4 3" xfId="24533"/>
    <cellStyle name="Heading 1 2 6 5" xfId="24534"/>
    <cellStyle name="Heading 1 2 6 5 2" xfId="24535"/>
    <cellStyle name="Heading 1 2 6 6" xfId="24536"/>
    <cellStyle name="Heading 1 2 7" xfId="24537"/>
    <cellStyle name="Heading 1 2 7 2" xfId="24538"/>
    <cellStyle name="Heading 1 2 7 2 10" xfId="24539"/>
    <cellStyle name="Heading 1 2 7 2 10 2" xfId="24540"/>
    <cellStyle name="Heading 1 2 7 2 10 2 2" xfId="24541"/>
    <cellStyle name="Heading 1 2 7 2 10 3" xfId="24542"/>
    <cellStyle name="Heading 1 2 7 2 11" xfId="24543"/>
    <cellStyle name="Heading 1 2 7 2 11 2" xfId="24544"/>
    <cellStyle name="Heading 1 2 7 2 11 2 2" xfId="24545"/>
    <cellStyle name="Heading 1 2 7 2 11 3" xfId="24546"/>
    <cellStyle name="Heading 1 2 7 2 12" xfId="24547"/>
    <cellStyle name="Heading 1 2 7 2 12 2" xfId="24548"/>
    <cellStyle name="Heading 1 2 7 2 12 2 2" xfId="24549"/>
    <cellStyle name="Heading 1 2 7 2 12 3" xfId="24550"/>
    <cellStyle name="Heading 1 2 7 2 13" xfId="24551"/>
    <cellStyle name="Heading 1 2 7 2 13 2" xfId="24552"/>
    <cellStyle name="Heading 1 2 7 2 13 2 2" xfId="24553"/>
    <cellStyle name="Heading 1 2 7 2 13 3" xfId="24554"/>
    <cellStyle name="Heading 1 2 7 2 14" xfId="24555"/>
    <cellStyle name="Heading 1 2 7 2 14 2" xfId="24556"/>
    <cellStyle name="Heading 1 2 7 2 14 2 2" xfId="24557"/>
    <cellStyle name="Heading 1 2 7 2 14 3" xfId="24558"/>
    <cellStyle name="Heading 1 2 7 2 15" xfId="24559"/>
    <cellStyle name="Heading 1 2 7 2 15 2" xfId="24560"/>
    <cellStyle name="Heading 1 2 7 2 15 2 2" xfId="24561"/>
    <cellStyle name="Heading 1 2 7 2 15 3" xfId="24562"/>
    <cellStyle name="Heading 1 2 7 2 16" xfId="24563"/>
    <cellStyle name="Heading 1 2 7 2 16 2" xfId="24564"/>
    <cellStyle name="Heading 1 2 7 2 16 2 2" xfId="24565"/>
    <cellStyle name="Heading 1 2 7 2 16 3" xfId="24566"/>
    <cellStyle name="Heading 1 2 7 2 17" xfId="24567"/>
    <cellStyle name="Heading 1 2 7 2 17 2" xfId="24568"/>
    <cellStyle name="Heading 1 2 7 2 17 2 2" xfId="24569"/>
    <cellStyle name="Heading 1 2 7 2 17 3" xfId="24570"/>
    <cellStyle name="Heading 1 2 7 2 18" xfId="24571"/>
    <cellStyle name="Heading 1 2 7 2 18 2" xfId="24572"/>
    <cellStyle name="Heading 1 2 7 2 18 2 2" xfId="24573"/>
    <cellStyle name="Heading 1 2 7 2 18 3" xfId="24574"/>
    <cellStyle name="Heading 1 2 7 2 19" xfId="24575"/>
    <cellStyle name="Heading 1 2 7 2 19 2" xfId="24576"/>
    <cellStyle name="Heading 1 2 7 2 19 2 2" xfId="24577"/>
    <cellStyle name="Heading 1 2 7 2 19 3" xfId="24578"/>
    <cellStyle name="Heading 1 2 7 2 2" xfId="24579"/>
    <cellStyle name="Heading 1 2 7 2 2 10" xfId="24580"/>
    <cellStyle name="Heading 1 2 7 2 2 10 2" xfId="24581"/>
    <cellStyle name="Heading 1 2 7 2 2 10 2 2" xfId="24582"/>
    <cellStyle name="Heading 1 2 7 2 2 10 3" xfId="24583"/>
    <cellStyle name="Heading 1 2 7 2 2 11" xfId="24584"/>
    <cellStyle name="Heading 1 2 7 2 2 11 2" xfId="24585"/>
    <cellStyle name="Heading 1 2 7 2 2 11 2 2" xfId="24586"/>
    <cellStyle name="Heading 1 2 7 2 2 11 3" xfId="24587"/>
    <cellStyle name="Heading 1 2 7 2 2 12" xfId="24588"/>
    <cellStyle name="Heading 1 2 7 2 2 12 2" xfId="24589"/>
    <cellStyle name="Heading 1 2 7 2 2 12 2 2" xfId="24590"/>
    <cellStyle name="Heading 1 2 7 2 2 12 3" xfId="24591"/>
    <cellStyle name="Heading 1 2 7 2 2 13" xfId="24592"/>
    <cellStyle name="Heading 1 2 7 2 2 13 2" xfId="24593"/>
    <cellStyle name="Heading 1 2 7 2 2 13 2 2" xfId="24594"/>
    <cellStyle name="Heading 1 2 7 2 2 13 3" xfId="24595"/>
    <cellStyle name="Heading 1 2 7 2 2 14" xfId="24596"/>
    <cellStyle name="Heading 1 2 7 2 2 14 2" xfId="24597"/>
    <cellStyle name="Heading 1 2 7 2 2 14 2 2" xfId="24598"/>
    <cellStyle name="Heading 1 2 7 2 2 14 3" xfId="24599"/>
    <cellStyle name="Heading 1 2 7 2 2 15" xfId="24600"/>
    <cellStyle name="Heading 1 2 7 2 2 15 2" xfId="24601"/>
    <cellStyle name="Heading 1 2 7 2 2 15 2 2" xfId="24602"/>
    <cellStyle name="Heading 1 2 7 2 2 15 3" xfId="24603"/>
    <cellStyle name="Heading 1 2 7 2 2 16" xfId="24604"/>
    <cellStyle name="Heading 1 2 7 2 2 16 2" xfId="24605"/>
    <cellStyle name="Heading 1 2 7 2 2 16 2 2" xfId="24606"/>
    <cellStyle name="Heading 1 2 7 2 2 16 3" xfId="24607"/>
    <cellStyle name="Heading 1 2 7 2 2 17" xfId="24608"/>
    <cellStyle name="Heading 1 2 7 2 2 17 2" xfId="24609"/>
    <cellStyle name="Heading 1 2 7 2 2 17 2 2" xfId="24610"/>
    <cellStyle name="Heading 1 2 7 2 2 17 3" xfId="24611"/>
    <cellStyle name="Heading 1 2 7 2 2 18" xfId="24612"/>
    <cellStyle name="Heading 1 2 7 2 2 18 2" xfId="24613"/>
    <cellStyle name="Heading 1 2 7 2 2 18 2 2" xfId="24614"/>
    <cellStyle name="Heading 1 2 7 2 2 18 3" xfId="24615"/>
    <cellStyle name="Heading 1 2 7 2 2 19" xfId="24616"/>
    <cellStyle name="Heading 1 2 7 2 2 19 2" xfId="24617"/>
    <cellStyle name="Heading 1 2 7 2 2 2" xfId="24618"/>
    <cellStyle name="Heading 1 2 7 2 2 2 2" xfId="24619"/>
    <cellStyle name="Heading 1 2 7 2 2 2 2 2" xfId="24620"/>
    <cellStyle name="Heading 1 2 7 2 2 2 2 2 2" xfId="24621"/>
    <cellStyle name="Heading 1 2 7 2 2 2 2 3" xfId="24622"/>
    <cellStyle name="Heading 1 2 7 2 2 2 3" xfId="24623"/>
    <cellStyle name="Heading 1 2 7 2 2 2 3 2" xfId="24624"/>
    <cellStyle name="Heading 1 2 7 2 2 2 3 2 2" xfId="24625"/>
    <cellStyle name="Heading 1 2 7 2 2 2 3 3" xfId="24626"/>
    <cellStyle name="Heading 1 2 7 2 2 2 4" xfId="24627"/>
    <cellStyle name="Heading 1 2 7 2 2 2 4 2" xfId="24628"/>
    <cellStyle name="Heading 1 2 7 2 2 2 4 2 2" xfId="24629"/>
    <cellStyle name="Heading 1 2 7 2 2 2 4 3" xfId="24630"/>
    <cellStyle name="Heading 1 2 7 2 2 2 5" xfId="24631"/>
    <cellStyle name="Heading 1 2 7 2 2 2 5 2" xfId="24632"/>
    <cellStyle name="Heading 1 2 7 2 2 2 5 2 2" xfId="24633"/>
    <cellStyle name="Heading 1 2 7 2 2 2 5 3" xfId="24634"/>
    <cellStyle name="Heading 1 2 7 2 2 2 6" xfId="24635"/>
    <cellStyle name="Heading 1 2 7 2 2 2 6 2" xfId="24636"/>
    <cellStyle name="Heading 1 2 7 2 2 2 6 2 2" xfId="24637"/>
    <cellStyle name="Heading 1 2 7 2 2 2 6 3" xfId="24638"/>
    <cellStyle name="Heading 1 2 7 2 2 2 7" xfId="24639"/>
    <cellStyle name="Heading 1 2 7 2 2 2 7 2" xfId="24640"/>
    <cellStyle name="Heading 1 2 7 2 2 2 7 2 2" xfId="24641"/>
    <cellStyle name="Heading 1 2 7 2 2 2 7 3" xfId="24642"/>
    <cellStyle name="Heading 1 2 7 2 2 2 8" xfId="24643"/>
    <cellStyle name="Heading 1 2 7 2 2 2 8 2" xfId="24644"/>
    <cellStyle name="Heading 1 2 7 2 2 2 9" xfId="24645"/>
    <cellStyle name="Heading 1 2 7 2 2 20" xfId="24646"/>
    <cellStyle name="Heading 1 2 7 2 2 20 2" xfId="24647"/>
    <cellStyle name="Heading 1 2 7 2 2 21" xfId="24648"/>
    <cellStyle name="Heading 1 2 7 2 2 21 2" xfId="24649"/>
    <cellStyle name="Heading 1 2 7 2 2 22" xfId="24650"/>
    <cellStyle name="Heading 1 2 7 2 2 3" xfId="24651"/>
    <cellStyle name="Heading 1 2 7 2 2 3 2" xfId="24652"/>
    <cellStyle name="Heading 1 2 7 2 2 3 2 2" xfId="24653"/>
    <cellStyle name="Heading 1 2 7 2 2 3 2 2 2" xfId="24654"/>
    <cellStyle name="Heading 1 2 7 2 2 3 2 3" xfId="24655"/>
    <cellStyle name="Heading 1 2 7 2 2 3 3" xfId="24656"/>
    <cellStyle name="Heading 1 2 7 2 2 3 3 2" xfId="24657"/>
    <cellStyle name="Heading 1 2 7 2 2 3 3 2 2" xfId="24658"/>
    <cellStyle name="Heading 1 2 7 2 2 3 3 3" xfId="24659"/>
    <cellStyle name="Heading 1 2 7 2 2 3 4" xfId="24660"/>
    <cellStyle name="Heading 1 2 7 2 2 3 4 2" xfId="24661"/>
    <cellStyle name="Heading 1 2 7 2 2 3 4 2 2" xfId="24662"/>
    <cellStyle name="Heading 1 2 7 2 2 3 4 3" xfId="24663"/>
    <cellStyle name="Heading 1 2 7 2 2 3 5" xfId="24664"/>
    <cellStyle name="Heading 1 2 7 2 2 3 5 2" xfId="24665"/>
    <cellStyle name="Heading 1 2 7 2 2 3 5 2 2" xfId="24666"/>
    <cellStyle name="Heading 1 2 7 2 2 3 5 3" xfId="24667"/>
    <cellStyle name="Heading 1 2 7 2 2 3 6" xfId="24668"/>
    <cellStyle name="Heading 1 2 7 2 2 3 6 2" xfId="24669"/>
    <cellStyle name="Heading 1 2 7 2 2 3 6 2 2" xfId="24670"/>
    <cellStyle name="Heading 1 2 7 2 2 3 6 3" xfId="24671"/>
    <cellStyle name="Heading 1 2 7 2 2 3 7" xfId="24672"/>
    <cellStyle name="Heading 1 2 7 2 2 3 7 2" xfId="24673"/>
    <cellStyle name="Heading 1 2 7 2 2 3 7 2 2" xfId="24674"/>
    <cellStyle name="Heading 1 2 7 2 2 3 7 3" xfId="24675"/>
    <cellStyle name="Heading 1 2 7 2 2 3 8" xfId="24676"/>
    <cellStyle name="Heading 1 2 7 2 2 3 8 2" xfId="24677"/>
    <cellStyle name="Heading 1 2 7 2 2 3 9" xfId="24678"/>
    <cellStyle name="Heading 1 2 7 2 2 4" xfId="24679"/>
    <cellStyle name="Heading 1 2 7 2 2 4 2" xfId="24680"/>
    <cellStyle name="Heading 1 2 7 2 2 4 2 2" xfId="24681"/>
    <cellStyle name="Heading 1 2 7 2 2 4 2 2 2" xfId="24682"/>
    <cellStyle name="Heading 1 2 7 2 2 4 2 3" xfId="24683"/>
    <cellStyle name="Heading 1 2 7 2 2 4 3" xfId="24684"/>
    <cellStyle name="Heading 1 2 7 2 2 4 3 2" xfId="24685"/>
    <cellStyle name="Heading 1 2 7 2 2 4 3 2 2" xfId="24686"/>
    <cellStyle name="Heading 1 2 7 2 2 4 3 3" xfId="24687"/>
    <cellStyle name="Heading 1 2 7 2 2 4 4" xfId="24688"/>
    <cellStyle name="Heading 1 2 7 2 2 4 4 2" xfId="24689"/>
    <cellStyle name="Heading 1 2 7 2 2 4 4 2 2" xfId="24690"/>
    <cellStyle name="Heading 1 2 7 2 2 4 4 3" xfId="24691"/>
    <cellStyle name="Heading 1 2 7 2 2 4 5" xfId="24692"/>
    <cellStyle name="Heading 1 2 7 2 2 4 5 2" xfId="24693"/>
    <cellStyle name="Heading 1 2 7 2 2 4 5 2 2" xfId="24694"/>
    <cellStyle name="Heading 1 2 7 2 2 4 5 3" xfId="24695"/>
    <cellStyle name="Heading 1 2 7 2 2 4 6" xfId="24696"/>
    <cellStyle name="Heading 1 2 7 2 2 4 6 2" xfId="24697"/>
    <cellStyle name="Heading 1 2 7 2 2 4 6 2 2" xfId="24698"/>
    <cellStyle name="Heading 1 2 7 2 2 4 6 3" xfId="24699"/>
    <cellStyle name="Heading 1 2 7 2 2 4 7" xfId="24700"/>
    <cellStyle name="Heading 1 2 7 2 2 4 7 2" xfId="24701"/>
    <cellStyle name="Heading 1 2 7 2 2 4 7 2 2" xfId="24702"/>
    <cellStyle name="Heading 1 2 7 2 2 4 7 3" xfId="24703"/>
    <cellStyle name="Heading 1 2 7 2 2 4 8" xfId="24704"/>
    <cellStyle name="Heading 1 2 7 2 2 4 8 2" xfId="24705"/>
    <cellStyle name="Heading 1 2 7 2 2 4 9" xfId="24706"/>
    <cellStyle name="Heading 1 2 7 2 2 5" xfId="24707"/>
    <cellStyle name="Heading 1 2 7 2 2 5 2" xfId="24708"/>
    <cellStyle name="Heading 1 2 7 2 2 5 2 2" xfId="24709"/>
    <cellStyle name="Heading 1 2 7 2 2 5 2 2 2" xfId="24710"/>
    <cellStyle name="Heading 1 2 7 2 2 5 2 3" xfId="24711"/>
    <cellStyle name="Heading 1 2 7 2 2 5 3" xfId="24712"/>
    <cellStyle name="Heading 1 2 7 2 2 5 3 2" xfId="24713"/>
    <cellStyle name="Heading 1 2 7 2 2 5 3 2 2" xfId="24714"/>
    <cellStyle name="Heading 1 2 7 2 2 5 3 3" xfId="24715"/>
    <cellStyle name="Heading 1 2 7 2 2 5 4" xfId="24716"/>
    <cellStyle name="Heading 1 2 7 2 2 5 4 2" xfId="24717"/>
    <cellStyle name="Heading 1 2 7 2 2 5 4 2 2" xfId="24718"/>
    <cellStyle name="Heading 1 2 7 2 2 5 4 3" xfId="24719"/>
    <cellStyle name="Heading 1 2 7 2 2 5 5" xfId="24720"/>
    <cellStyle name="Heading 1 2 7 2 2 5 5 2" xfId="24721"/>
    <cellStyle name="Heading 1 2 7 2 2 5 5 2 2" xfId="24722"/>
    <cellStyle name="Heading 1 2 7 2 2 5 5 3" xfId="24723"/>
    <cellStyle name="Heading 1 2 7 2 2 5 6" xfId="24724"/>
    <cellStyle name="Heading 1 2 7 2 2 5 6 2" xfId="24725"/>
    <cellStyle name="Heading 1 2 7 2 2 5 6 2 2" xfId="24726"/>
    <cellStyle name="Heading 1 2 7 2 2 5 6 3" xfId="24727"/>
    <cellStyle name="Heading 1 2 7 2 2 5 7" xfId="24728"/>
    <cellStyle name="Heading 1 2 7 2 2 5 7 2" xfId="24729"/>
    <cellStyle name="Heading 1 2 7 2 2 5 7 2 2" xfId="24730"/>
    <cellStyle name="Heading 1 2 7 2 2 5 7 3" xfId="24731"/>
    <cellStyle name="Heading 1 2 7 2 2 5 8" xfId="24732"/>
    <cellStyle name="Heading 1 2 7 2 2 5 8 2" xfId="24733"/>
    <cellStyle name="Heading 1 2 7 2 2 5 9" xfId="24734"/>
    <cellStyle name="Heading 1 2 7 2 2 6" xfId="24735"/>
    <cellStyle name="Heading 1 2 7 2 2 6 2" xfId="24736"/>
    <cellStyle name="Heading 1 2 7 2 2 6 2 2" xfId="24737"/>
    <cellStyle name="Heading 1 2 7 2 2 6 2 2 2" xfId="24738"/>
    <cellStyle name="Heading 1 2 7 2 2 6 2 3" xfId="24739"/>
    <cellStyle name="Heading 1 2 7 2 2 6 3" xfId="24740"/>
    <cellStyle name="Heading 1 2 7 2 2 6 3 2" xfId="24741"/>
    <cellStyle name="Heading 1 2 7 2 2 6 3 2 2" xfId="24742"/>
    <cellStyle name="Heading 1 2 7 2 2 6 3 3" xfId="24743"/>
    <cellStyle name="Heading 1 2 7 2 2 6 4" xfId="24744"/>
    <cellStyle name="Heading 1 2 7 2 2 6 4 2" xfId="24745"/>
    <cellStyle name="Heading 1 2 7 2 2 6 4 2 2" xfId="24746"/>
    <cellStyle name="Heading 1 2 7 2 2 6 4 3" xfId="24747"/>
    <cellStyle name="Heading 1 2 7 2 2 6 5" xfId="24748"/>
    <cellStyle name="Heading 1 2 7 2 2 6 5 2" xfId="24749"/>
    <cellStyle name="Heading 1 2 7 2 2 6 5 2 2" xfId="24750"/>
    <cellStyle name="Heading 1 2 7 2 2 6 5 3" xfId="24751"/>
    <cellStyle name="Heading 1 2 7 2 2 6 6" xfId="24752"/>
    <cellStyle name="Heading 1 2 7 2 2 6 6 2" xfId="24753"/>
    <cellStyle name="Heading 1 2 7 2 2 6 6 2 2" xfId="24754"/>
    <cellStyle name="Heading 1 2 7 2 2 6 6 3" xfId="24755"/>
    <cellStyle name="Heading 1 2 7 2 2 6 7" xfId="24756"/>
    <cellStyle name="Heading 1 2 7 2 2 6 7 2" xfId="24757"/>
    <cellStyle name="Heading 1 2 7 2 2 6 7 2 2" xfId="24758"/>
    <cellStyle name="Heading 1 2 7 2 2 6 7 3" xfId="24759"/>
    <cellStyle name="Heading 1 2 7 2 2 6 8" xfId="24760"/>
    <cellStyle name="Heading 1 2 7 2 2 6 8 2" xfId="24761"/>
    <cellStyle name="Heading 1 2 7 2 2 6 9" xfId="24762"/>
    <cellStyle name="Heading 1 2 7 2 2 7" xfId="24763"/>
    <cellStyle name="Heading 1 2 7 2 2 7 2" xfId="24764"/>
    <cellStyle name="Heading 1 2 7 2 2 7 2 2" xfId="24765"/>
    <cellStyle name="Heading 1 2 7 2 2 7 2 2 2" xfId="24766"/>
    <cellStyle name="Heading 1 2 7 2 2 7 2 3" xfId="24767"/>
    <cellStyle name="Heading 1 2 7 2 2 7 3" xfId="24768"/>
    <cellStyle name="Heading 1 2 7 2 2 7 3 2" xfId="24769"/>
    <cellStyle name="Heading 1 2 7 2 2 7 3 2 2" xfId="24770"/>
    <cellStyle name="Heading 1 2 7 2 2 7 3 3" xfId="24771"/>
    <cellStyle name="Heading 1 2 7 2 2 7 4" xfId="24772"/>
    <cellStyle name="Heading 1 2 7 2 2 7 4 2" xfId="24773"/>
    <cellStyle name="Heading 1 2 7 2 2 7 4 2 2" xfId="24774"/>
    <cellStyle name="Heading 1 2 7 2 2 7 4 3" xfId="24775"/>
    <cellStyle name="Heading 1 2 7 2 2 7 5" xfId="24776"/>
    <cellStyle name="Heading 1 2 7 2 2 7 5 2" xfId="24777"/>
    <cellStyle name="Heading 1 2 7 2 2 7 5 2 2" xfId="24778"/>
    <cellStyle name="Heading 1 2 7 2 2 7 5 3" xfId="24779"/>
    <cellStyle name="Heading 1 2 7 2 2 7 6" xfId="24780"/>
    <cellStyle name="Heading 1 2 7 2 2 7 6 2" xfId="24781"/>
    <cellStyle name="Heading 1 2 7 2 2 7 6 2 2" xfId="24782"/>
    <cellStyle name="Heading 1 2 7 2 2 7 6 3" xfId="24783"/>
    <cellStyle name="Heading 1 2 7 2 2 7 7" xfId="24784"/>
    <cellStyle name="Heading 1 2 7 2 2 7 7 2" xfId="24785"/>
    <cellStyle name="Heading 1 2 7 2 2 7 7 2 2" xfId="24786"/>
    <cellStyle name="Heading 1 2 7 2 2 7 7 3" xfId="24787"/>
    <cellStyle name="Heading 1 2 7 2 2 7 8" xfId="24788"/>
    <cellStyle name="Heading 1 2 7 2 2 7 8 2" xfId="24789"/>
    <cellStyle name="Heading 1 2 7 2 2 7 9" xfId="24790"/>
    <cellStyle name="Heading 1 2 7 2 2 8" xfId="24791"/>
    <cellStyle name="Heading 1 2 7 2 2 8 2" xfId="24792"/>
    <cellStyle name="Heading 1 2 7 2 2 8 2 2" xfId="24793"/>
    <cellStyle name="Heading 1 2 7 2 2 8 2 2 2" xfId="24794"/>
    <cellStyle name="Heading 1 2 7 2 2 8 2 3" xfId="24795"/>
    <cellStyle name="Heading 1 2 7 2 2 8 3" xfId="24796"/>
    <cellStyle name="Heading 1 2 7 2 2 8 3 2" xfId="24797"/>
    <cellStyle name="Heading 1 2 7 2 2 8 3 2 2" xfId="24798"/>
    <cellStyle name="Heading 1 2 7 2 2 8 3 3" xfId="24799"/>
    <cellStyle name="Heading 1 2 7 2 2 8 4" xfId="24800"/>
    <cellStyle name="Heading 1 2 7 2 2 8 4 2" xfId="24801"/>
    <cellStyle name="Heading 1 2 7 2 2 8 4 2 2" xfId="24802"/>
    <cellStyle name="Heading 1 2 7 2 2 8 4 3" xfId="24803"/>
    <cellStyle name="Heading 1 2 7 2 2 8 5" xfId="24804"/>
    <cellStyle name="Heading 1 2 7 2 2 8 5 2" xfId="24805"/>
    <cellStyle name="Heading 1 2 7 2 2 8 5 2 2" xfId="24806"/>
    <cellStyle name="Heading 1 2 7 2 2 8 5 3" xfId="24807"/>
    <cellStyle name="Heading 1 2 7 2 2 8 6" xfId="24808"/>
    <cellStyle name="Heading 1 2 7 2 2 8 6 2" xfId="24809"/>
    <cellStyle name="Heading 1 2 7 2 2 8 6 2 2" xfId="24810"/>
    <cellStyle name="Heading 1 2 7 2 2 8 6 3" xfId="24811"/>
    <cellStyle name="Heading 1 2 7 2 2 8 7" xfId="24812"/>
    <cellStyle name="Heading 1 2 7 2 2 8 7 2" xfId="24813"/>
    <cellStyle name="Heading 1 2 7 2 2 8 7 2 2" xfId="24814"/>
    <cellStyle name="Heading 1 2 7 2 2 8 7 3" xfId="24815"/>
    <cellStyle name="Heading 1 2 7 2 2 8 8" xfId="24816"/>
    <cellStyle name="Heading 1 2 7 2 2 8 8 2" xfId="24817"/>
    <cellStyle name="Heading 1 2 7 2 2 8 9" xfId="24818"/>
    <cellStyle name="Heading 1 2 7 2 2 9" xfId="24819"/>
    <cellStyle name="Heading 1 2 7 2 2 9 2" xfId="24820"/>
    <cellStyle name="Heading 1 2 7 2 2 9 2 2" xfId="24821"/>
    <cellStyle name="Heading 1 2 7 2 2 9 3" xfId="24822"/>
    <cellStyle name="Heading 1 2 7 2 20" xfId="24823"/>
    <cellStyle name="Heading 1 2 7 2 20 2" xfId="24824"/>
    <cellStyle name="Heading 1 2 7 2 21" xfId="24825"/>
    <cellStyle name="Heading 1 2 7 2 21 2" xfId="24826"/>
    <cellStyle name="Heading 1 2 7 2 22" xfId="24827"/>
    <cellStyle name="Heading 1 2 7 2 22 2" xfId="24828"/>
    <cellStyle name="Heading 1 2 7 2 23" xfId="24829"/>
    <cellStyle name="Heading 1 2 7 2 3" xfId="24830"/>
    <cellStyle name="Heading 1 2 7 2 3 2" xfId="24831"/>
    <cellStyle name="Heading 1 2 7 2 3 2 2" xfId="24832"/>
    <cellStyle name="Heading 1 2 7 2 3 2 2 2" xfId="24833"/>
    <cellStyle name="Heading 1 2 7 2 3 2 3" xfId="24834"/>
    <cellStyle name="Heading 1 2 7 2 3 3" xfId="24835"/>
    <cellStyle name="Heading 1 2 7 2 3 3 2" xfId="24836"/>
    <cellStyle name="Heading 1 2 7 2 3 3 2 2" xfId="24837"/>
    <cellStyle name="Heading 1 2 7 2 3 3 3" xfId="24838"/>
    <cellStyle name="Heading 1 2 7 2 3 4" xfId="24839"/>
    <cellStyle name="Heading 1 2 7 2 3 4 2" xfId="24840"/>
    <cellStyle name="Heading 1 2 7 2 3 4 2 2" xfId="24841"/>
    <cellStyle name="Heading 1 2 7 2 3 4 3" xfId="24842"/>
    <cellStyle name="Heading 1 2 7 2 3 5" xfId="24843"/>
    <cellStyle name="Heading 1 2 7 2 3 5 2" xfId="24844"/>
    <cellStyle name="Heading 1 2 7 2 3 5 2 2" xfId="24845"/>
    <cellStyle name="Heading 1 2 7 2 3 5 3" xfId="24846"/>
    <cellStyle name="Heading 1 2 7 2 3 6" xfId="24847"/>
    <cellStyle name="Heading 1 2 7 2 3 6 2" xfId="24848"/>
    <cellStyle name="Heading 1 2 7 2 3 6 2 2" xfId="24849"/>
    <cellStyle name="Heading 1 2 7 2 3 6 3" xfId="24850"/>
    <cellStyle name="Heading 1 2 7 2 3 7" xfId="24851"/>
    <cellStyle name="Heading 1 2 7 2 3 7 2" xfId="24852"/>
    <cellStyle name="Heading 1 2 7 2 3 7 2 2" xfId="24853"/>
    <cellStyle name="Heading 1 2 7 2 3 7 3" xfId="24854"/>
    <cellStyle name="Heading 1 2 7 2 3 8" xfId="24855"/>
    <cellStyle name="Heading 1 2 7 2 3 8 2" xfId="24856"/>
    <cellStyle name="Heading 1 2 7 2 3 9" xfId="24857"/>
    <cellStyle name="Heading 1 2 7 2 4" xfId="24858"/>
    <cellStyle name="Heading 1 2 7 2 4 2" xfId="24859"/>
    <cellStyle name="Heading 1 2 7 2 4 2 2" xfId="24860"/>
    <cellStyle name="Heading 1 2 7 2 4 2 2 2" xfId="24861"/>
    <cellStyle name="Heading 1 2 7 2 4 2 3" xfId="24862"/>
    <cellStyle name="Heading 1 2 7 2 4 3" xfId="24863"/>
    <cellStyle name="Heading 1 2 7 2 4 3 2" xfId="24864"/>
    <cellStyle name="Heading 1 2 7 2 4 3 2 2" xfId="24865"/>
    <cellStyle name="Heading 1 2 7 2 4 3 3" xfId="24866"/>
    <cellStyle name="Heading 1 2 7 2 4 4" xfId="24867"/>
    <cellStyle name="Heading 1 2 7 2 4 4 2" xfId="24868"/>
    <cellStyle name="Heading 1 2 7 2 4 4 2 2" xfId="24869"/>
    <cellStyle name="Heading 1 2 7 2 4 4 3" xfId="24870"/>
    <cellStyle name="Heading 1 2 7 2 4 5" xfId="24871"/>
    <cellStyle name="Heading 1 2 7 2 4 5 2" xfId="24872"/>
    <cellStyle name="Heading 1 2 7 2 4 5 2 2" xfId="24873"/>
    <cellStyle name="Heading 1 2 7 2 4 5 3" xfId="24874"/>
    <cellStyle name="Heading 1 2 7 2 4 6" xfId="24875"/>
    <cellStyle name="Heading 1 2 7 2 4 6 2" xfId="24876"/>
    <cellStyle name="Heading 1 2 7 2 4 6 2 2" xfId="24877"/>
    <cellStyle name="Heading 1 2 7 2 4 6 3" xfId="24878"/>
    <cellStyle name="Heading 1 2 7 2 4 7" xfId="24879"/>
    <cellStyle name="Heading 1 2 7 2 4 7 2" xfId="24880"/>
    <cellStyle name="Heading 1 2 7 2 4 7 2 2" xfId="24881"/>
    <cellStyle name="Heading 1 2 7 2 4 7 3" xfId="24882"/>
    <cellStyle name="Heading 1 2 7 2 4 8" xfId="24883"/>
    <cellStyle name="Heading 1 2 7 2 4 8 2" xfId="24884"/>
    <cellStyle name="Heading 1 2 7 2 4 9" xfId="24885"/>
    <cellStyle name="Heading 1 2 7 2 5" xfId="24886"/>
    <cellStyle name="Heading 1 2 7 2 5 2" xfId="24887"/>
    <cellStyle name="Heading 1 2 7 2 5 2 2" xfId="24888"/>
    <cellStyle name="Heading 1 2 7 2 5 2 2 2" xfId="24889"/>
    <cellStyle name="Heading 1 2 7 2 5 2 3" xfId="24890"/>
    <cellStyle name="Heading 1 2 7 2 5 3" xfId="24891"/>
    <cellStyle name="Heading 1 2 7 2 5 3 2" xfId="24892"/>
    <cellStyle name="Heading 1 2 7 2 5 3 2 2" xfId="24893"/>
    <cellStyle name="Heading 1 2 7 2 5 3 3" xfId="24894"/>
    <cellStyle name="Heading 1 2 7 2 5 4" xfId="24895"/>
    <cellStyle name="Heading 1 2 7 2 5 4 2" xfId="24896"/>
    <cellStyle name="Heading 1 2 7 2 5 4 2 2" xfId="24897"/>
    <cellStyle name="Heading 1 2 7 2 5 4 3" xfId="24898"/>
    <cellStyle name="Heading 1 2 7 2 5 5" xfId="24899"/>
    <cellStyle name="Heading 1 2 7 2 5 5 2" xfId="24900"/>
    <cellStyle name="Heading 1 2 7 2 5 5 2 2" xfId="24901"/>
    <cellStyle name="Heading 1 2 7 2 5 5 3" xfId="24902"/>
    <cellStyle name="Heading 1 2 7 2 5 6" xfId="24903"/>
    <cellStyle name="Heading 1 2 7 2 5 6 2" xfId="24904"/>
    <cellStyle name="Heading 1 2 7 2 5 6 2 2" xfId="24905"/>
    <cellStyle name="Heading 1 2 7 2 5 6 3" xfId="24906"/>
    <cellStyle name="Heading 1 2 7 2 5 7" xfId="24907"/>
    <cellStyle name="Heading 1 2 7 2 5 7 2" xfId="24908"/>
    <cellStyle name="Heading 1 2 7 2 5 7 2 2" xfId="24909"/>
    <cellStyle name="Heading 1 2 7 2 5 7 3" xfId="24910"/>
    <cellStyle name="Heading 1 2 7 2 5 8" xfId="24911"/>
    <cellStyle name="Heading 1 2 7 2 5 8 2" xfId="24912"/>
    <cellStyle name="Heading 1 2 7 2 5 9" xfId="24913"/>
    <cellStyle name="Heading 1 2 7 2 6" xfId="24914"/>
    <cellStyle name="Heading 1 2 7 2 6 2" xfId="24915"/>
    <cellStyle name="Heading 1 2 7 2 6 2 2" xfId="24916"/>
    <cellStyle name="Heading 1 2 7 2 6 2 2 2" xfId="24917"/>
    <cellStyle name="Heading 1 2 7 2 6 2 3" xfId="24918"/>
    <cellStyle name="Heading 1 2 7 2 6 3" xfId="24919"/>
    <cellStyle name="Heading 1 2 7 2 6 3 2" xfId="24920"/>
    <cellStyle name="Heading 1 2 7 2 6 3 2 2" xfId="24921"/>
    <cellStyle name="Heading 1 2 7 2 6 3 3" xfId="24922"/>
    <cellStyle name="Heading 1 2 7 2 6 4" xfId="24923"/>
    <cellStyle name="Heading 1 2 7 2 6 4 2" xfId="24924"/>
    <cellStyle name="Heading 1 2 7 2 6 4 2 2" xfId="24925"/>
    <cellStyle name="Heading 1 2 7 2 6 4 3" xfId="24926"/>
    <cellStyle name="Heading 1 2 7 2 6 5" xfId="24927"/>
    <cellStyle name="Heading 1 2 7 2 6 5 2" xfId="24928"/>
    <cellStyle name="Heading 1 2 7 2 6 5 2 2" xfId="24929"/>
    <cellStyle name="Heading 1 2 7 2 6 5 3" xfId="24930"/>
    <cellStyle name="Heading 1 2 7 2 6 6" xfId="24931"/>
    <cellStyle name="Heading 1 2 7 2 6 6 2" xfId="24932"/>
    <cellStyle name="Heading 1 2 7 2 6 6 2 2" xfId="24933"/>
    <cellStyle name="Heading 1 2 7 2 6 6 3" xfId="24934"/>
    <cellStyle name="Heading 1 2 7 2 6 7" xfId="24935"/>
    <cellStyle name="Heading 1 2 7 2 6 7 2" xfId="24936"/>
    <cellStyle name="Heading 1 2 7 2 6 7 2 2" xfId="24937"/>
    <cellStyle name="Heading 1 2 7 2 6 7 3" xfId="24938"/>
    <cellStyle name="Heading 1 2 7 2 6 8" xfId="24939"/>
    <cellStyle name="Heading 1 2 7 2 6 8 2" xfId="24940"/>
    <cellStyle name="Heading 1 2 7 2 6 9" xfId="24941"/>
    <cellStyle name="Heading 1 2 7 2 7" xfId="24942"/>
    <cellStyle name="Heading 1 2 7 2 7 2" xfId="24943"/>
    <cellStyle name="Heading 1 2 7 2 7 2 2" xfId="24944"/>
    <cellStyle name="Heading 1 2 7 2 7 2 2 2" xfId="24945"/>
    <cellStyle name="Heading 1 2 7 2 7 2 3" xfId="24946"/>
    <cellStyle name="Heading 1 2 7 2 7 3" xfId="24947"/>
    <cellStyle name="Heading 1 2 7 2 7 3 2" xfId="24948"/>
    <cellStyle name="Heading 1 2 7 2 7 3 2 2" xfId="24949"/>
    <cellStyle name="Heading 1 2 7 2 7 3 3" xfId="24950"/>
    <cellStyle name="Heading 1 2 7 2 7 4" xfId="24951"/>
    <cellStyle name="Heading 1 2 7 2 7 4 2" xfId="24952"/>
    <cellStyle name="Heading 1 2 7 2 7 4 2 2" xfId="24953"/>
    <cellStyle name="Heading 1 2 7 2 7 4 3" xfId="24954"/>
    <cellStyle name="Heading 1 2 7 2 7 5" xfId="24955"/>
    <cellStyle name="Heading 1 2 7 2 7 5 2" xfId="24956"/>
    <cellStyle name="Heading 1 2 7 2 7 5 2 2" xfId="24957"/>
    <cellStyle name="Heading 1 2 7 2 7 5 3" xfId="24958"/>
    <cellStyle name="Heading 1 2 7 2 7 6" xfId="24959"/>
    <cellStyle name="Heading 1 2 7 2 7 6 2" xfId="24960"/>
    <cellStyle name="Heading 1 2 7 2 7 6 2 2" xfId="24961"/>
    <cellStyle name="Heading 1 2 7 2 7 6 3" xfId="24962"/>
    <cellStyle name="Heading 1 2 7 2 7 7" xfId="24963"/>
    <cellStyle name="Heading 1 2 7 2 7 7 2" xfId="24964"/>
    <cellStyle name="Heading 1 2 7 2 7 7 2 2" xfId="24965"/>
    <cellStyle name="Heading 1 2 7 2 7 7 3" xfId="24966"/>
    <cellStyle name="Heading 1 2 7 2 7 8" xfId="24967"/>
    <cellStyle name="Heading 1 2 7 2 7 8 2" xfId="24968"/>
    <cellStyle name="Heading 1 2 7 2 7 9" xfId="24969"/>
    <cellStyle name="Heading 1 2 7 2 8" xfId="24970"/>
    <cellStyle name="Heading 1 2 7 2 8 2" xfId="24971"/>
    <cellStyle name="Heading 1 2 7 2 8 2 2" xfId="24972"/>
    <cellStyle name="Heading 1 2 7 2 8 2 2 2" xfId="24973"/>
    <cellStyle name="Heading 1 2 7 2 8 2 3" xfId="24974"/>
    <cellStyle name="Heading 1 2 7 2 8 3" xfId="24975"/>
    <cellStyle name="Heading 1 2 7 2 8 3 2" xfId="24976"/>
    <cellStyle name="Heading 1 2 7 2 8 3 2 2" xfId="24977"/>
    <cellStyle name="Heading 1 2 7 2 8 3 3" xfId="24978"/>
    <cellStyle name="Heading 1 2 7 2 8 4" xfId="24979"/>
    <cellStyle name="Heading 1 2 7 2 8 4 2" xfId="24980"/>
    <cellStyle name="Heading 1 2 7 2 8 4 2 2" xfId="24981"/>
    <cellStyle name="Heading 1 2 7 2 8 4 3" xfId="24982"/>
    <cellStyle name="Heading 1 2 7 2 8 5" xfId="24983"/>
    <cellStyle name="Heading 1 2 7 2 8 5 2" xfId="24984"/>
    <cellStyle name="Heading 1 2 7 2 8 5 2 2" xfId="24985"/>
    <cellStyle name="Heading 1 2 7 2 8 5 3" xfId="24986"/>
    <cellStyle name="Heading 1 2 7 2 8 6" xfId="24987"/>
    <cellStyle name="Heading 1 2 7 2 8 6 2" xfId="24988"/>
    <cellStyle name="Heading 1 2 7 2 8 6 2 2" xfId="24989"/>
    <cellStyle name="Heading 1 2 7 2 8 6 3" xfId="24990"/>
    <cellStyle name="Heading 1 2 7 2 8 7" xfId="24991"/>
    <cellStyle name="Heading 1 2 7 2 8 7 2" xfId="24992"/>
    <cellStyle name="Heading 1 2 7 2 8 7 2 2" xfId="24993"/>
    <cellStyle name="Heading 1 2 7 2 8 7 3" xfId="24994"/>
    <cellStyle name="Heading 1 2 7 2 8 8" xfId="24995"/>
    <cellStyle name="Heading 1 2 7 2 8 8 2" xfId="24996"/>
    <cellStyle name="Heading 1 2 7 2 8 9" xfId="24997"/>
    <cellStyle name="Heading 1 2 7 2 9" xfId="24998"/>
    <cellStyle name="Heading 1 2 7 2 9 2" xfId="24999"/>
    <cellStyle name="Heading 1 2 7 2 9 2 2" xfId="25000"/>
    <cellStyle name="Heading 1 2 7 2 9 2 2 2" xfId="25001"/>
    <cellStyle name="Heading 1 2 7 2 9 2 3" xfId="25002"/>
    <cellStyle name="Heading 1 2 7 2 9 3" xfId="25003"/>
    <cellStyle name="Heading 1 2 7 2 9 3 2" xfId="25004"/>
    <cellStyle name="Heading 1 2 7 2 9 3 2 2" xfId="25005"/>
    <cellStyle name="Heading 1 2 7 2 9 3 3" xfId="25006"/>
    <cellStyle name="Heading 1 2 7 2 9 4" xfId="25007"/>
    <cellStyle name="Heading 1 2 7 2 9 4 2" xfId="25008"/>
    <cellStyle name="Heading 1 2 7 2 9 4 2 2" xfId="25009"/>
    <cellStyle name="Heading 1 2 7 2 9 4 3" xfId="25010"/>
    <cellStyle name="Heading 1 2 7 2 9 5" xfId="25011"/>
    <cellStyle name="Heading 1 2 7 2 9 5 2" xfId="25012"/>
    <cellStyle name="Heading 1 2 7 2 9 5 2 2" xfId="25013"/>
    <cellStyle name="Heading 1 2 7 2 9 5 3" xfId="25014"/>
    <cellStyle name="Heading 1 2 7 2 9 6" xfId="25015"/>
    <cellStyle name="Heading 1 2 7 2 9 6 2" xfId="25016"/>
    <cellStyle name="Heading 1 2 7 2 9 6 2 2" xfId="25017"/>
    <cellStyle name="Heading 1 2 7 2 9 6 3" xfId="25018"/>
    <cellStyle name="Heading 1 2 7 2 9 7" xfId="25019"/>
    <cellStyle name="Heading 1 2 7 2 9 7 2" xfId="25020"/>
    <cellStyle name="Heading 1 2 7 2 9 7 2 2" xfId="25021"/>
    <cellStyle name="Heading 1 2 7 2 9 7 3" xfId="25022"/>
    <cellStyle name="Heading 1 2 7 2 9 8" xfId="25023"/>
    <cellStyle name="Heading 1 2 7 2 9 8 2" xfId="25024"/>
    <cellStyle name="Heading 1 2 7 2 9 9" xfId="25025"/>
    <cellStyle name="Heading 1 2 7 3" xfId="25026"/>
    <cellStyle name="Heading 1 2 7 3 10" xfId="25027"/>
    <cellStyle name="Heading 1 2 7 3 10 2" xfId="25028"/>
    <cellStyle name="Heading 1 2 7 3 10 2 2" xfId="25029"/>
    <cellStyle name="Heading 1 2 7 3 10 3" xfId="25030"/>
    <cellStyle name="Heading 1 2 7 3 11" xfId="25031"/>
    <cellStyle name="Heading 1 2 7 3 11 2" xfId="25032"/>
    <cellStyle name="Heading 1 2 7 3 11 2 2" xfId="25033"/>
    <cellStyle name="Heading 1 2 7 3 11 3" xfId="25034"/>
    <cellStyle name="Heading 1 2 7 3 12" xfId="25035"/>
    <cellStyle name="Heading 1 2 7 3 12 2" xfId="25036"/>
    <cellStyle name="Heading 1 2 7 3 12 2 2" xfId="25037"/>
    <cellStyle name="Heading 1 2 7 3 12 3" xfId="25038"/>
    <cellStyle name="Heading 1 2 7 3 13" xfId="25039"/>
    <cellStyle name="Heading 1 2 7 3 13 2" xfId="25040"/>
    <cellStyle name="Heading 1 2 7 3 13 2 2" xfId="25041"/>
    <cellStyle name="Heading 1 2 7 3 13 3" xfId="25042"/>
    <cellStyle name="Heading 1 2 7 3 14" xfId="25043"/>
    <cellStyle name="Heading 1 2 7 3 14 2" xfId="25044"/>
    <cellStyle name="Heading 1 2 7 3 14 2 2" xfId="25045"/>
    <cellStyle name="Heading 1 2 7 3 14 3" xfId="25046"/>
    <cellStyle name="Heading 1 2 7 3 15" xfId="25047"/>
    <cellStyle name="Heading 1 2 7 3 15 2" xfId="25048"/>
    <cellStyle name="Heading 1 2 7 3 15 2 2" xfId="25049"/>
    <cellStyle name="Heading 1 2 7 3 15 3" xfId="25050"/>
    <cellStyle name="Heading 1 2 7 3 16" xfId="25051"/>
    <cellStyle name="Heading 1 2 7 3 16 2" xfId="25052"/>
    <cellStyle name="Heading 1 2 7 3 16 2 2" xfId="25053"/>
    <cellStyle name="Heading 1 2 7 3 16 3" xfId="25054"/>
    <cellStyle name="Heading 1 2 7 3 17" xfId="25055"/>
    <cellStyle name="Heading 1 2 7 3 17 2" xfId="25056"/>
    <cellStyle name="Heading 1 2 7 3 17 2 2" xfId="25057"/>
    <cellStyle name="Heading 1 2 7 3 17 3" xfId="25058"/>
    <cellStyle name="Heading 1 2 7 3 18" xfId="25059"/>
    <cellStyle name="Heading 1 2 7 3 18 2" xfId="25060"/>
    <cellStyle name="Heading 1 2 7 3 18 2 2" xfId="25061"/>
    <cellStyle name="Heading 1 2 7 3 18 3" xfId="25062"/>
    <cellStyle name="Heading 1 2 7 3 19" xfId="25063"/>
    <cellStyle name="Heading 1 2 7 3 19 2" xfId="25064"/>
    <cellStyle name="Heading 1 2 7 3 2" xfId="25065"/>
    <cellStyle name="Heading 1 2 7 3 2 2" xfId="25066"/>
    <cellStyle name="Heading 1 2 7 3 2 2 2" xfId="25067"/>
    <cellStyle name="Heading 1 2 7 3 2 2 2 2" xfId="25068"/>
    <cellStyle name="Heading 1 2 7 3 2 2 3" xfId="25069"/>
    <cellStyle name="Heading 1 2 7 3 2 3" xfId="25070"/>
    <cellStyle name="Heading 1 2 7 3 2 3 2" xfId="25071"/>
    <cellStyle name="Heading 1 2 7 3 2 3 2 2" xfId="25072"/>
    <cellStyle name="Heading 1 2 7 3 2 3 3" xfId="25073"/>
    <cellStyle name="Heading 1 2 7 3 2 4" xfId="25074"/>
    <cellStyle name="Heading 1 2 7 3 2 4 2" xfId="25075"/>
    <cellStyle name="Heading 1 2 7 3 2 4 2 2" xfId="25076"/>
    <cellStyle name="Heading 1 2 7 3 2 4 3" xfId="25077"/>
    <cellStyle name="Heading 1 2 7 3 2 5" xfId="25078"/>
    <cellStyle name="Heading 1 2 7 3 2 5 2" xfId="25079"/>
    <cellStyle name="Heading 1 2 7 3 2 5 2 2" xfId="25080"/>
    <cellStyle name="Heading 1 2 7 3 2 5 3" xfId="25081"/>
    <cellStyle name="Heading 1 2 7 3 2 6" xfId="25082"/>
    <cellStyle name="Heading 1 2 7 3 2 6 2" xfId="25083"/>
    <cellStyle name="Heading 1 2 7 3 2 6 2 2" xfId="25084"/>
    <cellStyle name="Heading 1 2 7 3 2 6 3" xfId="25085"/>
    <cellStyle name="Heading 1 2 7 3 2 7" xfId="25086"/>
    <cellStyle name="Heading 1 2 7 3 2 7 2" xfId="25087"/>
    <cellStyle name="Heading 1 2 7 3 2 7 2 2" xfId="25088"/>
    <cellStyle name="Heading 1 2 7 3 2 7 3" xfId="25089"/>
    <cellStyle name="Heading 1 2 7 3 2 8" xfId="25090"/>
    <cellStyle name="Heading 1 2 7 3 2 8 2" xfId="25091"/>
    <cellStyle name="Heading 1 2 7 3 2 9" xfId="25092"/>
    <cellStyle name="Heading 1 2 7 3 20" xfId="25093"/>
    <cellStyle name="Heading 1 2 7 3 20 2" xfId="25094"/>
    <cellStyle name="Heading 1 2 7 3 21" xfId="25095"/>
    <cellStyle name="Heading 1 2 7 3 21 2" xfId="25096"/>
    <cellStyle name="Heading 1 2 7 3 22" xfId="25097"/>
    <cellStyle name="Heading 1 2 7 3 3" xfId="25098"/>
    <cellStyle name="Heading 1 2 7 3 3 2" xfId="25099"/>
    <cellStyle name="Heading 1 2 7 3 3 2 2" xfId="25100"/>
    <cellStyle name="Heading 1 2 7 3 3 2 2 2" xfId="25101"/>
    <cellStyle name="Heading 1 2 7 3 3 2 3" xfId="25102"/>
    <cellStyle name="Heading 1 2 7 3 3 3" xfId="25103"/>
    <cellStyle name="Heading 1 2 7 3 3 3 2" xfId="25104"/>
    <cellStyle name="Heading 1 2 7 3 3 3 2 2" xfId="25105"/>
    <cellStyle name="Heading 1 2 7 3 3 3 3" xfId="25106"/>
    <cellStyle name="Heading 1 2 7 3 3 4" xfId="25107"/>
    <cellStyle name="Heading 1 2 7 3 3 4 2" xfId="25108"/>
    <cellStyle name="Heading 1 2 7 3 3 4 2 2" xfId="25109"/>
    <cellStyle name="Heading 1 2 7 3 3 4 3" xfId="25110"/>
    <cellStyle name="Heading 1 2 7 3 3 5" xfId="25111"/>
    <cellStyle name="Heading 1 2 7 3 3 5 2" xfId="25112"/>
    <cellStyle name="Heading 1 2 7 3 3 5 2 2" xfId="25113"/>
    <cellStyle name="Heading 1 2 7 3 3 5 3" xfId="25114"/>
    <cellStyle name="Heading 1 2 7 3 3 6" xfId="25115"/>
    <cellStyle name="Heading 1 2 7 3 3 6 2" xfId="25116"/>
    <cellStyle name="Heading 1 2 7 3 3 6 2 2" xfId="25117"/>
    <cellStyle name="Heading 1 2 7 3 3 6 3" xfId="25118"/>
    <cellStyle name="Heading 1 2 7 3 3 7" xfId="25119"/>
    <cellStyle name="Heading 1 2 7 3 3 7 2" xfId="25120"/>
    <cellStyle name="Heading 1 2 7 3 3 7 2 2" xfId="25121"/>
    <cellStyle name="Heading 1 2 7 3 3 7 3" xfId="25122"/>
    <cellStyle name="Heading 1 2 7 3 3 8" xfId="25123"/>
    <cellStyle name="Heading 1 2 7 3 3 8 2" xfId="25124"/>
    <cellStyle name="Heading 1 2 7 3 3 9" xfId="25125"/>
    <cellStyle name="Heading 1 2 7 3 4" xfId="25126"/>
    <cellStyle name="Heading 1 2 7 3 4 2" xfId="25127"/>
    <cellStyle name="Heading 1 2 7 3 4 2 2" xfId="25128"/>
    <cellStyle name="Heading 1 2 7 3 4 2 2 2" xfId="25129"/>
    <cellStyle name="Heading 1 2 7 3 4 2 3" xfId="25130"/>
    <cellStyle name="Heading 1 2 7 3 4 3" xfId="25131"/>
    <cellStyle name="Heading 1 2 7 3 4 3 2" xfId="25132"/>
    <cellStyle name="Heading 1 2 7 3 4 3 2 2" xfId="25133"/>
    <cellStyle name="Heading 1 2 7 3 4 3 3" xfId="25134"/>
    <cellStyle name="Heading 1 2 7 3 4 4" xfId="25135"/>
    <cellStyle name="Heading 1 2 7 3 4 4 2" xfId="25136"/>
    <cellStyle name="Heading 1 2 7 3 4 4 2 2" xfId="25137"/>
    <cellStyle name="Heading 1 2 7 3 4 4 3" xfId="25138"/>
    <cellStyle name="Heading 1 2 7 3 4 5" xfId="25139"/>
    <cellStyle name="Heading 1 2 7 3 4 5 2" xfId="25140"/>
    <cellStyle name="Heading 1 2 7 3 4 5 2 2" xfId="25141"/>
    <cellStyle name="Heading 1 2 7 3 4 5 3" xfId="25142"/>
    <cellStyle name="Heading 1 2 7 3 4 6" xfId="25143"/>
    <cellStyle name="Heading 1 2 7 3 4 6 2" xfId="25144"/>
    <cellStyle name="Heading 1 2 7 3 4 6 2 2" xfId="25145"/>
    <cellStyle name="Heading 1 2 7 3 4 6 3" xfId="25146"/>
    <cellStyle name="Heading 1 2 7 3 4 7" xfId="25147"/>
    <cellStyle name="Heading 1 2 7 3 4 7 2" xfId="25148"/>
    <cellStyle name="Heading 1 2 7 3 4 7 2 2" xfId="25149"/>
    <cellStyle name="Heading 1 2 7 3 4 7 3" xfId="25150"/>
    <cellStyle name="Heading 1 2 7 3 4 8" xfId="25151"/>
    <cellStyle name="Heading 1 2 7 3 4 8 2" xfId="25152"/>
    <cellStyle name="Heading 1 2 7 3 4 9" xfId="25153"/>
    <cellStyle name="Heading 1 2 7 3 5" xfId="25154"/>
    <cellStyle name="Heading 1 2 7 3 5 2" xfId="25155"/>
    <cellStyle name="Heading 1 2 7 3 5 2 2" xfId="25156"/>
    <cellStyle name="Heading 1 2 7 3 5 2 2 2" xfId="25157"/>
    <cellStyle name="Heading 1 2 7 3 5 2 3" xfId="25158"/>
    <cellStyle name="Heading 1 2 7 3 5 3" xfId="25159"/>
    <cellStyle name="Heading 1 2 7 3 5 3 2" xfId="25160"/>
    <cellStyle name="Heading 1 2 7 3 5 3 2 2" xfId="25161"/>
    <cellStyle name="Heading 1 2 7 3 5 3 3" xfId="25162"/>
    <cellStyle name="Heading 1 2 7 3 5 4" xfId="25163"/>
    <cellStyle name="Heading 1 2 7 3 5 4 2" xfId="25164"/>
    <cellStyle name="Heading 1 2 7 3 5 4 2 2" xfId="25165"/>
    <cellStyle name="Heading 1 2 7 3 5 4 3" xfId="25166"/>
    <cellStyle name="Heading 1 2 7 3 5 5" xfId="25167"/>
    <cellStyle name="Heading 1 2 7 3 5 5 2" xfId="25168"/>
    <cellStyle name="Heading 1 2 7 3 5 5 2 2" xfId="25169"/>
    <cellStyle name="Heading 1 2 7 3 5 5 3" xfId="25170"/>
    <cellStyle name="Heading 1 2 7 3 5 6" xfId="25171"/>
    <cellStyle name="Heading 1 2 7 3 5 6 2" xfId="25172"/>
    <cellStyle name="Heading 1 2 7 3 5 6 2 2" xfId="25173"/>
    <cellStyle name="Heading 1 2 7 3 5 6 3" xfId="25174"/>
    <cellStyle name="Heading 1 2 7 3 5 7" xfId="25175"/>
    <cellStyle name="Heading 1 2 7 3 5 7 2" xfId="25176"/>
    <cellStyle name="Heading 1 2 7 3 5 7 2 2" xfId="25177"/>
    <cellStyle name="Heading 1 2 7 3 5 7 3" xfId="25178"/>
    <cellStyle name="Heading 1 2 7 3 5 8" xfId="25179"/>
    <cellStyle name="Heading 1 2 7 3 5 8 2" xfId="25180"/>
    <cellStyle name="Heading 1 2 7 3 5 9" xfId="25181"/>
    <cellStyle name="Heading 1 2 7 3 6" xfId="25182"/>
    <cellStyle name="Heading 1 2 7 3 6 2" xfId="25183"/>
    <cellStyle name="Heading 1 2 7 3 6 2 2" xfId="25184"/>
    <cellStyle name="Heading 1 2 7 3 6 2 2 2" xfId="25185"/>
    <cellStyle name="Heading 1 2 7 3 6 2 3" xfId="25186"/>
    <cellStyle name="Heading 1 2 7 3 6 3" xfId="25187"/>
    <cellStyle name="Heading 1 2 7 3 6 3 2" xfId="25188"/>
    <cellStyle name="Heading 1 2 7 3 6 3 2 2" xfId="25189"/>
    <cellStyle name="Heading 1 2 7 3 6 3 3" xfId="25190"/>
    <cellStyle name="Heading 1 2 7 3 6 4" xfId="25191"/>
    <cellStyle name="Heading 1 2 7 3 6 4 2" xfId="25192"/>
    <cellStyle name="Heading 1 2 7 3 6 4 2 2" xfId="25193"/>
    <cellStyle name="Heading 1 2 7 3 6 4 3" xfId="25194"/>
    <cellStyle name="Heading 1 2 7 3 6 5" xfId="25195"/>
    <cellStyle name="Heading 1 2 7 3 6 5 2" xfId="25196"/>
    <cellStyle name="Heading 1 2 7 3 6 5 2 2" xfId="25197"/>
    <cellStyle name="Heading 1 2 7 3 6 5 3" xfId="25198"/>
    <cellStyle name="Heading 1 2 7 3 6 6" xfId="25199"/>
    <cellStyle name="Heading 1 2 7 3 6 6 2" xfId="25200"/>
    <cellStyle name="Heading 1 2 7 3 6 6 2 2" xfId="25201"/>
    <cellStyle name="Heading 1 2 7 3 6 6 3" xfId="25202"/>
    <cellStyle name="Heading 1 2 7 3 6 7" xfId="25203"/>
    <cellStyle name="Heading 1 2 7 3 6 7 2" xfId="25204"/>
    <cellStyle name="Heading 1 2 7 3 6 7 2 2" xfId="25205"/>
    <cellStyle name="Heading 1 2 7 3 6 7 3" xfId="25206"/>
    <cellStyle name="Heading 1 2 7 3 6 8" xfId="25207"/>
    <cellStyle name="Heading 1 2 7 3 6 8 2" xfId="25208"/>
    <cellStyle name="Heading 1 2 7 3 6 9" xfId="25209"/>
    <cellStyle name="Heading 1 2 7 3 7" xfId="25210"/>
    <cellStyle name="Heading 1 2 7 3 7 2" xfId="25211"/>
    <cellStyle name="Heading 1 2 7 3 7 2 2" xfId="25212"/>
    <cellStyle name="Heading 1 2 7 3 7 2 2 2" xfId="25213"/>
    <cellStyle name="Heading 1 2 7 3 7 2 3" xfId="25214"/>
    <cellStyle name="Heading 1 2 7 3 7 3" xfId="25215"/>
    <cellStyle name="Heading 1 2 7 3 7 3 2" xfId="25216"/>
    <cellStyle name="Heading 1 2 7 3 7 3 2 2" xfId="25217"/>
    <cellStyle name="Heading 1 2 7 3 7 3 3" xfId="25218"/>
    <cellStyle name="Heading 1 2 7 3 7 4" xfId="25219"/>
    <cellStyle name="Heading 1 2 7 3 7 4 2" xfId="25220"/>
    <cellStyle name="Heading 1 2 7 3 7 4 2 2" xfId="25221"/>
    <cellStyle name="Heading 1 2 7 3 7 4 3" xfId="25222"/>
    <cellStyle name="Heading 1 2 7 3 7 5" xfId="25223"/>
    <cellStyle name="Heading 1 2 7 3 7 5 2" xfId="25224"/>
    <cellStyle name="Heading 1 2 7 3 7 5 2 2" xfId="25225"/>
    <cellStyle name="Heading 1 2 7 3 7 5 3" xfId="25226"/>
    <cellStyle name="Heading 1 2 7 3 7 6" xfId="25227"/>
    <cellStyle name="Heading 1 2 7 3 7 6 2" xfId="25228"/>
    <cellStyle name="Heading 1 2 7 3 7 6 2 2" xfId="25229"/>
    <cellStyle name="Heading 1 2 7 3 7 6 3" xfId="25230"/>
    <cellStyle name="Heading 1 2 7 3 7 7" xfId="25231"/>
    <cellStyle name="Heading 1 2 7 3 7 7 2" xfId="25232"/>
    <cellStyle name="Heading 1 2 7 3 7 7 2 2" xfId="25233"/>
    <cellStyle name="Heading 1 2 7 3 7 7 3" xfId="25234"/>
    <cellStyle name="Heading 1 2 7 3 7 8" xfId="25235"/>
    <cellStyle name="Heading 1 2 7 3 7 8 2" xfId="25236"/>
    <cellStyle name="Heading 1 2 7 3 7 9" xfId="25237"/>
    <cellStyle name="Heading 1 2 7 3 8" xfId="25238"/>
    <cellStyle name="Heading 1 2 7 3 8 2" xfId="25239"/>
    <cellStyle name="Heading 1 2 7 3 8 2 2" xfId="25240"/>
    <cellStyle name="Heading 1 2 7 3 8 2 2 2" xfId="25241"/>
    <cellStyle name="Heading 1 2 7 3 8 2 3" xfId="25242"/>
    <cellStyle name="Heading 1 2 7 3 8 3" xfId="25243"/>
    <cellStyle name="Heading 1 2 7 3 8 3 2" xfId="25244"/>
    <cellStyle name="Heading 1 2 7 3 8 3 2 2" xfId="25245"/>
    <cellStyle name="Heading 1 2 7 3 8 3 3" xfId="25246"/>
    <cellStyle name="Heading 1 2 7 3 8 4" xfId="25247"/>
    <cellStyle name="Heading 1 2 7 3 8 4 2" xfId="25248"/>
    <cellStyle name="Heading 1 2 7 3 8 4 2 2" xfId="25249"/>
    <cellStyle name="Heading 1 2 7 3 8 4 3" xfId="25250"/>
    <cellStyle name="Heading 1 2 7 3 8 5" xfId="25251"/>
    <cellStyle name="Heading 1 2 7 3 8 5 2" xfId="25252"/>
    <cellStyle name="Heading 1 2 7 3 8 5 2 2" xfId="25253"/>
    <cellStyle name="Heading 1 2 7 3 8 5 3" xfId="25254"/>
    <cellStyle name="Heading 1 2 7 3 8 6" xfId="25255"/>
    <cellStyle name="Heading 1 2 7 3 8 6 2" xfId="25256"/>
    <cellStyle name="Heading 1 2 7 3 8 6 2 2" xfId="25257"/>
    <cellStyle name="Heading 1 2 7 3 8 6 3" xfId="25258"/>
    <cellStyle name="Heading 1 2 7 3 8 7" xfId="25259"/>
    <cellStyle name="Heading 1 2 7 3 8 7 2" xfId="25260"/>
    <cellStyle name="Heading 1 2 7 3 8 7 2 2" xfId="25261"/>
    <cellStyle name="Heading 1 2 7 3 8 7 3" xfId="25262"/>
    <cellStyle name="Heading 1 2 7 3 8 8" xfId="25263"/>
    <cellStyle name="Heading 1 2 7 3 8 8 2" xfId="25264"/>
    <cellStyle name="Heading 1 2 7 3 8 9" xfId="25265"/>
    <cellStyle name="Heading 1 2 7 3 9" xfId="25266"/>
    <cellStyle name="Heading 1 2 7 3 9 2" xfId="25267"/>
    <cellStyle name="Heading 1 2 7 3 9 2 2" xfId="25268"/>
    <cellStyle name="Heading 1 2 7 3 9 3" xfId="25269"/>
    <cellStyle name="Heading 1 2 7 4" xfId="25270"/>
    <cellStyle name="Heading 1 2 7 4 2" xfId="25271"/>
    <cellStyle name="Heading 1 2 7 4 2 2" xfId="25272"/>
    <cellStyle name="Heading 1 2 7 4 3" xfId="25273"/>
    <cellStyle name="Heading 1 2 7 5" xfId="25274"/>
    <cellStyle name="Heading 1 2 7 5 2" xfId="25275"/>
    <cellStyle name="Heading 1 2 7 6" xfId="25276"/>
    <cellStyle name="Heading 1 2 8" xfId="25277"/>
    <cellStyle name="Heading 1 2 8 2" xfId="25278"/>
    <cellStyle name="Heading 1 2 8 2 10" xfId="25279"/>
    <cellStyle name="Heading 1 2 8 2 10 2" xfId="25280"/>
    <cellStyle name="Heading 1 2 8 2 10 2 2" xfId="25281"/>
    <cellStyle name="Heading 1 2 8 2 10 3" xfId="25282"/>
    <cellStyle name="Heading 1 2 8 2 11" xfId="25283"/>
    <cellStyle name="Heading 1 2 8 2 11 2" xfId="25284"/>
    <cellStyle name="Heading 1 2 8 2 11 2 2" xfId="25285"/>
    <cellStyle name="Heading 1 2 8 2 11 3" xfId="25286"/>
    <cellStyle name="Heading 1 2 8 2 12" xfId="25287"/>
    <cellStyle name="Heading 1 2 8 2 12 2" xfId="25288"/>
    <cellStyle name="Heading 1 2 8 2 12 2 2" xfId="25289"/>
    <cellStyle name="Heading 1 2 8 2 12 3" xfId="25290"/>
    <cellStyle name="Heading 1 2 8 2 13" xfId="25291"/>
    <cellStyle name="Heading 1 2 8 2 13 2" xfId="25292"/>
    <cellStyle name="Heading 1 2 8 2 13 2 2" xfId="25293"/>
    <cellStyle name="Heading 1 2 8 2 13 3" xfId="25294"/>
    <cellStyle name="Heading 1 2 8 2 14" xfId="25295"/>
    <cellStyle name="Heading 1 2 8 2 14 2" xfId="25296"/>
    <cellStyle name="Heading 1 2 8 2 14 2 2" xfId="25297"/>
    <cellStyle name="Heading 1 2 8 2 14 3" xfId="25298"/>
    <cellStyle name="Heading 1 2 8 2 15" xfId="25299"/>
    <cellStyle name="Heading 1 2 8 2 15 2" xfId="25300"/>
    <cellStyle name="Heading 1 2 8 2 15 2 2" xfId="25301"/>
    <cellStyle name="Heading 1 2 8 2 15 3" xfId="25302"/>
    <cellStyle name="Heading 1 2 8 2 16" xfId="25303"/>
    <cellStyle name="Heading 1 2 8 2 16 2" xfId="25304"/>
    <cellStyle name="Heading 1 2 8 2 16 2 2" xfId="25305"/>
    <cellStyle name="Heading 1 2 8 2 16 3" xfId="25306"/>
    <cellStyle name="Heading 1 2 8 2 17" xfId="25307"/>
    <cellStyle name="Heading 1 2 8 2 17 2" xfId="25308"/>
    <cellStyle name="Heading 1 2 8 2 17 2 2" xfId="25309"/>
    <cellStyle name="Heading 1 2 8 2 17 3" xfId="25310"/>
    <cellStyle name="Heading 1 2 8 2 18" xfId="25311"/>
    <cellStyle name="Heading 1 2 8 2 18 2" xfId="25312"/>
    <cellStyle name="Heading 1 2 8 2 18 2 2" xfId="25313"/>
    <cellStyle name="Heading 1 2 8 2 18 3" xfId="25314"/>
    <cellStyle name="Heading 1 2 8 2 19" xfId="25315"/>
    <cellStyle name="Heading 1 2 8 2 19 2" xfId="25316"/>
    <cellStyle name="Heading 1 2 8 2 19 2 2" xfId="25317"/>
    <cellStyle name="Heading 1 2 8 2 19 3" xfId="25318"/>
    <cellStyle name="Heading 1 2 8 2 2" xfId="25319"/>
    <cellStyle name="Heading 1 2 8 2 2 10" xfId="25320"/>
    <cellStyle name="Heading 1 2 8 2 2 10 2" xfId="25321"/>
    <cellStyle name="Heading 1 2 8 2 2 10 2 2" xfId="25322"/>
    <cellStyle name="Heading 1 2 8 2 2 10 3" xfId="25323"/>
    <cellStyle name="Heading 1 2 8 2 2 11" xfId="25324"/>
    <cellStyle name="Heading 1 2 8 2 2 11 2" xfId="25325"/>
    <cellStyle name="Heading 1 2 8 2 2 11 2 2" xfId="25326"/>
    <cellStyle name="Heading 1 2 8 2 2 11 3" xfId="25327"/>
    <cellStyle name="Heading 1 2 8 2 2 12" xfId="25328"/>
    <cellStyle name="Heading 1 2 8 2 2 12 2" xfId="25329"/>
    <cellStyle name="Heading 1 2 8 2 2 12 2 2" xfId="25330"/>
    <cellStyle name="Heading 1 2 8 2 2 12 3" xfId="25331"/>
    <cellStyle name="Heading 1 2 8 2 2 13" xfId="25332"/>
    <cellStyle name="Heading 1 2 8 2 2 13 2" xfId="25333"/>
    <cellStyle name="Heading 1 2 8 2 2 13 2 2" xfId="25334"/>
    <cellStyle name="Heading 1 2 8 2 2 13 3" xfId="25335"/>
    <cellStyle name="Heading 1 2 8 2 2 14" xfId="25336"/>
    <cellStyle name="Heading 1 2 8 2 2 14 2" xfId="25337"/>
    <cellStyle name="Heading 1 2 8 2 2 14 2 2" xfId="25338"/>
    <cellStyle name="Heading 1 2 8 2 2 14 3" xfId="25339"/>
    <cellStyle name="Heading 1 2 8 2 2 15" xfId="25340"/>
    <cellStyle name="Heading 1 2 8 2 2 15 2" xfId="25341"/>
    <cellStyle name="Heading 1 2 8 2 2 15 2 2" xfId="25342"/>
    <cellStyle name="Heading 1 2 8 2 2 15 3" xfId="25343"/>
    <cellStyle name="Heading 1 2 8 2 2 16" xfId="25344"/>
    <cellStyle name="Heading 1 2 8 2 2 16 2" xfId="25345"/>
    <cellStyle name="Heading 1 2 8 2 2 16 2 2" xfId="25346"/>
    <cellStyle name="Heading 1 2 8 2 2 16 3" xfId="25347"/>
    <cellStyle name="Heading 1 2 8 2 2 17" xfId="25348"/>
    <cellStyle name="Heading 1 2 8 2 2 17 2" xfId="25349"/>
    <cellStyle name="Heading 1 2 8 2 2 17 2 2" xfId="25350"/>
    <cellStyle name="Heading 1 2 8 2 2 17 3" xfId="25351"/>
    <cellStyle name="Heading 1 2 8 2 2 18" xfId="25352"/>
    <cellStyle name="Heading 1 2 8 2 2 18 2" xfId="25353"/>
    <cellStyle name="Heading 1 2 8 2 2 18 2 2" xfId="25354"/>
    <cellStyle name="Heading 1 2 8 2 2 18 3" xfId="25355"/>
    <cellStyle name="Heading 1 2 8 2 2 19" xfId="25356"/>
    <cellStyle name="Heading 1 2 8 2 2 19 2" xfId="25357"/>
    <cellStyle name="Heading 1 2 8 2 2 2" xfId="25358"/>
    <cellStyle name="Heading 1 2 8 2 2 2 2" xfId="25359"/>
    <cellStyle name="Heading 1 2 8 2 2 2 2 2" xfId="25360"/>
    <cellStyle name="Heading 1 2 8 2 2 2 2 2 2" xfId="25361"/>
    <cellStyle name="Heading 1 2 8 2 2 2 2 3" xfId="25362"/>
    <cellStyle name="Heading 1 2 8 2 2 2 3" xfId="25363"/>
    <cellStyle name="Heading 1 2 8 2 2 2 3 2" xfId="25364"/>
    <cellStyle name="Heading 1 2 8 2 2 2 3 2 2" xfId="25365"/>
    <cellStyle name="Heading 1 2 8 2 2 2 3 3" xfId="25366"/>
    <cellStyle name="Heading 1 2 8 2 2 2 4" xfId="25367"/>
    <cellStyle name="Heading 1 2 8 2 2 2 4 2" xfId="25368"/>
    <cellStyle name="Heading 1 2 8 2 2 2 4 2 2" xfId="25369"/>
    <cellStyle name="Heading 1 2 8 2 2 2 4 3" xfId="25370"/>
    <cellStyle name="Heading 1 2 8 2 2 2 5" xfId="25371"/>
    <cellStyle name="Heading 1 2 8 2 2 2 5 2" xfId="25372"/>
    <cellStyle name="Heading 1 2 8 2 2 2 5 2 2" xfId="25373"/>
    <cellStyle name="Heading 1 2 8 2 2 2 5 3" xfId="25374"/>
    <cellStyle name="Heading 1 2 8 2 2 2 6" xfId="25375"/>
    <cellStyle name="Heading 1 2 8 2 2 2 6 2" xfId="25376"/>
    <cellStyle name="Heading 1 2 8 2 2 2 6 2 2" xfId="25377"/>
    <cellStyle name="Heading 1 2 8 2 2 2 6 3" xfId="25378"/>
    <cellStyle name="Heading 1 2 8 2 2 2 7" xfId="25379"/>
    <cellStyle name="Heading 1 2 8 2 2 2 7 2" xfId="25380"/>
    <cellStyle name="Heading 1 2 8 2 2 2 7 2 2" xfId="25381"/>
    <cellStyle name="Heading 1 2 8 2 2 2 7 3" xfId="25382"/>
    <cellStyle name="Heading 1 2 8 2 2 2 8" xfId="25383"/>
    <cellStyle name="Heading 1 2 8 2 2 2 8 2" xfId="25384"/>
    <cellStyle name="Heading 1 2 8 2 2 2 9" xfId="25385"/>
    <cellStyle name="Heading 1 2 8 2 2 20" xfId="25386"/>
    <cellStyle name="Heading 1 2 8 2 2 20 2" xfId="25387"/>
    <cellStyle name="Heading 1 2 8 2 2 21" xfId="25388"/>
    <cellStyle name="Heading 1 2 8 2 2 21 2" xfId="25389"/>
    <cellStyle name="Heading 1 2 8 2 2 22" xfId="25390"/>
    <cellStyle name="Heading 1 2 8 2 2 3" xfId="25391"/>
    <cellStyle name="Heading 1 2 8 2 2 3 2" xfId="25392"/>
    <cellStyle name="Heading 1 2 8 2 2 3 2 2" xfId="25393"/>
    <cellStyle name="Heading 1 2 8 2 2 3 2 2 2" xfId="25394"/>
    <cellStyle name="Heading 1 2 8 2 2 3 2 3" xfId="25395"/>
    <cellStyle name="Heading 1 2 8 2 2 3 3" xfId="25396"/>
    <cellStyle name="Heading 1 2 8 2 2 3 3 2" xfId="25397"/>
    <cellStyle name="Heading 1 2 8 2 2 3 3 2 2" xfId="25398"/>
    <cellStyle name="Heading 1 2 8 2 2 3 3 3" xfId="25399"/>
    <cellStyle name="Heading 1 2 8 2 2 3 4" xfId="25400"/>
    <cellStyle name="Heading 1 2 8 2 2 3 4 2" xfId="25401"/>
    <cellStyle name="Heading 1 2 8 2 2 3 4 2 2" xfId="25402"/>
    <cellStyle name="Heading 1 2 8 2 2 3 4 3" xfId="25403"/>
    <cellStyle name="Heading 1 2 8 2 2 3 5" xfId="25404"/>
    <cellStyle name="Heading 1 2 8 2 2 3 5 2" xfId="25405"/>
    <cellStyle name="Heading 1 2 8 2 2 3 5 2 2" xfId="25406"/>
    <cellStyle name="Heading 1 2 8 2 2 3 5 3" xfId="25407"/>
    <cellStyle name="Heading 1 2 8 2 2 3 6" xfId="25408"/>
    <cellStyle name="Heading 1 2 8 2 2 3 6 2" xfId="25409"/>
    <cellStyle name="Heading 1 2 8 2 2 3 6 2 2" xfId="25410"/>
    <cellStyle name="Heading 1 2 8 2 2 3 6 3" xfId="25411"/>
    <cellStyle name="Heading 1 2 8 2 2 3 7" xfId="25412"/>
    <cellStyle name="Heading 1 2 8 2 2 3 7 2" xfId="25413"/>
    <cellStyle name="Heading 1 2 8 2 2 3 7 2 2" xfId="25414"/>
    <cellStyle name="Heading 1 2 8 2 2 3 7 3" xfId="25415"/>
    <cellStyle name="Heading 1 2 8 2 2 3 8" xfId="25416"/>
    <cellStyle name="Heading 1 2 8 2 2 3 8 2" xfId="25417"/>
    <cellStyle name="Heading 1 2 8 2 2 3 9" xfId="25418"/>
    <cellStyle name="Heading 1 2 8 2 2 4" xfId="25419"/>
    <cellStyle name="Heading 1 2 8 2 2 4 2" xfId="25420"/>
    <cellStyle name="Heading 1 2 8 2 2 4 2 2" xfId="25421"/>
    <cellStyle name="Heading 1 2 8 2 2 4 2 2 2" xfId="25422"/>
    <cellStyle name="Heading 1 2 8 2 2 4 2 3" xfId="25423"/>
    <cellStyle name="Heading 1 2 8 2 2 4 3" xfId="25424"/>
    <cellStyle name="Heading 1 2 8 2 2 4 3 2" xfId="25425"/>
    <cellStyle name="Heading 1 2 8 2 2 4 3 2 2" xfId="25426"/>
    <cellStyle name="Heading 1 2 8 2 2 4 3 3" xfId="25427"/>
    <cellStyle name="Heading 1 2 8 2 2 4 4" xfId="25428"/>
    <cellStyle name="Heading 1 2 8 2 2 4 4 2" xfId="25429"/>
    <cellStyle name="Heading 1 2 8 2 2 4 4 2 2" xfId="25430"/>
    <cellStyle name="Heading 1 2 8 2 2 4 4 3" xfId="25431"/>
    <cellStyle name="Heading 1 2 8 2 2 4 5" xfId="25432"/>
    <cellStyle name="Heading 1 2 8 2 2 4 5 2" xfId="25433"/>
    <cellStyle name="Heading 1 2 8 2 2 4 5 2 2" xfId="25434"/>
    <cellStyle name="Heading 1 2 8 2 2 4 5 3" xfId="25435"/>
    <cellStyle name="Heading 1 2 8 2 2 4 6" xfId="25436"/>
    <cellStyle name="Heading 1 2 8 2 2 4 6 2" xfId="25437"/>
    <cellStyle name="Heading 1 2 8 2 2 4 6 2 2" xfId="25438"/>
    <cellStyle name="Heading 1 2 8 2 2 4 6 3" xfId="25439"/>
    <cellStyle name="Heading 1 2 8 2 2 4 7" xfId="25440"/>
    <cellStyle name="Heading 1 2 8 2 2 4 7 2" xfId="25441"/>
    <cellStyle name="Heading 1 2 8 2 2 4 7 2 2" xfId="25442"/>
    <cellStyle name="Heading 1 2 8 2 2 4 7 3" xfId="25443"/>
    <cellStyle name="Heading 1 2 8 2 2 4 8" xfId="25444"/>
    <cellStyle name="Heading 1 2 8 2 2 4 8 2" xfId="25445"/>
    <cellStyle name="Heading 1 2 8 2 2 4 9" xfId="25446"/>
    <cellStyle name="Heading 1 2 8 2 2 5" xfId="25447"/>
    <cellStyle name="Heading 1 2 8 2 2 5 2" xfId="25448"/>
    <cellStyle name="Heading 1 2 8 2 2 5 2 2" xfId="25449"/>
    <cellStyle name="Heading 1 2 8 2 2 5 2 2 2" xfId="25450"/>
    <cellStyle name="Heading 1 2 8 2 2 5 2 3" xfId="25451"/>
    <cellStyle name="Heading 1 2 8 2 2 5 3" xfId="25452"/>
    <cellStyle name="Heading 1 2 8 2 2 5 3 2" xfId="25453"/>
    <cellStyle name="Heading 1 2 8 2 2 5 3 2 2" xfId="25454"/>
    <cellStyle name="Heading 1 2 8 2 2 5 3 3" xfId="25455"/>
    <cellStyle name="Heading 1 2 8 2 2 5 4" xfId="25456"/>
    <cellStyle name="Heading 1 2 8 2 2 5 4 2" xfId="25457"/>
    <cellStyle name="Heading 1 2 8 2 2 5 4 2 2" xfId="25458"/>
    <cellStyle name="Heading 1 2 8 2 2 5 4 3" xfId="25459"/>
    <cellStyle name="Heading 1 2 8 2 2 5 5" xfId="25460"/>
    <cellStyle name="Heading 1 2 8 2 2 5 5 2" xfId="25461"/>
    <cellStyle name="Heading 1 2 8 2 2 5 5 2 2" xfId="25462"/>
    <cellStyle name="Heading 1 2 8 2 2 5 5 3" xfId="25463"/>
    <cellStyle name="Heading 1 2 8 2 2 5 6" xfId="25464"/>
    <cellStyle name="Heading 1 2 8 2 2 5 6 2" xfId="25465"/>
    <cellStyle name="Heading 1 2 8 2 2 5 6 2 2" xfId="25466"/>
    <cellStyle name="Heading 1 2 8 2 2 5 6 3" xfId="25467"/>
    <cellStyle name="Heading 1 2 8 2 2 5 7" xfId="25468"/>
    <cellStyle name="Heading 1 2 8 2 2 5 7 2" xfId="25469"/>
    <cellStyle name="Heading 1 2 8 2 2 5 7 2 2" xfId="25470"/>
    <cellStyle name="Heading 1 2 8 2 2 5 7 3" xfId="25471"/>
    <cellStyle name="Heading 1 2 8 2 2 5 8" xfId="25472"/>
    <cellStyle name="Heading 1 2 8 2 2 5 8 2" xfId="25473"/>
    <cellStyle name="Heading 1 2 8 2 2 5 9" xfId="25474"/>
    <cellStyle name="Heading 1 2 8 2 2 6" xfId="25475"/>
    <cellStyle name="Heading 1 2 8 2 2 6 2" xfId="25476"/>
    <cellStyle name="Heading 1 2 8 2 2 6 2 2" xfId="25477"/>
    <cellStyle name="Heading 1 2 8 2 2 6 2 2 2" xfId="25478"/>
    <cellStyle name="Heading 1 2 8 2 2 6 2 3" xfId="25479"/>
    <cellStyle name="Heading 1 2 8 2 2 6 3" xfId="25480"/>
    <cellStyle name="Heading 1 2 8 2 2 6 3 2" xfId="25481"/>
    <cellStyle name="Heading 1 2 8 2 2 6 3 2 2" xfId="25482"/>
    <cellStyle name="Heading 1 2 8 2 2 6 3 3" xfId="25483"/>
    <cellStyle name="Heading 1 2 8 2 2 6 4" xfId="25484"/>
    <cellStyle name="Heading 1 2 8 2 2 6 4 2" xfId="25485"/>
    <cellStyle name="Heading 1 2 8 2 2 6 4 2 2" xfId="25486"/>
    <cellStyle name="Heading 1 2 8 2 2 6 4 3" xfId="25487"/>
    <cellStyle name="Heading 1 2 8 2 2 6 5" xfId="25488"/>
    <cellStyle name="Heading 1 2 8 2 2 6 5 2" xfId="25489"/>
    <cellStyle name="Heading 1 2 8 2 2 6 5 2 2" xfId="25490"/>
    <cellStyle name="Heading 1 2 8 2 2 6 5 3" xfId="25491"/>
    <cellStyle name="Heading 1 2 8 2 2 6 6" xfId="25492"/>
    <cellStyle name="Heading 1 2 8 2 2 6 6 2" xfId="25493"/>
    <cellStyle name="Heading 1 2 8 2 2 6 6 2 2" xfId="25494"/>
    <cellStyle name="Heading 1 2 8 2 2 6 6 3" xfId="25495"/>
    <cellStyle name="Heading 1 2 8 2 2 6 7" xfId="25496"/>
    <cellStyle name="Heading 1 2 8 2 2 6 7 2" xfId="25497"/>
    <cellStyle name="Heading 1 2 8 2 2 6 7 2 2" xfId="25498"/>
    <cellStyle name="Heading 1 2 8 2 2 6 7 3" xfId="25499"/>
    <cellStyle name="Heading 1 2 8 2 2 6 8" xfId="25500"/>
    <cellStyle name="Heading 1 2 8 2 2 6 8 2" xfId="25501"/>
    <cellStyle name="Heading 1 2 8 2 2 6 9" xfId="25502"/>
    <cellStyle name="Heading 1 2 8 2 2 7" xfId="25503"/>
    <cellStyle name="Heading 1 2 8 2 2 7 2" xfId="25504"/>
    <cellStyle name="Heading 1 2 8 2 2 7 2 2" xfId="25505"/>
    <cellStyle name="Heading 1 2 8 2 2 7 2 2 2" xfId="25506"/>
    <cellStyle name="Heading 1 2 8 2 2 7 2 3" xfId="25507"/>
    <cellStyle name="Heading 1 2 8 2 2 7 3" xfId="25508"/>
    <cellStyle name="Heading 1 2 8 2 2 7 3 2" xfId="25509"/>
    <cellStyle name="Heading 1 2 8 2 2 7 3 2 2" xfId="25510"/>
    <cellStyle name="Heading 1 2 8 2 2 7 3 3" xfId="25511"/>
    <cellStyle name="Heading 1 2 8 2 2 7 4" xfId="25512"/>
    <cellStyle name="Heading 1 2 8 2 2 7 4 2" xfId="25513"/>
    <cellStyle name="Heading 1 2 8 2 2 7 4 2 2" xfId="25514"/>
    <cellStyle name="Heading 1 2 8 2 2 7 4 3" xfId="25515"/>
    <cellStyle name="Heading 1 2 8 2 2 7 5" xfId="25516"/>
    <cellStyle name="Heading 1 2 8 2 2 7 5 2" xfId="25517"/>
    <cellStyle name="Heading 1 2 8 2 2 7 5 2 2" xfId="25518"/>
    <cellStyle name="Heading 1 2 8 2 2 7 5 3" xfId="25519"/>
    <cellStyle name="Heading 1 2 8 2 2 7 6" xfId="25520"/>
    <cellStyle name="Heading 1 2 8 2 2 7 6 2" xfId="25521"/>
    <cellStyle name="Heading 1 2 8 2 2 7 6 2 2" xfId="25522"/>
    <cellStyle name="Heading 1 2 8 2 2 7 6 3" xfId="25523"/>
    <cellStyle name="Heading 1 2 8 2 2 7 7" xfId="25524"/>
    <cellStyle name="Heading 1 2 8 2 2 7 7 2" xfId="25525"/>
    <cellStyle name="Heading 1 2 8 2 2 7 7 2 2" xfId="25526"/>
    <cellStyle name="Heading 1 2 8 2 2 7 7 3" xfId="25527"/>
    <cellStyle name="Heading 1 2 8 2 2 7 8" xfId="25528"/>
    <cellStyle name="Heading 1 2 8 2 2 7 8 2" xfId="25529"/>
    <cellStyle name="Heading 1 2 8 2 2 7 9" xfId="25530"/>
    <cellStyle name="Heading 1 2 8 2 2 8" xfId="25531"/>
    <cellStyle name="Heading 1 2 8 2 2 8 2" xfId="25532"/>
    <cellStyle name="Heading 1 2 8 2 2 8 2 2" xfId="25533"/>
    <cellStyle name="Heading 1 2 8 2 2 8 2 2 2" xfId="25534"/>
    <cellStyle name="Heading 1 2 8 2 2 8 2 3" xfId="25535"/>
    <cellStyle name="Heading 1 2 8 2 2 8 3" xfId="25536"/>
    <cellStyle name="Heading 1 2 8 2 2 8 3 2" xfId="25537"/>
    <cellStyle name="Heading 1 2 8 2 2 8 3 2 2" xfId="25538"/>
    <cellStyle name="Heading 1 2 8 2 2 8 3 3" xfId="25539"/>
    <cellStyle name="Heading 1 2 8 2 2 8 4" xfId="25540"/>
    <cellStyle name="Heading 1 2 8 2 2 8 4 2" xfId="25541"/>
    <cellStyle name="Heading 1 2 8 2 2 8 4 2 2" xfId="25542"/>
    <cellStyle name="Heading 1 2 8 2 2 8 4 3" xfId="25543"/>
    <cellStyle name="Heading 1 2 8 2 2 8 5" xfId="25544"/>
    <cellStyle name="Heading 1 2 8 2 2 8 5 2" xfId="25545"/>
    <cellStyle name="Heading 1 2 8 2 2 8 5 2 2" xfId="25546"/>
    <cellStyle name="Heading 1 2 8 2 2 8 5 3" xfId="25547"/>
    <cellStyle name="Heading 1 2 8 2 2 8 6" xfId="25548"/>
    <cellStyle name="Heading 1 2 8 2 2 8 6 2" xfId="25549"/>
    <cellStyle name="Heading 1 2 8 2 2 8 6 2 2" xfId="25550"/>
    <cellStyle name="Heading 1 2 8 2 2 8 6 3" xfId="25551"/>
    <cellStyle name="Heading 1 2 8 2 2 8 7" xfId="25552"/>
    <cellStyle name="Heading 1 2 8 2 2 8 7 2" xfId="25553"/>
    <cellStyle name="Heading 1 2 8 2 2 8 7 2 2" xfId="25554"/>
    <cellStyle name="Heading 1 2 8 2 2 8 7 3" xfId="25555"/>
    <cellStyle name="Heading 1 2 8 2 2 8 8" xfId="25556"/>
    <cellStyle name="Heading 1 2 8 2 2 8 8 2" xfId="25557"/>
    <cellStyle name="Heading 1 2 8 2 2 8 9" xfId="25558"/>
    <cellStyle name="Heading 1 2 8 2 2 9" xfId="25559"/>
    <cellStyle name="Heading 1 2 8 2 2 9 2" xfId="25560"/>
    <cellStyle name="Heading 1 2 8 2 2 9 2 2" xfId="25561"/>
    <cellStyle name="Heading 1 2 8 2 2 9 3" xfId="25562"/>
    <cellStyle name="Heading 1 2 8 2 20" xfId="25563"/>
    <cellStyle name="Heading 1 2 8 2 20 2" xfId="25564"/>
    <cellStyle name="Heading 1 2 8 2 21" xfId="25565"/>
    <cellStyle name="Heading 1 2 8 2 21 2" xfId="25566"/>
    <cellStyle name="Heading 1 2 8 2 22" xfId="25567"/>
    <cellStyle name="Heading 1 2 8 2 22 2" xfId="25568"/>
    <cellStyle name="Heading 1 2 8 2 23" xfId="25569"/>
    <cellStyle name="Heading 1 2 8 2 3" xfId="25570"/>
    <cellStyle name="Heading 1 2 8 2 3 2" xfId="25571"/>
    <cellStyle name="Heading 1 2 8 2 3 2 2" xfId="25572"/>
    <cellStyle name="Heading 1 2 8 2 3 2 2 2" xfId="25573"/>
    <cellStyle name="Heading 1 2 8 2 3 2 3" xfId="25574"/>
    <cellStyle name="Heading 1 2 8 2 3 3" xfId="25575"/>
    <cellStyle name="Heading 1 2 8 2 3 3 2" xfId="25576"/>
    <cellStyle name="Heading 1 2 8 2 3 3 2 2" xfId="25577"/>
    <cellStyle name="Heading 1 2 8 2 3 3 3" xfId="25578"/>
    <cellStyle name="Heading 1 2 8 2 3 4" xfId="25579"/>
    <cellStyle name="Heading 1 2 8 2 3 4 2" xfId="25580"/>
    <cellStyle name="Heading 1 2 8 2 3 4 2 2" xfId="25581"/>
    <cellStyle name="Heading 1 2 8 2 3 4 3" xfId="25582"/>
    <cellStyle name="Heading 1 2 8 2 3 5" xfId="25583"/>
    <cellStyle name="Heading 1 2 8 2 3 5 2" xfId="25584"/>
    <cellStyle name="Heading 1 2 8 2 3 5 2 2" xfId="25585"/>
    <cellStyle name="Heading 1 2 8 2 3 5 3" xfId="25586"/>
    <cellStyle name="Heading 1 2 8 2 3 6" xfId="25587"/>
    <cellStyle name="Heading 1 2 8 2 3 6 2" xfId="25588"/>
    <cellStyle name="Heading 1 2 8 2 3 6 2 2" xfId="25589"/>
    <cellStyle name="Heading 1 2 8 2 3 6 3" xfId="25590"/>
    <cellStyle name="Heading 1 2 8 2 3 7" xfId="25591"/>
    <cellStyle name="Heading 1 2 8 2 3 7 2" xfId="25592"/>
    <cellStyle name="Heading 1 2 8 2 3 7 2 2" xfId="25593"/>
    <cellStyle name="Heading 1 2 8 2 3 7 3" xfId="25594"/>
    <cellStyle name="Heading 1 2 8 2 3 8" xfId="25595"/>
    <cellStyle name="Heading 1 2 8 2 3 8 2" xfId="25596"/>
    <cellStyle name="Heading 1 2 8 2 3 9" xfId="25597"/>
    <cellStyle name="Heading 1 2 8 2 4" xfId="25598"/>
    <cellStyle name="Heading 1 2 8 2 4 2" xfId="25599"/>
    <cellStyle name="Heading 1 2 8 2 4 2 2" xfId="25600"/>
    <cellStyle name="Heading 1 2 8 2 4 2 2 2" xfId="25601"/>
    <cellStyle name="Heading 1 2 8 2 4 2 3" xfId="25602"/>
    <cellStyle name="Heading 1 2 8 2 4 3" xfId="25603"/>
    <cellStyle name="Heading 1 2 8 2 4 3 2" xfId="25604"/>
    <cellStyle name="Heading 1 2 8 2 4 3 2 2" xfId="25605"/>
    <cellStyle name="Heading 1 2 8 2 4 3 3" xfId="25606"/>
    <cellStyle name="Heading 1 2 8 2 4 4" xfId="25607"/>
    <cellStyle name="Heading 1 2 8 2 4 4 2" xfId="25608"/>
    <cellStyle name="Heading 1 2 8 2 4 4 2 2" xfId="25609"/>
    <cellStyle name="Heading 1 2 8 2 4 4 3" xfId="25610"/>
    <cellStyle name="Heading 1 2 8 2 4 5" xfId="25611"/>
    <cellStyle name="Heading 1 2 8 2 4 5 2" xfId="25612"/>
    <cellStyle name="Heading 1 2 8 2 4 5 2 2" xfId="25613"/>
    <cellStyle name="Heading 1 2 8 2 4 5 3" xfId="25614"/>
    <cellStyle name="Heading 1 2 8 2 4 6" xfId="25615"/>
    <cellStyle name="Heading 1 2 8 2 4 6 2" xfId="25616"/>
    <cellStyle name="Heading 1 2 8 2 4 6 2 2" xfId="25617"/>
    <cellStyle name="Heading 1 2 8 2 4 6 3" xfId="25618"/>
    <cellStyle name="Heading 1 2 8 2 4 7" xfId="25619"/>
    <cellStyle name="Heading 1 2 8 2 4 7 2" xfId="25620"/>
    <cellStyle name="Heading 1 2 8 2 4 7 2 2" xfId="25621"/>
    <cellStyle name="Heading 1 2 8 2 4 7 3" xfId="25622"/>
    <cellStyle name="Heading 1 2 8 2 4 8" xfId="25623"/>
    <cellStyle name="Heading 1 2 8 2 4 8 2" xfId="25624"/>
    <cellStyle name="Heading 1 2 8 2 4 9" xfId="25625"/>
    <cellStyle name="Heading 1 2 8 2 5" xfId="25626"/>
    <cellStyle name="Heading 1 2 8 2 5 2" xfId="25627"/>
    <cellStyle name="Heading 1 2 8 2 5 2 2" xfId="25628"/>
    <cellStyle name="Heading 1 2 8 2 5 2 2 2" xfId="25629"/>
    <cellStyle name="Heading 1 2 8 2 5 2 3" xfId="25630"/>
    <cellStyle name="Heading 1 2 8 2 5 3" xfId="25631"/>
    <cellStyle name="Heading 1 2 8 2 5 3 2" xfId="25632"/>
    <cellStyle name="Heading 1 2 8 2 5 3 2 2" xfId="25633"/>
    <cellStyle name="Heading 1 2 8 2 5 3 3" xfId="25634"/>
    <cellStyle name="Heading 1 2 8 2 5 4" xfId="25635"/>
    <cellStyle name="Heading 1 2 8 2 5 4 2" xfId="25636"/>
    <cellStyle name="Heading 1 2 8 2 5 4 2 2" xfId="25637"/>
    <cellStyle name="Heading 1 2 8 2 5 4 3" xfId="25638"/>
    <cellStyle name="Heading 1 2 8 2 5 5" xfId="25639"/>
    <cellStyle name="Heading 1 2 8 2 5 5 2" xfId="25640"/>
    <cellStyle name="Heading 1 2 8 2 5 5 2 2" xfId="25641"/>
    <cellStyle name="Heading 1 2 8 2 5 5 3" xfId="25642"/>
    <cellStyle name="Heading 1 2 8 2 5 6" xfId="25643"/>
    <cellStyle name="Heading 1 2 8 2 5 6 2" xfId="25644"/>
    <cellStyle name="Heading 1 2 8 2 5 6 2 2" xfId="25645"/>
    <cellStyle name="Heading 1 2 8 2 5 6 3" xfId="25646"/>
    <cellStyle name="Heading 1 2 8 2 5 7" xfId="25647"/>
    <cellStyle name="Heading 1 2 8 2 5 7 2" xfId="25648"/>
    <cellStyle name="Heading 1 2 8 2 5 7 2 2" xfId="25649"/>
    <cellStyle name="Heading 1 2 8 2 5 7 3" xfId="25650"/>
    <cellStyle name="Heading 1 2 8 2 5 8" xfId="25651"/>
    <cellStyle name="Heading 1 2 8 2 5 8 2" xfId="25652"/>
    <cellStyle name="Heading 1 2 8 2 5 9" xfId="25653"/>
    <cellStyle name="Heading 1 2 8 2 6" xfId="25654"/>
    <cellStyle name="Heading 1 2 8 2 6 2" xfId="25655"/>
    <cellStyle name="Heading 1 2 8 2 6 2 2" xfId="25656"/>
    <cellStyle name="Heading 1 2 8 2 6 2 2 2" xfId="25657"/>
    <cellStyle name="Heading 1 2 8 2 6 2 3" xfId="25658"/>
    <cellStyle name="Heading 1 2 8 2 6 3" xfId="25659"/>
    <cellStyle name="Heading 1 2 8 2 6 3 2" xfId="25660"/>
    <cellStyle name="Heading 1 2 8 2 6 3 2 2" xfId="25661"/>
    <cellStyle name="Heading 1 2 8 2 6 3 3" xfId="25662"/>
    <cellStyle name="Heading 1 2 8 2 6 4" xfId="25663"/>
    <cellStyle name="Heading 1 2 8 2 6 4 2" xfId="25664"/>
    <cellStyle name="Heading 1 2 8 2 6 4 2 2" xfId="25665"/>
    <cellStyle name="Heading 1 2 8 2 6 4 3" xfId="25666"/>
    <cellStyle name="Heading 1 2 8 2 6 5" xfId="25667"/>
    <cellStyle name="Heading 1 2 8 2 6 5 2" xfId="25668"/>
    <cellStyle name="Heading 1 2 8 2 6 5 2 2" xfId="25669"/>
    <cellStyle name="Heading 1 2 8 2 6 5 3" xfId="25670"/>
    <cellStyle name="Heading 1 2 8 2 6 6" xfId="25671"/>
    <cellStyle name="Heading 1 2 8 2 6 6 2" xfId="25672"/>
    <cellStyle name="Heading 1 2 8 2 6 6 2 2" xfId="25673"/>
    <cellStyle name="Heading 1 2 8 2 6 6 3" xfId="25674"/>
    <cellStyle name="Heading 1 2 8 2 6 7" xfId="25675"/>
    <cellStyle name="Heading 1 2 8 2 6 7 2" xfId="25676"/>
    <cellStyle name="Heading 1 2 8 2 6 7 2 2" xfId="25677"/>
    <cellStyle name="Heading 1 2 8 2 6 7 3" xfId="25678"/>
    <cellStyle name="Heading 1 2 8 2 6 8" xfId="25679"/>
    <cellStyle name="Heading 1 2 8 2 6 8 2" xfId="25680"/>
    <cellStyle name="Heading 1 2 8 2 6 9" xfId="25681"/>
    <cellStyle name="Heading 1 2 8 2 7" xfId="25682"/>
    <cellStyle name="Heading 1 2 8 2 7 2" xfId="25683"/>
    <cellStyle name="Heading 1 2 8 2 7 2 2" xfId="25684"/>
    <cellStyle name="Heading 1 2 8 2 7 2 2 2" xfId="25685"/>
    <cellStyle name="Heading 1 2 8 2 7 2 3" xfId="25686"/>
    <cellStyle name="Heading 1 2 8 2 7 3" xfId="25687"/>
    <cellStyle name="Heading 1 2 8 2 7 3 2" xfId="25688"/>
    <cellStyle name="Heading 1 2 8 2 7 3 2 2" xfId="25689"/>
    <cellStyle name="Heading 1 2 8 2 7 3 3" xfId="25690"/>
    <cellStyle name="Heading 1 2 8 2 7 4" xfId="25691"/>
    <cellStyle name="Heading 1 2 8 2 7 4 2" xfId="25692"/>
    <cellStyle name="Heading 1 2 8 2 7 4 2 2" xfId="25693"/>
    <cellStyle name="Heading 1 2 8 2 7 4 3" xfId="25694"/>
    <cellStyle name="Heading 1 2 8 2 7 5" xfId="25695"/>
    <cellStyle name="Heading 1 2 8 2 7 5 2" xfId="25696"/>
    <cellStyle name="Heading 1 2 8 2 7 5 2 2" xfId="25697"/>
    <cellStyle name="Heading 1 2 8 2 7 5 3" xfId="25698"/>
    <cellStyle name="Heading 1 2 8 2 7 6" xfId="25699"/>
    <cellStyle name="Heading 1 2 8 2 7 6 2" xfId="25700"/>
    <cellStyle name="Heading 1 2 8 2 7 6 2 2" xfId="25701"/>
    <cellStyle name="Heading 1 2 8 2 7 6 3" xfId="25702"/>
    <cellStyle name="Heading 1 2 8 2 7 7" xfId="25703"/>
    <cellStyle name="Heading 1 2 8 2 7 7 2" xfId="25704"/>
    <cellStyle name="Heading 1 2 8 2 7 7 2 2" xfId="25705"/>
    <cellStyle name="Heading 1 2 8 2 7 7 3" xfId="25706"/>
    <cellStyle name="Heading 1 2 8 2 7 8" xfId="25707"/>
    <cellStyle name="Heading 1 2 8 2 7 8 2" xfId="25708"/>
    <cellStyle name="Heading 1 2 8 2 7 9" xfId="25709"/>
    <cellStyle name="Heading 1 2 8 2 8" xfId="25710"/>
    <cellStyle name="Heading 1 2 8 2 8 2" xfId="25711"/>
    <cellStyle name="Heading 1 2 8 2 8 2 2" xfId="25712"/>
    <cellStyle name="Heading 1 2 8 2 8 2 2 2" xfId="25713"/>
    <cellStyle name="Heading 1 2 8 2 8 2 3" xfId="25714"/>
    <cellStyle name="Heading 1 2 8 2 8 3" xfId="25715"/>
    <cellStyle name="Heading 1 2 8 2 8 3 2" xfId="25716"/>
    <cellStyle name="Heading 1 2 8 2 8 3 2 2" xfId="25717"/>
    <cellStyle name="Heading 1 2 8 2 8 3 3" xfId="25718"/>
    <cellStyle name="Heading 1 2 8 2 8 4" xfId="25719"/>
    <cellStyle name="Heading 1 2 8 2 8 4 2" xfId="25720"/>
    <cellStyle name="Heading 1 2 8 2 8 4 2 2" xfId="25721"/>
    <cellStyle name="Heading 1 2 8 2 8 4 3" xfId="25722"/>
    <cellStyle name="Heading 1 2 8 2 8 5" xfId="25723"/>
    <cellStyle name="Heading 1 2 8 2 8 5 2" xfId="25724"/>
    <cellStyle name="Heading 1 2 8 2 8 5 2 2" xfId="25725"/>
    <cellStyle name="Heading 1 2 8 2 8 5 3" xfId="25726"/>
    <cellStyle name="Heading 1 2 8 2 8 6" xfId="25727"/>
    <cellStyle name="Heading 1 2 8 2 8 6 2" xfId="25728"/>
    <cellStyle name="Heading 1 2 8 2 8 6 2 2" xfId="25729"/>
    <cellStyle name="Heading 1 2 8 2 8 6 3" xfId="25730"/>
    <cellStyle name="Heading 1 2 8 2 8 7" xfId="25731"/>
    <cellStyle name="Heading 1 2 8 2 8 7 2" xfId="25732"/>
    <cellStyle name="Heading 1 2 8 2 8 7 2 2" xfId="25733"/>
    <cellStyle name="Heading 1 2 8 2 8 7 3" xfId="25734"/>
    <cellStyle name="Heading 1 2 8 2 8 8" xfId="25735"/>
    <cellStyle name="Heading 1 2 8 2 8 8 2" xfId="25736"/>
    <cellStyle name="Heading 1 2 8 2 8 9" xfId="25737"/>
    <cellStyle name="Heading 1 2 8 2 9" xfId="25738"/>
    <cellStyle name="Heading 1 2 8 2 9 2" xfId="25739"/>
    <cellStyle name="Heading 1 2 8 2 9 2 2" xfId="25740"/>
    <cellStyle name="Heading 1 2 8 2 9 2 2 2" xfId="25741"/>
    <cellStyle name="Heading 1 2 8 2 9 2 3" xfId="25742"/>
    <cellStyle name="Heading 1 2 8 2 9 3" xfId="25743"/>
    <cellStyle name="Heading 1 2 8 2 9 3 2" xfId="25744"/>
    <cellStyle name="Heading 1 2 8 2 9 3 2 2" xfId="25745"/>
    <cellStyle name="Heading 1 2 8 2 9 3 3" xfId="25746"/>
    <cellStyle name="Heading 1 2 8 2 9 4" xfId="25747"/>
    <cellStyle name="Heading 1 2 8 2 9 4 2" xfId="25748"/>
    <cellStyle name="Heading 1 2 8 2 9 4 2 2" xfId="25749"/>
    <cellStyle name="Heading 1 2 8 2 9 4 3" xfId="25750"/>
    <cellStyle name="Heading 1 2 8 2 9 5" xfId="25751"/>
    <cellStyle name="Heading 1 2 8 2 9 5 2" xfId="25752"/>
    <cellStyle name="Heading 1 2 8 2 9 5 2 2" xfId="25753"/>
    <cellStyle name="Heading 1 2 8 2 9 5 3" xfId="25754"/>
    <cellStyle name="Heading 1 2 8 2 9 6" xfId="25755"/>
    <cellStyle name="Heading 1 2 8 2 9 6 2" xfId="25756"/>
    <cellStyle name="Heading 1 2 8 2 9 6 2 2" xfId="25757"/>
    <cellStyle name="Heading 1 2 8 2 9 6 3" xfId="25758"/>
    <cellStyle name="Heading 1 2 8 2 9 7" xfId="25759"/>
    <cellStyle name="Heading 1 2 8 2 9 7 2" xfId="25760"/>
    <cellStyle name="Heading 1 2 8 2 9 7 2 2" xfId="25761"/>
    <cellStyle name="Heading 1 2 8 2 9 7 3" xfId="25762"/>
    <cellStyle name="Heading 1 2 8 2 9 8" xfId="25763"/>
    <cellStyle name="Heading 1 2 8 2 9 8 2" xfId="25764"/>
    <cellStyle name="Heading 1 2 8 2 9 9" xfId="25765"/>
    <cellStyle name="Heading 1 2 8 3" xfId="25766"/>
    <cellStyle name="Heading 1 2 8 3 10" xfId="25767"/>
    <cellStyle name="Heading 1 2 8 3 10 2" xfId="25768"/>
    <cellStyle name="Heading 1 2 8 3 10 2 2" xfId="25769"/>
    <cellStyle name="Heading 1 2 8 3 10 3" xfId="25770"/>
    <cellStyle name="Heading 1 2 8 3 11" xfId="25771"/>
    <cellStyle name="Heading 1 2 8 3 11 2" xfId="25772"/>
    <cellStyle name="Heading 1 2 8 3 11 2 2" xfId="25773"/>
    <cellStyle name="Heading 1 2 8 3 11 3" xfId="25774"/>
    <cellStyle name="Heading 1 2 8 3 12" xfId="25775"/>
    <cellStyle name="Heading 1 2 8 3 12 2" xfId="25776"/>
    <cellStyle name="Heading 1 2 8 3 12 2 2" xfId="25777"/>
    <cellStyle name="Heading 1 2 8 3 12 3" xfId="25778"/>
    <cellStyle name="Heading 1 2 8 3 13" xfId="25779"/>
    <cellStyle name="Heading 1 2 8 3 13 2" xfId="25780"/>
    <cellStyle name="Heading 1 2 8 3 13 2 2" xfId="25781"/>
    <cellStyle name="Heading 1 2 8 3 13 3" xfId="25782"/>
    <cellStyle name="Heading 1 2 8 3 14" xfId="25783"/>
    <cellStyle name="Heading 1 2 8 3 14 2" xfId="25784"/>
    <cellStyle name="Heading 1 2 8 3 14 2 2" xfId="25785"/>
    <cellStyle name="Heading 1 2 8 3 14 3" xfId="25786"/>
    <cellStyle name="Heading 1 2 8 3 15" xfId="25787"/>
    <cellStyle name="Heading 1 2 8 3 15 2" xfId="25788"/>
    <cellStyle name="Heading 1 2 8 3 15 2 2" xfId="25789"/>
    <cellStyle name="Heading 1 2 8 3 15 3" xfId="25790"/>
    <cellStyle name="Heading 1 2 8 3 16" xfId="25791"/>
    <cellStyle name="Heading 1 2 8 3 16 2" xfId="25792"/>
    <cellStyle name="Heading 1 2 8 3 16 2 2" xfId="25793"/>
    <cellStyle name="Heading 1 2 8 3 16 3" xfId="25794"/>
    <cellStyle name="Heading 1 2 8 3 17" xfId="25795"/>
    <cellStyle name="Heading 1 2 8 3 17 2" xfId="25796"/>
    <cellStyle name="Heading 1 2 8 3 17 2 2" xfId="25797"/>
    <cellStyle name="Heading 1 2 8 3 17 3" xfId="25798"/>
    <cellStyle name="Heading 1 2 8 3 18" xfId="25799"/>
    <cellStyle name="Heading 1 2 8 3 18 2" xfId="25800"/>
    <cellStyle name="Heading 1 2 8 3 18 2 2" xfId="25801"/>
    <cellStyle name="Heading 1 2 8 3 18 3" xfId="25802"/>
    <cellStyle name="Heading 1 2 8 3 19" xfId="25803"/>
    <cellStyle name="Heading 1 2 8 3 19 2" xfId="25804"/>
    <cellStyle name="Heading 1 2 8 3 2" xfId="25805"/>
    <cellStyle name="Heading 1 2 8 3 2 2" xfId="25806"/>
    <cellStyle name="Heading 1 2 8 3 2 2 2" xfId="25807"/>
    <cellStyle name="Heading 1 2 8 3 2 2 2 2" xfId="25808"/>
    <cellStyle name="Heading 1 2 8 3 2 2 3" xfId="25809"/>
    <cellStyle name="Heading 1 2 8 3 2 3" xfId="25810"/>
    <cellStyle name="Heading 1 2 8 3 2 3 2" xfId="25811"/>
    <cellStyle name="Heading 1 2 8 3 2 3 2 2" xfId="25812"/>
    <cellStyle name="Heading 1 2 8 3 2 3 3" xfId="25813"/>
    <cellStyle name="Heading 1 2 8 3 2 4" xfId="25814"/>
    <cellStyle name="Heading 1 2 8 3 2 4 2" xfId="25815"/>
    <cellStyle name="Heading 1 2 8 3 2 4 2 2" xfId="25816"/>
    <cellStyle name="Heading 1 2 8 3 2 4 3" xfId="25817"/>
    <cellStyle name="Heading 1 2 8 3 2 5" xfId="25818"/>
    <cellStyle name="Heading 1 2 8 3 2 5 2" xfId="25819"/>
    <cellStyle name="Heading 1 2 8 3 2 5 2 2" xfId="25820"/>
    <cellStyle name="Heading 1 2 8 3 2 5 3" xfId="25821"/>
    <cellStyle name="Heading 1 2 8 3 2 6" xfId="25822"/>
    <cellStyle name="Heading 1 2 8 3 2 6 2" xfId="25823"/>
    <cellStyle name="Heading 1 2 8 3 2 6 2 2" xfId="25824"/>
    <cellStyle name="Heading 1 2 8 3 2 6 3" xfId="25825"/>
    <cellStyle name="Heading 1 2 8 3 2 7" xfId="25826"/>
    <cellStyle name="Heading 1 2 8 3 2 7 2" xfId="25827"/>
    <cellStyle name="Heading 1 2 8 3 2 7 2 2" xfId="25828"/>
    <cellStyle name="Heading 1 2 8 3 2 7 3" xfId="25829"/>
    <cellStyle name="Heading 1 2 8 3 2 8" xfId="25830"/>
    <cellStyle name="Heading 1 2 8 3 2 8 2" xfId="25831"/>
    <cellStyle name="Heading 1 2 8 3 2 9" xfId="25832"/>
    <cellStyle name="Heading 1 2 8 3 20" xfId="25833"/>
    <cellStyle name="Heading 1 2 8 3 20 2" xfId="25834"/>
    <cellStyle name="Heading 1 2 8 3 21" xfId="25835"/>
    <cellStyle name="Heading 1 2 8 3 21 2" xfId="25836"/>
    <cellStyle name="Heading 1 2 8 3 22" xfId="25837"/>
    <cellStyle name="Heading 1 2 8 3 3" xfId="25838"/>
    <cellStyle name="Heading 1 2 8 3 3 2" xfId="25839"/>
    <cellStyle name="Heading 1 2 8 3 3 2 2" xfId="25840"/>
    <cellStyle name="Heading 1 2 8 3 3 2 2 2" xfId="25841"/>
    <cellStyle name="Heading 1 2 8 3 3 2 3" xfId="25842"/>
    <cellStyle name="Heading 1 2 8 3 3 3" xfId="25843"/>
    <cellStyle name="Heading 1 2 8 3 3 3 2" xfId="25844"/>
    <cellStyle name="Heading 1 2 8 3 3 3 2 2" xfId="25845"/>
    <cellStyle name="Heading 1 2 8 3 3 3 3" xfId="25846"/>
    <cellStyle name="Heading 1 2 8 3 3 4" xfId="25847"/>
    <cellStyle name="Heading 1 2 8 3 3 4 2" xfId="25848"/>
    <cellStyle name="Heading 1 2 8 3 3 4 2 2" xfId="25849"/>
    <cellStyle name="Heading 1 2 8 3 3 4 3" xfId="25850"/>
    <cellStyle name="Heading 1 2 8 3 3 5" xfId="25851"/>
    <cellStyle name="Heading 1 2 8 3 3 5 2" xfId="25852"/>
    <cellStyle name="Heading 1 2 8 3 3 5 2 2" xfId="25853"/>
    <cellStyle name="Heading 1 2 8 3 3 5 3" xfId="25854"/>
    <cellStyle name="Heading 1 2 8 3 3 6" xfId="25855"/>
    <cellStyle name="Heading 1 2 8 3 3 6 2" xfId="25856"/>
    <cellStyle name="Heading 1 2 8 3 3 6 2 2" xfId="25857"/>
    <cellStyle name="Heading 1 2 8 3 3 6 3" xfId="25858"/>
    <cellStyle name="Heading 1 2 8 3 3 7" xfId="25859"/>
    <cellStyle name="Heading 1 2 8 3 3 7 2" xfId="25860"/>
    <cellStyle name="Heading 1 2 8 3 3 7 2 2" xfId="25861"/>
    <cellStyle name="Heading 1 2 8 3 3 7 3" xfId="25862"/>
    <cellStyle name="Heading 1 2 8 3 3 8" xfId="25863"/>
    <cellStyle name="Heading 1 2 8 3 3 8 2" xfId="25864"/>
    <cellStyle name="Heading 1 2 8 3 3 9" xfId="25865"/>
    <cellStyle name="Heading 1 2 8 3 4" xfId="25866"/>
    <cellStyle name="Heading 1 2 8 3 4 2" xfId="25867"/>
    <cellStyle name="Heading 1 2 8 3 4 2 2" xfId="25868"/>
    <cellStyle name="Heading 1 2 8 3 4 2 2 2" xfId="25869"/>
    <cellStyle name="Heading 1 2 8 3 4 2 3" xfId="25870"/>
    <cellStyle name="Heading 1 2 8 3 4 3" xfId="25871"/>
    <cellStyle name="Heading 1 2 8 3 4 3 2" xfId="25872"/>
    <cellStyle name="Heading 1 2 8 3 4 3 2 2" xfId="25873"/>
    <cellStyle name="Heading 1 2 8 3 4 3 3" xfId="25874"/>
    <cellStyle name="Heading 1 2 8 3 4 4" xfId="25875"/>
    <cellStyle name="Heading 1 2 8 3 4 4 2" xfId="25876"/>
    <cellStyle name="Heading 1 2 8 3 4 4 2 2" xfId="25877"/>
    <cellStyle name="Heading 1 2 8 3 4 4 3" xfId="25878"/>
    <cellStyle name="Heading 1 2 8 3 4 5" xfId="25879"/>
    <cellStyle name="Heading 1 2 8 3 4 5 2" xfId="25880"/>
    <cellStyle name="Heading 1 2 8 3 4 5 2 2" xfId="25881"/>
    <cellStyle name="Heading 1 2 8 3 4 5 3" xfId="25882"/>
    <cellStyle name="Heading 1 2 8 3 4 6" xfId="25883"/>
    <cellStyle name="Heading 1 2 8 3 4 6 2" xfId="25884"/>
    <cellStyle name="Heading 1 2 8 3 4 6 2 2" xfId="25885"/>
    <cellStyle name="Heading 1 2 8 3 4 6 3" xfId="25886"/>
    <cellStyle name="Heading 1 2 8 3 4 7" xfId="25887"/>
    <cellStyle name="Heading 1 2 8 3 4 7 2" xfId="25888"/>
    <cellStyle name="Heading 1 2 8 3 4 7 2 2" xfId="25889"/>
    <cellStyle name="Heading 1 2 8 3 4 7 3" xfId="25890"/>
    <cellStyle name="Heading 1 2 8 3 4 8" xfId="25891"/>
    <cellStyle name="Heading 1 2 8 3 4 8 2" xfId="25892"/>
    <cellStyle name="Heading 1 2 8 3 4 9" xfId="25893"/>
    <cellStyle name="Heading 1 2 8 3 5" xfId="25894"/>
    <cellStyle name="Heading 1 2 8 3 5 2" xfId="25895"/>
    <cellStyle name="Heading 1 2 8 3 5 2 2" xfId="25896"/>
    <cellStyle name="Heading 1 2 8 3 5 2 2 2" xfId="25897"/>
    <cellStyle name="Heading 1 2 8 3 5 2 3" xfId="25898"/>
    <cellStyle name="Heading 1 2 8 3 5 3" xfId="25899"/>
    <cellStyle name="Heading 1 2 8 3 5 3 2" xfId="25900"/>
    <cellStyle name="Heading 1 2 8 3 5 3 2 2" xfId="25901"/>
    <cellStyle name="Heading 1 2 8 3 5 3 3" xfId="25902"/>
    <cellStyle name="Heading 1 2 8 3 5 4" xfId="25903"/>
    <cellStyle name="Heading 1 2 8 3 5 4 2" xfId="25904"/>
    <cellStyle name="Heading 1 2 8 3 5 4 2 2" xfId="25905"/>
    <cellStyle name="Heading 1 2 8 3 5 4 3" xfId="25906"/>
    <cellStyle name="Heading 1 2 8 3 5 5" xfId="25907"/>
    <cellStyle name="Heading 1 2 8 3 5 5 2" xfId="25908"/>
    <cellStyle name="Heading 1 2 8 3 5 5 2 2" xfId="25909"/>
    <cellStyle name="Heading 1 2 8 3 5 5 3" xfId="25910"/>
    <cellStyle name="Heading 1 2 8 3 5 6" xfId="25911"/>
    <cellStyle name="Heading 1 2 8 3 5 6 2" xfId="25912"/>
    <cellStyle name="Heading 1 2 8 3 5 6 2 2" xfId="25913"/>
    <cellStyle name="Heading 1 2 8 3 5 6 3" xfId="25914"/>
    <cellStyle name="Heading 1 2 8 3 5 7" xfId="25915"/>
    <cellStyle name="Heading 1 2 8 3 5 7 2" xfId="25916"/>
    <cellStyle name="Heading 1 2 8 3 5 7 2 2" xfId="25917"/>
    <cellStyle name="Heading 1 2 8 3 5 7 3" xfId="25918"/>
    <cellStyle name="Heading 1 2 8 3 5 8" xfId="25919"/>
    <cellStyle name="Heading 1 2 8 3 5 8 2" xfId="25920"/>
    <cellStyle name="Heading 1 2 8 3 5 9" xfId="25921"/>
    <cellStyle name="Heading 1 2 8 3 6" xfId="25922"/>
    <cellStyle name="Heading 1 2 8 3 6 2" xfId="25923"/>
    <cellStyle name="Heading 1 2 8 3 6 2 2" xfId="25924"/>
    <cellStyle name="Heading 1 2 8 3 6 2 2 2" xfId="25925"/>
    <cellStyle name="Heading 1 2 8 3 6 2 3" xfId="25926"/>
    <cellStyle name="Heading 1 2 8 3 6 3" xfId="25927"/>
    <cellStyle name="Heading 1 2 8 3 6 3 2" xfId="25928"/>
    <cellStyle name="Heading 1 2 8 3 6 3 2 2" xfId="25929"/>
    <cellStyle name="Heading 1 2 8 3 6 3 3" xfId="25930"/>
    <cellStyle name="Heading 1 2 8 3 6 4" xfId="25931"/>
    <cellStyle name="Heading 1 2 8 3 6 4 2" xfId="25932"/>
    <cellStyle name="Heading 1 2 8 3 6 4 2 2" xfId="25933"/>
    <cellStyle name="Heading 1 2 8 3 6 4 3" xfId="25934"/>
    <cellStyle name="Heading 1 2 8 3 6 5" xfId="25935"/>
    <cellStyle name="Heading 1 2 8 3 6 5 2" xfId="25936"/>
    <cellStyle name="Heading 1 2 8 3 6 5 2 2" xfId="25937"/>
    <cellStyle name="Heading 1 2 8 3 6 5 3" xfId="25938"/>
    <cellStyle name="Heading 1 2 8 3 6 6" xfId="25939"/>
    <cellStyle name="Heading 1 2 8 3 6 6 2" xfId="25940"/>
    <cellStyle name="Heading 1 2 8 3 6 6 2 2" xfId="25941"/>
    <cellStyle name="Heading 1 2 8 3 6 6 3" xfId="25942"/>
    <cellStyle name="Heading 1 2 8 3 6 7" xfId="25943"/>
    <cellStyle name="Heading 1 2 8 3 6 7 2" xfId="25944"/>
    <cellStyle name="Heading 1 2 8 3 6 7 2 2" xfId="25945"/>
    <cellStyle name="Heading 1 2 8 3 6 7 3" xfId="25946"/>
    <cellStyle name="Heading 1 2 8 3 6 8" xfId="25947"/>
    <cellStyle name="Heading 1 2 8 3 6 8 2" xfId="25948"/>
    <cellStyle name="Heading 1 2 8 3 6 9" xfId="25949"/>
    <cellStyle name="Heading 1 2 8 3 7" xfId="25950"/>
    <cellStyle name="Heading 1 2 8 3 7 2" xfId="25951"/>
    <cellStyle name="Heading 1 2 8 3 7 2 2" xfId="25952"/>
    <cellStyle name="Heading 1 2 8 3 7 2 2 2" xfId="25953"/>
    <cellStyle name="Heading 1 2 8 3 7 2 3" xfId="25954"/>
    <cellStyle name="Heading 1 2 8 3 7 3" xfId="25955"/>
    <cellStyle name="Heading 1 2 8 3 7 3 2" xfId="25956"/>
    <cellStyle name="Heading 1 2 8 3 7 3 2 2" xfId="25957"/>
    <cellStyle name="Heading 1 2 8 3 7 3 3" xfId="25958"/>
    <cellStyle name="Heading 1 2 8 3 7 4" xfId="25959"/>
    <cellStyle name="Heading 1 2 8 3 7 4 2" xfId="25960"/>
    <cellStyle name="Heading 1 2 8 3 7 4 2 2" xfId="25961"/>
    <cellStyle name="Heading 1 2 8 3 7 4 3" xfId="25962"/>
    <cellStyle name="Heading 1 2 8 3 7 5" xfId="25963"/>
    <cellStyle name="Heading 1 2 8 3 7 5 2" xfId="25964"/>
    <cellStyle name="Heading 1 2 8 3 7 5 2 2" xfId="25965"/>
    <cellStyle name="Heading 1 2 8 3 7 5 3" xfId="25966"/>
    <cellStyle name="Heading 1 2 8 3 7 6" xfId="25967"/>
    <cellStyle name="Heading 1 2 8 3 7 6 2" xfId="25968"/>
    <cellStyle name="Heading 1 2 8 3 7 6 2 2" xfId="25969"/>
    <cellStyle name="Heading 1 2 8 3 7 6 3" xfId="25970"/>
    <cellStyle name="Heading 1 2 8 3 7 7" xfId="25971"/>
    <cellStyle name="Heading 1 2 8 3 7 7 2" xfId="25972"/>
    <cellStyle name="Heading 1 2 8 3 7 7 2 2" xfId="25973"/>
    <cellStyle name="Heading 1 2 8 3 7 7 3" xfId="25974"/>
    <cellStyle name="Heading 1 2 8 3 7 8" xfId="25975"/>
    <cellStyle name="Heading 1 2 8 3 7 8 2" xfId="25976"/>
    <cellStyle name="Heading 1 2 8 3 7 9" xfId="25977"/>
    <cellStyle name="Heading 1 2 8 3 8" xfId="25978"/>
    <cellStyle name="Heading 1 2 8 3 8 2" xfId="25979"/>
    <cellStyle name="Heading 1 2 8 3 8 2 2" xfId="25980"/>
    <cellStyle name="Heading 1 2 8 3 8 2 2 2" xfId="25981"/>
    <cellStyle name="Heading 1 2 8 3 8 2 3" xfId="25982"/>
    <cellStyle name="Heading 1 2 8 3 8 3" xfId="25983"/>
    <cellStyle name="Heading 1 2 8 3 8 3 2" xfId="25984"/>
    <cellStyle name="Heading 1 2 8 3 8 3 2 2" xfId="25985"/>
    <cellStyle name="Heading 1 2 8 3 8 3 3" xfId="25986"/>
    <cellStyle name="Heading 1 2 8 3 8 4" xfId="25987"/>
    <cellStyle name="Heading 1 2 8 3 8 4 2" xfId="25988"/>
    <cellStyle name="Heading 1 2 8 3 8 4 2 2" xfId="25989"/>
    <cellStyle name="Heading 1 2 8 3 8 4 3" xfId="25990"/>
    <cellStyle name="Heading 1 2 8 3 8 5" xfId="25991"/>
    <cellStyle name="Heading 1 2 8 3 8 5 2" xfId="25992"/>
    <cellStyle name="Heading 1 2 8 3 8 5 2 2" xfId="25993"/>
    <cellStyle name="Heading 1 2 8 3 8 5 3" xfId="25994"/>
    <cellStyle name="Heading 1 2 8 3 8 6" xfId="25995"/>
    <cellStyle name="Heading 1 2 8 3 8 6 2" xfId="25996"/>
    <cellStyle name="Heading 1 2 8 3 8 6 2 2" xfId="25997"/>
    <cellStyle name="Heading 1 2 8 3 8 6 3" xfId="25998"/>
    <cellStyle name="Heading 1 2 8 3 8 7" xfId="25999"/>
    <cellStyle name="Heading 1 2 8 3 8 7 2" xfId="26000"/>
    <cellStyle name="Heading 1 2 8 3 8 7 2 2" xfId="26001"/>
    <cellStyle name="Heading 1 2 8 3 8 7 3" xfId="26002"/>
    <cellStyle name="Heading 1 2 8 3 8 8" xfId="26003"/>
    <cellStyle name="Heading 1 2 8 3 8 8 2" xfId="26004"/>
    <cellStyle name="Heading 1 2 8 3 8 9" xfId="26005"/>
    <cellStyle name="Heading 1 2 8 3 9" xfId="26006"/>
    <cellStyle name="Heading 1 2 8 3 9 2" xfId="26007"/>
    <cellStyle name="Heading 1 2 8 3 9 2 2" xfId="26008"/>
    <cellStyle name="Heading 1 2 8 3 9 3" xfId="26009"/>
    <cellStyle name="Heading 1 2 8 4" xfId="26010"/>
    <cellStyle name="Heading 1 2 8 4 2" xfId="26011"/>
    <cellStyle name="Heading 1 2 8 4 2 2" xfId="26012"/>
    <cellStyle name="Heading 1 2 8 4 3" xfId="26013"/>
    <cellStyle name="Heading 1 2 8 5" xfId="26014"/>
    <cellStyle name="Heading 1 2 8 5 2" xfId="26015"/>
    <cellStyle name="Heading 1 2 8 6" xfId="26016"/>
    <cellStyle name="Heading 1 2 9" xfId="26017"/>
    <cellStyle name="Heading 1 2 9 2" xfId="26018"/>
    <cellStyle name="Heading 1 2 9 2 10" xfId="26019"/>
    <cellStyle name="Heading 1 2 9 2 10 2" xfId="26020"/>
    <cellStyle name="Heading 1 2 9 2 10 2 2" xfId="26021"/>
    <cellStyle name="Heading 1 2 9 2 10 3" xfId="26022"/>
    <cellStyle name="Heading 1 2 9 2 11" xfId="26023"/>
    <cellStyle name="Heading 1 2 9 2 11 2" xfId="26024"/>
    <cellStyle name="Heading 1 2 9 2 11 2 2" xfId="26025"/>
    <cellStyle name="Heading 1 2 9 2 11 3" xfId="26026"/>
    <cellStyle name="Heading 1 2 9 2 12" xfId="26027"/>
    <cellStyle name="Heading 1 2 9 2 12 2" xfId="26028"/>
    <cellStyle name="Heading 1 2 9 2 12 2 2" xfId="26029"/>
    <cellStyle name="Heading 1 2 9 2 12 3" xfId="26030"/>
    <cellStyle name="Heading 1 2 9 2 13" xfId="26031"/>
    <cellStyle name="Heading 1 2 9 2 13 2" xfId="26032"/>
    <cellStyle name="Heading 1 2 9 2 13 2 2" xfId="26033"/>
    <cellStyle name="Heading 1 2 9 2 13 3" xfId="26034"/>
    <cellStyle name="Heading 1 2 9 2 14" xfId="26035"/>
    <cellStyle name="Heading 1 2 9 2 14 2" xfId="26036"/>
    <cellStyle name="Heading 1 2 9 2 14 2 2" xfId="26037"/>
    <cellStyle name="Heading 1 2 9 2 14 3" xfId="26038"/>
    <cellStyle name="Heading 1 2 9 2 15" xfId="26039"/>
    <cellStyle name="Heading 1 2 9 2 15 2" xfId="26040"/>
    <cellStyle name="Heading 1 2 9 2 15 2 2" xfId="26041"/>
    <cellStyle name="Heading 1 2 9 2 15 3" xfId="26042"/>
    <cellStyle name="Heading 1 2 9 2 16" xfId="26043"/>
    <cellStyle name="Heading 1 2 9 2 16 2" xfId="26044"/>
    <cellStyle name="Heading 1 2 9 2 16 2 2" xfId="26045"/>
    <cellStyle name="Heading 1 2 9 2 16 3" xfId="26046"/>
    <cellStyle name="Heading 1 2 9 2 17" xfId="26047"/>
    <cellStyle name="Heading 1 2 9 2 17 2" xfId="26048"/>
    <cellStyle name="Heading 1 2 9 2 17 2 2" xfId="26049"/>
    <cellStyle name="Heading 1 2 9 2 17 3" xfId="26050"/>
    <cellStyle name="Heading 1 2 9 2 18" xfId="26051"/>
    <cellStyle name="Heading 1 2 9 2 18 2" xfId="26052"/>
    <cellStyle name="Heading 1 2 9 2 18 2 2" xfId="26053"/>
    <cellStyle name="Heading 1 2 9 2 18 3" xfId="26054"/>
    <cellStyle name="Heading 1 2 9 2 19" xfId="26055"/>
    <cellStyle name="Heading 1 2 9 2 19 2" xfId="26056"/>
    <cellStyle name="Heading 1 2 9 2 19 2 2" xfId="26057"/>
    <cellStyle name="Heading 1 2 9 2 19 3" xfId="26058"/>
    <cellStyle name="Heading 1 2 9 2 2" xfId="26059"/>
    <cellStyle name="Heading 1 2 9 2 2 10" xfId="26060"/>
    <cellStyle name="Heading 1 2 9 2 2 10 2" xfId="26061"/>
    <cellStyle name="Heading 1 2 9 2 2 10 2 2" xfId="26062"/>
    <cellStyle name="Heading 1 2 9 2 2 10 3" xfId="26063"/>
    <cellStyle name="Heading 1 2 9 2 2 11" xfId="26064"/>
    <cellStyle name="Heading 1 2 9 2 2 11 2" xfId="26065"/>
    <cellStyle name="Heading 1 2 9 2 2 11 2 2" xfId="26066"/>
    <cellStyle name="Heading 1 2 9 2 2 11 3" xfId="26067"/>
    <cellStyle name="Heading 1 2 9 2 2 12" xfId="26068"/>
    <cellStyle name="Heading 1 2 9 2 2 12 2" xfId="26069"/>
    <cellStyle name="Heading 1 2 9 2 2 12 2 2" xfId="26070"/>
    <cellStyle name="Heading 1 2 9 2 2 12 3" xfId="26071"/>
    <cellStyle name="Heading 1 2 9 2 2 13" xfId="26072"/>
    <cellStyle name="Heading 1 2 9 2 2 13 2" xfId="26073"/>
    <cellStyle name="Heading 1 2 9 2 2 13 2 2" xfId="26074"/>
    <cellStyle name="Heading 1 2 9 2 2 13 3" xfId="26075"/>
    <cellStyle name="Heading 1 2 9 2 2 14" xfId="26076"/>
    <cellStyle name="Heading 1 2 9 2 2 14 2" xfId="26077"/>
    <cellStyle name="Heading 1 2 9 2 2 14 2 2" xfId="26078"/>
    <cellStyle name="Heading 1 2 9 2 2 14 3" xfId="26079"/>
    <cellStyle name="Heading 1 2 9 2 2 15" xfId="26080"/>
    <cellStyle name="Heading 1 2 9 2 2 15 2" xfId="26081"/>
    <cellStyle name="Heading 1 2 9 2 2 15 2 2" xfId="26082"/>
    <cellStyle name="Heading 1 2 9 2 2 15 3" xfId="26083"/>
    <cellStyle name="Heading 1 2 9 2 2 16" xfId="26084"/>
    <cellStyle name="Heading 1 2 9 2 2 16 2" xfId="26085"/>
    <cellStyle name="Heading 1 2 9 2 2 16 2 2" xfId="26086"/>
    <cellStyle name="Heading 1 2 9 2 2 16 3" xfId="26087"/>
    <cellStyle name="Heading 1 2 9 2 2 17" xfId="26088"/>
    <cellStyle name="Heading 1 2 9 2 2 17 2" xfId="26089"/>
    <cellStyle name="Heading 1 2 9 2 2 17 2 2" xfId="26090"/>
    <cellStyle name="Heading 1 2 9 2 2 17 3" xfId="26091"/>
    <cellStyle name="Heading 1 2 9 2 2 18" xfId="26092"/>
    <cellStyle name="Heading 1 2 9 2 2 18 2" xfId="26093"/>
    <cellStyle name="Heading 1 2 9 2 2 18 2 2" xfId="26094"/>
    <cellStyle name="Heading 1 2 9 2 2 18 3" xfId="26095"/>
    <cellStyle name="Heading 1 2 9 2 2 19" xfId="26096"/>
    <cellStyle name="Heading 1 2 9 2 2 19 2" xfId="26097"/>
    <cellStyle name="Heading 1 2 9 2 2 2" xfId="26098"/>
    <cellStyle name="Heading 1 2 9 2 2 2 2" xfId="26099"/>
    <cellStyle name="Heading 1 2 9 2 2 2 2 2" xfId="26100"/>
    <cellStyle name="Heading 1 2 9 2 2 2 2 2 2" xfId="26101"/>
    <cellStyle name="Heading 1 2 9 2 2 2 2 3" xfId="26102"/>
    <cellStyle name="Heading 1 2 9 2 2 2 3" xfId="26103"/>
    <cellStyle name="Heading 1 2 9 2 2 2 3 2" xfId="26104"/>
    <cellStyle name="Heading 1 2 9 2 2 2 3 2 2" xfId="26105"/>
    <cellStyle name="Heading 1 2 9 2 2 2 3 3" xfId="26106"/>
    <cellStyle name="Heading 1 2 9 2 2 2 4" xfId="26107"/>
    <cellStyle name="Heading 1 2 9 2 2 2 4 2" xfId="26108"/>
    <cellStyle name="Heading 1 2 9 2 2 2 4 2 2" xfId="26109"/>
    <cellStyle name="Heading 1 2 9 2 2 2 4 3" xfId="26110"/>
    <cellStyle name="Heading 1 2 9 2 2 2 5" xfId="26111"/>
    <cellStyle name="Heading 1 2 9 2 2 2 5 2" xfId="26112"/>
    <cellStyle name="Heading 1 2 9 2 2 2 5 2 2" xfId="26113"/>
    <cellStyle name="Heading 1 2 9 2 2 2 5 3" xfId="26114"/>
    <cellStyle name="Heading 1 2 9 2 2 2 6" xfId="26115"/>
    <cellStyle name="Heading 1 2 9 2 2 2 6 2" xfId="26116"/>
    <cellStyle name="Heading 1 2 9 2 2 2 6 2 2" xfId="26117"/>
    <cellStyle name="Heading 1 2 9 2 2 2 6 3" xfId="26118"/>
    <cellStyle name="Heading 1 2 9 2 2 2 7" xfId="26119"/>
    <cellStyle name="Heading 1 2 9 2 2 2 7 2" xfId="26120"/>
    <cellStyle name="Heading 1 2 9 2 2 2 7 2 2" xfId="26121"/>
    <cellStyle name="Heading 1 2 9 2 2 2 7 3" xfId="26122"/>
    <cellStyle name="Heading 1 2 9 2 2 2 8" xfId="26123"/>
    <cellStyle name="Heading 1 2 9 2 2 2 8 2" xfId="26124"/>
    <cellStyle name="Heading 1 2 9 2 2 2 9" xfId="26125"/>
    <cellStyle name="Heading 1 2 9 2 2 20" xfId="26126"/>
    <cellStyle name="Heading 1 2 9 2 2 20 2" xfId="26127"/>
    <cellStyle name="Heading 1 2 9 2 2 21" xfId="26128"/>
    <cellStyle name="Heading 1 2 9 2 2 21 2" xfId="26129"/>
    <cellStyle name="Heading 1 2 9 2 2 22" xfId="26130"/>
    <cellStyle name="Heading 1 2 9 2 2 3" xfId="26131"/>
    <cellStyle name="Heading 1 2 9 2 2 3 2" xfId="26132"/>
    <cellStyle name="Heading 1 2 9 2 2 3 2 2" xfId="26133"/>
    <cellStyle name="Heading 1 2 9 2 2 3 2 2 2" xfId="26134"/>
    <cellStyle name="Heading 1 2 9 2 2 3 2 3" xfId="26135"/>
    <cellStyle name="Heading 1 2 9 2 2 3 3" xfId="26136"/>
    <cellStyle name="Heading 1 2 9 2 2 3 3 2" xfId="26137"/>
    <cellStyle name="Heading 1 2 9 2 2 3 3 2 2" xfId="26138"/>
    <cellStyle name="Heading 1 2 9 2 2 3 3 3" xfId="26139"/>
    <cellStyle name="Heading 1 2 9 2 2 3 4" xfId="26140"/>
    <cellStyle name="Heading 1 2 9 2 2 3 4 2" xfId="26141"/>
    <cellStyle name="Heading 1 2 9 2 2 3 4 2 2" xfId="26142"/>
    <cellStyle name="Heading 1 2 9 2 2 3 4 3" xfId="26143"/>
    <cellStyle name="Heading 1 2 9 2 2 3 5" xfId="26144"/>
    <cellStyle name="Heading 1 2 9 2 2 3 5 2" xfId="26145"/>
    <cellStyle name="Heading 1 2 9 2 2 3 5 2 2" xfId="26146"/>
    <cellStyle name="Heading 1 2 9 2 2 3 5 3" xfId="26147"/>
    <cellStyle name="Heading 1 2 9 2 2 3 6" xfId="26148"/>
    <cellStyle name="Heading 1 2 9 2 2 3 6 2" xfId="26149"/>
    <cellStyle name="Heading 1 2 9 2 2 3 6 2 2" xfId="26150"/>
    <cellStyle name="Heading 1 2 9 2 2 3 6 3" xfId="26151"/>
    <cellStyle name="Heading 1 2 9 2 2 3 7" xfId="26152"/>
    <cellStyle name="Heading 1 2 9 2 2 3 7 2" xfId="26153"/>
    <cellStyle name="Heading 1 2 9 2 2 3 7 2 2" xfId="26154"/>
    <cellStyle name="Heading 1 2 9 2 2 3 7 3" xfId="26155"/>
    <cellStyle name="Heading 1 2 9 2 2 3 8" xfId="26156"/>
    <cellStyle name="Heading 1 2 9 2 2 3 8 2" xfId="26157"/>
    <cellStyle name="Heading 1 2 9 2 2 3 9" xfId="26158"/>
    <cellStyle name="Heading 1 2 9 2 2 4" xfId="26159"/>
    <cellStyle name="Heading 1 2 9 2 2 4 2" xfId="26160"/>
    <cellStyle name="Heading 1 2 9 2 2 4 2 2" xfId="26161"/>
    <cellStyle name="Heading 1 2 9 2 2 4 2 2 2" xfId="26162"/>
    <cellStyle name="Heading 1 2 9 2 2 4 2 3" xfId="26163"/>
    <cellStyle name="Heading 1 2 9 2 2 4 3" xfId="26164"/>
    <cellStyle name="Heading 1 2 9 2 2 4 3 2" xfId="26165"/>
    <cellStyle name="Heading 1 2 9 2 2 4 3 2 2" xfId="26166"/>
    <cellStyle name="Heading 1 2 9 2 2 4 3 3" xfId="26167"/>
    <cellStyle name="Heading 1 2 9 2 2 4 4" xfId="26168"/>
    <cellStyle name="Heading 1 2 9 2 2 4 4 2" xfId="26169"/>
    <cellStyle name="Heading 1 2 9 2 2 4 4 2 2" xfId="26170"/>
    <cellStyle name="Heading 1 2 9 2 2 4 4 3" xfId="26171"/>
    <cellStyle name="Heading 1 2 9 2 2 4 5" xfId="26172"/>
    <cellStyle name="Heading 1 2 9 2 2 4 5 2" xfId="26173"/>
    <cellStyle name="Heading 1 2 9 2 2 4 5 2 2" xfId="26174"/>
    <cellStyle name="Heading 1 2 9 2 2 4 5 3" xfId="26175"/>
    <cellStyle name="Heading 1 2 9 2 2 4 6" xfId="26176"/>
    <cellStyle name="Heading 1 2 9 2 2 4 6 2" xfId="26177"/>
    <cellStyle name="Heading 1 2 9 2 2 4 6 2 2" xfId="26178"/>
    <cellStyle name="Heading 1 2 9 2 2 4 6 3" xfId="26179"/>
    <cellStyle name="Heading 1 2 9 2 2 4 7" xfId="26180"/>
    <cellStyle name="Heading 1 2 9 2 2 4 7 2" xfId="26181"/>
    <cellStyle name="Heading 1 2 9 2 2 4 7 2 2" xfId="26182"/>
    <cellStyle name="Heading 1 2 9 2 2 4 7 3" xfId="26183"/>
    <cellStyle name="Heading 1 2 9 2 2 4 8" xfId="26184"/>
    <cellStyle name="Heading 1 2 9 2 2 4 8 2" xfId="26185"/>
    <cellStyle name="Heading 1 2 9 2 2 4 9" xfId="26186"/>
    <cellStyle name="Heading 1 2 9 2 2 5" xfId="26187"/>
    <cellStyle name="Heading 1 2 9 2 2 5 2" xfId="26188"/>
    <cellStyle name="Heading 1 2 9 2 2 5 2 2" xfId="26189"/>
    <cellStyle name="Heading 1 2 9 2 2 5 2 2 2" xfId="26190"/>
    <cellStyle name="Heading 1 2 9 2 2 5 2 3" xfId="26191"/>
    <cellStyle name="Heading 1 2 9 2 2 5 3" xfId="26192"/>
    <cellStyle name="Heading 1 2 9 2 2 5 3 2" xfId="26193"/>
    <cellStyle name="Heading 1 2 9 2 2 5 3 2 2" xfId="26194"/>
    <cellStyle name="Heading 1 2 9 2 2 5 3 3" xfId="26195"/>
    <cellStyle name="Heading 1 2 9 2 2 5 4" xfId="26196"/>
    <cellStyle name="Heading 1 2 9 2 2 5 4 2" xfId="26197"/>
    <cellStyle name="Heading 1 2 9 2 2 5 4 2 2" xfId="26198"/>
    <cellStyle name="Heading 1 2 9 2 2 5 4 3" xfId="26199"/>
    <cellStyle name="Heading 1 2 9 2 2 5 5" xfId="26200"/>
    <cellStyle name="Heading 1 2 9 2 2 5 5 2" xfId="26201"/>
    <cellStyle name="Heading 1 2 9 2 2 5 5 2 2" xfId="26202"/>
    <cellStyle name="Heading 1 2 9 2 2 5 5 3" xfId="26203"/>
    <cellStyle name="Heading 1 2 9 2 2 5 6" xfId="26204"/>
    <cellStyle name="Heading 1 2 9 2 2 5 6 2" xfId="26205"/>
    <cellStyle name="Heading 1 2 9 2 2 5 6 2 2" xfId="26206"/>
    <cellStyle name="Heading 1 2 9 2 2 5 6 3" xfId="26207"/>
    <cellStyle name="Heading 1 2 9 2 2 5 7" xfId="26208"/>
    <cellStyle name="Heading 1 2 9 2 2 5 7 2" xfId="26209"/>
    <cellStyle name="Heading 1 2 9 2 2 5 7 2 2" xfId="26210"/>
    <cellStyle name="Heading 1 2 9 2 2 5 7 3" xfId="26211"/>
    <cellStyle name="Heading 1 2 9 2 2 5 8" xfId="26212"/>
    <cellStyle name="Heading 1 2 9 2 2 5 8 2" xfId="26213"/>
    <cellStyle name="Heading 1 2 9 2 2 5 9" xfId="26214"/>
    <cellStyle name="Heading 1 2 9 2 2 6" xfId="26215"/>
    <cellStyle name="Heading 1 2 9 2 2 6 2" xfId="26216"/>
    <cellStyle name="Heading 1 2 9 2 2 6 2 2" xfId="26217"/>
    <cellStyle name="Heading 1 2 9 2 2 6 2 2 2" xfId="26218"/>
    <cellStyle name="Heading 1 2 9 2 2 6 2 3" xfId="26219"/>
    <cellStyle name="Heading 1 2 9 2 2 6 3" xfId="26220"/>
    <cellStyle name="Heading 1 2 9 2 2 6 3 2" xfId="26221"/>
    <cellStyle name="Heading 1 2 9 2 2 6 3 2 2" xfId="26222"/>
    <cellStyle name="Heading 1 2 9 2 2 6 3 3" xfId="26223"/>
    <cellStyle name="Heading 1 2 9 2 2 6 4" xfId="26224"/>
    <cellStyle name="Heading 1 2 9 2 2 6 4 2" xfId="26225"/>
    <cellStyle name="Heading 1 2 9 2 2 6 4 2 2" xfId="26226"/>
    <cellStyle name="Heading 1 2 9 2 2 6 4 3" xfId="26227"/>
    <cellStyle name="Heading 1 2 9 2 2 6 5" xfId="26228"/>
    <cellStyle name="Heading 1 2 9 2 2 6 5 2" xfId="26229"/>
    <cellStyle name="Heading 1 2 9 2 2 6 5 2 2" xfId="26230"/>
    <cellStyle name="Heading 1 2 9 2 2 6 5 3" xfId="26231"/>
    <cellStyle name="Heading 1 2 9 2 2 6 6" xfId="26232"/>
    <cellStyle name="Heading 1 2 9 2 2 6 6 2" xfId="26233"/>
    <cellStyle name="Heading 1 2 9 2 2 6 6 2 2" xfId="26234"/>
    <cellStyle name="Heading 1 2 9 2 2 6 6 3" xfId="26235"/>
    <cellStyle name="Heading 1 2 9 2 2 6 7" xfId="26236"/>
    <cellStyle name="Heading 1 2 9 2 2 6 7 2" xfId="26237"/>
    <cellStyle name="Heading 1 2 9 2 2 6 7 2 2" xfId="26238"/>
    <cellStyle name="Heading 1 2 9 2 2 6 7 3" xfId="26239"/>
    <cellStyle name="Heading 1 2 9 2 2 6 8" xfId="26240"/>
    <cellStyle name="Heading 1 2 9 2 2 6 8 2" xfId="26241"/>
    <cellStyle name="Heading 1 2 9 2 2 6 9" xfId="26242"/>
    <cellStyle name="Heading 1 2 9 2 2 7" xfId="26243"/>
    <cellStyle name="Heading 1 2 9 2 2 7 2" xfId="26244"/>
    <cellStyle name="Heading 1 2 9 2 2 7 2 2" xfId="26245"/>
    <cellStyle name="Heading 1 2 9 2 2 7 2 2 2" xfId="26246"/>
    <cellStyle name="Heading 1 2 9 2 2 7 2 3" xfId="26247"/>
    <cellStyle name="Heading 1 2 9 2 2 7 3" xfId="26248"/>
    <cellStyle name="Heading 1 2 9 2 2 7 3 2" xfId="26249"/>
    <cellStyle name="Heading 1 2 9 2 2 7 3 2 2" xfId="26250"/>
    <cellStyle name="Heading 1 2 9 2 2 7 3 3" xfId="26251"/>
    <cellStyle name="Heading 1 2 9 2 2 7 4" xfId="26252"/>
    <cellStyle name="Heading 1 2 9 2 2 7 4 2" xfId="26253"/>
    <cellStyle name="Heading 1 2 9 2 2 7 4 2 2" xfId="26254"/>
    <cellStyle name="Heading 1 2 9 2 2 7 4 3" xfId="26255"/>
    <cellStyle name="Heading 1 2 9 2 2 7 5" xfId="26256"/>
    <cellStyle name="Heading 1 2 9 2 2 7 5 2" xfId="26257"/>
    <cellStyle name="Heading 1 2 9 2 2 7 5 2 2" xfId="26258"/>
    <cellStyle name="Heading 1 2 9 2 2 7 5 3" xfId="26259"/>
    <cellStyle name="Heading 1 2 9 2 2 7 6" xfId="26260"/>
    <cellStyle name="Heading 1 2 9 2 2 7 6 2" xfId="26261"/>
    <cellStyle name="Heading 1 2 9 2 2 7 6 2 2" xfId="26262"/>
    <cellStyle name="Heading 1 2 9 2 2 7 6 3" xfId="26263"/>
    <cellStyle name="Heading 1 2 9 2 2 7 7" xfId="26264"/>
    <cellStyle name="Heading 1 2 9 2 2 7 7 2" xfId="26265"/>
    <cellStyle name="Heading 1 2 9 2 2 7 7 2 2" xfId="26266"/>
    <cellStyle name="Heading 1 2 9 2 2 7 7 3" xfId="26267"/>
    <cellStyle name="Heading 1 2 9 2 2 7 8" xfId="26268"/>
    <cellStyle name="Heading 1 2 9 2 2 7 8 2" xfId="26269"/>
    <cellStyle name="Heading 1 2 9 2 2 7 9" xfId="26270"/>
    <cellStyle name="Heading 1 2 9 2 2 8" xfId="26271"/>
    <cellStyle name="Heading 1 2 9 2 2 8 2" xfId="26272"/>
    <cellStyle name="Heading 1 2 9 2 2 8 2 2" xfId="26273"/>
    <cellStyle name="Heading 1 2 9 2 2 8 2 2 2" xfId="26274"/>
    <cellStyle name="Heading 1 2 9 2 2 8 2 3" xfId="26275"/>
    <cellStyle name="Heading 1 2 9 2 2 8 3" xfId="26276"/>
    <cellStyle name="Heading 1 2 9 2 2 8 3 2" xfId="26277"/>
    <cellStyle name="Heading 1 2 9 2 2 8 3 2 2" xfId="26278"/>
    <cellStyle name="Heading 1 2 9 2 2 8 3 3" xfId="26279"/>
    <cellStyle name="Heading 1 2 9 2 2 8 4" xfId="26280"/>
    <cellStyle name="Heading 1 2 9 2 2 8 4 2" xfId="26281"/>
    <cellStyle name="Heading 1 2 9 2 2 8 4 2 2" xfId="26282"/>
    <cellStyle name="Heading 1 2 9 2 2 8 4 3" xfId="26283"/>
    <cellStyle name="Heading 1 2 9 2 2 8 5" xfId="26284"/>
    <cellStyle name="Heading 1 2 9 2 2 8 5 2" xfId="26285"/>
    <cellStyle name="Heading 1 2 9 2 2 8 5 2 2" xfId="26286"/>
    <cellStyle name="Heading 1 2 9 2 2 8 5 3" xfId="26287"/>
    <cellStyle name="Heading 1 2 9 2 2 8 6" xfId="26288"/>
    <cellStyle name="Heading 1 2 9 2 2 8 6 2" xfId="26289"/>
    <cellStyle name="Heading 1 2 9 2 2 8 6 2 2" xfId="26290"/>
    <cellStyle name="Heading 1 2 9 2 2 8 6 3" xfId="26291"/>
    <cellStyle name="Heading 1 2 9 2 2 8 7" xfId="26292"/>
    <cellStyle name="Heading 1 2 9 2 2 8 7 2" xfId="26293"/>
    <cellStyle name="Heading 1 2 9 2 2 8 7 2 2" xfId="26294"/>
    <cellStyle name="Heading 1 2 9 2 2 8 7 3" xfId="26295"/>
    <cellStyle name="Heading 1 2 9 2 2 8 8" xfId="26296"/>
    <cellStyle name="Heading 1 2 9 2 2 8 8 2" xfId="26297"/>
    <cellStyle name="Heading 1 2 9 2 2 8 9" xfId="26298"/>
    <cellStyle name="Heading 1 2 9 2 2 9" xfId="26299"/>
    <cellStyle name="Heading 1 2 9 2 2 9 2" xfId="26300"/>
    <cellStyle name="Heading 1 2 9 2 2 9 2 2" xfId="26301"/>
    <cellStyle name="Heading 1 2 9 2 2 9 3" xfId="26302"/>
    <cellStyle name="Heading 1 2 9 2 20" xfId="26303"/>
    <cellStyle name="Heading 1 2 9 2 20 2" xfId="26304"/>
    <cellStyle name="Heading 1 2 9 2 21" xfId="26305"/>
    <cellStyle name="Heading 1 2 9 2 21 2" xfId="26306"/>
    <cellStyle name="Heading 1 2 9 2 22" xfId="26307"/>
    <cellStyle name="Heading 1 2 9 2 22 2" xfId="26308"/>
    <cellStyle name="Heading 1 2 9 2 23" xfId="26309"/>
    <cellStyle name="Heading 1 2 9 2 3" xfId="26310"/>
    <cellStyle name="Heading 1 2 9 2 3 2" xfId="26311"/>
    <cellStyle name="Heading 1 2 9 2 3 2 2" xfId="26312"/>
    <cellStyle name="Heading 1 2 9 2 3 2 2 2" xfId="26313"/>
    <cellStyle name="Heading 1 2 9 2 3 2 3" xfId="26314"/>
    <cellStyle name="Heading 1 2 9 2 3 3" xfId="26315"/>
    <cellStyle name="Heading 1 2 9 2 3 3 2" xfId="26316"/>
    <cellStyle name="Heading 1 2 9 2 3 3 2 2" xfId="26317"/>
    <cellStyle name="Heading 1 2 9 2 3 3 3" xfId="26318"/>
    <cellStyle name="Heading 1 2 9 2 3 4" xfId="26319"/>
    <cellStyle name="Heading 1 2 9 2 3 4 2" xfId="26320"/>
    <cellStyle name="Heading 1 2 9 2 3 4 2 2" xfId="26321"/>
    <cellStyle name="Heading 1 2 9 2 3 4 3" xfId="26322"/>
    <cellStyle name="Heading 1 2 9 2 3 5" xfId="26323"/>
    <cellStyle name="Heading 1 2 9 2 3 5 2" xfId="26324"/>
    <cellStyle name="Heading 1 2 9 2 3 5 2 2" xfId="26325"/>
    <cellStyle name="Heading 1 2 9 2 3 5 3" xfId="26326"/>
    <cellStyle name="Heading 1 2 9 2 3 6" xfId="26327"/>
    <cellStyle name="Heading 1 2 9 2 3 6 2" xfId="26328"/>
    <cellStyle name="Heading 1 2 9 2 3 6 2 2" xfId="26329"/>
    <cellStyle name="Heading 1 2 9 2 3 6 3" xfId="26330"/>
    <cellStyle name="Heading 1 2 9 2 3 7" xfId="26331"/>
    <cellStyle name="Heading 1 2 9 2 3 7 2" xfId="26332"/>
    <cellStyle name="Heading 1 2 9 2 3 7 2 2" xfId="26333"/>
    <cellStyle name="Heading 1 2 9 2 3 7 3" xfId="26334"/>
    <cellStyle name="Heading 1 2 9 2 3 8" xfId="26335"/>
    <cellStyle name="Heading 1 2 9 2 3 8 2" xfId="26336"/>
    <cellStyle name="Heading 1 2 9 2 3 9" xfId="26337"/>
    <cellStyle name="Heading 1 2 9 2 4" xfId="26338"/>
    <cellStyle name="Heading 1 2 9 2 4 2" xfId="26339"/>
    <cellStyle name="Heading 1 2 9 2 4 2 2" xfId="26340"/>
    <cellStyle name="Heading 1 2 9 2 4 2 2 2" xfId="26341"/>
    <cellStyle name="Heading 1 2 9 2 4 2 3" xfId="26342"/>
    <cellStyle name="Heading 1 2 9 2 4 3" xfId="26343"/>
    <cellStyle name="Heading 1 2 9 2 4 3 2" xfId="26344"/>
    <cellStyle name="Heading 1 2 9 2 4 3 2 2" xfId="26345"/>
    <cellStyle name="Heading 1 2 9 2 4 3 3" xfId="26346"/>
    <cellStyle name="Heading 1 2 9 2 4 4" xfId="26347"/>
    <cellStyle name="Heading 1 2 9 2 4 4 2" xfId="26348"/>
    <cellStyle name="Heading 1 2 9 2 4 4 2 2" xfId="26349"/>
    <cellStyle name="Heading 1 2 9 2 4 4 3" xfId="26350"/>
    <cellStyle name="Heading 1 2 9 2 4 5" xfId="26351"/>
    <cellStyle name="Heading 1 2 9 2 4 5 2" xfId="26352"/>
    <cellStyle name="Heading 1 2 9 2 4 5 2 2" xfId="26353"/>
    <cellStyle name="Heading 1 2 9 2 4 5 3" xfId="26354"/>
    <cellStyle name="Heading 1 2 9 2 4 6" xfId="26355"/>
    <cellStyle name="Heading 1 2 9 2 4 6 2" xfId="26356"/>
    <cellStyle name="Heading 1 2 9 2 4 6 2 2" xfId="26357"/>
    <cellStyle name="Heading 1 2 9 2 4 6 3" xfId="26358"/>
    <cellStyle name="Heading 1 2 9 2 4 7" xfId="26359"/>
    <cellStyle name="Heading 1 2 9 2 4 7 2" xfId="26360"/>
    <cellStyle name="Heading 1 2 9 2 4 7 2 2" xfId="26361"/>
    <cellStyle name="Heading 1 2 9 2 4 7 3" xfId="26362"/>
    <cellStyle name="Heading 1 2 9 2 4 8" xfId="26363"/>
    <cellStyle name="Heading 1 2 9 2 4 8 2" xfId="26364"/>
    <cellStyle name="Heading 1 2 9 2 4 9" xfId="26365"/>
    <cellStyle name="Heading 1 2 9 2 5" xfId="26366"/>
    <cellStyle name="Heading 1 2 9 2 5 2" xfId="26367"/>
    <cellStyle name="Heading 1 2 9 2 5 2 2" xfId="26368"/>
    <cellStyle name="Heading 1 2 9 2 5 2 2 2" xfId="26369"/>
    <cellStyle name="Heading 1 2 9 2 5 2 3" xfId="26370"/>
    <cellStyle name="Heading 1 2 9 2 5 3" xfId="26371"/>
    <cellStyle name="Heading 1 2 9 2 5 3 2" xfId="26372"/>
    <cellStyle name="Heading 1 2 9 2 5 3 2 2" xfId="26373"/>
    <cellStyle name="Heading 1 2 9 2 5 3 3" xfId="26374"/>
    <cellStyle name="Heading 1 2 9 2 5 4" xfId="26375"/>
    <cellStyle name="Heading 1 2 9 2 5 4 2" xfId="26376"/>
    <cellStyle name="Heading 1 2 9 2 5 4 2 2" xfId="26377"/>
    <cellStyle name="Heading 1 2 9 2 5 4 3" xfId="26378"/>
    <cellStyle name="Heading 1 2 9 2 5 5" xfId="26379"/>
    <cellStyle name="Heading 1 2 9 2 5 5 2" xfId="26380"/>
    <cellStyle name="Heading 1 2 9 2 5 5 2 2" xfId="26381"/>
    <cellStyle name="Heading 1 2 9 2 5 5 3" xfId="26382"/>
    <cellStyle name="Heading 1 2 9 2 5 6" xfId="26383"/>
    <cellStyle name="Heading 1 2 9 2 5 6 2" xfId="26384"/>
    <cellStyle name="Heading 1 2 9 2 5 6 2 2" xfId="26385"/>
    <cellStyle name="Heading 1 2 9 2 5 6 3" xfId="26386"/>
    <cellStyle name="Heading 1 2 9 2 5 7" xfId="26387"/>
    <cellStyle name="Heading 1 2 9 2 5 7 2" xfId="26388"/>
    <cellStyle name="Heading 1 2 9 2 5 7 2 2" xfId="26389"/>
    <cellStyle name="Heading 1 2 9 2 5 7 3" xfId="26390"/>
    <cellStyle name="Heading 1 2 9 2 5 8" xfId="26391"/>
    <cellStyle name="Heading 1 2 9 2 5 8 2" xfId="26392"/>
    <cellStyle name="Heading 1 2 9 2 5 9" xfId="26393"/>
    <cellStyle name="Heading 1 2 9 2 6" xfId="26394"/>
    <cellStyle name="Heading 1 2 9 2 6 2" xfId="26395"/>
    <cellStyle name="Heading 1 2 9 2 6 2 2" xfId="26396"/>
    <cellStyle name="Heading 1 2 9 2 6 2 2 2" xfId="26397"/>
    <cellStyle name="Heading 1 2 9 2 6 2 3" xfId="26398"/>
    <cellStyle name="Heading 1 2 9 2 6 3" xfId="26399"/>
    <cellStyle name="Heading 1 2 9 2 6 3 2" xfId="26400"/>
    <cellStyle name="Heading 1 2 9 2 6 3 2 2" xfId="26401"/>
    <cellStyle name="Heading 1 2 9 2 6 3 3" xfId="26402"/>
    <cellStyle name="Heading 1 2 9 2 6 4" xfId="26403"/>
    <cellStyle name="Heading 1 2 9 2 6 4 2" xfId="26404"/>
    <cellStyle name="Heading 1 2 9 2 6 4 2 2" xfId="26405"/>
    <cellStyle name="Heading 1 2 9 2 6 4 3" xfId="26406"/>
    <cellStyle name="Heading 1 2 9 2 6 5" xfId="26407"/>
    <cellStyle name="Heading 1 2 9 2 6 5 2" xfId="26408"/>
    <cellStyle name="Heading 1 2 9 2 6 5 2 2" xfId="26409"/>
    <cellStyle name="Heading 1 2 9 2 6 5 3" xfId="26410"/>
    <cellStyle name="Heading 1 2 9 2 6 6" xfId="26411"/>
    <cellStyle name="Heading 1 2 9 2 6 6 2" xfId="26412"/>
    <cellStyle name="Heading 1 2 9 2 6 6 2 2" xfId="26413"/>
    <cellStyle name="Heading 1 2 9 2 6 6 3" xfId="26414"/>
    <cellStyle name="Heading 1 2 9 2 6 7" xfId="26415"/>
    <cellStyle name="Heading 1 2 9 2 6 7 2" xfId="26416"/>
    <cellStyle name="Heading 1 2 9 2 6 7 2 2" xfId="26417"/>
    <cellStyle name="Heading 1 2 9 2 6 7 3" xfId="26418"/>
    <cellStyle name="Heading 1 2 9 2 6 8" xfId="26419"/>
    <cellStyle name="Heading 1 2 9 2 6 8 2" xfId="26420"/>
    <cellStyle name="Heading 1 2 9 2 6 9" xfId="26421"/>
    <cellStyle name="Heading 1 2 9 2 7" xfId="26422"/>
    <cellStyle name="Heading 1 2 9 2 7 2" xfId="26423"/>
    <cellStyle name="Heading 1 2 9 2 7 2 2" xfId="26424"/>
    <cellStyle name="Heading 1 2 9 2 7 2 2 2" xfId="26425"/>
    <cellStyle name="Heading 1 2 9 2 7 2 3" xfId="26426"/>
    <cellStyle name="Heading 1 2 9 2 7 3" xfId="26427"/>
    <cellStyle name="Heading 1 2 9 2 7 3 2" xfId="26428"/>
    <cellStyle name="Heading 1 2 9 2 7 3 2 2" xfId="26429"/>
    <cellStyle name="Heading 1 2 9 2 7 3 3" xfId="26430"/>
    <cellStyle name="Heading 1 2 9 2 7 4" xfId="26431"/>
    <cellStyle name="Heading 1 2 9 2 7 4 2" xfId="26432"/>
    <cellStyle name="Heading 1 2 9 2 7 4 2 2" xfId="26433"/>
    <cellStyle name="Heading 1 2 9 2 7 4 3" xfId="26434"/>
    <cellStyle name="Heading 1 2 9 2 7 5" xfId="26435"/>
    <cellStyle name="Heading 1 2 9 2 7 5 2" xfId="26436"/>
    <cellStyle name="Heading 1 2 9 2 7 5 2 2" xfId="26437"/>
    <cellStyle name="Heading 1 2 9 2 7 5 3" xfId="26438"/>
    <cellStyle name="Heading 1 2 9 2 7 6" xfId="26439"/>
    <cellStyle name="Heading 1 2 9 2 7 6 2" xfId="26440"/>
    <cellStyle name="Heading 1 2 9 2 7 6 2 2" xfId="26441"/>
    <cellStyle name="Heading 1 2 9 2 7 6 3" xfId="26442"/>
    <cellStyle name="Heading 1 2 9 2 7 7" xfId="26443"/>
    <cellStyle name="Heading 1 2 9 2 7 7 2" xfId="26444"/>
    <cellStyle name="Heading 1 2 9 2 7 7 2 2" xfId="26445"/>
    <cellStyle name="Heading 1 2 9 2 7 7 3" xfId="26446"/>
    <cellStyle name="Heading 1 2 9 2 7 8" xfId="26447"/>
    <cellStyle name="Heading 1 2 9 2 7 8 2" xfId="26448"/>
    <cellStyle name="Heading 1 2 9 2 7 9" xfId="26449"/>
    <cellStyle name="Heading 1 2 9 2 8" xfId="26450"/>
    <cellStyle name="Heading 1 2 9 2 8 2" xfId="26451"/>
    <cellStyle name="Heading 1 2 9 2 8 2 2" xfId="26452"/>
    <cellStyle name="Heading 1 2 9 2 8 2 2 2" xfId="26453"/>
    <cellStyle name="Heading 1 2 9 2 8 2 3" xfId="26454"/>
    <cellStyle name="Heading 1 2 9 2 8 3" xfId="26455"/>
    <cellStyle name="Heading 1 2 9 2 8 3 2" xfId="26456"/>
    <cellStyle name="Heading 1 2 9 2 8 3 2 2" xfId="26457"/>
    <cellStyle name="Heading 1 2 9 2 8 3 3" xfId="26458"/>
    <cellStyle name="Heading 1 2 9 2 8 4" xfId="26459"/>
    <cellStyle name="Heading 1 2 9 2 8 4 2" xfId="26460"/>
    <cellStyle name="Heading 1 2 9 2 8 4 2 2" xfId="26461"/>
    <cellStyle name="Heading 1 2 9 2 8 4 3" xfId="26462"/>
    <cellStyle name="Heading 1 2 9 2 8 5" xfId="26463"/>
    <cellStyle name="Heading 1 2 9 2 8 5 2" xfId="26464"/>
    <cellStyle name="Heading 1 2 9 2 8 5 2 2" xfId="26465"/>
    <cellStyle name="Heading 1 2 9 2 8 5 3" xfId="26466"/>
    <cellStyle name="Heading 1 2 9 2 8 6" xfId="26467"/>
    <cellStyle name="Heading 1 2 9 2 8 6 2" xfId="26468"/>
    <cellStyle name="Heading 1 2 9 2 8 6 2 2" xfId="26469"/>
    <cellStyle name="Heading 1 2 9 2 8 6 3" xfId="26470"/>
    <cellStyle name="Heading 1 2 9 2 8 7" xfId="26471"/>
    <cellStyle name="Heading 1 2 9 2 8 7 2" xfId="26472"/>
    <cellStyle name="Heading 1 2 9 2 8 7 2 2" xfId="26473"/>
    <cellStyle name="Heading 1 2 9 2 8 7 3" xfId="26474"/>
    <cellStyle name="Heading 1 2 9 2 8 8" xfId="26475"/>
    <cellStyle name="Heading 1 2 9 2 8 8 2" xfId="26476"/>
    <cellStyle name="Heading 1 2 9 2 8 9" xfId="26477"/>
    <cellStyle name="Heading 1 2 9 2 9" xfId="26478"/>
    <cellStyle name="Heading 1 2 9 2 9 2" xfId="26479"/>
    <cellStyle name="Heading 1 2 9 2 9 2 2" xfId="26480"/>
    <cellStyle name="Heading 1 2 9 2 9 2 2 2" xfId="26481"/>
    <cellStyle name="Heading 1 2 9 2 9 2 3" xfId="26482"/>
    <cellStyle name="Heading 1 2 9 2 9 3" xfId="26483"/>
    <cellStyle name="Heading 1 2 9 2 9 3 2" xfId="26484"/>
    <cellStyle name="Heading 1 2 9 2 9 3 2 2" xfId="26485"/>
    <cellStyle name="Heading 1 2 9 2 9 3 3" xfId="26486"/>
    <cellStyle name="Heading 1 2 9 2 9 4" xfId="26487"/>
    <cellStyle name="Heading 1 2 9 2 9 4 2" xfId="26488"/>
    <cellStyle name="Heading 1 2 9 2 9 4 2 2" xfId="26489"/>
    <cellStyle name="Heading 1 2 9 2 9 4 3" xfId="26490"/>
    <cellStyle name="Heading 1 2 9 2 9 5" xfId="26491"/>
    <cellStyle name="Heading 1 2 9 2 9 5 2" xfId="26492"/>
    <cellStyle name="Heading 1 2 9 2 9 5 2 2" xfId="26493"/>
    <cellStyle name="Heading 1 2 9 2 9 5 3" xfId="26494"/>
    <cellStyle name="Heading 1 2 9 2 9 6" xfId="26495"/>
    <cellStyle name="Heading 1 2 9 2 9 6 2" xfId="26496"/>
    <cellStyle name="Heading 1 2 9 2 9 6 2 2" xfId="26497"/>
    <cellStyle name="Heading 1 2 9 2 9 6 3" xfId="26498"/>
    <cellStyle name="Heading 1 2 9 2 9 7" xfId="26499"/>
    <cellStyle name="Heading 1 2 9 2 9 7 2" xfId="26500"/>
    <cellStyle name="Heading 1 2 9 2 9 7 2 2" xfId="26501"/>
    <cellStyle name="Heading 1 2 9 2 9 7 3" xfId="26502"/>
    <cellStyle name="Heading 1 2 9 2 9 8" xfId="26503"/>
    <cellStyle name="Heading 1 2 9 2 9 8 2" xfId="26504"/>
    <cellStyle name="Heading 1 2 9 2 9 9" xfId="26505"/>
    <cellStyle name="Heading 1 2 9 3" xfId="26506"/>
    <cellStyle name="Heading 1 2 9 3 10" xfId="26507"/>
    <cellStyle name="Heading 1 2 9 3 10 2" xfId="26508"/>
    <cellStyle name="Heading 1 2 9 3 10 2 2" xfId="26509"/>
    <cellStyle name="Heading 1 2 9 3 10 3" xfId="26510"/>
    <cellStyle name="Heading 1 2 9 3 11" xfId="26511"/>
    <cellStyle name="Heading 1 2 9 3 11 2" xfId="26512"/>
    <cellStyle name="Heading 1 2 9 3 11 2 2" xfId="26513"/>
    <cellStyle name="Heading 1 2 9 3 11 3" xfId="26514"/>
    <cellStyle name="Heading 1 2 9 3 12" xfId="26515"/>
    <cellStyle name="Heading 1 2 9 3 12 2" xfId="26516"/>
    <cellStyle name="Heading 1 2 9 3 12 2 2" xfId="26517"/>
    <cellStyle name="Heading 1 2 9 3 12 3" xfId="26518"/>
    <cellStyle name="Heading 1 2 9 3 13" xfId="26519"/>
    <cellStyle name="Heading 1 2 9 3 13 2" xfId="26520"/>
    <cellStyle name="Heading 1 2 9 3 13 2 2" xfId="26521"/>
    <cellStyle name="Heading 1 2 9 3 13 3" xfId="26522"/>
    <cellStyle name="Heading 1 2 9 3 14" xfId="26523"/>
    <cellStyle name="Heading 1 2 9 3 14 2" xfId="26524"/>
    <cellStyle name="Heading 1 2 9 3 14 2 2" xfId="26525"/>
    <cellStyle name="Heading 1 2 9 3 14 3" xfId="26526"/>
    <cellStyle name="Heading 1 2 9 3 15" xfId="26527"/>
    <cellStyle name="Heading 1 2 9 3 15 2" xfId="26528"/>
    <cellStyle name="Heading 1 2 9 3 15 2 2" xfId="26529"/>
    <cellStyle name="Heading 1 2 9 3 15 3" xfId="26530"/>
    <cellStyle name="Heading 1 2 9 3 16" xfId="26531"/>
    <cellStyle name="Heading 1 2 9 3 16 2" xfId="26532"/>
    <cellStyle name="Heading 1 2 9 3 16 2 2" xfId="26533"/>
    <cellStyle name="Heading 1 2 9 3 16 3" xfId="26534"/>
    <cellStyle name="Heading 1 2 9 3 17" xfId="26535"/>
    <cellStyle name="Heading 1 2 9 3 17 2" xfId="26536"/>
    <cellStyle name="Heading 1 2 9 3 17 2 2" xfId="26537"/>
    <cellStyle name="Heading 1 2 9 3 17 3" xfId="26538"/>
    <cellStyle name="Heading 1 2 9 3 18" xfId="26539"/>
    <cellStyle name="Heading 1 2 9 3 18 2" xfId="26540"/>
    <cellStyle name="Heading 1 2 9 3 18 2 2" xfId="26541"/>
    <cellStyle name="Heading 1 2 9 3 18 3" xfId="26542"/>
    <cellStyle name="Heading 1 2 9 3 19" xfId="26543"/>
    <cellStyle name="Heading 1 2 9 3 19 2" xfId="26544"/>
    <cellStyle name="Heading 1 2 9 3 2" xfId="26545"/>
    <cellStyle name="Heading 1 2 9 3 2 2" xfId="26546"/>
    <cellStyle name="Heading 1 2 9 3 2 2 2" xfId="26547"/>
    <cellStyle name="Heading 1 2 9 3 2 2 2 2" xfId="26548"/>
    <cellStyle name="Heading 1 2 9 3 2 2 3" xfId="26549"/>
    <cellStyle name="Heading 1 2 9 3 2 3" xfId="26550"/>
    <cellStyle name="Heading 1 2 9 3 2 3 2" xfId="26551"/>
    <cellStyle name="Heading 1 2 9 3 2 3 2 2" xfId="26552"/>
    <cellStyle name="Heading 1 2 9 3 2 3 3" xfId="26553"/>
    <cellStyle name="Heading 1 2 9 3 2 4" xfId="26554"/>
    <cellStyle name="Heading 1 2 9 3 2 4 2" xfId="26555"/>
    <cellStyle name="Heading 1 2 9 3 2 4 2 2" xfId="26556"/>
    <cellStyle name="Heading 1 2 9 3 2 4 3" xfId="26557"/>
    <cellStyle name="Heading 1 2 9 3 2 5" xfId="26558"/>
    <cellStyle name="Heading 1 2 9 3 2 5 2" xfId="26559"/>
    <cellStyle name="Heading 1 2 9 3 2 5 2 2" xfId="26560"/>
    <cellStyle name="Heading 1 2 9 3 2 5 3" xfId="26561"/>
    <cellStyle name="Heading 1 2 9 3 2 6" xfId="26562"/>
    <cellStyle name="Heading 1 2 9 3 2 6 2" xfId="26563"/>
    <cellStyle name="Heading 1 2 9 3 2 6 2 2" xfId="26564"/>
    <cellStyle name="Heading 1 2 9 3 2 6 3" xfId="26565"/>
    <cellStyle name="Heading 1 2 9 3 2 7" xfId="26566"/>
    <cellStyle name="Heading 1 2 9 3 2 7 2" xfId="26567"/>
    <cellStyle name="Heading 1 2 9 3 2 7 2 2" xfId="26568"/>
    <cellStyle name="Heading 1 2 9 3 2 7 3" xfId="26569"/>
    <cellStyle name="Heading 1 2 9 3 2 8" xfId="26570"/>
    <cellStyle name="Heading 1 2 9 3 2 8 2" xfId="26571"/>
    <cellStyle name="Heading 1 2 9 3 2 9" xfId="26572"/>
    <cellStyle name="Heading 1 2 9 3 20" xfId="26573"/>
    <cellStyle name="Heading 1 2 9 3 20 2" xfId="26574"/>
    <cellStyle name="Heading 1 2 9 3 21" xfId="26575"/>
    <cellStyle name="Heading 1 2 9 3 21 2" xfId="26576"/>
    <cellStyle name="Heading 1 2 9 3 22" xfId="26577"/>
    <cellStyle name="Heading 1 2 9 3 3" xfId="26578"/>
    <cellStyle name="Heading 1 2 9 3 3 2" xfId="26579"/>
    <cellStyle name="Heading 1 2 9 3 3 2 2" xfId="26580"/>
    <cellStyle name="Heading 1 2 9 3 3 2 2 2" xfId="26581"/>
    <cellStyle name="Heading 1 2 9 3 3 2 3" xfId="26582"/>
    <cellStyle name="Heading 1 2 9 3 3 3" xfId="26583"/>
    <cellStyle name="Heading 1 2 9 3 3 3 2" xfId="26584"/>
    <cellStyle name="Heading 1 2 9 3 3 3 2 2" xfId="26585"/>
    <cellStyle name="Heading 1 2 9 3 3 3 3" xfId="26586"/>
    <cellStyle name="Heading 1 2 9 3 3 4" xfId="26587"/>
    <cellStyle name="Heading 1 2 9 3 3 4 2" xfId="26588"/>
    <cellStyle name="Heading 1 2 9 3 3 4 2 2" xfId="26589"/>
    <cellStyle name="Heading 1 2 9 3 3 4 3" xfId="26590"/>
    <cellStyle name="Heading 1 2 9 3 3 5" xfId="26591"/>
    <cellStyle name="Heading 1 2 9 3 3 5 2" xfId="26592"/>
    <cellStyle name="Heading 1 2 9 3 3 5 2 2" xfId="26593"/>
    <cellStyle name="Heading 1 2 9 3 3 5 3" xfId="26594"/>
    <cellStyle name="Heading 1 2 9 3 3 6" xfId="26595"/>
    <cellStyle name="Heading 1 2 9 3 3 6 2" xfId="26596"/>
    <cellStyle name="Heading 1 2 9 3 3 6 2 2" xfId="26597"/>
    <cellStyle name="Heading 1 2 9 3 3 6 3" xfId="26598"/>
    <cellStyle name="Heading 1 2 9 3 3 7" xfId="26599"/>
    <cellStyle name="Heading 1 2 9 3 3 7 2" xfId="26600"/>
    <cellStyle name="Heading 1 2 9 3 3 7 2 2" xfId="26601"/>
    <cellStyle name="Heading 1 2 9 3 3 7 3" xfId="26602"/>
    <cellStyle name="Heading 1 2 9 3 3 8" xfId="26603"/>
    <cellStyle name="Heading 1 2 9 3 3 8 2" xfId="26604"/>
    <cellStyle name="Heading 1 2 9 3 3 9" xfId="26605"/>
    <cellStyle name="Heading 1 2 9 3 4" xfId="26606"/>
    <cellStyle name="Heading 1 2 9 3 4 2" xfId="26607"/>
    <cellStyle name="Heading 1 2 9 3 4 2 2" xfId="26608"/>
    <cellStyle name="Heading 1 2 9 3 4 2 2 2" xfId="26609"/>
    <cellStyle name="Heading 1 2 9 3 4 2 3" xfId="26610"/>
    <cellStyle name="Heading 1 2 9 3 4 3" xfId="26611"/>
    <cellStyle name="Heading 1 2 9 3 4 3 2" xfId="26612"/>
    <cellStyle name="Heading 1 2 9 3 4 3 2 2" xfId="26613"/>
    <cellStyle name="Heading 1 2 9 3 4 3 3" xfId="26614"/>
    <cellStyle name="Heading 1 2 9 3 4 4" xfId="26615"/>
    <cellStyle name="Heading 1 2 9 3 4 4 2" xfId="26616"/>
    <cellStyle name="Heading 1 2 9 3 4 4 2 2" xfId="26617"/>
    <cellStyle name="Heading 1 2 9 3 4 4 3" xfId="26618"/>
    <cellStyle name="Heading 1 2 9 3 4 5" xfId="26619"/>
    <cellStyle name="Heading 1 2 9 3 4 5 2" xfId="26620"/>
    <cellStyle name="Heading 1 2 9 3 4 5 2 2" xfId="26621"/>
    <cellStyle name="Heading 1 2 9 3 4 5 3" xfId="26622"/>
    <cellStyle name="Heading 1 2 9 3 4 6" xfId="26623"/>
    <cellStyle name="Heading 1 2 9 3 4 6 2" xfId="26624"/>
    <cellStyle name="Heading 1 2 9 3 4 6 2 2" xfId="26625"/>
    <cellStyle name="Heading 1 2 9 3 4 6 3" xfId="26626"/>
    <cellStyle name="Heading 1 2 9 3 4 7" xfId="26627"/>
    <cellStyle name="Heading 1 2 9 3 4 7 2" xfId="26628"/>
    <cellStyle name="Heading 1 2 9 3 4 7 2 2" xfId="26629"/>
    <cellStyle name="Heading 1 2 9 3 4 7 3" xfId="26630"/>
    <cellStyle name="Heading 1 2 9 3 4 8" xfId="26631"/>
    <cellStyle name="Heading 1 2 9 3 4 8 2" xfId="26632"/>
    <cellStyle name="Heading 1 2 9 3 4 9" xfId="26633"/>
    <cellStyle name="Heading 1 2 9 3 5" xfId="26634"/>
    <cellStyle name="Heading 1 2 9 3 5 2" xfId="26635"/>
    <cellStyle name="Heading 1 2 9 3 5 2 2" xfId="26636"/>
    <cellStyle name="Heading 1 2 9 3 5 2 2 2" xfId="26637"/>
    <cellStyle name="Heading 1 2 9 3 5 2 3" xfId="26638"/>
    <cellStyle name="Heading 1 2 9 3 5 3" xfId="26639"/>
    <cellStyle name="Heading 1 2 9 3 5 3 2" xfId="26640"/>
    <cellStyle name="Heading 1 2 9 3 5 3 2 2" xfId="26641"/>
    <cellStyle name="Heading 1 2 9 3 5 3 3" xfId="26642"/>
    <cellStyle name="Heading 1 2 9 3 5 4" xfId="26643"/>
    <cellStyle name="Heading 1 2 9 3 5 4 2" xfId="26644"/>
    <cellStyle name="Heading 1 2 9 3 5 4 2 2" xfId="26645"/>
    <cellStyle name="Heading 1 2 9 3 5 4 3" xfId="26646"/>
    <cellStyle name="Heading 1 2 9 3 5 5" xfId="26647"/>
    <cellStyle name="Heading 1 2 9 3 5 5 2" xfId="26648"/>
    <cellStyle name="Heading 1 2 9 3 5 5 2 2" xfId="26649"/>
    <cellStyle name="Heading 1 2 9 3 5 5 3" xfId="26650"/>
    <cellStyle name="Heading 1 2 9 3 5 6" xfId="26651"/>
    <cellStyle name="Heading 1 2 9 3 5 6 2" xfId="26652"/>
    <cellStyle name="Heading 1 2 9 3 5 6 2 2" xfId="26653"/>
    <cellStyle name="Heading 1 2 9 3 5 6 3" xfId="26654"/>
    <cellStyle name="Heading 1 2 9 3 5 7" xfId="26655"/>
    <cellStyle name="Heading 1 2 9 3 5 7 2" xfId="26656"/>
    <cellStyle name="Heading 1 2 9 3 5 7 2 2" xfId="26657"/>
    <cellStyle name="Heading 1 2 9 3 5 7 3" xfId="26658"/>
    <cellStyle name="Heading 1 2 9 3 5 8" xfId="26659"/>
    <cellStyle name="Heading 1 2 9 3 5 8 2" xfId="26660"/>
    <cellStyle name="Heading 1 2 9 3 5 9" xfId="26661"/>
    <cellStyle name="Heading 1 2 9 3 6" xfId="26662"/>
    <cellStyle name="Heading 1 2 9 3 6 2" xfId="26663"/>
    <cellStyle name="Heading 1 2 9 3 6 2 2" xfId="26664"/>
    <cellStyle name="Heading 1 2 9 3 6 2 2 2" xfId="26665"/>
    <cellStyle name="Heading 1 2 9 3 6 2 3" xfId="26666"/>
    <cellStyle name="Heading 1 2 9 3 6 3" xfId="26667"/>
    <cellStyle name="Heading 1 2 9 3 6 3 2" xfId="26668"/>
    <cellStyle name="Heading 1 2 9 3 6 3 2 2" xfId="26669"/>
    <cellStyle name="Heading 1 2 9 3 6 3 3" xfId="26670"/>
    <cellStyle name="Heading 1 2 9 3 6 4" xfId="26671"/>
    <cellStyle name="Heading 1 2 9 3 6 4 2" xfId="26672"/>
    <cellStyle name="Heading 1 2 9 3 6 4 2 2" xfId="26673"/>
    <cellStyle name="Heading 1 2 9 3 6 4 3" xfId="26674"/>
    <cellStyle name="Heading 1 2 9 3 6 5" xfId="26675"/>
    <cellStyle name="Heading 1 2 9 3 6 5 2" xfId="26676"/>
    <cellStyle name="Heading 1 2 9 3 6 5 2 2" xfId="26677"/>
    <cellStyle name="Heading 1 2 9 3 6 5 3" xfId="26678"/>
    <cellStyle name="Heading 1 2 9 3 6 6" xfId="26679"/>
    <cellStyle name="Heading 1 2 9 3 6 6 2" xfId="26680"/>
    <cellStyle name="Heading 1 2 9 3 6 6 2 2" xfId="26681"/>
    <cellStyle name="Heading 1 2 9 3 6 6 3" xfId="26682"/>
    <cellStyle name="Heading 1 2 9 3 6 7" xfId="26683"/>
    <cellStyle name="Heading 1 2 9 3 6 7 2" xfId="26684"/>
    <cellStyle name="Heading 1 2 9 3 6 7 2 2" xfId="26685"/>
    <cellStyle name="Heading 1 2 9 3 6 7 3" xfId="26686"/>
    <cellStyle name="Heading 1 2 9 3 6 8" xfId="26687"/>
    <cellStyle name="Heading 1 2 9 3 6 8 2" xfId="26688"/>
    <cellStyle name="Heading 1 2 9 3 6 9" xfId="26689"/>
    <cellStyle name="Heading 1 2 9 3 7" xfId="26690"/>
    <cellStyle name="Heading 1 2 9 3 7 2" xfId="26691"/>
    <cellStyle name="Heading 1 2 9 3 7 2 2" xfId="26692"/>
    <cellStyle name="Heading 1 2 9 3 7 2 2 2" xfId="26693"/>
    <cellStyle name="Heading 1 2 9 3 7 2 3" xfId="26694"/>
    <cellStyle name="Heading 1 2 9 3 7 3" xfId="26695"/>
    <cellStyle name="Heading 1 2 9 3 7 3 2" xfId="26696"/>
    <cellStyle name="Heading 1 2 9 3 7 3 2 2" xfId="26697"/>
    <cellStyle name="Heading 1 2 9 3 7 3 3" xfId="26698"/>
    <cellStyle name="Heading 1 2 9 3 7 4" xfId="26699"/>
    <cellStyle name="Heading 1 2 9 3 7 4 2" xfId="26700"/>
    <cellStyle name="Heading 1 2 9 3 7 4 2 2" xfId="26701"/>
    <cellStyle name="Heading 1 2 9 3 7 4 3" xfId="26702"/>
    <cellStyle name="Heading 1 2 9 3 7 5" xfId="26703"/>
    <cellStyle name="Heading 1 2 9 3 7 5 2" xfId="26704"/>
    <cellStyle name="Heading 1 2 9 3 7 5 2 2" xfId="26705"/>
    <cellStyle name="Heading 1 2 9 3 7 5 3" xfId="26706"/>
    <cellStyle name="Heading 1 2 9 3 7 6" xfId="26707"/>
    <cellStyle name="Heading 1 2 9 3 7 6 2" xfId="26708"/>
    <cellStyle name="Heading 1 2 9 3 7 6 2 2" xfId="26709"/>
    <cellStyle name="Heading 1 2 9 3 7 6 3" xfId="26710"/>
    <cellStyle name="Heading 1 2 9 3 7 7" xfId="26711"/>
    <cellStyle name="Heading 1 2 9 3 7 7 2" xfId="26712"/>
    <cellStyle name="Heading 1 2 9 3 7 7 2 2" xfId="26713"/>
    <cellStyle name="Heading 1 2 9 3 7 7 3" xfId="26714"/>
    <cellStyle name="Heading 1 2 9 3 7 8" xfId="26715"/>
    <cellStyle name="Heading 1 2 9 3 7 8 2" xfId="26716"/>
    <cellStyle name="Heading 1 2 9 3 7 9" xfId="26717"/>
    <cellStyle name="Heading 1 2 9 3 8" xfId="26718"/>
    <cellStyle name="Heading 1 2 9 3 8 2" xfId="26719"/>
    <cellStyle name="Heading 1 2 9 3 8 2 2" xfId="26720"/>
    <cellStyle name="Heading 1 2 9 3 8 2 2 2" xfId="26721"/>
    <cellStyle name="Heading 1 2 9 3 8 2 3" xfId="26722"/>
    <cellStyle name="Heading 1 2 9 3 8 3" xfId="26723"/>
    <cellStyle name="Heading 1 2 9 3 8 3 2" xfId="26724"/>
    <cellStyle name="Heading 1 2 9 3 8 3 2 2" xfId="26725"/>
    <cellStyle name="Heading 1 2 9 3 8 3 3" xfId="26726"/>
    <cellStyle name="Heading 1 2 9 3 8 4" xfId="26727"/>
    <cellStyle name="Heading 1 2 9 3 8 4 2" xfId="26728"/>
    <cellStyle name="Heading 1 2 9 3 8 4 2 2" xfId="26729"/>
    <cellStyle name="Heading 1 2 9 3 8 4 3" xfId="26730"/>
    <cellStyle name="Heading 1 2 9 3 8 5" xfId="26731"/>
    <cellStyle name="Heading 1 2 9 3 8 5 2" xfId="26732"/>
    <cellStyle name="Heading 1 2 9 3 8 5 2 2" xfId="26733"/>
    <cellStyle name="Heading 1 2 9 3 8 5 3" xfId="26734"/>
    <cellStyle name="Heading 1 2 9 3 8 6" xfId="26735"/>
    <cellStyle name="Heading 1 2 9 3 8 6 2" xfId="26736"/>
    <cellStyle name="Heading 1 2 9 3 8 6 2 2" xfId="26737"/>
    <cellStyle name="Heading 1 2 9 3 8 6 3" xfId="26738"/>
    <cellStyle name="Heading 1 2 9 3 8 7" xfId="26739"/>
    <cellStyle name="Heading 1 2 9 3 8 7 2" xfId="26740"/>
    <cellStyle name="Heading 1 2 9 3 8 7 2 2" xfId="26741"/>
    <cellStyle name="Heading 1 2 9 3 8 7 3" xfId="26742"/>
    <cellStyle name="Heading 1 2 9 3 8 8" xfId="26743"/>
    <cellStyle name="Heading 1 2 9 3 8 8 2" xfId="26744"/>
    <cellStyle name="Heading 1 2 9 3 8 9" xfId="26745"/>
    <cellStyle name="Heading 1 2 9 3 9" xfId="26746"/>
    <cellStyle name="Heading 1 2 9 3 9 2" xfId="26747"/>
    <cellStyle name="Heading 1 2 9 3 9 2 2" xfId="26748"/>
    <cellStyle name="Heading 1 2 9 3 9 3" xfId="26749"/>
    <cellStyle name="Heading 1 2 9 4" xfId="26750"/>
    <cellStyle name="Heading 1 2 9 4 2" xfId="26751"/>
    <cellStyle name="Heading 1 2 9 4 2 2" xfId="26752"/>
    <cellStyle name="Heading 1 2 9 4 3" xfId="26753"/>
    <cellStyle name="Heading 1 2 9 5" xfId="26754"/>
    <cellStyle name="Heading 1 2 9 5 2" xfId="26755"/>
    <cellStyle name="Heading 1 2 9 6" xfId="26756"/>
    <cellStyle name="Heading 1 3" xfId="26757"/>
    <cellStyle name="Heading 1 3 2" xfId="26758"/>
    <cellStyle name="Heading 1 3 2 10" xfId="26759"/>
    <cellStyle name="Heading 1 3 2 10 2" xfId="26760"/>
    <cellStyle name="Heading 1 3 2 10 2 2" xfId="26761"/>
    <cellStyle name="Heading 1 3 2 10 3" xfId="26762"/>
    <cellStyle name="Heading 1 3 2 11" xfId="26763"/>
    <cellStyle name="Heading 1 3 2 11 2" xfId="26764"/>
    <cellStyle name="Heading 1 3 2 11 2 2" xfId="26765"/>
    <cellStyle name="Heading 1 3 2 11 3" xfId="26766"/>
    <cellStyle name="Heading 1 3 2 12" xfId="26767"/>
    <cellStyle name="Heading 1 3 2 12 2" xfId="26768"/>
    <cellStyle name="Heading 1 3 2 12 2 2" xfId="26769"/>
    <cellStyle name="Heading 1 3 2 12 3" xfId="26770"/>
    <cellStyle name="Heading 1 3 2 13" xfId="26771"/>
    <cellStyle name="Heading 1 3 2 13 2" xfId="26772"/>
    <cellStyle name="Heading 1 3 2 13 2 2" xfId="26773"/>
    <cellStyle name="Heading 1 3 2 13 3" xfId="26774"/>
    <cellStyle name="Heading 1 3 2 14" xfId="26775"/>
    <cellStyle name="Heading 1 3 2 14 2" xfId="26776"/>
    <cellStyle name="Heading 1 3 2 14 2 2" xfId="26777"/>
    <cellStyle name="Heading 1 3 2 14 3" xfId="26778"/>
    <cellStyle name="Heading 1 3 2 15" xfId="26779"/>
    <cellStyle name="Heading 1 3 2 15 2" xfId="26780"/>
    <cellStyle name="Heading 1 3 2 15 2 2" xfId="26781"/>
    <cellStyle name="Heading 1 3 2 15 3" xfId="26782"/>
    <cellStyle name="Heading 1 3 2 16" xfId="26783"/>
    <cellStyle name="Heading 1 3 2 16 2" xfId="26784"/>
    <cellStyle name="Heading 1 3 2 16 2 2" xfId="26785"/>
    <cellStyle name="Heading 1 3 2 16 3" xfId="26786"/>
    <cellStyle name="Heading 1 3 2 17" xfId="26787"/>
    <cellStyle name="Heading 1 3 2 17 2" xfId="26788"/>
    <cellStyle name="Heading 1 3 2 17 2 2" xfId="26789"/>
    <cellStyle name="Heading 1 3 2 17 3" xfId="26790"/>
    <cellStyle name="Heading 1 3 2 18" xfId="26791"/>
    <cellStyle name="Heading 1 3 2 18 2" xfId="26792"/>
    <cellStyle name="Heading 1 3 2 18 2 2" xfId="26793"/>
    <cellStyle name="Heading 1 3 2 18 3" xfId="26794"/>
    <cellStyle name="Heading 1 3 2 19" xfId="26795"/>
    <cellStyle name="Heading 1 3 2 19 2" xfId="26796"/>
    <cellStyle name="Heading 1 3 2 19 2 2" xfId="26797"/>
    <cellStyle name="Heading 1 3 2 19 3" xfId="26798"/>
    <cellStyle name="Heading 1 3 2 2" xfId="26799"/>
    <cellStyle name="Heading 1 3 2 2 10" xfId="26800"/>
    <cellStyle name="Heading 1 3 2 2 10 2" xfId="26801"/>
    <cellStyle name="Heading 1 3 2 2 10 2 2" xfId="26802"/>
    <cellStyle name="Heading 1 3 2 2 10 3" xfId="26803"/>
    <cellStyle name="Heading 1 3 2 2 11" xfId="26804"/>
    <cellStyle name="Heading 1 3 2 2 11 2" xfId="26805"/>
    <cellStyle name="Heading 1 3 2 2 11 2 2" xfId="26806"/>
    <cellStyle name="Heading 1 3 2 2 11 3" xfId="26807"/>
    <cellStyle name="Heading 1 3 2 2 12" xfId="26808"/>
    <cellStyle name="Heading 1 3 2 2 12 2" xfId="26809"/>
    <cellStyle name="Heading 1 3 2 2 12 2 2" xfId="26810"/>
    <cellStyle name="Heading 1 3 2 2 12 3" xfId="26811"/>
    <cellStyle name="Heading 1 3 2 2 13" xfId="26812"/>
    <cellStyle name="Heading 1 3 2 2 13 2" xfId="26813"/>
    <cellStyle name="Heading 1 3 2 2 13 2 2" xfId="26814"/>
    <cellStyle name="Heading 1 3 2 2 13 3" xfId="26815"/>
    <cellStyle name="Heading 1 3 2 2 14" xfId="26816"/>
    <cellStyle name="Heading 1 3 2 2 14 2" xfId="26817"/>
    <cellStyle name="Heading 1 3 2 2 14 2 2" xfId="26818"/>
    <cellStyle name="Heading 1 3 2 2 14 3" xfId="26819"/>
    <cellStyle name="Heading 1 3 2 2 15" xfId="26820"/>
    <cellStyle name="Heading 1 3 2 2 15 2" xfId="26821"/>
    <cellStyle name="Heading 1 3 2 2 15 2 2" xfId="26822"/>
    <cellStyle name="Heading 1 3 2 2 15 3" xfId="26823"/>
    <cellStyle name="Heading 1 3 2 2 16" xfId="26824"/>
    <cellStyle name="Heading 1 3 2 2 16 2" xfId="26825"/>
    <cellStyle name="Heading 1 3 2 2 16 2 2" xfId="26826"/>
    <cellStyle name="Heading 1 3 2 2 16 3" xfId="26827"/>
    <cellStyle name="Heading 1 3 2 2 17" xfId="26828"/>
    <cellStyle name="Heading 1 3 2 2 17 2" xfId="26829"/>
    <cellStyle name="Heading 1 3 2 2 17 2 2" xfId="26830"/>
    <cellStyle name="Heading 1 3 2 2 17 3" xfId="26831"/>
    <cellStyle name="Heading 1 3 2 2 18" xfId="26832"/>
    <cellStyle name="Heading 1 3 2 2 18 2" xfId="26833"/>
    <cellStyle name="Heading 1 3 2 2 18 2 2" xfId="26834"/>
    <cellStyle name="Heading 1 3 2 2 18 3" xfId="26835"/>
    <cellStyle name="Heading 1 3 2 2 19" xfId="26836"/>
    <cellStyle name="Heading 1 3 2 2 19 2" xfId="26837"/>
    <cellStyle name="Heading 1 3 2 2 2" xfId="26838"/>
    <cellStyle name="Heading 1 3 2 2 2 2" xfId="26839"/>
    <cellStyle name="Heading 1 3 2 2 2 2 2" xfId="26840"/>
    <cellStyle name="Heading 1 3 2 2 2 2 2 2" xfId="26841"/>
    <cellStyle name="Heading 1 3 2 2 2 2 3" xfId="26842"/>
    <cellStyle name="Heading 1 3 2 2 2 3" xfId="26843"/>
    <cellStyle name="Heading 1 3 2 2 2 3 2" xfId="26844"/>
    <cellStyle name="Heading 1 3 2 2 2 3 2 2" xfId="26845"/>
    <cellStyle name="Heading 1 3 2 2 2 3 3" xfId="26846"/>
    <cellStyle name="Heading 1 3 2 2 2 4" xfId="26847"/>
    <cellStyle name="Heading 1 3 2 2 2 4 2" xfId="26848"/>
    <cellStyle name="Heading 1 3 2 2 2 4 2 2" xfId="26849"/>
    <cellStyle name="Heading 1 3 2 2 2 4 3" xfId="26850"/>
    <cellStyle name="Heading 1 3 2 2 2 5" xfId="26851"/>
    <cellStyle name="Heading 1 3 2 2 2 5 2" xfId="26852"/>
    <cellStyle name="Heading 1 3 2 2 2 5 2 2" xfId="26853"/>
    <cellStyle name="Heading 1 3 2 2 2 5 3" xfId="26854"/>
    <cellStyle name="Heading 1 3 2 2 2 6" xfId="26855"/>
    <cellStyle name="Heading 1 3 2 2 2 6 2" xfId="26856"/>
    <cellStyle name="Heading 1 3 2 2 2 6 2 2" xfId="26857"/>
    <cellStyle name="Heading 1 3 2 2 2 6 3" xfId="26858"/>
    <cellStyle name="Heading 1 3 2 2 2 7" xfId="26859"/>
    <cellStyle name="Heading 1 3 2 2 2 7 2" xfId="26860"/>
    <cellStyle name="Heading 1 3 2 2 2 7 2 2" xfId="26861"/>
    <cellStyle name="Heading 1 3 2 2 2 7 3" xfId="26862"/>
    <cellStyle name="Heading 1 3 2 2 2 8" xfId="26863"/>
    <cellStyle name="Heading 1 3 2 2 2 8 2" xfId="26864"/>
    <cellStyle name="Heading 1 3 2 2 2 9" xfId="26865"/>
    <cellStyle name="Heading 1 3 2 2 20" xfId="26866"/>
    <cellStyle name="Heading 1 3 2 2 20 2" xfId="26867"/>
    <cellStyle name="Heading 1 3 2 2 21" xfId="26868"/>
    <cellStyle name="Heading 1 3 2 2 21 2" xfId="26869"/>
    <cellStyle name="Heading 1 3 2 2 22" xfId="26870"/>
    <cellStyle name="Heading 1 3 2 2 3" xfId="26871"/>
    <cellStyle name="Heading 1 3 2 2 3 2" xfId="26872"/>
    <cellStyle name="Heading 1 3 2 2 3 2 2" xfId="26873"/>
    <cellStyle name="Heading 1 3 2 2 3 2 2 2" xfId="26874"/>
    <cellStyle name="Heading 1 3 2 2 3 2 3" xfId="26875"/>
    <cellStyle name="Heading 1 3 2 2 3 3" xfId="26876"/>
    <cellStyle name="Heading 1 3 2 2 3 3 2" xfId="26877"/>
    <cellStyle name="Heading 1 3 2 2 3 3 2 2" xfId="26878"/>
    <cellStyle name="Heading 1 3 2 2 3 3 3" xfId="26879"/>
    <cellStyle name="Heading 1 3 2 2 3 4" xfId="26880"/>
    <cellStyle name="Heading 1 3 2 2 3 4 2" xfId="26881"/>
    <cellStyle name="Heading 1 3 2 2 3 4 2 2" xfId="26882"/>
    <cellStyle name="Heading 1 3 2 2 3 4 3" xfId="26883"/>
    <cellStyle name="Heading 1 3 2 2 3 5" xfId="26884"/>
    <cellStyle name="Heading 1 3 2 2 3 5 2" xfId="26885"/>
    <cellStyle name="Heading 1 3 2 2 3 5 2 2" xfId="26886"/>
    <cellStyle name="Heading 1 3 2 2 3 5 3" xfId="26887"/>
    <cellStyle name="Heading 1 3 2 2 3 6" xfId="26888"/>
    <cellStyle name="Heading 1 3 2 2 3 6 2" xfId="26889"/>
    <cellStyle name="Heading 1 3 2 2 3 6 2 2" xfId="26890"/>
    <cellStyle name="Heading 1 3 2 2 3 6 3" xfId="26891"/>
    <cellStyle name="Heading 1 3 2 2 3 7" xfId="26892"/>
    <cellStyle name="Heading 1 3 2 2 3 7 2" xfId="26893"/>
    <cellStyle name="Heading 1 3 2 2 3 7 2 2" xfId="26894"/>
    <cellStyle name="Heading 1 3 2 2 3 7 3" xfId="26895"/>
    <cellStyle name="Heading 1 3 2 2 3 8" xfId="26896"/>
    <cellStyle name="Heading 1 3 2 2 3 8 2" xfId="26897"/>
    <cellStyle name="Heading 1 3 2 2 3 9" xfId="26898"/>
    <cellStyle name="Heading 1 3 2 2 4" xfId="26899"/>
    <cellStyle name="Heading 1 3 2 2 4 2" xfId="26900"/>
    <cellStyle name="Heading 1 3 2 2 4 2 2" xfId="26901"/>
    <cellStyle name="Heading 1 3 2 2 4 2 2 2" xfId="26902"/>
    <cellStyle name="Heading 1 3 2 2 4 2 3" xfId="26903"/>
    <cellStyle name="Heading 1 3 2 2 4 3" xfId="26904"/>
    <cellStyle name="Heading 1 3 2 2 4 3 2" xfId="26905"/>
    <cellStyle name="Heading 1 3 2 2 4 3 2 2" xfId="26906"/>
    <cellStyle name="Heading 1 3 2 2 4 3 3" xfId="26907"/>
    <cellStyle name="Heading 1 3 2 2 4 4" xfId="26908"/>
    <cellStyle name="Heading 1 3 2 2 4 4 2" xfId="26909"/>
    <cellStyle name="Heading 1 3 2 2 4 4 2 2" xfId="26910"/>
    <cellStyle name="Heading 1 3 2 2 4 4 3" xfId="26911"/>
    <cellStyle name="Heading 1 3 2 2 4 5" xfId="26912"/>
    <cellStyle name="Heading 1 3 2 2 4 5 2" xfId="26913"/>
    <cellStyle name="Heading 1 3 2 2 4 5 2 2" xfId="26914"/>
    <cellStyle name="Heading 1 3 2 2 4 5 3" xfId="26915"/>
    <cellStyle name="Heading 1 3 2 2 4 6" xfId="26916"/>
    <cellStyle name="Heading 1 3 2 2 4 6 2" xfId="26917"/>
    <cellStyle name="Heading 1 3 2 2 4 6 2 2" xfId="26918"/>
    <cellStyle name="Heading 1 3 2 2 4 6 3" xfId="26919"/>
    <cellStyle name="Heading 1 3 2 2 4 7" xfId="26920"/>
    <cellStyle name="Heading 1 3 2 2 4 7 2" xfId="26921"/>
    <cellStyle name="Heading 1 3 2 2 4 7 2 2" xfId="26922"/>
    <cellStyle name="Heading 1 3 2 2 4 7 3" xfId="26923"/>
    <cellStyle name="Heading 1 3 2 2 4 8" xfId="26924"/>
    <cellStyle name="Heading 1 3 2 2 4 8 2" xfId="26925"/>
    <cellStyle name="Heading 1 3 2 2 4 9" xfId="26926"/>
    <cellStyle name="Heading 1 3 2 2 5" xfId="26927"/>
    <cellStyle name="Heading 1 3 2 2 5 2" xfId="26928"/>
    <cellStyle name="Heading 1 3 2 2 5 2 2" xfId="26929"/>
    <cellStyle name="Heading 1 3 2 2 5 2 2 2" xfId="26930"/>
    <cellStyle name="Heading 1 3 2 2 5 2 3" xfId="26931"/>
    <cellStyle name="Heading 1 3 2 2 5 3" xfId="26932"/>
    <cellStyle name="Heading 1 3 2 2 5 3 2" xfId="26933"/>
    <cellStyle name="Heading 1 3 2 2 5 3 2 2" xfId="26934"/>
    <cellStyle name="Heading 1 3 2 2 5 3 3" xfId="26935"/>
    <cellStyle name="Heading 1 3 2 2 5 4" xfId="26936"/>
    <cellStyle name="Heading 1 3 2 2 5 4 2" xfId="26937"/>
    <cellStyle name="Heading 1 3 2 2 5 4 2 2" xfId="26938"/>
    <cellStyle name="Heading 1 3 2 2 5 4 3" xfId="26939"/>
    <cellStyle name="Heading 1 3 2 2 5 5" xfId="26940"/>
    <cellStyle name="Heading 1 3 2 2 5 5 2" xfId="26941"/>
    <cellStyle name="Heading 1 3 2 2 5 5 2 2" xfId="26942"/>
    <cellStyle name="Heading 1 3 2 2 5 5 3" xfId="26943"/>
    <cellStyle name="Heading 1 3 2 2 5 6" xfId="26944"/>
    <cellStyle name="Heading 1 3 2 2 5 6 2" xfId="26945"/>
    <cellStyle name="Heading 1 3 2 2 5 6 2 2" xfId="26946"/>
    <cellStyle name="Heading 1 3 2 2 5 6 3" xfId="26947"/>
    <cellStyle name="Heading 1 3 2 2 5 7" xfId="26948"/>
    <cellStyle name="Heading 1 3 2 2 5 7 2" xfId="26949"/>
    <cellStyle name="Heading 1 3 2 2 5 7 2 2" xfId="26950"/>
    <cellStyle name="Heading 1 3 2 2 5 7 3" xfId="26951"/>
    <cellStyle name="Heading 1 3 2 2 5 8" xfId="26952"/>
    <cellStyle name="Heading 1 3 2 2 5 8 2" xfId="26953"/>
    <cellStyle name="Heading 1 3 2 2 5 9" xfId="26954"/>
    <cellStyle name="Heading 1 3 2 2 6" xfId="26955"/>
    <cellStyle name="Heading 1 3 2 2 6 2" xfId="26956"/>
    <cellStyle name="Heading 1 3 2 2 6 2 2" xfId="26957"/>
    <cellStyle name="Heading 1 3 2 2 6 2 2 2" xfId="26958"/>
    <cellStyle name="Heading 1 3 2 2 6 2 3" xfId="26959"/>
    <cellStyle name="Heading 1 3 2 2 6 3" xfId="26960"/>
    <cellStyle name="Heading 1 3 2 2 6 3 2" xfId="26961"/>
    <cellStyle name="Heading 1 3 2 2 6 3 2 2" xfId="26962"/>
    <cellStyle name="Heading 1 3 2 2 6 3 3" xfId="26963"/>
    <cellStyle name="Heading 1 3 2 2 6 4" xfId="26964"/>
    <cellStyle name="Heading 1 3 2 2 6 4 2" xfId="26965"/>
    <cellStyle name="Heading 1 3 2 2 6 4 2 2" xfId="26966"/>
    <cellStyle name="Heading 1 3 2 2 6 4 3" xfId="26967"/>
    <cellStyle name="Heading 1 3 2 2 6 5" xfId="26968"/>
    <cellStyle name="Heading 1 3 2 2 6 5 2" xfId="26969"/>
    <cellStyle name="Heading 1 3 2 2 6 5 2 2" xfId="26970"/>
    <cellStyle name="Heading 1 3 2 2 6 5 3" xfId="26971"/>
    <cellStyle name="Heading 1 3 2 2 6 6" xfId="26972"/>
    <cellStyle name="Heading 1 3 2 2 6 6 2" xfId="26973"/>
    <cellStyle name="Heading 1 3 2 2 6 6 2 2" xfId="26974"/>
    <cellStyle name="Heading 1 3 2 2 6 6 3" xfId="26975"/>
    <cellStyle name="Heading 1 3 2 2 6 7" xfId="26976"/>
    <cellStyle name="Heading 1 3 2 2 6 7 2" xfId="26977"/>
    <cellStyle name="Heading 1 3 2 2 6 7 2 2" xfId="26978"/>
    <cellStyle name="Heading 1 3 2 2 6 7 3" xfId="26979"/>
    <cellStyle name="Heading 1 3 2 2 6 8" xfId="26980"/>
    <cellStyle name="Heading 1 3 2 2 6 8 2" xfId="26981"/>
    <cellStyle name="Heading 1 3 2 2 6 9" xfId="26982"/>
    <cellStyle name="Heading 1 3 2 2 7" xfId="26983"/>
    <cellStyle name="Heading 1 3 2 2 7 2" xfId="26984"/>
    <cellStyle name="Heading 1 3 2 2 7 2 2" xfId="26985"/>
    <cellStyle name="Heading 1 3 2 2 7 2 2 2" xfId="26986"/>
    <cellStyle name="Heading 1 3 2 2 7 2 3" xfId="26987"/>
    <cellStyle name="Heading 1 3 2 2 7 3" xfId="26988"/>
    <cellStyle name="Heading 1 3 2 2 7 3 2" xfId="26989"/>
    <cellStyle name="Heading 1 3 2 2 7 3 2 2" xfId="26990"/>
    <cellStyle name="Heading 1 3 2 2 7 3 3" xfId="26991"/>
    <cellStyle name="Heading 1 3 2 2 7 4" xfId="26992"/>
    <cellStyle name="Heading 1 3 2 2 7 4 2" xfId="26993"/>
    <cellStyle name="Heading 1 3 2 2 7 4 2 2" xfId="26994"/>
    <cellStyle name="Heading 1 3 2 2 7 4 3" xfId="26995"/>
    <cellStyle name="Heading 1 3 2 2 7 5" xfId="26996"/>
    <cellStyle name="Heading 1 3 2 2 7 5 2" xfId="26997"/>
    <cellStyle name="Heading 1 3 2 2 7 5 2 2" xfId="26998"/>
    <cellStyle name="Heading 1 3 2 2 7 5 3" xfId="26999"/>
    <cellStyle name="Heading 1 3 2 2 7 6" xfId="27000"/>
    <cellStyle name="Heading 1 3 2 2 7 6 2" xfId="27001"/>
    <cellStyle name="Heading 1 3 2 2 7 6 2 2" xfId="27002"/>
    <cellStyle name="Heading 1 3 2 2 7 6 3" xfId="27003"/>
    <cellStyle name="Heading 1 3 2 2 7 7" xfId="27004"/>
    <cellStyle name="Heading 1 3 2 2 7 7 2" xfId="27005"/>
    <cellStyle name="Heading 1 3 2 2 7 7 2 2" xfId="27006"/>
    <cellStyle name="Heading 1 3 2 2 7 7 3" xfId="27007"/>
    <cellStyle name="Heading 1 3 2 2 7 8" xfId="27008"/>
    <cellStyle name="Heading 1 3 2 2 7 8 2" xfId="27009"/>
    <cellStyle name="Heading 1 3 2 2 7 9" xfId="27010"/>
    <cellStyle name="Heading 1 3 2 2 8" xfId="27011"/>
    <cellStyle name="Heading 1 3 2 2 8 2" xfId="27012"/>
    <cellStyle name="Heading 1 3 2 2 8 2 2" xfId="27013"/>
    <cellStyle name="Heading 1 3 2 2 8 2 2 2" xfId="27014"/>
    <cellStyle name="Heading 1 3 2 2 8 2 3" xfId="27015"/>
    <cellStyle name="Heading 1 3 2 2 8 3" xfId="27016"/>
    <cellStyle name="Heading 1 3 2 2 8 3 2" xfId="27017"/>
    <cellStyle name="Heading 1 3 2 2 8 3 2 2" xfId="27018"/>
    <cellStyle name="Heading 1 3 2 2 8 3 3" xfId="27019"/>
    <cellStyle name="Heading 1 3 2 2 8 4" xfId="27020"/>
    <cellStyle name="Heading 1 3 2 2 8 4 2" xfId="27021"/>
    <cellStyle name="Heading 1 3 2 2 8 4 2 2" xfId="27022"/>
    <cellStyle name="Heading 1 3 2 2 8 4 3" xfId="27023"/>
    <cellStyle name="Heading 1 3 2 2 8 5" xfId="27024"/>
    <cellStyle name="Heading 1 3 2 2 8 5 2" xfId="27025"/>
    <cellStyle name="Heading 1 3 2 2 8 5 2 2" xfId="27026"/>
    <cellStyle name="Heading 1 3 2 2 8 5 3" xfId="27027"/>
    <cellStyle name="Heading 1 3 2 2 8 6" xfId="27028"/>
    <cellStyle name="Heading 1 3 2 2 8 6 2" xfId="27029"/>
    <cellStyle name="Heading 1 3 2 2 8 6 2 2" xfId="27030"/>
    <cellStyle name="Heading 1 3 2 2 8 6 3" xfId="27031"/>
    <cellStyle name="Heading 1 3 2 2 8 7" xfId="27032"/>
    <cellStyle name="Heading 1 3 2 2 8 7 2" xfId="27033"/>
    <cellStyle name="Heading 1 3 2 2 8 7 2 2" xfId="27034"/>
    <cellStyle name="Heading 1 3 2 2 8 7 3" xfId="27035"/>
    <cellStyle name="Heading 1 3 2 2 8 8" xfId="27036"/>
    <cellStyle name="Heading 1 3 2 2 8 8 2" xfId="27037"/>
    <cellStyle name="Heading 1 3 2 2 8 9" xfId="27038"/>
    <cellStyle name="Heading 1 3 2 2 9" xfId="27039"/>
    <cellStyle name="Heading 1 3 2 2 9 2" xfId="27040"/>
    <cellStyle name="Heading 1 3 2 2 9 2 2" xfId="27041"/>
    <cellStyle name="Heading 1 3 2 2 9 3" xfId="27042"/>
    <cellStyle name="Heading 1 3 2 20" xfId="27043"/>
    <cellStyle name="Heading 1 3 2 20 2" xfId="27044"/>
    <cellStyle name="Heading 1 3 2 21" xfId="27045"/>
    <cellStyle name="Heading 1 3 2 21 2" xfId="27046"/>
    <cellStyle name="Heading 1 3 2 22" xfId="27047"/>
    <cellStyle name="Heading 1 3 2 22 2" xfId="27048"/>
    <cellStyle name="Heading 1 3 2 23" xfId="27049"/>
    <cellStyle name="Heading 1 3 2 3" xfId="27050"/>
    <cellStyle name="Heading 1 3 2 3 2" xfId="27051"/>
    <cellStyle name="Heading 1 3 2 3 2 2" xfId="27052"/>
    <cellStyle name="Heading 1 3 2 3 2 2 2" xfId="27053"/>
    <cellStyle name="Heading 1 3 2 3 2 3" xfId="27054"/>
    <cellStyle name="Heading 1 3 2 3 3" xfId="27055"/>
    <cellStyle name="Heading 1 3 2 3 3 2" xfId="27056"/>
    <cellStyle name="Heading 1 3 2 3 3 2 2" xfId="27057"/>
    <cellStyle name="Heading 1 3 2 3 3 3" xfId="27058"/>
    <cellStyle name="Heading 1 3 2 3 4" xfId="27059"/>
    <cellStyle name="Heading 1 3 2 3 4 2" xfId="27060"/>
    <cellStyle name="Heading 1 3 2 3 4 2 2" xfId="27061"/>
    <cellStyle name="Heading 1 3 2 3 4 3" xfId="27062"/>
    <cellStyle name="Heading 1 3 2 3 5" xfId="27063"/>
    <cellStyle name="Heading 1 3 2 3 5 2" xfId="27064"/>
    <cellStyle name="Heading 1 3 2 3 5 2 2" xfId="27065"/>
    <cellStyle name="Heading 1 3 2 3 5 3" xfId="27066"/>
    <cellStyle name="Heading 1 3 2 3 6" xfId="27067"/>
    <cellStyle name="Heading 1 3 2 3 6 2" xfId="27068"/>
    <cellStyle name="Heading 1 3 2 3 6 2 2" xfId="27069"/>
    <cellStyle name="Heading 1 3 2 3 6 3" xfId="27070"/>
    <cellStyle name="Heading 1 3 2 3 7" xfId="27071"/>
    <cellStyle name="Heading 1 3 2 3 7 2" xfId="27072"/>
    <cellStyle name="Heading 1 3 2 3 7 2 2" xfId="27073"/>
    <cellStyle name="Heading 1 3 2 3 7 3" xfId="27074"/>
    <cellStyle name="Heading 1 3 2 3 8" xfId="27075"/>
    <cellStyle name="Heading 1 3 2 3 8 2" xfId="27076"/>
    <cellStyle name="Heading 1 3 2 3 9" xfId="27077"/>
    <cellStyle name="Heading 1 3 2 4" xfId="27078"/>
    <cellStyle name="Heading 1 3 2 4 2" xfId="27079"/>
    <cellStyle name="Heading 1 3 2 4 2 2" xfId="27080"/>
    <cellStyle name="Heading 1 3 2 4 2 2 2" xfId="27081"/>
    <cellStyle name="Heading 1 3 2 4 2 3" xfId="27082"/>
    <cellStyle name="Heading 1 3 2 4 3" xfId="27083"/>
    <cellStyle name="Heading 1 3 2 4 3 2" xfId="27084"/>
    <cellStyle name="Heading 1 3 2 4 3 2 2" xfId="27085"/>
    <cellStyle name="Heading 1 3 2 4 3 3" xfId="27086"/>
    <cellStyle name="Heading 1 3 2 4 4" xfId="27087"/>
    <cellStyle name="Heading 1 3 2 4 4 2" xfId="27088"/>
    <cellStyle name="Heading 1 3 2 4 4 2 2" xfId="27089"/>
    <cellStyle name="Heading 1 3 2 4 4 3" xfId="27090"/>
    <cellStyle name="Heading 1 3 2 4 5" xfId="27091"/>
    <cellStyle name="Heading 1 3 2 4 5 2" xfId="27092"/>
    <cellStyle name="Heading 1 3 2 4 5 2 2" xfId="27093"/>
    <cellStyle name="Heading 1 3 2 4 5 3" xfId="27094"/>
    <cellStyle name="Heading 1 3 2 4 6" xfId="27095"/>
    <cellStyle name="Heading 1 3 2 4 6 2" xfId="27096"/>
    <cellStyle name="Heading 1 3 2 4 6 2 2" xfId="27097"/>
    <cellStyle name="Heading 1 3 2 4 6 3" xfId="27098"/>
    <cellStyle name="Heading 1 3 2 4 7" xfId="27099"/>
    <cellStyle name="Heading 1 3 2 4 7 2" xfId="27100"/>
    <cellStyle name="Heading 1 3 2 4 7 2 2" xfId="27101"/>
    <cellStyle name="Heading 1 3 2 4 7 3" xfId="27102"/>
    <cellStyle name="Heading 1 3 2 4 8" xfId="27103"/>
    <cellStyle name="Heading 1 3 2 4 8 2" xfId="27104"/>
    <cellStyle name="Heading 1 3 2 4 9" xfId="27105"/>
    <cellStyle name="Heading 1 3 2 5" xfId="27106"/>
    <cellStyle name="Heading 1 3 2 5 2" xfId="27107"/>
    <cellStyle name="Heading 1 3 2 5 2 2" xfId="27108"/>
    <cellStyle name="Heading 1 3 2 5 2 2 2" xfId="27109"/>
    <cellStyle name="Heading 1 3 2 5 2 3" xfId="27110"/>
    <cellStyle name="Heading 1 3 2 5 3" xfId="27111"/>
    <cellStyle name="Heading 1 3 2 5 3 2" xfId="27112"/>
    <cellStyle name="Heading 1 3 2 5 3 2 2" xfId="27113"/>
    <cellStyle name="Heading 1 3 2 5 3 3" xfId="27114"/>
    <cellStyle name="Heading 1 3 2 5 4" xfId="27115"/>
    <cellStyle name="Heading 1 3 2 5 4 2" xfId="27116"/>
    <cellStyle name="Heading 1 3 2 5 4 2 2" xfId="27117"/>
    <cellStyle name="Heading 1 3 2 5 4 3" xfId="27118"/>
    <cellStyle name="Heading 1 3 2 5 5" xfId="27119"/>
    <cellStyle name="Heading 1 3 2 5 5 2" xfId="27120"/>
    <cellStyle name="Heading 1 3 2 5 5 2 2" xfId="27121"/>
    <cellStyle name="Heading 1 3 2 5 5 3" xfId="27122"/>
    <cellStyle name="Heading 1 3 2 5 6" xfId="27123"/>
    <cellStyle name="Heading 1 3 2 5 6 2" xfId="27124"/>
    <cellStyle name="Heading 1 3 2 5 6 2 2" xfId="27125"/>
    <cellStyle name="Heading 1 3 2 5 6 3" xfId="27126"/>
    <cellStyle name="Heading 1 3 2 5 7" xfId="27127"/>
    <cellStyle name="Heading 1 3 2 5 7 2" xfId="27128"/>
    <cellStyle name="Heading 1 3 2 5 7 2 2" xfId="27129"/>
    <cellStyle name="Heading 1 3 2 5 7 3" xfId="27130"/>
    <cellStyle name="Heading 1 3 2 5 8" xfId="27131"/>
    <cellStyle name="Heading 1 3 2 5 8 2" xfId="27132"/>
    <cellStyle name="Heading 1 3 2 5 9" xfId="27133"/>
    <cellStyle name="Heading 1 3 2 6" xfId="27134"/>
    <cellStyle name="Heading 1 3 2 6 2" xfId="27135"/>
    <cellStyle name="Heading 1 3 2 6 2 2" xfId="27136"/>
    <cellStyle name="Heading 1 3 2 6 2 2 2" xfId="27137"/>
    <cellStyle name="Heading 1 3 2 6 2 3" xfId="27138"/>
    <cellStyle name="Heading 1 3 2 6 3" xfId="27139"/>
    <cellStyle name="Heading 1 3 2 6 3 2" xfId="27140"/>
    <cellStyle name="Heading 1 3 2 6 3 2 2" xfId="27141"/>
    <cellStyle name="Heading 1 3 2 6 3 3" xfId="27142"/>
    <cellStyle name="Heading 1 3 2 6 4" xfId="27143"/>
    <cellStyle name="Heading 1 3 2 6 4 2" xfId="27144"/>
    <cellStyle name="Heading 1 3 2 6 4 2 2" xfId="27145"/>
    <cellStyle name="Heading 1 3 2 6 4 3" xfId="27146"/>
    <cellStyle name="Heading 1 3 2 6 5" xfId="27147"/>
    <cellStyle name="Heading 1 3 2 6 5 2" xfId="27148"/>
    <cellStyle name="Heading 1 3 2 6 5 2 2" xfId="27149"/>
    <cellStyle name="Heading 1 3 2 6 5 3" xfId="27150"/>
    <cellStyle name="Heading 1 3 2 6 6" xfId="27151"/>
    <cellStyle name="Heading 1 3 2 6 6 2" xfId="27152"/>
    <cellStyle name="Heading 1 3 2 6 6 2 2" xfId="27153"/>
    <cellStyle name="Heading 1 3 2 6 6 3" xfId="27154"/>
    <cellStyle name="Heading 1 3 2 6 7" xfId="27155"/>
    <cellStyle name="Heading 1 3 2 6 7 2" xfId="27156"/>
    <cellStyle name="Heading 1 3 2 6 7 2 2" xfId="27157"/>
    <cellStyle name="Heading 1 3 2 6 7 3" xfId="27158"/>
    <cellStyle name="Heading 1 3 2 6 8" xfId="27159"/>
    <cellStyle name="Heading 1 3 2 6 8 2" xfId="27160"/>
    <cellStyle name="Heading 1 3 2 6 9" xfId="27161"/>
    <cellStyle name="Heading 1 3 2 7" xfId="27162"/>
    <cellStyle name="Heading 1 3 2 7 2" xfId="27163"/>
    <cellStyle name="Heading 1 3 2 7 2 2" xfId="27164"/>
    <cellStyle name="Heading 1 3 2 7 2 2 2" xfId="27165"/>
    <cellStyle name="Heading 1 3 2 7 2 3" xfId="27166"/>
    <cellStyle name="Heading 1 3 2 7 3" xfId="27167"/>
    <cellStyle name="Heading 1 3 2 7 3 2" xfId="27168"/>
    <cellStyle name="Heading 1 3 2 7 3 2 2" xfId="27169"/>
    <cellStyle name="Heading 1 3 2 7 3 3" xfId="27170"/>
    <cellStyle name="Heading 1 3 2 7 4" xfId="27171"/>
    <cellStyle name="Heading 1 3 2 7 4 2" xfId="27172"/>
    <cellStyle name="Heading 1 3 2 7 4 2 2" xfId="27173"/>
    <cellStyle name="Heading 1 3 2 7 4 3" xfId="27174"/>
    <cellStyle name="Heading 1 3 2 7 5" xfId="27175"/>
    <cellStyle name="Heading 1 3 2 7 5 2" xfId="27176"/>
    <cellStyle name="Heading 1 3 2 7 5 2 2" xfId="27177"/>
    <cellStyle name="Heading 1 3 2 7 5 3" xfId="27178"/>
    <cellStyle name="Heading 1 3 2 7 6" xfId="27179"/>
    <cellStyle name="Heading 1 3 2 7 6 2" xfId="27180"/>
    <cellStyle name="Heading 1 3 2 7 6 2 2" xfId="27181"/>
    <cellStyle name="Heading 1 3 2 7 6 3" xfId="27182"/>
    <cellStyle name="Heading 1 3 2 7 7" xfId="27183"/>
    <cellStyle name="Heading 1 3 2 7 7 2" xfId="27184"/>
    <cellStyle name="Heading 1 3 2 7 7 2 2" xfId="27185"/>
    <cellStyle name="Heading 1 3 2 7 7 3" xfId="27186"/>
    <cellStyle name="Heading 1 3 2 7 8" xfId="27187"/>
    <cellStyle name="Heading 1 3 2 7 8 2" xfId="27188"/>
    <cellStyle name="Heading 1 3 2 7 9" xfId="27189"/>
    <cellStyle name="Heading 1 3 2 8" xfId="27190"/>
    <cellStyle name="Heading 1 3 2 8 2" xfId="27191"/>
    <cellStyle name="Heading 1 3 2 8 2 2" xfId="27192"/>
    <cellStyle name="Heading 1 3 2 8 2 2 2" xfId="27193"/>
    <cellStyle name="Heading 1 3 2 8 2 3" xfId="27194"/>
    <cellStyle name="Heading 1 3 2 8 3" xfId="27195"/>
    <cellStyle name="Heading 1 3 2 8 3 2" xfId="27196"/>
    <cellStyle name="Heading 1 3 2 8 3 2 2" xfId="27197"/>
    <cellStyle name="Heading 1 3 2 8 3 3" xfId="27198"/>
    <cellStyle name="Heading 1 3 2 8 4" xfId="27199"/>
    <cellStyle name="Heading 1 3 2 8 4 2" xfId="27200"/>
    <cellStyle name="Heading 1 3 2 8 4 2 2" xfId="27201"/>
    <cellStyle name="Heading 1 3 2 8 4 3" xfId="27202"/>
    <cellStyle name="Heading 1 3 2 8 5" xfId="27203"/>
    <cellStyle name="Heading 1 3 2 8 5 2" xfId="27204"/>
    <cellStyle name="Heading 1 3 2 8 5 2 2" xfId="27205"/>
    <cellStyle name="Heading 1 3 2 8 5 3" xfId="27206"/>
    <cellStyle name="Heading 1 3 2 8 6" xfId="27207"/>
    <cellStyle name="Heading 1 3 2 8 6 2" xfId="27208"/>
    <cellStyle name="Heading 1 3 2 8 6 2 2" xfId="27209"/>
    <cellStyle name="Heading 1 3 2 8 6 3" xfId="27210"/>
    <cellStyle name="Heading 1 3 2 8 7" xfId="27211"/>
    <cellStyle name="Heading 1 3 2 8 7 2" xfId="27212"/>
    <cellStyle name="Heading 1 3 2 8 7 2 2" xfId="27213"/>
    <cellStyle name="Heading 1 3 2 8 7 3" xfId="27214"/>
    <cellStyle name="Heading 1 3 2 8 8" xfId="27215"/>
    <cellStyle name="Heading 1 3 2 8 8 2" xfId="27216"/>
    <cellStyle name="Heading 1 3 2 8 9" xfId="27217"/>
    <cellStyle name="Heading 1 3 2 9" xfId="27218"/>
    <cellStyle name="Heading 1 3 2 9 2" xfId="27219"/>
    <cellStyle name="Heading 1 3 2 9 2 2" xfId="27220"/>
    <cellStyle name="Heading 1 3 2 9 2 2 2" xfId="27221"/>
    <cellStyle name="Heading 1 3 2 9 2 3" xfId="27222"/>
    <cellStyle name="Heading 1 3 2 9 3" xfId="27223"/>
    <cellStyle name="Heading 1 3 2 9 3 2" xfId="27224"/>
    <cellStyle name="Heading 1 3 2 9 3 2 2" xfId="27225"/>
    <cellStyle name="Heading 1 3 2 9 3 3" xfId="27226"/>
    <cellStyle name="Heading 1 3 2 9 4" xfId="27227"/>
    <cellStyle name="Heading 1 3 2 9 4 2" xfId="27228"/>
    <cellStyle name="Heading 1 3 2 9 4 2 2" xfId="27229"/>
    <cellStyle name="Heading 1 3 2 9 4 3" xfId="27230"/>
    <cellStyle name="Heading 1 3 2 9 5" xfId="27231"/>
    <cellStyle name="Heading 1 3 2 9 5 2" xfId="27232"/>
    <cellStyle name="Heading 1 3 2 9 5 2 2" xfId="27233"/>
    <cellStyle name="Heading 1 3 2 9 5 3" xfId="27234"/>
    <cellStyle name="Heading 1 3 2 9 6" xfId="27235"/>
    <cellStyle name="Heading 1 3 2 9 6 2" xfId="27236"/>
    <cellStyle name="Heading 1 3 2 9 6 2 2" xfId="27237"/>
    <cellStyle name="Heading 1 3 2 9 6 3" xfId="27238"/>
    <cellStyle name="Heading 1 3 2 9 7" xfId="27239"/>
    <cellStyle name="Heading 1 3 2 9 7 2" xfId="27240"/>
    <cellStyle name="Heading 1 3 2 9 7 2 2" xfId="27241"/>
    <cellStyle name="Heading 1 3 2 9 7 3" xfId="27242"/>
    <cellStyle name="Heading 1 3 2 9 8" xfId="27243"/>
    <cellStyle name="Heading 1 3 2 9 8 2" xfId="27244"/>
    <cellStyle name="Heading 1 3 2 9 9" xfId="27245"/>
    <cellStyle name="Heading 1 3 3" xfId="27246"/>
    <cellStyle name="Heading 1 3 4" xfId="27247"/>
    <cellStyle name="Heading 1 4" xfId="27248"/>
    <cellStyle name="Heading 1 4 2" xfId="27249"/>
    <cellStyle name="Heading 1 5" xfId="27250"/>
    <cellStyle name="Heading 1 6" xfId="27251"/>
    <cellStyle name="Heading 1 6 2" xfId="27252"/>
    <cellStyle name="Heading 1 7" xfId="27253"/>
    <cellStyle name="Heading 1 8" xfId="27254"/>
    <cellStyle name="Heading 1 9" xfId="27255"/>
    <cellStyle name="Heading 2" xfId="11" builtinId="17" hidden="1"/>
    <cellStyle name="Heading 2 10" xfId="27256"/>
    <cellStyle name="Heading 2 2" xfId="27257"/>
    <cellStyle name="Heading 2 2 10" xfId="27258"/>
    <cellStyle name="Heading 2 2 10 10" xfId="27259"/>
    <cellStyle name="Heading 2 2 10 10 2" xfId="27260"/>
    <cellStyle name="Heading 2 2 10 10 2 2" xfId="27261"/>
    <cellStyle name="Heading 2 2 10 10 3" xfId="27262"/>
    <cellStyle name="Heading 2 2 10 11" xfId="27263"/>
    <cellStyle name="Heading 2 2 10 11 2" xfId="27264"/>
    <cellStyle name="Heading 2 2 10 11 2 2" xfId="27265"/>
    <cellStyle name="Heading 2 2 10 11 3" xfId="27266"/>
    <cellStyle name="Heading 2 2 10 12" xfId="27267"/>
    <cellStyle name="Heading 2 2 10 12 2" xfId="27268"/>
    <cellStyle name="Heading 2 2 10 12 2 2" xfId="27269"/>
    <cellStyle name="Heading 2 2 10 12 3" xfId="27270"/>
    <cellStyle name="Heading 2 2 10 13" xfId="27271"/>
    <cellStyle name="Heading 2 2 10 13 2" xfId="27272"/>
    <cellStyle name="Heading 2 2 10 13 2 2" xfId="27273"/>
    <cellStyle name="Heading 2 2 10 13 3" xfId="27274"/>
    <cellStyle name="Heading 2 2 10 14" xfId="27275"/>
    <cellStyle name="Heading 2 2 10 14 2" xfId="27276"/>
    <cellStyle name="Heading 2 2 10 14 2 2" xfId="27277"/>
    <cellStyle name="Heading 2 2 10 14 3" xfId="27278"/>
    <cellStyle name="Heading 2 2 10 15" xfId="27279"/>
    <cellStyle name="Heading 2 2 10 15 2" xfId="27280"/>
    <cellStyle name="Heading 2 2 10 15 2 2" xfId="27281"/>
    <cellStyle name="Heading 2 2 10 15 3" xfId="27282"/>
    <cellStyle name="Heading 2 2 10 16" xfId="27283"/>
    <cellStyle name="Heading 2 2 10 16 2" xfId="27284"/>
    <cellStyle name="Heading 2 2 10 16 2 2" xfId="27285"/>
    <cellStyle name="Heading 2 2 10 16 3" xfId="27286"/>
    <cellStyle name="Heading 2 2 10 17" xfId="27287"/>
    <cellStyle name="Heading 2 2 10 17 2" xfId="27288"/>
    <cellStyle name="Heading 2 2 10 17 2 2" xfId="27289"/>
    <cellStyle name="Heading 2 2 10 17 3" xfId="27290"/>
    <cellStyle name="Heading 2 2 10 18" xfId="27291"/>
    <cellStyle name="Heading 2 2 10 18 2" xfId="27292"/>
    <cellStyle name="Heading 2 2 10 18 2 2" xfId="27293"/>
    <cellStyle name="Heading 2 2 10 18 3" xfId="27294"/>
    <cellStyle name="Heading 2 2 10 19" xfId="27295"/>
    <cellStyle name="Heading 2 2 10 19 2" xfId="27296"/>
    <cellStyle name="Heading 2 2 10 19 2 2" xfId="27297"/>
    <cellStyle name="Heading 2 2 10 19 3" xfId="27298"/>
    <cellStyle name="Heading 2 2 10 2" xfId="27299"/>
    <cellStyle name="Heading 2 2 10 2 10" xfId="27300"/>
    <cellStyle name="Heading 2 2 10 2 10 2" xfId="27301"/>
    <cellStyle name="Heading 2 2 10 2 10 2 2" xfId="27302"/>
    <cellStyle name="Heading 2 2 10 2 10 3" xfId="27303"/>
    <cellStyle name="Heading 2 2 10 2 11" xfId="27304"/>
    <cellStyle name="Heading 2 2 10 2 11 2" xfId="27305"/>
    <cellStyle name="Heading 2 2 10 2 11 2 2" xfId="27306"/>
    <cellStyle name="Heading 2 2 10 2 11 3" xfId="27307"/>
    <cellStyle name="Heading 2 2 10 2 12" xfId="27308"/>
    <cellStyle name="Heading 2 2 10 2 12 2" xfId="27309"/>
    <cellStyle name="Heading 2 2 10 2 12 2 2" xfId="27310"/>
    <cellStyle name="Heading 2 2 10 2 12 3" xfId="27311"/>
    <cellStyle name="Heading 2 2 10 2 13" xfId="27312"/>
    <cellStyle name="Heading 2 2 10 2 13 2" xfId="27313"/>
    <cellStyle name="Heading 2 2 10 2 13 2 2" xfId="27314"/>
    <cellStyle name="Heading 2 2 10 2 13 3" xfId="27315"/>
    <cellStyle name="Heading 2 2 10 2 14" xfId="27316"/>
    <cellStyle name="Heading 2 2 10 2 14 2" xfId="27317"/>
    <cellStyle name="Heading 2 2 10 2 14 2 2" xfId="27318"/>
    <cellStyle name="Heading 2 2 10 2 14 3" xfId="27319"/>
    <cellStyle name="Heading 2 2 10 2 15" xfId="27320"/>
    <cellStyle name="Heading 2 2 10 2 15 2" xfId="27321"/>
    <cellStyle name="Heading 2 2 10 2 15 2 2" xfId="27322"/>
    <cellStyle name="Heading 2 2 10 2 15 3" xfId="27323"/>
    <cellStyle name="Heading 2 2 10 2 16" xfId="27324"/>
    <cellStyle name="Heading 2 2 10 2 16 2" xfId="27325"/>
    <cellStyle name="Heading 2 2 10 2 16 2 2" xfId="27326"/>
    <cellStyle name="Heading 2 2 10 2 16 3" xfId="27327"/>
    <cellStyle name="Heading 2 2 10 2 17" xfId="27328"/>
    <cellStyle name="Heading 2 2 10 2 17 2" xfId="27329"/>
    <cellStyle name="Heading 2 2 10 2 17 2 2" xfId="27330"/>
    <cellStyle name="Heading 2 2 10 2 17 3" xfId="27331"/>
    <cellStyle name="Heading 2 2 10 2 18" xfId="27332"/>
    <cellStyle name="Heading 2 2 10 2 18 2" xfId="27333"/>
    <cellStyle name="Heading 2 2 10 2 18 2 2" xfId="27334"/>
    <cellStyle name="Heading 2 2 10 2 18 3" xfId="27335"/>
    <cellStyle name="Heading 2 2 10 2 19" xfId="27336"/>
    <cellStyle name="Heading 2 2 10 2 19 2" xfId="27337"/>
    <cellStyle name="Heading 2 2 10 2 2" xfId="27338"/>
    <cellStyle name="Heading 2 2 10 2 2 2" xfId="27339"/>
    <cellStyle name="Heading 2 2 10 2 2 2 2" xfId="27340"/>
    <cellStyle name="Heading 2 2 10 2 2 2 2 2" xfId="27341"/>
    <cellStyle name="Heading 2 2 10 2 2 2 3" xfId="27342"/>
    <cellStyle name="Heading 2 2 10 2 2 3" xfId="27343"/>
    <cellStyle name="Heading 2 2 10 2 2 3 2" xfId="27344"/>
    <cellStyle name="Heading 2 2 10 2 2 3 2 2" xfId="27345"/>
    <cellStyle name="Heading 2 2 10 2 2 3 3" xfId="27346"/>
    <cellStyle name="Heading 2 2 10 2 2 4" xfId="27347"/>
    <cellStyle name="Heading 2 2 10 2 2 4 2" xfId="27348"/>
    <cellStyle name="Heading 2 2 10 2 2 4 2 2" xfId="27349"/>
    <cellStyle name="Heading 2 2 10 2 2 4 3" xfId="27350"/>
    <cellStyle name="Heading 2 2 10 2 2 5" xfId="27351"/>
    <cellStyle name="Heading 2 2 10 2 2 5 2" xfId="27352"/>
    <cellStyle name="Heading 2 2 10 2 2 5 2 2" xfId="27353"/>
    <cellStyle name="Heading 2 2 10 2 2 5 3" xfId="27354"/>
    <cellStyle name="Heading 2 2 10 2 2 6" xfId="27355"/>
    <cellStyle name="Heading 2 2 10 2 2 6 2" xfId="27356"/>
    <cellStyle name="Heading 2 2 10 2 2 6 2 2" xfId="27357"/>
    <cellStyle name="Heading 2 2 10 2 2 6 3" xfId="27358"/>
    <cellStyle name="Heading 2 2 10 2 2 7" xfId="27359"/>
    <cellStyle name="Heading 2 2 10 2 2 7 2" xfId="27360"/>
    <cellStyle name="Heading 2 2 10 2 2 7 2 2" xfId="27361"/>
    <cellStyle name="Heading 2 2 10 2 2 7 3" xfId="27362"/>
    <cellStyle name="Heading 2 2 10 2 2 8" xfId="27363"/>
    <cellStyle name="Heading 2 2 10 2 2 8 2" xfId="27364"/>
    <cellStyle name="Heading 2 2 10 2 2 9" xfId="27365"/>
    <cellStyle name="Heading 2 2 10 2 20" xfId="27366"/>
    <cellStyle name="Heading 2 2 10 2 20 2" xfId="27367"/>
    <cellStyle name="Heading 2 2 10 2 21" xfId="27368"/>
    <cellStyle name="Heading 2 2 10 2 21 2" xfId="27369"/>
    <cellStyle name="Heading 2 2 10 2 22" xfId="27370"/>
    <cellStyle name="Heading 2 2 10 2 3" xfId="27371"/>
    <cellStyle name="Heading 2 2 10 2 3 2" xfId="27372"/>
    <cellStyle name="Heading 2 2 10 2 3 2 2" xfId="27373"/>
    <cellStyle name="Heading 2 2 10 2 3 2 2 2" xfId="27374"/>
    <cellStyle name="Heading 2 2 10 2 3 2 3" xfId="27375"/>
    <cellStyle name="Heading 2 2 10 2 3 3" xfId="27376"/>
    <cellStyle name="Heading 2 2 10 2 3 3 2" xfId="27377"/>
    <cellStyle name="Heading 2 2 10 2 3 3 2 2" xfId="27378"/>
    <cellStyle name="Heading 2 2 10 2 3 3 3" xfId="27379"/>
    <cellStyle name="Heading 2 2 10 2 3 4" xfId="27380"/>
    <cellStyle name="Heading 2 2 10 2 3 4 2" xfId="27381"/>
    <cellStyle name="Heading 2 2 10 2 3 4 2 2" xfId="27382"/>
    <cellStyle name="Heading 2 2 10 2 3 4 3" xfId="27383"/>
    <cellStyle name="Heading 2 2 10 2 3 5" xfId="27384"/>
    <cellStyle name="Heading 2 2 10 2 3 5 2" xfId="27385"/>
    <cellStyle name="Heading 2 2 10 2 3 5 2 2" xfId="27386"/>
    <cellStyle name="Heading 2 2 10 2 3 5 3" xfId="27387"/>
    <cellStyle name="Heading 2 2 10 2 3 6" xfId="27388"/>
    <cellStyle name="Heading 2 2 10 2 3 6 2" xfId="27389"/>
    <cellStyle name="Heading 2 2 10 2 3 6 2 2" xfId="27390"/>
    <cellStyle name="Heading 2 2 10 2 3 6 3" xfId="27391"/>
    <cellStyle name="Heading 2 2 10 2 3 7" xfId="27392"/>
    <cellStyle name="Heading 2 2 10 2 3 7 2" xfId="27393"/>
    <cellStyle name="Heading 2 2 10 2 3 7 2 2" xfId="27394"/>
    <cellStyle name="Heading 2 2 10 2 3 7 3" xfId="27395"/>
    <cellStyle name="Heading 2 2 10 2 3 8" xfId="27396"/>
    <cellStyle name="Heading 2 2 10 2 3 8 2" xfId="27397"/>
    <cellStyle name="Heading 2 2 10 2 3 9" xfId="27398"/>
    <cellStyle name="Heading 2 2 10 2 4" xfId="27399"/>
    <cellStyle name="Heading 2 2 10 2 4 2" xfId="27400"/>
    <cellStyle name="Heading 2 2 10 2 4 2 2" xfId="27401"/>
    <cellStyle name="Heading 2 2 10 2 4 2 2 2" xfId="27402"/>
    <cellStyle name="Heading 2 2 10 2 4 2 3" xfId="27403"/>
    <cellStyle name="Heading 2 2 10 2 4 3" xfId="27404"/>
    <cellStyle name="Heading 2 2 10 2 4 3 2" xfId="27405"/>
    <cellStyle name="Heading 2 2 10 2 4 3 2 2" xfId="27406"/>
    <cellStyle name="Heading 2 2 10 2 4 3 3" xfId="27407"/>
    <cellStyle name="Heading 2 2 10 2 4 4" xfId="27408"/>
    <cellStyle name="Heading 2 2 10 2 4 4 2" xfId="27409"/>
    <cellStyle name="Heading 2 2 10 2 4 4 2 2" xfId="27410"/>
    <cellStyle name="Heading 2 2 10 2 4 4 3" xfId="27411"/>
    <cellStyle name="Heading 2 2 10 2 4 5" xfId="27412"/>
    <cellStyle name="Heading 2 2 10 2 4 5 2" xfId="27413"/>
    <cellStyle name="Heading 2 2 10 2 4 5 2 2" xfId="27414"/>
    <cellStyle name="Heading 2 2 10 2 4 5 3" xfId="27415"/>
    <cellStyle name="Heading 2 2 10 2 4 6" xfId="27416"/>
    <cellStyle name="Heading 2 2 10 2 4 6 2" xfId="27417"/>
    <cellStyle name="Heading 2 2 10 2 4 6 2 2" xfId="27418"/>
    <cellStyle name="Heading 2 2 10 2 4 6 3" xfId="27419"/>
    <cellStyle name="Heading 2 2 10 2 4 7" xfId="27420"/>
    <cellStyle name="Heading 2 2 10 2 4 7 2" xfId="27421"/>
    <cellStyle name="Heading 2 2 10 2 4 7 2 2" xfId="27422"/>
    <cellStyle name="Heading 2 2 10 2 4 7 3" xfId="27423"/>
    <cellStyle name="Heading 2 2 10 2 4 8" xfId="27424"/>
    <cellStyle name="Heading 2 2 10 2 4 8 2" xfId="27425"/>
    <cellStyle name="Heading 2 2 10 2 4 9" xfId="27426"/>
    <cellStyle name="Heading 2 2 10 2 5" xfId="27427"/>
    <cellStyle name="Heading 2 2 10 2 5 2" xfId="27428"/>
    <cellStyle name="Heading 2 2 10 2 5 2 2" xfId="27429"/>
    <cellStyle name="Heading 2 2 10 2 5 2 2 2" xfId="27430"/>
    <cellStyle name="Heading 2 2 10 2 5 2 3" xfId="27431"/>
    <cellStyle name="Heading 2 2 10 2 5 3" xfId="27432"/>
    <cellStyle name="Heading 2 2 10 2 5 3 2" xfId="27433"/>
    <cellStyle name="Heading 2 2 10 2 5 3 2 2" xfId="27434"/>
    <cellStyle name="Heading 2 2 10 2 5 3 3" xfId="27435"/>
    <cellStyle name="Heading 2 2 10 2 5 4" xfId="27436"/>
    <cellStyle name="Heading 2 2 10 2 5 4 2" xfId="27437"/>
    <cellStyle name="Heading 2 2 10 2 5 4 2 2" xfId="27438"/>
    <cellStyle name="Heading 2 2 10 2 5 4 3" xfId="27439"/>
    <cellStyle name="Heading 2 2 10 2 5 5" xfId="27440"/>
    <cellStyle name="Heading 2 2 10 2 5 5 2" xfId="27441"/>
    <cellStyle name="Heading 2 2 10 2 5 5 2 2" xfId="27442"/>
    <cellStyle name="Heading 2 2 10 2 5 5 3" xfId="27443"/>
    <cellStyle name="Heading 2 2 10 2 5 6" xfId="27444"/>
    <cellStyle name="Heading 2 2 10 2 5 6 2" xfId="27445"/>
    <cellStyle name="Heading 2 2 10 2 5 6 2 2" xfId="27446"/>
    <cellStyle name="Heading 2 2 10 2 5 6 3" xfId="27447"/>
    <cellStyle name="Heading 2 2 10 2 5 7" xfId="27448"/>
    <cellStyle name="Heading 2 2 10 2 5 7 2" xfId="27449"/>
    <cellStyle name="Heading 2 2 10 2 5 7 2 2" xfId="27450"/>
    <cellStyle name="Heading 2 2 10 2 5 7 3" xfId="27451"/>
    <cellStyle name="Heading 2 2 10 2 5 8" xfId="27452"/>
    <cellStyle name="Heading 2 2 10 2 5 8 2" xfId="27453"/>
    <cellStyle name="Heading 2 2 10 2 5 9" xfId="27454"/>
    <cellStyle name="Heading 2 2 10 2 6" xfId="27455"/>
    <cellStyle name="Heading 2 2 10 2 6 2" xfId="27456"/>
    <cellStyle name="Heading 2 2 10 2 6 2 2" xfId="27457"/>
    <cellStyle name="Heading 2 2 10 2 6 2 2 2" xfId="27458"/>
    <cellStyle name="Heading 2 2 10 2 6 2 3" xfId="27459"/>
    <cellStyle name="Heading 2 2 10 2 6 3" xfId="27460"/>
    <cellStyle name="Heading 2 2 10 2 6 3 2" xfId="27461"/>
    <cellStyle name="Heading 2 2 10 2 6 3 2 2" xfId="27462"/>
    <cellStyle name="Heading 2 2 10 2 6 3 3" xfId="27463"/>
    <cellStyle name="Heading 2 2 10 2 6 4" xfId="27464"/>
    <cellStyle name="Heading 2 2 10 2 6 4 2" xfId="27465"/>
    <cellStyle name="Heading 2 2 10 2 6 4 2 2" xfId="27466"/>
    <cellStyle name="Heading 2 2 10 2 6 4 3" xfId="27467"/>
    <cellStyle name="Heading 2 2 10 2 6 5" xfId="27468"/>
    <cellStyle name="Heading 2 2 10 2 6 5 2" xfId="27469"/>
    <cellStyle name="Heading 2 2 10 2 6 5 2 2" xfId="27470"/>
    <cellStyle name="Heading 2 2 10 2 6 5 3" xfId="27471"/>
    <cellStyle name="Heading 2 2 10 2 6 6" xfId="27472"/>
    <cellStyle name="Heading 2 2 10 2 6 6 2" xfId="27473"/>
    <cellStyle name="Heading 2 2 10 2 6 6 2 2" xfId="27474"/>
    <cellStyle name="Heading 2 2 10 2 6 6 3" xfId="27475"/>
    <cellStyle name="Heading 2 2 10 2 6 7" xfId="27476"/>
    <cellStyle name="Heading 2 2 10 2 6 7 2" xfId="27477"/>
    <cellStyle name="Heading 2 2 10 2 6 7 2 2" xfId="27478"/>
    <cellStyle name="Heading 2 2 10 2 6 7 3" xfId="27479"/>
    <cellStyle name="Heading 2 2 10 2 6 8" xfId="27480"/>
    <cellStyle name="Heading 2 2 10 2 6 8 2" xfId="27481"/>
    <cellStyle name="Heading 2 2 10 2 6 9" xfId="27482"/>
    <cellStyle name="Heading 2 2 10 2 7" xfId="27483"/>
    <cellStyle name="Heading 2 2 10 2 7 2" xfId="27484"/>
    <cellStyle name="Heading 2 2 10 2 7 2 2" xfId="27485"/>
    <cellStyle name="Heading 2 2 10 2 7 2 2 2" xfId="27486"/>
    <cellStyle name="Heading 2 2 10 2 7 2 3" xfId="27487"/>
    <cellStyle name="Heading 2 2 10 2 7 3" xfId="27488"/>
    <cellStyle name="Heading 2 2 10 2 7 3 2" xfId="27489"/>
    <cellStyle name="Heading 2 2 10 2 7 3 2 2" xfId="27490"/>
    <cellStyle name="Heading 2 2 10 2 7 3 3" xfId="27491"/>
    <cellStyle name="Heading 2 2 10 2 7 4" xfId="27492"/>
    <cellStyle name="Heading 2 2 10 2 7 4 2" xfId="27493"/>
    <cellStyle name="Heading 2 2 10 2 7 4 2 2" xfId="27494"/>
    <cellStyle name="Heading 2 2 10 2 7 4 3" xfId="27495"/>
    <cellStyle name="Heading 2 2 10 2 7 5" xfId="27496"/>
    <cellStyle name="Heading 2 2 10 2 7 5 2" xfId="27497"/>
    <cellStyle name="Heading 2 2 10 2 7 5 2 2" xfId="27498"/>
    <cellStyle name="Heading 2 2 10 2 7 5 3" xfId="27499"/>
    <cellStyle name="Heading 2 2 10 2 7 6" xfId="27500"/>
    <cellStyle name="Heading 2 2 10 2 7 6 2" xfId="27501"/>
    <cellStyle name="Heading 2 2 10 2 7 6 2 2" xfId="27502"/>
    <cellStyle name="Heading 2 2 10 2 7 6 3" xfId="27503"/>
    <cellStyle name="Heading 2 2 10 2 7 7" xfId="27504"/>
    <cellStyle name="Heading 2 2 10 2 7 7 2" xfId="27505"/>
    <cellStyle name="Heading 2 2 10 2 7 7 2 2" xfId="27506"/>
    <cellStyle name="Heading 2 2 10 2 7 7 3" xfId="27507"/>
    <cellStyle name="Heading 2 2 10 2 7 8" xfId="27508"/>
    <cellStyle name="Heading 2 2 10 2 7 8 2" xfId="27509"/>
    <cellStyle name="Heading 2 2 10 2 7 9" xfId="27510"/>
    <cellStyle name="Heading 2 2 10 2 8" xfId="27511"/>
    <cellStyle name="Heading 2 2 10 2 8 2" xfId="27512"/>
    <cellStyle name="Heading 2 2 10 2 8 2 2" xfId="27513"/>
    <cellStyle name="Heading 2 2 10 2 8 2 2 2" xfId="27514"/>
    <cellStyle name="Heading 2 2 10 2 8 2 3" xfId="27515"/>
    <cellStyle name="Heading 2 2 10 2 8 3" xfId="27516"/>
    <cellStyle name="Heading 2 2 10 2 8 3 2" xfId="27517"/>
    <cellStyle name="Heading 2 2 10 2 8 3 2 2" xfId="27518"/>
    <cellStyle name="Heading 2 2 10 2 8 3 3" xfId="27519"/>
    <cellStyle name="Heading 2 2 10 2 8 4" xfId="27520"/>
    <cellStyle name="Heading 2 2 10 2 8 4 2" xfId="27521"/>
    <cellStyle name="Heading 2 2 10 2 8 4 2 2" xfId="27522"/>
    <cellStyle name="Heading 2 2 10 2 8 4 3" xfId="27523"/>
    <cellStyle name="Heading 2 2 10 2 8 5" xfId="27524"/>
    <cellStyle name="Heading 2 2 10 2 8 5 2" xfId="27525"/>
    <cellStyle name="Heading 2 2 10 2 8 5 2 2" xfId="27526"/>
    <cellStyle name="Heading 2 2 10 2 8 5 3" xfId="27527"/>
    <cellStyle name="Heading 2 2 10 2 8 6" xfId="27528"/>
    <cellStyle name="Heading 2 2 10 2 8 6 2" xfId="27529"/>
    <cellStyle name="Heading 2 2 10 2 8 6 2 2" xfId="27530"/>
    <cellStyle name="Heading 2 2 10 2 8 6 3" xfId="27531"/>
    <cellStyle name="Heading 2 2 10 2 8 7" xfId="27532"/>
    <cellStyle name="Heading 2 2 10 2 8 7 2" xfId="27533"/>
    <cellStyle name="Heading 2 2 10 2 8 7 2 2" xfId="27534"/>
    <cellStyle name="Heading 2 2 10 2 8 7 3" xfId="27535"/>
    <cellStyle name="Heading 2 2 10 2 8 8" xfId="27536"/>
    <cellStyle name="Heading 2 2 10 2 8 8 2" xfId="27537"/>
    <cellStyle name="Heading 2 2 10 2 8 9" xfId="27538"/>
    <cellStyle name="Heading 2 2 10 2 9" xfId="27539"/>
    <cellStyle name="Heading 2 2 10 2 9 2" xfId="27540"/>
    <cellStyle name="Heading 2 2 10 2 9 2 2" xfId="27541"/>
    <cellStyle name="Heading 2 2 10 2 9 3" xfId="27542"/>
    <cellStyle name="Heading 2 2 10 20" xfId="27543"/>
    <cellStyle name="Heading 2 2 10 20 2" xfId="27544"/>
    <cellStyle name="Heading 2 2 10 21" xfId="27545"/>
    <cellStyle name="Heading 2 2 10 21 2" xfId="27546"/>
    <cellStyle name="Heading 2 2 10 22" xfId="27547"/>
    <cellStyle name="Heading 2 2 10 22 2" xfId="27548"/>
    <cellStyle name="Heading 2 2 10 23" xfId="27549"/>
    <cellStyle name="Heading 2 2 10 3" xfId="27550"/>
    <cellStyle name="Heading 2 2 10 3 2" xfId="27551"/>
    <cellStyle name="Heading 2 2 10 3 2 2" xfId="27552"/>
    <cellStyle name="Heading 2 2 10 3 2 2 2" xfId="27553"/>
    <cellStyle name="Heading 2 2 10 3 2 3" xfId="27554"/>
    <cellStyle name="Heading 2 2 10 3 3" xfId="27555"/>
    <cellStyle name="Heading 2 2 10 3 3 2" xfId="27556"/>
    <cellStyle name="Heading 2 2 10 3 3 2 2" xfId="27557"/>
    <cellStyle name="Heading 2 2 10 3 3 3" xfId="27558"/>
    <cellStyle name="Heading 2 2 10 3 4" xfId="27559"/>
    <cellStyle name="Heading 2 2 10 3 4 2" xfId="27560"/>
    <cellStyle name="Heading 2 2 10 3 4 2 2" xfId="27561"/>
    <cellStyle name="Heading 2 2 10 3 4 3" xfId="27562"/>
    <cellStyle name="Heading 2 2 10 3 5" xfId="27563"/>
    <cellStyle name="Heading 2 2 10 3 5 2" xfId="27564"/>
    <cellStyle name="Heading 2 2 10 3 5 2 2" xfId="27565"/>
    <cellStyle name="Heading 2 2 10 3 5 3" xfId="27566"/>
    <cellStyle name="Heading 2 2 10 3 6" xfId="27567"/>
    <cellStyle name="Heading 2 2 10 3 6 2" xfId="27568"/>
    <cellStyle name="Heading 2 2 10 3 6 2 2" xfId="27569"/>
    <cellStyle name="Heading 2 2 10 3 6 3" xfId="27570"/>
    <cellStyle name="Heading 2 2 10 3 7" xfId="27571"/>
    <cellStyle name="Heading 2 2 10 3 7 2" xfId="27572"/>
    <cellStyle name="Heading 2 2 10 3 7 2 2" xfId="27573"/>
    <cellStyle name="Heading 2 2 10 3 7 3" xfId="27574"/>
    <cellStyle name="Heading 2 2 10 3 8" xfId="27575"/>
    <cellStyle name="Heading 2 2 10 3 8 2" xfId="27576"/>
    <cellStyle name="Heading 2 2 10 3 9" xfId="27577"/>
    <cellStyle name="Heading 2 2 10 4" xfId="27578"/>
    <cellStyle name="Heading 2 2 10 4 2" xfId="27579"/>
    <cellStyle name="Heading 2 2 10 4 2 2" xfId="27580"/>
    <cellStyle name="Heading 2 2 10 4 2 2 2" xfId="27581"/>
    <cellStyle name="Heading 2 2 10 4 2 3" xfId="27582"/>
    <cellStyle name="Heading 2 2 10 4 3" xfId="27583"/>
    <cellStyle name="Heading 2 2 10 4 3 2" xfId="27584"/>
    <cellStyle name="Heading 2 2 10 4 3 2 2" xfId="27585"/>
    <cellStyle name="Heading 2 2 10 4 3 3" xfId="27586"/>
    <cellStyle name="Heading 2 2 10 4 4" xfId="27587"/>
    <cellStyle name="Heading 2 2 10 4 4 2" xfId="27588"/>
    <cellStyle name="Heading 2 2 10 4 4 2 2" xfId="27589"/>
    <cellStyle name="Heading 2 2 10 4 4 3" xfId="27590"/>
    <cellStyle name="Heading 2 2 10 4 5" xfId="27591"/>
    <cellStyle name="Heading 2 2 10 4 5 2" xfId="27592"/>
    <cellStyle name="Heading 2 2 10 4 5 2 2" xfId="27593"/>
    <cellStyle name="Heading 2 2 10 4 5 3" xfId="27594"/>
    <cellStyle name="Heading 2 2 10 4 6" xfId="27595"/>
    <cellStyle name="Heading 2 2 10 4 6 2" xfId="27596"/>
    <cellStyle name="Heading 2 2 10 4 6 2 2" xfId="27597"/>
    <cellStyle name="Heading 2 2 10 4 6 3" xfId="27598"/>
    <cellStyle name="Heading 2 2 10 4 7" xfId="27599"/>
    <cellStyle name="Heading 2 2 10 4 7 2" xfId="27600"/>
    <cellStyle name="Heading 2 2 10 4 7 2 2" xfId="27601"/>
    <cellStyle name="Heading 2 2 10 4 7 3" xfId="27602"/>
    <cellStyle name="Heading 2 2 10 4 8" xfId="27603"/>
    <cellStyle name="Heading 2 2 10 4 8 2" xfId="27604"/>
    <cellStyle name="Heading 2 2 10 4 9" xfId="27605"/>
    <cellStyle name="Heading 2 2 10 5" xfId="27606"/>
    <cellStyle name="Heading 2 2 10 5 2" xfId="27607"/>
    <cellStyle name="Heading 2 2 10 5 2 2" xfId="27608"/>
    <cellStyle name="Heading 2 2 10 5 2 2 2" xfId="27609"/>
    <cellStyle name="Heading 2 2 10 5 2 3" xfId="27610"/>
    <cellStyle name="Heading 2 2 10 5 3" xfId="27611"/>
    <cellStyle name="Heading 2 2 10 5 3 2" xfId="27612"/>
    <cellStyle name="Heading 2 2 10 5 3 2 2" xfId="27613"/>
    <cellStyle name="Heading 2 2 10 5 3 3" xfId="27614"/>
    <cellStyle name="Heading 2 2 10 5 4" xfId="27615"/>
    <cellStyle name="Heading 2 2 10 5 4 2" xfId="27616"/>
    <cellStyle name="Heading 2 2 10 5 4 2 2" xfId="27617"/>
    <cellStyle name="Heading 2 2 10 5 4 3" xfId="27618"/>
    <cellStyle name="Heading 2 2 10 5 5" xfId="27619"/>
    <cellStyle name="Heading 2 2 10 5 5 2" xfId="27620"/>
    <cellStyle name="Heading 2 2 10 5 5 2 2" xfId="27621"/>
    <cellStyle name="Heading 2 2 10 5 5 3" xfId="27622"/>
    <cellStyle name="Heading 2 2 10 5 6" xfId="27623"/>
    <cellStyle name="Heading 2 2 10 5 6 2" xfId="27624"/>
    <cellStyle name="Heading 2 2 10 5 6 2 2" xfId="27625"/>
    <cellStyle name="Heading 2 2 10 5 6 3" xfId="27626"/>
    <cellStyle name="Heading 2 2 10 5 7" xfId="27627"/>
    <cellStyle name="Heading 2 2 10 5 7 2" xfId="27628"/>
    <cellStyle name="Heading 2 2 10 5 7 2 2" xfId="27629"/>
    <cellStyle name="Heading 2 2 10 5 7 3" xfId="27630"/>
    <cellStyle name="Heading 2 2 10 5 8" xfId="27631"/>
    <cellStyle name="Heading 2 2 10 5 8 2" xfId="27632"/>
    <cellStyle name="Heading 2 2 10 5 9" xfId="27633"/>
    <cellStyle name="Heading 2 2 10 6" xfId="27634"/>
    <cellStyle name="Heading 2 2 10 6 2" xfId="27635"/>
    <cellStyle name="Heading 2 2 10 6 2 2" xfId="27636"/>
    <cellStyle name="Heading 2 2 10 6 2 2 2" xfId="27637"/>
    <cellStyle name="Heading 2 2 10 6 2 3" xfId="27638"/>
    <cellStyle name="Heading 2 2 10 6 3" xfId="27639"/>
    <cellStyle name="Heading 2 2 10 6 3 2" xfId="27640"/>
    <cellStyle name="Heading 2 2 10 6 3 2 2" xfId="27641"/>
    <cellStyle name="Heading 2 2 10 6 3 3" xfId="27642"/>
    <cellStyle name="Heading 2 2 10 6 4" xfId="27643"/>
    <cellStyle name="Heading 2 2 10 6 4 2" xfId="27644"/>
    <cellStyle name="Heading 2 2 10 6 4 2 2" xfId="27645"/>
    <cellStyle name="Heading 2 2 10 6 4 3" xfId="27646"/>
    <cellStyle name="Heading 2 2 10 6 5" xfId="27647"/>
    <cellStyle name="Heading 2 2 10 6 5 2" xfId="27648"/>
    <cellStyle name="Heading 2 2 10 6 5 2 2" xfId="27649"/>
    <cellStyle name="Heading 2 2 10 6 5 3" xfId="27650"/>
    <cellStyle name="Heading 2 2 10 6 6" xfId="27651"/>
    <cellStyle name="Heading 2 2 10 6 6 2" xfId="27652"/>
    <cellStyle name="Heading 2 2 10 6 6 2 2" xfId="27653"/>
    <cellStyle name="Heading 2 2 10 6 6 3" xfId="27654"/>
    <cellStyle name="Heading 2 2 10 6 7" xfId="27655"/>
    <cellStyle name="Heading 2 2 10 6 7 2" xfId="27656"/>
    <cellStyle name="Heading 2 2 10 6 7 2 2" xfId="27657"/>
    <cellStyle name="Heading 2 2 10 6 7 3" xfId="27658"/>
    <cellStyle name="Heading 2 2 10 6 8" xfId="27659"/>
    <cellStyle name="Heading 2 2 10 6 8 2" xfId="27660"/>
    <cellStyle name="Heading 2 2 10 6 9" xfId="27661"/>
    <cellStyle name="Heading 2 2 10 7" xfId="27662"/>
    <cellStyle name="Heading 2 2 10 7 2" xfId="27663"/>
    <cellStyle name="Heading 2 2 10 7 2 2" xfId="27664"/>
    <cellStyle name="Heading 2 2 10 7 2 2 2" xfId="27665"/>
    <cellStyle name="Heading 2 2 10 7 2 3" xfId="27666"/>
    <cellStyle name="Heading 2 2 10 7 3" xfId="27667"/>
    <cellStyle name="Heading 2 2 10 7 3 2" xfId="27668"/>
    <cellStyle name="Heading 2 2 10 7 3 2 2" xfId="27669"/>
    <cellStyle name="Heading 2 2 10 7 3 3" xfId="27670"/>
    <cellStyle name="Heading 2 2 10 7 4" xfId="27671"/>
    <cellStyle name="Heading 2 2 10 7 4 2" xfId="27672"/>
    <cellStyle name="Heading 2 2 10 7 4 2 2" xfId="27673"/>
    <cellStyle name="Heading 2 2 10 7 4 3" xfId="27674"/>
    <cellStyle name="Heading 2 2 10 7 5" xfId="27675"/>
    <cellStyle name="Heading 2 2 10 7 5 2" xfId="27676"/>
    <cellStyle name="Heading 2 2 10 7 5 2 2" xfId="27677"/>
    <cellStyle name="Heading 2 2 10 7 5 3" xfId="27678"/>
    <cellStyle name="Heading 2 2 10 7 6" xfId="27679"/>
    <cellStyle name="Heading 2 2 10 7 6 2" xfId="27680"/>
    <cellStyle name="Heading 2 2 10 7 6 2 2" xfId="27681"/>
    <cellStyle name="Heading 2 2 10 7 6 3" xfId="27682"/>
    <cellStyle name="Heading 2 2 10 7 7" xfId="27683"/>
    <cellStyle name="Heading 2 2 10 7 7 2" xfId="27684"/>
    <cellStyle name="Heading 2 2 10 7 7 2 2" xfId="27685"/>
    <cellStyle name="Heading 2 2 10 7 7 3" xfId="27686"/>
    <cellStyle name="Heading 2 2 10 7 8" xfId="27687"/>
    <cellStyle name="Heading 2 2 10 7 8 2" xfId="27688"/>
    <cellStyle name="Heading 2 2 10 7 9" xfId="27689"/>
    <cellStyle name="Heading 2 2 10 8" xfId="27690"/>
    <cellStyle name="Heading 2 2 10 8 2" xfId="27691"/>
    <cellStyle name="Heading 2 2 10 8 2 2" xfId="27692"/>
    <cellStyle name="Heading 2 2 10 8 2 2 2" xfId="27693"/>
    <cellStyle name="Heading 2 2 10 8 2 3" xfId="27694"/>
    <cellStyle name="Heading 2 2 10 8 3" xfId="27695"/>
    <cellStyle name="Heading 2 2 10 8 3 2" xfId="27696"/>
    <cellStyle name="Heading 2 2 10 8 3 2 2" xfId="27697"/>
    <cellStyle name="Heading 2 2 10 8 3 3" xfId="27698"/>
    <cellStyle name="Heading 2 2 10 8 4" xfId="27699"/>
    <cellStyle name="Heading 2 2 10 8 4 2" xfId="27700"/>
    <cellStyle name="Heading 2 2 10 8 4 2 2" xfId="27701"/>
    <cellStyle name="Heading 2 2 10 8 4 3" xfId="27702"/>
    <cellStyle name="Heading 2 2 10 8 5" xfId="27703"/>
    <cellStyle name="Heading 2 2 10 8 5 2" xfId="27704"/>
    <cellStyle name="Heading 2 2 10 8 5 2 2" xfId="27705"/>
    <cellStyle name="Heading 2 2 10 8 5 3" xfId="27706"/>
    <cellStyle name="Heading 2 2 10 8 6" xfId="27707"/>
    <cellStyle name="Heading 2 2 10 8 6 2" xfId="27708"/>
    <cellStyle name="Heading 2 2 10 8 6 2 2" xfId="27709"/>
    <cellStyle name="Heading 2 2 10 8 6 3" xfId="27710"/>
    <cellStyle name="Heading 2 2 10 8 7" xfId="27711"/>
    <cellStyle name="Heading 2 2 10 8 7 2" xfId="27712"/>
    <cellStyle name="Heading 2 2 10 8 7 2 2" xfId="27713"/>
    <cellStyle name="Heading 2 2 10 8 7 3" xfId="27714"/>
    <cellStyle name="Heading 2 2 10 8 8" xfId="27715"/>
    <cellStyle name="Heading 2 2 10 8 8 2" xfId="27716"/>
    <cellStyle name="Heading 2 2 10 8 9" xfId="27717"/>
    <cellStyle name="Heading 2 2 10 9" xfId="27718"/>
    <cellStyle name="Heading 2 2 10 9 2" xfId="27719"/>
    <cellStyle name="Heading 2 2 10 9 2 2" xfId="27720"/>
    <cellStyle name="Heading 2 2 10 9 2 2 2" xfId="27721"/>
    <cellStyle name="Heading 2 2 10 9 2 3" xfId="27722"/>
    <cellStyle name="Heading 2 2 10 9 3" xfId="27723"/>
    <cellStyle name="Heading 2 2 10 9 3 2" xfId="27724"/>
    <cellStyle name="Heading 2 2 10 9 3 2 2" xfId="27725"/>
    <cellStyle name="Heading 2 2 10 9 3 3" xfId="27726"/>
    <cellStyle name="Heading 2 2 10 9 4" xfId="27727"/>
    <cellStyle name="Heading 2 2 10 9 4 2" xfId="27728"/>
    <cellStyle name="Heading 2 2 10 9 4 2 2" xfId="27729"/>
    <cellStyle name="Heading 2 2 10 9 4 3" xfId="27730"/>
    <cellStyle name="Heading 2 2 10 9 5" xfId="27731"/>
    <cellStyle name="Heading 2 2 10 9 5 2" xfId="27732"/>
    <cellStyle name="Heading 2 2 10 9 5 2 2" xfId="27733"/>
    <cellStyle name="Heading 2 2 10 9 5 3" xfId="27734"/>
    <cellStyle name="Heading 2 2 10 9 6" xfId="27735"/>
    <cellStyle name="Heading 2 2 10 9 6 2" xfId="27736"/>
    <cellStyle name="Heading 2 2 10 9 6 2 2" xfId="27737"/>
    <cellStyle name="Heading 2 2 10 9 6 3" xfId="27738"/>
    <cellStyle name="Heading 2 2 10 9 7" xfId="27739"/>
    <cellStyle name="Heading 2 2 10 9 7 2" xfId="27740"/>
    <cellStyle name="Heading 2 2 10 9 7 2 2" xfId="27741"/>
    <cellStyle name="Heading 2 2 10 9 7 3" xfId="27742"/>
    <cellStyle name="Heading 2 2 10 9 8" xfId="27743"/>
    <cellStyle name="Heading 2 2 10 9 8 2" xfId="27744"/>
    <cellStyle name="Heading 2 2 10 9 9" xfId="27745"/>
    <cellStyle name="Heading 2 2 11" xfId="27746"/>
    <cellStyle name="Heading 2 2 11 2" xfId="27747"/>
    <cellStyle name="Heading 2 2 11 2 2" xfId="27748"/>
    <cellStyle name="Heading 2 2 11 3" xfId="27749"/>
    <cellStyle name="Heading 2 2 11 3 2" xfId="27750"/>
    <cellStyle name="Heading 2 2 11 4" xfId="27751"/>
    <cellStyle name="Heading 2 2 12" xfId="27752"/>
    <cellStyle name="Heading 2 2 12 2" xfId="27753"/>
    <cellStyle name="Heading 2 2 2" xfId="27754"/>
    <cellStyle name="Heading 2 2 2 10" xfId="27755"/>
    <cellStyle name="Heading 2 2 2 10 2" xfId="27756"/>
    <cellStyle name="Heading 2 2 2 10 2 2" xfId="27757"/>
    <cellStyle name="Heading 2 2 2 10 3" xfId="27758"/>
    <cellStyle name="Heading 2 2 2 10 3 2" xfId="27759"/>
    <cellStyle name="Heading 2 2 2 10 4" xfId="27760"/>
    <cellStyle name="Heading 2 2 2 11" xfId="27761"/>
    <cellStyle name="Heading 2 2 2 11 2" xfId="27762"/>
    <cellStyle name="Heading 2 2 2 11 2 2" xfId="27763"/>
    <cellStyle name="Heading 2 2 2 11 3" xfId="27764"/>
    <cellStyle name="Heading 2 2 2 12" xfId="27765"/>
    <cellStyle name="Heading 2 2 2 12 2" xfId="27766"/>
    <cellStyle name="Heading 2 2 2 2" xfId="27767"/>
    <cellStyle name="Heading 2 2 2 2 10" xfId="27768"/>
    <cellStyle name="Heading 2 2 2 2 10 2" xfId="27769"/>
    <cellStyle name="Heading 2 2 2 2 10 2 2" xfId="27770"/>
    <cellStyle name="Heading 2 2 2 2 10 3" xfId="27771"/>
    <cellStyle name="Heading 2 2 2 2 10 3 2" xfId="27772"/>
    <cellStyle name="Heading 2 2 2 2 10 4" xfId="27773"/>
    <cellStyle name="Heading 2 2 2 2 11" xfId="27774"/>
    <cellStyle name="Heading 2 2 2 2 11 2" xfId="27775"/>
    <cellStyle name="Heading 2 2 2 2 11 2 2" xfId="27776"/>
    <cellStyle name="Heading 2 2 2 2 11 3" xfId="27777"/>
    <cellStyle name="Heading 2 2 2 2 11 3 2" xfId="27778"/>
    <cellStyle name="Heading 2 2 2 2 11 4" xfId="27779"/>
    <cellStyle name="Heading 2 2 2 2 12" xfId="27780"/>
    <cellStyle name="Heading 2 2 2 2 12 2" xfId="27781"/>
    <cellStyle name="Heading 2 2 2 2 12 2 2" xfId="27782"/>
    <cellStyle name="Heading 2 2 2 2 12 3" xfId="27783"/>
    <cellStyle name="Heading 2 2 2 2 12 3 2" xfId="27784"/>
    <cellStyle name="Heading 2 2 2 2 12 4" xfId="27785"/>
    <cellStyle name="Heading 2 2 2 2 13" xfId="27786"/>
    <cellStyle name="Heading 2 2 2 2 13 2" xfId="27787"/>
    <cellStyle name="Heading 2 2 2 2 13 2 2" xfId="27788"/>
    <cellStyle name="Heading 2 2 2 2 13 3" xfId="27789"/>
    <cellStyle name="Heading 2 2 2 2 13 3 2" xfId="27790"/>
    <cellStyle name="Heading 2 2 2 2 13 4" xfId="27791"/>
    <cellStyle name="Heading 2 2 2 2 14" xfId="27792"/>
    <cellStyle name="Heading 2 2 2 2 14 2" xfId="27793"/>
    <cellStyle name="Heading 2 2 2 2 14 2 2" xfId="27794"/>
    <cellStyle name="Heading 2 2 2 2 14 3" xfId="27795"/>
    <cellStyle name="Heading 2 2 2 2 14 3 2" xfId="27796"/>
    <cellStyle name="Heading 2 2 2 2 14 4" xfId="27797"/>
    <cellStyle name="Heading 2 2 2 2 15" xfId="27798"/>
    <cellStyle name="Heading 2 2 2 2 15 2" xfId="27799"/>
    <cellStyle name="Heading 2 2 2 2 15 2 2" xfId="27800"/>
    <cellStyle name="Heading 2 2 2 2 15 3" xfId="27801"/>
    <cellStyle name="Heading 2 2 2 2 15 3 2" xfId="27802"/>
    <cellStyle name="Heading 2 2 2 2 15 4" xfId="27803"/>
    <cellStyle name="Heading 2 2 2 2 16" xfId="27804"/>
    <cellStyle name="Heading 2 2 2 2 16 2" xfId="27805"/>
    <cellStyle name="Heading 2 2 2 2 16 2 2" xfId="27806"/>
    <cellStyle name="Heading 2 2 2 2 16 3" xfId="27807"/>
    <cellStyle name="Heading 2 2 2 2 16 3 2" xfId="27808"/>
    <cellStyle name="Heading 2 2 2 2 16 4" xfId="27809"/>
    <cellStyle name="Heading 2 2 2 2 17" xfId="27810"/>
    <cellStyle name="Heading 2 2 2 2 17 2" xfId="27811"/>
    <cellStyle name="Heading 2 2 2 2 17 2 2" xfId="27812"/>
    <cellStyle name="Heading 2 2 2 2 17 3" xfId="27813"/>
    <cellStyle name="Heading 2 2 2 2 17 3 2" xfId="27814"/>
    <cellStyle name="Heading 2 2 2 2 17 4" xfId="27815"/>
    <cellStyle name="Heading 2 2 2 2 18" xfId="27816"/>
    <cellStyle name="Heading 2 2 2 2 18 2" xfId="27817"/>
    <cellStyle name="Heading 2 2 2 2 18 2 2" xfId="27818"/>
    <cellStyle name="Heading 2 2 2 2 18 3" xfId="27819"/>
    <cellStyle name="Heading 2 2 2 2 18 3 2" xfId="27820"/>
    <cellStyle name="Heading 2 2 2 2 18 4" xfId="27821"/>
    <cellStyle name="Heading 2 2 2 2 19" xfId="27822"/>
    <cellStyle name="Heading 2 2 2 2 19 2" xfId="27823"/>
    <cellStyle name="Heading 2 2 2 2 2" xfId="27824"/>
    <cellStyle name="Heading 2 2 2 2 2 2" xfId="27825"/>
    <cellStyle name="Heading 2 2 2 2 2 2 10" xfId="27826"/>
    <cellStyle name="Heading 2 2 2 2 2 2 10 2" xfId="27827"/>
    <cellStyle name="Heading 2 2 2 2 2 2 10 2 2" xfId="27828"/>
    <cellStyle name="Heading 2 2 2 2 2 2 10 3" xfId="27829"/>
    <cellStyle name="Heading 2 2 2 2 2 2 11" xfId="27830"/>
    <cellStyle name="Heading 2 2 2 2 2 2 11 2" xfId="27831"/>
    <cellStyle name="Heading 2 2 2 2 2 2 11 2 2" xfId="27832"/>
    <cellStyle name="Heading 2 2 2 2 2 2 11 3" xfId="27833"/>
    <cellStyle name="Heading 2 2 2 2 2 2 12" xfId="27834"/>
    <cellStyle name="Heading 2 2 2 2 2 2 12 2" xfId="27835"/>
    <cellStyle name="Heading 2 2 2 2 2 2 12 2 2" xfId="27836"/>
    <cellStyle name="Heading 2 2 2 2 2 2 12 3" xfId="27837"/>
    <cellStyle name="Heading 2 2 2 2 2 2 13" xfId="27838"/>
    <cellStyle name="Heading 2 2 2 2 2 2 13 2" xfId="27839"/>
    <cellStyle name="Heading 2 2 2 2 2 2 13 2 2" xfId="27840"/>
    <cellStyle name="Heading 2 2 2 2 2 2 13 3" xfId="27841"/>
    <cellStyle name="Heading 2 2 2 2 2 2 14" xfId="27842"/>
    <cellStyle name="Heading 2 2 2 2 2 2 14 2" xfId="27843"/>
    <cellStyle name="Heading 2 2 2 2 2 2 14 2 2" xfId="27844"/>
    <cellStyle name="Heading 2 2 2 2 2 2 14 3" xfId="27845"/>
    <cellStyle name="Heading 2 2 2 2 2 2 15" xfId="27846"/>
    <cellStyle name="Heading 2 2 2 2 2 2 15 2" xfId="27847"/>
    <cellStyle name="Heading 2 2 2 2 2 2 15 2 2" xfId="27848"/>
    <cellStyle name="Heading 2 2 2 2 2 2 15 3" xfId="27849"/>
    <cellStyle name="Heading 2 2 2 2 2 2 16" xfId="27850"/>
    <cellStyle name="Heading 2 2 2 2 2 2 16 2" xfId="27851"/>
    <cellStyle name="Heading 2 2 2 2 2 2 16 2 2" xfId="27852"/>
    <cellStyle name="Heading 2 2 2 2 2 2 16 3" xfId="27853"/>
    <cellStyle name="Heading 2 2 2 2 2 2 17" xfId="27854"/>
    <cellStyle name="Heading 2 2 2 2 2 2 17 2" xfId="27855"/>
    <cellStyle name="Heading 2 2 2 2 2 2 17 2 2" xfId="27856"/>
    <cellStyle name="Heading 2 2 2 2 2 2 17 3" xfId="27857"/>
    <cellStyle name="Heading 2 2 2 2 2 2 18" xfId="27858"/>
    <cellStyle name="Heading 2 2 2 2 2 2 18 2" xfId="27859"/>
    <cellStyle name="Heading 2 2 2 2 2 2 18 2 2" xfId="27860"/>
    <cellStyle name="Heading 2 2 2 2 2 2 18 3" xfId="27861"/>
    <cellStyle name="Heading 2 2 2 2 2 2 19" xfId="27862"/>
    <cellStyle name="Heading 2 2 2 2 2 2 19 2" xfId="27863"/>
    <cellStyle name="Heading 2 2 2 2 2 2 19 2 2" xfId="27864"/>
    <cellStyle name="Heading 2 2 2 2 2 2 19 3" xfId="27865"/>
    <cellStyle name="Heading 2 2 2 2 2 2 2" xfId="27866"/>
    <cellStyle name="Heading 2 2 2 2 2 2 2 10" xfId="27867"/>
    <cellStyle name="Heading 2 2 2 2 2 2 2 10 2" xfId="27868"/>
    <cellStyle name="Heading 2 2 2 2 2 2 2 10 2 2" xfId="27869"/>
    <cellStyle name="Heading 2 2 2 2 2 2 2 10 3" xfId="27870"/>
    <cellStyle name="Heading 2 2 2 2 2 2 2 11" xfId="27871"/>
    <cellStyle name="Heading 2 2 2 2 2 2 2 11 2" xfId="27872"/>
    <cellStyle name="Heading 2 2 2 2 2 2 2 11 2 2" xfId="27873"/>
    <cellStyle name="Heading 2 2 2 2 2 2 2 11 3" xfId="27874"/>
    <cellStyle name="Heading 2 2 2 2 2 2 2 12" xfId="27875"/>
    <cellStyle name="Heading 2 2 2 2 2 2 2 12 2" xfId="27876"/>
    <cellStyle name="Heading 2 2 2 2 2 2 2 12 2 2" xfId="27877"/>
    <cellStyle name="Heading 2 2 2 2 2 2 2 12 3" xfId="27878"/>
    <cellStyle name="Heading 2 2 2 2 2 2 2 13" xfId="27879"/>
    <cellStyle name="Heading 2 2 2 2 2 2 2 13 2" xfId="27880"/>
    <cellStyle name="Heading 2 2 2 2 2 2 2 13 2 2" xfId="27881"/>
    <cellStyle name="Heading 2 2 2 2 2 2 2 13 3" xfId="27882"/>
    <cellStyle name="Heading 2 2 2 2 2 2 2 14" xfId="27883"/>
    <cellStyle name="Heading 2 2 2 2 2 2 2 14 2" xfId="27884"/>
    <cellStyle name="Heading 2 2 2 2 2 2 2 14 2 2" xfId="27885"/>
    <cellStyle name="Heading 2 2 2 2 2 2 2 14 3" xfId="27886"/>
    <cellStyle name="Heading 2 2 2 2 2 2 2 15" xfId="27887"/>
    <cellStyle name="Heading 2 2 2 2 2 2 2 15 2" xfId="27888"/>
    <cellStyle name="Heading 2 2 2 2 2 2 2 15 2 2" xfId="27889"/>
    <cellStyle name="Heading 2 2 2 2 2 2 2 15 3" xfId="27890"/>
    <cellStyle name="Heading 2 2 2 2 2 2 2 16" xfId="27891"/>
    <cellStyle name="Heading 2 2 2 2 2 2 2 16 2" xfId="27892"/>
    <cellStyle name="Heading 2 2 2 2 2 2 2 16 2 2" xfId="27893"/>
    <cellStyle name="Heading 2 2 2 2 2 2 2 16 3" xfId="27894"/>
    <cellStyle name="Heading 2 2 2 2 2 2 2 17" xfId="27895"/>
    <cellStyle name="Heading 2 2 2 2 2 2 2 17 2" xfId="27896"/>
    <cellStyle name="Heading 2 2 2 2 2 2 2 17 2 2" xfId="27897"/>
    <cellStyle name="Heading 2 2 2 2 2 2 2 17 3" xfId="27898"/>
    <cellStyle name="Heading 2 2 2 2 2 2 2 18" xfId="27899"/>
    <cellStyle name="Heading 2 2 2 2 2 2 2 18 2" xfId="27900"/>
    <cellStyle name="Heading 2 2 2 2 2 2 2 18 2 2" xfId="27901"/>
    <cellStyle name="Heading 2 2 2 2 2 2 2 18 3" xfId="27902"/>
    <cellStyle name="Heading 2 2 2 2 2 2 2 19" xfId="27903"/>
    <cellStyle name="Heading 2 2 2 2 2 2 2 19 2" xfId="27904"/>
    <cellStyle name="Heading 2 2 2 2 2 2 2 2" xfId="27905"/>
    <cellStyle name="Heading 2 2 2 2 2 2 2 2 2" xfId="27906"/>
    <cellStyle name="Heading 2 2 2 2 2 2 2 2 2 2" xfId="27907"/>
    <cellStyle name="Heading 2 2 2 2 2 2 2 2 2 2 2" xfId="27908"/>
    <cellStyle name="Heading 2 2 2 2 2 2 2 2 2 3" xfId="27909"/>
    <cellStyle name="Heading 2 2 2 2 2 2 2 2 3" xfId="27910"/>
    <cellStyle name="Heading 2 2 2 2 2 2 2 2 3 2" xfId="27911"/>
    <cellStyle name="Heading 2 2 2 2 2 2 2 2 3 2 2" xfId="27912"/>
    <cellStyle name="Heading 2 2 2 2 2 2 2 2 3 3" xfId="27913"/>
    <cellStyle name="Heading 2 2 2 2 2 2 2 2 4" xfId="27914"/>
    <cellStyle name="Heading 2 2 2 2 2 2 2 2 4 2" xfId="27915"/>
    <cellStyle name="Heading 2 2 2 2 2 2 2 2 4 2 2" xfId="27916"/>
    <cellStyle name="Heading 2 2 2 2 2 2 2 2 4 3" xfId="27917"/>
    <cellStyle name="Heading 2 2 2 2 2 2 2 2 5" xfId="27918"/>
    <cellStyle name="Heading 2 2 2 2 2 2 2 2 5 2" xfId="27919"/>
    <cellStyle name="Heading 2 2 2 2 2 2 2 2 5 2 2" xfId="27920"/>
    <cellStyle name="Heading 2 2 2 2 2 2 2 2 5 3" xfId="27921"/>
    <cellStyle name="Heading 2 2 2 2 2 2 2 2 6" xfId="27922"/>
    <cellStyle name="Heading 2 2 2 2 2 2 2 2 6 2" xfId="27923"/>
    <cellStyle name="Heading 2 2 2 2 2 2 2 2 6 2 2" xfId="27924"/>
    <cellStyle name="Heading 2 2 2 2 2 2 2 2 6 3" xfId="27925"/>
    <cellStyle name="Heading 2 2 2 2 2 2 2 2 7" xfId="27926"/>
    <cellStyle name="Heading 2 2 2 2 2 2 2 2 7 2" xfId="27927"/>
    <cellStyle name="Heading 2 2 2 2 2 2 2 2 7 2 2" xfId="27928"/>
    <cellStyle name="Heading 2 2 2 2 2 2 2 2 7 3" xfId="27929"/>
    <cellStyle name="Heading 2 2 2 2 2 2 2 2 8" xfId="27930"/>
    <cellStyle name="Heading 2 2 2 2 2 2 2 2 8 2" xfId="27931"/>
    <cellStyle name="Heading 2 2 2 2 2 2 2 2 9" xfId="27932"/>
    <cellStyle name="Heading 2 2 2 2 2 2 2 20" xfId="27933"/>
    <cellStyle name="Heading 2 2 2 2 2 2 2 20 2" xfId="27934"/>
    <cellStyle name="Heading 2 2 2 2 2 2 2 21" xfId="27935"/>
    <cellStyle name="Heading 2 2 2 2 2 2 2 21 2" xfId="27936"/>
    <cellStyle name="Heading 2 2 2 2 2 2 2 22" xfId="27937"/>
    <cellStyle name="Heading 2 2 2 2 2 2 2 3" xfId="27938"/>
    <cellStyle name="Heading 2 2 2 2 2 2 2 3 2" xfId="27939"/>
    <cellStyle name="Heading 2 2 2 2 2 2 2 3 2 2" xfId="27940"/>
    <cellStyle name="Heading 2 2 2 2 2 2 2 3 2 2 2" xfId="27941"/>
    <cellStyle name="Heading 2 2 2 2 2 2 2 3 2 3" xfId="27942"/>
    <cellStyle name="Heading 2 2 2 2 2 2 2 3 3" xfId="27943"/>
    <cellStyle name="Heading 2 2 2 2 2 2 2 3 3 2" xfId="27944"/>
    <cellStyle name="Heading 2 2 2 2 2 2 2 3 3 2 2" xfId="27945"/>
    <cellStyle name="Heading 2 2 2 2 2 2 2 3 3 3" xfId="27946"/>
    <cellStyle name="Heading 2 2 2 2 2 2 2 3 4" xfId="27947"/>
    <cellStyle name="Heading 2 2 2 2 2 2 2 3 4 2" xfId="27948"/>
    <cellStyle name="Heading 2 2 2 2 2 2 2 3 4 2 2" xfId="27949"/>
    <cellStyle name="Heading 2 2 2 2 2 2 2 3 4 3" xfId="27950"/>
    <cellStyle name="Heading 2 2 2 2 2 2 2 3 5" xfId="27951"/>
    <cellStyle name="Heading 2 2 2 2 2 2 2 3 5 2" xfId="27952"/>
    <cellStyle name="Heading 2 2 2 2 2 2 2 3 5 2 2" xfId="27953"/>
    <cellStyle name="Heading 2 2 2 2 2 2 2 3 5 3" xfId="27954"/>
    <cellStyle name="Heading 2 2 2 2 2 2 2 3 6" xfId="27955"/>
    <cellStyle name="Heading 2 2 2 2 2 2 2 3 6 2" xfId="27956"/>
    <cellStyle name="Heading 2 2 2 2 2 2 2 3 6 2 2" xfId="27957"/>
    <cellStyle name="Heading 2 2 2 2 2 2 2 3 6 3" xfId="27958"/>
    <cellStyle name="Heading 2 2 2 2 2 2 2 3 7" xfId="27959"/>
    <cellStyle name="Heading 2 2 2 2 2 2 2 3 7 2" xfId="27960"/>
    <cellStyle name="Heading 2 2 2 2 2 2 2 3 7 2 2" xfId="27961"/>
    <cellStyle name="Heading 2 2 2 2 2 2 2 3 7 3" xfId="27962"/>
    <cellStyle name="Heading 2 2 2 2 2 2 2 3 8" xfId="27963"/>
    <cellStyle name="Heading 2 2 2 2 2 2 2 3 8 2" xfId="27964"/>
    <cellStyle name="Heading 2 2 2 2 2 2 2 3 9" xfId="27965"/>
    <cellStyle name="Heading 2 2 2 2 2 2 2 4" xfId="27966"/>
    <cellStyle name="Heading 2 2 2 2 2 2 2 4 2" xfId="27967"/>
    <cellStyle name="Heading 2 2 2 2 2 2 2 4 2 2" xfId="27968"/>
    <cellStyle name="Heading 2 2 2 2 2 2 2 4 2 2 2" xfId="27969"/>
    <cellStyle name="Heading 2 2 2 2 2 2 2 4 2 3" xfId="27970"/>
    <cellStyle name="Heading 2 2 2 2 2 2 2 4 3" xfId="27971"/>
    <cellStyle name="Heading 2 2 2 2 2 2 2 4 3 2" xfId="27972"/>
    <cellStyle name="Heading 2 2 2 2 2 2 2 4 3 2 2" xfId="27973"/>
    <cellStyle name="Heading 2 2 2 2 2 2 2 4 3 3" xfId="27974"/>
    <cellStyle name="Heading 2 2 2 2 2 2 2 4 4" xfId="27975"/>
    <cellStyle name="Heading 2 2 2 2 2 2 2 4 4 2" xfId="27976"/>
    <cellStyle name="Heading 2 2 2 2 2 2 2 4 4 2 2" xfId="27977"/>
    <cellStyle name="Heading 2 2 2 2 2 2 2 4 4 3" xfId="27978"/>
    <cellStyle name="Heading 2 2 2 2 2 2 2 4 5" xfId="27979"/>
    <cellStyle name="Heading 2 2 2 2 2 2 2 4 5 2" xfId="27980"/>
    <cellStyle name="Heading 2 2 2 2 2 2 2 4 5 2 2" xfId="27981"/>
    <cellStyle name="Heading 2 2 2 2 2 2 2 4 5 3" xfId="27982"/>
    <cellStyle name="Heading 2 2 2 2 2 2 2 4 6" xfId="27983"/>
    <cellStyle name="Heading 2 2 2 2 2 2 2 4 6 2" xfId="27984"/>
    <cellStyle name="Heading 2 2 2 2 2 2 2 4 6 2 2" xfId="27985"/>
    <cellStyle name="Heading 2 2 2 2 2 2 2 4 6 3" xfId="27986"/>
    <cellStyle name="Heading 2 2 2 2 2 2 2 4 7" xfId="27987"/>
    <cellStyle name="Heading 2 2 2 2 2 2 2 4 7 2" xfId="27988"/>
    <cellStyle name="Heading 2 2 2 2 2 2 2 4 7 2 2" xfId="27989"/>
    <cellStyle name="Heading 2 2 2 2 2 2 2 4 7 3" xfId="27990"/>
    <cellStyle name="Heading 2 2 2 2 2 2 2 4 8" xfId="27991"/>
    <cellStyle name="Heading 2 2 2 2 2 2 2 4 8 2" xfId="27992"/>
    <cellStyle name="Heading 2 2 2 2 2 2 2 4 9" xfId="27993"/>
    <cellStyle name="Heading 2 2 2 2 2 2 2 5" xfId="27994"/>
    <cellStyle name="Heading 2 2 2 2 2 2 2 5 2" xfId="27995"/>
    <cellStyle name="Heading 2 2 2 2 2 2 2 5 2 2" xfId="27996"/>
    <cellStyle name="Heading 2 2 2 2 2 2 2 5 2 2 2" xfId="27997"/>
    <cellStyle name="Heading 2 2 2 2 2 2 2 5 2 3" xfId="27998"/>
    <cellStyle name="Heading 2 2 2 2 2 2 2 5 3" xfId="27999"/>
    <cellStyle name="Heading 2 2 2 2 2 2 2 5 3 2" xfId="28000"/>
    <cellStyle name="Heading 2 2 2 2 2 2 2 5 3 2 2" xfId="28001"/>
    <cellStyle name="Heading 2 2 2 2 2 2 2 5 3 3" xfId="28002"/>
    <cellStyle name="Heading 2 2 2 2 2 2 2 5 4" xfId="28003"/>
    <cellStyle name="Heading 2 2 2 2 2 2 2 5 4 2" xfId="28004"/>
    <cellStyle name="Heading 2 2 2 2 2 2 2 5 4 2 2" xfId="28005"/>
    <cellStyle name="Heading 2 2 2 2 2 2 2 5 4 3" xfId="28006"/>
    <cellStyle name="Heading 2 2 2 2 2 2 2 5 5" xfId="28007"/>
    <cellStyle name="Heading 2 2 2 2 2 2 2 5 5 2" xfId="28008"/>
    <cellStyle name="Heading 2 2 2 2 2 2 2 5 5 2 2" xfId="28009"/>
    <cellStyle name="Heading 2 2 2 2 2 2 2 5 5 3" xfId="28010"/>
    <cellStyle name="Heading 2 2 2 2 2 2 2 5 6" xfId="28011"/>
    <cellStyle name="Heading 2 2 2 2 2 2 2 5 6 2" xfId="28012"/>
    <cellStyle name="Heading 2 2 2 2 2 2 2 5 6 2 2" xfId="28013"/>
    <cellStyle name="Heading 2 2 2 2 2 2 2 5 6 3" xfId="28014"/>
    <cellStyle name="Heading 2 2 2 2 2 2 2 5 7" xfId="28015"/>
    <cellStyle name="Heading 2 2 2 2 2 2 2 5 7 2" xfId="28016"/>
    <cellStyle name="Heading 2 2 2 2 2 2 2 5 7 2 2" xfId="28017"/>
    <cellStyle name="Heading 2 2 2 2 2 2 2 5 7 3" xfId="28018"/>
    <cellStyle name="Heading 2 2 2 2 2 2 2 5 8" xfId="28019"/>
    <cellStyle name="Heading 2 2 2 2 2 2 2 5 8 2" xfId="28020"/>
    <cellStyle name="Heading 2 2 2 2 2 2 2 5 9" xfId="28021"/>
    <cellStyle name="Heading 2 2 2 2 2 2 2 6" xfId="28022"/>
    <cellStyle name="Heading 2 2 2 2 2 2 2 6 2" xfId="28023"/>
    <cellStyle name="Heading 2 2 2 2 2 2 2 6 2 2" xfId="28024"/>
    <cellStyle name="Heading 2 2 2 2 2 2 2 6 2 2 2" xfId="28025"/>
    <cellStyle name="Heading 2 2 2 2 2 2 2 6 2 3" xfId="28026"/>
    <cellStyle name="Heading 2 2 2 2 2 2 2 6 3" xfId="28027"/>
    <cellStyle name="Heading 2 2 2 2 2 2 2 6 3 2" xfId="28028"/>
    <cellStyle name="Heading 2 2 2 2 2 2 2 6 3 2 2" xfId="28029"/>
    <cellStyle name="Heading 2 2 2 2 2 2 2 6 3 3" xfId="28030"/>
    <cellStyle name="Heading 2 2 2 2 2 2 2 6 4" xfId="28031"/>
    <cellStyle name="Heading 2 2 2 2 2 2 2 6 4 2" xfId="28032"/>
    <cellStyle name="Heading 2 2 2 2 2 2 2 6 4 2 2" xfId="28033"/>
    <cellStyle name="Heading 2 2 2 2 2 2 2 6 4 3" xfId="28034"/>
    <cellStyle name="Heading 2 2 2 2 2 2 2 6 5" xfId="28035"/>
    <cellStyle name="Heading 2 2 2 2 2 2 2 6 5 2" xfId="28036"/>
    <cellStyle name="Heading 2 2 2 2 2 2 2 6 5 2 2" xfId="28037"/>
    <cellStyle name="Heading 2 2 2 2 2 2 2 6 5 3" xfId="28038"/>
    <cellStyle name="Heading 2 2 2 2 2 2 2 6 6" xfId="28039"/>
    <cellStyle name="Heading 2 2 2 2 2 2 2 6 6 2" xfId="28040"/>
    <cellStyle name="Heading 2 2 2 2 2 2 2 6 6 2 2" xfId="28041"/>
    <cellStyle name="Heading 2 2 2 2 2 2 2 6 6 3" xfId="28042"/>
    <cellStyle name="Heading 2 2 2 2 2 2 2 6 7" xfId="28043"/>
    <cellStyle name="Heading 2 2 2 2 2 2 2 6 7 2" xfId="28044"/>
    <cellStyle name="Heading 2 2 2 2 2 2 2 6 7 2 2" xfId="28045"/>
    <cellStyle name="Heading 2 2 2 2 2 2 2 6 7 3" xfId="28046"/>
    <cellStyle name="Heading 2 2 2 2 2 2 2 6 8" xfId="28047"/>
    <cellStyle name="Heading 2 2 2 2 2 2 2 6 8 2" xfId="28048"/>
    <cellStyle name="Heading 2 2 2 2 2 2 2 6 9" xfId="28049"/>
    <cellStyle name="Heading 2 2 2 2 2 2 2 7" xfId="28050"/>
    <cellStyle name="Heading 2 2 2 2 2 2 2 7 2" xfId="28051"/>
    <cellStyle name="Heading 2 2 2 2 2 2 2 7 2 2" xfId="28052"/>
    <cellStyle name="Heading 2 2 2 2 2 2 2 7 2 2 2" xfId="28053"/>
    <cellStyle name="Heading 2 2 2 2 2 2 2 7 2 3" xfId="28054"/>
    <cellStyle name="Heading 2 2 2 2 2 2 2 7 3" xfId="28055"/>
    <cellStyle name="Heading 2 2 2 2 2 2 2 7 3 2" xfId="28056"/>
    <cellStyle name="Heading 2 2 2 2 2 2 2 7 3 2 2" xfId="28057"/>
    <cellStyle name="Heading 2 2 2 2 2 2 2 7 3 3" xfId="28058"/>
    <cellStyle name="Heading 2 2 2 2 2 2 2 7 4" xfId="28059"/>
    <cellStyle name="Heading 2 2 2 2 2 2 2 7 4 2" xfId="28060"/>
    <cellStyle name="Heading 2 2 2 2 2 2 2 7 4 2 2" xfId="28061"/>
    <cellStyle name="Heading 2 2 2 2 2 2 2 7 4 3" xfId="28062"/>
    <cellStyle name="Heading 2 2 2 2 2 2 2 7 5" xfId="28063"/>
    <cellStyle name="Heading 2 2 2 2 2 2 2 7 5 2" xfId="28064"/>
    <cellStyle name="Heading 2 2 2 2 2 2 2 7 5 2 2" xfId="28065"/>
    <cellStyle name="Heading 2 2 2 2 2 2 2 7 5 3" xfId="28066"/>
    <cellStyle name="Heading 2 2 2 2 2 2 2 7 6" xfId="28067"/>
    <cellStyle name="Heading 2 2 2 2 2 2 2 7 6 2" xfId="28068"/>
    <cellStyle name="Heading 2 2 2 2 2 2 2 7 6 2 2" xfId="28069"/>
    <cellStyle name="Heading 2 2 2 2 2 2 2 7 6 3" xfId="28070"/>
    <cellStyle name="Heading 2 2 2 2 2 2 2 7 7" xfId="28071"/>
    <cellStyle name="Heading 2 2 2 2 2 2 2 7 7 2" xfId="28072"/>
    <cellStyle name="Heading 2 2 2 2 2 2 2 7 7 2 2" xfId="28073"/>
    <cellStyle name="Heading 2 2 2 2 2 2 2 7 7 3" xfId="28074"/>
    <cellStyle name="Heading 2 2 2 2 2 2 2 7 8" xfId="28075"/>
    <cellStyle name="Heading 2 2 2 2 2 2 2 7 8 2" xfId="28076"/>
    <cellStyle name="Heading 2 2 2 2 2 2 2 7 9" xfId="28077"/>
    <cellStyle name="Heading 2 2 2 2 2 2 2 8" xfId="28078"/>
    <cellStyle name="Heading 2 2 2 2 2 2 2 8 2" xfId="28079"/>
    <cellStyle name="Heading 2 2 2 2 2 2 2 8 2 2" xfId="28080"/>
    <cellStyle name="Heading 2 2 2 2 2 2 2 8 2 2 2" xfId="28081"/>
    <cellStyle name="Heading 2 2 2 2 2 2 2 8 2 3" xfId="28082"/>
    <cellStyle name="Heading 2 2 2 2 2 2 2 8 3" xfId="28083"/>
    <cellStyle name="Heading 2 2 2 2 2 2 2 8 3 2" xfId="28084"/>
    <cellStyle name="Heading 2 2 2 2 2 2 2 8 3 2 2" xfId="28085"/>
    <cellStyle name="Heading 2 2 2 2 2 2 2 8 3 3" xfId="28086"/>
    <cellStyle name="Heading 2 2 2 2 2 2 2 8 4" xfId="28087"/>
    <cellStyle name="Heading 2 2 2 2 2 2 2 8 4 2" xfId="28088"/>
    <cellStyle name="Heading 2 2 2 2 2 2 2 8 4 2 2" xfId="28089"/>
    <cellStyle name="Heading 2 2 2 2 2 2 2 8 4 3" xfId="28090"/>
    <cellStyle name="Heading 2 2 2 2 2 2 2 8 5" xfId="28091"/>
    <cellStyle name="Heading 2 2 2 2 2 2 2 8 5 2" xfId="28092"/>
    <cellStyle name="Heading 2 2 2 2 2 2 2 8 5 2 2" xfId="28093"/>
    <cellStyle name="Heading 2 2 2 2 2 2 2 8 5 3" xfId="28094"/>
    <cellStyle name="Heading 2 2 2 2 2 2 2 8 6" xfId="28095"/>
    <cellStyle name="Heading 2 2 2 2 2 2 2 8 6 2" xfId="28096"/>
    <cellStyle name="Heading 2 2 2 2 2 2 2 8 6 2 2" xfId="28097"/>
    <cellStyle name="Heading 2 2 2 2 2 2 2 8 6 3" xfId="28098"/>
    <cellStyle name="Heading 2 2 2 2 2 2 2 8 7" xfId="28099"/>
    <cellStyle name="Heading 2 2 2 2 2 2 2 8 7 2" xfId="28100"/>
    <cellStyle name="Heading 2 2 2 2 2 2 2 8 7 2 2" xfId="28101"/>
    <cellStyle name="Heading 2 2 2 2 2 2 2 8 7 3" xfId="28102"/>
    <cellStyle name="Heading 2 2 2 2 2 2 2 8 8" xfId="28103"/>
    <cellStyle name="Heading 2 2 2 2 2 2 2 8 8 2" xfId="28104"/>
    <cellStyle name="Heading 2 2 2 2 2 2 2 8 9" xfId="28105"/>
    <cellStyle name="Heading 2 2 2 2 2 2 2 9" xfId="28106"/>
    <cellStyle name="Heading 2 2 2 2 2 2 2 9 2" xfId="28107"/>
    <cellStyle name="Heading 2 2 2 2 2 2 2 9 2 2" xfId="28108"/>
    <cellStyle name="Heading 2 2 2 2 2 2 2 9 3" xfId="28109"/>
    <cellStyle name="Heading 2 2 2 2 2 2 20" xfId="28110"/>
    <cellStyle name="Heading 2 2 2 2 2 2 20 2" xfId="28111"/>
    <cellStyle name="Heading 2 2 2 2 2 2 21" xfId="28112"/>
    <cellStyle name="Heading 2 2 2 2 2 2 21 2" xfId="28113"/>
    <cellStyle name="Heading 2 2 2 2 2 2 22" xfId="28114"/>
    <cellStyle name="Heading 2 2 2 2 2 2 22 2" xfId="28115"/>
    <cellStyle name="Heading 2 2 2 2 2 2 23" xfId="28116"/>
    <cellStyle name="Heading 2 2 2 2 2 2 3" xfId="28117"/>
    <cellStyle name="Heading 2 2 2 2 2 2 3 2" xfId="28118"/>
    <cellStyle name="Heading 2 2 2 2 2 2 3 2 2" xfId="28119"/>
    <cellStyle name="Heading 2 2 2 2 2 2 3 2 2 2" xfId="28120"/>
    <cellStyle name="Heading 2 2 2 2 2 2 3 2 3" xfId="28121"/>
    <cellStyle name="Heading 2 2 2 2 2 2 3 3" xfId="28122"/>
    <cellStyle name="Heading 2 2 2 2 2 2 3 3 2" xfId="28123"/>
    <cellStyle name="Heading 2 2 2 2 2 2 3 3 2 2" xfId="28124"/>
    <cellStyle name="Heading 2 2 2 2 2 2 3 3 3" xfId="28125"/>
    <cellStyle name="Heading 2 2 2 2 2 2 3 4" xfId="28126"/>
    <cellStyle name="Heading 2 2 2 2 2 2 3 4 2" xfId="28127"/>
    <cellStyle name="Heading 2 2 2 2 2 2 3 4 2 2" xfId="28128"/>
    <cellStyle name="Heading 2 2 2 2 2 2 3 4 3" xfId="28129"/>
    <cellStyle name="Heading 2 2 2 2 2 2 3 5" xfId="28130"/>
    <cellStyle name="Heading 2 2 2 2 2 2 3 5 2" xfId="28131"/>
    <cellStyle name="Heading 2 2 2 2 2 2 3 5 2 2" xfId="28132"/>
    <cellStyle name="Heading 2 2 2 2 2 2 3 5 3" xfId="28133"/>
    <cellStyle name="Heading 2 2 2 2 2 2 3 6" xfId="28134"/>
    <cellStyle name="Heading 2 2 2 2 2 2 3 6 2" xfId="28135"/>
    <cellStyle name="Heading 2 2 2 2 2 2 3 6 2 2" xfId="28136"/>
    <cellStyle name="Heading 2 2 2 2 2 2 3 6 3" xfId="28137"/>
    <cellStyle name="Heading 2 2 2 2 2 2 3 7" xfId="28138"/>
    <cellStyle name="Heading 2 2 2 2 2 2 3 7 2" xfId="28139"/>
    <cellStyle name="Heading 2 2 2 2 2 2 3 7 2 2" xfId="28140"/>
    <cellStyle name="Heading 2 2 2 2 2 2 3 7 3" xfId="28141"/>
    <cellStyle name="Heading 2 2 2 2 2 2 3 8" xfId="28142"/>
    <cellStyle name="Heading 2 2 2 2 2 2 3 8 2" xfId="28143"/>
    <cellStyle name="Heading 2 2 2 2 2 2 3 9" xfId="28144"/>
    <cellStyle name="Heading 2 2 2 2 2 2 4" xfId="28145"/>
    <cellStyle name="Heading 2 2 2 2 2 2 4 2" xfId="28146"/>
    <cellStyle name="Heading 2 2 2 2 2 2 4 2 2" xfId="28147"/>
    <cellStyle name="Heading 2 2 2 2 2 2 4 2 2 2" xfId="28148"/>
    <cellStyle name="Heading 2 2 2 2 2 2 4 2 3" xfId="28149"/>
    <cellStyle name="Heading 2 2 2 2 2 2 4 3" xfId="28150"/>
    <cellStyle name="Heading 2 2 2 2 2 2 4 3 2" xfId="28151"/>
    <cellStyle name="Heading 2 2 2 2 2 2 4 3 2 2" xfId="28152"/>
    <cellStyle name="Heading 2 2 2 2 2 2 4 3 3" xfId="28153"/>
    <cellStyle name="Heading 2 2 2 2 2 2 4 4" xfId="28154"/>
    <cellStyle name="Heading 2 2 2 2 2 2 4 4 2" xfId="28155"/>
    <cellStyle name="Heading 2 2 2 2 2 2 4 4 2 2" xfId="28156"/>
    <cellStyle name="Heading 2 2 2 2 2 2 4 4 3" xfId="28157"/>
    <cellStyle name="Heading 2 2 2 2 2 2 4 5" xfId="28158"/>
    <cellStyle name="Heading 2 2 2 2 2 2 4 5 2" xfId="28159"/>
    <cellStyle name="Heading 2 2 2 2 2 2 4 5 2 2" xfId="28160"/>
    <cellStyle name="Heading 2 2 2 2 2 2 4 5 3" xfId="28161"/>
    <cellStyle name="Heading 2 2 2 2 2 2 4 6" xfId="28162"/>
    <cellStyle name="Heading 2 2 2 2 2 2 4 6 2" xfId="28163"/>
    <cellStyle name="Heading 2 2 2 2 2 2 4 6 2 2" xfId="28164"/>
    <cellStyle name="Heading 2 2 2 2 2 2 4 6 3" xfId="28165"/>
    <cellStyle name="Heading 2 2 2 2 2 2 4 7" xfId="28166"/>
    <cellStyle name="Heading 2 2 2 2 2 2 4 7 2" xfId="28167"/>
    <cellStyle name="Heading 2 2 2 2 2 2 4 7 2 2" xfId="28168"/>
    <cellStyle name="Heading 2 2 2 2 2 2 4 7 3" xfId="28169"/>
    <cellStyle name="Heading 2 2 2 2 2 2 4 8" xfId="28170"/>
    <cellStyle name="Heading 2 2 2 2 2 2 4 8 2" xfId="28171"/>
    <cellStyle name="Heading 2 2 2 2 2 2 4 9" xfId="28172"/>
    <cellStyle name="Heading 2 2 2 2 2 2 5" xfId="28173"/>
    <cellStyle name="Heading 2 2 2 2 2 2 5 2" xfId="28174"/>
    <cellStyle name="Heading 2 2 2 2 2 2 5 2 2" xfId="28175"/>
    <cellStyle name="Heading 2 2 2 2 2 2 5 2 2 2" xfId="28176"/>
    <cellStyle name="Heading 2 2 2 2 2 2 5 2 3" xfId="28177"/>
    <cellStyle name="Heading 2 2 2 2 2 2 5 3" xfId="28178"/>
    <cellStyle name="Heading 2 2 2 2 2 2 5 3 2" xfId="28179"/>
    <cellStyle name="Heading 2 2 2 2 2 2 5 3 2 2" xfId="28180"/>
    <cellStyle name="Heading 2 2 2 2 2 2 5 3 3" xfId="28181"/>
    <cellStyle name="Heading 2 2 2 2 2 2 5 4" xfId="28182"/>
    <cellStyle name="Heading 2 2 2 2 2 2 5 4 2" xfId="28183"/>
    <cellStyle name="Heading 2 2 2 2 2 2 5 4 2 2" xfId="28184"/>
    <cellStyle name="Heading 2 2 2 2 2 2 5 4 3" xfId="28185"/>
    <cellStyle name="Heading 2 2 2 2 2 2 5 5" xfId="28186"/>
    <cellStyle name="Heading 2 2 2 2 2 2 5 5 2" xfId="28187"/>
    <cellStyle name="Heading 2 2 2 2 2 2 5 5 2 2" xfId="28188"/>
    <cellStyle name="Heading 2 2 2 2 2 2 5 5 3" xfId="28189"/>
    <cellStyle name="Heading 2 2 2 2 2 2 5 6" xfId="28190"/>
    <cellStyle name="Heading 2 2 2 2 2 2 5 6 2" xfId="28191"/>
    <cellStyle name="Heading 2 2 2 2 2 2 5 6 2 2" xfId="28192"/>
    <cellStyle name="Heading 2 2 2 2 2 2 5 6 3" xfId="28193"/>
    <cellStyle name="Heading 2 2 2 2 2 2 5 7" xfId="28194"/>
    <cellStyle name="Heading 2 2 2 2 2 2 5 7 2" xfId="28195"/>
    <cellStyle name="Heading 2 2 2 2 2 2 5 7 2 2" xfId="28196"/>
    <cellStyle name="Heading 2 2 2 2 2 2 5 7 3" xfId="28197"/>
    <cellStyle name="Heading 2 2 2 2 2 2 5 8" xfId="28198"/>
    <cellStyle name="Heading 2 2 2 2 2 2 5 8 2" xfId="28199"/>
    <cellStyle name="Heading 2 2 2 2 2 2 5 9" xfId="28200"/>
    <cellStyle name="Heading 2 2 2 2 2 2 6" xfId="28201"/>
    <cellStyle name="Heading 2 2 2 2 2 2 6 2" xfId="28202"/>
    <cellStyle name="Heading 2 2 2 2 2 2 6 2 2" xfId="28203"/>
    <cellStyle name="Heading 2 2 2 2 2 2 6 2 2 2" xfId="28204"/>
    <cellStyle name="Heading 2 2 2 2 2 2 6 2 3" xfId="28205"/>
    <cellStyle name="Heading 2 2 2 2 2 2 6 3" xfId="28206"/>
    <cellStyle name="Heading 2 2 2 2 2 2 6 3 2" xfId="28207"/>
    <cellStyle name="Heading 2 2 2 2 2 2 6 3 2 2" xfId="28208"/>
    <cellStyle name="Heading 2 2 2 2 2 2 6 3 3" xfId="28209"/>
    <cellStyle name="Heading 2 2 2 2 2 2 6 4" xfId="28210"/>
    <cellStyle name="Heading 2 2 2 2 2 2 6 4 2" xfId="28211"/>
    <cellStyle name="Heading 2 2 2 2 2 2 6 4 2 2" xfId="28212"/>
    <cellStyle name="Heading 2 2 2 2 2 2 6 4 3" xfId="28213"/>
    <cellStyle name="Heading 2 2 2 2 2 2 6 5" xfId="28214"/>
    <cellStyle name="Heading 2 2 2 2 2 2 6 5 2" xfId="28215"/>
    <cellStyle name="Heading 2 2 2 2 2 2 6 5 2 2" xfId="28216"/>
    <cellStyle name="Heading 2 2 2 2 2 2 6 5 3" xfId="28217"/>
    <cellStyle name="Heading 2 2 2 2 2 2 6 6" xfId="28218"/>
    <cellStyle name="Heading 2 2 2 2 2 2 6 6 2" xfId="28219"/>
    <cellStyle name="Heading 2 2 2 2 2 2 6 6 2 2" xfId="28220"/>
    <cellStyle name="Heading 2 2 2 2 2 2 6 6 3" xfId="28221"/>
    <cellStyle name="Heading 2 2 2 2 2 2 6 7" xfId="28222"/>
    <cellStyle name="Heading 2 2 2 2 2 2 6 7 2" xfId="28223"/>
    <cellStyle name="Heading 2 2 2 2 2 2 6 7 2 2" xfId="28224"/>
    <cellStyle name="Heading 2 2 2 2 2 2 6 7 3" xfId="28225"/>
    <cellStyle name="Heading 2 2 2 2 2 2 6 8" xfId="28226"/>
    <cellStyle name="Heading 2 2 2 2 2 2 6 8 2" xfId="28227"/>
    <cellStyle name="Heading 2 2 2 2 2 2 6 9" xfId="28228"/>
    <cellStyle name="Heading 2 2 2 2 2 2 7" xfId="28229"/>
    <cellStyle name="Heading 2 2 2 2 2 2 7 2" xfId="28230"/>
    <cellStyle name="Heading 2 2 2 2 2 2 7 2 2" xfId="28231"/>
    <cellStyle name="Heading 2 2 2 2 2 2 7 2 2 2" xfId="28232"/>
    <cellStyle name="Heading 2 2 2 2 2 2 7 2 3" xfId="28233"/>
    <cellStyle name="Heading 2 2 2 2 2 2 7 3" xfId="28234"/>
    <cellStyle name="Heading 2 2 2 2 2 2 7 3 2" xfId="28235"/>
    <cellStyle name="Heading 2 2 2 2 2 2 7 3 2 2" xfId="28236"/>
    <cellStyle name="Heading 2 2 2 2 2 2 7 3 3" xfId="28237"/>
    <cellStyle name="Heading 2 2 2 2 2 2 7 4" xfId="28238"/>
    <cellStyle name="Heading 2 2 2 2 2 2 7 4 2" xfId="28239"/>
    <cellStyle name="Heading 2 2 2 2 2 2 7 4 2 2" xfId="28240"/>
    <cellStyle name="Heading 2 2 2 2 2 2 7 4 3" xfId="28241"/>
    <cellStyle name="Heading 2 2 2 2 2 2 7 5" xfId="28242"/>
    <cellStyle name="Heading 2 2 2 2 2 2 7 5 2" xfId="28243"/>
    <cellStyle name="Heading 2 2 2 2 2 2 7 5 2 2" xfId="28244"/>
    <cellStyle name="Heading 2 2 2 2 2 2 7 5 3" xfId="28245"/>
    <cellStyle name="Heading 2 2 2 2 2 2 7 6" xfId="28246"/>
    <cellStyle name="Heading 2 2 2 2 2 2 7 6 2" xfId="28247"/>
    <cellStyle name="Heading 2 2 2 2 2 2 7 6 2 2" xfId="28248"/>
    <cellStyle name="Heading 2 2 2 2 2 2 7 6 3" xfId="28249"/>
    <cellStyle name="Heading 2 2 2 2 2 2 7 7" xfId="28250"/>
    <cellStyle name="Heading 2 2 2 2 2 2 7 7 2" xfId="28251"/>
    <cellStyle name="Heading 2 2 2 2 2 2 7 7 2 2" xfId="28252"/>
    <cellStyle name="Heading 2 2 2 2 2 2 7 7 3" xfId="28253"/>
    <cellStyle name="Heading 2 2 2 2 2 2 7 8" xfId="28254"/>
    <cellStyle name="Heading 2 2 2 2 2 2 7 8 2" xfId="28255"/>
    <cellStyle name="Heading 2 2 2 2 2 2 7 9" xfId="28256"/>
    <cellStyle name="Heading 2 2 2 2 2 2 8" xfId="28257"/>
    <cellStyle name="Heading 2 2 2 2 2 2 8 2" xfId="28258"/>
    <cellStyle name="Heading 2 2 2 2 2 2 8 2 2" xfId="28259"/>
    <cellStyle name="Heading 2 2 2 2 2 2 8 2 2 2" xfId="28260"/>
    <cellStyle name="Heading 2 2 2 2 2 2 8 2 3" xfId="28261"/>
    <cellStyle name="Heading 2 2 2 2 2 2 8 3" xfId="28262"/>
    <cellStyle name="Heading 2 2 2 2 2 2 8 3 2" xfId="28263"/>
    <cellStyle name="Heading 2 2 2 2 2 2 8 3 2 2" xfId="28264"/>
    <cellStyle name="Heading 2 2 2 2 2 2 8 3 3" xfId="28265"/>
    <cellStyle name="Heading 2 2 2 2 2 2 8 4" xfId="28266"/>
    <cellStyle name="Heading 2 2 2 2 2 2 8 4 2" xfId="28267"/>
    <cellStyle name="Heading 2 2 2 2 2 2 8 4 2 2" xfId="28268"/>
    <cellStyle name="Heading 2 2 2 2 2 2 8 4 3" xfId="28269"/>
    <cellStyle name="Heading 2 2 2 2 2 2 8 5" xfId="28270"/>
    <cellStyle name="Heading 2 2 2 2 2 2 8 5 2" xfId="28271"/>
    <cellStyle name="Heading 2 2 2 2 2 2 8 5 2 2" xfId="28272"/>
    <cellStyle name="Heading 2 2 2 2 2 2 8 5 3" xfId="28273"/>
    <cellStyle name="Heading 2 2 2 2 2 2 8 6" xfId="28274"/>
    <cellStyle name="Heading 2 2 2 2 2 2 8 6 2" xfId="28275"/>
    <cellStyle name="Heading 2 2 2 2 2 2 8 6 2 2" xfId="28276"/>
    <cellStyle name="Heading 2 2 2 2 2 2 8 6 3" xfId="28277"/>
    <cellStyle name="Heading 2 2 2 2 2 2 8 7" xfId="28278"/>
    <cellStyle name="Heading 2 2 2 2 2 2 8 7 2" xfId="28279"/>
    <cellStyle name="Heading 2 2 2 2 2 2 8 7 2 2" xfId="28280"/>
    <cellStyle name="Heading 2 2 2 2 2 2 8 7 3" xfId="28281"/>
    <cellStyle name="Heading 2 2 2 2 2 2 8 8" xfId="28282"/>
    <cellStyle name="Heading 2 2 2 2 2 2 8 8 2" xfId="28283"/>
    <cellStyle name="Heading 2 2 2 2 2 2 8 9" xfId="28284"/>
    <cellStyle name="Heading 2 2 2 2 2 2 9" xfId="28285"/>
    <cellStyle name="Heading 2 2 2 2 2 2 9 2" xfId="28286"/>
    <cellStyle name="Heading 2 2 2 2 2 2 9 2 2" xfId="28287"/>
    <cellStyle name="Heading 2 2 2 2 2 2 9 2 2 2" xfId="28288"/>
    <cellStyle name="Heading 2 2 2 2 2 2 9 2 3" xfId="28289"/>
    <cellStyle name="Heading 2 2 2 2 2 2 9 3" xfId="28290"/>
    <cellStyle name="Heading 2 2 2 2 2 2 9 3 2" xfId="28291"/>
    <cellStyle name="Heading 2 2 2 2 2 2 9 3 2 2" xfId="28292"/>
    <cellStyle name="Heading 2 2 2 2 2 2 9 3 3" xfId="28293"/>
    <cellStyle name="Heading 2 2 2 2 2 2 9 4" xfId="28294"/>
    <cellStyle name="Heading 2 2 2 2 2 2 9 4 2" xfId="28295"/>
    <cellStyle name="Heading 2 2 2 2 2 2 9 4 2 2" xfId="28296"/>
    <cellStyle name="Heading 2 2 2 2 2 2 9 4 3" xfId="28297"/>
    <cellStyle name="Heading 2 2 2 2 2 2 9 5" xfId="28298"/>
    <cellStyle name="Heading 2 2 2 2 2 2 9 5 2" xfId="28299"/>
    <cellStyle name="Heading 2 2 2 2 2 2 9 5 2 2" xfId="28300"/>
    <cellStyle name="Heading 2 2 2 2 2 2 9 5 3" xfId="28301"/>
    <cellStyle name="Heading 2 2 2 2 2 2 9 6" xfId="28302"/>
    <cellStyle name="Heading 2 2 2 2 2 2 9 6 2" xfId="28303"/>
    <cellStyle name="Heading 2 2 2 2 2 2 9 6 2 2" xfId="28304"/>
    <cellStyle name="Heading 2 2 2 2 2 2 9 6 3" xfId="28305"/>
    <cellStyle name="Heading 2 2 2 2 2 2 9 7" xfId="28306"/>
    <cellStyle name="Heading 2 2 2 2 2 2 9 7 2" xfId="28307"/>
    <cellStyle name="Heading 2 2 2 2 2 2 9 7 2 2" xfId="28308"/>
    <cellStyle name="Heading 2 2 2 2 2 2 9 7 3" xfId="28309"/>
    <cellStyle name="Heading 2 2 2 2 2 2 9 8" xfId="28310"/>
    <cellStyle name="Heading 2 2 2 2 2 2 9 8 2" xfId="28311"/>
    <cellStyle name="Heading 2 2 2 2 2 2 9 9" xfId="28312"/>
    <cellStyle name="Heading 2 2 2 2 2 3" xfId="28313"/>
    <cellStyle name="Heading 2 2 2 2 2 3 10" xfId="28314"/>
    <cellStyle name="Heading 2 2 2 2 2 3 10 2" xfId="28315"/>
    <cellStyle name="Heading 2 2 2 2 2 3 10 2 2" xfId="28316"/>
    <cellStyle name="Heading 2 2 2 2 2 3 10 3" xfId="28317"/>
    <cellStyle name="Heading 2 2 2 2 2 3 11" xfId="28318"/>
    <cellStyle name="Heading 2 2 2 2 2 3 11 2" xfId="28319"/>
    <cellStyle name="Heading 2 2 2 2 2 3 11 2 2" xfId="28320"/>
    <cellStyle name="Heading 2 2 2 2 2 3 11 3" xfId="28321"/>
    <cellStyle name="Heading 2 2 2 2 2 3 12" xfId="28322"/>
    <cellStyle name="Heading 2 2 2 2 2 3 12 2" xfId="28323"/>
    <cellStyle name="Heading 2 2 2 2 2 3 12 2 2" xfId="28324"/>
    <cellStyle name="Heading 2 2 2 2 2 3 12 3" xfId="28325"/>
    <cellStyle name="Heading 2 2 2 2 2 3 13" xfId="28326"/>
    <cellStyle name="Heading 2 2 2 2 2 3 13 2" xfId="28327"/>
    <cellStyle name="Heading 2 2 2 2 2 3 13 2 2" xfId="28328"/>
    <cellStyle name="Heading 2 2 2 2 2 3 13 3" xfId="28329"/>
    <cellStyle name="Heading 2 2 2 2 2 3 14" xfId="28330"/>
    <cellStyle name="Heading 2 2 2 2 2 3 14 2" xfId="28331"/>
    <cellStyle name="Heading 2 2 2 2 2 3 14 2 2" xfId="28332"/>
    <cellStyle name="Heading 2 2 2 2 2 3 14 3" xfId="28333"/>
    <cellStyle name="Heading 2 2 2 2 2 3 15" xfId="28334"/>
    <cellStyle name="Heading 2 2 2 2 2 3 15 2" xfId="28335"/>
    <cellStyle name="Heading 2 2 2 2 2 3 15 2 2" xfId="28336"/>
    <cellStyle name="Heading 2 2 2 2 2 3 15 3" xfId="28337"/>
    <cellStyle name="Heading 2 2 2 2 2 3 16" xfId="28338"/>
    <cellStyle name="Heading 2 2 2 2 2 3 16 2" xfId="28339"/>
    <cellStyle name="Heading 2 2 2 2 2 3 16 2 2" xfId="28340"/>
    <cellStyle name="Heading 2 2 2 2 2 3 16 3" xfId="28341"/>
    <cellStyle name="Heading 2 2 2 2 2 3 17" xfId="28342"/>
    <cellStyle name="Heading 2 2 2 2 2 3 17 2" xfId="28343"/>
    <cellStyle name="Heading 2 2 2 2 2 3 17 2 2" xfId="28344"/>
    <cellStyle name="Heading 2 2 2 2 2 3 17 3" xfId="28345"/>
    <cellStyle name="Heading 2 2 2 2 2 3 18" xfId="28346"/>
    <cellStyle name="Heading 2 2 2 2 2 3 18 2" xfId="28347"/>
    <cellStyle name="Heading 2 2 2 2 2 3 18 2 2" xfId="28348"/>
    <cellStyle name="Heading 2 2 2 2 2 3 18 3" xfId="28349"/>
    <cellStyle name="Heading 2 2 2 2 2 3 19" xfId="28350"/>
    <cellStyle name="Heading 2 2 2 2 2 3 19 2" xfId="28351"/>
    <cellStyle name="Heading 2 2 2 2 2 3 2" xfId="28352"/>
    <cellStyle name="Heading 2 2 2 2 2 3 2 2" xfId="28353"/>
    <cellStyle name="Heading 2 2 2 2 2 3 2 2 2" xfId="28354"/>
    <cellStyle name="Heading 2 2 2 2 2 3 2 2 2 2" xfId="28355"/>
    <cellStyle name="Heading 2 2 2 2 2 3 2 2 3" xfId="28356"/>
    <cellStyle name="Heading 2 2 2 2 2 3 2 3" xfId="28357"/>
    <cellStyle name="Heading 2 2 2 2 2 3 2 3 2" xfId="28358"/>
    <cellStyle name="Heading 2 2 2 2 2 3 2 3 2 2" xfId="28359"/>
    <cellStyle name="Heading 2 2 2 2 2 3 2 3 3" xfId="28360"/>
    <cellStyle name="Heading 2 2 2 2 2 3 2 4" xfId="28361"/>
    <cellStyle name="Heading 2 2 2 2 2 3 2 4 2" xfId="28362"/>
    <cellStyle name="Heading 2 2 2 2 2 3 2 4 2 2" xfId="28363"/>
    <cellStyle name="Heading 2 2 2 2 2 3 2 4 3" xfId="28364"/>
    <cellStyle name="Heading 2 2 2 2 2 3 2 5" xfId="28365"/>
    <cellStyle name="Heading 2 2 2 2 2 3 2 5 2" xfId="28366"/>
    <cellStyle name="Heading 2 2 2 2 2 3 2 5 2 2" xfId="28367"/>
    <cellStyle name="Heading 2 2 2 2 2 3 2 5 3" xfId="28368"/>
    <cellStyle name="Heading 2 2 2 2 2 3 2 6" xfId="28369"/>
    <cellStyle name="Heading 2 2 2 2 2 3 2 6 2" xfId="28370"/>
    <cellStyle name="Heading 2 2 2 2 2 3 2 6 2 2" xfId="28371"/>
    <cellStyle name="Heading 2 2 2 2 2 3 2 6 3" xfId="28372"/>
    <cellStyle name="Heading 2 2 2 2 2 3 2 7" xfId="28373"/>
    <cellStyle name="Heading 2 2 2 2 2 3 2 7 2" xfId="28374"/>
    <cellStyle name="Heading 2 2 2 2 2 3 2 7 2 2" xfId="28375"/>
    <cellStyle name="Heading 2 2 2 2 2 3 2 7 3" xfId="28376"/>
    <cellStyle name="Heading 2 2 2 2 2 3 2 8" xfId="28377"/>
    <cellStyle name="Heading 2 2 2 2 2 3 2 8 2" xfId="28378"/>
    <cellStyle name="Heading 2 2 2 2 2 3 2 9" xfId="28379"/>
    <cellStyle name="Heading 2 2 2 2 2 3 20" xfId="28380"/>
    <cellStyle name="Heading 2 2 2 2 2 3 20 2" xfId="28381"/>
    <cellStyle name="Heading 2 2 2 2 2 3 21" xfId="28382"/>
    <cellStyle name="Heading 2 2 2 2 2 3 21 2" xfId="28383"/>
    <cellStyle name="Heading 2 2 2 2 2 3 22" xfId="28384"/>
    <cellStyle name="Heading 2 2 2 2 2 3 3" xfId="28385"/>
    <cellStyle name="Heading 2 2 2 2 2 3 3 2" xfId="28386"/>
    <cellStyle name="Heading 2 2 2 2 2 3 3 2 2" xfId="28387"/>
    <cellStyle name="Heading 2 2 2 2 2 3 3 2 2 2" xfId="28388"/>
    <cellStyle name="Heading 2 2 2 2 2 3 3 2 3" xfId="28389"/>
    <cellStyle name="Heading 2 2 2 2 2 3 3 3" xfId="28390"/>
    <cellStyle name="Heading 2 2 2 2 2 3 3 3 2" xfId="28391"/>
    <cellStyle name="Heading 2 2 2 2 2 3 3 3 2 2" xfId="28392"/>
    <cellStyle name="Heading 2 2 2 2 2 3 3 3 3" xfId="28393"/>
    <cellStyle name="Heading 2 2 2 2 2 3 3 4" xfId="28394"/>
    <cellStyle name="Heading 2 2 2 2 2 3 3 4 2" xfId="28395"/>
    <cellStyle name="Heading 2 2 2 2 2 3 3 4 2 2" xfId="28396"/>
    <cellStyle name="Heading 2 2 2 2 2 3 3 4 3" xfId="28397"/>
    <cellStyle name="Heading 2 2 2 2 2 3 3 5" xfId="28398"/>
    <cellStyle name="Heading 2 2 2 2 2 3 3 5 2" xfId="28399"/>
    <cellStyle name="Heading 2 2 2 2 2 3 3 5 2 2" xfId="28400"/>
    <cellStyle name="Heading 2 2 2 2 2 3 3 5 3" xfId="28401"/>
    <cellStyle name="Heading 2 2 2 2 2 3 3 6" xfId="28402"/>
    <cellStyle name="Heading 2 2 2 2 2 3 3 6 2" xfId="28403"/>
    <cellStyle name="Heading 2 2 2 2 2 3 3 6 2 2" xfId="28404"/>
    <cellStyle name="Heading 2 2 2 2 2 3 3 6 3" xfId="28405"/>
    <cellStyle name="Heading 2 2 2 2 2 3 3 7" xfId="28406"/>
    <cellStyle name="Heading 2 2 2 2 2 3 3 7 2" xfId="28407"/>
    <cellStyle name="Heading 2 2 2 2 2 3 3 7 2 2" xfId="28408"/>
    <cellStyle name="Heading 2 2 2 2 2 3 3 7 3" xfId="28409"/>
    <cellStyle name="Heading 2 2 2 2 2 3 3 8" xfId="28410"/>
    <cellStyle name="Heading 2 2 2 2 2 3 3 8 2" xfId="28411"/>
    <cellStyle name="Heading 2 2 2 2 2 3 3 9" xfId="28412"/>
    <cellStyle name="Heading 2 2 2 2 2 3 4" xfId="28413"/>
    <cellStyle name="Heading 2 2 2 2 2 3 4 2" xfId="28414"/>
    <cellStyle name="Heading 2 2 2 2 2 3 4 2 2" xfId="28415"/>
    <cellStyle name="Heading 2 2 2 2 2 3 4 2 2 2" xfId="28416"/>
    <cellStyle name="Heading 2 2 2 2 2 3 4 2 3" xfId="28417"/>
    <cellStyle name="Heading 2 2 2 2 2 3 4 3" xfId="28418"/>
    <cellStyle name="Heading 2 2 2 2 2 3 4 3 2" xfId="28419"/>
    <cellStyle name="Heading 2 2 2 2 2 3 4 3 2 2" xfId="28420"/>
    <cellStyle name="Heading 2 2 2 2 2 3 4 3 3" xfId="28421"/>
    <cellStyle name="Heading 2 2 2 2 2 3 4 4" xfId="28422"/>
    <cellStyle name="Heading 2 2 2 2 2 3 4 4 2" xfId="28423"/>
    <cellStyle name="Heading 2 2 2 2 2 3 4 4 2 2" xfId="28424"/>
    <cellStyle name="Heading 2 2 2 2 2 3 4 4 3" xfId="28425"/>
    <cellStyle name="Heading 2 2 2 2 2 3 4 5" xfId="28426"/>
    <cellStyle name="Heading 2 2 2 2 2 3 4 5 2" xfId="28427"/>
    <cellStyle name="Heading 2 2 2 2 2 3 4 5 2 2" xfId="28428"/>
    <cellStyle name="Heading 2 2 2 2 2 3 4 5 3" xfId="28429"/>
    <cellStyle name="Heading 2 2 2 2 2 3 4 6" xfId="28430"/>
    <cellStyle name="Heading 2 2 2 2 2 3 4 6 2" xfId="28431"/>
    <cellStyle name="Heading 2 2 2 2 2 3 4 6 2 2" xfId="28432"/>
    <cellStyle name="Heading 2 2 2 2 2 3 4 6 3" xfId="28433"/>
    <cellStyle name="Heading 2 2 2 2 2 3 4 7" xfId="28434"/>
    <cellStyle name="Heading 2 2 2 2 2 3 4 7 2" xfId="28435"/>
    <cellStyle name="Heading 2 2 2 2 2 3 4 7 2 2" xfId="28436"/>
    <cellStyle name="Heading 2 2 2 2 2 3 4 7 3" xfId="28437"/>
    <cellStyle name="Heading 2 2 2 2 2 3 4 8" xfId="28438"/>
    <cellStyle name="Heading 2 2 2 2 2 3 4 8 2" xfId="28439"/>
    <cellStyle name="Heading 2 2 2 2 2 3 4 9" xfId="28440"/>
    <cellStyle name="Heading 2 2 2 2 2 3 5" xfId="28441"/>
    <cellStyle name="Heading 2 2 2 2 2 3 5 2" xfId="28442"/>
    <cellStyle name="Heading 2 2 2 2 2 3 5 2 2" xfId="28443"/>
    <cellStyle name="Heading 2 2 2 2 2 3 5 2 2 2" xfId="28444"/>
    <cellStyle name="Heading 2 2 2 2 2 3 5 2 3" xfId="28445"/>
    <cellStyle name="Heading 2 2 2 2 2 3 5 3" xfId="28446"/>
    <cellStyle name="Heading 2 2 2 2 2 3 5 3 2" xfId="28447"/>
    <cellStyle name="Heading 2 2 2 2 2 3 5 3 2 2" xfId="28448"/>
    <cellStyle name="Heading 2 2 2 2 2 3 5 3 3" xfId="28449"/>
    <cellStyle name="Heading 2 2 2 2 2 3 5 4" xfId="28450"/>
    <cellStyle name="Heading 2 2 2 2 2 3 5 4 2" xfId="28451"/>
    <cellStyle name="Heading 2 2 2 2 2 3 5 4 2 2" xfId="28452"/>
    <cellStyle name="Heading 2 2 2 2 2 3 5 4 3" xfId="28453"/>
    <cellStyle name="Heading 2 2 2 2 2 3 5 5" xfId="28454"/>
    <cellStyle name="Heading 2 2 2 2 2 3 5 5 2" xfId="28455"/>
    <cellStyle name="Heading 2 2 2 2 2 3 5 5 2 2" xfId="28456"/>
    <cellStyle name="Heading 2 2 2 2 2 3 5 5 3" xfId="28457"/>
    <cellStyle name="Heading 2 2 2 2 2 3 5 6" xfId="28458"/>
    <cellStyle name="Heading 2 2 2 2 2 3 5 6 2" xfId="28459"/>
    <cellStyle name="Heading 2 2 2 2 2 3 5 6 2 2" xfId="28460"/>
    <cellStyle name="Heading 2 2 2 2 2 3 5 6 3" xfId="28461"/>
    <cellStyle name="Heading 2 2 2 2 2 3 5 7" xfId="28462"/>
    <cellStyle name="Heading 2 2 2 2 2 3 5 7 2" xfId="28463"/>
    <cellStyle name="Heading 2 2 2 2 2 3 5 7 2 2" xfId="28464"/>
    <cellStyle name="Heading 2 2 2 2 2 3 5 7 3" xfId="28465"/>
    <cellStyle name="Heading 2 2 2 2 2 3 5 8" xfId="28466"/>
    <cellStyle name="Heading 2 2 2 2 2 3 5 8 2" xfId="28467"/>
    <cellStyle name="Heading 2 2 2 2 2 3 5 9" xfId="28468"/>
    <cellStyle name="Heading 2 2 2 2 2 3 6" xfId="28469"/>
    <cellStyle name="Heading 2 2 2 2 2 3 6 2" xfId="28470"/>
    <cellStyle name="Heading 2 2 2 2 2 3 6 2 2" xfId="28471"/>
    <cellStyle name="Heading 2 2 2 2 2 3 6 2 2 2" xfId="28472"/>
    <cellStyle name="Heading 2 2 2 2 2 3 6 2 3" xfId="28473"/>
    <cellStyle name="Heading 2 2 2 2 2 3 6 3" xfId="28474"/>
    <cellStyle name="Heading 2 2 2 2 2 3 6 3 2" xfId="28475"/>
    <cellStyle name="Heading 2 2 2 2 2 3 6 3 2 2" xfId="28476"/>
    <cellStyle name="Heading 2 2 2 2 2 3 6 3 3" xfId="28477"/>
    <cellStyle name="Heading 2 2 2 2 2 3 6 4" xfId="28478"/>
    <cellStyle name="Heading 2 2 2 2 2 3 6 4 2" xfId="28479"/>
    <cellStyle name="Heading 2 2 2 2 2 3 6 4 2 2" xfId="28480"/>
    <cellStyle name="Heading 2 2 2 2 2 3 6 4 3" xfId="28481"/>
    <cellStyle name="Heading 2 2 2 2 2 3 6 5" xfId="28482"/>
    <cellStyle name="Heading 2 2 2 2 2 3 6 5 2" xfId="28483"/>
    <cellStyle name="Heading 2 2 2 2 2 3 6 5 2 2" xfId="28484"/>
    <cellStyle name="Heading 2 2 2 2 2 3 6 5 3" xfId="28485"/>
    <cellStyle name="Heading 2 2 2 2 2 3 6 6" xfId="28486"/>
    <cellStyle name="Heading 2 2 2 2 2 3 6 6 2" xfId="28487"/>
    <cellStyle name="Heading 2 2 2 2 2 3 6 6 2 2" xfId="28488"/>
    <cellStyle name="Heading 2 2 2 2 2 3 6 6 3" xfId="28489"/>
    <cellStyle name="Heading 2 2 2 2 2 3 6 7" xfId="28490"/>
    <cellStyle name="Heading 2 2 2 2 2 3 6 7 2" xfId="28491"/>
    <cellStyle name="Heading 2 2 2 2 2 3 6 7 2 2" xfId="28492"/>
    <cellStyle name="Heading 2 2 2 2 2 3 6 7 3" xfId="28493"/>
    <cellStyle name="Heading 2 2 2 2 2 3 6 8" xfId="28494"/>
    <cellStyle name="Heading 2 2 2 2 2 3 6 8 2" xfId="28495"/>
    <cellStyle name="Heading 2 2 2 2 2 3 6 9" xfId="28496"/>
    <cellStyle name="Heading 2 2 2 2 2 3 7" xfId="28497"/>
    <cellStyle name="Heading 2 2 2 2 2 3 7 2" xfId="28498"/>
    <cellStyle name="Heading 2 2 2 2 2 3 7 2 2" xfId="28499"/>
    <cellStyle name="Heading 2 2 2 2 2 3 7 2 2 2" xfId="28500"/>
    <cellStyle name="Heading 2 2 2 2 2 3 7 2 3" xfId="28501"/>
    <cellStyle name="Heading 2 2 2 2 2 3 7 3" xfId="28502"/>
    <cellStyle name="Heading 2 2 2 2 2 3 7 3 2" xfId="28503"/>
    <cellStyle name="Heading 2 2 2 2 2 3 7 3 2 2" xfId="28504"/>
    <cellStyle name="Heading 2 2 2 2 2 3 7 3 3" xfId="28505"/>
    <cellStyle name="Heading 2 2 2 2 2 3 7 4" xfId="28506"/>
    <cellStyle name="Heading 2 2 2 2 2 3 7 4 2" xfId="28507"/>
    <cellStyle name="Heading 2 2 2 2 2 3 7 4 2 2" xfId="28508"/>
    <cellStyle name="Heading 2 2 2 2 2 3 7 4 3" xfId="28509"/>
    <cellStyle name="Heading 2 2 2 2 2 3 7 5" xfId="28510"/>
    <cellStyle name="Heading 2 2 2 2 2 3 7 5 2" xfId="28511"/>
    <cellStyle name="Heading 2 2 2 2 2 3 7 5 2 2" xfId="28512"/>
    <cellStyle name="Heading 2 2 2 2 2 3 7 5 3" xfId="28513"/>
    <cellStyle name="Heading 2 2 2 2 2 3 7 6" xfId="28514"/>
    <cellStyle name="Heading 2 2 2 2 2 3 7 6 2" xfId="28515"/>
    <cellStyle name="Heading 2 2 2 2 2 3 7 6 2 2" xfId="28516"/>
    <cellStyle name="Heading 2 2 2 2 2 3 7 6 3" xfId="28517"/>
    <cellStyle name="Heading 2 2 2 2 2 3 7 7" xfId="28518"/>
    <cellStyle name="Heading 2 2 2 2 2 3 7 7 2" xfId="28519"/>
    <cellStyle name="Heading 2 2 2 2 2 3 7 7 2 2" xfId="28520"/>
    <cellStyle name="Heading 2 2 2 2 2 3 7 7 3" xfId="28521"/>
    <cellStyle name="Heading 2 2 2 2 2 3 7 8" xfId="28522"/>
    <cellStyle name="Heading 2 2 2 2 2 3 7 8 2" xfId="28523"/>
    <cellStyle name="Heading 2 2 2 2 2 3 7 9" xfId="28524"/>
    <cellStyle name="Heading 2 2 2 2 2 3 8" xfId="28525"/>
    <cellStyle name="Heading 2 2 2 2 2 3 8 2" xfId="28526"/>
    <cellStyle name="Heading 2 2 2 2 2 3 8 2 2" xfId="28527"/>
    <cellStyle name="Heading 2 2 2 2 2 3 8 2 2 2" xfId="28528"/>
    <cellStyle name="Heading 2 2 2 2 2 3 8 2 3" xfId="28529"/>
    <cellStyle name="Heading 2 2 2 2 2 3 8 3" xfId="28530"/>
    <cellStyle name="Heading 2 2 2 2 2 3 8 3 2" xfId="28531"/>
    <cellStyle name="Heading 2 2 2 2 2 3 8 3 2 2" xfId="28532"/>
    <cellStyle name="Heading 2 2 2 2 2 3 8 3 3" xfId="28533"/>
    <cellStyle name="Heading 2 2 2 2 2 3 8 4" xfId="28534"/>
    <cellStyle name="Heading 2 2 2 2 2 3 8 4 2" xfId="28535"/>
    <cellStyle name="Heading 2 2 2 2 2 3 8 4 2 2" xfId="28536"/>
    <cellStyle name="Heading 2 2 2 2 2 3 8 4 3" xfId="28537"/>
    <cellStyle name="Heading 2 2 2 2 2 3 8 5" xfId="28538"/>
    <cellStyle name="Heading 2 2 2 2 2 3 8 5 2" xfId="28539"/>
    <cellStyle name="Heading 2 2 2 2 2 3 8 5 2 2" xfId="28540"/>
    <cellStyle name="Heading 2 2 2 2 2 3 8 5 3" xfId="28541"/>
    <cellStyle name="Heading 2 2 2 2 2 3 8 6" xfId="28542"/>
    <cellStyle name="Heading 2 2 2 2 2 3 8 6 2" xfId="28543"/>
    <cellStyle name="Heading 2 2 2 2 2 3 8 6 2 2" xfId="28544"/>
    <cellStyle name="Heading 2 2 2 2 2 3 8 6 3" xfId="28545"/>
    <cellStyle name="Heading 2 2 2 2 2 3 8 7" xfId="28546"/>
    <cellStyle name="Heading 2 2 2 2 2 3 8 7 2" xfId="28547"/>
    <cellStyle name="Heading 2 2 2 2 2 3 8 7 2 2" xfId="28548"/>
    <cellStyle name="Heading 2 2 2 2 2 3 8 7 3" xfId="28549"/>
    <cellStyle name="Heading 2 2 2 2 2 3 8 8" xfId="28550"/>
    <cellStyle name="Heading 2 2 2 2 2 3 8 8 2" xfId="28551"/>
    <cellStyle name="Heading 2 2 2 2 2 3 8 9" xfId="28552"/>
    <cellStyle name="Heading 2 2 2 2 2 3 9" xfId="28553"/>
    <cellStyle name="Heading 2 2 2 2 2 3 9 2" xfId="28554"/>
    <cellStyle name="Heading 2 2 2 2 2 3 9 2 2" xfId="28555"/>
    <cellStyle name="Heading 2 2 2 2 2 3 9 3" xfId="28556"/>
    <cellStyle name="Heading 2 2 2 2 2 4" xfId="28557"/>
    <cellStyle name="Heading 2 2 2 2 2 4 2" xfId="28558"/>
    <cellStyle name="Heading 2 2 2 2 2 4 2 2" xfId="28559"/>
    <cellStyle name="Heading 2 2 2 2 2 4 3" xfId="28560"/>
    <cellStyle name="Heading 2 2 2 2 2 5" xfId="28561"/>
    <cellStyle name="Heading 2 2 2 2 2 5 2" xfId="28562"/>
    <cellStyle name="Heading 2 2 2 2 2 6" xfId="28563"/>
    <cellStyle name="Heading 2 2 2 2 20" xfId="28564"/>
    <cellStyle name="Heading 2 2 2 2 3" xfId="28565"/>
    <cellStyle name="Heading 2 2 2 2 3 2" xfId="28566"/>
    <cellStyle name="Heading 2 2 2 2 3 2 10" xfId="28567"/>
    <cellStyle name="Heading 2 2 2 2 3 2 10 2" xfId="28568"/>
    <cellStyle name="Heading 2 2 2 2 3 2 10 2 2" xfId="28569"/>
    <cellStyle name="Heading 2 2 2 2 3 2 10 3" xfId="28570"/>
    <cellStyle name="Heading 2 2 2 2 3 2 11" xfId="28571"/>
    <cellStyle name="Heading 2 2 2 2 3 2 11 2" xfId="28572"/>
    <cellStyle name="Heading 2 2 2 2 3 2 11 2 2" xfId="28573"/>
    <cellStyle name="Heading 2 2 2 2 3 2 11 3" xfId="28574"/>
    <cellStyle name="Heading 2 2 2 2 3 2 12" xfId="28575"/>
    <cellStyle name="Heading 2 2 2 2 3 2 12 2" xfId="28576"/>
    <cellStyle name="Heading 2 2 2 2 3 2 12 2 2" xfId="28577"/>
    <cellStyle name="Heading 2 2 2 2 3 2 12 3" xfId="28578"/>
    <cellStyle name="Heading 2 2 2 2 3 2 13" xfId="28579"/>
    <cellStyle name="Heading 2 2 2 2 3 2 13 2" xfId="28580"/>
    <cellStyle name="Heading 2 2 2 2 3 2 13 2 2" xfId="28581"/>
    <cellStyle name="Heading 2 2 2 2 3 2 13 3" xfId="28582"/>
    <cellStyle name="Heading 2 2 2 2 3 2 14" xfId="28583"/>
    <cellStyle name="Heading 2 2 2 2 3 2 14 2" xfId="28584"/>
    <cellStyle name="Heading 2 2 2 2 3 2 14 2 2" xfId="28585"/>
    <cellStyle name="Heading 2 2 2 2 3 2 14 3" xfId="28586"/>
    <cellStyle name="Heading 2 2 2 2 3 2 15" xfId="28587"/>
    <cellStyle name="Heading 2 2 2 2 3 2 15 2" xfId="28588"/>
    <cellStyle name="Heading 2 2 2 2 3 2 15 2 2" xfId="28589"/>
    <cellStyle name="Heading 2 2 2 2 3 2 15 3" xfId="28590"/>
    <cellStyle name="Heading 2 2 2 2 3 2 16" xfId="28591"/>
    <cellStyle name="Heading 2 2 2 2 3 2 16 2" xfId="28592"/>
    <cellStyle name="Heading 2 2 2 2 3 2 16 2 2" xfId="28593"/>
    <cellStyle name="Heading 2 2 2 2 3 2 16 3" xfId="28594"/>
    <cellStyle name="Heading 2 2 2 2 3 2 17" xfId="28595"/>
    <cellStyle name="Heading 2 2 2 2 3 2 17 2" xfId="28596"/>
    <cellStyle name="Heading 2 2 2 2 3 2 17 2 2" xfId="28597"/>
    <cellStyle name="Heading 2 2 2 2 3 2 17 3" xfId="28598"/>
    <cellStyle name="Heading 2 2 2 2 3 2 18" xfId="28599"/>
    <cellStyle name="Heading 2 2 2 2 3 2 18 2" xfId="28600"/>
    <cellStyle name="Heading 2 2 2 2 3 2 18 2 2" xfId="28601"/>
    <cellStyle name="Heading 2 2 2 2 3 2 18 3" xfId="28602"/>
    <cellStyle name="Heading 2 2 2 2 3 2 19" xfId="28603"/>
    <cellStyle name="Heading 2 2 2 2 3 2 19 2" xfId="28604"/>
    <cellStyle name="Heading 2 2 2 2 3 2 19 2 2" xfId="28605"/>
    <cellStyle name="Heading 2 2 2 2 3 2 19 3" xfId="28606"/>
    <cellStyle name="Heading 2 2 2 2 3 2 2" xfId="28607"/>
    <cellStyle name="Heading 2 2 2 2 3 2 2 10" xfId="28608"/>
    <cellStyle name="Heading 2 2 2 2 3 2 2 10 2" xfId="28609"/>
    <cellStyle name="Heading 2 2 2 2 3 2 2 10 2 2" xfId="28610"/>
    <cellStyle name="Heading 2 2 2 2 3 2 2 10 3" xfId="28611"/>
    <cellStyle name="Heading 2 2 2 2 3 2 2 11" xfId="28612"/>
    <cellStyle name="Heading 2 2 2 2 3 2 2 11 2" xfId="28613"/>
    <cellStyle name="Heading 2 2 2 2 3 2 2 11 2 2" xfId="28614"/>
    <cellStyle name="Heading 2 2 2 2 3 2 2 11 3" xfId="28615"/>
    <cellStyle name="Heading 2 2 2 2 3 2 2 12" xfId="28616"/>
    <cellStyle name="Heading 2 2 2 2 3 2 2 12 2" xfId="28617"/>
    <cellStyle name="Heading 2 2 2 2 3 2 2 12 2 2" xfId="28618"/>
    <cellStyle name="Heading 2 2 2 2 3 2 2 12 3" xfId="28619"/>
    <cellStyle name="Heading 2 2 2 2 3 2 2 13" xfId="28620"/>
    <cellStyle name="Heading 2 2 2 2 3 2 2 13 2" xfId="28621"/>
    <cellStyle name="Heading 2 2 2 2 3 2 2 13 2 2" xfId="28622"/>
    <cellStyle name="Heading 2 2 2 2 3 2 2 13 3" xfId="28623"/>
    <cellStyle name="Heading 2 2 2 2 3 2 2 14" xfId="28624"/>
    <cellStyle name="Heading 2 2 2 2 3 2 2 14 2" xfId="28625"/>
    <cellStyle name="Heading 2 2 2 2 3 2 2 14 2 2" xfId="28626"/>
    <cellStyle name="Heading 2 2 2 2 3 2 2 14 3" xfId="28627"/>
    <cellStyle name="Heading 2 2 2 2 3 2 2 15" xfId="28628"/>
    <cellStyle name="Heading 2 2 2 2 3 2 2 15 2" xfId="28629"/>
    <cellStyle name="Heading 2 2 2 2 3 2 2 15 2 2" xfId="28630"/>
    <cellStyle name="Heading 2 2 2 2 3 2 2 15 3" xfId="28631"/>
    <cellStyle name="Heading 2 2 2 2 3 2 2 16" xfId="28632"/>
    <cellStyle name="Heading 2 2 2 2 3 2 2 16 2" xfId="28633"/>
    <cellStyle name="Heading 2 2 2 2 3 2 2 16 2 2" xfId="28634"/>
    <cellStyle name="Heading 2 2 2 2 3 2 2 16 3" xfId="28635"/>
    <cellStyle name="Heading 2 2 2 2 3 2 2 17" xfId="28636"/>
    <cellStyle name="Heading 2 2 2 2 3 2 2 17 2" xfId="28637"/>
    <cellStyle name="Heading 2 2 2 2 3 2 2 17 2 2" xfId="28638"/>
    <cellStyle name="Heading 2 2 2 2 3 2 2 17 3" xfId="28639"/>
    <cellStyle name="Heading 2 2 2 2 3 2 2 18" xfId="28640"/>
    <cellStyle name="Heading 2 2 2 2 3 2 2 18 2" xfId="28641"/>
    <cellStyle name="Heading 2 2 2 2 3 2 2 18 2 2" xfId="28642"/>
    <cellStyle name="Heading 2 2 2 2 3 2 2 18 3" xfId="28643"/>
    <cellStyle name="Heading 2 2 2 2 3 2 2 19" xfId="28644"/>
    <cellStyle name="Heading 2 2 2 2 3 2 2 19 2" xfId="28645"/>
    <cellStyle name="Heading 2 2 2 2 3 2 2 2" xfId="28646"/>
    <cellStyle name="Heading 2 2 2 2 3 2 2 2 2" xfId="28647"/>
    <cellStyle name="Heading 2 2 2 2 3 2 2 2 2 2" xfId="28648"/>
    <cellStyle name="Heading 2 2 2 2 3 2 2 2 2 2 2" xfId="28649"/>
    <cellStyle name="Heading 2 2 2 2 3 2 2 2 2 3" xfId="28650"/>
    <cellStyle name="Heading 2 2 2 2 3 2 2 2 3" xfId="28651"/>
    <cellStyle name="Heading 2 2 2 2 3 2 2 2 3 2" xfId="28652"/>
    <cellStyle name="Heading 2 2 2 2 3 2 2 2 3 2 2" xfId="28653"/>
    <cellStyle name="Heading 2 2 2 2 3 2 2 2 3 3" xfId="28654"/>
    <cellStyle name="Heading 2 2 2 2 3 2 2 2 4" xfId="28655"/>
    <cellStyle name="Heading 2 2 2 2 3 2 2 2 4 2" xfId="28656"/>
    <cellStyle name="Heading 2 2 2 2 3 2 2 2 4 2 2" xfId="28657"/>
    <cellStyle name="Heading 2 2 2 2 3 2 2 2 4 3" xfId="28658"/>
    <cellStyle name="Heading 2 2 2 2 3 2 2 2 5" xfId="28659"/>
    <cellStyle name="Heading 2 2 2 2 3 2 2 2 5 2" xfId="28660"/>
    <cellStyle name="Heading 2 2 2 2 3 2 2 2 5 2 2" xfId="28661"/>
    <cellStyle name="Heading 2 2 2 2 3 2 2 2 5 3" xfId="28662"/>
    <cellStyle name="Heading 2 2 2 2 3 2 2 2 6" xfId="28663"/>
    <cellStyle name="Heading 2 2 2 2 3 2 2 2 6 2" xfId="28664"/>
    <cellStyle name="Heading 2 2 2 2 3 2 2 2 6 2 2" xfId="28665"/>
    <cellStyle name="Heading 2 2 2 2 3 2 2 2 6 3" xfId="28666"/>
    <cellStyle name="Heading 2 2 2 2 3 2 2 2 7" xfId="28667"/>
    <cellStyle name="Heading 2 2 2 2 3 2 2 2 7 2" xfId="28668"/>
    <cellStyle name="Heading 2 2 2 2 3 2 2 2 7 2 2" xfId="28669"/>
    <cellStyle name="Heading 2 2 2 2 3 2 2 2 7 3" xfId="28670"/>
    <cellStyle name="Heading 2 2 2 2 3 2 2 2 8" xfId="28671"/>
    <cellStyle name="Heading 2 2 2 2 3 2 2 2 8 2" xfId="28672"/>
    <cellStyle name="Heading 2 2 2 2 3 2 2 2 9" xfId="28673"/>
    <cellStyle name="Heading 2 2 2 2 3 2 2 20" xfId="28674"/>
    <cellStyle name="Heading 2 2 2 2 3 2 2 20 2" xfId="28675"/>
    <cellStyle name="Heading 2 2 2 2 3 2 2 21" xfId="28676"/>
    <cellStyle name="Heading 2 2 2 2 3 2 2 21 2" xfId="28677"/>
    <cellStyle name="Heading 2 2 2 2 3 2 2 22" xfId="28678"/>
    <cellStyle name="Heading 2 2 2 2 3 2 2 3" xfId="28679"/>
    <cellStyle name="Heading 2 2 2 2 3 2 2 3 2" xfId="28680"/>
    <cellStyle name="Heading 2 2 2 2 3 2 2 3 2 2" xfId="28681"/>
    <cellStyle name="Heading 2 2 2 2 3 2 2 3 2 2 2" xfId="28682"/>
    <cellStyle name="Heading 2 2 2 2 3 2 2 3 2 3" xfId="28683"/>
    <cellStyle name="Heading 2 2 2 2 3 2 2 3 3" xfId="28684"/>
    <cellStyle name="Heading 2 2 2 2 3 2 2 3 3 2" xfId="28685"/>
    <cellStyle name="Heading 2 2 2 2 3 2 2 3 3 2 2" xfId="28686"/>
    <cellStyle name="Heading 2 2 2 2 3 2 2 3 3 3" xfId="28687"/>
    <cellStyle name="Heading 2 2 2 2 3 2 2 3 4" xfId="28688"/>
    <cellStyle name="Heading 2 2 2 2 3 2 2 3 4 2" xfId="28689"/>
    <cellStyle name="Heading 2 2 2 2 3 2 2 3 4 2 2" xfId="28690"/>
    <cellStyle name="Heading 2 2 2 2 3 2 2 3 4 3" xfId="28691"/>
    <cellStyle name="Heading 2 2 2 2 3 2 2 3 5" xfId="28692"/>
    <cellStyle name="Heading 2 2 2 2 3 2 2 3 5 2" xfId="28693"/>
    <cellStyle name="Heading 2 2 2 2 3 2 2 3 5 2 2" xfId="28694"/>
    <cellStyle name="Heading 2 2 2 2 3 2 2 3 5 3" xfId="28695"/>
    <cellStyle name="Heading 2 2 2 2 3 2 2 3 6" xfId="28696"/>
    <cellStyle name="Heading 2 2 2 2 3 2 2 3 6 2" xfId="28697"/>
    <cellStyle name="Heading 2 2 2 2 3 2 2 3 6 2 2" xfId="28698"/>
    <cellStyle name="Heading 2 2 2 2 3 2 2 3 6 3" xfId="28699"/>
    <cellStyle name="Heading 2 2 2 2 3 2 2 3 7" xfId="28700"/>
    <cellStyle name="Heading 2 2 2 2 3 2 2 3 7 2" xfId="28701"/>
    <cellStyle name="Heading 2 2 2 2 3 2 2 3 7 2 2" xfId="28702"/>
    <cellStyle name="Heading 2 2 2 2 3 2 2 3 7 3" xfId="28703"/>
    <cellStyle name="Heading 2 2 2 2 3 2 2 3 8" xfId="28704"/>
    <cellStyle name="Heading 2 2 2 2 3 2 2 3 8 2" xfId="28705"/>
    <cellStyle name="Heading 2 2 2 2 3 2 2 3 9" xfId="28706"/>
    <cellStyle name="Heading 2 2 2 2 3 2 2 4" xfId="28707"/>
    <cellStyle name="Heading 2 2 2 2 3 2 2 4 2" xfId="28708"/>
    <cellStyle name="Heading 2 2 2 2 3 2 2 4 2 2" xfId="28709"/>
    <cellStyle name="Heading 2 2 2 2 3 2 2 4 2 2 2" xfId="28710"/>
    <cellStyle name="Heading 2 2 2 2 3 2 2 4 2 3" xfId="28711"/>
    <cellStyle name="Heading 2 2 2 2 3 2 2 4 3" xfId="28712"/>
    <cellStyle name="Heading 2 2 2 2 3 2 2 4 3 2" xfId="28713"/>
    <cellStyle name="Heading 2 2 2 2 3 2 2 4 3 2 2" xfId="28714"/>
    <cellStyle name="Heading 2 2 2 2 3 2 2 4 3 3" xfId="28715"/>
    <cellStyle name="Heading 2 2 2 2 3 2 2 4 4" xfId="28716"/>
    <cellStyle name="Heading 2 2 2 2 3 2 2 4 4 2" xfId="28717"/>
    <cellStyle name="Heading 2 2 2 2 3 2 2 4 4 2 2" xfId="28718"/>
    <cellStyle name="Heading 2 2 2 2 3 2 2 4 4 3" xfId="28719"/>
    <cellStyle name="Heading 2 2 2 2 3 2 2 4 5" xfId="28720"/>
    <cellStyle name="Heading 2 2 2 2 3 2 2 4 5 2" xfId="28721"/>
    <cellStyle name="Heading 2 2 2 2 3 2 2 4 5 2 2" xfId="28722"/>
    <cellStyle name="Heading 2 2 2 2 3 2 2 4 5 3" xfId="28723"/>
    <cellStyle name="Heading 2 2 2 2 3 2 2 4 6" xfId="28724"/>
    <cellStyle name="Heading 2 2 2 2 3 2 2 4 6 2" xfId="28725"/>
    <cellStyle name="Heading 2 2 2 2 3 2 2 4 6 2 2" xfId="28726"/>
    <cellStyle name="Heading 2 2 2 2 3 2 2 4 6 3" xfId="28727"/>
    <cellStyle name="Heading 2 2 2 2 3 2 2 4 7" xfId="28728"/>
    <cellStyle name="Heading 2 2 2 2 3 2 2 4 7 2" xfId="28729"/>
    <cellStyle name="Heading 2 2 2 2 3 2 2 4 7 2 2" xfId="28730"/>
    <cellStyle name="Heading 2 2 2 2 3 2 2 4 7 3" xfId="28731"/>
    <cellStyle name="Heading 2 2 2 2 3 2 2 4 8" xfId="28732"/>
    <cellStyle name="Heading 2 2 2 2 3 2 2 4 8 2" xfId="28733"/>
    <cellStyle name="Heading 2 2 2 2 3 2 2 4 9" xfId="28734"/>
    <cellStyle name="Heading 2 2 2 2 3 2 2 5" xfId="28735"/>
    <cellStyle name="Heading 2 2 2 2 3 2 2 5 2" xfId="28736"/>
    <cellStyle name="Heading 2 2 2 2 3 2 2 5 2 2" xfId="28737"/>
    <cellStyle name="Heading 2 2 2 2 3 2 2 5 2 2 2" xfId="28738"/>
    <cellStyle name="Heading 2 2 2 2 3 2 2 5 2 3" xfId="28739"/>
    <cellStyle name="Heading 2 2 2 2 3 2 2 5 3" xfId="28740"/>
    <cellStyle name="Heading 2 2 2 2 3 2 2 5 3 2" xfId="28741"/>
    <cellStyle name="Heading 2 2 2 2 3 2 2 5 3 2 2" xfId="28742"/>
    <cellStyle name="Heading 2 2 2 2 3 2 2 5 3 3" xfId="28743"/>
    <cellStyle name="Heading 2 2 2 2 3 2 2 5 4" xfId="28744"/>
    <cellStyle name="Heading 2 2 2 2 3 2 2 5 4 2" xfId="28745"/>
    <cellStyle name="Heading 2 2 2 2 3 2 2 5 4 2 2" xfId="28746"/>
    <cellStyle name="Heading 2 2 2 2 3 2 2 5 4 3" xfId="28747"/>
    <cellStyle name="Heading 2 2 2 2 3 2 2 5 5" xfId="28748"/>
    <cellStyle name="Heading 2 2 2 2 3 2 2 5 5 2" xfId="28749"/>
    <cellStyle name="Heading 2 2 2 2 3 2 2 5 5 2 2" xfId="28750"/>
    <cellStyle name="Heading 2 2 2 2 3 2 2 5 5 3" xfId="28751"/>
    <cellStyle name="Heading 2 2 2 2 3 2 2 5 6" xfId="28752"/>
    <cellStyle name="Heading 2 2 2 2 3 2 2 5 6 2" xfId="28753"/>
    <cellStyle name="Heading 2 2 2 2 3 2 2 5 6 2 2" xfId="28754"/>
    <cellStyle name="Heading 2 2 2 2 3 2 2 5 6 3" xfId="28755"/>
    <cellStyle name="Heading 2 2 2 2 3 2 2 5 7" xfId="28756"/>
    <cellStyle name="Heading 2 2 2 2 3 2 2 5 7 2" xfId="28757"/>
    <cellStyle name="Heading 2 2 2 2 3 2 2 5 7 2 2" xfId="28758"/>
    <cellStyle name="Heading 2 2 2 2 3 2 2 5 7 3" xfId="28759"/>
    <cellStyle name="Heading 2 2 2 2 3 2 2 5 8" xfId="28760"/>
    <cellStyle name="Heading 2 2 2 2 3 2 2 5 8 2" xfId="28761"/>
    <cellStyle name="Heading 2 2 2 2 3 2 2 5 9" xfId="28762"/>
    <cellStyle name="Heading 2 2 2 2 3 2 2 6" xfId="28763"/>
    <cellStyle name="Heading 2 2 2 2 3 2 2 6 2" xfId="28764"/>
    <cellStyle name="Heading 2 2 2 2 3 2 2 6 2 2" xfId="28765"/>
    <cellStyle name="Heading 2 2 2 2 3 2 2 6 2 2 2" xfId="28766"/>
    <cellStyle name="Heading 2 2 2 2 3 2 2 6 2 3" xfId="28767"/>
    <cellStyle name="Heading 2 2 2 2 3 2 2 6 3" xfId="28768"/>
    <cellStyle name="Heading 2 2 2 2 3 2 2 6 3 2" xfId="28769"/>
    <cellStyle name="Heading 2 2 2 2 3 2 2 6 3 2 2" xfId="28770"/>
    <cellStyle name="Heading 2 2 2 2 3 2 2 6 3 3" xfId="28771"/>
    <cellStyle name="Heading 2 2 2 2 3 2 2 6 4" xfId="28772"/>
    <cellStyle name="Heading 2 2 2 2 3 2 2 6 4 2" xfId="28773"/>
    <cellStyle name="Heading 2 2 2 2 3 2 2 6 4 2 2" xfId="28774"/>
    <cellStyle name="Heading 2 2 2 2 3 2 2 6 4 3" xfId="28775"/>
    <cellStyle name="Heading 2 2 2 2 3 2 2 6 5" xfId="28776"/>
    <cellStyle name="Heading 2 2 2 2 3 2 2 6 5 2" xfId="28777"/>
    <cellStyle name="Heading 2 2 2 2 3 2 2 6 5 2 2" xfId="28778"/>
    <cellStyle name="Heading 2 2 2 2 3 2 2 6 5 3" xfId="28779"/>
    <cellStyle name="Heading 2 2 2 2 3 2 2 6 6" xfId="28780"/>
    <cellStyle name="Heading 2 2 2 2 3 2 2 6 6 2" xfId="28781"/>
    <cellStyle name="Heading 2 2 2 2 3 2 2 6 6 2 2" xfId="28782"/>
    <cellStyle name="Heading 2 2 2 2 3 2 2 6 6 3" xfId="28783"/>
    <cellStyle name="Heading 2 2 2 2 3 2 2 6 7" xfId="28784"/>
    <cellStyle name="Heading 2 2 2 2 3 2 2 6 7 2" xfId="28785"/>
    <cellStyle name="Heading 2 2 2 2 3 2 2 6 7 2 2" xfId="28786"/>
    <cellStyle name="Heading 2 2 2 2 3 2 2 6 7 3" xfId="28787"/>
    <cellStyle name="Heading 2 2 2 2 3 2 2 6 8" xfId="28788"/>
    <cellStyle name="Heading 2 2 2 2 3 2 2 6 8 2" xfId="28789"/>
    <cellStyle name="Heading 2 2 2 2 3 2 2 6 9" xfId="28790"/>
    <cellStyle name="Heading 2 2 2 2 3 2 2 7" xfId="28791"/>
    <cellStyle name="Heading 2 2 2 2 3 2 2 7 2" xfId="28792"/>
    <cellStyle name="Heading 2 2 2 2 3 2 2 7 2 2" xfId="28793"/>
    <cellStyle name="Heading 2 2 2 2 3 2 2 7 2 2 2" xfId="28794"/>
    <cellStyle name="Heading 2 2 2 2 3 2 2 7 2 3" xfId="28795"/>
    <cellStyle name="Heading 2 2 2 2 3 2 2 7 3" xfId="28796"/>
    <cellStyle name="Heading 2 2 2 2 3 2 2 7 3 2" xfId="28797"/>
    <cellStyle name="Heading 2 2 2 2 3 2 2 7 3 2 2" xfId="28798"/>
    <cellStyle name="Heading 2 2 2 2 3 2 2 7 3 3" xfId="28799"/>
    <cellStyle name="Heading 2 2 2 2 3 2 2 7 4" xfId="28800"/>
    <cellStyle name="Heading 2 2 2 2 3 2 2 7 4 2" xfId="28801"/>
    <cellStyle name="Heading 2 2 2 2 3 2 2 7 4 2 2" xfId="28802"/>
    <cellStyle name="Heading 2 2 2 2 3 2 2 7 4 3" xfId="28803"/>
    <cellStyle name="Heading 2 2 2 2 3 2 2 7 5" xfId="28804"/>
    <cellStyle name="Heading 2 2 2 2 3 2 2 7 5 2" xfId="28805"/>
    <cellStyle name="Heading 2 2 2 2 3 2 2 7 5 2 2" xfId="28806"/>
    <cellStyle name="Heading 2 2 2 2 3 2 2 7 5 3" xfId="28807"/>
    <cellStyle name="Heading 2 2 2 2 3 2 2 7 6" xfId="28808"/>
    <cellStyle name="Heading 2 2 2 2 3 2 2 7 6 2" xfId="28809"/>
    <cellStyle name="Heading 2 2 2 2 3 2 2 7 6 2 2" xfId="28810"/>
    <cellStyle name="Heading 2 2 2 2 3 2 2 7 6 3" xfId="28811"/>
    <cellStyle name="Heading 2 2 2 2 3 2 2 7 7" xfId="28812"/>
    <cellStyle name="Heading 2 2 2 2 3 2 2 7 7 2" xfId="28813"/>
    <cellStyle name="Heading 2 2 2 2 3 2 2 7 7 2 2" xfId="28814"/>
    <cellStyle name="Heading 2 2 2 2 3 2 2 7 7 3" xfId="28815"/>
    <cellStyle name="Heading 2 2 2 2 3 2 2 7 8" xfId="28816"/>
    <cellStyle name="Heading 2 2 2 2 3 2 2 7 8 2" xfId="28817"/>
    <cellStyle name="Heading 2 2 2 2 3 2 2 7 9" xfId="28818"/>
    <cellStyle name="Heading 2 2 2 2 3 2 2 8" xfId="28819"/>
    <cellStyle name="Heading 2 2 2 2 3 2 2 8 2" xfId="28820"/>
    <cellStyle name="Heading 2 2 2 2 3 2 2 8 2 2" xfId="28821"/>
    <cellStyle name="Heading 2 2 2 2 3 2 2 8 2 2 2" xfId="28822"/>
    <cellStyle name="Heading 2 2 2 2 3 2 2 8 2 3" xfId="28823"/>
    <cellStyle name="Heading 2 2 2 2 3 2 2 8 3" xfId="28824"/>
    <cellStyle name="Heading 2 2 2 2 3 2 2 8 3 2" xfId="28825"/>
    <cellStyle name="Heading 2 2 2 2 3 2 2 8 3 2 2" xfId="28826"/>
    <cellStyle name="Heading 2 2 2 2 3 2 2 8 3 3" xfId="28827"/>
    <cellStyle name="Heading 2 2 2 2 3 2 2 8 4" xfId="28828"/>
    <cellStyle name="Heading 2 2 2 2 3 2 2 8 4 2" xfId="28829"/>
    <cellStyle name="Heading 2 2 2 2 3 2 2 8 4 2 2" xfId="28830"/>
    <cellStyle name="Heading 2 2 2 2 3 2 2 8 4 3" xfId="28831"/>
    <cellStyle name="Heading 2 2 2 2 3 2 2 8 5" xfId="28832"/>
    <cellStyle name="Heading 2 2 2 2 3 2 2 8 5 2" xfId="28833"/>
    <cellStyle name="Heading 2 2 2 2 3 2 2 8 5 2 2" xfId="28834"/>
    <cellStyle name="Heading 2 2 2 2 3 2 2 8 5 3" xfId="28835"/>
    <cellStyle name="Heading 2 2 2 2 3 2 2 8 6" xfId="28836"/>
    <cellStyle name="Heading 2 2 2 2 3 2 2 8 6 2" xfId="28837"/>
    <cellStyle name="Heading 2 2 2 2 3 2 2 8 6 2 2" xfId="28838"/>
    <cellStyle name="Heading 2 2 2 2 3 2 2 8 6 3" xfId="28839"/>
    <cellStyle name="Heading 2 2 2 2 3 2 2 8 7" xfId="28840"/>
    <cellStyle name="Heading 2 2 2 2 3 2 2 8 7 2" xfId="28841"/>
    <cellStyle name="Heading 2 2 2 2 3 2 2 8 7 2 2" xfId="28842"/>
    <cellStyle name="Heading 2 2 2 2 3 2 2 8 7 3" xfId="28843"/>
    <cellStyle name="Heading 2 2 2 2 3 2 2 8 8" xfId="28844"/>
    <cellStyle name="Heading 2 2 2 2 3 2 2 8 8 2" xfId="28845"/>
    <cellStyle name="Heading 2 2 2 2 3 2 2 8 9" xfId="28846"/>
    <cellStyle name="Heading 2 2 2 2 3 2 2 9" xfId="28847"/>
    <cellStyle name="Heading 2 2 2 2 3 2 2 9 2" xfId="28848"/>
    <cellStyle name="Heading 2 2 2 2 3 2 2 9 2 2" xfId="28849"/>
    <cellStyle name="Heading 2 2 2 2 3 2 2 9 3" xfId="28850"/>
    <cellStyle name="Heading 2 2 2 2 3 2 20" xfId="28851"/>
    <cellStyle name="Heading 2 2 2 2 3 2 20 2" xfId="28852"/>
    <cellStyle name="Heading 2 2 2 2 3 2 21" xfId="28853"/>
    <cellStyle name="Heading 2 2 2 2 3 2 21 2" xfId="28854"/>
    <cellStyle name="Heading 2 2 2 2 3 2 22" xfId="28855"/>
    <cellStyle name="Heading 2 2 2 2 3 2 22 2" xfId="28856"/>
    <cellStyle name="Heading 2 2 2 2 3 2 23" xfId="28857"/>
    <cellStyle name="Heading 2 2 2 2 3 2 3" xfId="28858"/>
    <cellStyle name="Heading 2 2 2 2 3 2 3 2" xfId="28859"/>
    <cellStyle name="Heading 2 2 2 2 3 2 3 2 2" xfId="28860"/>
    <cellStyle name="Heading 2 2 2 2 3 2 3 2 2 2" xfId="28861"/>
    <cellStyle name="Heading 2 2 2 2 3 2 3 2 3" xfId="28862"/>
    <cellStyle name="Heading 2 2 2 2 3 2 3 3" xfId="28863"/>
    <cellStyle name="Heading 2 2 2 2 3 2 3 3 2" xfId="28864"/>
    <cellStyle name="Heading 2 2 2 2 3 2 3 3 2 2" xfId="28865"/>
    <cellStyle name="Heading 2 2 2 2 3 2 3 3 3" xfId="28866"/>
    <cellStyle name="Heading 2 2 2 2 3 2 3 4" xfId="28867"/>
    <cellStyle name="Heading 2 2 2 2 3 2 3 4 2" xfId="28868"/>
    <cellStyle name="Heading 2 2 2 2 3 2 3 4 2 2" xfId="28869"/>
    <cellStyle name="Heading 2 2 2 2 3 2 3 4 3" xfId="28870"/>
    <cellStyle name="Heading 2 2 2 2 3 2 3 5" xfId="28871"/>
    <cellStyle name="Heading 2 2 2 2 3 2 3 5 2" xfId="28872"/>
    <cellStyle name="Heading 2 2 2 2 3 2 3 5 2 2" xfId="28873"/>
    <cellStyle name="Heading 2 2 2 2 3 2 3 5 3" xfId="28874"/>
    <cellStyle name="Heading 2 2 2 2 3 2 3 6" xfId="28875"/>
    <cellStyle name="Heading 2 2 2 2 3 2 3 6 2" xfId="28876"/>
    <cellStyle name="Heading 2 2 2 2 3 2 3 6 2 2" xfId="28877"/>
    <cellStyle name="Heading 2 2 2 2 3 2 3 6 3" xfId="28878"/>
    <cellStyle name="Heading 2 2 2 2 3 2 3 7" xfId="28879"/>
    <cellStyle name="Heading 2 2 2 2 3 2 3 7 2" xfId="28880"/>
    <cellStyle name="Heading 2 2 2 2 3 2 3 7 2 2" xfId="28881"/>
    <cellStyle name="Heading 2 2 2 2 3 2 3 7 3" xfId="28882"/>
    <cellStyle name="Heading 2 2 2 2 3 2 3 8" xfId="28883"/>
    <cellStyle name="Heading 2 2 2 2 3 2 3 8 2" xfId="28884"/>
    <cellStyle name="Heading 2 2 2 2 3 2 3 9" xfId="28885"/>
    <cellStyle name="Heading 2 2 2 2 3 2 4" xfId="28886"/>
    <cellStyle name="Heading 2 2 2 2 3 2 4 2" xfId="28887"/>
    <cellStyle name="Heading 2 2 2 2 3 2 4 2 2" xfId="28888"/>
    <cellStyle name="Heading 2 2 2 2 3 2 4 2 2 2" xfId="28889"/>
    <cellStyle name="Heading 2 2 2 2 3 2 4 2 3" xfId="28890"/>
    <cellStyle name="Heading 2 2 2 2 3 2 4 3" xfId="28891"/>
    <cellStyle name="Heading 2 2 2 2 3 2 4 3 2" xfId="28892"/>
    <cellStyle name="Heading 2 2 2 2 3 2 4 3 2 2" xfId="28893"/>
    <cellStyle name="Heading 2 2 2 2 3 2 4 3 3" xfId="28894"/>
    <cellStyle name="Heading 2 2 2 2 3 2 4 4" xfId="28895"/>
    <cellStyle name="Heading 2 2 2 2 3 2 4 4 2" xfId="28896"/>
    <cellStyle name="Heading 2 2 2 2 3 2 4 4 2 2" xfId="28897"/>
    <cellStyle name="Heading 2 2 2 2 3 2 4 4 3" xfId="28898"/>
    <cellStyle name="Heading 2 2 2 2 3 2 4 5" xfId="28899"/>
    <cellStyle name="Heading 2 2 2 2 3 2 4 5 2" xfId="28900"/>
    <cellStyle name="Heading 2 2 2 2 3 2 4 5 2 2" xfId="28901"/>
    <cellStyle name="Heading 2 2 2 2 3 2 4 5 3" xfId="28902"/>
    <cellStyle name="Heading 2 2 2 2 3 2 4 6" xfId="28903"/>
    <cellStyle name="Heading 2 2 2 2 3 2 4 6 2" xfId="28904"/>
    <cellStyle name="Heading 2 2 2 2 3 2 4 6 2 2" xfId="28905"/>
    <cellStyle name="Heading 2 2 2 2 3 2 4 6 3" xfId="28906"/>
    <cellStyle name="Heading 2 2 2 2 3 2 4 7" xfId="28907"/>
    <cellStyle name="Heading 2 2 2 2 3 2 4 7 2" xfId="28908"/>
    <cellStyle name="Heading 2 2 2 2 3 2 4 7 2 2" xfId="28909"/>
    <cellStyle name="Heading 2 2 2 2 3 2 4 7 3" xfId="28910"/>
    <cellStyle name="Heading 2 2 2 2 3 2 4 8" xfId="28911"/>
    <cellStyle name="Heading 2 2 2 2 3 2 4 8 2" xfId="28912"/>
    <cellStyle name="Heading 2 2 2 2 3 2 4 9" xfId="28913"/>
    <cellStyle name="Heading 2 2 2 2 3 2 5" xfId="28914"/>
    <cellStyle name="Heading 2 2 2 2 3 2 5 2" xfId="28915"/>
    <cellStyle name="Heading 2 2 2 2 3 2 5 2 2" xfId="28916"/>
    <cellStyle name="Heading 2 2 2 2 3 2 5 2 2 2" xfId="28917"/>
    <cellStyle name="Heading 2 2 2 2 3 2 5 2 3" xfId="28918"/>
    <cellStyle name="Heading 2 2 2 2 3 2 5 3" xfId="28919"/>
    <cellStyle name="Heading 2 2 2 2 3 2 5 3 2" xfId="28920"/>
    <cellStyle name="Heading 2 2 2 2 3 2 5 3 2 2" xfId="28921"/>
    <cellStyle name="Heading 2 2 2 2 3 2 5 3 3" xfId="28922"/>
    <cellStyle name="Heading 2 2 2 2 3 2 5 4" xfId="28923"/>
    <cellStyle name="Heading 2 2 2 2 3 2 5 4 2" xfId="28924"/>
    <cellStyle name="Heading 2 2 2 2 3 2 5 4 2 2" xfId="28925"/>
    <cellStyle name="Heading 2 2 2 2 3 2 5 4 3" xfId="28926"/>
    <cellStyle name="Heading 2 2 2 2 3 2 5 5" xfId="28927"/>
    <cellStyle name="Heading 2 2 2 2 3 2 5 5 2" xfId="28928"/>
    <cellStyle name="Heading 2 2 2 2 3 2 5 5 2 2" xfId="28929"/>
    <cellStyle name="Heading 2 2 2 2 3 2 5 5 3" xfId="28930"/>
    <cellStyle name="Heading 2 2 2 2 3 2 5 6" xfId="28931"/>
    <cellStyle name="Heading 2 2 2 2 3 2 5 6 2" xfId="28932"/>
    <cellStyle name="Heading 2 2 2 2 3 2 5 6 2 2" xfId="28933"/>
    <cellStyle name="Heading 2 2 2 2 3 2 5 6 3" xfId="28934"/>
    <cellStyle name="Heading 2 2 2 2 3 2 5 7" xfId="28935"/>
    <cellStyle name="Heading 2 2 2 2 3 2 5 7 2" xfId="28936"/>
    <cellStyle name="Heading 2 2 2 2 3 2 5 7 2 2" xfId="28937"/>
    <cellStyle name="Heading 2 2 2 2 3 2 5 7 3" xfId="28938"/>
    <cellStyle name="Heading 2 2 2 2 3 2 5 8" xfId="28939"/>
    <cellStyle name="Heading 2 2 2 2 3 2 5 8 2" xfId="28940"/>
    <cellStyle name="Heading 2 2 2 2 3 2 5 9" xfId="28941"/>
    <cellStyle name="Heading 2 2 2 2 3 2 6" xfId="28942"/>
    <cellStyle name="Heading 2 2 2 2 3 2 6 2" xfId="28943"/>
    <cellStyle name="Heading 2 2 2 2 3 2 6 2 2" xfId="28944"/>
    <cellStyle name="Heading 2 2 2 2 3 2 6 2 2 2" xfId="28945"/>
    <cellStyle name="Heading 2 2 2 2 3 2 6 2 3" xfId="28946"/>
    <cellStyle name="Heading 2 2 2 2 3 2 6 3" xfId="28947"/>
    <cellStyle name="Heading 2 2 2 2 3 2 6 3 2" xfId="28948"/>
    <cellStyle name="Heading 2 2 2 2 3 2 6 3 2 2" xfId="28949"/>
    <cellStyle name="Heading 2 2 2 2 3 2 6 3 3" xfId="28950"/>
    <cellStyle name="Heading 2 2 2 2 3 2 6 4" xfId="28951"/>
    <cellStyle name="Heading 2 2 2 2 3 2 6 4 2" xfId="28952"/>
    <cellStyle name="Heading 2 2 2 2 3 2 6 4 2 2" xfId="28953"/>
    <cellStyle name="Heading 2 2 2 2 3 2 6 4 3" xfId="28954"/>
    <cellStyle name="Heading 2 2 2 2 3 2 6 5" xfId="28955"/>
    <cellStyle name="Heading 2 2 2 2 3 2 6 5 2" xfId="28956"/>
    <cellStyle name="Heading 2 2 2 2 3 2 6 5 2 2" xfId="28957"/>
    <cellStyle name="Heading 2 2 2 2 3 2 6 5 3" xfId="28958"/>
    <cellStyle name="Heading 2 2 2 2 3 2 6 6" xfId="28959"/>
    <cellStyle name="Heading 2 2 2 2 3 2 6 6 2" xfId="28960"/>
    <cellStyle name="Heading 2 2 2 2 3 2 6 6 2 2" xfId="28961"/>
    <cellStyle name="Heading 2 2 2 2 3 2 6 6 3" xfId="28962"/>
    <cellStyle name="Heading 2 2 2 2 3 2 6 7" xfId="28963"/>
    <cellStyle name="Heading 2 2 2 2 3 2 6 7 2" xfId="28964"/>
    <cellStyle name="Heading 2 2 2 2 3 2 6 7 2 2" xfId="28965"/>
    <cellStyle name="Heading 2 2 2 2 3 2 6 7 3" xfId="28966"/>
    <cellStyle name="Heading 2 2 2 2 3 2 6 8" xfId="28967"/>
    <cellStyle name="Heading 2 2 2 2 3 2 6 8 2" xfId="28968"/>
    <cellStyle name="Heading 2 2 2 2 3 2 6 9" xfId="28969"/>
    <cellStyle name="Heading 2 2 2 2 3 2 7" xfId="28970"/>
    <cellStyle name="Heading 2 2 2 2 3 2 7 2" xfId="28971"/>
    <cellStyle name="Heading 2 2 2 2 3 2 7 2 2" xfId="28972"/>
    <cellStyle name="Heading 2 2 2 2 3 2 7 2 2 2" xfId="28973"/>
    <cellStyle name="Heading 2 2 2 2 3 2 7 2 3" xfId="28974"/>
    <cellStyle name="Heading 2 2 2 2 3 2 7 3" xfId="28975"/>
    <cellStyle name="Heading 2 2 2 2 3 2 7 3 2" xfId="28976"/>
    <cellStyle name="Heading 2 2 2 2 3 2 7 3 2 2" xfId="28977"/>
    <cellStyle name="Heading 2 2 2 2 3 2 7 3 3" xfId="28978"/>
    <cellStyle name="Heading 2 2 2 2 3 2 7 4" xfId="28979"/>
    <cellStyle name="Heading 2 2 2 2 3 2 7 4 2" xfId="28980"/>
    <cellStyle name="Heading 2 2 2 2 3 2 7 4 2 2" xfId="28981"/>
    <cellStyle name="Heading 2 2 2 2 3 2 7 4 3" xfId="28982"/>
    <cellStyle name="Heading 2 2 2 2 3 2 7 5" xfId="28983"/>
    <cellStyle name="Heading 2 2 2 2 3 2 7 5 2" xfId="28984"/>
    <cellStyle name="Heading 2 2 2 2 3 2 7 5 2 2" xfId="28985"/>
    <cellStyle name="Heading 2 2 2 2 3 2 7 5 3" xfId="28986"/>
    <cellStyle name="Heading 2 2 2 2 3 2 7 6" xfId="28987"/>
    <cellStyle name="Heading 2 2 2 2 3 2 7 6 2" xfId="28988"/>
    <cellStyle name="Heading 2 2 2 2 3 2 7 6 2 2" xfId="28989"/>
    <cellStyle name="Heading 2 2 2 2 3 2 7 6 3" xfId="28990"/>
    <cellStyle name="Heading 2 2 2 2 3 2 7 7" xfId="28991"/>
    <cellStyle name="Heading 2 2 2 2 3 2 7 7 2" xfId="28992"/>
    <cellStyle name="Heading 2 2 2 2 3 2 7 7 2 2" xfId="28993"/>
    <cellStyle name="Heading 2 2 2 2 3 2 7 7 3" xfId="28994"/>
    <cellStyle name="Heading 2 2 2 2 3 2 7 8" xfId="28995"/>
    <cellStyle name="Heading 2 2 2 2 3 2 7 8 2" xfId="28996"/>
    <cellStyle name="Heading 2 2 2 2 3 2 7 9" xfId="28997"/>
    <cellStyle name="Heading 2 2 2 2 3 2 8" xfId="28998"/>
    <cellStyle name="Heading 2 2 2 2 3 2 8 2" xfId="28999"/>
    <cellStyle name="Heading 2 2 2 2 3 2 8 2 2" xfId="29000"/>
    <cellStyle name="Heading 2 2 2 2 3 2 8 2 2 2" xfId="29001"/>
    <cellStyle name="Heading 2 2 2 2 3 2 8 2 3" xfId="29002"/>
    <cellStyle name="Heading 2 2 2 2 3 2 8 3" xfId="29003"/>
    <cellStyle name="Heading 2 2 2 2 3 2 8 3 2" xfId="29004"/>
    <cellStyle name="Heading 2 2 2 2 3 2 8 3 2 2" xfId="29005"/>
    <cellStyle name="Heading 2 2 2 2 3 2 8 3 3" xfId="29006"/>
    <cellStyle name="Heading 2 2 2 2 3 2 8 4" xfId="29007"/>
    <cellStyle name="Heading 2 2 2 2 3 2 8 4 2" xfId="29008"/>
    <cellStyle name="Heading 2 2 2 2 3 2 8 4 2 2" xfId="29009"/>
    <cellStyle name="Heading 2 2 2 2 3 2 8 4 3" xfId="29010"/>
    <cellStyle name="Heading 2 2 2 2 3 2 8 5" xfId="29011"/>
    <cellStyle name="Heading 2 2 2 2 3 2 8 5 2" xfId="29012"/>
    <cellStyle name="Heading 2 2 2 2 3 2 8 5 2 2" xfId="29013"/>
    <cellStyle name="Heading 2 2 2 2 3 2 8 5 3" xfId="29014"/>
    <cellStyle name="Heading 2 2 2 2 3 2 8 6" xfId="29015"/>
    <cellStyle name="Heading 2 2 2 2 3 2 8 6 2" xfId="29016"/>
    <cellStyle name="Heading 2 2 2 2 3 2 8 6 2 2" xfId="29017"/>
    <cellStyle name="Heading 2 2 2 2 3 2 8 6 3" xfId="29018"/>
    <cellStyle name="Heading 2 2 2 2 3 2 8 7" xfId="29019"/>
    <cellStyle name="Heading 2 2 2 2 3 2 8 7 2" xfId="29020"/>
    <cellStyle name="Heading 2 2 2 2 3 2 8 7 2 2" xfId="29021"/>
    <cellStyle name="Heading 2 2 2 2 3 2 8 7 3" xfId="29022"/>
    <cellStyle name="Heading 2 2 2 2 3 2 8 8" xfId="29023"/>
    <cellStyle name="Heading 2 2 2 2 3 2 8 8 2" xfId="29024"/>
    <cellStyle name="Heading 2 2 2 2 3 2 8 9" xfId="29025"/>
    <cellStyle name="Heading 2 2 2 2 3 2 9" xfId="29026"/>
    <cellStyle name="Heading 2 2 2 2 3 2 9 2" xfId="29027"/>
    <cellStyle name="Heading 2 2 2 2 3 2 9 2 2" xfId="29028"/>
    <cellStyle name="Heading 2 2 2 2 3 2 9 2 2 2" xfId="29029"/>
    <cellStyle name="Heading 2 2 2 2 3 2 9 2 3" xfId="29030"/>
    <cellStyle name="Heading 2 2 2 2 3 2 9 3" xfId="29031"/>
    <cellStyle name="Heading 2 2 2 2 3 2 9 3 2" xfId="29032"/>
    <cellStyle name="Heading 2 2 2 2 3 2 9 3 2 2" xfId="29033"/>
    <cellStyle name="Heading 2 2 2 2 3 2 9 3 3" xfId="29034"/>
    <cellStyle name="Heading 2 2 2 2 3 2 9 4" xfId="29035"/>
    <cellStyle name="Heading 2 2 2 2 3 2 9 4 2" xfId="29036"/>
    <cellStyle name="Heading 2 2 2 2 3 2 9 4 2 2" xfId="29037"/>
    <cellStyle name="Heading 2 2 2 2 3 2 9 4 3" xfId="29038"/>
    <cellStyle name="Heading 2 2 2 2 3 2 9 5" xfId="29039"/>
    <cellStyle name="Heading 2 2 2 2 3 2 9 5 2" xfId="29040"/>
    <cellStyle name="Heading 2 2 2 2 3 2 9 5 2 2" xfId="29041"/>
    <cellStyle name="Heading 2 2 2 2 3 2 9 5 3" xfId="29042"/>
    <cellStyle name="Heading 2 2 2 2 3 2 9 6" xfId="29043"/>
    <cellStyle name="Heading 2 2 2 2 3 2 9 6 2" xfId="29044"/>
    <cellStyle name="Heading 2 2 2 2 3 2 9 6 2 2" xfId="29045"/>
    <cellStyle name="Heading 2 2 2 2 3 2 9 6 3" xfId="29046"/>
    <cellStyle name="Heading 2 2 2 2 3 2 9 7" xfId="29047"/>
    <cellStyle name="Heading 2 2 2 2 3 2 9 7 2" xfId="29048"/>
    <cellStyle name="Heading 2 2 2 2 3 2 9 7 2 2" xfId="29049"/>
    <cellStyle name="Heading 2 2 2 2 3 2 9 7 3" xfId="29050"/>
    <cellStyle name="Heading 2 2 2 2 3 2 9 8" xfId="29051"/>
    <cellStyle name="Heading 2 2 2 2 3 2 9 8 2" xfId="29052"/>
    <cellStyle name="Heading 2 2 2 2 3 2 9 9" xfId="29053"/>
    <cellStyle name="Heading 2 2 2 2 3 3" xfId="29054"/>
    <cellStyle name="Heading 2 2 2 2 3 3 10" xfId="29055"/>
    <cellStyle name="Heading 2 2 2 2 3 3 10 2" xfId="29056"/>
    <cellStyle name="Heading 2 2 2 2 3 3 10 2 2" xfId="29057"/>
    <cellStyle name="Heading 2 2 2 2 3 3 10 3" xfId="29058"/>
    <cellStyle name="Heading 2 2 2 2 3 3 11" xfId="29059"/>
    <cellStyle name="Heading 2 2 2 2 3 3 11 2" xfId="29060"/>
    <cellStyle name="Heading 2 2 2 2 3 3 11 2 2" xfId="29061"/>
    <cellStyle name="Heading 2 2 2 2 3 3 11 3" xfId="29062"/>
    <cellStyle name="Heading 2 2 2 2 3 3 12" xfId="29063"/>
    <cellStyle name="Heading 2 2 2 2 3 3 12 2" xfId="29064"/>
    <cellStyle name="Heading 2 2 2 2 3 3 12 2 2" xfId="29065"/>
    <cellStyle name="Heading 2 2 2 2 3 3 12 3" xfId="29066"/>
    <cellStyle name="Heading 2 2 2 2 3 3 13" xfId="29067"/>
    <cellStyle name="Heading 2 2 2 2 3 3 13 2" xfId="29068"/>
    <cellStyle name="Heading 2 2 2 2 3 3 13 2 2" xfId="29069"/>
    <cellStyle name="Heading 2 2 2 2 3 3 13 3" xfId="29070"/>
    <cellStyle name="Heading 2 2 2 2 3 3 14" xfId="29071"/>
    <cellStyle name="Heading 2 2 2 2 3 3 14 2" xfId="29072"/>
    <cellStyle name="Heading 2 2 2 2 3 3 14 2 2" xfId="29073"/>
    <cellStyle name="Heading 2 2 2 2 3 3 14 3" xfId="29074"/>
    <cellStyle name="Heading 2 2 2 2 3 3 15" xfId="29075"/>
    <cellStyle name="Heading 2 2 2 2 3 3 15 2" xfId="29076"/>
    <cellStyle name="Heading 2 2 2 2 3 3 15 2 2" xfId="29077"/>
    <cellStyle name="Heading 2 2 2 2 3 3 15 3" xfId="29078"/>
    <cellStyle name="Heading 2 2 2 2 3 3 16" xfId="29079"/>
    <cellStyle name="Heading 2 2 2 2 3 3 16 2" xfId="29080"/>
    <cellStyle name="Heading 2 2 2 2 3 3 16 2 2" xfId="29081"/>
    <cellStyle name="Heading 2 2 2 2 3 3 16 3" xfId="29082"/>
    <cellStyle name="Heading 2 2 2 2 3 3 17" xfId="29083"/>
    <cellStyle name="Heading 2 2 2 2 3 3 17 2" xfId="29084"/>
    <cellStyle name="Heading 2 2 2 2 3 3 17 2 2" xfId="29085"/>
    <cellStyle name="Heading 2 2 2 2 3 3 17 3" xfId="29086"/>
    <cellStyle name="Heading 2 2 2 2 3 3 18" xfId="29087"/>
    <cellStyle name="Heading 2 2 2 2 3 3 18 2" xfId="29088"/>
    <cellStyle name="Heading 2 2 2 2 3 3 18 2 2" xfId="29089"/>
    <cellStyle name="Heading 2 2 2 2 3 3 18 3" xfId="29090"/>
    <cellStyle name="Heading 2 2 2 2 3 3 19" xfId="29091"/>
    <cellStyle name="Heading 2 2 2 2 3 3 19 2" xfId="29092"/>
    <cellStyle name="Heading 2 2 2 2 3 3 2" xfId="29093"/>
    <cellStyle name="Heading 2 2 2 2 3 3 2 2" xfId="29094"/>
    <cellStyle name="Heading 2 2 2 2 3 3 2 2 2" xfId="29095"/>
    <cellStyle name="Heading 2 2 2 2 3 3 2 2 2 2" xfId="29096"/>
    <cellStyle name="Heading 2 2 2 2 3 3 2 2 3" xfId="29097"/>
    <cellStyle name="Heading 2 2 2 2 3 3 2 3" xfId="29098"/>
    <cellStyle name="Heading 2 2 2 2 3 3 2 3 2" xfId="29099"/>
    <cellStyle name="Heading 2 2 2 2 3 3 2 3 2 2" xfId="29100"/>
    <cellStyle name="Heading 2 2 2 2 3 3 2 3 3" xfId="29101"/>
    <cellStyle name="Heading 2 2 2 2 3 3 2 4" xfId="29102"/>
    <cellStyle name="Heading 2 2 2 2 3 3 2 4 2" xfId="29103"/>
    <cellStyle name="Heading 2 2 2 2 3 3 2 4 2 2" xfId="29104"/>
    <cellStyle name="Heading 2 2 2 2 3 3 2 4 3" xfId="29105"/>
    <cellStyle name="Heading 2 2 2 2 3 3 2 5" xfId="29106"/>
    <cellStyle name="Heading 2 2 2 2 3 3 2 5 2" xfId="29107"/>
    <cellStyle name="Heading 2 2 2 2 3 3 2 5 2 2" xfId="29108"/>
    <cellStyle name="Heading 2 2 2 2 3 3 2 5 3" xfId="29109"/>
    <cellStyle name="Heading 2 2 2 2 3 3 2 6" xfId="29110"/>
    <cellStyle name="Heading 2 2 2 2 3 3 2 6 2" xfId="29111"/>
    <cellStyle name="Heading 2 2 2 2 3 3 2 6 2 2" xfId="29112"/>
    <cellStyle name="Heading 2 2 2 2 3 3 2 6 3" xfId="29113"/>
    <cellStyle name="Heading 2 2 2 2 3 3 2 7" xfId="29114"/>
    <cellStyle name="Heading 2 2 2 2 3 3 2 7 2" xfId="29115"/>
    <cellStyle name="Heading 2 2 2 2 3 3 2 7 2 2" xfId="29116"/>
    <cellStyle name="Heading 2 2 2 2 3 3 2 7 3" xfId="29117"/>
    <cellStyle name="Heading 2 2 2 2 3 3 2 8" xfId="29118"/>
    <cellStyle name="Heading 2 2 2 2 3 3 2 8 2" xfId="29119"/>
    <cellStyle name="Heading 2 2 2 2 3 3 2 9" xfId="29120"/>
    <cellStyle name="Heading 2 2 2 2 3 3 20" xfId="29121"/>
    <cellStyle name="Heading 2 2 2 2 3 3 20 2" xfId="29122"/>
    <cellStyle name="Heading 2 2 2 2 3 3 21" xfId="29123"/>
    <cellStyle name="Heading 2 2 2 2 3 3 21 2" xfId="29124"/>
    <cellStyle name="Heading 2 2 2 2 3 3 22" xfId="29125"/>
    <cellStyle name="Heading 2 2 2 2 3 3 3" xfId="29126"/>
    <cellStyle name="Heading 2 2 2 2 3 3 3 2" xfId="29127"/>
    <cellStyle name="Heading 2 2 2 2 3 3 3 2 2" xfId="29128"/>
    <cellStyle name="Heading 2 2 2 2 3 3 3 2 2 2" xfId="29129"/>
    <cellStyle name="Heading 2 2 2 2 3 3 3 2 3" xfId="29130"/>
    <cellStyle name="Heading 2 2 2 2 3 3 3 3" xfId="29131"/>
    <cellStyle name="Heading 2 2 2 2 3 3 3 3 2" xfId="29132"/>
    <cellStyle name="Heading 2 2 2 2 3 3 3 3 2 2" xfId="29133"/>
    <cellStyle name="Heading 2 2 2 2 3 3 3 3 3" xfId="29134"/>
    <cellStyle name="Heading 2 2 2 2 3 3 3 4" xfId="29135"/>
    <cellStyle name="Heading 2 2 2 2 3 3 3 4 2" xfId="29136"/>
    <cellStyle name="Heading 2 2 2 2 3 3 3 4 2 2" xfId="29137"/>
    <cellStyle name="Heading 2 2 2 2 3 3 3 4 3" xfId="29138"/>
    <cellStyle name="Heading 2 2 2 2 3 3 3 5" xfId="29139"/>
    <cellStyle name="Heading 2 2 2 2 3 3 3 5 2" xfId="29140"/>
    <cellStyle name="Heading 2 2 2 2 3 3 3 5 2 2" xfId="29141"/>
    <cellStyle name="Heading 2 2 2 2 3 3 3 5 3" xfId="29142"/>
    <cellStyle name="Heading 2 2 2 2 3 3 3 6" xfId="29143"/>
    <cellStyle name="Heading 2 2 2 2 3 3 3 6 2" xfId="29144"/>
    <cellStyle name="Heading 2 2 2 2 3 3 3 6 2 2" xfId="29145"/>
    <cellStyle name="Heading 2 2 2 2 3 3 3 6 3" xfId="29146"/>
    <cellStyle name="Heading 2 2 2 2 3 3 3 7" xfId="29147"/>
    <cellStyle name="Heading 2 2 2 2 3 3 3 7 2" xfId="29148"/>
    <cellStyle name="Heading 2 2 2 2 3 3 3 7 2 2" xfId="29149"/>
    <cellStyle name="Heading 2 2 2 2 3 3 3 7 3" xfId="29150"/>
    <cellStyle name="Heading 2 2 2 2 3 3 3 8" xfId="29151"/>
    <cellStyle name="Heading 2 2 2 2 3 3 3 8 2" xfId="29152"/>
    <cellStyle name="Heading 2 2 2 2 3 3 3 9" xfId="29153"/>
    <cellStyle name="Heading 2 2 2 2 3 3 4" xfId="29154"/>
    <cellStyle name="Heading 2 2 2 2 3 3 4 2" xfId="29155"/>
    <cellStyle name="Heading 2 2 2 2 3 3 4 2 2" xfId="29156"/>
    <cellStyle name="Heading 2 2 2 2 3 3 4 2 2 2" xfId="29157"/>
    <cellStyle name="Heading 2 2 2 2 3 3 4 2 3" xfId="29158"/>
    <cellStyle name="Heading 2 2 2 2 3 3 4 3" xfId="29159"/>
    <cellStyle name="Heading 2 2 2 2 3 3 4 3 2" xfId="29160"/>
    <cellStyle name="Heading 2 2 2 2 3 3 4 3 2 2" xfId="29161"/>
    <cellStyle name="Heading 2 2 2 2 3 3 4 3 3" xfId="29162"/>
    <cellStyle name="Heading 2 2 2 2 3 3 4 4" xfId="29163"/>
    <cellStyle name="Heading 2 2 2 2 3 3 4 4 2" xfId="29164"/>
    <cellStyle name="Heading 2 2 2 2 3 3 4 4 2 2" xfId="29165"/>
    <cellStyle name="Heading 2 2 2 2 3 3 4 4 3" xfId="29166"/>
    <cellStyle name="Heading 2 2 2 2 3 3 4 5" xfId="29167"/>
    <cellStyle name="Heading 2 2 2 2 3 3 4 5 2" xfId="29168"/>
    <cellStyle name="Heading 2 2 2 2 3 3 4 5 2 2" xfId="29169"/>
    <cellStyle name="Heading 2 2 2 2 3 3 4 5 3" xfId="29170"/>
    <cellStyle name="Heading 2 2 2 2 3 3 4 6" xfId="29171"/>
    <cellStyle name="Heading 2 2 2 2 3 3 4 6 2" xfId="29172"/>
    <cellStyle name="Heading 2 2 2 2 3 3 4 6 2 2" xfId="29173"/>
    <cellStyle name="Heading 2 2 2 2 3 3 4 6 3" xfId="29174"/>
    <cellStyle name="Heading 2 2 2 2 3 3 4 7" xfId="29175"/>
    <cellStyle name="Heading 2 2 2 2 3 3 4 7 2" xfId="29176"/>
    <cellStyle name="Heading 2 2 2 2 3 3 4 7 2 2" xfId="29177"/>
    <cellStyle name="Heading 2 2 2 2 3 3 4 7 3" xfId="29178"/>
    <cellStyle name="Heading 2 2 2 2 3 3 4 8" xfId="29179"/>
    <cellStyle name="Heading 2 2 2 2 3 3 4 8 2" xfId="29180"/>
    <cellStyle name="Heading 2 2 2 2 3 3 4 9" xfId="29181"/>
    <cellStyle name="Heading 2 2 2 2 3 3 5" xfId="29182"/>
    <cellStyle name="Heading 2 2 2 2 3 3 5 2" xfId="29183"/>
    <cellStyle name="Heading 2 2 2 2 3 3 5 2 2" xfId="29184"/>
    <cellStyle name="Heading 2 2 2 2 3 3 5 2 2 2" xfId="29185"/>
    <cellStyle name="Heading 2 2 2 2 3 3 5 2 3" xfId="29186"/>
    <cellStyle name="Heading 2 2 2 2 3 3 5 3" xfId="29187"/>
    <cellStyle name="Heading 2 2 2 2 3 3 5 3 2" xfId="29188"/>
    <cellStyle name="Heading 2 2 2 2 3 3 5 3 2 2" xfId="29189"/>
    <cellStyle name="Heading 2 2 2 2 3 3 5 3 3" xfId="29190"/>
    <cellStyle name="Heading 2 2 2 2 3 3 5 4" xfId="29191"/>
    <cellStyle name="Heading 2 2 2 2 3 3 5 4 2" xfId="29192"/>
    <cellStyle name="Heading 2 2 2 2 3 3 5 4 2 2" xfId="29193"/>
    <cellStyle name="Heading 2 2 2 2 3 3 5 4 3" xfId="29194"/>
    <cellStyle name="Heading 2 2 2 2 3 3 5 5" xfId="29195"/>
    <cellStyle name="Heading 2 2 2 2 3 3 5 5 2" xfId="29196"/>
    <cellStyle name="Heading 2 2 2 2 3 3 5 5 2 2" xfId="29197"/>
    <cellStyle name="Heading 2 2 2 2 3 3 5 5 3" xfId="29198"/>
    <cellStyle name="Heading 2 2 2 2 3 3 5 6" xfId="29199"/>
    <cellStyle name="Heading 2 2 2 2 3 3 5 6 2" xfId="29200"/>
    <cellStyle name="Heading 2 2 2 2 3 3 5 6 2 2" xfId="29201"/>
    <cellStyle name="Heading 2 2 2 2 3 3 5 6 3" xfId="29202"/>
    <cellStyle name="Heading 2 2 2 2 3 3 5 7" xfId="29203"/>
    <cellStyle name="Heading 2 2 2 2 3 3 5 7 2" xfId="29204"/>
    <cellStyle name="Heading 2 2 2 2 3 3 5 7 2 2" xfId="29205"/>
    <cellStyle name="Heading 2 2 2 2 3 3 5 7 3" xfId="29206"/>
    <cellStyle name="Heading 2 2 2 2 3 3 5 8" xfId="29207"/>
    <cellStyle name="Heading 2 2 2 2 3 3 5 8 2" xfId="29208"/>
    <cellStyle name="Heading 2 2 2 2 3 3 5 9" xfId="29209"/>
    <cellStyle name="Heading 2 2 2 2 3 3 6" xfId="29210"/>
    <cellStyle name="Heading 2 2 2 2 3 3 6 2" xfId="29211"/>
    <cellStyle name="Heading 2 2 2 2 3 3 6 2 2" xfId="29212"/>
    <cellStyle name="Heading 2 2 2 2 3 3 6 2 2 2" xfId="29213"/>
    <cellStyle name="Heading 2 2 2 2 3 3 6 2 3" xfId="29214"/>
    <cellStyle name="Heading 2 2 2 2 3 3 6 3" xfId="29215"/>
    <cellStyle name="Heading 2 2 2 2 3 3 6 3 2" xfId="29216"/>
    <cellStyle name="Heading 2 2 2 2 3 3 6 3 2 2" xfId="29217"/>
    <cellStyle name="Heading 2 2 2 2 3 3 6 3 3" xfId="29218"/>
    <cellStyle name="Heading 2 2 2 2 3 3 6 4" xfId="29219"/>
    <cellStyle name="Heading 2 2 2 2 3 3 6 4 2" xfId="29220"/>
    <cellStyle name="Heading 2 2 2 2 3 3 6 4 2 2" xfId="29221"/>
    <cellStyle name="Heading 2 2 2 2 3 3 6 4 3" xfId="29222"/>
    <cellStyle name="Heading 2 2 2 2 3 3 6 5" xfId="29223"/>
    <cellStyle name="Heading 2 2 2 2 3 3 6 5 2" xfId="29224"/>
    <cellStyle name="Heading 2 2 2 2 3 3 6 5 2 2" xfId="29225"/>
    <cellStyle name="Heading 2 2 2 2 3 3 6 5 3" xfId="29226"/>
    <cellStyle name="Heading 2 2 2 2 3 3 6 6" xfId="29227"/>
    <cellStyle name="Heading 2 2 2 2 3 3 6 6 2" xfId="29228"/>
    <cellStyle name="Heading 2 2 2 2 3 3 6 6 2 2" xfId="29229"/>
    <cellStyle name="Heading 2 2 2 2 3 3 6 6 3" xfId="29230"/>
    <cellStyle name="Heading 2 2 2 2 3 3 6 7" xfId="29231"/>
    <cellStyle name="Heading 2 2 2 2 3 3 6 7 2" xfId="29232"/>
    <cellStyle name="Heading 2 2 2 2 3 3 6 7 2 2" xfId="29233"/>
    <cellStyle name="Heading 2 2 2 2 3 3 6 7 3" xfId="29234"/>
    <cellStyle name="Heading 2 2 2 2 3 3 6 8" xfId="29235"/>
    <cellStyle name="Heading 2 2 2 2 3 3 6 8 2" xfId="29236"/>
    <cellStyle name="Heading 2 2 2 2 3 3 6 9" xfId="29237"/>
    <cellStyle name="Heading 2 2 2 2 3 3 7" xfId="29238"/>
    <cellStyle name="Heading 2 2 2 2 3 3 7 2" xfId="29239"/>
    <cellStyle name="Heading 2 2 2 2 3 3 7 2 2" xfId="29240"/>
    <cellStyle name="Heading 2 2 2 2 3 3 7 2 2 2" xfId="29241"/>
    <cellStyle name="Heading 2 2 2 2 3 3 7 2 3" xfId="29242"/>
    <cellStyle name="Heading 2 2 2 2 3 3 7 3" xfId="29243"/>
    <cellStyle name="Heading 2 2 2 2 3 3 7 3 2" xfId="29244"/>
    <cellStyle name="Heading 2 2 2 2 3 3 7 3 2 2" xfId="29245"/>
    <cellStyle name="Heading 2 2 2 2 3 3 7 3 3" xfId="29246"/>
    <cellStyle name="Heading 2 2 2 2 3 3 7 4" xfId="29247"/>
    <cellStyle name="Heading 2 2 2 2 3 3 7 4 2" xfId="29248"/>
    <cellStyle name="Heading 2 2 2 2 3 3 7 4 2 2" xfId="29249"/>
    <cellStyle name="Heading 2 2 2 2 3 3 7 4 3" xfId="29250"/>
    <cellStyle name="Heading 2 2 2 2 3 3 7 5" xfId="29251"/>
    <cellStyle name="Heading 2 2 2 2 3 3 7 5 2" xfId="29252"/>
    <cellStyle name="Heading 2 2 2 2 3 3 7 5 2 2" xfId="29253"/>
    <cellStyle name="Heading 2 2 2 2 3 3 7 5 3" xfId="29254"/>
    <cellStyle name="Heading 2 2 2 2 3 3 7 6" xfId="29255"/>
    <cellStyle name="Heading 2 2 2 2 3 3 7 6 2" xfId="29256"/>
    <cellStyle name="Heading 2 2 2 2 3 3 7 6 2 2" xfId="29257"/>
    <cellStyle name="Heading 2 2 2 2 3 3 7 6 3" xfId="29258"/>
    <cellStyle name="Heading 2 2 2 2 3 3 7 7" xfId="29259"/>
    <cellStyle name="Heading 2 2 2 2 3 3 7 7 2" xfId="29260"/>
    <cellStyle name="Heading 2 2 2 2 3 3 7 7 2 2" xfId="29261"/>
    <cellStyle name="Heading 2 2 2 2 3 3 7 7 3" xfId="29262"/>
    <cellStyle name="Heading 2 2 2 2 3 3 7 8" xfId="29263"/>
    <cellStyle name="Heading 2 2 2 2 3 3 7 8 2" xfId="29264"/>
    <cellStyle name="Heading 2 2 2 2 3 3 7 9" xfId="29265"/>
    <cellStyle name="Heading 2 2 2 2 3 3 8" xfId="29266"/>
    <cellStyle name="Heading 2 2 2 2 3 3 8 2" xfId="29267"/>
    <cellStyle name="Heading 2 2 2 2 3 3 8 2 2" xfId="29268"/>
    <cellStyle name="Heading 2 2 2 2 3 3 8 2 2 2" xfId="29269"/>
    <cellStyle name="Heading 2 2 2 2 3 3 8 2 3" xfId="29270"/>
    <cellStyle name="Heading 2 2 2 2 3 3 8 3" xfId="29271"/>
    <cellStyle name="Heading 2 2 2 2 3 3 8 3 2" xfId="29272"/>
    <cellStyle name="Heading 2 2 2 2 3 3 8 3 2 2" xfId="29273"/>
    <cellStyle name="Heading 2 2 2 2 3 3 8 3 3" xfId="29274"/>
    <cellStyle name="Heading 2 2 2 2 3 3 8 4" xfId="29275"/>
    <cellStyle name="Heading 2 2 2 2 3 3 8 4 2" xfId="29276"/>
    <cellStyle name="Heading 2 2 2 2 3 3 8 4 2 2" xfId="29277"/>
    <cellStyle name="Heading 2 2 2 2 3 3 8 4 3" xfId="29278"/>
    <cellStyle name="Heading 2 2 2 2 3 3 8 5" xfId="29279"/>
    <cellStyle name="Heading 2 2 2 2 3 3 8 5 2" xfId="29280"/>
    <cellStyle name="Heading 2 2 2 2 3 3 8 5 2 2" xfId="29281"/>
    <cellStyle name="Heading 2 2 2 2 3 3 8 5 3" xfId="29282"/>
    <cellStyle name="Heading 2 2 2 2 3 3 8 6" xfId="29283"/>
    <cellStyle name="Heading 2 2 2 2 3 3 8 6 2" xfId="29284"/>
    <cellStyle name="Heading 2 2 2 2 3 3 8 6 2 2" xfId="29285"/>
    <cellStyle name="Heading 2 2 2 2 3 3 8 6 3" xfId="29286"/>
    <cellStyle name="Heading 2 2 2 2 3 3 8 7" xfId="29287"/>
    <cellStyle name="Heading 2 2 2 2 3 3 8 7 2" xfId="29288"/>
    <cellStyle name="Heading 2 2 2 2 3 3 8 7 2 2" xfId="29289"/>
    <cellStyle name="Heading 2 2 2 2 3 3 8 7 3" xfId="29290"/>
    <cellStyle name="Heading 2 2 2 2 3 3 8 8" xfId="29291"/>
    <cellStyle name="Heading 2 2 2 2 3 3 8 8 2" xfId="29292"/>
    <cellStyle name="Heading 2 2 2 2 3 3 8 9" xfId="29293"/>
    <cellStyle name="Heading 2 2 2 2 3 3 9" xfId="29294"/>
    <cellStyle name="Heading 2 2 2 2 3 3 9 2" xfId="29295"/>
    <cellStyle name="Heading 2 2 2 2 3 3 9 2 2" xfId="29296"/>
    <cellStyle name="Heading 2 2 2 2 3 3 9 3" xfId="29297"/>
    <cellStyle name="Heading 2 2 2 2 3 4" xfId="29298"/>
    <cellStyle name="Heading 2 2 2 2 3 4 2" xfId="29299"/>
    <cellStyle name="Heading 2 2 2 2 3 4 2 2" xfId="29300"/>
    <cellStyle name="Heading 2 2 2 2 3 4 3" xfId="29301"/>
    <cellStyle name="Heading 2 2 2 2 3 5" xfId="29302"/>
    <cellStyle name="Heading 2 2 2 2 3 5 2" xfId="29303"/>
    <cellStyle name="Heading 2 2 2 2 3 6" xfId="29304"/>
    <cellStyle name="Heading 2 2 2 2 4" xfId="29305"/>
    <cellStyle name="Heading 2 2 2 2 4 2" xfId="29306"/>
    <cellStyle name="Heading 2 2 2 2 4 2 10" xfId="29307"/>
    <cellStyle name="Heading 2 2 2 2 4 2 10 2" xfId="29308"/>
    <cellStyle name="Heading 2 2 2 2 4 2 10 2 2" xfId="29309"/>
    <cellStyle name="Heading 2 2 2 2 4 2 10 3" xfId="29310"/>
    <cellStyle name="Heading 2 2 2 2 4 2 11" xfId="29311"/>
    <cellStyle name="Heading 2 2 2 2 4 2 11 2" xfId="29312"/>
    <cellStyle name="Heading 2 2 2 2 4 2 11 2 2" xfId="29313"/>
    <cellStyle name="Heading 2 2 2 2 4 2 11 3" xfId="29314"/>
    <cellStyle name="Heading 2 2 2 2 4 2 12" xfId="29315"/>
    <cellStyle name="Heading 2 2 2 2 4 2 12 2" xfId="29316"/>
    <cellStyle name="Heading 2 2 2 2 4 2 12 2 2" xfId="29317"/>
    <cellStyle name="Heading 2 2 2 2 4 2 12 3" xfId="29318"/>
    <cellStyle name="Heading 2 2 2 2 4 2 13" xfId="29319"/>
    <cellStyle name="Heading 2 2 2 2 4 2 13 2" xfId="29320"/>
    <cellStyle name="Heading 2 2 2 2 4 2 13 2 2" xfId="29321"/>
    <cellStyle name="Heading 2 2 2 2 4 2 13 3" xfId="29322"/>
    <cellStyle name="Heading 2 2 2 2 4 2 14" xfId="29323"/>
    <cellStyle name="Heading 2 2 2 2 4 2 14 2" xfId="29324"/>
    <cellStyle name="Heading 2 2 2 2 4 2 14 2 2" xfId="29325"/>
    <cellStyle name="Heading 2 2 2 2 4 2 14 3" xfId="29326"/>
    <cellStyle name="Heading 2 2 2 2 4 2 15" xfId="29327"/>
    <cellStyle name="Heading 2 2 2 2 4 2 15 2" xfId="29328"/>
    <cellStyle name="Heading 2 2 2 2 4 2 15 2 2" xfId="29329"/>
    <cellStyle name="Heading 2 2 2 2 4 2 15 3" xfId="29330"/>
    <cellStyle name="Heading 2 2 2 2 4 2 16" xfId="29331"/>
    <cellStyle name="Heading 2 2 2 2 4 2 16 2" xfId="29332"/>
    <cellStyle name="Heading 2 2 2 2 4 2 16 2 2" xfId="29333"/>
    <cellStyle name="Heading 2 2 2 2 4 2 16 3" xfId="29334"/>
    <cellStyle name="Heading 2 2 2 2 4 2 17" xfId="29335"/>
    <cellStyle name="Heading 2 2 2 2 4 2 17 2" xfId="29336"/>
    <cellStyle name="Heading 2 2 2 2 4 2 17 2 2" xfId="29337"/>
    <cellStyle name="Heading 2 2 2 2 4 2 17 3" xfId="29338"/>
    <cellStyle name="Heading 2 2 2 2 4 2 18" xfId="29339"/>
    <cellStyle name="Heading 2 2 2 2 4 2 18 2" xfId="29340"/>
    <cellStyle name="Heading 2 2 2 2 4 2 18 2 2" xfId="29341"/>
    <cellStyle name="Heading 2 2 2 2 4 2 18 3" xfId="29342"/>
    <cellStyle name="Heading 2 2 2 2 4 2 19" xfId="29343"/>
    <cellStyle name="Heading 2 2 2 2 4 2 19 2" xfId="29344"/>
    <cellStyle name="Heading 2 2 2 2 4 2 19 2 2" xfId="29345"/>
    <cellStyle name="Heading 2 2 2 2 4 2 19 3" xfId="29346"/>
    <cellStyle name="Heading 2 2 2 2 4 2 2" xfId="29347"/>
    <cellStyle name="Heading 2 2 2 2 4 2 2 10" xfId="29348"/>
    <cellStyle name="Heading 2 2 2 2 4 2 2 10 2" xfId="29349"/>
    <cellStyle name="Heading 2 2 2 2 4 2 2 10 2 2" xfId="29350"/>
    <cellStyle name="Heading 2 2 2 2 4 2 2 10 3" xfId="29351"/>
    <cellStyle name="Heading 2 2 2 2 4 2 2 11" xfId="29352"/>
    <cellStyle name="Heading 2 2 2 2 4 2 2 11 2" xfId="29353"/>
    <cellStyle name="Heading 2 2 2 2 4 2 2 11 2 2" xfId="29354"/>
    <cellStyle name="Heading 2 2 2 2 4 2 2 11 3" xfId="29355"/>
    <cellStyle name="Heading 2 2 2 2 4 2 2 12" xfId="29356"/>
    <cellStyle name="Heading 2 2 2 2 4 2 2 12 2" xfId="29357"/>
    <cellStyle name="Heading 2 2 2 2 4 2 2 12 2 2" xfId="29358"/>
    <cellStyle name="Heading 2 2 2 2 4 2 2 12 3" xfId="29359"/>
    <cellStyle name="Heading 2 2 2 2 4 2 2 13" xfId="29360"/>
    <cellStyle name="Heading 2 2 2 2 4 2 2 13 2" xfId="29361"/>
    <cellStyle name="Heading 2 2 2 2 4 2 2 13 2 2" xfId="29362"/>
    <cellStyle name="Heading 2 2 2 2 4 2 2 13 3" xfId="29363"/>
    <cellStyle name="Heading 2 2 2 2 4 2 2 14" xfId="29364"/>
    <cellStyle name="Heading 2 2 2 2 4 2 2 14 2" xfId="29365"/>
    <cellStyle name="Heading 2 2 2 2 4 2 2 14 2 2" xfId="29366"/>
    <cellStyle name="Heading 2 2 2 2 4 2 2 14 3" xfId="29367"/>
    <cellStyle name="Heading 2 2 2 2 4 2 2 15" xfId="29368"/>
    <cellStyle name="Heading 2 2 2 2 4 2 2 15 2" xfId="29369"/>
    <cellStyle name="Heading 2 2 2 2 4 2 2 15 2 2" xfId="29370"/>
    <cellStyle name="Heading 2 2 2 2 4 2 2 15 3" xfId="29371"/>
    <cellStyle name="Heading 2 2 2 2 4 2 2 16" xfId="29372"/>
    <cellStyle name="Heading 2 2 2 2 4 2 2 16 2" xfId="29373"/>
    <cellStyle name="Heading 2 2 2 2 4 2 2 16 2 2" xfId="29374"/>
    <cellStyle name="Heading 2 2 2 2 4 2 2 16 3" xfId="29375"/>
    <cellStyle name="Heading 2 2 2 2 4 2 2 17" xfId="29376"/>
    <cellStyle name="Heading 2 2 2 2 4 2 2 17 2" xfId="29377"/>
    <cellStyle name="Heading 2 2 2 2 4 2 2 17 2 2" xfId="29378"/>
    <cellStyle name="Heading 2 2 2 2 4 2 2 17 3" xfId="29379"/>
    <cellStyle name="Heading 2 2 2 2 4 2 2 18" xfId="29380"/>
    <cellStyle name="Heading 2 2 2 2 4 2 2 18 2" xfId="29381"/>
    <cellStyle name="Heading 2 2 2 2 4 2 2 18 2 2" xfId="29382"/>
    <cellStyle name="Heading 2 2 2 2 4 2 2 18 3" xfId="29383"/>
    <cellStyle name="Heading 2 2 2 2 4 2 2 19" xfId="29384"/>
    <cellStyle name="Heading 2 2 2 2 4 2 2 19 2" xfId="29385"/>
    <cellStyle name="Heading 2 2 2 2 4 2 2 2" xfId="29386"/>
    <cellStyle name="Heading 2 2 2 2 4 2 2 2 2" xfId="29387"/>
    <cellStyle name="Heading 2 2 2 2 4 2 2 2 2 2" xfId="29388"/>
    <cellStyle name="Heading 2 2 2 2 4 2 2 2 2 2 2" xfId="29389"/>
    <cellStyle name="Heading 2 2 2 2 4 2 2 2 2 3" xfId="29390"/>
    <cellStyle name="Heading 2 2 2 2 4 2 2 2 3" xfId="29391"/>
    <cellStyle name="Heading 2 2 2 2 4 2 2 2 3 2" xfId="29392"/>
    <cellStyle name="Heading 2 2 2 2 4 2 2 2 3 2 2" xfId="29393"/>
    <cellStyle name="Heading 2 2 2 2 4 2 2 2 3 3" xfId="29394"/>
    <cellStyle name="Heading 2 2 2 2 4 2 2 2 4" xfId="29395"/>
    <cellStyle name="Heading 2 2 2 2 4 2 2 2 4 2" xfId="29396"/>
    <cellStyle name="Heading 2 2 2 2 4 2 2 2 4 2 2" xfId="29397"/>
    <cellStyle name="Heading 2 2 2 2 4 2 2 2 4 3" xfId="29398"/>
    <cellStyle name="Heading 2 2 2 2 4 2 2 2 5" xfId="29399"/>
    <cellStyle name="Heading 2 2 2 2 4 2 2 2 5 2" xfId="29400"/>
    <cellStyle name="Heading 2 2 2 2 4 2 2 2 5 2 2" xfId="29401"/>
    <cellStyle name="Heading 2 2 2 2 4 2 2 2 5 3" xfId="29402"/>
    <cellStyle name="Heading 2 2 2 2 4 2 2 2 6" xfId="29403"/>
    <cellStyle name="Heading 2 2 2 2 4 2 2 2 6 2" xfId="29404"/>
    <cellStyle name="Heading 2 2 2 2 4 2 2 2 6 2 2" xfId="29405"/>
    <cellStyle name="Heading 2 2 2 2 4 2 2 2 6 3" xfId="29406"/>
    <cellStyle name="Heading 2 2 2 2 4 2 2 2 7" xfId="29407"/>
    <cellStyle name="Heading 2 2 2 2 4 2 2 2 7 2" xfId="29408"/>
    <cellStyle name="Heading 2 2 2 2 4 2 2 2 7 2 2" xfId="29409"/>
    <cellStyle name="Heading 2 2 2 2 4 2 2 2 7 3" xfId="29410"/>
    <cellStyle name="Heading 2 2 2 2 4 2 2 2 8" xfId="29411"/>
    <cellStyle name="Heading 2 2 2 2 4 2 2 2 8 2" xfId="29412"/>
    <cellStyle name="Heading 2 2 2 2 4 2 2 2 9" xfId="29413"/>
    <cellStyle name="Heading 2 2 2 2 4 2 2 20" xfId="29414"/>
    <cellStyle name="Heading 2 2 2 2 4 2 2 20 2" xfId="29415"/>
    <cellStyle name="Heading 2 2 2 2 4 2 2 21" xfId="29416"/>
    <cellStyle name="Heading 2 2 2 2 4 2 2 21 2" xfId="29417"/>
    <cellStyle name="Heading 2 2 2 2 4 2 2 22" xfId="29418"/>
    <cellStyle name="Heading 2 2 2 2 4 2 2 3" xfId="29419"/>
    <cellStyle name="Heading 2 2 2 2 4 2 2 3 2" xfId="29420"/>
    <cellStyle name="Heading 2 2 2 2 4 2 2 3 2 2" xfId="29421"/>
    <cellStyle name="Heading 2 2 2 2 4 2 2 3 2 2 2" xfId="29422"/>
    <cellStyle name="Heading 2 2 2 2 4 2 2 3 2 3" xfId="29423"/>
    <cellStyle name="Heading 2 2 2 2 4 2 2 3 3" xfId="29424"/>
    <cellStyle name="Heading 2 2 2 2 4 2 2 3 3 2" xfId="29425"/>
    <cellStyle name="Heading 2 2 2 2 4 2 2 3 3 2 2" xfId="29426"/>
    <cellStyle name="Heading 2 2 2 2 4 2 2 3 3 3" xfId="29427"/>
    <cellStyle name="Heading 2 2 2 2 4 2 2 3 4" xfId="29428"/>
    <cellStyle name="Heading 2 2 2 2 4 2 2 3 4 2" xfId="29429"/>
    <cellStyle name="Heading 2 2 2 2 4 2 2 3 4 2 2" xfId="29430"/>
    <cellStyle name="Heading 2 2 2 2 4 2 2 3 4 3" xfId="29431"/>
    <cellStyle name="Heading 2 2 2 2 4 2 2 3 5" xfId="29432"/>
    <cellStyle name="Heading 2 2 2 2 4 2 2 3 5 2" xfId="29433"/>
    <cellStyle name="Heading 2 2 2 2 4 2 2 3 5 2 2" xfId="29434"/>
    <cellStyle name="Heading 2 2 2 2 4 2 2 3 5 3" xfId="29435"/>
    <cellStyle name="Heading 2 2 2 2 4 2 2 3 6" xfId="29436"/>
    <cellStyle name="Heading 2 2 2 2 4 2 2 3 6 2" xfId="29437"/>
    <cellStyle name="Heading 2 2 2 2 4 2 2 3 6 2 2" xfId="29438"/>
    <cellStyle name="Heading 2 2 2 2 4 2 2 3 6 3" xfId="29439"/>
    <cellStyle name="Heading 2 2 2 2 4 2 2 3 7" xfId="29440"/>
    <cellStyle name="Heading 2 2 2 2 4 2 2 3 7 2" xfId="29441"/>
    <cellStyle name="Heading 2 2 2 2 4 2 2 3 7 2 2" xfId="29442"/>
    <cellStyle name="Heading 2 2 2 2 4 2 2 3 7 3" xfId="29443"/>
    <cellStyle name="Heading 2 2 2 2 4 2 2 3 8" xfId="29444"/>
    <cellStyle name="Heading 2 2 2 2 4 2 2 3 8 2" xfId="29445"/>
    <cellStyle name="Heading 2 2 2 2 4 2 2 3 9" xfId="29446"/>
    <cellStyle name="Heading 2 2 2 2 4 2 2 4" xfId="29447"/>
    <cellStyle name="Heading 2 2 2 2 4 2 2 4 2" xfId="29448"/>
    <cellStyle name="Heading 2 2 2 2 4 2 2 4 2 2" xfId="29449"/>
    <cellStyle name="Heading 2 2 2 2 4 2 2 4 2 2 2" xfId="29450"/>
    <cellStyle name="Heading 2 2 2 2 4 2 2 4 2 3" xfId="29451"/>
    <cellStyle name="Heading 2 2 2 2 4 2 2 4 3" xfId="29452"/>
    <cellStyle name="Heading 2 2 2 2 4 2 2 4 3 2" xfId="29453"/>
    <cellStyle name="Heading 2 2 2 2 4 2 2 4 3 2 2" xfId="29454"/>
    <cellStyle name="Heading 2 2 2 2 4 2 2 4 3 3" xfId="29455"/>
    <cellStyle name="Heading 2 2 2 2 4 2 2 4 4" xfId="29456"/>
    <cellStyle name="Heading 2 2 2 2 4 2 2 4 4 2" xfId="29457"/>
    <cellStyle name="Heading 2 2 2 2 4 2 2 4 4 2 2" xfId="29458"/>
    <cellStyle name="Heading 2 2 2 2 4 2 2 4 4 3" xfId="29459"/>
    <cellStyle name="Heading 2 2 2 2 4 2 2 4 5" xfId="29460"/>
    <cellStyle name="Heading 2 2 2 2 4 2 2 4 5 2" xfId="29461"/>
    <cellStyle name="Heading 2 2 2 2 4 2 2 4 5 2 2" xfId="29462"/>
    <cellStyle name="Heading 2 2 2 2 4 2 2 4 5 3" xfId="29463"/>
    <cellStyle name="Heading 2 2 2 2 4 2 2 4 6" xfId="29464"/>
    <cellStyle name="Heading 2 2 2 2 4 2 2 4 6 2" xfId="29465"/>
    <cellStyle name="Heading 2 2 2 2 4 2 2 4 6 2 2" xfId="29466"/>
    <cellStyle name="Heading 2 2 2 2 4 2 2 4 6 3" xfId="29467"/>
    <cellStyle name="Heading 2 2 2 2 4 2 2 4 7" xfId="29468"/>
    <cellStyle name="Heading 2 2 2 2 4 2 2 4 7 2" xfId="29469"/>
    <cellStyle name="Heading 2 2 2 2 4 2 2 4 7 2 2" xfId="29470"/>
    <cellStyle name="Heading 2 2 2 2 4 2 2 4 7 3" xfId="29471"/>
    <cellStyle name="Heading 2 2 2 2 4 2 2 4 8" xfId="29472"/>
    <cellStyle name="Heading 2 2 2 2 4 2 2 4 8 2" xfId="29473"/>
    <cellStyle name="Heading 2 2 2 2 4 2 2 4 9" xfId="29474"/>
    <cellStyle name="Heading 2 2 2 2 4 2 2 5" xfId="29475"/>
    <cellStyle name="Heading 2 2 2 2 4 2 2 5 2" xfId="29476"/>
    <cellStyle name="Heading 2 2 2 2 4 2 2 5 2 2" xfId="29477"/>
    <cellStyle name="Heading 2 2 2 2 4 2 2 5 2 2 2" xfId="29478"/>
    <cellStyle name="Heading 2 2 2 2 4 2 2 5 2 3" xfId="29479"/>
    <cellStyle name="Heading 2 2 2 2 4 2 2 5 3" xfId="29480"/>
    <cellStyle name="Heading 2 2 2 2 4 2 2 5 3 2" xfId="29481"/>
    <cellStyle name="Heading 2 2 2 2 4 2 2 5 3 2 2" xfId="29482"/>
    <cellStyle name="Heading 2 2 2 2 4 2 2 5 3 3" xfId="29483"/>
    <cellStyle name="Heading 2 2 2 2 4 2 2 5 4" xfId="29484"/>
    <cellStyle name="Heading 2 2 2 2 4 2 2 5 4 2" xfId="29485"/>
    <cellStyle name="Heading 2 2 2 2 4 2 2 5 4 2 2" xfId="29486"/>
    <cellStyle name="Heading 2 2 2 2 4 2 2 5 4 3" xfId="29487"/>
    <cellStyle name="Heading 2 2 2 2 4 2 2 5 5" xfId="29488"/>
    <cellStyle name="Heading 2 2 2 2 4 2 2 5 5 2" xfId="29489"/>
    <cellStyle name="Heading 2 2 2 2 4 2 2 5 5 2 2" xfId="29490"/>
    <cellStyle name="Heading 2 2 2 2 4 2 2 5 5 3" xfId="29491"/>
    <cellStyle name="Heading 2 2 2 2 4 2 2 5 6" xfId="29492"/>
    <cellStyle name="Heading 2 2 2 2 4 2 2 5 6 2" xfId="29493"/>
    <cellStyle name="Heading 2 2 2 2 4 2 2 5 6 2 2" xfId="29494"/>
    <cellStyle name="Heading 2 2 2 2 4 2 2 5 6 3" xfId="29495"/>
    <cellStyle name="Heading 2 2 2 2 4 2 2 5 7" xfId="29496"/>
    <cellStyle name="Heading 2 2 2 2 4 2 2 5 7 2" xfId="29497"/>
    <cellStyle name="Heading 2 2 2 2 4 2 2 5 7 2 2" xfId="29498"/>
    <cellStyle name="Heading 2 2 2 2 4 2 2 5 7 3" xfId="29499"/>
    <cellStyle name="Heading 2 2 2 2 4 2 2 5 8" xfId="29500"/>
    <cellStyle name="Heading 2 2 2 2 4 2 2 5 8 2" xfId="29501"/>
    <cellStyle name="Heading 2 2 2 2 4 2 2 5 9" xfId="29502"/>
    <cellStyle name="Heading 2 2 2 2 4 2 2 6" xfId="29503"/>
    <cellStyle name="Heading 2 2 2 2 4 2 2 6 2" xfId="29504"/>
    <cellStyle name="Heading 2 2 2 2 4 2 2 6 2 2" xfId="29505"/>
    <cellStyle name="Heading 2 2 2 2 4 2 2 6 2 2 2" xfId="29506"/>
    <cellStyle name="Heading 2 2 2 2 4 2 2 6 2 3" xfId="29507"/>
    <cellStyle name="Heading 2 2 2 2 4 2 2 6 3" xfId="29508"/>
    <cellStyle name="Heading 2 2 2 2 4 2 2 6 3 2" xfId="29509"/>
    <cellStyle name="Heading 2 2 2 2 4 2 2 6 3 2 2" xfId="29510"/>
    <cellStyle name="Heading 2 2 2 2 4 2 2 6 3 3" xfId="29511"/>
    <cellStyle name="Heading 2 2 2 2 4 2 2 6 4" xfId="29512"/>
    <cellStyle name="Heading 2 2 2 2 4 2 2 6 4 2" xfId="29513"/>
    <cellStyle name="Heading 2 2 2 2 4 2 2 6 4 2 2" xfId="29514"/>
    <cellStyle name="Heading 2 2 2 2 4 2 2 6 4 3" xfId="29515"/>
    <cellStyle name="Heading 2 2 2 2 4 2 2 6 5" xfId="29516"/>
    <cellStyle name="Heading 2 2 2 2 4 2 2 6 5 2" xfId="29517"/>
    <cellStyle name="Heading 2 2 2 2 4 2 2 6 5 2 2" xfId="29518"/>
    <cellStyle name="Heading 2 2 2 2 4 2 2 6 5 3" xfId="29519"/>
    <cellStyle name="Heading 2 2 2 2 4 2 2 6 6" xfId="29520"/>
    <cellStyle name="Heading 2 2 2 2 4 2 2 6 6 2" xfId="29521"/>
    <cellStyle name="Heading 2 2 2 2 4 2 2 6 6 2 2" xfId="29522"/>
    <cellStyle name="Heading 2 2 2 2 4 2 2 6 6 3" xfId="29523"/>
    <cellStyle name="Heading 2 2 2 2 4 2 2 6 7" xfId="29524"/>
    <cellStyle name="Heading 2 2 2 2 4 2 2 6 7 2" xfId="29525"/>
    <cellStyle name="Heading 2 2 2 2 4 2 2 6 7 2 2" xfId="29526"/>
    <cellStyle name="Heading 2 2 2 2 4 2 2 6 7 3" xfId="29527"/>
    <cellStyle name="Heading 2 2 2 2 4 2 2 6 8" xfId="29528"/>
    <cellStyle name="Heading 2 2 2 2 4 2 2 6 8 2" xfId="29529"/>
    <cellStyle name="Heading 2 2 2 2 4 2 2 6 9" xfId="29530"/>
    <cellStyle name="Heading 2 2 2 2 4 2 2 7" xfId="29531"/>
    <cellStyle name="Heading 2 2 2 2 4 2 2 7 2" xfId="29532"/>
    <cellStyle name="Heading 2 2 2 2 4 2 2 7 2 2" xfId="29533"/>
    <cellStyle name="Heading 2 2 2 2 4 2 2 7 2 2 2" xfId="29534"/>
    <cellStyle name="Heading 2 2 2 2 4 2 2 7 2 3" xfId="29535"/>
    <cellStyle name="Heading 2 2 2 2 4 2 2 7 3" xfId="29536"/>
    <cellStyle name="Heading 2 2 2 2 4 2 2 7 3 2" xfId="29537"/>
    <cellStyle name="Heading 2 2 2 2 4 2 2 7 3 2 2" xfId="29538"/>
    <cellStyle name="Heading 2 2 2 2 4 2 2 7 3 3" xfId="29539"/>
    <cellStyle name="Heading 2 2 2 2 4 2 2 7 4" xfId="29540"/>
    <cellStyle name="Heading 2 2 2 2 4 2 2 7 4 2" xfId="29541"/>
    <cellStyle name="Heading 2 2 2 2 4 2 2 7 4 2 2" xfId="29542"/>
    <cellStyle name="Heading 2 2 2 2 4 2 2 7 4 3" xfId="29543"/>
    <cellStyle name="Heading 2 2 2 2 4 2 2 7 5" xfId="29544"/>
    <cellStyle name="Heading 2 2 2 2 4 2 2 7 5 2" xfId="29545"/>
    <cellStyle name="Heading 2 2 2 2 4 2 2 7 5 2 2" xfId="29546"/>
    <cellStyle name="Heading 2 2 2 2 4 2 2 7 5 3" xfId="29547"/>
    <cellStyle name="Heading 2 2 2 2 4 2 2 7 6" xfId="29548"/>
    <cellStyle name="Heading 2 2 2 2 4 2 2 7 6 2" xfId="29549"/>
    <cellStyle name="Heading 2 2 2 2 4 2 2 7 6 2 2" xfId="29550"/>
    <cellStyle name="Heading 2 2 2 2 4 2 2 7 6 3" xfId="29551"/>
    <cellStyle name="Heading 2 2 2 2 4 2 2 7 7" xfId="29552"/>
    <cellStyle name="Heading 2 2 2 2 4 2 2 7 7 2" xfId="29553"/>
    <cellStyle name="Heading 2 2 2 2 4 2 2 7 7 2 2" xfId="29554"/>
    <cellStyle name="Heading 2 2 2 2 4 2 2 7 7 3" xfId="29555"/>
    <cellStyle name="Heading 2 2 2 2 4 2 2 7 8" xfId="29556"/>
    <cellStyle name="Heading 2 2 2 2 4 2 2 7 8 2" xfId="29557"/>
    <cellStyle name="Heading 2 2 2 2 4 2 2 7 9" xfId="29558"/>
    <cellStyle name="Heading 2 2 2 2 4 2 2 8" xfId="29559"/>
    <cellStyle name="Heading 2 2 2 2 4 2 2 8 2" xfId="29560"/>
    <cellStyle name="Heading 2 2 2 2 4 2 2 8 2 2" xfId="29561"/>
    <cellStyle name="Heading 2 2 2 2 4 2 2 8 2 2 2" xfId="29562"/>
    <cellStyle name="Heading 2 2 2 2 4 2 2 8 2 3" xfId="29563"/>
    <cellStyle name="Heading 2 2 2 2 4 2 2 8 3" xfId="29564"/>
    <cellStyle name="Heading 2 2 2 2 4 2 2 8 3 2" xfId="29565"/>
    <cellStyle name="Heading 2 2 2 2 4 2 2 8 3 2 2" xfId="29566"/>
    <cellStyle name="Heading 2 2 2 2 4 2 2 8 3 3" xfId="29567"/>
    <cellStyle name="Heading 2 2 2 2 4 2 2 8 4" xfId="29568"/>
    <cellStyle name="Heading 2 2 2 2 4 2 2 8 4 2" xfId="29569"/>
    <cellStyle name="Heading 2 2 2 2 4 2 2 8 4 2 2" xfId="29570"/>
    <cellStyle name="Heading 2 2 2 2 4 2 2 8 4 3" xfId="29571"/>
    <cellStyle name="Heading 2 2 2 2 4 2 2 8 5" xfId="29572"/>
    <cellStyle name="Heading 2 2 2 2 4 2 2 8 5 2" xfId="29573"/>
    <cellStyle name="Heading 2 2 2 2 4 2 2 8 5 2 2" xfId="29574"/>
    <cellStyle name="Heading 2 2 2 2 4 2 2 8 5 3" xfId="29575"/>
    <cellStyle name="Heading 2 2 2 2 4 2 2 8 6" xfId="29576"/>
    <cellStyle name="Heading 2 2 2 2 4 2 2 8 6 2" xfId="29577"/>
    <cellStyle name="Heading 2 2 2 2 4 2 2 8 6 2 2" xfId="29578"/>
    <cellStyle name="Heading 2 2 2 2 4 2 2 8 6 3" xfId="29579"/>
    <cellStyle name="Heading 2 2 2 2 4 2 2 8 7" xfId="29580"/>
    <cellStyle name="Heading 2 2 2 2 4 2 2 8 7 2" xfId="29581"/>
    <cellStyle name="Heading 2 2 2 2 4 2 2 8 7 2 2" xfId="29582"/>
    <cellStyle name="Heading 2 2 2 2 4 2 2 8 7 3" xfId="29583"/>
    <cellStyle name="Heading 2 2 2 2 4 2 2 8 8" xfId="29584"/>
    <cellStyle name="Heading 2 2 2 2 4 2 2 8 8 2" xfId="29585"/>
    <cellStyle name="Heading 2 2 2 2 4 2 2 8 9" xfId="29586"/>
    <cellStyle name="Heading 2 2 2 2 4 2 2 9" xfId="29587"/>
    <cellStyle name="Heading 2 2 2 2 4 2 2 9 2" xfId="29588"/>
    <cellStyle name="Heading 2 2 2 2 4 2 2 9 2 2" xfId="29589"/>
    <cellStyle name="Heading 2 2 2 2 4 2 2 9 3" xfId="29590"/>
    <cellStyle name="Heading 2 2 2 2 4 2 20" xfId="29591"/>
    <cellStyle name="Heading 2 2 2 2 4 2 20 2" xfId="29592"/>
    <cellStyle name="Heading 2 2 2 2 4 2 21" xfId="29593"/>
    <cellStyle name="Heading 2 2 2 2 4 2 21 2" xfId="29594"/>
    <cellStyle name="Heading 2 2 2 2 4 2 22" xfId="29595"/>
    <cellStyle name="Heading 2 2 2 2 4 2 22 2" xfId="29596"/>
    <cellStyle name="Heading 2 2 2 2 4 2 23" xfId="29597"/>
    <cellStyle name="Heading 2 2 2 2 4 2 3" xfId="29598"/>
    <cellStyle name="Heading 2 2 2 2 4 2 3 2" xfId="29599"/>
    <cellStyle name="Heading 2 2 2 2 4 2 3 2 2" xfId="29600"/>
    <cellStyle name="Heading 2 2 2 2 4 2 3 2 2 2" xfId="29601"/>
    <cellStyle name="Heading 2 2 2 2 4 2 3 2 3" xfId="29602"/>
    <cellStyle name="Heading 2 2 2 2 4 2 3 3" xfId="29603"/>
    <cellStyle name="Heading 2 2 2 2 4 2 3 3 2" xfId="29604"/>
    <cellStyle name="Heading 2 2 2 2 4 2 3 3 2 2" xfId="29605"/>
    <cellStyle name="Heading 2 2 2 2 4 2 3 3 3" xfId="29606"/>
    <cellStyle name="Heading 2 2 2 2 4 2 3 4" xfId="29607"/>
    <cellStyle name="Heading 2 2 2 2 4 2 3 4 2" xfId="29608"/>
    <cellStyle name="Heading 2 2 2 2 4 2 3 4 2 2" xfId="29609"/>
    <cellStyle name="Heading 2 2 2 2 4 2 3 4 3" xfId="29610"/>
    <cellStyle name="Heading 2 2 2 2 4 2 3 5" xfId="29611"/>
    <cellStyle name="Heading 2 2 2 2 4 2 3 5 2" xfId="29612"/>
    <cellStyle name="Heading 2 2 2 2 4 2 3 5 2 2" xfId="29613"/>
    <cellStyle name="Heading 2 2 2 2 4 2 3 5 3" xfId="29614"/>
    <cellStyle name="Heading 2 2 2 2 4 2 3 6" xfId="29615"/>
    <cellStyle name="Heading 2 2 2 2 4 2 3 6 2" xfId="29616"/>
    <cellStyle name="Heading 2 2 2 2 4 2 3 6 2 2" xfId="29617"/>
    <cellStyle name="Heading 2 2 2 2 4 2 3 6 3" xfId="29618"/>
    <cellStyle name="Heading 2 2 2 2 4 2 3 7" xfId="29619"/>
    <cellStyle name="Heading 2 2 2 2 4 2 3 7 2" xfId="29620"/>
    <cellStyle name="Heading 2 2 2 2 4 2 3 7 2 2" xfId="29621"/>
    <cellStyle name="Heading 2 2 2 2 4 2 3 7 3" xfId="29622"/>
    <cellStyle name="Heading 2 2 2 2 4 2 3 8" xfId="29623"/>
    <cellStyle name="Heading 2 2 2 2 4 2 3 8 2" xfId="29624"/>
    <cellStyle name="Heading 2 2 2 2 4 2 3 9" xfId="29625"/>
    <cellStyle name="Heading 2 2 2 2 4 2 4" xfId="29626"/>
    <cellStyle name="Heading 2 2 2 2 4 2 4 2" xfId="29627"/>
    <cellStyle name="Heading 2 2 2 2 4 2 4 2 2" xfId="29628"/>
    <cellStyle name="Heading 2 2 2 2 4 2 4 2 2 2" xfId="29629"/>
    <cellStyle name="Heading 2 2 2 2 4 2 4 2 3" xfId="29630"/>
    <cellStyle name="Heading 2 2 2 2 4 2 4 3" xfId="29631"/>
    <cellStyle name="Heading 2 2 2 2 4 2 4 3 2" xfId="29632"/>
    <cellStyle name="Heading 2 2 2 2 4 2 4 3 2 2" xfId="29633"/>
    <cellStyle name="Heading 2 2 2 2 4 2 4 3 3" xfId="29634"/>
    <cellStyle name="Heading 2 2 2 2 4 2 4 4" xfId="29635"/>
    <cellStyle name="Heading 2 2 2 2 4 2 4 4 2" xfId="29636"/>
    <cellStyle name="Heading 2 2 2 2 4 2 4 4 2 2" xfId="29637"/>
    <cellStyle name="Heading 2 2 2 2 4 2 4 4 3" xfId="29638"/>
    <cellStyle name="Heading 2 2 2 2 4 2 4 5" xfId="29639"/>
    <cellStyle name="Heading 2 2 2 2 4 2 4 5 2" xfId="29640"/>
    <cellStyle name="Heading 2 2 2 2 4 2 4 5 2 2" xfId="29641"/>
    <cellStyle name="Heading 2 2 2 2 4 2 4 5 3" xfId="29642"/>
    <cellStyle name="Heading 2 2 2 2 4 2 4 6" xfId="29643"/>
    <cellStyle name="Heading 2 2 2 2 4 2 4 6 2" xfId="29644"/>
    <cellStyle name="Heading 2 2 2 2 4 2 4 6 2 2" xfId="29645"/>
    <cellStyle name="Heading 2 2 2 2 4 2 4 6 3" xfId="29646"/>
    <cellStyle name="Heading 2 2 2 2 4 2 4 7" xfId="29647"/>
    <cellStyle name="Heading 2 2 2 2 4 2 4 7 2" xfId="29648"/>
    <cellStyle name="Heading 2 2 2 2 4 2 4 7 2 2" xfId="29649"/>
    <cellStyle name="Heading 2 2 2 2 4 2 4 7 3" xfId="29650"/>
    <cellStyle name="Heading 2 2 2 2 4 2 4 8" xfId="29651"/>
    <cellStyle name="Heading 2 2 2 2 4 2 4 8 2" xfId="29652"/>
    <cellStyle name="Heading 2 2 2 2 4 2 4 9" xfId="29653"/>
    <cellStyle name="Heading 2 2 2 2 4 2 5" xfId="29654"/>
    <cellStyle name="Heading 2 2 2 2 4 2 5 2" xfId="29655"/>
    <cellStyle name="Heading 2 2 2 2 4 2 5 2 2" xfId="29656"/>
    <cellStyle name="Heading 2 2 2 2 4 2 5 2 2 2" xfId="29657"/>
    <cellStyle name="Heading 2 2 2 2 4 2 5 2 3" xfId="29658"/>
    <cellStyle name="Heading 2 2 2 2 4 2 5 3" xfId="29659"/>
    <cellStyle name="Heading 2 2 2 2 4 2 5 3 2" xfId="29660"/>
    <cellStyle name="Heading 2 2 2 2 4 2 5 3 2 2" xfId="29661"/>
    <cellStyle name="Heading 2 2 2 2 4 2 5 3 3" xfId="29662"/>
    <cellStyle name="Heading 2 2 2 2 4 2 5 4" xfId="29663"/>
    <cellStyle name="Heading 2 2 2 2 4 2 5 4 2" xfId="29664"/>
    <cellStyle name="Heading 2 2 2 2 4 2 5 4 2 2" xfId="29665"/>
    <cellStyle name="Heading 2 2 2 2 4 2 5 4 3" xfId="29666"/>
    <cellStyle name="Heading 2 2 2 2 4 2 5 5" xfId="29667"/>
    <cellStyle name="Heading 2 2 2 2 4 2 5 5 2" xfId="29668"/>
    <cellStyle name="Heading 2 2 2 2 4 2 5 5 2 2" xfId="29669"/>
    <cellStyle name="Heading 2 2 2 2 4 2 5 5 3" xfId="29670"/>
    <cellStyle name="Heading 2 2 2 2 4 2 5 6" xfId="29671"/>
    <cellStyle name="Heading 2 2 2 2 4 2 5 6 2" xfId="29672"/>
    <cellStyle name="Heading 2 2 2 2 4 2 5 6 2 2" xfId="29673"/>
    <cellStyle name="Heading 2 2 2 2 4 2 5 6 3" xfId="29674"/>
    <cellStyle name="Heading 2 2 2 2 4 2 5 7" xfId="29675"/>
    <cellStyle name="Heading 2 2 2 2 4 2 5 7 2" xfId="29676"/>
    <cellStyle name="Heading 2 2 2 2 4 2 5 7 2 2" xfId="29677"/>
    <cellStyle name="Heading 2 2 2 2 4 2 5 7 3" xfId="29678"/>
    <cellStyle name="Heading 2 2 2 2 4 2 5 8" xfId="29679"/>
    <cellStyle name="Heading 2 2 2 2 4 2 5 8 2" xfId="29680"/>
    <cellStyle name="Heading 2 2 2 2 4 2 5 9" xfId="29681"/>
    <cellStyle name="Heading 2 2 2 2 4 2 6" xfId="29682"/>
    <cellStyle name="Heading 2 2 2 2 4 2 6 2" xfId="29683"/>
    <cellStyle name="Heading 2 2 2 2 4 2 6 2 2" xfId="29684"/>
    <cellStyle name="Heading 2 2 2 2 4 2 6 2 2 2" xfId="29685"/>
    <cellStyle name="Heading 2 2 2 2 4 2 6 2 3" xfId="29686"/>
    <cellStyle name="Heading 2 2 2 2 4 2 6 3" xfId="29687"/>
    <cellStyle name="Heading 2 2 2 2 4 2 6 3 2" xfId="29688"/>
    <cellStyle name="Heading 2 2 2 2 4 2 6 3 2 2" xfId="29689"/>
    <cellStyle name="Heading 2 2 2 2 4 2 6 3 3" xfId="29690"/>
    <cellStyle name="Heading 2 2 2 2 4 2 6 4" xfId="29691"/>
    <cellStyle name="Heading 2 2 2 2 4 2 6 4 2" xfId="29692"/>
    <cellStyle name="Heading 2 2 2 2 4 2 6 4 2 2" xfId="29693"/>
    <cellStyle name="Heading 2 2 2 2 4 2 6 4 3" xfId="29694"/>
    <cellStyle name="Heading 2 2 2 2 4 2 6 5" xfId="29695"/>
    <cellStyle name="Heading 2 2 2 2 4 2 6 5 2" xfId="29696"/>
    <cellStyle name="Heading 2 2 2 2 4 2 6 5 2 2" xfId="29697"/>
    <cellStyle name="Heading 2 2 2 2 4 2 6 5 3" xfId="29698"/>
    <cellStyle name="Heading 2 2 2 2 4 2 6 6" xfId="29699"/>
    <cellStyle name="Heading 2 2 2 2 4 2 6 6 2" xfId="29700"/>
    <cellStyle name="Heading 2 2 2 2 4 2 6 6 2 2" xfId="29701"/>
    <cellStyle name="Heading 2 2 2 2 4 2 6 6 3" xfId="29702"/>
    <cellStyle name="Heading 2 2 2 2 4 2 6 7" xfId="29703"/>
    <cellStyle name="Heading 2 2 2 2 4 2 6 7 2" xfId="29704"/>
    <cellStyle name="Heading 2 2 2 2 4 2 6 7 2 2" xfId="29705"/>
    <cellStyle name="Heading 2 2 2 2 4 2 6 7 3" xfId="29706"/>
    <cellStyle name="Heading 2 2 2 2 4 2 6 8" xfId="29707"/>
    <cellStyle name="Heading 2 2 2 2 4 2 6 8 2" xfId="29708"/>
    <cellStyle name="Heading 2 2 2 2 4 2 6 9" xfId="29709"/>
    <cellStyle name="Heading 2 2 2 2 4 2 7" xfId="29710"/>
    <cellStyle name="Heading 2 2 2 2 4 2 7 2" xfId="29711"/>
    <cellStyle name="Heading 2 2 2 2 4 2 7 2 2" xfId="29712"/>
    <cellStyle name="Heading 2 2 2 2 4 2 7 2 2 2" xfId="29713"/>
    <cellStyle name="Heading 2 2 2 2 4 2 7 2 3" xfId="29714"/>
    <cellStyle name="Heading 2 2 2 2 4 2 7 3" xfId="29715"/>
    <cellStyle name="Heading 2 2 2 2 4 2 7 3 2" xfId="29716"/>
    <cellStyle name="Heading 2 2 2 2 4 2 7 3 2 2" xfId="29717"/>
    <cellStyle name="Heading 2 2 2 2 4 2 7 3 3" xfId="29718"/>
    <cellStyle name="Heading 2 2 2 2 4 2 7 4" xfId="29719"/>
    <cellStyle name="Heading 2 2 2 2 4 2 7 4 2" xfId="29720"/>
    <cellStyle name="Heading 2 2 2 2 4 2 7 4 2 2" xfId="29721"/>
    <cellStyle name="Heading 2 2 2 2 4 2 7 4 3" xfId="29722"/>
    <cellStyle name="Heading 2 2 2 2 4 2 7 5" xfId="29723"/>
    <cellStyle name="Heading 2 2 2 2 4 2 7 5 2" xfId="29724"/>
    <cellStyle name="Heading 2 2 2 2 4 2 7 5 2 2" xfId="29725"/>
    <cellStyle name="Heading 2 2 2 2 4 2 7 5 3" xfId="29726"/>
    <cellStyle name="Heading 2 2 2 2 4 2 7 6" xfId="29727"/>
    <cellStyle name="Heading 2 2 2 2 4 2 7 6 2" xfId="29728"/>
    <cellStyle name="Heading 2 2 2 2 4 2 7 6 2 2" xfId="29729"/>
    <cellStyle name="Heading 2 2 2 2 4 2 7 6 3" xfId="29730"/>
    <cellStyle name="Heading 2 2 2 2 4 2 7 7" xfId="29731"/>
    <cellStyle name="Heading 2 2 2 2 4 2 7 7 2" xfId="29732"/>
    <cellStyle name="Heading 2 2 2 2 4 2 7 7 2 2" xfId="29733"/>
    <cellStyle name="Heading 2 2 2 2 4 2 7 7 3" xfId="29734"/>
    <cellStyle name="Heading 2 2 2 2 4 2 7 8" xfId="29735"/>
    <cellStyle name="Heading 2 2 2 2 4 2 7 8 2" xfId="29736"/>
    <cellStyle name="Heading 2 2 2 2 4 2 7 9" xfId="29737"/>
    <cellStyle name="Heading 2 2 2 2 4 2 8" xfId="29738"/>
    <cellStyle name="Heading 2 2 2 2 4 2 8 2" xfId="29739"/>
    <cellStyle name="Heading 2 2 2 2 4 2 8 2 2" xfId="29740"/>
    <cellStyle name="Heading 2 2 2 2 4 2 8 2 2 2" xfId="29741"/>
    <cellStyle name="Heading 2 2 2 2 4 2 8 2 3" xfId="29742"/>
    <cellStyle name="Heading 2 2 2 2 4 2 8 3" xfId="29743"/>
    <cellStyle name="Heading 2 2 2 2 4 2 8 3 2" xfId="29744"/>
    <cellStyle name="Heading 2 2 2 2 4 2 8 3 2 2" xfId="29745"/>
    <cellStyle name="Heading 2 2 2 2 4 2 8 3 3" xfId="29746"/>
    <cellStyle name="Heading 2 2 2 2 4 2 8 4" xfId="29747"/>
    <cellStyle name="Heading 2 2 2 2 4 2 8 4 2" xfId="29748"/>
    <cellStyle name="Heading 2 2 2 2 4 2 8 4 2 2" xfId="29749"/>
    <cellStyle name="Heading 2 2 2 2 4 2 8 4 3" xfId="29750"/>
    <cellStyle name="Heading 2 2 2 2 4 2 8 5" xfId="29751"/>
    <cellStyle name="Heading 2 2 2 2 4 2 8 5 2" xfId="29752"/>
    <cellStyle name="Heading 2 2 2 2 4 2 8 5 2 2" xfId="29753"/>
    <cellStyle name="Heading 2 2 2 2 4 2 8 5 3" xfId="29754"/>
    <cellStyle name="Heading 2 2 2 2 4 2 8 6" xfId="29755"/>
    <cellStyle name="Heading 2 2 2 2 4 2 8 6 2" xfId="29756"/>
    <cellStyle name="Heading 2 2 2 2 4 2 8 6 2 2" xfId="29757"/>
    <cellStyle name="Heading 2 2 2 2 4 2 8 6 3" xfId="29758"/>
    <cellStyle name="Heading 2 2 2 2 4 2 8 7" xfId="29759"/>
    <cellStyle name="Heading 2 2 2 2 4 2 8 7 2" xfId="29760"/>
    <cellStyle name="Heading 2 2 2 2 4 2 8 7 2 2" xfId="29761"/>
    <cellStyle name="Heading 2 2 2 2 4 2 8 7 3" xfId="29762"/>
    <cellStyle name="Heading 2 2 2 2 4 2 8 8" xfId="29763"/>
    <cellStyle name="Heading 2 2 2 2 4 2 8 8 2" xfId="29764"/>
    <cellStyle name="Heading 2 2 2 2 4 2 8 9" xfId="29765"/>
    <cellStyle name="Heading 2 2 2 2 4 2 9" xfId="29766"/>
    <cellStyle name="Heading 2 2 2 2 4 2 9 2" xfId="29767"/>
    <cellStyle name="Heading 2 2 2 2 4 2 9 2 2" xfId="29768"/>
    <cellStyle name="Heading 2 2 2 2 4 2 9 2 2 2" xfId="29769"/>
    <cellStyle name="Heading 2 2 2 2 4 2 9 2 3" xfId="29770"/>
    <cellStyle name="Heading 2 2 2 2 4 2 9 3" xfId="29771"/>
    <cellStyle name="Heading 2 2 2 2 4 2 9 3 2" xfId="29772"/>
    <cellStyle name="Heading 2 2 2 2 4 2 9 3 2 2" xfId="29773"/>
    <cellStyle name="Heading 2 2 2 2 4 2 9 3 3" xfId="29774"/>
    <cellStyle name="Heading 2 2 2 2 4 2 9 4" xfId="29775"/>
    <cellStyle name="Heading 2 2 2 2 4 2 9 4 2" xfId="29776"/>
    <cellStyle name="Heading 2 2 2 2 4 2 9 4 2 2" xfId="29777"/>
    <cellStyle name="Heading 2 2 2 2 4 2 9 4 3" xfId="29778"/>
    <cellStyle name="Heading 2 2 2 2 4 2 9 5" xfId="29779"/>
    <cellStyle name="Heading 2 2 2 2 4 2 9 5 2" xfId="29780"/>
    <cellStyle name="Heading 2 2 2 2 4 2 9 5 2 2" xfId="29781"/>
    <cellStyle name="Heading 2 2 2 2 4 2 9 5 3" xfId="29782"/>
    <cellStyle name="Heading 2 2 2 2 4 2 9 6" xfId="29783"/>
    <cellStyle name="Heading 2 2 2 2 4 2 9 6 2" xfId="29784"/>
    <cellStyle name="Heading 2 2 2 2 4 2 9 6 2 2" xfId="29785"/>
    <cellStyle name="Heading 2 2 2 2 4 2 9 6 3" xfId="29786"/>
    <cellStyle name="Heading 2 2 2 2 4 2 9 7" xfId="29787"/>
    <cellStyle name="Heading 2 2 2 2 4 2 9 7 2" xfId="29788"/>
    <cellStyle name="Heading 2 2 2 2 4 2 9 7 2 2" xfId="29789"/>
    <cellStyle name="Heading 2 2 2 2 4 2 9 7 3" xfId="29790"/>
    <cellStyle name="Heading 2 2 2 2 4 2 9 8" xfId="29791"/>
    <cellStyle name="Heading 2 2 2 2 4 2 9 8 2" xfId="29792"/>
    <cellStyle name="Heading 2 2 2 2 4 2 9 9" xfId="29793"/>
    <cellStyle name="Heading 2 2 2 2 4 3" xfId="29794"/>
    <cellStyle name="Heading 2 2 2 2 4 3 10" xfId="29795"/>
    <cellStyle name="Heading 2 2 2 2 4 3 10 2" xfId="29796"/>
    <cellStyle name="Heading 2 2 2 2 4 3 10 2 2" xfId="29797"/>
    <cellStyle name="Heading 2 2 2 2 4 3 10 3" xfId="29798"/>
    <cellStyle name="Heading 2 2 2 2 4 3 11" xfId="29799"/>
    <cellStyle name="Heading 2 2 2 2 4 3 11 2" xfId="29800"/>
    <cellStyle name="Heading 2 2 2 2 4 3 11 2 2" xfId="29801"/>
    <cellStyle name="Heading 2 2 2 2 4 3 11 3" xfId="29802"/>
    <cellStyle name="Heading 2 2 2 2 4 3 12" xfId="29803"/>
    <cellStyle name="Heading 2 2 2 2 4 3 12 2" xfId="29804"/>
    <cellStyle name="Heading 2 2 2 2 4 3 12 2 2" xfId="29805"/>
    <cellStyle name="Heading 2 2 2 2 4 3 12 3" xfId="29806"/>
    <cellStyle name="Heading 2 2 2 2 4 3 13" xfId="29807"/>
    <cellStyle name="Heading 2 2 2 2 4 3 13 2" xfId="29808"/>
    <cellStyle name="Heading 2 2 2 2 4 3 13 2 2" xfId="29809"/>
    <cellStyle name="Heading 2 2 2 2 4 3 13 3" xfId="29810"/>
    <cellStyle name="Heading 2 2 2 2 4 3 14" xfId="29811"/>
    <cellStyle name="Heading 2 2 2 2 4 3 14 2" xfId="29812"/>
    <cellStyle name="Heading 2 2 2 2 4 3 14 2 2" xfId="29813"/>
    <cellStyle name="Heading 2 2 2 2 4 3 14 3" xfId="29814"/>
    <cellStyle name="Heading 2 2 2 2 4 3 15" xfId="29815"/>
    <cellStyle name="Heading 2 2 2 2 4 3 15 2" xfId="29816"/>
    <cellStyle name="Heading 2 2 2 2 4 3 15 2 2" xfId="29817"/>
    <cellStyle name="Heading 2 2 2 2 4 3 15 3" xfId="29818"/>
    <cellStyle name="Heading 2 2 2 2 4 3 16" xfId="29819"/>
    <cellStyle name="Heading 2 2 2 2 4 3 16 2" xfId="29820"/>
    <cellStyle name="Heading 2 2 2 2 4 3 16 2 2" xfId="29821"/>
    <cellStyle name="Heading 2 2 2 2 4 3 16 3" xfId="29822"/>
    <cellStyle name="Heading 2 2 2 2 4 3 17" xfId="29823"/>
    <cellStyle name="Heading 2 2 2 2 4 3 17 2" xfId="29824"/>
    <cellStyle name="Heading 2 2 2 2 4 3 17 2 2" xfId="29825"/>
    <cellStyle name="Heading 2 2 2 2 4 3 17 3" xfId="29826"/>
    <cellStyle name="Heading 2 2 2 2 4 3 18" xfId="29827"/>
    <cellStyle name="Heading 2 2 2 2 4 3 18 2" xfId="29828"/>
    <cellStyle name="Heading 2 2 2 2 4 3 18 2 2" xfId="29829"/>
    <cellStyle name="Heading 2 2 2 2 4 3 18 3" xfId="29830"/>
    <cellStyle name="Heading 2 2 2 2 4 3 19" xfId="29831"/>
    <cellStyle name="Heading 2 2 2 2 4 3 19 2" xfId="29832"/>
    <cellStyle name="Heading 2 2 2 2 4 3 2" xfId="29833"/>
    <cellStyle name="Heading 2 2 2 2 4 3 2 2" xfId="29834"/>
    <cellStyle name="Heading 2 2 2 2 4 3 2 2 2" xfId="29835"/>
    <cellStyle name="Heading 2 2 2 2 4 3 2 2 2 2" xfId="29836"/>
    <cellStyle name="Heading 2 2 2 2 4 3 2 2 3" xfId="29837"/>
    <cellStyle name="Heading 2 2 2 2 4 3 2 3" xfId="29838"/>
    <cellStyle name="Heading 2 2 2 2 4 3 2 3 2" xfId="29839"/>
    <cellStyle name="Heading 2 2 2 2 4 3 2 3 2 2" xfId="29840"/>
    <cellStyle name="Heading 2 2 2 2 4 3 2 3 3" xfId="29841"/>
    <cellStyle name="Heading 2 2 2 2 4 3 2 4" xfId="29842"/>
    <cellStyle name="Heading 2 2 2 2 4 3 2 4 2" xfId="29843"/>
    <cellStyle name="Heading 2 2 2 2 4 3 2 4 2 2" xfId="29844"/>
    <cellStyle name="Heading 2 2 2 2 4 3 2 4 3" xfId="29845"/>
    <cellStyle name="Heading 2 2 2 2 4 3 2 5" xfId="29846"/>
    <cellStyle name="Heading 2 2 2 2 4 3 2 5 2" xfId="29847"/>
    <cellStyle name="Heading 2 2 2 2 4 3 2 5 2 2" xfId="29848"/>
    <cellStyle name="Heading 2 2 2 2 4 3 2 5 3" xfId="29849"/>
    <cellStyle name="Heading 2 2 2 2 4 3 2 6" xfId="29850"/>
    <cellStyle name="Heading 2 2 2 2 4 3 2 6 2" xfId="29851"/>
    <cellStyle name="Heading 2 2 2 2 4 3 2 6 2 2" xfId="29852"/>
    <cellStyle name="Heading 2 2 2 2 4 3 2 6 3" xfId="29853"/>
    <cellStyle name="Heading 2 2 2 2 4 3 2 7" xfId="29854"/>
    <cellStyle name="Heading 2 2 2 2 4 3 2 7 2" xfId="29855"/>
    <cellStyle name="Heading 2 2 2 2 4 3 2 7 2 2" xfId="29856"/>
    <cellStyle name="Heading 2 2 2 2 4 3 2 7 3" xfId="29857"/>
    <cellStyle name="Heading 2 2 2 2 4 3 2 8" xfId="29858"/>
    <cellStyle name="Heading 2 2 2 2 4 3 2 8 2" xfId="29859"/>
    <cellStyle name="Heading 2 2 2 2 4 3 2 9" xfId="29860"/>
    <cellStyle name="Heading 2 2 2 2 4 3 20" xfId="29861"/>
    <cellStyle name="Heading 2 2 2 2 4 3 20 2" xfId="29862"/>
    <cellStyle name="Heading 2 2 2 2 4 3 21" xfId="29863"/>
    <cellStyle name="Heading 2 2 2 2 4 3 21 2" xfId="29864"/>
    <cellStyle name="Heading 2 2 2 2 4 3 22" xfId="29865"/>
    <cellStyle name="Heading 2 2 2 2 4 3 3" xfId="29866"/>
    <cellStyle name="Heading 2 2 2 2 4 3 3 2" xfId="29867"/>
    <cellStyle name="Heading 2 2 2 2 4 3 3 2 2" xfId="29868"/>
    <cellStyle name="Heading 2 2 2 2 4 3 3 2 2 2" xfId="29869"/>
    <cellStyle name="Heading 2 2 2 2 4 3 3 2 3" xfId="29870"/>
    <cellStyle name="Heading 2 2 2 2 4 3 3 3" xfId="29871"/>
    <cellStyle name="Heading 2 2 2 2 4 3 3 3 2" xfId="29872"/>
    <cellStyle name="Heading 2 2 2 2 4 3 3 3 2 2" xfId="29873"/>
    <cellStyle name="Heading 2 2 2 2 4 3 3 3 3" xfId="29874"/>
    <cellStyle name="Heading 2 2 2 2 4 3 3 4" xfId="29875"/>
    <cellStyle name="Heading 2 2 2 2 4 3 3 4 2" xfId="29876"/>
    <cellStyle name="Heading 2 2 2 2 4 3 3 4 2 2" xfId="29877"/>
    <cellStyle name="Heading 2 2 2 2 4 3 3 4 3" xfId="29878"/>
    <cellStyle name="Heading 2 2 2 2 4 3 3 5" xfId="29879"/>
    <cellStyle name="Heading 2 2 2 2 4 3 3 5 2" xfId="29880"/>
    <cellStyle name="Heading 2 2 2 2 4 3 3 5 2 2" xfId="29881"/>
    <cellStyle name="Heading 2 2 2 2 4 3 3 5 3" xfId="29882"/>
    <cellStyle name="Heading 2 2 2 2 4 3 3 6" xfId="29883"/>
    <cellStyle name="Heading 2 2 2 2 4 3 3 6 2" xfId="29884"/>
    <cellStyle name="Heading 2 2 2 2 4 3 3 6 2 2" xfId="29885"/>
    <cellStyle name="Heading 2 2 2 2 4 3 3 6 3" xfId="29886"/>
    <cellStyle name="Heading 2 2 2 2 4 3 3 7" xfId="29887"/>
    <cellStyle name="Heading 2 2 2 2 4 3 3 7 2" xfId="29888"/>
    <cellStyle name="Heading 2 2 2 2 4 3 3 7 2 2" xfId="29889"/>
    <cellStyle name="Heading 2 2 2 2 4 3 3 7 3" xfId="29890"/>
    <cellStyle name="Heading 2 2 2 2 4 3 3 8" xfId="29891"/>
    <cellStyle name="Heading 2 2 2 2 4 3 3 8 2" xfId="29892"/>
    <cellStyle name="Heading 2 2 2 2 4 3 3 9" xfId="29893"/>
    <cellStyle name="Heading 2 2 2 2 4 3 4" xfId="29894"/>
    <cellStyle name="Heading 2 2 2 2 4 3 4 2" xfId="29895"/>
    <cellStyle name="Heading 2 2 2 2 4 3 4 2 2" xfId="29896"/>
    <cellStyle name="Heading 2 2 2 2 4 3 4 2 2 2" xfId="29897"/>
    <cellStyle name="Heading 2 2 2 2 4 3 4 2 3" xfId="29898"/>
    <cellStyle name="Heading 2 2 2 2 4 3 4 3" xfId="29899"/>
    <cellStyle name="Heading 2 2 2 2 4 3 4 3 2" xfId="29900"/>
    <cellStyle name="Heading 2 2 2 2 4 3 4 3 2 2" xfId="29901"/>
    <cellStyle name="Heading 2 2 2 2 4 3 4 3 3" xfId="29902"/>
    <cellStyle name="Heading 2 2 2 2 4 3 4 4" xfId="29903"/>
    <cellStyle name="Heading 2 2 2 2 4 3 4 4 2" xfId="29904"/>
    <cellStyle name="Heading 2 2 2 2 4 3 4 4 2 2" xfId="29905"/>
    <cellStyle name="Heading 2 2 2 2 4 3 4 4 3" xfId="29906"/>
    <cellStyle name="Heading 2 2 2 2 4 3 4 5" xfId="29907"/>
    <cellStyle name="Heading 2 2 2 2 4 3 4 5 2" xfId="29908"/>
    <cellStyle name="Heading 2 2 2 2 4 3 4 5 2 2" xfId="29909"/>
    <cellStyle name="Heading 2 2 2 2 4 3 4 5 3" xfId="29910"/>
    <cellStyle name="Heading 2 2 2 2 4 3 4 6" xfId="29911"/>
    <cellStyle name="Heading 2 2 2 2 4 3 4 6 2" xfId="29912"/>
    <cellStyle name="Heading 2 2 2 2 4 3 4 6 2 2" xfId="29913"/>
    <cellStyle name="Heading 2 2 2 2 4 3 4 6 3" xfId="29914"/>
    <cellStyle name="Heading 2 2 2 2 4 3 4 7" xfId="29915"/>
    <cellStyle name="Heading 2 2 2 2 4 3 4 7 2" xfId="29916"/>
    <cellStyle name="Heading 2 2 2 2 4 3 4 7 2 2" xfId="29917"/>
    <cellStyle name="Heading 2 2 2 2 4 3 4 7 3" xfId="29918"/>
    <cellStyle name="Heading 2 2 2 2 4 3 4 8" xfId="29919"/>
    <cellStyle name="Heading 2 2 2 2 4 3 4 8 2" xfId="29920"/>
    <cellStyle name="Heading 2 2 2 2 4 3 4 9" xfId="29921"/>
    <cellStyle name="Heading 2 2 2 2 4 3 5" xfId="29922"/>
    <cellStyle name="Heading 2 2 2 2 4 3 5 2" xfId="29923"/>
    <cellStyle name="Heading 2 2 2 2 4 3 5 2 2" xfId="29924"/>
    <cellStyle name="Heading 2 2 2 2 4 3 5 2 2 2" xfId="29925"/>
    <cellStyle name="Heading 2 2 2 2 4 3 5 2 3" xfId="29926"/>
    <cellStyle name="Heading 2 2 2 2 4 3 5 3" xfId="29927"/>
    <cellStyle name="Heading 2 2 2 2 4 3 5 3 2" xfId="29928"/>
    <cellStyle name="Heading 2 2 2 2 4 3 5 3 2 2" xfId="29929"/>
    <cellStyle name="Heading 2 2 2 2 4 3 5 3 3" xfId="29930"/>
    <cellStyle name="Heading 2 2 2 2 4 3 5 4" xfId="29931"/>
    <cellStyle name="Heading 2 2 2 2 4 3 5 4 2" xfId="29932"/>
    <cellStyle name="Heading 2 2 2 2 4 3 5 4 2 2" xfId="29933"/>
    <cellStyle name="Heading 2 2 2 2 4 3 5 4 3" xfId="29934"/>
    <cellStyle name="Heading 2 2 2 2 4 3 5 5" xfId="29935"/>
    <cellStyle name="Heading 2 2 2 2 4 3 5 5 2" xfId="29936"/>
    <cellStyle name="Heading 2 2 2 2 4 3 5 5 2 2" xfId="29937"/>
    <cellStyle name="Heading 2 2 2 2 4 3 5 5 3" xfId="29938"/>
    <cellStyle name="Heading 2 2 2 2 4 3 5 6" xfId="29939"/>
    <cellStyle name="Heading 2 2 2 2 4 3 5 6 2" xfId="29940"/>
    <cellStyle name="Heading 2 2 2 2 4 3 5 6 2 2" xfId="29941"/>
    <cellStyle name="Heading 2 2 2 2 4 3 5 6 3" xfId="29942"/>
    <cellStyle name="Heading 2 2 2 2 4 3 5 7" xfId="29943"/>
    <cellStyle name="Heading 2 2 2 2 4 3 5 7 2" xfId="29944"/>
    <cellStyle name="Heading 2 2 2 2 4 3 5 7 2 2" xfId="29945"/>
    <cellStyle name="Heading 2 2 2 2 4 3 5 7 3" xfId="29946"/>
    <cellStyle name="Heading 2 2 2 2 4 3 5 8" xfId="29947"/>
    <cellStyle name="Heading 2 2 2 2 4 3 5 8 2" xfId="29948"/>
    <cellStyle name="Heading 2 2 2 2 4 3 5 9" xfId="29949"/>
    <cellStyle name="Heading 2 2 2 2 4 3 6" xfId="29950"/>
    <cellStyle name="Heading 2 2 2 2 4 3 6 2" xfId="29951"/>
    <cellStyle name="Heading 2 2 2 2 4 3 6 2 2" xfId="29952"/>
    <cellStyle name="Heading 2 2 2 2 4 3 6 2 2 2" xfId="29953"/>
    <cellStyle name="Heading 2 2 2 2 4 3 6 2 3" xfId="29954"/>
    <cellStyle name="Heading 2 2 2 2 4 3 6 3" xfId="29955"/>
    <cellStyle name="Heading 2 2 2 2 4 3 6 3 2" xfId="29956"/>
    <cellStyle name="Heading 2 2 2 2 4 3 6 3 2 2" xfId="29957"/>
    <cellStyle name="Heading 2 2 2 2 4 3 6 3 3" xfId="29958"/>
    <cellStyle name="Heading 2 2 2 2 4 3 6 4" xfId="29959"/>
    <cellStyle name="Heading 2 2 2 2 4 3 6 4 2" xfId="29960"/>
    <cellStyle name="Heading 2 2 2 2 4 3 6 4 2 2" xfId="29961"/>
    <cellStyle name="Heading 2 2 2 2 4 3 6 4 3" xfId="29962"/>
    <cellStyle name="Heading 2 2 2 2 4 3 6 5" xfId="29963"/>
    <cellStyle name="Heading 2 2 2 2 4 3 6 5 2" xfId="29964"/>
    <cellStyle name="Heading 2 2 2 2 4 3 6 5 2 2" xfId="29965"/>
    <cellStyle name="Heading 2 2 2 2 4 3 6 5 3" xfId="29966"/>
    <cellStyle name="Heading 2 2 2 2 4 3 6 6" xfId="29967"/>
    <cellStyle name="Heading 2 2 2 2 4 3 6 6 2" xfId="29968"/>
    <cellStyle name="Heading 2 2 2 2 4 3 6 6 2 2" xfId="29969"/>
    <cellStyle name="Heading 2 2 2 2 4 3 6 6 3" xfId="29970"/>
    <cellStyle name="Heading 2 2 2 2 4 3 6 7" xfId="29971"/>
    <cellStyle name="Heading 2 2 2 2 4 3 6 7 2" xfId="29972"/>
    <cellStyle name="Heading 2 2 2 2 4 3 6 7 2 2" xfId="29973"/>
    <cellStyle name="Heading 2 2 2 2 4 3 6 7 3" xfId="29974"/>
    <cellStyle name="Heading 2 2 2 2 4 3 6 8" xfId="29975"/>
    <cellStyle name="Heading 2 2 2 2 4 3 6 8 2" xfId="29976"/>
    <cellStyle name="Heading 2 2 2 2 4 3 6 9" xfId="29977"/>
    <cellStyle name="Heading 2 2 2 2 4 3 7" xfId="29978"/>
    <cellStyle name="Heading 2 2 2 2 4 3 7 2" xfId="29979"/>
    <cellStyle name="Heading 2 2 2 2 4 3 7 2 2" xfId="29980"/>
    <cellStyle name="Heading 2 2 2 2 4 3 7 2 2 2" xfId="29981"/>
    <cellStyle name="Heading 2 2 2 2 4 3 7 2 3" xfId="29982"/>
    <cellStyle name="Heading 2 2 2 2 4 3 7 3" xfId="29983"/>
    <cellStyle name="Heading 2 2 2 2 4 3 7 3 2" xfId="29984"/>
    <cellStyle name="Heading 2 2 2 2 4 3 7 3 2 2" xfId="29985"/>
    <cellStyle name="Heading 2 2 2 2 4 3 7 3 3" xfId="29986"/>
    <cellStyle name="Heading 2 2 2 2 4 3 7 4" xfId="29987"/>
    <cellStyle name="Heading 2 2 2 2 4 3 7 4 2" xfId="29988"/>
    <cellStyle name="Heading 2 2 2 2 4 3 7 4 2 2" xfId="29989"/>
    <cellStyle name="Heading 2 2 2 2 4 3 7 4 3" xfId="29990"/>
    <cellStyle name="Heading 2 2 2 2 4 3 7 5" xfId="29991"/>
    <cellStyle name="Heading 2 2 2 2 4 3 7 5 2" xfId="29992"/>
    <cellStyle name="Heading 2 2 2 2 4 3 7 5 2 2" xfId="29993"/>
    <cellStyle name="Heading 2 2 2 2 4 3 7 5 3" xfId="29994"/>
    <cellStyle name="Heading 2 2 2 2 4 3 7 6" xfId="29995"/>
    <cellStyle name="Heading 2 2 2 2 4 3 7 6 2" xfId="29996"/>
    <cellStyle name="Heading 2 2 2 2 4 3 7 6 2 2" xfId="29997"/>
    <cellStyle name="Heading 2 2 2 2 4 3 7 6 3" xfId="29998"/>
    <cellStyle name="Heading 2 2 2 2 4 3 7 7" xfId="29999"/>
    <cellStyle name="Heading 2 2 2 2 4 3 7 7 2" xfId="30000"/>
    <cellStyle name="Heading 2 2 2 2 4 3 7 7 2 2" xfId="30001"/>
    <cellStyle name="Heading 2 2 2 2 4 3 7 7 3" xfId="30002"/>
    <cellStyle name="Heading 2 2 2 2 4 3 7 8" xfId="30003"/>
    <cellStyle name="Heading 2 2 2 2 4 3 7 8 2" xfId="30004"/>
    <cellStyle name="Heading 2 2 2 2 4 3 7 9" xfId="30005"/>
    <cellStyle name="Heading 2 2 2 2 4 3 8" xfId="30006"/>
    <cellStyle name="Heading 2 2 2 2 4 3 8 2" xfId="30007"/>
    <cellStyle name="Heading 2 2 2 2 4 3 8 2 2" xfId="30008"/>
    <cellStyle name="Heading 2 2 2 2 4 3 8 2 2 2" xfId="30009"/>
    <cellStyle name="Heading 2 2 2 2 4 3 8 2 3" xfId="30010"/>
    <cellStyle name="Heading 2 2 2 2 4 3 8 3" xfId="30011"/>
    <cellStyle name="Heading 2 2 2 2 4 3 8 3 2" xfId="30012"/>
    <cellStyle name="Heading 2 2 2 2 4 3 8 3 2 2" xfId="30013"/>
    <cellStyle name="Heading 2 2 2 2 4 3 8 3 3" xfId="30014"/>
    <cellStyle name="Heading 2 2 2 2 4 3 8 4" xfId="30015"/>
    <cellStyle name="Heading 2 2 2 2 4 3 8 4 2" xfId="30016"/>
    <cellStyle name="Heading 2 2 2 2 4 3 8 4 2 2" xfId="30017"/>
    <cellStyle name="Heading 2 2 2 2 4 3 8 4 3" xfId="30018"/>
    <cellStyle name="Heading 2 2 2 2 4 3 8 5" xfId="30019"/>
    <cellStyle name="Heading 2 2 2 2 4 3 8 5 2" xfId="30020"/>
    <cellStyle name="Heading 2 2 2 2 4 3 8 5 2 2" xfId="30021"/>
    <cellStyle name="Heading 2 2 2 2 4 3 8 5 3" xfId="30022"/>
    <cellStyle name="Heading 2 2 2 2 4 3 8 6" xfId="30023"/>
    <cellStyle name="Heading 2 2 2 2 4 3 8 6 2" xfId="30024"/>
    <cellStyle name="Heading 2 2 2 2 4 3 8 6 2 2" xfId="30025"/>
    <cellStyle name="Heading 2 2 2 2 4 3 8 6 3" xfId="30026"/>
    <cellStyle name="Heading 2 2 2 2 4 3 8 7" xfId="30027"/>
    <cellStyle name="Heading 2 2 2 2 4 3 8 7 2" xfId="30028"/>
    <cellStyle name="Heading 2 2 2 2 4 3 8 7 2 2" xfId="30029"/>
    <cellStyle name="Heading 2 2 2 2 4 3 8 7 3" xfId="30030"/>
    <cellStyle name="Heading 2 2 2 2 4 3 8 8" xfId="30031"/>
    <cellStyle name="Heading 2 2 2 2 4 3 8 8 2" xfId="30032"/>
    <cellStyle name="Heading 2 2 2 2 4 3 8 9" xfId="30033"/>
    <cellStyle name="Heading 2 2 2 2 4 3 9" xfId="30034"/>
    <cellStyle name="Heading 2 2 2 2 4 3 9 2" xfId="30035"/>
    <cellStyle name="Heading 2 2 2 2 4 3 9 2 2" xfId="30036"/>
    <cellStyle name="Heading 2 2 2 2 4 3 9 3" xfId="30037"/>
    <cellStyle name="Heading 2 2 2 2 4 4" xfId="30038"/>
    <cellStyle name="Heading 2 2 2 2 4 4 2" xfId="30039"/>
    <cellStyle name="Heading 2 2 2 2 4 4 2 2" xfId="30040"/>
    <cellStyle name="Heading 2 2 2 2 4 4 3" xfId="30041"/>
    <cellStyle name="Heading 2 2 2 2 4 5" xfId="30042"/>
    <cellStyle name="Heading 2 2 2 2 4 5 2" xfId="30043"/>
    <cellStyle name="Heading 2 2 2 2 4 6" xfId="30044"/>
    <cellStyle name="Heading 2 2 2 2 5" xfId="30045"/>
    <cellStyle name="Heading 2 2 2 2 5 2" xfId="30046"/>
    <cellStyle name="Heading 2 2 2 2 5 2 10" xfId="30047"/>
    <cellStyle name="Heading 2 2 2 2 5 2 10 2" xfId="30048"/>
    <cellStyle name="Heading 2 2 2 2 5 2 10 2 2" xfId="30049"/>
    <cellStyle name="Heading 2 2 2 2 5 2 10 3" xfId="30050"/>
    <cellStyle name="Heading 2 2 2 2 5 2 11" xfId="30051"/>
    <cellStyle name="Heading 2 2 2 2 5 2 11 2" xfId="30052"/>
    <cellStyle name="Heading 2 2 2 2 5 2 11 2 2" xfId="30053"/>
    <cellStyle name="Heading 2 2 2 2 5 2 11 3" xfId="30054"/>
    <cellStyle name="Heading 2 2 2 2 5 2 12" xfId="30055"/>
    <cellStyle name="Heading 2 2 2 2 5 2 12 2" xfId="30056"/>
    <cellStyle name="Heading 2 2 2 2 5 2 12 2 2" xfId="30057"/>
    <cellStyle name="Heading 2 2 2 2 5 2 12 3" xfId="30058"/>
    <cellStyle name="Heading 2 2 2 2 5 2 13" xfId="30059"/>
    <cellStyle name="Heading 2 2 2 2 5 2 13 2" xfId="30060"/>
    <cellStyle name="Heading 2 2 2 2 5 2 13 2 2" xfId="30061"/>
    <cellStyle name="Heading 2 2 2 2 5 2 13 3" xfId="30062"/>
    <cellStyle name="Heading 2 2 2 2 5 2 14" xfId="30063"/>
    <cellStyle name="Heading 2 2 2 2 5 2 14 2" xfId="30064"/>
    <cellStyle name="Heading 2 2 2 2 5 2 14 2 2" xfId="30065"/>
    <cellStyle name="Heading 2 2 2 2 5 2 14 3" xfId="30066"/>
    <cellStyle name="Heading 2 2 2 2 5 2 15" xfId="30067"/>
    <cellStyle name="Heading 2 2 2 2 5 2 15 2" xfId="30068"/>
    <cellStyle name="Heading 2 2 2 2 5 2 15 2 2" xfId="30069"/>
    <cellStyle name="Heading 2 2 2 2 5 2 15 3" xfId="30070"/>
    <cellStyle name="Heading 2 2 2 2 5 2 16" xfId="30071"/>
    <cellStyle name="Heading 2 2 2 2 5 2 16 2" xfId="30072"/>
    <cellStyle name="Heading 2 2 2 2 5 2 16 2 2" xfId="30073"/>
    <cellStyle name="Heading 2 2 2 2 5 2 16 3" xfId="30074"/>
    <cellStyle name="Heading 2 2 2 2 5 2 17" xfId="30075"/>
    <cellStyle name="Heading 2 2 2 2 5 2 17 2" xfId="30076"/>
    <cellStyle name="Heading 2 2 2 2 5 2 17 2 2" xfId="30077"/>
    <cellStyle name="Heading 2 2 2 2 5 2 17 3" xfId="30078"/>
    <cellStyle name="Heading 2 2 2 2 5 2 18" xfId="30079"/>
    <cellStyle name="Heading 2 2 2 2 5 2 18 2" xfId="30080"/>
    <cellStyle name="Heading 2 2 2 2 5 2 18 2 2" xfId="30081"/>
    <cellStyle name="Heading 2 2 2 2 5 2 18 3" xfId="30082"/>
    <cellStyle name="Heading 2 2 2 2 5 2 19" xfId="30083"/>
    <cellStyle name="Heading 2 2 2 2 5 2 19 2" xfId="30084"/>
    <cellStyle name="Heading 2 2 2 2 5 2 19 2 2" xfId="30085"/>
    <cellStyle name="Heading 2 2 2 2 5 2 19 3" xfId="30086"/>
    <cellStyle name="Heading 2 2 2 2 5 2 2" xfId="30087"/>
    <cellStyle name="Heading 2 2 2 2 5 2 2 10" xfId="30088"/>
    <cellStyle name="Heading 2 2 2 2 5 2 2 10 2" xfId="30089"/>
    <cellStyle name="Heading 2 2 2 2 5 2 2 10 2 2" xfId="30090"/>
    <cellStyle name="Heading 2 2 2 2 5 2 2 10 3" xfId="30091"/>
    <cellStyle name="Heading 2 2 2 2 5 2 2 11" xfId="30092"/>
    <cellStyle name="Heading 2 2 2 2 5 2 2 11 2" xfId="30093"/>
    <cellStyle name="Heading 2 2 2 2 5 2 2 11 2 2" xfId="30094"/>
    <cellStyle name="Heading 2 2 2 2 5 2 2 11 3" xfId="30095"/>
    <cellStyle name="Heading 2 2 2 2 5 2 2 12" xfId="30096"/>
    <cellStyle name="Heading 2 2 2 2 5 2 2 12 2" xfId="30097"/>
    <cellStyle name="Heading 2 2 2 2 5 2 2 12 2 2" xfId="30098"/>
    <cellStyle name="Heading 2 2 2 2 5 2 2 12 3" xfId="30099"/>
    <cellStyle name="Heading 2 2 2 2 5 2 2 13" xfId="30100"/>
    <cellStyle name="Heading 2 2 2 2 5 2 2 13 2" xfId="30101"/>
    <cellStyle name="Heading 2 2 2 2 5 2 2 13 2 2" xfId="30102"/>
    <cellStyle name="Heading 2 2 2 2 5 2 2 13 3" xfId="30103"/>
    <cellStyle name="Heading 2 2 2 2 5 2 2 14" xfId="30104"/>
    <cellStyle name="Heading 2 2 2 2 5 2 2 14 2" xfId="30105"/>
    <cellStyle name="Heading 2 2 2 2 5 2 2 14 2 2" xfId="30106"/>
    <cellStyle name="Heading 2 2 2 2 5 2 2 14 3" xfId="30107"/>
    <cellStyle name="Heading 2 2 2 2 5 2 2 15" xfId="30108"/>
    <cellStyle name="Heading 2 2 2 2 5 2 2 15 2" xfId="30109"/>
    <cellStyle name="Heading 2 2 2 2 5 2 2 15 2 2" xfId="30110"/>
    <cellStyle name="Heading 2 2 2 2 5 2 2 15 3" xfId="30111"/>
    <cellStyle name="Heading 2 2 2 2 5 2 2 16" xfId="30112"/>
    <cellStyle name="Heading 2 2 2 2 5 2 2 16 2" xfId="30113"/>
    <cellStyle name="Heading 2 2 2 2 5 2 2 16 2 2" xfId="30114"/>
    <cellStyle name="Heading 2 2 2 2 5 2 2 16 3" xfId="30115"/>
    <cellStyle name="Heading 2 2 2 2 5 2 2 17" xfId="30116"/>
    <cellStyle name="Heading 2 2 2 2 5 2 2 17 2" xfId="30117"/>
    <cellStyle name="Heading 2 2 2 2 5 2 2 17 2 2" xfId="30118"/>
    <cellStyle name="Heading 2 2 2 2 5 2 2 17 3" xfId="30119"/>
    <cellStyle name="Heading 2 2 2 2 5 2 2 18" xfId="30120"/>
    <cellStyle name="Heading 2 2 2 2 5 2 2 18 2" xfId="30121"/>
    <cellStyle name="Heading 2 2 2 2 5 2 2 18 2 2" xfId="30122"/>
    <cellStyle name="Heading 2 2 2 2 5 2 2 18 3" xfId="30123"/>
    <cellStyle name="Heading 2 2 2 2 5 2 2 19" xfId="30124"/>
    <cellStyle name="Heading 2 2 2 2 5 2 2 19 2" xfId="30125"/>
    <cellStyle name="Heading 2 2 2 2 5 2 2 2" xfId="30126"/>
    <cellStyle name="Heading 2 2 2 2 5 2 2 2 2" xfId="30127"/>
    <cellStyle name="Heading 2 2 2 2 5 2 2 2 2 2" xfId="30128"/>
    <cellStyle name="Heading 2 2 2 2 5 2 2 2 2 2 2" xfId="30129"/>
    <cellStyle name="Heading 2 2 2 2 5 2 2 2 2 3" xfId="30130"/>
    <cellStyle name="Heading 2 2 2 2 5 2 2 2 3" xfId="30131"/>
    <cellStyle name="Heading 2 2 2 2 5 2 2 2 3 2" xfId="30132"/>
    <cellStyle name="Heading 2 2 2 2 5 2 2 2 3 2 2" xfId="30133"/>
    <cellStyle name="Heading 2 2 2 2 5 2 2 2 3 3" xfId="30134"/>
    <cellStyle name="Heading 2 2 2 2 5 2 2 2 4" xfId="30135"/>
    <cellStyle name="Heading 2 2 2 2 5 2 2 2 4 2" xfId="30136"/>
    <cellStyle name="Heading 2 2 2 2 5 2 2 2 4 2 2" xfId="30137"/>
    <cellStyle name="Heading 2 2 2 2 5 2 2 2 4 3" xfId="30138"/>
    <cellStyle name="Heading 2 2 2 2 5 2 2 2 5" xfId="30139"/>
    <cellStyle name="Heading 2 2 2 2 5 2 2 2 5 2" xfId="30140"/>
    <cellStyle name="Heading 2 2 2 2 5 2 2 2 5 2 2" xfId="30141"/>
    <cellStyle name="Heading 2 2 2 2 5 2 2 2 5 3" xfId="30142"/>
    <cellStyle name="Heading 2 2 2 2 5 2 2 2 6" xfId="30143"/>
    <cellStyle name="Heading 2 2 2 2 5 2 2 2 6 2" xfId="30144"/>
    <cellStyle name="Heading 2 2 2 2 5 2 2 2 6 2 2" xfId="30145"/>
    <cellStyle name="Heading 2 2 2 2 5 2 2 2 6 3" xfId="30146"/>
    <cellStyle name="Heading 2 2 2 2 5 2 2 2 7" xfId="30147"/>
    <cellStyle name="Heading 2 2 2 2 5 2 2 2 7 2" xfId="30148"/>
    <cellStyle name="Heading 2 2 2 2 5 2 2 2 7 2 2" xfId="30149"/>
    <cellStyle name="Heading 2 2 2 2 5 2 2 2 7 3" xfId="30150"/>
    <cellStyle name="Heading 2 2 2 2 5 2 2 2 8" xfId="30151"/>
    <cellStyle name="Heading 2 2 2 2 5 2 2 2 8 2" xfId="30152"/>
    <cellStyle name="Heading 2 2 2 2 5 2 2 2 9" xfId="30153"/>
    <cellStyle name="Heading 2 2 2 2 5 2 2 20" xfId="30154"/>
    <cellStyle name="Heading 2 2 2 2 5 2 2 20 2" xfId="30155"/>
    <cellStyle name="Heading 2 2 2 2 5 2 2 21" xfId="30156"/>
    <cellStyle name="Heading 2 2 2 2 5 2 2 21 2" xfId="30157"/>
    <cellStyle name="Heading 2 2 2 2 5 2 2 22" xfId="30158"/>
    <cellStyle name="Heading 2 2 2 2 5 2 2 3" xfId="30159"/>
    <cellStyle name="Heading 2 2 2 2 5 2 2 3 2" xfId="30160"/>
    <cellStyle name="Heading 2 2 2 2 5 2 2 3 2 2" xfId="30161"/>
    <cellStyle name="Heading 2 2 2 2 5 2 2 3 2 2 2" xfId="30162"/>
    <cellStyle name="Heading 2 2 2 2 5 2 2 3 2 3" xfId="30163"/>
    <cellStyle name="Heading 2 2 2 2 5 2 2 3 3" xfId="30164"/>
    <cellStyle name="Heading 2 2 2 2 5 2 2 3 3 2" xfId="30165"/>
    <cellStyle name="Heading 2 2 2 2 5 2 2 3 3 2 2" xfId="30166"/>
    <cellStyle name="Heading 2 2 2 2 5 2 2 3 3 3" xfId="30167"/>
    <cellStyle name="Heading 2 2 2 2 5 2 2 3 4" xfId="30168"/>
    <cellStyle name="Heading 2 2 2 2 5 2 2 3 4 2" xfId="30169"/>
    <cellStyle name="Heading 2 2 2 2 5 2 2 3 4 2 2" xfId="30170"/>
    <cellStyle name="Heading 2 2 2 2 5 2 2 3 4 3" xfId="30171"/>
    <cellStyle name="Heading 2 2 2 2 5 2 2 3 5" xfId="30172"/>
    <cellStyle name="Heading 2 2 2 2 5 2 2 3 5 2" xfId="30173"/>
    <cellStyle name="Heading 2 2 2 2 5 2 2 3 5 2 2" xfId="30174"/>
    <cellStyle name="Heading 2 2 2 2 5 2 2 3 5 3" xfId="30175"/>
    <cellStyle name="Heading 2 2 2 2 5 2 2 3 6" xfId="30176"/>
    <cellStyle name="Heading 2 2 2 2 5 2 2 3 6 2" xfId="30177"/>
    <cellStyle name="Heading 2 2 2 2 5 2 2 3 6 2 2" xfId="30178"/>
    <cellStyle name="Heading 2 2 2 2 5 2 2 3 6 3" xfId="30179"/>
    <cellStyle name="Heading 2 2 2 2 5 2 2 3 7" xfId="30180"/>
    <cellStyle name="Heading 2 2 2 2 5 2 2 3 7 2" xfId="30181"/>
    <cellStyle name="Heading 2 2 2 2 5 2 2 3 7 2 2" xfId="30182"/>
    <cellStyle name="Heading 2 2 2 2 5 2 2 3 7 3" xfId="30183"/>
    <cellStyle name="Heading 2 2 2 2 5 2 2 3 8" xfId="30184"/>
    <cellStyle name="Heading 2 2 2 2 5 2 2 3 8 2" xfId="30185"/>
    <cellStyle name="Heading 2 2 2 2 5 2 2 3 9" xfId="30186"/>
    <cellStyle name="Heading 2 2 2 2 5 2 2 4" xfId="30187"/>
    <cellStyle name="Heading 2 2 2 2 5 2 2 4 2" xfId="30188"/>
    <cellStyle name="Heading 2 2 2 2 5 2 2 4 2 2" xfId="30189"/>
    <cellStyle name="Heading 2 2 2 2 5 2 2 4 2 2 2" xfId="30190"/>
    <cellStyle name="Heading 2 2 2 2 5 2 2 4 2 3" xfId="30191"/>
    <cellStyle name="Heading 2 2 2 2 5 2 2 4 3" xfId="30192"/>
    <cellStyle name="Heading 2 2 2 2 5 2 2 4 3 2" xfId="30193"/>
    <cellStyle name="Heading 2 2 2 2 5 2 2 4 3 2 2" xfId="30194"/>
    <cellStyle name="Heading 2 2 2 2 5 2 2 4 3 3" xfId="30195"/>
    <cellStyle name="Heading 2 2 2 2 5 2 2 4 4" xfId="30196"/>
    <cellStyle name="Heading 2 2 2 2 5 2 2 4 4 2" xfId="30197"/>
    <cellStyle name="Heading 2 2 2 2 5 2 2 4 4 2 2" xfId="30198"/>
    <cellStyle name="Heading 2 2 2 2 5 2 2 4 4 3" xfId="30199"/>
    <cellStyle name="Heading 2 2 2 2 5 2 2 4 5" xfId="30200"/>
    <cellStyle name="Heading 2 2 2 2 5 2 2 4 5 2" xfId="30201"/>
    <cellStyle name="Heading 2 2 2 2 5 2 2 4 5 2 2" xfId="30202"/>
    <cellStyle name="Heading 2 2 2 2 5 2 2 4 5 3" xfId="30203"/>
    <cellStyle name="Heading 2 2 2 2 5 2 2 4 6" xfId="30204"/>
    <cellStyle name="Heading 2 2 2 2 5 2 2 4 6 2" xfId="30205"/>
    <cellStyle name="Heading 2 2 2 2 5 2 2 4 6 2 2" xfId="30206"/>
    <cellStyle name="Heading 2 2 2 2 5 2 2 4 6 3" xfId="30207"/>
    <cellStyle name="Heading 2 2 2 2 5 2 2 4 7" xfId="30208"/>
    <cellStyle name="Heading 2 2 2 2 5 2 2 4 7 2" xfId="30209"/>
    <cellStyle name="Heading 2 2 2 2 5 2 2 4 7 2 2" xfId="30210"/>
    <cellStyle name="Heading 2 2 2 2 5 2 2 4 7 3" xfId="30211"/>
    <cellStyle name="Heading 2 2 2 2 5 2 2 4 8" xfId="30212"/>
    <cellStyle name="Heading 2 2 2 2 5 2 2 4 8 2" xfId="30213"/>
    <cellStyle name="Heading 2 2 2 2 5 2 2 4 9" xfId="30214"/>
    <cellStyle name="Heading 2 2 2 2 5 2 2 5" xfId="30215"/>
    <cellStyle name="Heading 2 2 2 2 5 2 2 5 2" xfId="30216"/>
    <cellStyle name="Heading 2 2 2 2 5 2 2 5 2 2" xfId="30217"/>
    <cellStyle name="Heading 2 2 2 2 5 2 2 5 2 2 2" xfId="30218"/>
    <cellStyle name="Heading 2 2 2 2 5 2 2 5 2 3" xfId="30219"/>
    <cellStyle name="Heading 2 2 2 2 5 2 2 5 3" xfId="30220"/>
    <cellStyle name="Heading 2 2 2 2 5 2 2 5 3 2" xfId="30221"/>
    <cellStyle name="Heading 2 2 2 2 5 2 2 5 3 2 2" xfId="30222"/>
    <cellStyle name="Heading 2 2 2 2 5 2 2 5 3 3" xfId="30223"/>
    <cellStyle name="Heading 2 2 2 2 5 2 2 5 4" xfId="30224"/>
    <cellStyle name="Heading 2 2 2 2 5 2 2 5 4 2" xfId="30225"/>
    <cellStyle name="Heading 2 2 2 2 5 2 2 5 4 2 2" xfId="30226"/>
    <cellStyle name="Heading 2 2 2 2 5 2 2 5 4 3" xfId="30227"/>
    <cellStyle name="Heading 2 2 2 2 5 2 2 5 5" xfId="30228"/>
    <cellStyle name="Heading 2 2 2 2 5 2 2 5 5 2" xfId="30229"/>
    <cellStyle name="Heading 2 2 2 2 5 2 2 5 5 2 2" xfId="30230"/>
    <cellStyle name="Heading 2 2 2 2 5 2 2 5 5 3" xfId="30231"/>
    <cellStyle name="Heading 2 2 2 2 5 2 2 5 6" xfId="30232"/>
    <cellStyle name="Heading 2 2 2 2 5 2 2 5 6 2" xfId="30233"/>
    <cellStyle name="Heading 2 2 2 2 5 2 2 5 6 2 2" xfId="30234"/>
    <cellStyle name="Heading 2 2 2 2 5 2 2 5 6 3" xfId="30235"/>
    <cellStyle name="Heading 2 2 2 2 5 2 2 5 7" xfId="30236"/>
    <cellStyle name="Heading 2 2 2 2 5 2 2 5 7 2" xfId="30237"/>
    <cellStyle name="Heading 2 2 2 2 5 2 2 5 7 2 2" xfId="30238"/>
    <cellStyle name="Heading 2 2 2 2 5 2 2 5 7 3" xfId="30239"/>
    <cellStyle name="Heading 2 2 2 2 5 2 2 5 8" xfId="30240"/>
    <cellStyle name="Heading 2 2 2 2 5 2 2 5 8 2" xfId="30241"/>
    <cellStyle name="Heading 2 2 2 2 5 2 2 5 9" xfId="30242"/>
    <cellStyle name="Heading 2 2 2 2 5 2 2 6" xfId="30243"/>
    <cellStyle name="Heading 2 2 2 2 5 2 2 6 2" xfId="30244"/>
    <cellStyle name="Heading 2 2 2 2 5 2 2 6 2 2" xfId="30245"/>
    <cellStyle name="Heading 2 2 2 2 5 2 2 6 2 2 2" xfId="30246"/>
    <cellStyle name="Heading 2 2 2 2 5 2 2 6 2 3" xfId="30247"/>
    <cellStyle name="Heading 2 2 2 2 5 2 2 6 3" xfId="30248"/>
    <cellStyle name="Heading 2 2 2 2 5 2 2 6 3 2" xfId="30249"/>
    <cellStyle name="Heading 2 2 2 2 5 2 2 6 3 2 2" xfId="30250"/>
    <cellStyle name="Heading 2 2 2 2 5 2 2 6 3 3" xfId="30251"/>
    <cellStyle name="Heading 2 2 2 2 5 2 2 6 4" xfId="30252"/>
    <cellStyle name="Heading 2 2 2 2 5 2 2 6 4 2" xfId="30253"/>
    <cellStyle name="Heading 2 2 2 2 5 2 2 6 4 2 2" xfId="30254"/>
    <cellStyle name="Heading 2 2 2 2 5 2 2 6 4 3" xfId="30255"/>
    <cellStyle name="Heading 2 2 2 2 5 2 2 6 5" xfId="30256"/>
    <cellStyle name="Heading 2 2 2 2 5 2 2 6 5 2" xfId="30257"/>
    <cellStyle name="Heading 2 2 2 2 5 2 2 6 5 2 2" xfId="30258"/>
    <cellStyle name="Heading 2 2 2 2 5 2 2 6 5 3" xfId="30259"/>
    <cellStyle name="Heading 2 2 2 2 5 2 2 6 6" xfId="30260"/>
    <cellStyle name="Heading 2 2 2 2 5 2 2 6 6 2" xfId="30261"/>
    <cellStyle name="Heading 2 2 2 2 5 2 2 6 6 2 2" xfId="30262"/>
    <cellStyle name="Heading 2 2 2 2 5 2 2 6 6 3" xfId="30263"/>
    <cellStyle name="Heading 2 2 2 2 5 2 2 6 7" xfId="30264"/>
    <cellStyle name="Heading 2 2 2 2 5 2 2 6 7 2" xfId="30265"/>
    <cellStyle name="Heading 2 2 2 2 5 2 2 6 7 2 2" xfId="30266"/>
    <cellStyle name="Heading 2 2 2 2 5 2 2 6 7 3" xfId="30267"/>
    <cellStyle name="Heading 2 2 2 2 5 2 2 6 8" xfId="30268"/>
    <cellStyle name="Heading 2 2 2 2 5 2 2 6 8 2" xfId="30269"/>
    <cellStyle name="Heading 2 2 2 2 5 2 2 6 9" xfId="30270"/>
    <cellStyle name="Heading 2 2 2 2 5 2 2 7" xfId="30271"/>
    <cellStyle name="Heading 2 2 2 2 5 2 2 7 2" xfId="30272"/>
    <cellStyle name="Heading 2 2 2 2 5 2 2 7 2 2" xfId="30273"/>
    <cellStyle name="Heading 2 2 2 2 5 2 2 7 2 2 2" xfId="30274"/>
    <cellStyle name="Heading 2 2 2 2 5 2 2 7 2 3" xfId="30275"/>
    <cellStyle name="Heading 2 2 2 2 5 2 2 7 3" xfId="30276"/>
    <cellStyle name="Heading 2 2 2 2 5 2 2 7 3 2" xfId="30277"/>
    <cellStyle name="Heading 2 2 2 2 5 2 2 7 3 2 2" xfId="30278"/>
    <cellStyle name="Heading 2 2 2 2 5 2 2 7 3 3" xfId="30279"/>
    <cellStyle name="Heading 2 2 2 2 5 2 2 7 4" xfId="30280"/>
    <cellStyle name="Heading 2 2 2 2 5 2 2 7 4 2" xfId="30281"/>
    <cellStyle name="Heading 2 2 2 2 5 2 2 7 4 2 2" xfId="30282"/>
    <cellStyle name="Heading 2 2 2 2 5 2 2 7 4 3" xfId="30283"/>
    <cellStyle name="Heading 2 2 2 2 5 2 2 7 5" xfId="30284"/>
    <cellStyle name="Heading 2 2 2 2 5 2 2 7 5 2" xfId="30285"/>
    <cellStyle name="Heading 2 2 2 2 5 2 2 7 5 2 2" xfId="30286"/>
    <cellStyle name="Heading 2 2 2 2 5 2 2 7 5 3" xfId="30287"/>
    <cellStyle name="Heading 2 2 2 2 5 2 2 7 6" xfId="30288"/>
    <cellStyle name="Heading 2 2 2 2 5 2 2 7 6 2" xfId="30289"/>
    <cellStyle name="Heading 2 2 2 2 5 2 2 7 6 2 2" xfId="30290"/>
    <cellStyle name="Heading 2 2 2 2 5 2 2 7 6 3" xfId="30291"/>
    <cellStyle name="Heading 2 2 2 2 5 2 2 7 7" xfId="30292"/>
    <cellStyle name="Heading 2 2 2 2 5 2 2 7 7 2" xfId="30293"/>
    <cellStyle name="Heading 2 2 2 2 5 2 2 7 7 2 2" xfId="30294"/>
    <cellStyle name="Heading 2 2 2 2 5 2 2 7 7 3" xfId="30295"/>
    <cellStyle name="Heading 2 2 2 2 5 2 2 7 8" xfId="30296"/>
    <cellStyle name="Heading 2 2 2 2 5 2 2 7 8 2" xfId="30297"/>
    <cellStyle name="Heading 2 2 2 2 5 2 2 7 9" xfId="30298"/>
    <cellStyle name="Heading 2 2 2 2 5 2 2 8" xfId="30299"/>
    <cellStyle name="Heading 2 2 2 2 5 2 2 8 2" xfId="30300"/>
    <cellStyle name="Heading 2 2 2 2 5 2 2 8 2 2" xfId="30301"/>
    <cellStyle name="Heading 2 2 2 2 5 2 2 8 2 2 2" xfId="30302"/>
    <cellStyle name="Heading 2 2 2 2 5 2 2 8 2 3" xfId="30303"/>
    <cellStyle name="Heading 2 2 2 2 5 2 2 8 3" xfId="30304"/>
    <cellStyle name="Heading 2 2 2 2 5 2 2 8 3 2" xfId="30305"/>
    <cellStyle name="Heading 2 2 2 2 5 2 2 8 3 2 2" xfId="30306"/>
    <cellStyle name="Heading 2 2 2 2 5 2 2 8 3 3" xfId="30307"/>
    <cellStyle name="Heading 2 2 2 2 5 2 2 8 4" xfId="30308"/>
    <cellStyle name="Heading 2 2 2 2 5 2 2 8 4 2" xfId="30309"/>
    <cellStyle name="Heading 2 2 2 2 5 2 2 8 4 2 2" xfId="30310"/>
    <cellStyle name="Heading 2 2 2 2 5 2 2 8 4 3" xfId="30311"/>
    <cellStyle name="Heading 2 2 2 2 5 2 2 8 5" xfId="30312"/>
    <cellStyle name="Heading 2 2 2 2 5 2 2 8 5 2" xfId="30313"/>
    <cellStyle name="Heading 2 2 2 2 5 2 2 8 5 2 2" xfId="30314"/>
    <cellStyle name="Heading 2 2 2 2 5 2 2 8 5 3" xfId="30315"/>
    <cellStyle name="Heading 2 2 2 2 5 2 2 8 6" xfId="30316"/>
    <cellStyle name="Heading 2 2 2 2 5 2 2 8 6 2" xfId="30317"/>
    <cellStyle name="Heading 2 2 2 2 5 2 2 8 6 2 2" xfId="30318"/>
    <cellStyle name="Heading 2 2 2 2 5 2 2 8 6 3" xfId="30319"/>
    <cellStyle name="Heading 2 2 2 2 5 2 2 8 7" xfId="30320"/>
    <cellStyle name="Heading 2 2 2 2 5 2 2 8 7 2" xfId="30321"/>
    <cellStyle name="Heading 2 2 2 2 5 2 2 8 7 2 2" xfId="30322"/>
    <cellStyle name="Heading 2 2 2 2 5 2 2 8 7 3" xfId="30323"/>
    <cellStyle name="Heading 2 2 2 2 5 2 2 8 8" xfId="30324"/>
    <cellStyle name="Heading 2 2 2 2 5 2 2 8 8 2" xfId="30325"/>
    <cellStyle name="Heading 2 2 2 2 5 2 2 8 9" xfId="30326"/>
    <cellStyle name="Heading 2 2 2 2 5 2 2 9" xfId="30327"/>
    <cellStyle name="Heading 2 2 2 2 5 2 2 9 2" xfId="30328"/>
    <cellStyle name="Heading 2 2 2 2 5 2 2 9 2 2" xfId="30329"/>
    <cellStyle name="Heading 2 2 2 2 5 2 2 9 3" xfId="30330"/>
    <cellStyle name="Heading 2 2 2 2 5 2 20" xfId="30331"/>
    <cellStyle name="Heading 2 2 2 2 5 2 20 2" xfId="30332"/>
    <cellStyle name="Heading 2 2 2 2 5 2 21" xfId="30333"/>
    <cellStyle name="Heading 2 2 2 2 5 2 21 2" xfId="30334"/>
    <cellStyle name="Heading 2 2 2 2 5 2 22" xfId="30335"/>
    <cellStyle name="Heading 2 2 2 2 5 2 22 2" xfId="30336"/>
    <cellStyle name="Heading 2 2 2 2 5 2 23" xfId="30337"/>
    <cellStyle name="Heading 2 2 2 2 5 2 3" xfId="30338"/>
    <cellStyle name="Heading 2 2 2 2 5 2 3 2" xfId="30339"/>
    <cellStyle name="Heading 2 2 2 2 5 2 3 2 2" xfId="30340"/>
    <cellStyle name="Heading 2 2 2 2 5 2 3 2 2 2" xfId="30341"/>
    <cellStyle name="Heading 2 2 2 2 5 2 3 2 3" xfId="30342"/>
    <cellStyle name="Heading 2 2 2 2 5 2 3 3" xfId="30343"/>
    <cellStyle name="Heading 2 2 2 2 5 2 3 3 2" xfId="30344"/>
    <cellStyle name="Heading 2 2 2 2 5 2 3 3 2 2" xfId="30345"/>
    <cellStyle name="Heading 2 2 2 2 5 2 3 3 3" xfId="30346"/>
    <cellStyle name="Heading 2 2 2 2 5 2 3 4" xfId="30347"/>
    <cellStyle name="Heading 2 2 2 2 5 2 3 4 2" xfId="30348"/>
    <cellStyle name="Heading 2 2 2 2 5 2 3 4 2 2" xfId="30349"/>
    <cellStyle name="Heading 2 2 2 2 5 2 3 4 3" xfId="30350"/>
    <cellStyle name="Heading 2 2 2 2 5 2 3 5" xfId="30351"/>
    <cellStyle name="Heading 2 2 2 2 5 2 3 5 2" xfId="30352"/>
    <cellStyle name="Heading 2 2 2 2 5 2 3 5 2 2" xfId="30353"/>
    <cellStyle name="Heading 2 2 2 2 5 2 3 5 3" xfId="30354"/>
    <cellStyle name="Heading 2 2 2 2 5 2 3 6" xfId="30355"/>
    <cellStyle name="Heading 2 2 2 2 5 2 3 6 2" xfId="30356"/>
    <cellStyle name="Heading 2 2 2 2 5 2 3 6 2 2" xfId="30357"/>
    <cellStyle name="Heading 2 2 2 2 5 2 3 6 3" xfId="30358"/>
    <cellStyle name="Heading 2 2 2 2 5 2 3 7" xfId="30359"/>
    <cellStyle name="Heading 2 2 2 2 5 2 3 7 2" xfId="30360"/>
    <cellStyle name="Heading 2 2 2 2 5 2 3 7 2 2" xfId="30361"/>
    <cellStyle name="Heading 2 2 2 2 5 2 3 7 3" xfId="30362"/>
    <cellStyle name="Heading 2 2 2 2 5 2 3 8" xfId="30363"/>
    <cellStyle name="Heading 2 2 2 2 5 2 3 8 2" xfId="30364"/>
    <cellStyle name="Heading 2 2 2 2 5 2 3 9" xfId="30365"/>
    <cellStyle name="Heading 2 2 2 2 5 2 4" xfId="30366"/>
    <cellStyle name="Heading 2 2 2 2 5 2 4 2" xfId="30367"/>
    <cellStyle name="Heading 2 2 2 2 5 2 4 2 2" xfId="30368"/>
    <cellStyle name="Heading 2 2 2 2 5 2 4 2 2 2" xfId="30369"/>
    <cellStyle name="Heading 2 2 2 2 5 2 4 2 3" xfId="30370"/>
    <cellStyle name="Heading 2 2 2 2 5 2 4 3" xfId="30371"/>
    <cellStyle name="Heading 2 2 2 2 5 2 4 3 2" xfId="30372"/>
    <cellStyle name="Heading 2 2 2 2 5 2 4 3 2 2" xfId="30373"/>
    <cellStyle name="Heading 2 2 2 2 5 2 4 3 3" xfId="30374"/>
    <cellStyle name="Heading 2 2 2 2 5 2 4 4" xfId="30375"/>
    <cellStyle name="Heading 2 2 2 2 5 2 4 4 2" xfId="30376"/>
    <cellStyle name="Heading 2 2 2 2 5 2 4 4 2 2" xfId="30377"/>
    <cellStyle name="Heading 2 2 2 2 5 2 4 4 3" xfId="30378"/>
    <cellStyle name="Heading 2 2 2 2 5 2 4 5" xfId="30379"/>
    <cellStyle name="Heading 2 2 2 2 5 2 4 5 2" xfId="30380"/>
    <cellStyle name="Heading 2 2 2 2 5 2 4 5 2 2" xfId="30381"/>
    <cellStyle name="Heading 2 2 2 2 5 2 4 5 3" xfId="30382"/>
    <cellStyle name="Heading 2 2 2 2 5 2 4 6" xfId="30383"/>
    <cellStyle name="Heading 2 2 2 2 5 2 4 6 2" xfId="30384"/>
    <cellStyle name="Heading 2 2 2 2 5 2 4 6 2 2" xfId="30385"/>
    <cellStyle name="Heading 2 2 2 2 5 2 4 6 3" xfId="30386"/>
    <cellStyle name="Heading 2 2 2 2 5 2 4 7" xfId="30387"/>
    <cellStyle name="Heading 2 2 2 2 5 2 4 7 2" xfId="30388"/>
    <cellStyle name="Heading 2 2 2 2 5 2 4 7 2 2" xfId="30389"/>
    <cellStyle name="Heading 2 2 2 2 5 2 4 7 3" xfId="30390"/>
    <cellStyle name="Heading 2 2 2 2 5 2 4 8" xfId="30391"/>
    <cellStyle name="Heading 2 2 2 2 5 2 4 8 2" xfId="30392"/>
    <cellStyle name="Heading 2 2 2 2 5 2 4 9" xfId="30393"/>
    <cellStyle name="Heading 2 2 2 2 5 2 5" xfId="30394"/>
    <cellStyle name="Heading 2 2 2 2 5 2 5 2" xfId="30395"/>
    <cellStyle name="Heading 2 2 2 2 5 2 5 2 2" xfId="30396"/>
    <cellStyle name="Heading 2 2 2 2 5 2 5 2 2 2" xfId="30397"/>
    <cellStyle name="Heading 2 2 2 2 5 2 5 2 3" xfId="30398"/>
    <cellStyle name="Heading 2 2 2 2 5 2 5 3" xfId="30399"/>
    <cellStyle name="Heading 2 2 2 2 5 2 5 3 2" xfId="30400"/>
    <cellStyle name="Heading 2 2 2 2 5 2 5 3 2 2" xfId="30401"/>
    <cellStyle name="Heading 2 2 2 2 5 2 5 3 3" xfId="30402"/>
    <cellStyle name="Heading 2 2 2 2 5 2 5 4" xfId="30403"/>
    <cellStyle name="Heading 2 2 2 2 5 2 5 4 2" xfId="30404"/>
    <cellStyle name="Heading 2 2 2 2 5 2 5 4 2 2" xfId="30405"/>
    <cellStyle name="Heading 2 2 2 2 5 2 5 4 3" xfId="30406"/>
    <cellStyle name="Heading 2 2 2 2 5 2 5 5" xfId="30407"/>
    <cellStyle name="Heading 2 2 2 2 5 2 5 5 2" xfId="30408"/>
    <cellStyle name="Heading 2 2 2 2 5 2 5 5 2 2" xfId="30409"/>
    <cellStyle name="Heading 2 2 2 2 5 2 5 5 3" xfId="30410"/>
    <cellStyle name="Heading 2 2 2 2 5 2 5 6" xfId="30411"/>
    <cellStyle name="Heading 2 2 2 2 5 2 5 6 2" xfId="30412"/>
    <cellStyle name="Heading 2 2 2 2 5 2 5 6 2 2" xfId="30413"/>
    <cellStyle name="Heading 2 2 2 2 5 2 5 6 3" xfId="30414"/>
    <cellStyle name="Heading 2 2 2 2 5 2 5 7" xfId="30415"/>
    <cellStyle name="Heading 2 2 2 2 5 2 5 7 2" xfId="30416"/>
    <cellStyle name="Heading 2 2 2 2 5 2 5 7 2 2" xfId="30417"/>
    <cellStyle name="Heading 2 2 2 2 5 2 5 7 3" xfId="30418"/>
    <cellStyle name="Heading 2 2 2 2 5 2 5 8" xfId="30419"/>
    <cellStyle name="Heading 2 2 2 2 5 2 5 8 2" xfId="30420"/>
    <cellStyle name="Heading 2 2 2 2 5 2 5 9" xfId="30421"/>
    <cellStyle name="Heading 2 2 2 2 5 2 6" xfId="30422"/>
    <cellStyle name="Heading 2 2 2 2 5 2 6 2" xfId="30423"/>
    <cellStyle name="Heading 2 2 2 2 5 2 6 2 2" xfId="30424"/>
    <cellStyle name="Heading 2 2 2 2 5 2 6 2 2 2" xfId="30425"/>
    <cellStyle name="Heading 2 2 2 2 5 2 6 2 3" xfId="30426"/>
    <cellStyle name="Heading 2 2 2 2 5 2 6 3" xfId="30427"/>
    <cellStyle name="Heading 2 2 2 2 5 2 6 3 2" xfId="30428"/>
    <cellStyle name="Heading 2 2 2 2 5 2 6 3 2 2" xfId="30429"/>
    <cellStyle name="Heading 2 2 2 2 5 2 6 3 3" xfId="30430"/>
    <cellStyle name="Heading 2 2 2 2 5 2 6 4" xfId="30431"/>
    <cellStyle name="Heading 2 2 2 2 5 2 6 4 2" xfId="30432"/>
    <cellStyle name="Heading 2 2 2 2 5 2 6 4 2 2" xfId="30433"/>
    <cellStyle name="Heading 2 2 2 2 5 2 6 4 3" xfId="30434"/>
    <cellStyle name="Heading 2 2 2 2 5 2 6 5" xfId="30435"/>
    <cellStyle name="Heading 2 2 2 2 5 2 6 5 2" xfId="30436"/>
    <cellStyle name="Heading 2 2 2 2 5 2 6 5 2 2" xfId="30437"/>
    <cellStyle name="Heading 2 2 2 2 5 2 6 5 3" xfId="30438"/>
    <cellStyle name="Heading 2 2 2 2 5 2 6 6" xfId="30439"/>
    <cellStyle name="Heading 2 2 2 2 5 2 6 6 2" xfId="30440"/>
    <cellStyle name="Heading 2 2 2 2 5 2 6 6 2 2" xfId="30441"/>
    <cellStyle name="Heading 2 2 2 2 5 2 6 6 3" xfId="30442"/>
    <cellStyle name="Heading 2 2 2 2 5 2 6 7" xfId="30443"/>
    <cellStyle name="Heading 2 2 2 2 5 2 6 7 2" xfId="30444"/>
    <cellStyle name="Heading 2 2 2 2 5 2 6 7 2 2" xfId="30445"/>
    <cellStyle name="Heading 2 2 2 2 5 2 6 7 3" xfId="30446"/>
    <cellStyle name="Heading 2 2 2 2 5 2 6 8" xfId="30447"/>
    <cellStyle name="Heading 2 2 2 2 5 2 6 8 2" xfId="30448"/>
    <cellStyle name="Heading 2 2 2 2 5 2 6 9" xfId="30449"/>
    <cellStyle name="Heading 2 2 2 2 5 2 7" xfId="30450"/>
    <cellStyle name="Heading 2 2 2 2 5 2 7 2" xfId="30451"/>
    <cellStyle name="Heading 2 2 2 2 5 2 7 2 2" xfId="30452"/>
    <cellStyle name="Heading 2 2 2 2 5 2 7 2 2 2" xfId="30453"/>
    <cellStyle name="Heading 2 2 2 2 5 2 7 2 3" xfId="30454"/>
    <cellStyle name="Heading 2 2 2 2 5 2 7 3" xfId="30455"/>
    <cellStyle name="Heading 2 2 2 2 5 2 7 3 2" xfId="30456"/>
    <cellStyle name="Heading 2 2 2 2 5 2 7 3 2 2" xfId="30457"/>
    <cellStyle name="Heading 2 2 2 2 5 2 7 3 3" xfId="30458"/>
    <cellStyle name="Heading 2 2 2 2 5 2 7 4" xfId="30459"/>
    <cellStyle name="Heading 2 2 2 2 5 2 7 4 2" xfId="30460"/>
    <cellStyle name="Heading 2 2 2 2 5 2 7 4 2 2" xfId="30461"/>
    <cellStyle name="Heading 2 2 2 2 5 2 7 4 3" xfId="30462"/>
    <cellStyle name="Heading 2 2 2 2 5 2 7 5" xfId="30463"/>
    <cellStyle name="Heading 2 2 2 2 5 2 7 5 2" xfId="30464"/>
    <cellStyle name="Heading 2 2 2 2 5 2 7 5 2 2" xfId="30465"/>
    <cellStyle name="Heading 2 2 2 2 5 2 7 5 3" xfId="30466"/>
    <cellStyle name="Heading 2 2 2 2 5 2 7 6" xfId="30467"/>
    <cellStyle name="Heading 2 2 2 2 5 2 7 6 2" xfId="30468"/>
    <cellStyle name="Heading 2 2 2 2 5 2 7 6 2 2" xfId="30469"/>
    <cellStyle name="Heading 2 2 2 2 5 2 7 6 3" xfId="30470"/>
    <cellStyle name="Heading 2 2 2 2 5 2 7 7" xfId="30471"/>
    <cellStyle name="Heading 2 2 2 2 5 2 7 7 2" xfId="30472"/>
    <cellStyle name="Heading 2 2 2 2 5 2 7 7 2 2" xfId="30473"/>
    <cellStyle name="Heading 2 2 2 2 5 2 7 7 3" xfId="30474"/>
    <cellStyle name="Heading 2 2 2 2 5 2 7 8" xfId="30475"/>
    <cellStyle name="Heading 2 2 2 2 5 2 7 8 2" xfId="30476"/>
    <cellStyle name="Heading 2 2 2 2 5 2 7 9" xfId="30477"/>
    <cellStyle name="Heading 2 2 2 2 5 2 8" xfId="30478"/>
    <cellStyle name="Heading 2 2 2 2 5 2 8 2" xfId="30479"/>
    <cellStyle name="Heading 2 2 2 2 5 2 8 2 2" xfId="30480"/>
    <cellStyle name="Heading 2 2 2 2 5 2 8 2 2 2" xfId="30481"/>
    <cellStyle name="Heading 2 2 2 2 5 2 8 2 3" xfId="30482"/>
    <cellStyle name="Heading 2 2 2 2 5 2 8 3" xfId="30483"/>
    <cellStyle name="Heading 2 2 2 2 5 2 8 3 2" xfId="30484"/>
    <cellStyle name="Heading 2 2 2 2 5 2 8 3 2 2" xfId="30485"/>
    <cellStyle name="Heading 2 2 2 2 5 2 8 3 3" xfId="30486"/>
    <cellStyle name="Heading 2 2 2 2 5 2 8 4" xfId="30487"/>
    <cellStyle name="Heading 2 2 2 2 5 2 8 4 2" xfId="30488"/>
    <cellStyle name="Heading 2 2 2 2 5 2 8 4 2 2" xfId="30489"/>
    <cellStyle name="Heading 2 2 2 2 5 2 8 4 3" xfId="30490"/>
    <cellStyle name="Heading 2 2 2 2 5 2 8 5" xfId="30491"/>
    <cellStyle name="Heading 2 2 2 2 5 2 8 5 2" xfId="30492"/>
    <cellStyle name="Heading 2 2 2 2 5 2 8 5 2 2" xfId="30493"/>
    <cellStyle name="Heading 2 2 2 2 5 2 8 5 3" xfId="30494"/>
    <cellStyle name="Heading 2 2 2 2 5 2 8 6" xfId="30495"/>
    <cellStyle name="Heading 2 2 2 2 5 2 8 6 2" xfId="30496"/>
    <cellStyle name="Heading 2 2 2 2 5 2 8 6 2 2" xfId="30497"/>
    <cellStyle name="Heading 2 2 2 2 5 2 8 6 3" xfId="30498"/>
    <cellStyle name="Heading 2 2 2 2 5 2 8 7" xfId="30499"/>
    <cellStyle name="Heading 2 2 2 2 5 2 8 7 2" xfId="30500"/>
    <cellStyle name="Heading 2 2 2 2 5 2 8 7 2 2" xfId="30501"/>
    <cellStyle name="Heading 2 2 2 2 5 2 8 7 3" xfId="30502"/>
    <cellStyle name="Heading 2 2 2 2 5 2 8 8" xfId="30503"/>
    <cellStyle name="Heading 2 2 2 2 5 2 8 8 2" xfId="30504"/>
    <cellStyle name="Heading 2 2 2 2 5 2 8 9" xfId="30505"/>
    <cellStyle name="Heading 2 2 2 2 5 2 9" xfId="30506"/>
    <cellStyle name="Heading 2 2 2 2 5 2 9 2" xfId="30507"/>
    <cellStyle name="Heading 2 2 2 2 5 2 9 2 2" xfId="30508"/>
    <cellStyle name="Heading 2 2 2 2 5 2 9 2 2 2" xfId="30509"/>
    <cellStyle name="Heading 2 2 2 2 5 2 9 2 3" xfId="30510"/>
    <cellStyle name="Heading 2 2 2 2 5 2 9 3" xfId="30511"/>
    <cellStyle name="Heading 2 2 2 2 5 2 9 3 2" xfId="30512"/>
    <cellStyle name="Heading 2 2 2 2 5 2 9 3 2 2" xfId="30513"/>
    <cellStyle name="Heading 2 2 2 2 5 2 9 3 3" xfId="30514"/>
    <cellStyle name="Heading 2 2 2 2 5 2 9 4" xfId="30515"/>
    <cellStyle name="Heading 2 2 2 2 5 2 9 4 2" xfId="30516"/>
    <cellStyle name="Heading 2 2 2 2 5 2 9 4 2 2" xfId="30517"/>
    <cellStyle name="Heading 2 2 2 2 5 2 9 4 3" xfId="30518"/>
    <cellStyle name="Heading 2 2 2 2 5 2 9 5" xfId="30519"/>
    <cellStyle name="Heading 2 2 2 2 5 2 9 5 2" xfId="30520"/>
    <cellStyle name="Heading 2 2 2 2 5 2 9 5 2 2" xfId="30521"/>
    <cellStyle name="Heading 2 2 2 2 5 2 9 5 3" xfId="30522"/>
    <cellStyle name="Heading 2 2 2 2 5 2 9 6" xfId="30523"/>
    <cellStyle name="Heading 2 2 2 2 5 2 9 6 2" xfId="30524"/>
    <cellStyle name="Heading 2 2 2 2 5 2 9 6 2 2" xfId="30525"/>
    <cellStyle name="Heading 2 2 2 2 5 2 9 6 3" xfId="30526"/>
    <cellStyle name="Heading 2 2 2 2 5 2 9 7" xfId="30527"/>
    <cellStyle name="Heading 2 2 2 2 5 2 9 7 2" xfId="30528"/>
    <cellStyle name="Heading 2 2 2 2 5 2 9 7 2 2" xfId="30529"/>
    <cellStyle name="Heading 2 2 2 2 5 2 9 7 3" xfId="30530"/>
    <cellStyle name="Heading 2 2 2 2 5 2 9 8" xfId="30531"/>
    <cellStyle name="Heading 2 2 2 2 5 2 9 8 2" xfId="30532"/>
    <cellStyle name="Heading 2 2 2 2 5 2 9 9" xfId="30533"/>
    <cellStyle name="Heading 2 2 2 2 5 3" xfId="30534"/>
    <cellStyle name="Heading 2 2 2 2 5 3 10" xfId="30535"/>
    <cellStyle name="Heading 2 2 2 2 5 3 10 2" xfId="30536"/>
    <cellStyle name="Heading 2 2 2 2 5 3 10 2 2" xfId="30537"/>
    <cellStyle name="Heading 2 2 2 2 5 3 10 3" xfId="30538"/>
    <cellStyle name="Heading 2 2 2 2 5 3 11" xfId="30539"/>
    <cellStyle name="Heading 2 2 2 2 5 3 11 2" xfId="30540"/>
    <cellStyle name="Heading 2 2 2 2 5 3 11 2 2" xfId="30541"/>
    <cellStyle name="Heading 2 2 2 2 5 3 11 3" xfId="30542"/>
    <cellStyle name="Heading 2 2 2 2 5 3 12" xfId="30543"/>
    <cellStyle name="Heading 2 2 2 2 5 3 12 2" xfId="30544"/>
    <cellStyle name="Heading 2 2 2 2 5 3 12 2 2" xfId="30545"/>
    <cellStyle name="Heading 2 2 2 2 5 3 12 3" xfId="30546"/>
    <cellStyle name="Heading 2 2 2 2 5 3 13" xfId="30547"/>
    <cellStyle name="Heading 2 2 2 2 5 3 13 2" xfId="30548"/>
    <cellStyle name="Heading 2 2 2 2 5 3 13 2 2" xfId="30549"/>
    <cellStyle name="Heading 2 2 2 2 5 3 13 3" xfId="30550"/>
    <cellStyle name="Heading 2 2 2 2 5 3 14" xfId="30551"/>
    <cellStyle name="Heading 2 2 2 2 5 3 14 2" xfId="30552"/>
    <cellStyle name="Heading 2 2 2 2 5 3 14 2 2" xfId="30553"/>
    <cellStyle name="Heading 2 2 2 2 5 3 14 3" xfId="30554"/>
    <cellStyle name="Heading 2 2 2 2 5 3 15" xfId="30555"/>
    <cellStyle name="Heading 2 2 2 2 5 3 15 2" xfId="30556"/>
    <cellStyle name="Heading 2 2 2 2 5 3 15 2 2" xfId="30557"/>
    <cellStyle name="Heading 2 2 2 2 5 3 15 3" xfId="30558"/>
    <cellStyle name="Heading 2 2 2 2 5 3 16" xfId="30559"/>
    <cellStyle name="Heading 2 2 2 2 5 3 16 2" xfId="30560"/>
    <cellStyle name="Heading 2 2 2 2 5 3 16 2 2" xfId="30561"/>
    <cellStyle name="Heading 2 2 2 2 5 3 16 3" xfId="30562"/>
    <cellStyle name="Heading 2 2 2 2 5 3 17" xfId="30563"/>
    <cellStyle name="Heading 2 2 2 2 5 3 17 2" xfId="30564"/>
    <cellStyle name="Heading 2 2 2 2 5 3 17 2 2" xfId="30565"/>
    <cellStyle name="Heading 2 2 2 2 5 3 17 3" xfId="30566"/>
    <cellStyle name="Heading 2 2 2 2 5 3 18" xfId="30567"/>
    <cellStyle name="Heading 2 2 2 2 5 3 18 2" xfId="30568"/>
    <cellStyle name="Heading 2 2 2 2 5 3 18 2 2" xfId="30569"/>
    <cellStyle name="Heading 2 2 2 2 5 3 18 3" xfId="30570"/>
    <cellStyle name="Heading 2 2 2 2 5 3 19" xfId="30571"/>
    <cellStyle name="Heading 2 2 2 2 5 3 19 2" xfId="30572"/>
    <cellStyle name="Heading 2 2 2 2 5 3 2" xfId="30573"/>
    <cellStyle name="Heading 2 2 2 2 5 3 2 2" xfId="30574"/>
    <cellStyle name="Heading 2 2 2 2 5 3 2 2 2" xfId="30575"/>
    <cellStyle name="Heading 2 2 2 2 5 3 2 2 2 2" xfId="30576"/>
    <cellStyle name="Heading 2 2 2 2 5 3 2 2 3" xfId="30577"/>
    <cellStyle name="Heading 2 2 2 2 5 3 2 3" xfId="30578"/>
    <cellStyle name="Heading 2 2 2 2 5 3 2 3 2" xfId="30579"/>
    <cellStyle name="Heading 2 2 2 2 5 3 2 3 2 2" xfId="30580"/>
    <cellStyle name="Heading 2 2 2 2 5 3 2 3 3" xfId="30581"/>
    <cellStyle name="Heading 2 2 2 2 5 3 2 4" xfId="30582"/>
    <cellStyle name="Heading 2 2 2 2 5 3 2 4 2" xfId="30583"/>
    <cellStyle name="Heading 2 2 2 2 5 3 2 4 2 2" xfId="30584"/>
    <cellStyle name="Heading 2 2 2 2 5 3 2 4 3" xfId="30585"/>
    <cellStyle name="Heading 2 2 2 2 5 3 2 5" xfId="30586"/>
    <cellStyle name="Heading 2 2 2 2 5 3 2 5 2" xfId="30587"/>
    <cellStyle name="Heading 2 2 2 2 5 3 2 5 2 2" xfId="30588"/>
    <cellStyle name="Heading 2 2 2 2 5 3 2 5 3" xfId="30589"/>
    <cellStyle name="Heading 2 2 2 2 5 3 2 6" xfId="30590"/>
    <cellStyle name="Heading 2 2 2 2 5 3 2 6 2" xfId="30591"/>
    <cellStyle name="Heading 2 2 2 2 5 3 2 6 2 2" xfId="30592"/>
    <cellStyle name="Heading 2 2 2 2 5 3 2 6 3" xfId="30593"/>
    <cellStyle name="Heading 2 2 2 2 5 3 2 7" xfId="30594"/>
    <cellStyle name="Heading 2 2 2 2 5 3 2 7 2" xfId="30595"/>
    <cellStyle name="Heading 2 2 2 2 5 3 2 7 2 2" xfId="30596"/>
    <cellStyle name="Heading 2 2 2 2 5 3 2 7 3" xfId="30597"/>
    <cellStyle name="Heading 2 2 2 2 5 3 2 8" xfId="30598"/>
    <cellStyle name="Heading 2 2 2 2 5 3 2 8 2" xfId="30599"/>
    <cellStyle name="Heading 2 2 2 2 5 3 2 9" xfId="30600"/>
    <cellStyle name="Heading 2 2 2 2 5 3 20" xfId="30601"/>
    <cellStyle name="Heading 2 2 2 2 5 3 20 2" xfId="30602"/>
    <cellStyle name="Heading 2 2 2 2 5 3 21" xfId="30603"/>
    <cellStyle name="Heading 2 2 2 2 5 3 21 2" xfId="30604"/>
    <cellStyle name="Heading 2 2 2 2 5 3 22" xfId="30605"/>
    <cellStyle name="Heading 2 2 2 2 5 3 3" xfId="30606"/>
    <cellStyle name="Heading 2 2 2 2 5 3 3 2" xfId="30607"/>
    <cellStyle name="Heading 2 2 2 2 5 3 3 2 2" xfId="30608"/>
    <cellStyle name="Heading 2 2 2 2 5 3 3 2 2 2" xfId="30609"/>
    <cellStyle name="Heading 2 2 2 2 5 3 3 2 3" xfId="30610"/>
    <cellStyle name="Heading 2 2 2 2 5 3 3 3" xfId="30611"/>
    <cellStyle name="Heading 2 2 2 2 5 3 3 3 2" xfId="30612"/>
    <cellStyle name="Heading 2 2 2 2 5 3 3 3 2 2" xfId="30613"/>
    <cellStyle name="Heading 2 2 2 2 5 3 3 3 3" xfId="30614"/>
    <cellStyle name="Heading 2 2 2 2 5 3 3 4" xfId="30615"/>
    <cellStyle name="Heading 2 2 2 2 5 3 3 4 2" xfId="30616"/>
    <cellStyle name="Heading 2 2 2 2 5 3 3 4 2 2" xfId="30617"/>
    <cellStyle name="Heading 2 2 2 2 5 3 3 4 3" xfId="30618"/>
    <cellStyle name="Heading 2 2 2 2 5 3 3 5" xfId="30619"/>
    <cellStyle name="Heading 2 2 2 2 5 3 3 5 2" xfId="30620"/>
    <cellStyle name="Heading 2 2 2 2 5 3 3 5 2 2" xfId="30621"/>
    <cellStyle name="Heading 2 2 2 2 5 3 3 5 3" xfId="30622"/>
    <cellStyle name="Heading 2 2 2 2 5 3 3 6" xfId="30623"/>
    <cellStyle name="Heading 2 2 2 2 5 3 3 6 2" xfId="30624"/>
    <cellStyle name="Heading 2 2 2 2 5 3 3 6 2 2" xfId="30625"/>
    <cellStyle name="Heading 2 2 2 2 5 3 3 6 3" xfId="30626"/>
    <cellStyle name="Heading 2 2 2 2 5 3 3 7" xfId="30627"/>
    <cellStyle name="Heading 2 2 2 2 5 3 3 7 2" xfId="30628"/>
    <cellStyle name="Heading 2 2 2 2 5 3 3 7 2 2" xfId="30629"/>
    <cellStyle name="Heading 2 2 2 2 5 3 3 7 3" xfId="30630"/>
    <cellStyle name="Heading 2 2 2 2 5 3 3 8" xfId="30631"/>
    <cellStyle name="Heading 2 2 2 2 5 3 3 8 2" xfId="30632"/>
    <cellStyle name="Heading 2 2 2 2 5 3 3 9" xfId="30633"/>
    <cellStyle name="Heading 2 2 2 2 5 3 4" xfId="30634"/>
    <cellStyle name="Heading 2 2 2 2 5 3 4 2" xfId="30635"/>
    <cellStyle name="Heading 2 2 2 2 5 3 4 2 2" xfId="30636"/>
    <cellStyle name="Heading 2 2 2 2 5 3 4 2 2 2" xfId="30637"/>
    <cellStyle name="Heading 2 2 2 2 5 3 4 2 3" xfId="30638"/>
    <cellStyle name="Heading 2 2 2 2 5 3 4 3" xfId="30639"/>
    <cellStyle name="Heading 2 2 2 2 5 3 4 3 2" xfId="30640"/>
    <cellStyle name="Heading 2 2 2 2 5 3 4 3 2 2" xfId="30641"/>
    <cellStyle name="Heading 2 2 2 2 5 3 4 3 3" xfId="30642"/>
    <cellStyle name="Heading 2 2 2 2 5 3 4 4" xfId="30643"/>
    <cellStyle name="Heading 2 2 2 2 5 3 4 4 2" xfId="30644"/>
    <cellStyle name="Heading 2 2 2 2 5 3 4 4 2 2" xfId="30645"/>
    <cellStyle name="Heading 2 2 2 2 5 3 4 4 3" xfId="30646"/>
    <cellStyle name="Heading 2 2 2 2 5 3 4 5" xfId="30647"/>
    <cellStyle name="Heading 2 2 2 2 5 3 4 5 2" xfId="30648"/>
    <cellStyle name="Heading 2 2 2 2 5 3 4 5 2 2" xfId="30649"/>
    <cellStyle name="Heading 2 2 2 2 5 3 4 5 3" xfId="30650"/>
    <cellStyle name="Heading 2 2 2 2 5 3 4 6" xfId="30651"/>
    <cellStyle name="Heading 2 2 2 2 5 3 4 6 2" xfId="30652"/>
    <cellStyle name="Heading 2 2 2 2 5 3 4 6 2 2" xfId="30653"/>
    <cellStyle name="Heading 2 2 2 2 5 3 4 6 3" xfId="30654"/>
    <cellStyle name="Heading 2 2 2 2 5 3 4 7" xfId="30655"/>
    <cellStyle name="Heading 2 2 2 2 5 3 4 7 2" xfId="30656"/>
    <cellStyle name="Heading 2 2 2 2 5 3 4 7 2 2" xfId="30657"/>
    <cellStyle name="Heading 2 2 2 2 5 3 4 7 3" xfId="30658"/>
    <cellStyle name="Heading 2 2 2 2 5 3 4 8" xfId="30659"/>
    <cellStyle name="Heading 2 2 2 2 5 3 4 8 2" xfId="30660"/>
    <cellStyle name="Heading 2 2 2 2 5 3 4 9" xfId="30661"/>
    <cellStyle name="Heading 2 2 2 2 5 3 5" xfId="30662"/>
    <cellStyle name="Heading 2 2 2 2 5 3 5 2" xfId="30663"/>
    <cellStyle name="Heading 2 2 2 2 5 3 5 2 2" xfId="30664"/>
    <cellStyle name="Heading 2 2 2 2 5 3 5 2 2 2" xfId="30665"/>
    <cellStyle name="Heading 2 2 2 2 5 3 5 2 3" xfId="30666"/>
    <cellStyle name="Heading 2 2 2 2 5 3 5 3" xfId="30667"/>
    <cellStyle name="Heading 2 2 2 2 5 3 5 3 2" xfId="30668"/>
    <cellStyle name="Heading 2 2 2 2 5 3 5 3 2 2" xfId="30669"/>
    <cellStyle name="Heading 2 2 2 2 5 3 5 3 3" xfId="30670"/>
    <cellStyle name="Heading 2 2 2 2 5 3 5 4" xfId="30671"/>
    <cellStyle name="Heading 2 2 2 2 5 3 5 4 2" xfId="30672"/>
    <cellStyle name="Heading 2 2 2 2 5 3 5 4 2 2" xfId="30673"/>
    <cellStyle name="Heading 2 2 2 2 5 3 5 4 3" xfId="30674"/>
    <cellStyle name="Heading 2 2 2 2 5 3 5 5" xfId="30675"/>
    <cellStyle name="Heading 2 2 2 2 5 3 5 5 2" xfId="30676"/>
    <cellStyle name="Heading 2 2 2 2 5 3 5 5 2 2" xfId="30677"/>
    <cellStyle name="Heading 2 2 2 2 5 3 5 5 3" xfId="30678"/>
    <cellStyle name="Heading 2 2 2 2 5 3 5 6" xfId="30679"/>
    <cellStyle name="Heading 2 2 2 2 5 3 5 6 2" xfId="30680"/>
    <cellStyle name="Heading 2 2 2 2 5 3 5 6 2 2" xfId="30681"/>
    <cellStyle name="Heading 2 2 2 2 5 3 5 6 3" xfId="30682"/>
    <cellStyle name="Heading 2 2 2 2 5 3 5 7" xfId="30683"/>
    <cellStyle name="Heading 2 2 2 2 5 3 5 7 2" xfId="30684"/>
    <cellStyle name="Heading 2 2 2 2 5 3 5 7 2 2" xfId="30685"/>
    <cellStyle name="Heading 2 2 2 2 5 3 5 7 3" xfId="30686"/>
    <cellStyle name="Heading 2 2 2 2 5 3 5 8" xfId="30687"/>
    <cellStyle name="Heading 2 2 2 2 5 3 5 8 2" xfId="30688"/>
    <cellStyle name="Heading 2 2 2 2 5 3 5 9" xfId="30689"/>
    <cellStyle name="Heading 2 2 2 2 5 3 6" xfId="30690"/>
    <cellStyle name="Heading 2 2 2 2 5 3 6 2" xfId="30691"/>
    <cellStyle name="Heading 2 2 2 2 5 3 6 2 2" xfId="30692"/>
    <cellStyle name="Heading 2 2 2 2 5 3 6 2 2 2" xfId="30693"/>
    <cellStyle name="Heading 2 2 2 2 5 3 6 2 3" xfId="30694"/>
    <cellStyle name="Heading 2 2 2 2 5 3 6 3" xfId="30695"/>
    <cellStyle name="Heading 2 2 2 2 5 3 6 3 2" xfId="30696"/>
    <cellStyle name="Heading 2 2 2 2 5 3 6 3 2 2" xfId="30697"/>
    <cellStyle name="Heading 2 2 2 2 5 3 6 3 3" xfId="30698"/>
    <cellStyle name="Heading 2 2 2 2 5 3 6 4" xfId="30699"/>
    <cellStyle name="Heading 2 2 2 2 5 3 6 4 2" xfId="30700"/>
    <cellStyle name="Heading 2 2 2 2 5 3 6 4 2 2" xfId="30701"/>
    <cellStyle name="Heading 2 2 2 2 5 3 6 4 3" xfId="30702"/>
    <cellStyle name="Heading 2 2 2 2 5 3 6 5" xfId="30703"/>
    <cellStyle name="Heading 2 2 2 2 5 3 6 5 2" xfId="30704"/>
    <cellStyle name="Heading 2 2 2 2 5 3 6 5 2 2" xfId="30705"/>
    <cellStyle name="Heading 2 2 2 2 5 3 6 5 3" xfId="30706"/>
    <cellStyle name="Heading 2 2 2 2 5 3 6 6" xfId="30707"/>
    <cellStyle name="Heading 2 2 2 2 5 3 6 6 2" xfId="30708"/>
    <cellStyle name="Heading 2 2 2 2 5 3 6 6 2 2" xfId="30709"/>
    <cellStyle name="Heading 2 2 2 2 5 3 6 6 3" xfId="30710"/>
    <cellStyle name="Heading 2 2 2 2 5 3 6 7" xfId="30711"/>
    <cellStyle name="Heading 2 2 2 2 5 3 6 7 2" xfId="30712"/>
    <cellStyle name="Heading 2 2 2 2 5 3 6 7 2 2" xfId="30713"/>
    <cellStyle name="Heading 2 2 2 2 5 3 6 7 3" xfId="30714"/>
    <cellStyle name="Heading 2 2 2 2 5 3 6 8" xfId="30715"/>
    <cellStyle name="Heading 2 2 2 2 5 3 6 8 2" xfId="30716"/>
    <cellStyle name="Heading 2 2 2 2 5 3 6 9" xfId="30717"/>
    <cellStyle name="Heading 2 2 2 2 5 3 7" xfId="30718"/>
    <cellStyle name="Heading 2 2 2 2 5 3 7 2" xfId="30719"/>
    <cellStyle name="Heading 2 2 2 2 5 3 7 2 2" xfId="30720"/>
    <cellStyle name="Heading 2 2 2 2 5 3 7 2 2 2" xfId="30721"/>
    <cellStyle name="Heading 2 2 2 2 5 3 7 2 3" xfId="30722"/>
    <cellStyle name="Heading 2 2 2 2 5 3 7 3" xfId="30723"/>
    <cellStyle name="Heading 2 2 2 2 5 3 7 3 2" xfId="30724"/>
    <cellStyle name="Heading 2 2 2 2 5 3 7 3 2 2" xfId="30725"/>
    <cellStyle name="Heading 2 2 2 2 5 3 7 3 3" xfId="30726"/>
    <cellStyle name="Heading 2 2 2 2 5 3 7 4" xfId="30727"/>
    <cellStyle name="Heading 2 2 2 2 5 3 7 4 2" xfId="30728"/>
    <cellStyle name="Heading 2 2 2 2 5 3 7 4 2 2" xfId="30729"/>
    <cellStyle name="Heading 2 2 2 2 5 3 7 4 3" xfId="30730"/>
    <cellStyle name="Heading 2 2 2 2 5 3 7 5" xfId="30731"/>
    <cellStyle name="Heading 2 2 2 2 5 3 7 5 2" xfId="30732"/>
    <cellStyle name="Heading 2 2 2 2 5 3 7 5 2 2" xfId="30733"/>
    <cellStyle name="Heading 2 2 2 2 5 3 7 5 3" xfId="30734"/>
    <cellStyle name="Heading 2 2 2 2 5 3 7 6" xfId="30735"/>
    <cellStyle name="Heading 2 2 2 2 5 3 7 6 2" xfId="30736"/>
    <cellStyle name="Heading 2 2 2 2 5 3 7 6 2 2" xfId="30737"/>
    <cellStyle name="Heading 2 2 2 2 5 3 7 6 3" xfId="30738"/>
    <cellStyle name="Heading 2 2 2 2 5 3 7 7" xfId="30739"/>
    <cellStyle name="Heading 2 2 2 2 5 3 7 7 2" xfId="30740"/>
    <cellStyle name="Heading 2 2 2 2 5 3 7 7 2 2" xfId="30741"/>
    <cellStyle name="Heading 2 2 2 2 5 3 7 7 3" xfId="30742"/>
    <cellStyle name="Heading 2 2 2 2 5 3 7 8" xfId="30743"/>
    <cellStyle name="Heading 2 2 2 2 5 3 7 8 2" xfId="30744"/>
    <cellStyle name="Heading 2 2 2 2 5 3 7 9" xfId="30745"/>
    <cellStyle name="Heading 2 2 2 2 5 3 8" xfId="30746"/>
    <cellStyle name="Heading 2 2 2 2 5 3 8 2" xfId="30747"/>
    <cellStyle name="Heading 2 2 2 2 5 3 8 2 2" xfId="30748"/>
    <cellStyle name="Heading 2 2 2 2 5 3 8 2 2 2" xfId="30749"/>
    <cellStyle name="Heading 2 2 2 2 5 3 8 2 3" xfId="30750"/>
    <cellStyle name="Heading 2 2 2 2 5 3 8 3" xfId="30751"/>
    <cellStyle name="Heading 2 2 2 2 5 3 8 3 2" xfId="30752"/>
    <cellStyle name="Heading 2 2 2 2 5 3 8 3 2 2" xfId="30753"/>
    <cellStyle name="Heading 2 2 2 2 5 3 8 3 3" xfId="30754"/>
    <cellStyle name="Heading 2 2 2 2 5 3 8 4" xfId="30755"/>
    <cellStyle name="Heading 2 2 2 2 5 3 8 4 2" xfId="30756"/>
    <cellStyle name="Heading 2 2 2 2 5 3 8 4 2 2" xfId="30757"/>
    <cellStyle name="Heading 2 2 2 2 5 3 8 4 3" xfId="30758"/>
    <cellStyle name="Heading 2 2 2 2 5 3 8 5" xfId="30759"/>
    <cellStyle name="Heading 2 2 2 2 5 3 8 5 2" xfId="30760"/>
    <cellStyle name="Heading 2 2 2 2 5 3 8 5 2 2" xfId="30761"/>
    <cellStyle name="Heading 2 2 2 2 5 3 8 5 3" xfId="30762"/>
    <cellStyle name="Heading 2 2 2 2 5 3 8 6" xfId="30763"/>
    <cellStyle name="Heading 2 2 2 2 5 3 8 6 2" xfId="30764"/>
    <cellStyle name="Heading 2 2 2 2 5 3 8 6 2 2" xfId="30765"/>
    <cellStyle name="Heading 2 2 2 2 5 3 8 6 3" xfId="30766"/>
    <cellStyle name="Heading 2 2 2 2 5 3 8 7" xfId="30767"/>
    <cellStyle name="Heading 2 2 2 2 5 3 8 7 2" xfId="30768"/>
    <cellStyle name="Heading 2 2 2 2 5 3 8 7 2 2" xfId="30769"/>
    <cellStyle name="Heading 2 2 2 2 5 3 8 7 3" xfId="30770"/>
    <cellStyle name="Heading 2 2 2 2 5 3 8 8" xfId="30771"/>
    <cellStyle name="Heading 2 2 2 2 5 3 8 8 2" xfId="30772"/>
    <cellStyle name="Heading 2 2 2 2 5 3 8 9" xfId="30773"/>
    <cellStyle name="Heading 2 2 2 2 5 3 9" xfId="30774"/>
    <cellStyle name="Heading 2 2 2 2 5 3 9 2" xfId="30775"/>
    <cellStyle name="Heading 2 2 2 2 5 3 9 2 2" xfId="30776"/>
    <cellStyle name="Heading 2 2 2 2 5 3 9 3" xfId="30777"/>
    <cellStyle name="Heading 2 2 2 2 5 4" xfId="30778"/>
    <cellStyle name="Heading 2 2 2 2 5 4 2" xfId="30779"/>
    <cellStyle name="Heading 2 2 2 2 5 4 2 2" xfId="30780"/>
    <cellStyle name="Heading 2 2 2 2 5 4 3" xfId="30781"/>
    <cellStyle name="Heading 2 2 2 2 5 5" xfId="30782"/>
    <cellStyle name="Heading 2 2 2 2 5 5 2" xfId="30783"/>
    <cellStyle name="Heading 2 2 2 2 5 6" xfId="30784"/>
    <cellStyle name="Heading 2 2 2 2 6" xfId="30785"/>
    <cellStyle name="Heading 2 2 2 2 6 2" xfId="30786"/>
    <cellStyle name="Heading 2 2 2 2 6 2 10" xfId="30787"/>
    <cellStyle name="Heading 2 2 2 2 6 2 10 2" xfId="30788"/>
    <cellStyle name="Heading 2 2 2 2 6 2 10 2 2" xfId="30789"/>
    <cellStyle name="Heading 2 2 2 2 6 2 10 3" xfId="30790"/>
    <cellStyle name="Heading 2 2 2 2 6 2 11" xfId="30791"/>
    <cellStyle name="Heading 2 2 2 2 6 2 11 2" xfId="30792"/>
    <cellStyle name="Heading 2 2 2 2 6 2 11 2 2" xfId="30793"/>
    <cellStyle name="Heading 2 2 2 2 6 2 11 3" xfId="30794"/>
    <cellStyle name="Heading 2 2 2 2 6 2 12" xfId="30795"/>
    <cellStyle name="Heading 2 2 2 2 6 2 12 2" xfId="30796"/>
    <cellStyle name="Heading 2 2 2 2 6 2 12 2 2" xfId="30797"/>
    <cellStyle name="Heading 2 2 2 2 6 2 12 3" xfId="30798"/>
    <cellStyle name="Heading 2 2 2 2 6 2 13" xfId="30799"/>
    <cellStyle name="Heading 2 2 2 2 6 2 13 2" xfId="30800"/>
    <cellStyle name="Heading 2 2 2 2 6 2 13 2 2" xfId="30801"/>
    <cellStyle name="Heading 2 2 2 2 6 2 13 3" xfId="30802"/>
    <cellStyle name="Heading 2 2 2 2 6 2 14" xfId="30803"/>
    <cellStyle name="Heading 2 2 2 2 6 2 14 2" xfId="30804"/>
    <cellStyle name="Heading 2 2 2 2 6 2 14 2 2" xfId="30805"/>
    <cellStyle name="Heading 2 2 2 2 6 2 14 3" xfId="30806"/>
    <cellStyle name="Heading 2 2 2 2 6 2 15" xfId="30807"/>
    <cellStyle name="Heading 2 2 2 2 6 2 15 2" xfId="30808"/>
    <cellStyle name="Heading 2 2 2 2 6 2 15 2 2" xfId="30809"/>
    <cellStyle name="Heading 2 2 2 2 6 2 15 3" xfId="30810"/>
    <cellStyle name="Heading 2 2 2 2 6 2 16" xfId="30811"/>
    <cellStyle name="Heading 2 2 2 2 6 2 16 2" xfId="30812"/>
    <cellStyle name="Heading 2 2 2 2 6 2 16 2 2" xfId="30813"/>
    <cellStyle name="Heading 2 2 2 2 6 2 16 3" xfId="30814"/>
    <cellStyle name="Heading 2 2 2 2 6 2 17" xfId="30815"/>
    <cellStyle name="Heading 2 2 2 2 6 2 17 2" xfId="30816"/>
    <cellStyle name="Heading 2 2 2 2 6 2 17 2 2" xfId="30817"/>
    <cellStyle name="Heading 2 2 2 2 6 2 17 3" xfId="30818"/>
    <cellStyle name="Heading 2 2 2 2 6 2 18" xfId="30819"/>
    <cellStyle name="Heading 2 2 2 2 6 2 18 2" xfId="30820"/>
    <cellStyle name="Heading 2 2 2 2 6 2 18 2 2" xfId="30821"/>
    <cellStyle name="Heading 2 2 2 2 6 2 18 3" xfId="30822"/>
    <cellStyle name="Heading 2 2 2 2 6 2 19" xfId="30823"/>
    <cellStyle name="Heading 2 2 2 2 6 2 19 2" xfId="30824"/>
    <cellStyle name="Heading 2 2 2 2 6 2 19 2 2" xfId="30825"/>
    <cellStyle name="Heading 2 2 2 2 6 2 19 3" xfId="30826"/>
    <cellStyle name="Heading 2 2 2 2 6 2 2" xfId="30827"/>
    <cellStyle name="Heading 2 2 2 2 6 2 2 10" xfId="30828"/>
    <cellStyle name="Heading 2 2 2 2 6 2 2 10 2" xfId="30829"/>
    <cellStyle name="Heading 2 2 2 2 6 2 2 10 2 2" xfId="30830"/>
    <cellStyle name="Heading 2 2 2 2 6 2 2 10 3" xfId="30831"/>
    <cellStyle name="Heading 2 2 2 2 6 2 2 11" xfId="30832"/>
    <cellStyle name="Heading 2 2 2 2 6 2 2 11 2" xfId="30833"/>
    <cellStyle name="Heading 2 2 2 2 6 2 2 11 2 2" xfId="30834"/>
    <cellStyle name="Heading 2 2 2 2 6 2 2 11 3" xfId="30835"/>
    <cellStyle name="Heading 2 2 2 2 6 2 2 12" xfId="30836"/>
    <cellStyle name="Heading 2 2 2 2 6 2 2 12 2" xfId="30837"/>
    <cellStyle name="Heading 2 2 2 2 6 2 2 12 2 2" xfId="30838"/>
    <cellStyle name="Heading 2 2 2 2 6 2 2 12 3" xfId="30839"/>
    <cellStyle name="Heading 2 2 2 2 6 2 2 13" xfId="30840"/>
    <cellStyle name="Heading 2 2 2 2 6 2 2 13 2" xfId="30841"/>
    <cellStyle name="Heading 2 2 2 2 6 2 2 13 2 2" xfId="30842"/>
    <cellStyle name="Heading 2 2 2 2 6 2 2 13 3" xfId="30843"/>
    <cellStyle name="Heading 2 2 2 2 6 2 2 14" xfId="30844"/>
    <cellStyle name="Heading 2 2 2 2 6 2 2 14 2" xfId="30845"/>
    <cellStyle name="Heading 2 2 2 2 6 2 2 14 2 2" xfId="30846"/>
    <cellStyle name="Heading 2 2 2 2 6 2 2 14 3" xfId="30847"/>
    <cellStyle name="Heading 2 2 2 2 6 2 2 15" xfId="30848"/>
    <cellStyle name="Heading 2 2 2 2 6 2 2 15 2" xfId="30849"/>
    <cellStyle name="Heading 2 2 2 2 6 2 2 15 2 2" xfId="30850"/>
    <cellStyle name="Heading 2 2 2 2 6 2 2 15 3" xfId="30851"/>
    <cellStyle name="Heading 2 2 2 2 6 2 2 16" xfId="30852"/>
    <cellStyle name="Heading 2 2 2 2 6 2 2 16 2" xfId="30853"/>
    <cellStyle name="Heading 2 2 2 2 6 2 2 16 2 2" xfId="30854"/>
    <cellStyle name="Heading 2 2 2 2 6 2 2 16 3" xfId="30855"/>
    <cellStyle name="Heading 2 2 2 2 6 2 2 17" xfId="30856"/>
    <cellStyle name="Heading 2 2 2 2 6 2 2 17 2" xfId="30857"/>
    <cellStyle name="Heading 2 2 2 2 6 2 2 17 2 2" xfId="30858"/>
    <cellStyle name="Heading 2 2 2 2 6 2 2 17 3" xfId="30859"/>
    <cellStyle name="Heading 2 2 2 2 6 2 2 18" xfId="30860"/>
    <cellStyle name="Heading 2 2 2 2 6 2 2 18 2" xfId="30861"/>
    <cellStyle name="Heading 2 2 2 2 6 2 2 18 2 2" xfId="30862"/>
    <cellStyle name="Heading 2 2 2 2 6 2 2 18 3" xfId="30863"/>
    <cellStyle name="Heading 2 2 2 2 6 2 2 19" xfId="30864"/>
    <cellStyle name="Heading 2 2 2 2 6 2 2 19 2" xfId="30865"/>
    <cellStyle name="Heading 2 2 2 2 6 2 2 2" xfId="30866"/>
    <cellStyle name="Heading 2 2 2 2 6 2 2 2 2" xfId="30867"/>
    <cellStyle name="Heading 2 2 2 2 6 2 2 2 2 2" xfId="30868"/>
    <cellStyle name="Heading 2 2 2 2 6 2 2 2 2 2 2" xfId="30869"/>
    <cellStyle name="Heading 2 2 2 2 6 2 2 2 2 3" xfId="30870"/>
    <cellStyle name="Heading 2 2 2 2 6 2 2 2 3" xfId="30871"/>
    <cellStyle name="Heading 2 2 2 2 6 2 2 2 3 2" xfId="30872"/>
    <cellStyle name="Heading 2 2 2 2 6 2 2 2 3 2 2" xfId="30873"/>
    <cellStyle name="Heading 2 2 2 2 6 2 2 2 3 3" xfId="30874"/>
    <cellStyle name="Heading 2 2 2 2 6 2 2 2 4" xfId="30875"/>
    <cellStyle name="Heading 2 2 2 2 6 2 2 2 4 2" xfId="30876"/>
    <cellStyle name="Heading 2 2 2 2 6 2 2 2 4 2 2" xfId="30877"/>
    <cellStyle name="Heading 2 2 2 2 6 2 2 2 4 3" xfId="30878"/>
    <cellStyle name="Heading 2 2 2 2 6 2 2 2 5" xfId="30879"/>
    <cellStyle name="Heading 2 2 2 2 6 2 2 2 5 2" xfId="30880"/>
    <cellStyle name="Heading 2 2 2 2 6 2 2 2 5 2 2" xfId="30881"/>
    <cellStyle name="Heading 2 2 2 2 6 2 2 2 5 3" xfId="30882"/>
    <cellStyle name="Heading 2 2 2 2 6 2 2 2 6" xfId="30883"/>
    <cellStyle name="Heading 2 2 2 2 6 2 2 2 6 2" xfId="30884"/>
    <cellStyle name="Heading 2 2 2 2 6 2 2 2 6 2 2" xfId="30885"/>
    <cellStyle name="Heading 2 2 2 2 6 2 2 2 6 3" xfId="30886"/>
    <cellStyle name="Heading 2 2 2 2 6 2 2 2 7" xfId="30887"/>
    <cellStyle name="Heading 2 2 2 2 6 2 2 2 7 2" xfId="30888"/>
    <cellStyle name="Heading 2 2 2 2 6 2 2 2 7 2 2" xfId="30889"/>
    <cellStyle name="Heading 2 2 2 2 6 2 2 2 7 3" xfId="30890"/>
    <cellStyle name="Heading 2 2 2 2 6 2 2 2 8" xfId="30891"/>
    <cellStyle name="Heading 2 2 2 2 6 2 2 2 8 2" xfId="30892"/>
    <cellStyle name="Heading 2 2 2 2 6 2 2 2 9" xfId="30893"/>
    <cellStyle name="Heading 2 2 2 2 6 2 2 20" xfId="30894"/>
    <cellStyle name="Heading 2 2 2 2 6 2 2 20 2" xfId="30895"/>
    <cellStyle name="Heading 2 2 2 2 6 2 2 21" xfId="30896"/>
    <cellStyle name="Heading 2 2 2 2 6 2 2 21 2" xfId="30897"/>
    <cellStyle name="Heading 2 2 2 2 6 2 2 22" xfId="30898"/>
    <cellStyle name="Heading 2 2 2 2 6 2 2 3" xfId="30899"/>
    <cellStyle name="Heading 2 2 2 2 6 2 2 3 2" xfId="30900"/>
    <cellStyle name="Heading 2 2 2 2 6 2 2 3 2 2" xfId="30901"/>
    <cellStyle name="Heading 2 2 2 2 6 2 2 3 2 2 2" xfId="30902"/>
    <cellStyle name="Heading 2 2 2 2 6 2 2 3 2 3" xfId="30903"/>
    <cellStyle name="Heading 2 2 2 2 6 2 2 3 3" xfId="30904"/>
    <cellStyle name="Heading 2 2 2 2 6 2 2 3 3 2" xfId="30905"/>
    <cellStyle name="Heading 2 2 2 2 6 2 2 3 3 2 2" xfId="30906"/>
    <cellStyle name="Heading 2 2 2 2 6 2 2 3 3 3" xfId="30907"/>
    <cellStyle name="Heading 2 2 2 2 6 2 2 3 4" xfId="30908"/>
    <cellStyle name="Heading 2 2 2 2 6 2 2 3 4 2" xfId="30909"/>
    <cellStyle name="Heading 2 2 2 2 6 2 2 3 4 2 2" xfId="30910"/>
    <cellStyle name="Heading 2 2 2 2 6 2 2 3 4 3" xfId="30911"/>
    <cellStyle name="Heading 2 2 2 2 6 2 2 3 5" xfId="30912"/>
    <cellStyle name="Heading 2 2 2 2 6 2 2 3 5 2" xfId="30913"/>
    <cellStyle name="Heading 2 2 2 2 6 2 2 3 5 2 2" xfId="30914"/>
    <cellStyle name="Heading 2 2 2 2 6 2 2 3 5 3" xfId="30915"/>
    <cellStyle name="Heading 2 2 2 2 6 2 2 3 6" xfId="30916"/>
    <cellStyle name="Heading 2 2 2 2 6 2 2 3 6 2" xfId="30917"/>
    <cellStyle name="Heading 2 2 2 2 6 2 2 3 6 2 2" xfId="30918"/>
    <cellStyle name="Heading 2 2 2 2 6 2 2 3 6 3" xfId="30919"/>
    <cellStyle name="Heading 2 2 2 2 6 2 2 3 7" xfId="30920"/>
    <cellStyle name="Heading 2 2 2 2 6 2 2 3 7 2" xfId="30921"/>
    <cellStyle name="Heading 2 2 2 2 6 2 2 3 7 2 2" xfId="30922"/>
    <cellStyle name="Heading 2 2 2 2 6 2 2 3 7 3" xfId="30923"/>
    <cellStyle name="Heading 2 2 2 2 6 2 2 3 8" xfId="30924"/>
    <cellStyle name="Heading 2 2 2 2 6 2 2 3 8 2" xfId="30925"/>
    <cellStyle name="Heading 2 2 2 2 6 2 2 3 9" xfId="30926"/>
    <cellStyle name="Heading 2 2 2 2 6 2 2 4" xfId="30927"/>
    <cellStyle name="Heading 2 2 2 2 6 2 2 4 2" xfId="30928"/>
    <cellStyle name="Heading 2 2 2 2 6 2 2 4 2 2" xfId="30929"/>
    <cellStyle name="Heading 2 2 2 2 6 2 2 4 2 2 2" xfId="30930"/>
    <cellStyle name="Heading 2 2 2 2 6 2 2 4 2 3" xfId="30931"/>
    <cellStyle name="Heading 2 2 2 2 6 2 2 4 3" xfId="30932"/>
    <cellStyle name="Heading 2 2 2 2 6 2 2 4 3 2" xfId="30933"/>
    <cellStyle name="Heading 2 2 2 2 6 2 2 4 3 2 2" xfId="30934"/>
    <cellStyle name="Heading 2 2 2 2 6 2 2 4 3 3" xfId="30935"/>
    <cellStyle name="Heading 2 2 2 2 6 2 2 4 4" xfId="30936"/>
    <cellStyle name="Heading 2 2 2 2 6 2 2 4 4 2" xfId="30937"/>
    <cellStyle name="Heading 2 2 2 2 6 2 2 4 4 2 2" xfId="30938"/>
    <cellStyle name="Heading 2 2 2 2 6 2 2 4 4 3" xfId="30939"/>
    <cellStyle name="Heading 2 2 2 2 6 2 2 4 5" xfId="30940"/>
    <cellStyle name="Heading 2 2 2 2 6 2 2 4 5 2" xfId="30941"/>
    <cellStyle name="Heading 2 2 2 2 6 2 2 4 5 2 2" xfId="30942"/>
    <cellStyle name="Heading 2 2 2 2 6 2 2 4 5 3" xfId="30943"/>
    <cellStyle name="Heading 2 2 2 2 6 2 2 4 6" xfId="30944"/>
    <cellStyle name="Heading 2 2 2 2 6 2 2 4 6 2" xfId="30945"/>
    <cellStyle name="Heading 2 2 2 2 6 2 2 4 6 2 2" xfId="30946"/>
    <cellStyle name="Heading 2 2 2 2 6 2 2 4 6 3" xfId="30947"/>
    <cellStyle name="Heading 2 2 2 2 6 2 2 4 7" xfId="30948"/>
    <cellStyle name="Heading 2 2 2 2 6 2 2 4 7 2" xfId="30949"/>
    <cellStyle name="Heading 2 2 2 2 6 2 2 4 7 2 2" xfId="30950"/>
    <cellStyle name="Heading 2 2 2 2 6 2 2 4 7 3" xfId="30951"/>
    <cellStyle name="Heading 2 2 2 2 6 2 2 4 8" xfId="30952"/>
    <cellStyle name="Heading 2 2 2 2 6 2 2 4 8 2" xfId="30953"/>
    <cellStyle name="Heading 2 2 2 2 6 2 2 4 9" xfId="30954"/>
    <cellStyle name="Heading 2 2 2 2 6 2 2 5" xfId="30955"/>
    <cellStyle name="Heading 2 2 2 2 6 2 2 5 2" xfId="30956"/>
    <cellStyle name="Heading 2 2 2 2 6 2 2 5 2 2" xfId="30957"/>
    <cellStyle name="Heading 2 2 2 2 6 2 2 5 2 2 2" xfId="30958"/>
    <cellStyle name="Heading 2 2 2 2 6 2 2 5 2 3" xfId="30959"/>
    <cellStyle name="Heading 2 2 2 2 6 2 2 5 3" xfId="30960"/>
    <cellStyle name="Heading 2 2 2 2 6 2 2 5 3 2" xfId="30961"/>
    <cellStyle name="Heading 2 2 2 2 6 2 2 5 3 2 2" xfId="30962"/>
    <cellStyle name="Heading 2 2 2 2 6 2 2 5 3 3" xfId="30963"/>
    <cellStyle name="Heading 2 2 2 2 6 2 2 5 4" xfId="30964"/>
    <cellStyle name="Heading 2 2 2 2 6 2 2 5 4 2" xfId="30965"/>
    <cellStyle name="Heading 2 2 2 2 6 2 2 5 4 2 2" xfId="30966"/>
    <cellStyle name="Heading 2 2 2 2 6 2 2 5 4 3" xfId="30967"/>
    <cellStyle name="Heading 2 2 2 2 6 2 2 5 5" xfId="30968"/>
    <cellStyle name="Heading 2 2 2 2 6 2 2 5 5 2" xfId="30969"/>
    <cellStyle name="Heading 2 2 2 2 6 2 2 5 5 2 2" xfId="30970"/>
    <cellStyle name="Heading 2 2 2 2 6 2 2 5 5 3" xfId="30971"/>
    <cellStyle name="Heading 2 2 2 2 6 2 2 5 6" xfId="30972"/>
    <cellStyle name="Heading 2 2 2 2 6 2 2 5 6 2" xfId="30973"/>
    <cellStyle name="Heading 2 2 2 2 6 2 2 5 6 2 2" xfId="30974"/>
    <cellStyle name="Heading 2 2 2 2 6 2 2 5 6 3" xfId="30975"/>
    <cellStyle name="Heading 2 2 2 2 6 2 2 5 7" xfId="30976"/>
    <cellStyle name="Heading 2 2 2 2 6 2 2 5 7 2" xfId="30977"/>
    <cellStyle name="Heading 2 2 2 2 6 2 2 5 7 2 2" xfId="30978"/>
    <cellStyle name="Heading 2 2 2 2 6 2 2 5 7 3" xfId="30979"/>
    <cellStyle name="Heading 2 2 2 2 6 2 2 5 8" xfId="30980"/>
    <cellStyle name="Heading 2 2 2 2 6 2 2 5 8 2" xfId="30981"/>
    <cellStyle name="Heading 2 2 2 2 6 2 2 5 9" xfId="30982"/>
    <cellStyle name="Heading 2 2 2 2 6 2 2 6" xfId="30983"/>
    <cellStyle name="Heading 2 2 2 2 6 2 2 6 2" xfId="30984"/>
    <cellStyle name="Heading 2 2 2 2 6 2 2 6 2 2" xfId="30985"/>
    <cellStyle name="Heading 2 2 2 2 6 2 2 6 2 2 2" xfId="30986"/>
    <cellStyle name="Heading 2 2 2 2 6 2 2 6 2 3" xfId="30987"/>
    <cellStyle name="Heading 2 2 2 2 6 2 2 6 3" xfId="30988"/>
    <cellStyle name="Heading 2 2 2 2 6 2 2 6 3 2" xfId="30989"/>
    <cellStyle name="Heading 2 2 2 2 6 2 2 6 3 2 2" xfId="30990"/>
    <cellStyle name="Heading 2 2 2 2 6 2 2 6 3 3" xfId="30991"/>
    <cellStyle name="Heading 2 2 2 2 6 2 2 6 4" xfId="30992"/>
    <cellStyle name="Heading 2 2 2 2 6 2 2 6 4 2" xfId="30993"/>
    <cellStyle name="Heading 2 2 2 2 6 2 2 6 4 2 2" xfId="30994"/>
    <cellStyle name="Heading 2 2 2 2 6 2 2 6 4 3" xfId="30995"/>
    <cellStyle name="Heading 2 2 2 2 6 2 2 6 5" xfId="30996"/>
    <cellStyle name="Heading 2 2 2 2 6 2 2 6 5 2" xfId="30997"/>
    <cellStyle name="Heading 2 2 2 2 6 2 2 6 5 2 2" xfId="30998"/>
    <cellStyle name="Heading 2 2 2 2 6 2 2 6 5 3" xfId="30999"/>
    <cellStyle name="Heading 2 2 2 2 6 2 2 6 6" xfId="31000"/>
    <cellStyle name="Heading 2 2 2 2 6 2 2 6 6 2" xfId="31001"/>
    <cellStyle name="Heading 2 2 2 2 6 2 2 6 6 2 2" xfId="31002"/>
    <cellStyle name="Heading 2 2 2 2 6 2 2 6 6 3" xfId="31003"/>
    <cellStyle name="Heading 2 2 2 2 6 2 2 6 7" xfId="31004"/>
    <cellStyle name="Heading 2 2 2 2 6 2 2 6 7 2" xfId="31005"/>
    <cellStyle name="Heading 2 2 2 2 6 2 2 6 7 2 2" xfId="31006"/>
    <cellStyle name="Heading 2 2 2 2 6 2 2 6 7 3" xfId="31007"/>
    <cellStyle name="Heading 2 2 2 2 6 2 2 6 8" xfId="31008"/>
    <cellStyle name="Heading 2 2 2 2 6 2 2 6 8 2" xfId="31009"/>
    <cellStyle name="Heading 2 2 2 2 6 2 2 6 9" xfId="31010"/>
    <cellStyle name="Heading 2 2 2 2 6 2 2 7" xfId="31011"/>
    <cellStyle name="Heading 2 2 2 2 6 2 2 7 2" xfId="31012"/>
    <cellStyle name="Heading 2 2 2 2 6 2 2 7 2 2" xfId="31013"/>
    <cellStyle name="Heading 2 2 2 2 6 2 2 7 2 2 2" xfId="31014"/>
    <cellStyle name="Heading 2 2 2 2 6 2 2 7 2 3" xfId="31015"/>
    <cellStyle name="Heading 2 2 2 2 6 2 2 7 3" xfId="31016"/>
    <cellStyle name="Heading 2 2 2 2 6 2 2 7 3 2" xfId="31017"/>
    <cellStyle name="Heading 2 2 2 2 6 2 2 7 3 2 2" xfId="31018"/>
    <cellStyle name="Heading 2 2 2 2 6 2 2 7 3 3" xfId="31019"/>
    <cellStyle name="Heading 2 2 2 2 6 2 2 7 4" xfId="31020"/>
    <cellStyle name="Heading 2 2 2 2 6 2 2 7 4 2" xfId="31021"/>
    <cellStyle name="Heading 2 2 2 2 6 2 2 7 4 2 2" xfId="31022"/>
    <cellStyle name="Heading 2 2 2 2 6 2 2 7 4 3" xfId="31023"/>
    <cellStyle name="Heading 2 2 2 2 6 2 2 7 5" xfId="31024"/>
    <cellStyle name="Heading 2 2 2 2 6 2 2 7 5 2" xfId="31025"/>
    <cellStyle name="Heading 2 2 2 2 6 2 2 7 5 2 2" xfId="31026"/>
    <cellStyle name="Heading 2 2 2 2 6 2 2 7 5 3" xfId="31027"/>
    <cellStyle name="Heading 2 2 2 2 6 2 2 7 6" xfId="31028"/>
    <cellStyle name="Heading 2 2 2 2 6 2 2 7 6 2" xfId="31029"/>
    <cellStyle name="Heading 2 2 2 2 6 2 2 7 6 2 2" xfId="31030"/>
    <cellStyle name="Heading 2 2 2 2 6 2 2 7 6 3" xfId="31031"/>
    <cellStyle name="Heading 2 2 2 2 6 2 2 7 7" xfId="31032"/>
    <cellStyle name="Heading 2 2 2 2 6 2 2 7 7 2" xfId="31033"/>
    <cellStyle name="Heading 2 2 2 2 6 2 2 7 7 2 2" xfId="31034"/>
    <cellStyle name="Heading 2 2 2 2 6 2 2 7 7 3" xfId="31035"/>
    <cellStyle name="Heading 2 2 2 2 6 2 2 7 8" xfId="31036"/>
    <cellStyle name="Heading 2 2 2 2 6 2 2 7 8 2" xfId="31037"/>
    <cellStyle name="Heading 2 2 2 2 6 2 2 7 9" xfId="31038"/>
    <cellStyle name="Heading 2 2 2 2 6 2 2 8" xfId="31039"/>
    <cellStyle name="Heading 2 2 2 2 6 2 2 8 2" xfId="31040"/>
    <cellStyle name="Heading 2 2 2 2 6 2 2 8 2 2" xfId="31041"/>
    <cellStyle name="Heading 2 2 2 2 6 2 2 8 2 2 2" xfId="31042"/>
    <cellStyle name="Heading 2 2 2 2 6 2 2 8 2 3" xfId="31043"/>
    <cellStyle name="Heading 2 2 2 2 6 2 2 8 3" xfId="31044"/>
    <cellStyle name="Heading 2 2 2 2 6 2 2 8 3 2" xfId="31045"/>
    <cellStyle name="Heading 2 2 2 2 6 2 2 8 3 2 2" xfId="31046"/>
    <cellStyle name="Heading 2 2 2 2 6 2 2 8 3 3" xfId="31047"/>
    <cellStyle name="Heading 2 2 2 2 6 2 2 8 4" xfId="31048"/>
    <cellStyle name="Heading 2 2 2 2 6 2 2 8 4 2" xfId="31049"/>
    <cellStyle name="Heading 2 2 2 2 6 2 2 8 4 2 2" xfId="31050"/>
    <cellStyle name="Heading 2 2 2 2 6 2 2 8 4 3" xfId="31051"/>
    <cellStyle name="Heading 2 2 2 2 6 2 2 8 5" xfId="31052"/>
    <cellStyle name="Heading 2 2 2 2 6 2 2 8 5 2" xfId="31053"/>
    <cellStyle name="Heading 2 2 2 2 6 2 2 8 5 2 2" xfId="31054"/>
    <cellStyle name="Heading 2 2 2 2 6 2 2 8 5 3" xfId="31055"/>
    <cellStyle name="Heading 2 2 2 2 6 2 2 8 6" xfId="31056"/>
    <cellStyle name="Heading 2 2 2 2 6 2 2 8 6 2" xfId="31057"/>
    <cellStyle name="Heading 2 2 2 2 6 2 2 8 6 2 2" xfId="31058"/>
    <cellStyle name="Heading 2 2 2 2 6 2 2 8 6 3" xfId="31059"/>
    <cellStyle name="Heading 2 2 2 2 6 2 2 8 7" xfId="31060"/>
    <cellStyle name="Heading 2 2 2 2 6 2 2 8 7 2" xfId="31061"/>
    <cellStyle name="Heading 2 2 2 2 6 2 2 8 7 2 2" xfId="31062"/>
    <cellStyle name="Heading 2 2 2 2 6 2 2 8 7 3" xfId="31063"/>
    <cellStyle name="Heading 2 2 2 2 6 2 2 8 8" xfId="31064"/>
    <cellStyle name="Heading 2 2 2 2 6 2 2 8 8 2" xfId="31065"/>
    <cellStyle name="Heading 2 2 2 2 6 2 2 8 9" xfId="31066"/>
    <cellStyle name="Heading 2 2 2 2 6 2 2 9" xfId="31067"/>
    <cellStyle name="Heading 2 2 2 2 6 2 2 9 2" xfId="31068"/>
    <cellStyle name="Heading 2 2 2 2 6 2 2 9 2 2" xfId="31069"/>
    <cellStyle name="Heading 2 2 2 2 6 2 2 9 3" xfId="31070"/>
    <cellStyle name="Heading 2 2 2 2 6 2 20" xfId="31071"/>
    <cellStyle name="Heading 2 2 2 2 6 2 20 2" xfId="31072"/>
    <cellStyle name="Heading 2 2 2 2 6 2 21" xfId="31073"/>
    <cellStyle name="Heading 2 2 2 2 6 2 21 2" xfId="31074"/>
    <cellStyle name="Heading 2 2 2 2 6 2 22" xfId="31075"/>
    <cellStyle name="Heading 2 2 2 2 6 2 22 2" xfId="31076"/>
    <cellStyle name="Heading 2 2 2 2 6 2 23" xfId="31077"/>
    <cellStyle name="Heading 2 2 2 2 6 2 3" xfId="31078"/>
    <cellStyle name="Heading 2 2 2 2 6 2 3 2" xfId="31079"/>
    <cellStyle name="Heading 2 2 2 2 6 2 3 2 2" xfId="31080"/>
    <cellStyle name="Heading 2 2 2 2 6 2 3 2 2 2" xfId="31081"/>
    <cellStyle name="Heading 2 2 2 2 6 2 3 2 3" xfId="31082"/>
    <cellStyle name="Heading 2 2 2 2 6 2 3 3" xfId="31083"/>
    <cellStyle name="Heading 2 2 2 2 6 2 3 3 2" xfId="31084"/>
    <cellStyle name="Heading 2 2 2 2 6 2 3 3 2 2" xfId="31085"/>
    <cellStyle name="Heading 2 2 2 2 6 2 3 3 3" xfId="31086"/>
    <cellStyle name="Heading 2 2 2 2 6 2 3 4" xfId="31087"/>
    <cellStyle name="Heading 2 2 2 2 6 2 3 4 2" xfId="31088"/>
    <cellStyle name="Heading 2 2 2 2 6 2 3 4 2 2" xfId="31089"/>
    <cellStyle name="Heading 2 2 2 2 6 2 3 4 3" xfId="31090"/>
    <cellStyle name="Heading 2 2 2 2 6 2 3 5" xfId="31091"/>
    <cellStyle name="Heading 2 2 2 2 6 2 3 5 2" xfId="31092"/>
    <cellStyle name="Heading 2 2 2 2 6 2 3 5 2 2" xfId="31093"/>
    <cellStyle name="Heading 2 2 2 2 6 2 3 5 3" xfId="31094"/>
    <cellStyle name="Heading 2 2 2 2 6 2 3 6" xfId="31095"/>
    <cellStyle name="Heading 2 2 2 2 6 2 3 6 2" xfId="31096"/>
    <cellStyle name="Heading 2 2 2 2 6 2 3 6 2 2" xfId="31097"/>
    <cellStyle name="Heading 2 2 2 2 6 2 3 6 3" xfId="31098"/>
    <cellStyle name="Heading 2 2 2 2 6 2 3 7" xfId="31099"/>
    <cellStyle name="Heading 2 2 2 2 6 2 3 7 2" xfId="31100"/>
    <cellStyle name="Heading 2 2 2 2 6 2 3 7 2 2" xfId="31101"/>
    <cellStyle name="Heading 2 2 2 2 6 2 3 7 3" xfId="31102"/>
    <cellStyle name="Heading 2 2 2 2 6 2 3 8" xfId="31103"/>
    <cellStyle name="Heading 2 2 2 2 6 2 3 8 2" xfId="31104"/>
    <cellStyle name="Heading 2 2 2 2 6 2 3 9" xfId="31105"/>
    <cellStyle name="Heading 2 2 2 2 6 2 4" xfId="31106"/>
    <cellStyle name="Heading 2 2 2 2 6 2 4 2" xfId="31107"/>
    <cellStyle name="Heading 2 2 2 2 6 2 4 2 2" xfId="31108"/>
    <cellStyle name="Heading 2 2 2 2 6 2 4 2 2 2" xfId="31109"/>
    <cellStyle name="Heading 2 2 2 2 6 2 4 2 3" xfId="31110"/>
    <cellStyle name="Heading 2 2 2 2 6 2 4 3" xfId="31111"/>
    <cellStyle name="Heading 2 2 2 2 6 2 4 3 2" xfId="31112"/>
    <cellStyle name="Heading 2 2 2 2 6 2 4 3 2 2" xfId="31113"/>
    <cellStyle name="Heading 2 2 2 2 6 2 4 3 3" xfId="31114"/>
    <cellStyle name="Heading 2 2 2 2 6 2 4 4" xfId="31115"/>
    <cellStyle name="Heading 2 2 2 2 6 2 4 4 2" xfId="31116"/>
    <cellStyle name="Heading 2 2 2 2 6 2 4 4 2 2" xfId="31117"/>
    <cellStyle name="Heading 2 2 2 2 6 2 4 4 3" xfId="31118"/>
    <cellStyle name="Heading 2 2 2 2 6 2 4 5" xfId="31119"/>
    <cellStyle name="Heading 2 2 2 2 6 2 4 5 2" xfId="31120"/>
    <cellStyle name="Heading 2 2 2 2 6 2 4 5 2 2" xfId="31121"/>
    <cellStyle name="Heading 2 2 2 2 6 2 4 5 3" xfId="31122"/>
    <cellStyle name="Heading 2 2 2 2 6 2 4 6" xfId="31123"/>
    <cellStyle name="Heading 2 2 2 2 6 2 4 6 2" xfId="31124"/>
    <cellStyle name="Heading 2 2 2 2 6 2 4 6 2 2" xfId="31125"/>
    <cellStyle name="Heading 2 2 2 2 6 2 4 6 3" xfId="31126"/>
    <cellStyle name="Heading 2 2 2 2 6 2 4 7" xfId="31127"/>
    <cellStyle name="Heading 2 2 2 2 6 2 4 7 2" xfId="31128"/>
    <cellStyle name="Heading 2 2 2 2 6 2 4 7 2 2" xfId="31129"/>
    <cellStyle name="Heading 2 2 2 2 6 2 4 7 3" xfId="31130"/>
    <cellStyle name="Heading 2 2 2 2 6 2 4 8" xfId="31131"/>
    <cellStyle name="Heading 2 2 2 2 6 2 4 8 2" xfId="31132"/>
    <cellStyle name="Heading 2 2 2 2 6 2 4 9" xfId="31133"/>
    <cellStyle name="Heading 2 2 2 2 6 2 5" xfId="31134"/>
    <cellStyle name="Heading 2 2 2 2 6 2 5 2" xfId="31135"/>
    <cellStyle name="Heading 2 2 2 2 6 2 5 2 2" xfId="31136"/>
    <cellStyle name="Heading 2 2 2 2 6 2 5 2 2 2" xfId="31137"/>
    <cellStyle name="Heading 2 2 2 2 6 2 5 2 3" xfId="31138"/>
    <cellStyle name="Heading 2 2 2 2 6 2 5 3" xfId="31139"/>
    <cellStyle name="Heading 2 2 2 2 6 2 5 3 2" xfId="31140"/>
    <cellStyle name="Heading 2 2 2 2 6 2 5 3 2 2" xfId="31141"/>
    <cellStyle name="Heading 2 2 2 2 6 2 5 3 3" xfId="31142"/>
    <cellStyle name="Heading 2 2 2 2 6 2 5 4" xfId="31143"/>
    <cellStyle name="Heading 2 2 2 2 6 2 5 4 2" xfId="31144"/>
    <cellStyle name="Heading 2 2 2 2 6 2 5 4 2 2" xfId="31145"/>
    <cellStyle name="Heading 2 2 2 2 6 2 5 4 3" xfId="31146"/>
    <cellStyle name="Heading 2 2 2 2 6 2 5 5" xfId="31147"/>
    <cellStyle name="Heading 2 2 2 2 6 2 5 5 2" xfId="31148"/>
    <cellStyle name="Heading 2 2 2 2 6 2 5 5 2 2" xfId="31149"/>
    <cellStyle name="Heading 2 2 2 2 6 2 5 5 3" xfId="31150"/>
    <cellStyle name="Heading 2 2 2 2 6 2 5 6" xfId="31151"/>
    <cellStyle name="Heading 2 2 2 2 6 2 5 6 2" xfId="31152"/>
    <cellStyle name="Heading 2 2 2 2 6 2 5 6 2 2" xfId="31153"/>
    <cellStyle name="Heading 2 2 2 2 6 2 5 6 3" xfId="31154"/>
    <cellStyle name="Heading 2 2 2 2 6 2 5 7" xfId="31155"/>
    <cellStyle name="Heading 2 2 2 2 6 2 5 7 2" xfId="31156"/>
    <cellStyle name="Heading 2 2 2 2 6 2 5 7 2 2" xfId="31157"/>
    <cellStyle name="Heading 2 2 2 2 6 2 5 7 3" xfId="31158"/>
    <cellStyle name="Heading 2 2 2 2 6 2 5 8" xfId="31159"/>
    <cellStyle name="Heading 2 2 2 2 6 2 5 8 2" xfId="31160"/>
    <cellStyle name="Heading 2 2 2 2 6 2 5 9" xfId="31161"/>
    <cellStyle name="Heading 2 2 2 2 6 2 6" xfId="31162"/>
    <cellStyle name="Heading 2 2 2 2 6 2 6 2" xfId="31163"/>
    <cellStyle name="Heading 2 2 2 2 6 2 6 2 2" xfId="31164"/>
    <cellStyle name="Heading 2 2 2 2 6 2 6 2 2 2" xfId="31165"/>
    <cellStyle name="Heading 2 2 2 2 6 2 6 2 3" xfId="31166"/>
    <cellStyle name="Heading 2 2 2 2 6 2 6 3" xfId="31167"/>
    <cellStyle name="Heading 2 2 2 2 6 2 6 3 2" xfId="31168"/>
    <cellStyle name="Heading 2 2 2 2 6 2 6 3 2 2" xfId="31169"/>
    <cellStyle name="Heading 2 2 2 2 6 2 6 3 3" xfId="31170"/>
    <cellStyle name="Heading 2 2 2 2 6 2 6 4" xfId="31171"/>
    <cellStyle name="Heading 2 2 2 2 6 2 6 4 2" xfId="31172"/>
    <cellStyle name="Heading 2 2 2 2 6 2 6 4 2 2" xfId="31173"/>
    <cellStyle name="Heading 2 2 2 2 6 2 6 4 3" xfId="31174"/>
    <cellStyle name="Heading 2 2 2 2 6 2 6 5" xfId="31175"/>
    <cellStyle name="Heading 2 2 2 2 6 2 6 5 2" xfId="31176"/>
    <cellStyle name="Heading 2 2 2 2 6 2 6 5 2 2" xfId="31177"/>
    <cellStyle name="Heading 2 2 2 2 6 2 6 5 3" xfId="31178"/>
    <cellStyle name="Heading 2 2 2 2 6 2 6 6" xfId="31179"/>
    <cellStyle name="Heading 2 2 2 2 6 2 6 6 2" xfId="31180"/>
    <cellStyle name="Heading 2 2 2 2 6 2 6 6 2 2" xfId="31181"/>
    <cellStyle name="Heading 2 2 2 2 6 2 6 6 3" xfId="31182"/>
    <cellStyle name="Heading 2 2 2 2 6 2 6 7" xfId="31183"/>
    <cellStyle name="Heading 2 2 2 2 6 2 6 7 2" xfId="31184"/>
    <cellStyle name="Heading 2 2 2 2 6 2 6 7 2 2" xfId="31185"/>
    <cellStyle name="Heading 2 2 2 2 6 2 6 7 3" xfId="31186"/>
    <cellStyle name="Heading 2 2 2 2 6 2 6 8" xfId="31187"/>
    <cellStyle name="Heading 2 2 2 2 6 2 6 8 2" xfId="31188"/>
    <cellStyle name="Heading 2 2 2 2 6 2 6 9" xfId="31189"/>
    <cellStyle name="Heading 2 2 2 2 6 2 7" xfId="31190"/>
    <cellStyle name="Heading 2 2 2 2 6 2 7 2" xfId="31191"/>
    <cellStyle name="Heading 2 2 2 2 6 2 7 2 2" xfId="31192"/>
    <cellStyle name="Heading 2 2 2 2 6 2 7 2 2 2" xfId="31193"/>
    <cellStyle name="Heading 2 2 2 2 6 2 7 2 3" xfId="31194"/>
    <cellStyle name="Heading 2 2 2 2 6 2 7 3" xfId="31195"/>
    <cellStyle name="Heading 2 2 2 2 6 2 7 3 2" xfId="31196"/>
    <cellStyle name="Heading 2 2 2 2 6 2 7 3 2 2" xfId="31197"/>
    <cellStyle name="Heading 2 2 2 2 6 2 7 3 3" xfId="31198"/>
    <cellStyle name="Heading 2 2 2 2 6 2 7 4" xfId="31199"/>
    <cellStyle name="Heading 2 2 2 2 6 2 7 4 2" xfId="31200"/>
    <cellStyle name="Heading 2 2 2 2 6 2 7 4 2 2" xfId="31201"/>
    <cellStyle name="Heading 2 2 2 2 6 2 7 4 3" xfId="31202"/>
    <cellStyle name="Heading 2 2 2 2 6 2 7 5" xfId="31203"/>
    <cellStyle name="Heading 2 2 2 2 6 2 7 5 2" xfId="31204"/>
    <cellStyle name="Heading 2 2 2 2 6 2 7 5 2 2" xfId="31205"/>
    <cellStyle name="Heading 2 2 2 2 6 2 7 5 3" xfId="31206"/>
    <cellStyle name="Heading 2 2 2 2 6 2 7 6" xfId="31207"/>
    <cellStyle name="Heading 2 2 2 2 6 2 7 6 2" xfId="31208"/>
    <cellStyle name="Heading 2 2 2 2 6 2 7 6 2 2" xfId="31209"/>
    <cellStyle name="Heading 2 2 2 2 6 2 7 6 3" xfId="31210"/>
    <cellStyle name="Heading 2 2 2 2 6 2 7 7" xfId="31211"/>
    <cellStyle name="Heading 2 2 2 2 6 2 7 7 2" xfId="31212"/>
    <cellStyle name="Heading 2 2 2 2 6 2 7 7 2 2" xfId="31213"/>
    <cellStyle name="Heading 2 2 2 2 6 2 7 7 3" xfId="31214"/>
    <cellStyle name="Heading 2 2 2 2 6 2 7 8" xfId="31215"/>
    <cellStyle name="Heading 2 2 2 2 6 2 7 8 2" xfId="31216"/>
    <cellStyle name="Heading 2 2 2 2 6 2 7 9" xfId="31217"/>
    <cellStyle name="Heading 2 2 2 2 6 2 8" xfId="31218"/>
    <cellStyle name="Heading 2 2 2 2 6 2 8 2" xfId="31219"/>
    <cellStyle name="Heading 2 2 2 2 6 2 8 2 2" xfId="31220"/>
    <cellStyle name="Heading 2 2 2 2 6 2 8 2 2 2" xfId="31221"/>
    <cellStyle name="Heading 2 2 2 2 6 2 8 2 3" xfId="31222"/>
    <cellStyle name="Heading 2 2 2 2 6 2 8 3" xfId="31223"/>
    <cellStyle name="Heading 2 2 2 2 6 2 8 3 2" xfId="31224"/>
    <cellStyle name="Heading 2 2 2 2 6 2 8 3 2 2" xfId="31225"/>
    <cellStyle name="Heading 2 2 2 2 6 2 8 3 3" xfId="31226"/>
    <cellStyle name="Heading 2 2 2 2 6 2 8 4" xfId="31227"/>
    <cellStyle name="Heading 2 2 2 2 6 2 8 4 2" xfId="31228"/>
    <cellStyle name="Heading 2 2 2 2 6 2 8 4 2 2" xfId="31229"/>
    <cellStyle name="Heading 2 2 2 2 6 2 8 4 3" xfId="31230"/>
    <cellStyle name="Heading 2 2 2 2 6 2 8 5" xfId="31231"/>
    <cellStyle name="Heading 2 2 2 2 6 2 8 5 2" xfId="31232"/>
    <cellStyle name="Heading 2 2 2 2 6 2 8 5 2 2" xfId="31233"/>
    <cellStyle name="Heading 2 2 2 2 6 2 8 5 3" xfId="31234"/>
    <cellStyle name="Heading 2 2 2 2 6 2 8 6" xfId="31235"/>
    <cellStyle name="Heading 2 2 2 2 6 2 8 6 2" xfId="31236"/>
    <cellStyle name="Heading 2 2 2 2 6 2 8 6 2 2" xfId="31237"/>
    <cellStyle name="Heading 2 2 2 2 6 2 8 6 3" xfId="31238"/>
    <cellStyle name="Heading 2 2 2 2 6 2 8 7" xfId="31239"/>
    <cellStyle name="Heading 2 2 2 2 6 2 8 7 2" xfId="31240"/>
    <cellStyle name="Heading 2 2 2 2 6 2 8 7 2 2" xfId="31241"/>
    <cellStyle name="Heading 2 2 2 2 6 2 8 7 3" xfId="31242"/>
    <cellStyle name="Heading 2 2 2 2 6 2 8 8" xfId="31243"/>
    <cellStyle name="Heading 2 2 2 2 6 2 8 8 2" xfId="31244"/>
    <cellStyle name="Heading 2 2 2 2 6 2 8 9" xfId="31245"/>
    <cellStyle name="Heading 2 2 2 2 6 2 9" xfId="31246"/>
    <cellStyle name="Heading 2 2 2 2 6 2 9 2" xfId="31247"/>
    <cellStyle name="Heading 2 2 2 2 6 2 9 2 2" xfId="31248"/>
    <cellStyle name="Heading 2 2 2 2 6 2 9 2 2 2" xfId="31249"/>
    <cellStyle name="Heading 2 2 2 2 6 2 9 2 3" xfId="31250"/>
    <cellStyle name="Heading 2 2 2 2 6 2 9 3" xfId="31251"/>
    <cellStyle name="Heading 2 2 2 2 6 2 9 3 2" xfId="31252"/>
    <cellStyle name="Heading 2 2 2 2 6 2 9 3 2 2" xfId="31253"/>
    <cellStyle name="Heading 2 2 2 2 6 2 9 3 3" xfId="31254"/>
    <cellStyle name="Heading 2 2 2 2 6 2 9 4" xfId="31255"/>
    <cellStyle name="Heading 2 2 2 2 6 2 9 4 2" xfId="31256"/>
    <cellStyle name="Heading 2 2 2 2 6 2 9 4 2 2" xfId="31257"/>
    <cellStyle name="Heading 2 2 2 2 6 2 9 4 3" xfId="31258"/>
    <cellStyle name="Heading 2 2 2 2 6 2 9 5" xfId="31259"/>
    <cellStyle name="Heading 2 2 2 2 6 2 9 5 2" xfId="31260"/>
    <cellStyle name="Heading 2 2 2 2 6 2 9 5 2 2" xfId="31261"/>
    <cellStyle name="Heading 2 2 2 2 6 2 9 5 3" xfId="31262"/>
    <cellStyle name="Heading 2 2 2 2 6 2 9 6" xfId="31263"/>
    <cellStyle name="Heading 2 2 2 2 6 2 9 6 2" xfId="31264"/>
    <cellStyle name="Heading 2 2 2 2 6 2 9 6 2 2" xfId="31265"/>
    <cellStyle name="Heading 2 2 2 2 6 2 9 6 3" xfId="31266"/>
    <cellStyle name="Heading 2 2 2 2 6 2 9 7" xfId="31267"/>
    <cellStyle name="Heading 2 2 2 2 6 2 9 7 2" xfId="31268"/>
    <cellStyle name="Heading 2 2 2 2 6 2 9 7 2 2" xfId="31269"/>
    <cellStyle name="Heading 2 2 2 2 6 2 9 7 3" xfId="31270"/>
    <cellStyle name="Heading 2 2 2 2 6 2 9 8" xfId="31271"/>
    <cellStyle name="Heading 2 2 2 2 6 2 9 8 2" xfId="31272"/>
    <cellStyle name="Heading 2 2 2 2 6 2 9 9" xfId="31273"/>
    <cellStyle name="Heading 2 2 2 2 6 3" xfId="31274"/>
    <cellStyle name="Heading 2 2 2 2 6 3 10" xfId="31275"/>
    <cellStyle name="Heading 2 2 2 2 6 3 10 2" xfId="31276"/>
    <cellStyle name="Heading 2 2 2 2 6 3 10 2 2" xfId="31277"/>
    <cellStyle name="Heading 2 2 2 2 6 3 10 3" xfId="31278"/>
    <cellStyle name="Heading 2 2 2 2 6 3 11" xfId="31279"/>
    <cellStyle name="Heading 2 2 2 2 6 3 11 2" xfId="31280"/>
    <cellStyle name="Heading 2 2 2 2 6 3 11 2 2" xfId="31281"/>
    <cellStyle name="Heading 2 2 2 2 6 3 11 3" xfId="31282"/>
    <cellStyle name="Heading 2 2 2 2 6 3 12" xfId="31283"/>
    <cellStyle name="Heading 2 2 2 2 6 3 12 2" xfId="31284"/>
    <cellStyle name="Heading 2 2 2 2 6 3 12 2 2" xfId="31285"/>
    <cellStyle name="Heading 2 2 2 2 6 3 12 3" xfId="31286"/>
    <cellStyle name="Heading 2 2 2 2 6 3 13" xfId="31287"/>
    <cellStyle name="Heading 2 2 2 2 6 3 13 2" xfId="31288"/>
    <cellStyle name="Heading 2 2 2 2 6 3 13 2 2" xfId="31289"/>
    <cellStyle name="Heading 2 2 2 2 6 3 13 3" xfId="31290"/>
    <cellStyle name="Heading 2 2 2 2 6 3 14" xfId="31291"/>
    <cellStyle name="Heading 2 2 2 2 6 3 14 2" xfId="31292"/>
    <cellStyle name="Heading 2 2 2 2 6 3 14 2 2" xfId="31293"/>
    <cellStyle name="Heading 2 2 2 2 6 3 14 3" xfId="31294"/>
    <cellStyle name="Heading 2 2 2 2 6 3 15" xfId="31295"/>
    <cellStyle name="Heading 2 2 2 2 6 3 15 2" xfId="31296"/>
    <cellStyle name="Heading 2 2 2 2 6 3 15 2 2" xfId="31297"/>
    <cellStyle name="Heading 2 2 2 2 6 3 15 3" xfId="31298"/>
    <cellStyle name="Heading 2 2 2 2 6 3 16" xfId="31299"/>
    <cellStyle name="Heading 2 2 2 2 6 3 16 2" xfId="31300"/>
    <cellStyle name="Heading 2 2 2 2 6 3 16 2 2" xfId="31301"/>
    <cellStyle name="Heading 2 2 2 2 6 3 16 3" xfId="31302"/>
    <cellStyle name="Heading 2 2 2 2 6 3 17" xfId="31303"/>
    <cellStyle name="Heading 2 2 2 2 6 3 17 2" xfId="31304"/>
    <cellStyle name="Heading 2 2 2 2 6 3 17 2 2" xfId="31305"/>
    <cellStyle name="Heading 2 2 2 2 6 3 17 3" xfId="31306"/>
    <cellStyle name="Heading 2 2 2 2 6 3 18" xfId="31307"/>
    <cellStyle name="Heading 2 2 2 2 6 3 18 2" xfId="31308"/>
    <cellStyle name="Heading 2 2 2 2 6 3 18 2 2" xfId="31309"/>
    <cellStyle name="Heading 2 2 2 2 6 3 18 3" xfId="31310"/>
    <cellStyle name="Heading 2 2 2 2 6 3 19" xfId="31311"/>
    <cellStyle name="Heading 2 2 2 2 6 3 19 2" xfId="31312"/>
    <cellStyle name="Heading 2 2 2 2 6 3 2" xfId="31313"/>
    <cellStyle name="Heading 2 2 2 2 6 3 2 2" xfId="31314"/>
    <cellStyle name="Heading 2 2 2 2 6 3 2 2 2" xfId="31315"/>
    <cellStyle name="Heading 2 2 2 2 6 3 2 2 2 2" xfId="31316"/>
    <cellStyle name="Heading 2 2 2 2 6 3 2 2 3" xfId="31317"/>
    <cellStyle name="Heading 2 2 2 2 6 3 2 3" xfId="31318"/>
    <cellStyle name="Heading 2 2 2 2 6 3 2 3 2" xfId="31319"/>
    <cellStyle name="Heading 2 2 2 2 6 3 2 3 2 2" xfId="31320"/>
    <cellStyle name="Heading 2 2 2 2 6 3 2 3 3" xfId="31321"/>
    <cellStyle name="Heading 2 2 2 2 6 3 2 4" xfId="31322"/>
    <cellStyle name="Heading 2 2 2 2 6 3 2 4 2" xfId="31323"/>
    <cellStyle name="Heading 2 2 2 2 6 3 2 4 2 2" xfId="31324"/>
    <cellStyle name="Heading 2 2 2 2 6 3 2 4 3" xfId="31325"/>
    <cellStyle name="Heading 2 2 2 2 6 3 2 5" xfId="31326"/>
    <cellStyle name="Heading 2 2 2 2 6 3 2 5 2" xfId="31327"/>
    <cellStyle name="Heading 2 2 2 2 6 3 2 5 2 2" xfId="31328"/>
    <cellStyle name="Heading 2 2 2 2 6 3 2 5 3" xfId="31329"/>
    <cellStyle name="Heading 2 2 2 2 6 3 2 6" xfId="31330"/>
    <cellStyle name="Heading 2 2 2 2 6 3 2 6 2" xfId="31331"/>
    <cellStyle name="Heading 2 2 2 2 6 3 2 6 2 2" xfId="31332"/>
    <cellStyle name="Heading 2 2 2 2 6 3 2 6 3" xfId="31333"/>
    <cellStyle name="Heading 2 2 2 2 6 3 2 7" xfId="31334"/>
    <cellStyle name="Heading 2 2 2 2 6 3 2 7 2" xfId="31335"/>
    <cellStyle name="Heading 2 2 2 2 6 3 2 7 2 2" xfId="31336"/>
    <cellStyle name="Heading 2 2 2 2 6 3 2 7 3" xfId="31337"/>
    <cellStyle name="Heading 2 2 2 2 6 3 2 8" xfId="31338"/>
    <cellStyle name="Heading 2 2 2 2 6 3 2 8 2" xfId="31339"/>
    <cellStyle name="Heading 2 2 2 2 6 3 2 9" xfId="31340"/>
    <cellStyle name="Heading 2 2 2 2 6 3 20" xfId="31341"/>
    <cellStyle name="Heading 2 2 2 2 6 3 20 2" xfId="31342"/>
    <cellStyle name="Heading 2 2 2 2 6 3 21" xfId="31343"/>
    <cellStyle name="Heading 2 2 2 2 6 3 21 2" xfId="31344"/>
    <cellStyle name="Heading 2 2 2 2 6 3 22" xfId="31345"/>
    <cellStyle name="Heading 2 2 2 2 6 3 3" xfId="31346"/>
    <cellStyle name="Heading 2 2 2 2 6 3 3 2" xfId="31347"/>
    <cellStyle name="Heading 2 2 2 2 6 3 3 2 2" xfId="31348"/>
    <cellStyle name="Heading 2 2 2 2 6 3 3 2 2 2" xfId="31349"/>
    <cellStyle name="Heading 2 2 2 2 6 3 3 2 3" xfId="31350"/>
    <cellStyle name="Heading 2 2 2 2 6 3 3 3" xfId="31351"/>
    <cellStyle name="Heading 2 2 2 2 6 3 3 3 2" xfId="31352"/>
    <cellStyle name="Heading 2 2 2 2 6 3 3 3 2 2" xfId="31353"/>
    <cellStyle name="Heading 2 2 2 2 6 3 3 3 3" xfId="31354"/>
    <cellStyle name="Heading 2 2 2 2 6 3 3 4" xfId="31355"/>
    <cellStyle name="Heading 2 2 2 2 6 3 3 4 2" xfId="31356"/>
    <cellStyle name="Heading 2 2 2 2 6 3 3 4 2 2" xfId="31357"/>
    <cellStyle name="Heading 2 2 2 2 6 3 3 4 3" xfId="31358"/>
    <cellStyle name="Heading 2 2 2 2 6 3 3 5" xfId="31359"/>
    <cellStyle name="Heading 2 2 2 2 6 3 3 5 2" xfId="31360"/>
    <cellStyle name="Heading 2 2 2 2 6 3 3 5 2 2" xfId="31361"/>
    <cellStyle name="Heading 2 2 2 2 6 3 3 5 3" xfId="31362"/>
    <cellStyle name="Heading 2 2 2 2 6 3 3 6" xfId="31363"/>
    <cellStyle name="Heading 2 2 2 2 6 3 3 6 2" xfId="31364"/>
    <cellStyle name="Heading 2 2 2 2 6 3 3 6 2 2" xfId="31365"/>
    <cellStyle name="Heading 2 2 2 2 6 3 3 6 3" xfId="31366"/>
    <cellStyle name="Heading 2 2 2 2 6 3 3 7" xfId="31367"/>
    <cellStyle name="Heading 2 2 2 2 6 3 3 7 2" xfId="31368"/>
    <cellStyle name="Heading 2 2 2 2 6 3 3 7 2 2" xfId="31369"/>
    <cellStyle name="Heading 2 2 2 2 6 3 3 7 3" xfId="31370"/>
    <cellStyle name="Heading 2 2 2 2 6 3 3 8" xfId="31371"/>
    <cellStyle name="Heading 2 2 2 2 6 3 3 8 2" xfId="31372"/>
    <cellStyle name="Heading 2 2 2 2 6 3 3 9" xfId="31373"/>
    <cellStyle name="Heading 2 2 2 2 6 3 4" xfId="31374"/>
    <cellStyle name="Heading 2 2 2 2 6 3 4 2" xfId="31375"/>
    <cellStyle name="Heading 2 2 2 2 6 3 4 2 2" xfId="31376"/>
    <cellStyle name="Heading 2 2 2 2 6 3 4 2 2 2" xfId="31377"/>
    <cellStyle name="Heading 2 2 2 2 6 3 4 2 3" xfId="31378"/>
    <cellStyle name="Heading 2 2 2 2 6 3 4 3" xfId="31379"/>
    <cellStyle name="Heading 2 2 2 2 6 3 4 3 2" xfId="31380"/>
    <cellStyle name="Heading 2 2 2 2 6 3 4 3 2 2" xfId="31381"/>
    <cellStyle name="Heading 2 2 2 2 6 3 4 3 3" xfId="31382"/>
    <cellStyle name="Heading 2 2 2 2 6 3 4 4" xfId="31383"/>
    <cellStyle name="Heading 2 2 2 2 6 3 4 4 2" xfId="31384"/>
    <cellStyle name="Heading 2 2 2 2 6 3 4 4 2 2" xfId="31385"/>
    <cellStyle name="Heading 2 2 2 2 6 3 4 4 3" xfId="31386"/>
    <cellStyle name="Heading 2 2 2 2 6 3 4 5" xfId="31387"/>
    <cellStyle name="Heading 2 2 2 2 6 3 4 5 2" xfId="31388"/>
    <cellStyle name="Heading 2 2 2 2 6 3 4 5 2 2" xfId="31389"/>
    <cellStyle name="Heading 2 2 2 2 6 3 4 5 3" xfId="31390"/>
    <cellStyle name="Heading 2 2 2 2 6 3 4 6" xfId="31391"/>
    <cellStyle name="Heading 2 2 2 2 6 3 4 6 2" xfId="31392"/>
    <cellStyle name="Heading 2 2 2 2 6 3 4 6 2 2" xfId="31393"/>
    <cellStyle name="Heading 2 2 2 2 6 3 4 6 3" xfId="31394"/>
    <cellStyle name="Heading 2 2 2 2 6 3 4 7" xfId="31395"/>
    <cellStyle name="Heading 2 2 2 2 6 3 4 7 2" xfId="31396"/>
    <cellStyle name="Heading 2 2 2 2 6 3 4 7 2 2" xfId="31397"/>
    <cellStyle name="Heading 2 2 2 2 6 3 4 7 3" xfId="31398"/>
    <cellStyle name="Heading 2 2 2 2 6 3 4 8" xfId="31399"/>
    <cellStyle name="Heading 2 2 2 2 6 3 4 8 2" xfId="31400"/>
    <cellStyle name="Heading 2 2 2 2 6 3 4 9" xfId="31401"/>
    <cellStyle name="Heading 2 2 2 2 6 3 5" xfId="31402"/>
    <cellStyle name="Heading 2 2 2 2 6 3 5 2" xfId="31403"/>
    <cellStyle name="Heading 2 2 2 2 6 3 5 2 2" xfId="31404"/>
    <cellStyle name="Heading 2 2 2 2 6 3 5 2 2 2" xfId="31405"/>
    <cellStyle name="Heading 2 2 2 2 6 3 5 2 3" xfId="31406"/>
    <cellStyle name="Heading 2 2 2 2 6 3 5 3" xfId="31407"/>
    <cellStyle name="Heading 2 2 2 2 6 3 5 3 2" xfId="31408"/>
    <cellStyle name="Heading 2 2 2 2 6 3 5 3 2 2" xfId="31409"/>
    <cellStyle name="Heading 2 2 2 2 6 3 5 3 3" xfId="31410"/>
    <cellStyle name="Heading 2 2 2 2 6 3 5 4" xfId="31411"/>
    <cellStyle name="Heading 2 2 2 2 6 3 5 4 2" xfId="31412"/>
    <cellStyle name="Heading 2 2 2 2 6 3 5 4 2 2" xfId="31413"/>
    <cellStyle name="Heading 2 2 2 2 6 3 5 4 3" xfId="31414"/>
    <cellStyle name="Heading 2 2 2 2 6 3 5 5" xfId="31415"/>
    <cellStyle name="Heading 2 2 2 2 6 3 5 5 2" xfId="31416"/>
    <cellStyle name="Heading 2 2 2 2 6 3 5 5 2 2" xfId="31417"/>
    <cellStyle name="Heading 2 2 2 2 6 3 5 5 3" xfId="31418"/>
    <cellStyle name="Heading 2 2 2 2 6 3 5 6" xfId="31419"/>
    <cellStyle name="Heading 2 2 2 2 6 3 5 6 2" xfId="31420"/>
    <cellStyle name="Heading 2 2 2 2 6 3 5 6 2 2" xfId="31421"/>
    <cellStyle name="Heading 2 2 2 2 6 3 5 6 3" xfId="31422"/>
    <cellStyle name="Heading 2 2 2 2 6 3 5 7" xfId="31423"/>
    <cellStyle name="Heading 2 2 2 2 6 3 5 7 2" xfId="31424"/>
    <cellStyle name="Heading 2 2 2 2 6 3 5 7 2 2" xfId="31425"/>
    <cellStyle name="Heading 2 2 2 2 6 3 5 7 3" xfId="31426"/>
    <cellStyle name="Heading 2 2 2 2 6 3 5 8" xfId="31427"/>
    <cellStyle name="Heading 2 2 2 2 6 3 5 8 2" xfId="31428"/>
    <cellStyle name="Heading 2 2 2 2 6 3 5 9" xfId="31429"/>
    <cellStyle name="Heading 2 2 2 2 6 3 6" xfId="31430"/>
    <cellStyle name="Heading 2 2 2 2 6 3 6 2" xfId="31431"/>
    <cellStyle name="Heading 2 2 2 2 6 3 6 2 2" xfId="31432"/>
    <cellStyle name="Heading 2 2 2 2 6 3 6 2 2 2" xfId="31433"/>
    <cellStyle name="Heading 2 2 2 2 6 3 6 2 3" xfId="31434"/>
    <cellStyle name="Heading 2 2 2 2 6 3 6 3" xfId="31435"/>
    <cellStyle name="Heading 2 2 2 2 6 3 6 3 2" xfId="31436"/>
    <cellStyle name="Heading 2 2 2 2 6 3 6 3 2 2" xfId="31437"/>
    <cellStyle name="Heading 2 2 2 2 6 3 6 3 3" xfId="31438"/>
    <cellStyle name="Heading 2 2 2 2 6 3 6 4" xfId="31439"/>
    <cellStyle name="Heading 2 2 2 2 6 3 6 4 2" xfId="31440"/>
    <cellStyle name="Heading 2 2 2 2 6 3 6 4 2 2" xfId="31441"/>
    <cellStyle name="Heading 2 2 2 2 6 3 6 4 3" xfId="31442"/>
    <cellStyle name="Heading 2 2 2 2 6 3 6 5" xfId="31443"/>
    <cellStyle name="Heading 2 2 2 2 6 3 6 5 2" xfId="31444"/>
    <cellStyle name="Heading 2 2 2 2 6 3 6 5 2 2" xfId="31445"/>
    <cellStyle name="Heading 2 2 2 2 6 3 6 5 3" xfId="31446"/>
    <cellStyle name="Heading 2 2 2 2 6 3 6 6" xfId="31447"/>
    <cellStyle name="Heading 2 2 2 2 6 3 6 6 2" xfId="31448"/>
    <cellStyle name="Heading 2 2 2 2 6 3 6 6 2 2" xfId="31449"/>
    <cellStyle name="Heading 2 2 2 2 6 3 6 6 3" xfId="31450"/>
    <cellStyle name="Heading 2 2 2 2 6 3 6 7" xfId="31451"/>
    <cellStyle name="Heading 2 2 2 2 6 3 6 7 2" xfId="31452"/>
    <cellStyle name="Heading 2 2 2 2 6 3 6 7 2 2" xfId="31453"/>
    <cellStyle name="Heading 2 2 2 2 6 3 6 7 3" xfId="31454"/>
    <cellStyle name="Heading 2 2 2 2 6 3 6 8" xfId="31455"/>
    <cellStyle name="Heading 2 2 2 2 6 3 6 8 2" xfId="31456"/>
    <cellStyle name="Heading 2 2 2 2 6 3 6 9" xfId="31457"/>
    <cellStyle name="Heading 2 2 2 2 6 3 7" xfId="31458"/>
    <cellStyle name="Heading 2 2 2 2 6 3 7 2" xfId="31459"/>
    <cellStyle name="Heading 2 2 2 2 6 3 7 2 2" xfId="31460"/>
    <cellStyle name="Heading 2 2 2 2 6 3 7 2 2 2" xfId="31461"/>
    <cellStyle name="Heading 2 2 2 2 6 3 7 2 3" xfId="31462"/>
    <cellStyle name="Heading 2 2 2 2 6 3 7 3" xfId="31463"/>
    <cellStyle name="Heading 2 2 2 2 6 3 7 3 2" xfId="31464"/>
    <cellStyle name="Heading 2 2 2 2 6 3 7 3 2 2" xfId="31465"/>
    <cellStyle name="Heading 2 2 2 2 6 3 7 3 3" xfId="31466"/>
    <cellStyle name="Heading 2 2 2 2 6 3 7 4" xfId="31467"/>
    <cellStyle name="Heading 2 2 2 2 6 3 7 4 2" xfId="31468"/>
    <cellStyle name="Heading 2 2 2 2 6 3 7 4 2 2" xfId="31469"/>
    <cellStyle name="Heading 2 2 2 2 6 3 7 4 3" xfId="31470"/>
    <cellStyle name="Heading 2 2 2 2 6 3 7 5" xfId="31471"/>
    <cellStyle name="Heading 2 2 2 2 6 3 7 5 2" xfId="31472"/>
    <cellStyle name="Heading 2 2 2 2 6 3 7 5 2 2" xfId="31473"/>
    <cellStyle name="Heading 2 2 2 2 6 3 7 5 3" xfId="31474"/>
    <cellStyle name="Heading 2 2 2 2 6 3 7 6" xfId="31475"/>
    <cellStyle name="Heading 2 2 2 2 6 3 7 6 2" xfId="31476"/>
    <cellStyle name="Heading 2 2 2 2 6 3 7 6 2 2" xfId="31477"/>
    <cellStyle name="Heading 2 2 2 2 6 3 7 6 3" xfId="31478"/>
    <cellStyle name="Heading 2 2 2 2 6 3 7 7" xfId="31479"/>
    <cellStyle name="Heading 2 2 2 2 6 3 7 7 2" xfId="31480"/>
    <cellStyle name="Heading 2 2 2 2 6 3 7 7 2 2" xfId="31481"/>
    <cellStyle name="Heading 2 2 2 2 6 3 7 7 3" xfId="31482"/>
    <cellStyle name="Heading 2 2 2 2 6 3 7 8" xfId="31483"/>
    <cellStyle name="Heading 2 2 2 2 6 3 7 8 2" xfId="31484"/>
    <cellStyle name="Heading 2 2 2 2 6 3 7 9" xfId="31485"/>
    <cellStyle name="Heading 2 2 2 2 6 3 8" xfId="31486"/>
    <cellStyle name="Heading 2 2 2 2 6 3 8 2" xfId="31487"/>
    <cellStyle name="Heading 2 2 2 2 6 3 8 2 2" xfId="31488"/>
    <cellStyle name="Heading 2 2 2 2 6 3 8 2 2 2" xfId="31489"/>
    <cellStyle name="Heading 2 2 2 2 6 3 8 2 3" xfId="31490"/>
    <cellStyle name="Heading 2 2 2 2 6 3 8 3" xfId="31491"/>
    <cellStyle name="Heading 2 2 2 2 6 3 8 3 2" xfId="31492"/>
    <cellStyle name="Heading 2 2 2 2 6 3 8 3 2 2" xfId="31493"/>
    <cellStyle name="Heading 2 2 2 2 6 3 8 3 3" xfId="31494"/>
    <cellStyle name="Heading 2 2 2 2 6 3 8 4" xfId="31495"/>
    <cellStyle name="Heading 2 2 2 2 6 3 8 4 2" xfId="31496"/>
    <cellStyle name="Heading 2 2 2 2 6 3 8 4 2 2" xfId="31497"/>
    <cellStyle name="Heading 2 2 2 2 6 3 8 4 3" xfId="31498"/>
    <cellStyle name="Heading 2 2 2 2 6 3 8 5" xfId="31499"/>
    <cellStyle name="Heading 2 2 2 2 6 3 8 5 2" xfId="31500"/>
    <cellStyle name="Heading 2 2 2 2 6 3 8 5 2 2" xfId="31501"/>
    <cellStyle name="Heading 2 2 2 2 6 3 8 5 3" xfId="31502"/>
    <cellStyle name="Heading 2 2 2 2 6 3 8 6" xfId="31503"/>
    <cellStyle name="Heading 2 2 2 2 6 3 8 6 2" xfId="31504"/>
    <cellStyle name="Heading 2 2 2 2 6 3 8 6 2 2" xfId="31505"/>
    <cellStyle name="Heading 2 2 2 2 6 3 8 6 3" xfId="31506"/>
    <cellStyle name="Heading 2 2 2 2 6 3 8 7" xfId="31507"/>
    <cellStyle name="Heading 2 2 2 2 6 3 8 7 2" xfId="31508"/>
    <cellStyle name="Heading 2 2 2 2 6 3 8 7 2 2" xfId="31509"/>
    <cellStyle name="Heading 2 2 2 2 6 3 8 7 3" xfId="31510"/>
    <cellStyle name="Heading 2 2 2 2 6 3 8 8" xfId="31511"/>
    <cellStyle name="Heading 2 2 2 2 6 3 8 8 2" xfId="31512"/>
    <cellStyle name="Heading 2 2 2 2 6 3 8 9" xfId="31513"/>
    <cellStyle name="Heading 2 2 2 2 6 3 9" xfId="31514"/>
    <cellStyle name="Heading 2 2 2 2 6 3 9 2" xfId="31515"/>
    <cellStyle name="Heading 2 2 2 2 6 3 9 2 2" xfId="31516"/>
    <cellStyle name="Heading 2 2 2 2 6 3 9 3" xfId="31517"/>
    <cellStyle name="Heading 2 2 2 2 6 4" xfId="31518"/>
    <cellStyle name="Heading 2 2 2 2 6 4 2" xfId="31519"/>
    <cellStyle name="Heading 2 2 2 2 6 4 2 2" xfId="31520"/>
    <cellStyle name="Heading 2 2 2 2 6 4 3" xfId="31521"/>
    <cellStyle name="Heading 2 2 2 2 6 5" xfId="31522"/>
    <cellStyle name="Heading 2 2 2 2 6 5 2" xfId="31523"/>
    <cellStyle name="Heading 2 2 2 2 6 6" xfId="31524"/>
    <cellStyle name="Heading 2 2 2 2 7" xfId="31525"/>
    <cellStyle name="Heading 2 2 2 2 7 2" xfId="31526"/>
    <cellStyle name="Heading 2 2 2 2 7 2 10" xfId="31527"/>
    <cellStyle name="Heading 2 2 2 2 7 2 10 2" xfId="31528"/>
    <cellStyle name="Heading 2 2 2 2 7 2 10 2 2" xfId="31529"/>
    <cellStyle name="Heading 2 2 2 2 7 2 10 3" xfId="31530"/>
    <cellStyle name="Heading 2 2 2 2 7 2 11" xfId="31531"/>
    <cellStyle name="Heading 2 2 2 2 7 2 11 2" xfId="31532"/>
    <cellStyle name="Heading 2 2 2 2 7 2 11 2 2" xfId="31533"/>
    <cellStyle name="Heading 2 2 2 2 7 2 11 3" xfId="31534"/>
    <cellStyle name="Heading 2 2 2 2 7 2 12" xfId="31535"/>
    <cellStyle name="Heading 2 2 2 2 7 2 12 2" xfId="31536"/>
    <cellStyle name="Heading 2 2 2 2 7 2 12 2 2" xfId="31537"/>
    <cellStyle name="Heading 2 2 2 2 7 2 12 3" xfId="31538"/>
    <cellStyle name="Heading 2 2 2 2 7 2 13" xfId="31539"/>
    <cellStyle name="Heading 2 2 2 2 7 2 13 2" xfId="31540"/>
    <cellStyle name="Heading 2 2 2 2 7 2 13 2 2" xfId="31541"/>
    <cellStyle name="Heading 2 2 2 2 7 2 13 3" xfId="31542"/>
    <cellStyle name="Heading 2 2 2 2 7 2 14" xfId="31543"/>
    <cellStyle name="Heading 2 2 2 2 7 2 14 2" xfId="31544"/>
    <cellStyle name="Heading 2 2 2 2 7 2 14 2 2" xfId="31545"/>
    <cellStyle name="Heading 2 2 2 2 7 2 14 3" xfId="31546"/>
    <cellStyle name="Heading 2 2 2 2 7 2 15" xfId="31547"/>
    <cellStyle name="Heading 2 2 2 2 7 2 15 2" xfId="31548"/>
    <cellStyle name="Heading 2 2 2 2 7 2 15 2 2" xfId="31549"/>
    <cellStyle name="Heading 2 2 2 2 7 2 15 3" xfId="31550"/>
    <cellStyle name="Heading 2 2 2 2 7 2 16" xfId="31551"/>
    <cellStyle name="Heading 2 2 2 2 7 2 16 2" xfId="31552"/>
    <cellStyle name="Heading 2 2 2 2 7 2 16 2 2" xfId="31553"/>
    <cellStyle name="Heading 2 2 2 2 7 2 16 3" xfId="31554"/>
    <cellStyle name="Heading 2 2 2 2 7 2 17" xfId="31555"/>
    <cellStyle name="Heading 2 2 2 2 7 2 17 2" xfId="31556"/>
    <cellStyle name="Heading 2 2 2 2 7 2 17 2 2" xfId="31557"/>
    <cellStyle name="Heading 2 2 2 2 7 2 17 3" xfId="31558"/>
    <cellStyle name="Heading 2 2 2 2 7 2 18" xfId="31559"/>
    <cellStyle name="Heading 2 2 2 2 7 2 18 2" xfId="31560"/>
    <cellStyle name="Heading 2 2 2 2 7 2 18 2 2" xfId="31561"/>
    <cellStyle name="Heading 2 2 2 2 7 2 18 3" xfId="31562"/>
    <cellStyle name="Heading 2 2 2 2 7 2 19" xfId="31563"/>
    <cellStyle name="Heading 2 2 2 2 7 2 19 2" xfId="31564"/>
    <cellStyle name="Heading 2 2 2 2 7 2 19 2 2" xfId="31565"/>
    <cellStyle name="Heading 2 2 2 2 7 2 19 3" xfId="31566"/>
    <cellStyle name="Heading 2 2 2 2 7 2 2" xfId="31567"/>
    <cellStyle name="Heading 2 2 2 2 7 2 2 10" xfId="31568"/>
    <cellStyle name="Heading 2 2 2 2 7 2 2 10 2" xfId="31569"/>
    <cellStyle name="Heading 2 2 2 2 7 2 2 10 2 2" xfId="31570"/>
    <cellStyle name="Heading 2 2 2 2 7 2 2 10 3" xfId="31571"/>
    <cellStyle name="Heading 2 2 2 2 7 2 2 11" xfId="31572"/>
    <cellStyle name="Heading 2 2 2 2 7 2 2 11 2" xfId="31573"/>
    <cellStyle name="Heading 2 2 2 2 7 2 2 11 2 2" xfId="31574"/>
    <cellStyle name="Heading 2 2 2 2 7 2 2 11 3" xfId="31575"/>
    <cellStyle name="Heading 2 2 2 2 7 2 2 12" xfId="31576"/>
    <cellStyle name="Heading 2 2 2 2 7 2 2 12 2" xfId="31577"/>
    <cellStyle name="Heading 2 2 2 2 7 2 2 12 2 2" xfId="31578"/>
    <cellStyle name="Heading 2 2 2 2 7 2 2 12 3" xfId="31579"/>
    <cellStyle name="Heading 2 2 2 2 7 2 2 13" xfId="31580"/>
    <cellStyle name="Heading 2 2 2 2 7 2 2 13 2" xfId="31581"/>
    <cellStyle name="Heading 2 2 2 2 7 2 2 13 2 2" xfId="31582"/>
    <cellStyle name="Heading 2 2 2 2 7 2 2 13 3" xfId="31583"/>
    <cellStyle name="Heading 2 2 2 2 7 2 2 14" xfId="31584"/>
    <cellStyle name="Heading 2 2 2 2 7 2 2 14 2" xfId="31585"/>
    <cellStyle name="Heading 2 2 2 2 7 2 2 14 2 2" xfId="31586"/>
    <cellStyle name="Heading 2 2 2 2 7 2 2 14 3" xfId="31587"/>
    <cellStyle name="Heading 2 2 2 2 7 2 2 15" xfId="31588"/>
    <cellStyle name="Heading 2 2 2 2 7 2 2 15 2" xfId="31589"/>
    <cellStyle name="Heading 2 2 2 2 7 2 2 15 2 2" xfId="31590"/>
    <cellStyle name="Heading 2 2 2 2 7 2 2 15 3" xfId="31591"/>
    <cellStyle name="Heading 2 2 2 2 7 2 2 16" xfId="31592"/>
    <cellStyle name="Heading 2 2 2 2 7 2 2 16 2" xfId="31593"/>
    <cellStyle name="Heading 2 2 2 2 7 2 2 16 2 2" xfId="31594"/>
    <cellStyle name="Heading 2 2 2 2 7 2 2 16 3" xfId="31595"/>
    <cellStyle name="Heading 2 2 2 2 7 2 2 17" xfId="31596"/>
    <cellStyle name="Heading 2 2 2 2 7 2 2 17 2" xfId="31597"/>
    <cellStyle name="Heading 2 2 2 2 7 2 2 17 2 2" xfId="31598"/>
    <cellStyle name="Heading 2 2 2 2 7 2 2 17 3" xfId="31599"/>
    <cellStyle name="Heading 2 2 2 2 7 2 2 18" xfId="31600"/>
    <cellStyle name="Heading 2 2 2 2 7 2 2 18 2" xfId="31601"/>
    <cellStyle name="Heading 2 2 2 2 7 2 2 18 2 2" xfId="31602"/>
    <cellStyle name="Heading 2 2 2 2 7 2 2 18 3" xfId="31603"/>
    <cellStyle name="Heading 2 2 2 2 7 2 2 19" xfId="31604"/>
    <cellStyle name="Heading 2 2 2 2 7 2 2 19 2" xfId="31605"/>
    <cellStyle name="Heading 2 2 2 2 7 2 2 2" xfId="31606"/>
    <cellStyle name="Heading 2 2 2 2 7 2 2 2 2" xfId="31607"/>
    <cellStyle name="Heading 2 2 2 2 7 2 2 2 2 2" xfId="31608"/>
    <cellStyle name="Heading 2 2 2 2 7 2 2 2 2 2 2" xfId="31609"/>
    <cellStyle name="Heading 2 2 2 2 7 2 2 2 2 3" xfId="31610"/>
    <cellStyle name="Heading 2 2 2 2 7 2 2 2 3" xfId="31611"/>
    <cellStyle name="Heading 2 2 2 2 7 2 2 2 3 2" xfId="31612"/>
    <cellStyle name="Heading 2 2 2 2 7 2 2 2 3 2 2" xfId="31613"/>
    <cellStyle name="Heading 2 2 2 2 7 2 2 2 3 3" xfId="31614"/>
    <cellStyle name="Heading 2 2 2 2 7 2 2 2 4" xfId="31615"/>
    <cellStyle name="Heading 2 2 2 2 7 2 2 2 4 2" xfId="31616"/>
    <cellStyle name="Heading 2 2 2 2 7 2 2 2 4 2 2" xfId="31617"/>
    <cellStyle name="Heading 2 2 2 2 7 2 2 2 4 3" xfId="31618"/>
    <cellStyle name="Heading 2 2 2 2 7 2 2 2 5" xfId="31619"/>
    <cellStyle name="Heading 2 2 2 2 7 2 2 2 5 2" xfId="31620"/>
    <cellStyle name="Heading 2 2 2 2 7 2 2 2 5 2 2" xfId="31621"/>
    <cellStyle name="Heading 2 2 2 2 7 2 2 2 5 3" xfId="31622"/>
    <cellStyle name="Heading 2 2 2 2 7 2 2 2 6" xfId="31623"/>
    <cellStyle name="Heading 2 2 2 2 7 2 2 2 6 2" xfId="31624"/>
    <cellStyle name="Heading 2 2 2 2 7 2 2 2 6 2 2" xfId="31625"/>
    <cellStyle name="Heading 2 2 2 2 7 2 2 2 6 3" xfId="31626"/>
    <cellStyle name="Heading 2 2 2 2 7 2 2 2 7" xfId="31627"/>
    <cellStyle name="Heading 2 2 2 2 7 2 2 2 7 2" xfId="31628"/>
    <cellStyle name="Heading 2 2 2 2 7 2 2 2 7 2 2" xfId="31629"/>
    <cellStyle name="Heading 2 2 2 2 7 2 2 2 7 3" xfId="31630"/>
    <cellStyle name="Heading 2 2 2 2 7 2 2 2 8" xfId="31631"/>
    <cellStyle name="Heading 2 2 2 2 7 2 2 2 8 2" xfId="31632"/>
    <cellStyle name="Heading 2 2 2 2 7 2 2 2 9" xfId="31633"/>
    <cellStyle name="Heading 2 2 2 2 7 2 2 20" xfId="31634"/>
    <cellStyle name="Heading 2 2 2 2 7 2 2 20 2" xfId="31635"/>
    <cellStyle name="Heading 2 2 2 2 7 2 2 21" xfId="31636"/>
    <cellStyle name="Heading 2 2 2 2 7 2 2 21 2" xfId="31637"/>
    <cellStyle name="Heading 2 2 2 2 7 2 2 22" xfId="31638"/>
    <cellStyle name="Heading 2 2 2 2 7 2 2 3" xfId="31639"/>
    <cellStyle name="Heading 2 2 2 2 7 2 2 3 2" xfId="31640"/>
    <cellStyle name="Heading 2 2 2 2 7 2 2 3 2 2" xfId="31641"/>
    <cellStyle name="Heading 2 2 2 2 7 2 2 3 2 2 2" xfId="31642"/>
    <cellStyle name="Heading 2 2 2 2 7 2 2 3 2 3" xfId="31643"/>
    <cellStyle name="Heading 2 2 2 2 7 2 2 3 3" xfId="31644"/>
    <cellStyle name="Heading 2 2 2 2 7 2 2 3 3 2" xfId="31645"/>
    <cellStyle name="Heading 2 2 2 2 7 2 2 3 3 2 2" xfId="31646"/>
    <cellStyle name="Heading 2 2 2 2 7 2 2 3 3 3" xfId="31647"/>
    <cellStyle name="Heading 2 2 2 2 7 2 2 3 4" xfId="31648"/>
    <cellStyle name="Heading 2 2 2 2 7 2 2 3 4 2" xfId="31649"/>
    <cellStyle name="Heading 2 2 2 2 7 2 2 3 4 2 2" xfId="31650"/>
    <cellStyle name="Heading 2 2 2 2 7 2 2 3 4 3" xfId="31651"/>
    <cellStyle name="Heading 2 2 2 2 7 2 2 3 5" xfId="31652"/>
    <cellStyle name="Heading 2 2 2 2 7 2 2 3 5 2" xfId="31653"/>
    <cellStyle name="Heading 2 2 2 2 7 2 2 3 5 2 2" xfId="31654"/>
    <cellStyle name="Heading 2 2 2 2 7 2 2 3 5 3" xfId="31655"/>
    <cellStyle name="Heading 2 2 2 2 7 2 2 3 6" xfId="31656"/>
    <cellStyle name="Heading 2 2 2 2 7 2 2 3 6 2" xfId="31657"/>
    <cellStyle name="Heading 2 2 2 2 7 2 2 3 6 2 2" xfId="31658"/>
    <cellStyle name="Heading 2 2 2 2 7 2 2 3 6 3" xfId="31659"/>
    <cellStyle name="Heading 2 2 2 2 7 2 2 3 7" xfId="31660"/>
    <cellStyle name="Heading 2 2 2 2 7 2 2 3 7 2" xfId="31661"/>
    <cellStyle name="Heading 2 2 2 2 7 2 2 3 7 2 2" xfId="31662"/>
    <cellStyle name="Heading 2 2 2 2 7 2 2 3 7 3" xfId="31663"/>
    <cellStyle name="Heading 2 2 2 2 7 2 2 3 8" xfId="31664"/>
    <cellStyle name="Heading 2 2 2 2 7 2 2 3 8 2" xfId="31665"/>
    <cellStyle name="Heading 2 2 2 2 7 2 2 3 9" xfId="31666"/>
    <cellStyle name="Heading 2 2 2 2 7 2 2 4" xfId="31667"/>
    <cellStyle name="Heading 2 2 2 2 7 2 2 4 2" xfId="31668"/>
    <cellStyle name="Heading 2 2 2 2 7 2 2 4 2 2" xfId="31669"/>
    <cellStyle name="Heading 2 2 2 2 7 2 2 4 2 2 2" xfId="31670"/>
    <cellStyle name="Heading 2 2 2 2 7 2 2 4 2 3" xfId="31671"/>
    <cellStyle name="Heading 2 2 2 2 7 2 2 4 3" xfId="31672"/>
    <cellStyle name="Heading 2 2 2 2 7 2 2 4 3 2" xfId="31673"/>
    <cellStyle name="Heading 2 2 2 2 7 2 2 4 3 2 2" xfId="31674"/>
    <cellStyle name="Heading 2 2 2 2 7 2 2 4 3 3" xfId="31675"/>
    <cellStyle name="Heading 2 2 2 2 7 2 2 4 4" xfId="31676"/>
    <cellStyle name="Heading 2 2 2 2 7 2 2 4 4 2" xfId="31677"/>
    <cellStyle name="Heading 2 2 2 2 7 2 2 4 4 2 2" xfId="31678"/>
    <cellStyle name="Heading 2 2 2 2 7 2 2 4 4 3" xfId="31679"/>
    <cellStyle name="Heading 2 2 2 2 7 2 2 4 5" xfId="31680"/>
    <cellStyle name="Heading 2 2 2 2 7 2 2 4 5 2" xfId="31681"/>
    <cellStyle name="Heading 2 2 2 2 7 2 2 4 5 2 2" xfId="31682"/>
    <cellStyle name="Heading 2 2 2 2 7 2 2 4 5 3" xfId="31683"/>
    <cellStyle name="Heading 2 2 2 2 7 2 2 4 6" xfId="31684"/>
    <cellStyle name="Heading 2 2 2 2 7 2 2 4 6 2" xfId="31685"/>
    <cellStyle name="Heading 2 2 2 2 7 2 2 4 6 2 2" xfId="31686"/>
    <cellStyle name="Heading 2 2 2 2 7 2 2 4 6 3" xfId="31687"/>
    <cellStyle name="Heading 2 2 2 2 7 2 2 4 7" xfId="31688"/>
    <cellStyle name="Heading 2 2 2 2 7 2 2 4 7 2" xfId="31689"/>
    <cellStyle name="Heading 2 2 2 2 7 2 2 4 7 2 2" xfId="31690"/>
    <cellStyle name="Heading 2 2 2 2 7 2 2 4 7 3" xfId="31691"/>
    <cellStyle name="Heading 2 2 2 2 7 2 2 4 8" xfId="31692"/>
    <cellStyle name="Heading 2 2 2 2 7 2 2 4 8 2" xfId="31693"/>
    <cellStyle name="Heading 2 2 2 2 7 2 2 4 9" xfId="31694"/>
    <cellStyle name="Heading 2 2 2 2 7 2 2 5" xfId="31695"/>
    <cellStyle name="Heading 2 2 2 2 7 2 2 5 2" xfId="31696"/>
    <cellStyle name="Heading 2 2 2 2 7 2 2 5 2 2" xfId="31697"/>
    <cellStyle name="Heading 2 2 2 2 7 2 2 5 2 2 2" xfId="31698"/>
    <cellStyle name="Heading 2 2 2 2 7 2 2 5 2 3" xfId="31699"/>
    <cellStyle name="Heading 2 2 2 2 7 2 2 5 3" xfId="31700"/>
    <cellStyle name="Heading 2 2 2 2 7 2 2 5 3 2" xfId="31701"/>
    <cellStyle name="Heading 2 2 2 2 7 2 2 5 3 2 2" xfId="31702"/>
    <cellStyle name="Heading 2 2 2 2 7 2 2 5 3 3" xfId="31703"/>
    <cellStyle name="Heading 2 2 2 2 7 2 2 5 4" xfId="31704"/>
    <cellStyle name="Heading 2 2 2 2 7 2 2 5 4 2" xfId="31705"/>
    <cellStyle name="Heading 2 2 2 2 7 2 2 5 4 2 2" xfId="31706"/>
    <cellStyle name="Heading 2 2 2 2 7 2 2 5 4 3" xfId="31707"/>
    <cellStyle name="Heading 2 2 2 2 7 2 2 5 5" xfId="31708"/>
    <cellStyle name="Heading 2 2 2 2 7 2 2 5 5 2" xfId="31709"/>
    <cellStyle name="Heading 2 2 2 2 7 2 2 5 5 2 2" xfId="31710"/>
    <cellStyle name="Heading 2 2 2 2 7 2 2 5 5 3" xfId="31711"/>
    <cellStyle name="Heading 2 2 2 2 7 2 2 5 6" xfId="31712"/>
    <cellStyle name="Heading 2 2 2 2 7 2 2 5 6 2" xfId="31713"/>
    <cellStyle name="Heading 2 2 2 2 7 2 2 5 6 2 2" xfId="31714"/>
    <cellStyle name="Heading 2 2 2 2 7 2 2 5 6 3" xfId="31715"/>
    <cellStyle name="Heading 2 2 2 2 7 2 2 5 7" xfId="31716"/>
    <cellStyle name="Heading 2 2 2 2 7 2 2 5 7 2" xfId="31717"/>
    <cellStyle name="Heading 2 2 2 2 7 2 2 5 7 2 2" xfId="31718"/>
    <cellStyle name="Heading 2 2 2 2 7 2 2 5 7 3" xfId="31719"/>
    <cellStyle name="Heading 2 2 2 2 7 2 2 5 8" xfId="31720"/>
    <cellStyle name="Heading 2 2 2 2 7 2 2 5 8 2" xfId="31721"/>
    <cellStyle name="Heading 2 2 2 2 7 2 2 5 9" xfId="31722"/>
    <cellStyle name="Heading 2 2 2 2 7 2 2 6" xfId="31723"/>
    <cellStyle name="Heading 2 2 2 2 7 2 2 6 2" xfId="31724"/>
    <cellStyle name="Heading 2 2 2 2 7 2 2 6 2 2" xfId="31725"/>
    <cellStyle name="Heading 2 2 2 2 7 2 2 6 2 2 2" xfId="31726"/>
    <cellStyle name="Heading 2 2 2 2 7 2 2 6 2 3" xfId="31727"/>
    <cellStyle name="Heading 2 2 2 2 7 2 2 6 3" xfId="31728"/>
    <cellStyle name="Heading 2 2 2 2 7 2 2 6 3 2" xfId="31729"/>
    <cellStyle name="Heading 2 2 2 2 7 2 2 6 3 2 2" xfId="31730"/>
    <cellStyle name="Heading 2 2 2 2 7 2 2 6 3 3" xfId="31731"/>
    <cellStyle name="Heading 2 2 2 2 7 2 2 6 4" xfId="31732"/>
    <cellStyle name="Heading 2 2 2 2 7 2 2 6 4 2" xfId="31733"/>
    <cellStyle name="Heading 2 2 2 2 7 2 2 6 4 2 2" xfId="31734"/>
    <cellStyle name="Heading 2 2 2 2 7 2 2 6 4 3" xfId="31735"/>
    <cellStyle name="Heading 2 2 2 2 7 2 2 6 5" xfId="31736"/>
    <cellStyle name="Heading 2 2 2 2 7 2 2 6 5 2" xfId="31737"/>
    <cellStyle name="Heading 2 2 2 2 7 2 2 6 5 2 2" xfId="31738"/>
    <cellStyle name="Heading 2 2 2 2 7 2 2 6 5 3" xfId="31739"/>
    <cellStyle name="Heading 2 2 2 2 7 2 2 6 6" xfId="31740"/>
    <cellStyle name="Heading 2 2 2 2 7 2 2 6 6 2" xfId="31741"/>
    <cellStyle name="Heading 2 2 2 2 7 2 2 6 6 2 2" xfId="31742"/>
    <cellStyle name="Heading 2 2 2 2 7 2 2 6 6 3" xfId="31743"/>
    <cellStyle name="Heading 2 2 2 2 7 2 2 6 7" xfId="31744"/>
    <cellStyle name="Heading 2 2 2 2 7 2 2 6 7 2" xfId="31745"/>
    <cellStyle name="Heading 2 2 2 2 7 2 2 6 7 2 2" xfId="31746"/>
    <cellStyle name="Heading 2 2 2 2 7 2 2 6 7 3" xfId="31747"/>
    <cellStyle name="Heading 2 2 2 2 7 2 2 6 8" xfId="31748"/>
    <cellStyle name="Heading 2 2 2 2 7 2 2 6 8 2" xfId="31749"/>
    <cellStyle name="Heading 2 2 2 2 7 2 2 6 9" xfId="31750"/>
    <cellStyle name="Heading 2 2 2 2 7 2 2 7" xfId="31751"/>
    <cellStyle name="Heading 2 2 2 2 7 2 2 7 2" xfId="31752"/>
    <cellStyle name="Heading 2 2 2 2 7 2 2 7 2 2" xfId="31753"/>
    <cellStyle name="Heading 2 2 2 2 7 2 2 7 2 2 2" xfId="31754"/>
    <cellStyle name="Heading 2 2 2 2 7 2 2 7 2 3" xfId="31755"/>
    <cellStyle name="Heading 2 2 2 2 7 2 2 7 3" xfId="31756"/>
    <cellStyle name="Heading 2 2 2 2 7 2 2 7 3 2" xfId="31757"/>
    <cellStyle name="Heading 2 2 2 2 7 2 2 7 3 2 2" xfId="31758"/>
    <cellStyle name="Heading 2 2 2 2 7 2 2 7 3 3" xfId="31759"/>
    <cellStyle name="Heading 2 2 2 2 7 2 2 7 4" xfId="31760"/>
    <cellStyle name="Heading 2 2 2 2 7 2 2 7 4 2" xfId="31761"/>
    <cellStyle name="Heading 2 2 2 2 7 2 2 7 4 2 2" xfId="31762"/>
    <cellStyle name="Heading 2 2 2 2 7 2 2 7 4 3" xfId="31763"/>
    <cellStyle name="Heading 2 2 2 2 7 2 2 7 5" xfId="31764"/>
    <cellStyle name="Heading 2 2 2 2 7 2 2 7 5 2" xfId="31765"/>
    <cellStyle name="Heading 2 2 2 2 7 2 2 7 5 2 2" xfId="31766"/>
    <cellStyle name="Heading 2 2 2 2 7 2 2 7 5 3" xfId="31767"/>
    <cellStyle name="Heading 2 2 2 2 7 2 2 7 6" xfId="31768"/>
    <cellStyle name="Heading 2 2 2 2 7 2 2 7 6 2" xfId="31769"/>
    <cellStyle name="Heading 2 2 2 2 7 2 2 7 6 2 2" xfId="31770"/>
    <cellStyle name="Heading 2 2 2 2 7 2 2 7 6 3" xfId="31771"/>
    <cellStyle name="Heading 2 2 2 2 7 2 2 7 7" xfId="31772"/>
    <cellStyle name="Heading 2 2 2 2 7 2 2 7 7 2" xfId="31773"/>
    <cellStyle name="Heading 2 2 2 2 7 2 2 7 7 2 2" xfId="31774"/>
    <cellStyle name="Heading 2 2 2 2 7 2 2 7 7 3" xfId="31775"/>
    <cellStyle name="Heading 2 2 2 2 7 2 2 7 8" xfId="31776"/>
    <cellStyle name="Heading 2 2 2 2 7 2 2 7 8 2" xfId="31777"/>
    <cellStyle name="Heading 2 2 2 2 7 2 2 7 9" xfId="31778"/>
    <cellStyle name="Heading 2 2 2 2 7 2 2 8" xfId="31779"/>
    <cellStyle name="Heading 2 2 2 2 7 2 2 8 2" xfId="31780"/>
    <cellStyle name="Heading 2 2 2 2 7 2 2 8 2 2" xfId="31781"/>
    <cellStyle name="Heading 2 2 2 2 7 2 2 8 2 2 2" xfId="31782"/>
    <cellStyle name="Heading 2 2 2 2 7 2 2 8 2 3" xfId="31783"/>
    <cellStyle name="Heading 2 2 2 2 7 2 2 8 3" xfId="31784"/>
    <cellStyle name="Heading 2 2 2 2 7 2 2 8 3 2" xfId="31785"/>
    <cellStyle name="Heading 2 2 2 2 7 2 2 8 3 2 2" xfId="31786"/>
    <cellStyle name="Heading 2 2 2 2 7 2 2 8 3 3" xfId="31787"/>
    <cellStyle name="Heading 2 2 2 2 7 2 2 8 4" xfId="31788"/>
    <cellStyle name="Heading 2 2 2 2 7 2 2 8 4 2" xfId="31789"/>
    <cellStyle name="Heading 2 2 2 2 7 2 2 8 4 2 2" xfId="31790"/>
    <cellStyle name="Heading 2 2 2 2 7 2 2 8 4 3" xfId="31791"/>
    <cellStyle name="Heading 2 2 2 2 7 2 2 8 5" xfId="31792"/>
    <cellStyle name="Heading 2 2 2 2 7 2 2 8 5 2" xfId="31793"/>
    <cellStyle name="Heading 2 2 2 2 7 2 2 8 5 2 2" xfId="31794"/>
    <cellStyle name="Heading 2 2 2 2 7 2 2 8 5 3" xfId="31795"/>
    <cellStyle name="Heading 2 2 2 2 7 2 2 8 6" xfId="31796"/>
    <cellStyle name="Heading 2 2 2 2 7 2 2 8 6 2" xfId="31797"/>
    <cellStyle name="Heading 2 2 2 2 7 2 2 8 6 2 2" xfId="31798"/>
    <cellStyle name="Heading 2 2 2 2 7 2 2 8 6 3" xfId="31799"/>
    <cellStyle name="Heading 2 2 2 2 7 2 2 8 7" xfId="31800"/>
    <cellStyle name="Heading 2 2 2 2 7 2 2 8 7 2" xfId="31801"/>
    <cellStyle name="Heading 2 2 2 2 7 2 2 8 7 2 2" xfId="31802"/>
    <cellStyle name="Heading 2 2 2 2 7 2 2 8 7 3" xfId="31803"/>
    <cellStyle name="Heading 2 2 2 2 7 2 2 8 8" xfId="31804"/>
    <cellStyle name="Heading 2 2 2 2 7 2 2 8 8 2" xfId="31805"/>
    <cellStyle name="Heading 2 2 2 2 7 2 2 8 9" xfId="31806"/>
    <cellStyle name="Heading 2 2 2 2 7 2 2 9" xfId="31807"/>
    <cellStyle name="Heading 2 2 2 2 7 2 2 9 2" xfId="31808"/>
    <cellStyle name="Heading 2 2 2 2 7 2 2 9 2 2" xfId="31809"/>
    <cellStyle name="Heading 2 2 2 2 7 2 2 9 3" xfId="31810"/>
    <cellStyle name="Heading 2 2 2 2 7 2 20" xfId="31811"/>
    <cellStyle name="Heading 2 2 2 2 7 2 20 2" xfId="31812"/>
    <cellStyle name="Heading 2 2 2 2 7 2 21" xfId="31813"/>
    <cellStyle name="Heading 2 2 2 2 7 2 21 2" xfId="31814"/>
    <cellStyle name="Heading 2 2 2 2 7 2 22" xfId="31815"/>
    <cellStyle name="Heading 2 2 2 2 7 2 22 2" xfId="31816"/>
    <cellStyle name="Heading 2 2 2 2 7 2 23" xfId="31817"/>
    <cellStyle name="Heading 2 2 2 2 7 2 3" xfId="31818"/>
    <cellStyle name="Heading 2 2 2 2 7 2 3 2" xfId="31819"/>
    <cellStyle name="Heading 2 2 2 2 7 2 3 2 2" xfId="31820"/>
    <cellStyle name="Heading 2 2 2 2 7 2 3 2 2 2" xfId="31821"/>
    <cellStyle name="Heading 2 2 2 2 7 2 3 2 3" xfId="31822"/>
    <cellStyle name="Heading 2 2 2 2 7 2 3 3" xfId="31823"/>
    <cellStyle name="Heading 2 2 2 2 7 2 3 3 2" xfId="31824"/>
    <cellStyle name="Heading 2 2 2 2 7 2 3 3 2 2" xfId="31825"/>
    <cellStyle name="Heading 2 2 2 2 7 2 3 3 3" xfId="31826"/>
    <cellStyle name="Heading 2 2 2 2 7 2 3 4" xfId="31827"/>
    <cellStyle name="Heading 2 2 2 2 7 2 3 4 2" xfId="31828"/>
    <cellStyle name="Heading 2 2 2 2 7 2 3 4 2 2" xfId="31829"/>
    <cellStyle name="Heading 2 2 2 2 7 2 3 4 3" xfId="31830"/>
    <cellStyle name="Heading 2 2 2 2 7 2 3 5" xfId="31831"/>
    <cellStyle name="Heading 2 2 2 2 7 2 3 5 2" xfId="31832"/>
    <cellStyle name="Heading 2 2 2 2 7 2 3 5 2 2" xfId="31833"/>
    <cellStyle name="Heading 2 2 2 2 7 2 3 5 3" xfId="31834"/>
    <cellStyle name="Heading 2 2 2 2 7 2 3 6" xfId="31835"/>
    <cellStyle name="Heading 2 2 2 2 7 2 3 6 2" xfId="31836"/>
    <cellStyle name="Heading 2 2 2 2 7 2 3 6 2 2" xfId="31837"/>
    <cellStyle name="Heading 2 2 2 2 7 2 3 6 3" xfId="31838"/>
    <cellStyle name="Heading 2 2 2 2 7 2 3 7" xfId="31839"/>
    <cellStyle name="Heading 2 2 2 2 7 2 3 7 2" xfId="31840"/>
    <cellStyle name="Heading 2 2 2 2 7 2 3 7 2 2" xfId="31841"/>
    <cellStyle name="Heading 2 2 2 2 7 2 3 7 3" xfId="31842"/>
    <cellStyle name="Heading 2 2 2 2 7 2 3 8" xfId="31843"/>
    <cellStyle name="Heading 2 2 2 2 7 2 3 8 2" xfId="31844"/>
    <cellStyle name="Heading 2 2 2 2 7 2 3 9" xfId="31845"/>
    <cellStyle name="Heading 2 2 2 2 7 2 4" xfId="31846"/>
    <cellStyle name="Heading 2 2 2 2 7 2 4 2" xfId="31847"/>
    <cellStyle name="Heading 2 2 2 2 7 2 4 2 2" xfId="31848"/>
    <cellStyle name="Heading 2 2 2 2 7 2 4 2 2 2" xfId="31849"/>
    <cellStyle name="Heading 2 2 2 2 7 2 4 2 3" xfId="31850"/>
    <cellStyle name="Heading 2 2 2 2 7 2 4 3" xfId="31851"/>
    <cellStyle name="Heading 2 2 2 2 7 2 4 3 2" xfId="31852"/>
    <cellStyle name="Heading 2 2 2 2 7 2 4 3 2 2" xfId="31853"/>
    <cellStyle name="Heading 2 2 2 2 7 2 4 3 3" xfId="31854"/>
    <cellStyle name="Heading 2 2 2 2 7 2 4 4" xfId="31855"/>
    <cellStyle name="Heading 2 2 2 2 7 2 4 4 2" xfId="31856"/>
    <cellStyle name="Heading 2 2 2 2 7 2 4 4 2 2" xfId="31857"/>
    <cellStyle name="Heading 2 2 2 2 7 2 4 4 3" xfId="31858"/>
    <cellStyle name="Heading 2 2 2 2 7 2 4 5" xfId="31859"/>
    <cellStyle name="Heading 2 2 2 2 7 2 4 5 2" xfId="31860"/>
    <cellStyle name="Heading 2 2 2 2 7 2 4 5 2 2" xfId="31861"/>
    <cellStyle name="Heading 2 2 2 2 7 2 4 5 3" xfId="31862"/>
    <cellStyle name="Heading 2 2 2 2 7 2 4 6" xfId="31863"/>
    <cellStyle name="Heading 2 2 2 2 7 2 4 6 2" xfId="31864"/>
    <cellStyle name="Heading 2 2 2 2 7 2 4 6 2 2" xfId="31865"/>
    <cellStyle name="Heading 2 2 2 2 7 2 4 6 3" xfId="31866"/>
    <cellStyle name="Heading 2 2 2 2 7 2 4 7" xfId="31867"/>
    <cellStyle name="Heading 2 2 2 2 7 2 4 7 2" xfId="31868"/>
    <cellStyle name="Heading 2 2 2 2 7 2 4 7 2 2" xfId="31869"/>
    <cellStyle name="Heading 2 2 2 2 7 2 4 7 3" xfId="31870"/>
    <cellStyle name="Heading 2 2 2 2 7 2 4 8" xfId="31871"/>
    <cellStyle name="Heading 2 2 2 2 7 2 4 8 2" xfId="31872"/>
    <cellStyle name="Heading 2 2 2 2 7 2 4 9" xfId="31873"/>
    <cellStyle name="Heading 2 2 2 2 7 2 5" xfId="31874"/>
    <cellStyle name="Heading 2 2 2 2 7 2 5 2" xfId="31875"/>
    <cellStyle name="Heading 2 2 2 2 7 2 5 2 2" xfId="31876"/>
    <cellStyle name="Heading 2 2 2 2 7 2 5 2 2 2" xfId="31877"/>
    <cellStyle name="Heading 2 2 2 2 7 2 5 2 3" xfId="31878"/>
    <cellStyle name="Heading 2 2 2 2 7 2 5 3" xfId="31879"/>
    <cellStyle name="Heading 2 2 2 2 7 2 5 3 2" xfId="31880"/>
    <cellStyle name="Heading 2 2 2 2 7 2 5 3 2 2" xfId="31881"/>
    <cellStyle name="Heading 2 2 2 2 7 2 5 3 3" xfId="31882"/>
    <cellStyle name="Heading 2 2 2 2 7 2 5 4" xfId="31883"/>
    <cellStyle name="Heading 2 2 2 2 7 2 5 4 2" xfId="31884"/>
    <cellStyle name="Heading 2 2 2 2 7 2 5 4 2 2" xfId="31885"/>
    <cellStyle name="Heading 2 2 2 2 7 2 5 4 3" xfId="31886"/>
    <cellStyle name="Heading 2 2 2 2 7 2 5 5" xfId="31887"/>
    <cellStyle name="Heading 2 2 2 2 7 2 5 5 2" xfId="31888"/>
    <cellStyle name="Heading 2 2 2 2 7 2 5 5 2 2" xfId="31889"/>
    <cellStyle name="Heading 2 2 2 2 7 2 5 5 3" xfId="31890"/>
    <cellStyle name="Heading 2 2 2 2 7 2 5 6" xfId="31891"/>
    <cellStyle name="Heading 2 2 2 2 7 2 5 6 2" xfId="31892"/>
    <cellStyle name="Heading 2 2 2 2 7 2 5 6 2 2" xfId="31893"/>
    <cellStyle name="Heading 2 2 2 2 7 2 5 6 3" xfId="31894"/>
    <cellStyle name="Heading 2 2 2 2 7 2 5 7" xfId="31895"/>
    <cellStyle name="Heading 2 2 2 2 7 2 5 7 2" xfId="31896"/>
    <cellStyle name="Heading 2 2 2 2 7 2 5 7 2 2" xfId="31897"/>
    <cellStyle name="Heading 2 2 2 2 7 2 5 7 3" xfId="31898"/>
    <cellStyle name="Heading 2 2 2 2 7 2 5 8" xfId="31899"/>
    <cellStyle name="Heading 2 2 2 2 7 2 5 8 2" xfId="31900"/>
    <cellStyle name="Heading 2 2 2 2 7 2 5 9" xfId="31901"/>
    <cellStyle name="Heading 2 2 2 2 7 2 6" xfId="31902"/>
    <cellStyle name="Heading 2 2 2 2 7 2 6 2" xfId="31903"/>
    <cellStyle name="Heading 2 2 2 2 7 2 6 2 2" xfId="31904"/>
    <cellStyle name="Heading 2 2 2 2 7 2 6 2 2 2" xfId="31905"/>
    <cellStyle name="Heading 2 2 2 2 7 2 6 2 3" xfId="31906"/>
    <cellStyle name="Heading 2 2 2 2 7 2 6 3" xfId="31907"/>
    <cellStyle name="Heading 2 2 2 2 7 2 6 3 2" xfId="31908"/>
    <cellStyle name="Heading 2 2 2 2 7 2 6 3 2 2" xfId="31909"/>
    <cellStyle name="Heading 2 2 2 2 7 2 6 3 3" xfId="31910"/>
    <cellStyle name="Heading 2 2 2 2 7 2 6 4" xfId="31911"/>
    <cellStyle name="Heading 2 2 2 2 7 2 6 4 2" xfId="31912"/>
    <cellStyle name="Heading 2 2 2 2 7 2 6 4 2 2" xfId="31913"/>
    <cellStyle name="Heading 2 2 2 2 7 2 6 4 3" xfId="31914"/>
    <cellStyle name="Heading 2 2 2 2 7 2 6 5" xfId="31915"/>
    <cellStyle name="Heading 2 2 2 2 7 2 6 5 2" xfId="31916"/>
    <cellStyle name="Heading 2 2 2 2 7 2 6 5 2 2" xfId="31917"/>
    <cellStyle name="Heading 2 2 2 2 7 2 6 5 3" xfId="31918"/>
    <cellStyle name="Heading 2 2 2 2 7 2 6 6" xfId="31919"/>
    <cellStyle name="Heading 2 2 2 2 7 2 6 6 2" xfId="31920"/>
    <cellStyle name="Heading 2 2 2 2 7 2 6 6 2 2" xfId="31921"/>
    <cellStyle name="Heading 2 2 2 2 7 2 6 6 3" xfId="31922"/>
    <cellStyle name="Heading 2 2 2 2 7 2 6 7" xfId="31923"/>
    <cellStyle name="Heading 2 2 2 2 7 2 6 7 2" xfId="31924"/>
    <cellStyle name="Heading 2 2 2 2 7 2 6 7 2 2" xfId="31925"/>
    <cellStyle name="Heading 2 2 2 2 7 2 6 7 3" xfId="31926"/>
    <cellStyle name="Heading 2 2 2 2 7 2 6 8" xfId="31927"/>
    <cellStyle name="Heading 2 2 2 2 7 2 6 8 2" xfId="31928"/>
    <cellStyle name="Heading 2 2 2 2 7 2 6 9" xfId="31929"/>
    <cellStyle name="Heading 2 2 2 2 7 2 7" xfId="31930"/>
    <cellStyle name="Heading 2 2 2 2 7 2 7 2" xfId="31931"/>
    <cellStyle name="Heading 2 2 2 2 7 2 7 2 2" xfId="31932"/>
    <cellStyle name="Heading 2 2 2 2 7 2 7 2 2 2" xfId="31933"/>
    <cellStyle name="Heading 2 2 2 2 7 2 7 2 3" xfId="31934"/>
    <cellStyle name="Heading 2 2 2 2 7 2 7 3" xfId="31935"/>
    <cellStyle name="Heading 2 2 2 2 7 2 7 3 2" xfId="31936"/>
    <cellStyle name="Heading 2 2 2 2 7 2 7 3 2 2" xfId="31937"/>
    <cellStyle name="Heading 2 2 2 2 7 2 7 3 3" xfId="31938"/>
    <cellStyle name="Heading 2 2 2 2 7 2 7 4" xfId="31939"/>
    <cellStyle name="Heading 2 2 2 2 7 2 7 4 2" xfId="31940"/>
    <cellStyle name="Heading 2 2 2 2 7 2 7 4 2 2" xfId="31941"/>
    <cellStyle name="Heading 2 2 2 2 7 2 7 4 3" xfId="31942"/>
    <cellStyle name="Heading 2 2 2 2 7 2 7 5" xfId="31943"/>
    <cellStyle name="Heading 2 2 2 2 7 2 7 5 2" xfId="31944"/>
    <cellStyle name="Heading 2 2 2 2 7 2 7 5 2 2" xfId="31945"/>
    <cellStyle name="Heading 2 2 2 2 7 2 7 5 3" xfId="31946"/>
    <cellStyle name="Heading 2 2 2 2 7 2 7 6" xfId="31947"/>
    <cellStyle name="Heading 2 2 2 2 7 2 7 6 2" xfId="31948"/>
    <cellStyle name="Heading 2 2 2 2 7 2 7 6 2 2" xfId="31949"/>
    <cellStyle name="Heading 2 2 2 2 7 2 7 6 3" xfId="31950"/>
    <cellStyle name="Heading 2 2 2 2 7 2 7 7" xfId="31951"/>
    <cellStyle name="Heading 2 2 2 2 7 2 7 7 2" xfId="31952"/>
    <cellStyle name="Heading 2 2 2 2 7 2 7 7 2 2" xfId="31953"/>
    <cellStyle name="Heading 2 2 2 2 7 2 7 7 3" xfId="31954"/>
    <cellStyle name="Heading 2 2 2 2 7 2 7 8" xfId="31955"/>
    <cellStyle name="Heading 2 2 2 2 7 2 7 8 2" xfId="31956"/>
    <cellStyle name="Heading 2 2 2 2 7 2 7 9" xfId="31957"/>
    <cellStyle name="Heading 2 2 2 2 7 2 8" xfId="31958"/>
    <cellStyle name="Heading 2 2 2 2 7 2 8 2" xfId="31959"/>
    <cellStyle name="Heading 2 2 2 2 7 2 8 2 2" xfId="31960"/>
    <cellStyle name="Heading 2 2 2 2 7 2 8 2 2 2" xfId="31961"/>
    <cellStyle name="Heading 2 2 2 2 7 2 8 2 3" xfId="31962"/>
    <cellStyle name="Heading 2 2 2 2 7 2 8 3" xfId="31963"/>
    <cellStyle name="Heading 2 2 2 2 7 2 8 3 2" xfId="31964"/>
    <cellStyle name="Heading 2 2 2 2 7 2 8 3 2 2" xfId="31965"/>
    <cellStyle name="Heading 2 2 2 2 7 2 8 3 3" xfId="31966"/>
    <cellStyle name="Heading 2 2 2 2 7 2 8 4" xfId="31967"/>
    <cellStyle name="Heading 2 2 2 2 7 2 8 4 2" xfId="31968"/>
    <cellStyle name="Heading 2 2 2 2 7 2 8 4 2 2" xfId="31969"/>
    <cellStyle name="Heading 2 2 2 2 7 2 8 4 3" xfId="31970"/>
    <cellStyle name="Heading 2 2 2 2 7 2 8 5" xfId="31971"/>
    <cellStyle name="Heading 2 2 2 2 7 2 8 5 2" xfId="31972"/>
    <cellStyle name="Heading 2 2 2 2 7 2 8 5 2 2" xfId="31973"/>
    <cellStyle name="Heading 2 2 2 2 7 2 8 5 3" xfId="31974"/>
    <cellStyle name="Heading 2 2 2 2 7 2 8 6" xfId="31975"/>
    <cellStyle name="Heading 2 2 2 2 7 2 8 6 2" xfId="31976"/>
    <cellStyle name="Heading 2 2 2 2 7 2 8 6 2 2" xfId="31977"/>
    <cellStyle name="Heading 2 2 2 2 7 2 8 6 3" xfId="31978"/>
    <cellStyle name="Heading 2 2 2 2 7 2 8 7" xfId="31979"/>
    <cellStyle name="Heading 2 2 2 2 7 2 8 7 2" xfId="31980"/>
    <cellStyle name="Heading 2 2 2 2 7 2 8 7 2 2" xfId="31981"/>
    <cellStyle name="Heading 2 2 2 2 7 2 8 7 3" xfId="31982"/>
    <cellStyle name="Heading 2 2 2 2 7 2 8 8" xfId="31983"/>
    <cellStyle name="Heading 2 2 2 2 7 2 8 8 2" xfId="31984"/>
    <cellStyle name="Heading 2 2 2 2 7 2 8 9" xfId="31985"/>
    <cellStyle name="Heading 2 2 2 2 7 2 9" xfId="31986"/>
    <cellStyle name="Heading 2 2 2 2 7 2 9 2" xfId="31987"/>
    <cellStyle name="Heading 2 2 2 2 7 2 9 2 2" xfId="31988"/>
    <cellStyle name="Heading 2 2 2 2 7 2 9 2 2 2" xfId="31989"/>
    <cellStyle name="Heading 2 2 2 2 7 2 9 2 3" xfId="31990"/>
    <cellStyle name="Heading 2 2 2 2 7 2 9 3" xfId="31991"/>
    <cellStyle name="Heading 2 2 2 2 7 2 9 3 2" xfId="31992"/>
    <cellStyle name="Heading 2 2 2 2 7 2 9 3 2 2" xfId="31993"/>
    <cellStyle name="Heading 2 2 2 2 7 2 9 3 3" xfId="31994"/>
    <cellStyle name="Heading 2 2 2 2 7 2 9 4" xfId="31995"/>
    <cellStyle name="Heading 2 2 2 2 7 2 9 4 2" xfId="31996"/>
    <cellStyle name="Heading 2 2 2 2 7 2 9 4 2 2" xfId="31997"/>
    <cellStyle name="Heading 2 2 2 2 7 2 9 4 3" xfId="31998"/>
    <cellStyle name="Heading 2 2 2 2 7 2 9 5" xfId="31999"/>
    <cellStyle name="Heading 2 2 2 2 7 2 9 5 2" xfId="32000"/>
    <cellStyle name="Heading 2 2 2 2 7 2 9 5 2 2" xfId="32001"/>
    <cellStyle name="Heading 2 2 2 2 7 2 9 5 3" xfId="32002"/>
    <cellStyle name="Heading 2 2 2 2 7 2 9 6" xfId="32003"/>
    <cellStyle name="Heading 2 2 2 2 7 2 9 6 2" xfId="32004"/>
    <cellStyle name="Heading 2 2 2 2 7 2 9 6 2 2" xfId="32005"/>
    <cellStyle name="Heading 2 2 2 2 7 2 9 6 3" xfId="32006"/>
    <cellStyle name="Heading 2 2 2 2 7 2 9 7" xfId="32007"/>
    <cellStyle name="Heading 2 2 2 2 7 2 9 7 2" xfId="32008"/>
    <cellStyle name="Heading 2 2 2 2 7 2 9 7 2 2" xfId="32009"/>
    <cellStyle name="Heading 2 2 2 2 7 2 9 7 3" xfId="32010"/>
    <cellStyle name="Heading 2 2 2 2 7 2 9 8" xfId="32011"/>
    <cellStyle name="Heading 2 2 2 2 7 2 9 8 2" xfId="32012"/>
    <cellStyle name="Heading 2 2 2 2 7 2 9 9" xfId="32013"/>
    <cellStyle name="Heading 2 2 2 2 7 3" xfId="32014"/>
    <cellStyle name="Heading 2 2 2 2 7 3 10" xfId="32015"/>
    <cellStyle name="Heading 2 2 2 2 7 3 10 2" xfId="32016"/>
    <cellStyle name="Heading 2 2 2 2 7 3 10 2 2" xfId="32017"/>
    <cellStyle name="Heading 2 2 2 2 7 3 10 3" xfId="32018"/>
    <cellStyle name="Heading 2 2 2 2 7 3 11" xfId="32019"/>
    <cellStyle name="Heading 2 2 2 2 7 3 11 2" xfId="32020"/>
    <cellStyle name="Heading 2 2 2 2 7 3 11 2 2" xfId="32021"/>
    <cellStyle name="Heading 2 2 2 2 7 3 11 3" xfId="32022"/>
    <cellStyle name="Heading 2 2 2 2 7 3 12" xfId="32023"/>
    <cellStyle name="Heading 2 2 2 2 7 3 12 2" xfId="32024"/>
    <cellStyle name="Heading 2 2 2 2 7 3 12 2 2" xfId="32025"/>
    <cellStyle name="Heading 2 2 2 2 7 3 12 3" xfId="32026"/>
    <cellStyle name="Heading 2 2 2 2 7 3 13" xfId="32027"/>
    <cellStyle name="Heading 2 2 2 2 7 3 13 2" xfId="32028"/>
    <cellStyle name="Heading 2 2 2 2 7 3 13 2 2" xfId="32029"/>
    <cellStyle name="Heading 2 2 2 2 7 3 13 3" xfId="32030"/>
    <cellStyle name="Heading 2 2 2 2 7 3 14" xfId="32031"/>
    <cellStyle name="Heading 2 2 2 2 7 3 14 2" xfId="32032"/>
    <cellStyle name="Heading 2 2 2 2 7 3 14 2 2" xfId="32033"/>
    <cellStyle name="Heading 2 2 2 2 7 3 14 3" xfId="32034"/>
    <cellStyle name="Heading 2 2 2 2 7 3 15" xfId="32035"/>
    <cellStyle name="Heading 2 2 2 2 7 3 15 2" xfId="32036"/>
    <cellStyle name="Heading 2 2 2 2 7 3 15 2 2" xfId="32037"/>
    <cellStyle name="Heading 2 2 2 2 7 3 15 3" xfId="32038"/>
    <cellStyle name="Heading 2 2 2 2 7 3 16" xfId="32039"/>
    <cellStyle name="Heading 2 2 2 2 7 3 16 2" xfId="32040"/>
    <cellStyle name="Heading 2 2 2 2 7 3 16 2 2" xfId="32041"/>
    <cellStyle name="Heading 2 2 2 2 7 3 16 3" xfId="32042"/>
    <cellStyle name="Heading 2 2 2 2 7 3 17" xfId="32043"/>
    <cellStyle name="Heading 2 2 2 2 7 3 17 2" xfId="32044"/>
    <cellStyle name="Heading 2 2 2 2 7 3 17 2 2" xfId="32045"/>
    <cellStyle name="Heading 2 2 2 2 7 3 17 3" xfId="32046"/>
    <cellStyle name="Heading 2 2 2 2 7 3 18" xfId="32047"/>
    <cellStyle name="Heading 2 2 2 2 7 3 18 2" xfId="32048"/>
    <cellStyle name="Heading 2 2 2 2 7 3 18 2 2" xfId="32049"/>
    <cellStyle name="Heading 2 2 2 2 7 3 18 3" xfId="32050"/>
    <cellStyle name="Heading 2 2 2 2 7 3 19" xfId="32051"/>
    <cellStyle name="Heading 2 2 2 2 7 3 19 2" xfId="32052"/>
    <cellStyle name="Heading 2 2 2 2 7 3 2" xfId="32053"/>
    <cellStyle name="Heading 2 2 2 2 7 3 2 2" xfId="32054"/>
    <cellStyle name="Heading 2 2 2 2 7 3 2 2 2" xfId="32055"/>
    <cellStyle name="Heading 2 2 2 2 7 3 2 2 2 2" xfId="32056"/>
    <cellStyle name="Heading 2 2 2 2 7 3 2 2 3" xfId="32057"/>
    <cellStyle name="Heading 2 2 2 2 7 3 2 3" xfId="32058"/>
    <cellStyle name="Heading 2 2 2 2 7 3 2 3 2" xfId="32059"/>
    <cellStyle name="Heading 2 2 2 2 7 3 2 3 2 2" xfId="32060"/>
    <cellStyle name="Heading 2 2 2 2 7 3 2 3 3" xfId="32061"/>
    <cellStyle name="Heading 2 2 2 2 7 3 2 4" xfId="32062"/>
    <cellStyle name="Heading 2 2 2 2 7 3 2 4 2" xfId="32063"/>
    <cellStyle name="Heading 2 2 2 2 7 3 2 4 2 2" xfId="32064"/>
    <cellStyle name="Heading 2 2 2 2 7 3 2 4 3" xfId="32065"/>
    <cellStyle name="Heading 2 2 2 2 7 3 2 5" xfId="32066"/>
    <cellStyle name="Heading 2 2 2 2 7 3 2 5 2" xfId="32067"/>
    <cellStyle name="Heading 2 2 2 2 7 3 2 5 2 2" xfId="32068"/>
    <cellStyle name="Heading 2 2 2 2 7 3 2 5 3" xfId="32069"/>
    <cellStyle name="Heading 2 2 2 2 7 3 2 6" xfId="32070"/>
    <cellStyle name="Heading 2 2 2 2 7 3 2 6 2" xfId="32071"/>
    <cellStyle name="Heading 2 2 2 2 7 3 2 6 2 2" xfId="32072"/>
    <cellStyle name="Heading 2 2 2 2 7 3 2 6 3" xfId="32073"/>
    <cellStyle name="Heading 2 2 2 2 7 3 2 7" xfId="32074"/>
    <cellStyle name="Heading 2 2 2 2 7 3 2 7 2" xfId="32075"/>
    <cellStyle name="Heading 2 2 2 2 7 3 2 7 2 2" xfId="32076"/>
    <cellStyle name="Heading 2 2 2 2 7 3 2 7 3" xfId="32077"/>
    <cellStyle name="Heading 2 2 2 2 7 3 2 8" xfId="32078"/>
    <cellStyle name="Heading 2 2 2 2 7 3 2 8 2" xfId="32079"/>
    <cellStyle name="Heading 2 2 2 2 7 3 2 9" xfId="32080"/>
    <cellStyle name="Heading 2 2 2 2 7 3 20" xfId="32081"/>
    <cellStyle name="Heading 2 2 2 2 7 3 20 2" xfId="32082"/>
    <cellStyle name="Heading 2 2 2 2 7 3 21" xfId="32083"/>
    <cellStyle name="Heading 2 2 2 2 7 3 21 2" xfId="32084"/>
    <cellStyle name="Heading 2 2 2 2 7 3 22" xfId="32085"/>
    <cellStyle name="Heading 2 2 2 2 7 3 3" xfId="32086"/>
    <cellStyle name="Heading 2 2 2 2 7 3 3 2" xfId="32087"/>
    <cellStyle name="Heading 2 2 2 2 7 3 3 2 2" xfId="32088"/>
    <cellStyle name="Heading 2 2 2 2 7 3 3 2 2 2" xfId="32089"/>
    <cellStyle name="Heading 2 2 2 2 7 3 3 2 3" xfId="32090"/>
    <cellStyle name="Heading 2 2 2 2 7 3 3 3" xfId="32091"/>
    <cellStyle name="Heading 2 2 2 2 7 3 3 3 2" xfId="32092"/>
    <cellStyle name="Heading 2 2 2 2 7 3 3 3 2 2" xfId="32093"/>
    <cellStyle name="Heading 2 2 2 2 7 3 3 3 3" xfId="32094"/>
    <cellStyle name="Heading 2 2 2 2 7 3 3 4" xfId="32095"/>
    <cellStyle name="Heading 2 2 2 2 7 3 3 4 2" xfId="32096"/>
    <cellStyle name="Heading 2 2 2 2 7 3 3 4 2 2" xfId="32097"/>
    <cellStyle name="Heading 2 2 2 2 7 3 3 4 3" xfId="32098"/>
    <cellStyle name="Heading 2 2 2 2 7 3 3 5" xfId="32099"/>
    <cellStyle name="Heading 2 2 2 2 7 3 3 5 2" xfId="32100"/>
    <cellStyle name="Heading 2 2 2 2 7 3 3 5 2 2" xfId="32101"/>
    <cellStyle name="Heading 2 2 2 2 7 3 3 5 3" xfId="32102"/>
    <cellStyle name="Heading 2 2 2 2 7 3 3 6" xfId="32103"/>
    <cellStyle name="Heading 2 2 2 2 7 3 3 6 2" xfId="32104"/>
    <cellStyle name="Heading 2 2 2 2 7 3 3 6 2 2" xfId="32105"/>
    <cellStyle name="Heading 2 2 2 2 7 3 3 6 3" xfId="32106"/>
    <cellStyle name="Heading 2 2 2 2 7 3 3 7" xfId="32107"/>
    <cellStyle name="Heading 2 2 2 2 7 3 3 7 2" xfId="32108"/>
    <cellStyle name="Heading 2 2 2 2 7 3 3 7 2 2" xfId="32109"/>
    <cellStyle name="Heading 2 2 2 2 7 3 3 7 3" xfId="32110"/>
    <cellStyle name="Heading 2 2 2 2 7 3 3 8" xfId="32111"/>
    <cellStyle name="Heading 2 2 2 2 7 3 3 8 2" xfId="32112"/>
    <cellStyle name="Heading 2 2 2 2 7 3 3 9" xfId="32113"/>
    <cellStyle name="Heading 2 2 2 2 7 3 4" xfId="32114"/>
    <cellStyle name="Heading 2 2 2 2 7 3 4 2" xfId="32115"/>
    <cellStyle name="Heading 2 2 2 2 7 3 4 2 2" xfId="32116"/>
    <cellStyle name="Heading 2 2 2 2 7 3 4 2 2 2" xfId="32117"/>
    <cellStyle name="Heading 2 2 2 2 7 3 4 2 3" xfId="32118"/>
    <cellStyle name="Heading 2 2 2 2 7 3 4 3" xfId="32119"/>
    <cellStyle name="Heading 2 2 2 2 7 3 4 3 2" xfId="32120"/>
    <cellStyle name="Heading 2 2 2 2 7 3 4 3 2 2" xfId="32121"/>
    <cellStyle name="Heading 2 2 2 2 7 3 4 3 3" xfId="32122"/>
    <cellStyle name="Heading 2 2 2 2 7 3 4 4" xfId="32123"/>
    <cellStyle name="Heading 2 2 2 2 7 3 4 4 2" xfId="32124"/>
    <cellStyle name="Heading 2 2 2 2 7 3 4 4 2 2" xfId="32125"/>
    <cellStyle name="Heading 2 2 2 2 7 3 4 4 3" xfId="32126"/>
    <cellStyle name="Heading 2 2 2 2 7 3 4 5" xfId="32127"/>
    <cellStyle name="Heading 2 2 2 2 7 3 4 5 2" xfId="32128"/>
    <cellStyle name="Heading 2 2 2 2 7 3 4 5 2 2" xfId="32129"/>
    <cellStyle name="Heading 2 2 2 2 7 3 4 5 3" xfId="32130"/>
    <cellStyle name="Heading 2 2 2 2 7 3 4 6" xfId="32131"/>
    <cellStyle name="Heading 2 2 2 2 7 3 4 6 2" xfId="32132"/>
    <cellStyle name="Heading 2 2 2 2 7 3 4 6 2 2" xfId="32133"/>
    <cellStyle name="Heading 2 2 2 2 7 3 4 6 3" xfId="32134"/>
    <cellStyle name="Heading 2 2 2 2 7 3 4 7" xfId="32135"/>
    <cellStyle name="Heading 2 2 2 2 7 3 4 7 2" xfId="32136"/>
    <cellStyle name="Heading 2 2 2 2 7 3 4 7 2 2" xfId="32137"/>
    <cellStyle name="Heading 2 2 2 2 7 3 4 7 3" xfId="32138"/>
    <cellStyle name="Heading 2 2 2 2 7 3 4 8" xfId="32139"/>
    <cellStyle name="Heading 2 2 2 2 7 3 4 8 2" xfId="32140"/>
    <cellStyle name="Heading 2 2 2 2 7 3 4 9" xfId="32141"/>
    <cellStyle name="Heading 2 2 2 2 7 3 5" xfId="32142"/>
    <cellStyle name="Heading 2 2 2 2 7 3 5 2" xfId="32143"/>
    <cellStyle name="Heading 2 2 2 2 7 3 5 2 2" xfId="32144"/>
    <cellStyle name="Heading 2 2 2 2 7 3 5 2 2 2" xfId="32145"/>
    <cellStyle name="Heading 2 2 2 2 7 3 5 2 3" xfId="32146"/>
    <cellStyle name="Heading 2 2 2 2 7 3 5 3" xfId="32147"/>
    <cellStyle name="Heading 2 2 2 2 7 3 5 3 2" xfId="32148"/>
    <cellStyle name="Heading 2 2 2 2 7 3 5 3 2 2" xfId="32149"/>
    <cellStyle name="Heading 2 2 2 2 7 3 5 3 3" xfId="32150"/>
    <cellStyle name="Heading 2 2 2 2 7 3 5 4" xfId="32151"/>
    <cellStyle name="Heading 2 2 2 2 7 3 5 4 2" xfId="32152"/>
    <cellStyle name="Heading 2 2 2 2 7 3 5 4 2 2" xfId="32153"/>
    <cellStyle name="Heading 2 2 2 2 7 3 5 4 3" xfId="32154"/>
    <cellStyle name="Heading 2 2 2 2 7 3 5 5" xfId="32155"/>
    <cellStyle name="Heading 2 2 2 2 7 3 5 5 2" xfId="32156"/>
    <cellStyle name="Heading 2 2 2 2 7 3 5 5 2 2" xfId="32157"/>
    <cellStyle name="Heading 2 2 2 2 7 3 5 5 3" xfId="32158"/>
    <cellStyle name="Heading 2 2 2 2 7 3 5 6" xfId="32159"/>
    <cellStyle name="Heading 2 2 2 2 7 3 5 6 2" xfId="32160"/>
    <cellStyle name="Heading 2 2 2 2 7 3 5 6 2 2" xfId="32161"/>
    <cellStyle name="Heading 2 2 2 2 7 3 5 6 3" xfId="32162"/>
    <cellStyle name="Heading 2 2 2 2 7 3 5 7" xfId="32163"/>
    <cellStyle name="Heading 2 2 2 2 7 3 5 7 2" xfId="32164"/>
    <cellStyle name="Heading 2 2 2 2 7 3 5 7 2 2" xfId="32165"/>
    <cellStyle name="Heading 2 2 2 2 7 3 5 7 3" xfId="32166"/>
    <cellStyle name="Heading 2 2 2 2 7 3 5 8" xfId="32167"/>
    <cellStyle name="Heading 2 2 2 2 7 3 5 8 2" xfId="32168"/>
    <cellStyle name="Heading 2 2 2 2 7 3 5 9" xfId="32169"/>
    <cellStyle name="Heading 2 2 2 2 7 3 6" xfId="32170"/>
    <cellStyle name="Heading 2 2 2 2 7 3 6 2" xfId="32171"/>
    <cellStyle name="Heading 2 2 2 2 7 3 6 2 2" xfId="32172"/>
    <cellStyle name="Heading 2 2 2 2 7 3 6 2 2 2" xfId="32173"/>
    <cellStyle name="Heading 2 2 2 2 7 3 6 2 3" xfId="32174"/>
    <cellStyle name="Heading 2 2 2 2 7 3 6 3" xfId="32175"/>
    <cellStyle name="Heading 2 2 2 2 7 3 6 3 2" xfId="32176"/>
    <cellStyle name="Heading 2 2 2 2 7 3 6 3 2 2" xfId="32177"/>
    <cellStyle name="Heading 2 2 2 2 7 3 6 3 3" xfId="32178"/>
    <cellStyle name="Heading 2 2 2 2 7 3 6 4" xfId="32179"/>
    <cellStyle name="Heading 2 2 2 2 7 3 6 4 2" xfId="32180"/>
    <cellStyle name="Heading 2 2 2 2 7 3 6 4 2 2" xfId="32181"/>
    <cellStyle name="Heading 2 2 2 2 7 3 6 4 3" xfId="32182"/>
    <cellStyle name="Heading 2 2 2 2 7 3 6 5" xfId="32183"/>
    <cellStyle name="Heading 2 2 2 2 7 3 6 5 2" xfId="32184"/>
    <cellStyle name="Heading 2 2 2 2 7 3 6 5 2 2" xfId="32185"/>
    <cellStyle name="Heading 2 2 2 2 7 3 6 5 3" xfId="32186"/>
    <cellStyle name="Heading 2 2 2 2 7 3 6 6" xfId="32187"/>
    <cellStyle name="Heading 2 2 2 2 7 3 6 6 2" xfId="32188"/>
    <cellStyle name="Heading 2 2 2 2 7 3 6 6 2 2" xfId="32189"/>
    <cellStyle name="Heading 2 2 2 2 7 3 6 6 3" xfId="32190"/>
    <cellStyle name="Heading 2 2 2 2 7 3 6 7" xfId="32191"/>
    <cellStyle name="Heading 2 2 2 2 7 3 6 7 2" xfId="32192"/>
    <cellStyle name="Heading 2 2 2 2 7 3 6 7 2 2" xfId="32193"/>
    <cellStyle name="Heading 2 2 2 2 7 3 6 7 3" xfId="32194"/>
    <cellStyle name="Heading 2 2 2 2 7 3 6 8" xfId="32195"/>
    <cellStyle name="Heading 2 2 2 2 7 3 6 8 2" xfId="32196"/>
    <cellStyle name="Heading 2 2 2 2 7 3 6 9" xfId="32197"/>
    <cellStyle name="Heading 2 2 2 2 7 3 7" xfId="32198"/>
    <cellStyle name="Heading 2 2 2 2 7 3 7 2" xfId="32199"/>
    <cellStyle name="Heading 2 2 2 2 7 3 7 2 2" xfId="32200"/>
    <cellStyle name="Heading 2 2 2 2 7 3 7 2 2 2" xfId="32201"/>
    <cellStyle name="Heading 2 2 2 2 7 3 7 2 3" xfId="32202"/>
    <cellStyle name="Heading 2 2 2 2 7 3 7 3" xfId="32203"/>
    <cellStyle name="Heading 2 2 2 2 7 3 7 3 2" xfId="32204"/>
    <cellStyle name="Heading 2 2 2 2 7 3 7 3 2 2" xfId="32205"/>
    <cellStyle name="Heading 2 2 2 2 7 3 7 3 3" xfId="32206"/>
    <cellStyle name="Heading 2 2 2 2 7 3 7 4" xfId="32207"/>
    <cellStyle name="Heading 2 2 2 2 7 3 7 4 2" xfId="32208"/>
    <cellStyle name="Heading 2 2 2 2 7 3 7 4 2 2" xfId="32209"/>
    <cellStyle name="Heading 2 2 2 2 7 3 7 4 3" xfId="32210"/>
    <cellStyle name="Heading 2 2 2 2 7 3 7 5" xfId="32211"/>
    <cellStyle name="Heading 2 2 2 2 7 3 7 5 2" xfId="32212"/>
    <cellStyle name="Heading 2 2 2 2 7 3 7 5 2 2" xfId="32213"/>
    <cellStyle name="Heading 2 2 2 2 7 3 7 5 3" xfId="32214"/>
    <cellStyle name="Heading 2 2 2 2 7 3 7 6" xfId="32215"/>
    <cellStyle name="Heading 2 2 2 2 7 3 7 6 2" xfId="32216"/>
    <cellStyle name="Heading 2 2 2 2 7 3 7 6 2 2" xfId="32217"/>
    <cellStyle name="Heading 2 2 2 2 7 3 7 6 3" xfId="32218"/>
    <cellStyle name="Heading 2 2 2 2 7 3 7 7" xfId="32219"/>
    <cellStyle name="Heading 2 2 2 2 7 3 7 7 2" xfId="32220"/>
    <cellStyle name="Heading 2 2 2 2 7 3 7 7 2 2" xfId="32221"/>
    <cellStyle name="Heading 2 2 2 2 7 3 7 7 3" xfId="32222"/>
    <cellStyle name="Heading 2 2 2 2 7 3 7 8" xfId="32223"/>
    <cellStyle name="Heading 2 2 2 2 7 3 7 8 2" xfId="32224"/>
    <cellStyle name="Heading 2 2 2 2 7 3 7 9" xfId="32225"/>
    <cellStyle name="Heading 2 2 2 2 7 3 8" xfId="32226"/>
    <cellStyle name="Heading 2 2 2 2 7 3 8 2" xfId="32227"/>
    <cellStyle name="Heading 2 2 2 2 7 3 8 2 2" xfId="32228"/>
    <cellStyle name="Heading 2 2 2 2 7 3 8 2 2 2" xfId="32229"/>
    <cellStyle name="Heading 2 2 2 2 7 3 8 2 3" xfId="32230"/>
    <cellStyle name="Heading 2 2 2 2 7 3 8 3" xfId="32231"/>
    <cellStyle name="Heading 2 2 2 2 7 3 8 3 2" xfId="32232"/>
    <cellStyle name="Heading 2 2 2 2 7 3 8 3 2 2" xfId="32233"/>
    <cellStyle name="Heading 2 2 2 2 7 3 8 3 3" xfId="32234"/>
    <cellStyle name="Heading 2 2 2 2 7 3 8 4" xfId="32235"/>
    <cellStyle name="Heading 2 2 2 2 7 3 8 4 2" xfId="32236"/>
    <cellStyle name="Heading 2 2 2 2 7 3 8 4 2 2" xfId="32237"/>
    <cellStyle name="Heading 2 2 2 2 7 3 8 4 3" xfId="32238"/>
    <cellStyle name="Heading 2 2 2 2 7 3 8 5" xfId="32239"/>
    <cellStyle name="Heading 2 2 2 2 7 3 8 5 2" xfId="32240"/>
    <cellStyle name="Heading 2 2 2 2 7 3 8 5 2 2" xfId="32241"/>
    <cellStyle name="Heading 2 2 2 2 7 3 8 5 3" xfId="32242"/>
    <cellStyle name="Heading 2 2 2 2 7 3 8 6" xfId="32243"/>
    <cellStyle name="Heading 2 2 2 2 7 3 8 6 2" xfId="32244"/>
    <cellStyle name="Heading 2 2 2 2 7 3 8 6 2 2" xfId="32245"/>
    <cellStyle name="Heading 2 2 2 2 7 3 8 6 3" xfId="32246"/>
    <cellStyle name="Heading 2 2 2 2 7 3 8 7" xfId="32247"/>
    <cellStyle name="Heading 2 2 2 2 7 3 8 7 2" xfId="32248"/>
    <cellStyle name="Heading 2 2 2 2 7 3 8 7 2 2" xfId="32249"/>
    <cellStyle name="Heading 2 2 2 2 7 3 8 7 3" xfId="32250"/>
    <cellStyle name="Heading 2 2 2 2 7 3 8 8" xfId="32251"/>
    <cellStyle name="Heading 2 2 2 2 7 3 8 8 2" xfId="32252"/>
    <cellStyle name="Heading 2 2 2 2 7 3 8 9" xfId="32253"/>
    <cellStyle name="Heading 2 2 2 2 7 3 9" xfId="32254"/>
    <cellStyle name="Heading 2 2 2 2 7 3 9 2" xfId="32255"/>
    <cellStyle name="Heading 2 2 2 2 7 3 9 2 2" xfId="32256"/>
    <cellStyle name="Heading 2 2 2 2 7 3 9 3" xfId="32257"/>
    <cellStyle name="Heading 2 2 2 2 7 4" xfId="32258"/>
    <cellStyle name="Heading 2 2 2 2 7 4 2" xfId="32259"/>
    <cellStyle name="Heading 2 2 2 2 7 4 2 2" xfId="32260"/>
    <cellStyle name="Heading 2 2 2 2 7 4 3" xfId="32261"/>
    <cellStyle name="Heading 2 2 2 2 7 5" xfId="32262"/>
    <cellStyle name="Heading 2 2 2 2 7 5 2" xfId="32263"/>
    <cellStyle name="Heading 2 2 2 2 7 6" xfId="32264"/>
    <cellStyle name="Heading 2 2 2 2 8" xfId="32265"/>
    <cellStyle name="Heading 2 2 2 2 8 10" xfId="32266"/>
    <cellStyle name="Heading 2 2 2 2 8 10 2" xfId="32267"/>
    <cellStyle name="Heading 2 2 2 2 8 10 2 2" xfId="32268"/>
    <cellStyle name="Heading 2 2 2 2 8 10 3" xfId="32269"/>
    <cellStyle name="Heading 2 2 2 2 8 11" xfId="32270"/>
    <cellStyle name="Heading 2 2 2 2 8 11 2" xfId="32271"/>
    <cellStyle name="Heading 2 2 2 2 8 11 2 2" xfId="32272"/>
    <cellStyle name="Heading 2 2 2 2 8 11 3" xfId="32273"/>
    <cellStyle name="Heading 2 2 2 2 8 12" xfId="32274"/>
    <cellStyle name="Heading 2 2 2 2 8 12 2" xfId="32275"/>
    <cellStyle name="Heading 2 2 2 2 8 12 2 2" xfId="32276"/>
    <cellStyle name="Heading 2 2 2 2 8 12 3" xfId="32277"/>
    <cellStyle name="Heading 2 2 2 2 8 13" xfId="32278"/>
    <cellStyle name="Heading 2 2 2 2 8 13 2" xfId="32279"/>
    <cellStyle name="Heading 2 2 2 2 8 13 2 2" xfId="32280"/>
    <cellStyle name="Heading 2 2 2 2 8 13 3" xfId="32281"/>
    <cellStyle name="Heading 2 2 2 2 8 14" xfId="32282"/>
    <cellStyle name="Heading 2 2 2 2 8 14 2" xfId="32283"/>
    <cellStyle name="Heading 2 2 2 2 8 14 2 2" xfId="32284"/>
    <cellStyle name="Heading 2 2 2 2 8 14 3" xfId="32285"/>
    <cellStyle name="Heading 2 2 2 2 8 15" xfId="32286"/>
    <cellStyle name="Heading 2 2 2 2 8 15 2" xfId="32287"/>
    <cellStyle name="Heading 2 2 2 2 8 15 2 2" xfId="32288"/>
    <cellStyle name="Heading 2 2 2 2 8 15 3" xfId="32289"/>
    <cellStyle name="Heading 2 2 2 2 8 16" xfId="32290"/>
    <cellStyle name="Heading 2 2 2 2 8 16 2" xfId="32291"/>
    <cellStyle name="Heading 2 2 2 2 8 16 2 2" xfId="32292"/>
    <cellStyle name="Heading 2 2 2 2 8 16 3" xfId="32293"/>
    <cellStyle name="Heading 2 2 2 2 8 17" xfId="32294"/>
    <cellStyle name="Heading 2 2 2 2 8 17 2" xfId="32295"/>
    <cellStyle name="Heading 2 2 2 2 8 17 2 2" xfId="32296"/>
    <cellStyle name="Heading 2 2 2 2 8 17 3" xfId="32297"/>
    <cellStyle name="Heading 2 2 2 2 8 18" xfId="32298"/>
    <cellStyle name="Heading 2 2 2 2 8 18 2" xfId="32299"/>
    <cellStyle name="Heading 2 2 2 2 8 18 2 2" xfId="32300"/>
    <cellStyle name="Heading 2 2 2 2 8 18 3" xfId="32301"/>
    <cellStyle name="Heading 2 2 2 2 8 19" xfId="32302"/>
    <cellStyle name="Heading 2 2 2 2 8 19 2" xfId="32303"/>
    <cellStyle name="Heading 2 2 2 2 8 19 2 2" xfId="32304"/>
    <cellStyle name="Heading 2 2 2 2 8 19 3" xfId="32305"/>
    <cellStyle name="Heading 2 2 2 2 8 2" xfId="32306"/>
    <cellStyle name="Heading 2 2 2 2 8 2 10" xfId="32307"/>
    <cellStyle name="Heading 2 2 2 2 8 2 10 2" xfId="32308"/>
    <cellStyle name="Heading 2 2 2 2 8 2 10 2 2" xfId="32309"/>
    <cellStyle name="Heading 2 2 2 2 8 2 10 3" xfId="32310"/>
    <cellStyle name="Heading 2 2 2 2 8 2 11" xfId="32311"/>
    <cellStyle name="Heading 2 2 2 2 8 2 11 2" xfId="32312"/>
    <cellStyle name="Heading 2 2 2 2 8 2 11 2 2" xfId="32313"/>
    <cellStyle name="Heading 2 2 2 2 8 2 11 3" xfId="32314"/>
    <cellStyle name="Heading 2 2 2 2 8 2 12" xfId="32315"/>
    <cellStyle name="Heading 2 2 2 2 8 2 12 2" xfId="32316"/>
    <cellStyle name="Heading 2 2 2 2 8 2 12 2 2" xfId="32317"/>
    <cellStyle name="Heading 2 2 2 2 8 2 12 3" xfId="32318"/>
    <cellStyle name="Heading 2 2 2 2 8 2 13" xfId="32319"/>
    <cellStyle name="Heading 2 2 2 2 8 2 13 2" xfId="32320"/>
    <cellStyle name="Heading 2 2 2 2 8 2 13 2 2" xfId="32321"/>
    <cellStyle name="Heading 2 2 2 2 8 2 13 3" xfId="32322"/>
    <cellStyle name="Heading 2 2 2 2 8 2 14" xfId="32323"/>
    <cellStyle name="Heading 2 2 2 2 8 2 14 2" xfId="32324"/>
    <cellStyle name="Heading 2 2 2 2 8 2 14 2 2" xfId="32325"/>
    <cellStyle name="Heading 2 2 2 2 8 2 14 3" xfId="32326"/>
    <cellStyle name="Heading 2 2 2 2 8 2 15" xfId="32327"/>
    <cellStyle name="Heading 2 2 2 2 8 2 15 2" xfId="32328"/>
    <cellStyle name="Heading 2 2 2 2 8 2 15 2 2" xfId="32329"/>
    <cellStyle name="Heading 2 2 2 2 8 2 15 3" xfId="32330"/>
    <cellStyle name="Heading 2 2 2 2 8 2 16" xfId="32331"/>
    <cellStyle name="Heading 2 2 2 2 8 2 16 2" xfId="32332"/>
    <cellStyle name="Heading 2 2 2 2 8 2 16 2 2" xfId="32333"/>
    <cellStyle name="Heading 2 2 2 2 8 2 16 3" xfId="32334"/>
    <cellStyle name="Heading 2 2 2 2 8 2 17" xfId="32335"/>
    <cellStyle name="Heading 2 2 2 2 8 2 17 2" xfId="32336"/>
    <cellStyle name="Heading 2 2 2 2 8 2 17 2 2" xfId="32337"/>
    <cellStyle name="Heading 2 2 2 2 8 2 17 3" xfId="32338"/>
    <cellStyle name="Heading 2 2 2 2 8 2 18" xfId="32339"/>
    <cellStyle name="Heading 2 2 2 2 8 2 18 2" xfId="32340"/>
    <cellStyle name="Heading 2 2 2 2 8 2 18 2 2" xfId="32341"/>
    <cellStyle name="Heading 2 2 2 2 8 2 18 3" xfId="32342"/>
    <cellStyle name="Heading 2 2 2 2 8 2 19" xfId="32343"/>
    <cellStyle name="Heading 2 2 2 2 8 2 19 2" xfId="32344"/>
    <cellStyle name="Heading 2 2 2 2 8 2 2" xfId="32345"/>
    <cellStyle name="Heading 2 2 2 2 8 2 2 2" xfId="32346"/>
    <cellStyle name="Heading 2 2 2 2 8 2 2 2 2" xfId="32347"/>
    <cellStyle name="Heading 2 2 2 2 8 2 2 2 2 2" xfId="32348"/>
    <cellStyle name="Heading 2 2 2 2 8 2 2 2 3" xfId="32349"/>
    <cellStyle name="Heading 2 2 2 2 8 2 2 3" xfId="32350"/>
    <cellStyle name="Heading 2 2 2 2 8 2 2 3 2" xfId="32351"/>
    <cellStyle name="Heading 2 2 2 2 8 2 2 3 2 2" xfId="32352"/>
    <cellStyle name="Heading 2 2 2 2 8 2 2 3 3" xfId="32353"/>
    <cellStyle name="Heading 2 2 2 2 8 2 2 4" xfId="32354"/>
    <cellStyle name="Heading 2 2 2 2 8 2 2 4 2" xfId="32355"/>
    <cellStyle name="Heading 2 2 2 2 8 2 2 4 2 2" xfId="32356"/>
    <cellStyle name="Heading 2 2 2 2 8 2 2 4 3" xfId="32357"/>
    <cellStyle name="Heading 2 2 2 2 8 2 2 5" xfId="32358"/>
    <cellStyle name="Heading 2 2 2 2 8 2 2 5 2" xfId="32359"/>
    <cellStyle name="Heading 2 2 2 2 8 2 2 5 2 2" xfId="32360"/>
    <cellStyle name="Heading 2 2 2 2 8 2 2 5 3" xfId="32361"/>
    <cellStyle name="Heading 2 2 2 2 8 2 2 6" xfId="32362"/>
    <cellStyle name="Heading 2 2 2 2 8 2 2 6 2" xfId="32363"/>
    <cellStyle name="Heading 2 2 2 2 8 2 2 6 2 2" xfId="32364"/>
    <cellStyle name="Heading 2 2 2 2 8 2 2 6 3" xfId="32365"/>
    <cellStyle name="Heading 2 2 2 2 8 2 2 7" xfId="32366"/>
    <cellStyle name="Heading 2 2 2 2 8 2 2 7 2" xfId="32367"/>
    <cellStyle name="Heading 2 2 2 2 8 2 2 7 2 2" xfId="32368"/>
    <cellStyle name="Heading 2 2 2 2 8 2 2 7 3" xfId="32369"/>
    <cellStyle name="Heading 2 2 2 2 8 2 2 8" xfId="32370"/>
    <cellStyle name="Heading 2 2 2 2 8 2 2 8 2" xfId="32371"/>
    <cellStyle name="Heading 2 2 2 2 8 2 2 9" xfId="32372"/>
    <cellStyle name="Heading 2 2 2 2 8 2 20" xfId="32373"/>
    <cellStyle name="Heading 2 2 2 2 8 2 20 2" xfId="32374"/>
    <cellStyle name="Heading 2 2 2 2 8 2 21" xfId="32375"/>
    <cellStyle name="Heading 2 2 2 2 8 2 21 2" xfId="32376"/>
    <cellStyle name="Heading 2 2 2 2 8 2 22" xfId="32377"/>
    <cellStyle name="Heading 2 2 2 2 8 2 3" xfId="32378"/>
    <cellStyle name="Heading 2 2 2 2 8 2 3 2" xfId="32379"/>
    <cellStyle name="Heading 2 2 2 2 8 2 3 2 2" xfId="32380"/>
    <cellStyle name="Heading 2 2 2 2 8 2 3 2 2 2" xfId="32381"/>
    <cellStyle name="Heading 2 2 2 2 8 2 3 2 3" xfId="32382"/>
    <cellStyle name="Heading 2 2 2 2 8 2 3 3" xfId="32383"/>
    <cellStyle name="Heading 2 2 2 2 8 2 3 3 2" xfId="32384"/>
    <cellStyle name="Heading 2 2 2 2 8 2 3 3 2 2" xfId="32385"/>
    <cellStyle name="Heading 2 2 2 2 8 2 3 3 3" xfId="32386"/>
    <cellStyle name="Heading 2 2 2 2 8 2 3 4" xfId="32387"/>
    <cellStyle name="Heading 2 2 2 2 8 2 3 4 2" xfId="32388"/>
    <cellStyle name="Heading 2 2 2 2 8 2 3 4 2 2" xfId="32389"/>
    <cellStyle name="Heading 2 2 2 2 8 2 3 4 3" xfId="32390"/>
    <cellStyle name="Heading 2 2 2 2 8 2 3 5" xfId="32391"/>
    <cellStyle name="Heading 2 2 2 2 8 2 3 5 2" xfId="32392"/>
    <cellStyle name="Heading 2 2 2 2 8 2 3 5 2 2" xfId="32393"/>
    <cellStyle name="Heading 2 2 2 2 8 2 3 5 3" xfId="32394"/>
    <cellStyle name="Heading 2 2 2 2 8 2 3 6" xfId="32395"/>
    <cellStyle name="Heading 2 2 2 2 8 2 3 6 2" xfId="32396"/>
    <cellStyle name="Heading 2 2 2 2 8 2 3 6 2 2" xfId="32397"/>
    <cellStyle name="Heading 2 2 2 2 8 2 3 6 3" xfId="32398"/>
    <cellStyle name="Heading 2 2 2 2 8 2 3 7" xfId="32399"/>
    <cellStyle name="Heading 2 2 2 2 8 2 3 7 2" xfId="32400"/>
    <cellStyle name="Heading 2 2 2 2 8 2 3 7 2 2" xfId="32401"/>
    <cellStyle name="Heading 2 2 2 2 8 2 3 7 3" xfId="32402"/>
    <cellStyle name="Heading 2 2 2 2 8 2 3 8" xfId="32403"/>
    <cellStyle name="Heading 2 2 2 2 8 2 3 8 2" xfId="32404"/>
    <cellStyle name="Heading 2 2 2 2 8 2 3 9" xfId="32405"/>
    <cellStyle name="Heading 2 2 2 2 8 2 4" xfId="32406"/>
    <cellStyle name="Heading 2 2 2 2 8 2 4 2" xfId="32407"/>
    <cellStyle name="Heading 2 2 2 2 8 2 4 2 2" xfId="32408"/>
    <cellStyle name="Heading 2 2 2 2 8 2 4 2 2 2" xfId="32409"/>
    <cellStyle name="Heading 2 2 2 2 8 2 4 2 3" xfId="32410"/>
    <cellStyle name="Heading 2 2 2 2 8 2 4 3" xfId="32411"/>
    <cellStyle name="Heading 2 2 2 2 8 2 4 3 2" xfId="32412"/>
    <cellStyle name="Heading 2 2 2 2 8 2 4 3 2 2" xfId="32413"/>
    <cellStyle name="Heading 2 2 2 2 8 2 4 3 3" xfId="32414"/>
    <cellStyle name="Heading 2 2 2 2 8 2 4 4" xfId="32415"/>
    <cellStyle name="Heading 2 2 2 2 8 2 4 4 2" xfId="32416"/>
    <cellStyle name="Heading 2 2 2 2 8 2 4 4 2 2" xfId="32417"/>
    <cellStyle name="Heading 2 2 2 2 8 2 4 4 3" xfId="32418"/>
    <cellStyle name="Heading 2 2 2 2 8 2 4 5" xfId="32419"/>
    <cellStyle name="Heading 2 2 2 2 8 2 4 5 2" xfId="32420"/>
    <cellStyle name="Heading 2 2 2 2 8 2 4 5 2 2" xfId="32421"/>
    <cellStyle name="Heading 2 2 2 2 8 2 4 5 3" xfId="32422"/>
    <cellStyle name="Heading 2 2 2 2 8 2 4 6" xfId="32423"/>
    <cellStyle name="Heading 2 2 2 2 8 2 4 6 2" xfId="32424"/>
    <cellStyle name="Heading 2 2 2 2 8 2 4 6 2 2" xfId="32425"/>
    <cellStyle name="Heading 2 2 2 2 8 2 4 6 3" xfId="32426"/>
    <cellStyle name="Heading 2 2 2 2 8 2 4 7" xfId="32427"/>
    <cellStyle name="Heading 2 2 2 2 8 2 4 7 2" xfId="32428"/>
    <cellStyle name="Heading 2 2 2 2 8 2 4 7 2 2" xfId="32429"/>
    <cellStyle name="Heading 2 2 2 2 8 2 4 7 3" xfId="32430"/>
    <cellStyle name="Heading 2 2 2 2 8 2 4 8" xfId="32431"/>
    <cellStyle name="Heading 2 2 2 2 8 2 4 8 2" xfId="32432"/>
    <cellStyle name="Heading 2 2 2 2 8 2 4 9" xfId="32433"/>
    <cellStyle name="Heading 2 2 2 2 8 2 5" xfId="32434"/>
    <cellStyle name="Heading 2 2 2 2 8 2 5 2" xfId="32435"/>
    <cellStyle name="Heading 2 2 2 2 8 2 5 2 2" xfId="32436"/>
    <cellStyle name="Heading 2 2 2 2 8 2 5 2 2 2" xfId="32437"/>
    <cellStyle name="Heading 2 2 2 2 8 2 5 2 3" xfId="32438"/>
    <cellStyle name="Heading 2 2 2 2 8 2 5 3" xfId="32439"/>
    <cellStyle name="Heading 2 2 2 2 8 2 5 3 2" xfId="32440"/>
    <cellStyle name="Heading 2 2 2 2 8 2 5 3 2 2" xfId="32441"/>
    <cellStyle name="Heading 2 2 2 2 8 2 5 3 3" xfId="32442"/>
    <cellStyle name="Heading 2 2 2 2 8 2 5 4" xfId="32443"/>
    <cellStyle name="Heading 2 2 2 2 8 2 5 4 2" xfId="32444"/>
    <cellStyle name="Heading 2 2 2 2 8 2 5 4 2 2" xfId="32445"/>
    <cellStyle name="Heading 2 2 2 2 8 2 5 4 3" xfId="32446"/>
    <cellStyle name="Heading 2 2 2 2 8 2 5 5" xfId="32447"/>
    <cellStyle name="Heading 2 2 2 2 8 2 5 5 2" xfId="32448"/>
    <cellStyle name="Heading 2 2 2 2 8 2 5 5 2 2" xfId="32449"/>
    <cellStyle name="Heading 2 2 2 2 8 2 5 5 3" xfId="32450"/>
    <cellStyle name="Heading 2 2 2 2 8 2 5 6" xfId="32451"/>
    <cellStyle name="Heading 2 2 2 2 8 2 5 6 2" xfId="32452"/>
    <cellStyle name="Heading 2 2 2 2 8 2 5 6 2 2" xfId="32453"/>
    <cellStyle name="Heading 2 2 2 2 8 2 5 6 3" xfId="32454"/>
    <cellStyle name="Heading 2 2 2 2 8 2 5 7" xfId="32455"/>
    <cellStyle name="Heading 2 2 2 2 8 2 5 7 2" xfId="32456"/>
    <cellStyle name="Heading 2 2 2 2 8 2 5 7 2 2" xfId="32457"/>
    <cellStyle name="Heading 2 2 2 2 8 2 5 7 3" xfId="32458"/>
    <cellStyle name="Heading 2 2 2 2 8 2 5 8" xfId="32459"/>
    <cellStyle name="Heading 2 2 2 2 8 2 5 8 2" xfId="32460"/>
    <cellStyle name="Heading 2 2 2 2 8 2 5 9" xfId="32461"/>
    <cellStyle name="Heading 2 2 2 2 8 2 6" xfId="32462"/>
    <cellStyle name="Heading 2 2 2 2 8 2 6 2" xfId="32463"/>
    <cellStyle name="Heading 2 2 2 2 8 2 6 2 2" xfId="32464"/>
    <cellStyle name="Heading 2 2 2 2 8 2 6 2 2 2" xfId="32465"/>
    <cellStyle name="Heading 2 2 2 2 8 2 6 2 3" xfId="32466"/>
    <cellStyle name="Heading 2 2 2 2 8 2 6 3" xfId="32467"/>
    <cellStyle name="Heading 2 2 2 2 8 2 6 3 2" xfId="32468"/>
    <cellStyle name="Heading 2 2 2 2 8 2 6 3 2 2" xfId="32469"/>
    <cellStyle name="Heading 2 2 2 2 8 2 6 3 3" xfId="32470"/>
    <cellStyle name="Heading 2 2 2 2 8 2 6 4" xfId="32471"/>
    <cellStyle name="Heading 2 2 2 2 8 2 6 4 2" xfId="32472"/>
    <cellStyle name="Heading 2 2 2 2 8 2 6 4 2 2" xfId="32473"/>
    <cellStyle name="Heading 2 2 2 2 8 2 6 4 3" xfId="32474"/>
    <cellStyle name="Heading 2 2 2 2 8 2 6 5" xfId="32475"/>
    <cellStyle name="Heading 2 2 2 2 8 2 6 5 2" xfId="32476"/>
    <cellStyle name="Heading 2 2 2 2 8 2 6 5 2 2" xfId="32477"/>
    <cellStyle name="Heading 2 2 2 2 8 2 6 5 3" xfId="32478"/>
    <cellStyle name="Heading 2 2 2 2 8 2 6 6" xfId="32479"/>
    <cellStyle name="Heading 2 2 2 2 8 2 6 6 2" xfId="32480"/>
    <cellStyle name="Heading 2 2 2 2 8 2 6 6 2 2" xfId="32481"/>
    <cellStyle name="Heading 2 2 2 2 8 2 6 6 3" xfId="32482"/>
    <cellStyle name="Heading 2 2 2 2 8 2 6 7" xfId="32483"/>
    <cellStyle name="Heading 2 2 2 2 8 2 6 7 2" xfId="32484"/>
    <cellStyle name="Heading 2 2 2 2 8 2 6 7 2 2" xfId="32485"/>
    <cellStyle name="Heading 2 2 2 2 8 2 6 7 3" xfId="32486"/>
    <cellStyle name="Heading 2 2 2 2 8 2 6 8" xfId="32487"/>
    <cellStyle name="Heading 2 2 2 2 8 2 6 8 2" xfId="32488"/>
    <cellStyle name="Heading 2 2 2 2 8 2 6 9" xfId="32489"/>
    <cellStyle name="Heading 2 2 2 2 8 2 7" xfId="32490"/>
    <cellStyle name="Heading 2 2 2 2 8 2 7 2" xfId="32491"/>
    <cellStyle name="Heading 2 2 2 2 8 2 7 2 2" xfId="32492"/>
    <cellStyle name="Heading 2 2 2 2 8 2 7 2 2 2" xfId="32493"/>
    <cellStyle name="Heading 2 2 2 2 8 2 7 2 3" xfId="32494"/>
    <cellStyle name="Heading 2 2 2 2 8 2 7 3" xfId="32495"/>
    <cellStyle name="Heading 2 2 2 2 8 2 7 3 2" xfId="32496"/>
    <cellStyle name="Heading 2 2 2 2 8 2 7 3 2 2" xfId="32497"/>
    <cellStyle name="Heading 2 2 2 2 8 2 7 3 3" xfId="32498"/>
    <cellStyle name="Heading 2 2 2 2 8 2 7 4" xfId="32499"/>
    <cellStyle name="Heading 2 2 2 2 8 2 7 4 2" xfId="32500"/>
    <cellStyle name="Heading 2 2 2 2 8 2 7 4 2 2" xfId="32501"/>
    <cellStyle name="Heading 2 2 2 2 8 2 7 4 3" xfId="32502"/>
    <cellStyle name="Heading 2 2 2 2 8 2 7 5" xfId="32503"/>
    <cellStyle name="Heading 2 2 2 2 8 2 7 5 2" xfId="32504"/>
    <cellStyle name="Heading 2 2 2 2 8 2 7 5 2 2" xfId="32505"/>
    <cellStyle name="Heading 2 2 2 2 8 2 7 5 3" xfId="32506"/>
    <cellStyle name="Heading 2 2 2 2 8 2 7 6" xfId="32507"/>
    <cellStyle name="Heading 2 2 2 2 8 2 7 6 2" xfId="32508"/>
    <cellStyle name="Heading 2 2 2 2 8 2 7 6 2 2" xfId="32509"/>
    <cellStyle name="Heading 2 2 2 2 8 2 7 6 3" xfId="32510"/>
    <cellStyle name="Heading 2 2 2 2 8 2 7 7" xfId="32511"/>
    <cellStyle name="Heading 2 2 2 2 8 2 7 7 2" xfId="32512"/>
    <cellStyle name="Heading 2 2 2 2 8 2 7 7 2 2" xfId="32513"/>
    <cellStyle name="Heading 2 2 2 2 8 2 7 7 3" xfId="32514"/>
    <cellStyle name="Heading 2 2 2 2 8 2 7 8" xfId="32515"/>
    <cellStyle name="Heading 2 2 2 2 8 2 7 8 2" xfId="32516"/>
    <cellStyle name="Heading 2 2 2 2 8 2 7 9" xfId="32517"/>
    <cellStyle name="Heading 2 2 2 2 8 2 8" xfId="32518"/>
    <cellStyle name="Heading 2 2 2 2 8 2 8 2" xfId="32519"/>
    <cellStyle name="Heading 2 2 2 2 8 2 8 2 2" xfId="32520"/>
    <cellStyle name="Heading 2 2 2 2 8 2 8 2 2 2" xfId="32521"/>
    <cellStyle name="Heading 2 2 2 2 8 2 8 2 3" xfId="32522"/>
    <cellStyle name="Heading 2 2 2 2 8 2 8 3" xfId="32523"/>
    <cellStyle name="Heading 2 2 2 2 8 2 8 3 2" xfId="32524"/>
    <cellStyle name="Heading 2 2 2 2 8 2 8 3 2 2" xfId="32525"/>
    <cellStyle name="Heading 2 2 2 2 8 2 8 3 3" xfId="32526"/>
    <cellStyle name="Heading 2 2 2 2 8 2 8 4" xfId="32527"/>
    <cellStyle name="Heading 2 2 2 2 8 2 8 4 2" xfId="32528"/>
    <cellStyle name="Heading 2 2 2 2 8 2 8 4 2 2" xfId="32529"/>
    <cellStyle name="Heading 2 2 2 2 8 2 8 4 3" xfId="32530"/>
    <cellStyle name="Heading 2 2 2 2 8 2 8 5" xfId="32531"/>
    <cellStyle name="Heading 2 2 2 2 8 2 8 5 2" xfId="32532"/>
    <cellStyle name="Heading 2 2 2 2 8 2 8 5 2 2" xfId="32533"/>
    <cellStyle name="Heading 2 2 2 2 8 2 8 5 3" xfId="32534"/>
    <cellStyle name="Heading 2 2 2 2 8 2 8 6" xfId="32535"/>
    <cellStyle name="Heading 2 2 2 2 8 2 8 6 2" xfId="32536"/>
    <cellStyle name="Heading 2 2 2 2 8 2 8 6 2 2" xfId="32537"/>
    <cellStyle name="Heading 2 2 2 2 8 2 8 6 3" xfId="32538"/>
    <cellStyle name="Heading 2 2 2 2 8 2 8 7" xfId="32539"/>
    <cellStyle name="Heading 2 2 2 2 8 2 8 7 2" xfId="32540"/>
    <cellStyle name="Heading 2 2 2 2 8 2 8 7 2 2" xfId="32541"/>
    <cellStyle name="Heading 2 2 2 2 8 2 8 7 3" xfId="32542"/>
    <cellStyle name="Heading 2 2 2 2 8 2 8 8" xfId="32543"/>
    <cellStyle name="Heading 2 2 2 2 8 2 8 8 2" xfId="32544"/>
    <cellStyle name="Heading 2 2 2 2 8 2 8 9" xfId="32545"/>
    <cellStyle name="Heading 2 2 2 2 8 2 9" xfId="32546"/>
    <cellStyle name="Heading 2 2 2 2 8 2 9 2" xfId="32547"/>
    <cellStyle name="Heading 2 2 2 2 8 2 9 2 2" xfId="32548"/>
    <cellStyle name="Heading 2 2 2 2 8 2 9 3" xfId="32549"/>
    <cellStyle name="Heading 2 2 2 2 8 20" xfId="32550"/>
    <cellStyle name="Heading 2 2 2 2 8 20 2" xfId="32551"/>
    <cellStyle name="Heading 2 2 2 2 8 21" xfId="32552"/>
    <cellStyle name="Heading 2 2 2 2 8 21 2" xfId="32553"/>
    <cellStyle name="Heading 2 2 2 2 8 22" xfId="32554"/>
    <cellStyle name="Heading 2 2 2 2 8 22 2" xfId="32555"/>
    <cellStyle name="Heading 2 2 2 2 8 23" xfId="32556"/>
    <cellStyle name="Heading 2 2 2 2 8 3" xfId="32557"/>
    <cellStyle name="Heading 2 2 2 2 8 3 2" xfId="32558"/>
    <cellStyle name="Heading 2 2 2 2 8 3 2 2" xfId="32559"/>
    <cellStyle name="Heading 2 2 2 2 8 3 2 2 2" xfId="32560"/>
    <cellStyle name="Heading 2 2 2 2 8 3 2 3" xfId="32561"/>
    <cellStyle name="Heading 2 2 2 2 8 3 3" xfId="32562"/>
    <cellStyle name="Heading 2 2 2 2 8 3 3 2" xfId="32563"/>
    <cellStyle name="Heading 2 2 2 2 8 3 3 2 2" xfId="32564"/>
    <cellStyle name="Heading 2 2 2 2 8 3 3 3" xfId="32565"/>
    <cellStyle name="Heading 2 2 2 2 8 3 4" xfId="32566"/>
    <cellStyle name="Heading 2 2 2 2 8 3 4 2" xfId="32567"/>
    <cellStyle name="Heading 2 2 2 2 8 3 4 2 2" xfId="32568"/>
    <cellStyle name="Heading 2 2 2 2 8 3 4 3" xfId="32569"/>
    <cellStyle name="Heading 2 2 2 2 8 3 5" xfId="32570"/>
    <cellStyle name="Heading 2 2 2 2 8 3 5 2" xfId="32571"/>
    <cellStyle name="Heading 2 2 2 2 8 3 5 2 2" xfId="32572"/>
    <cellStyle name="Heading 2 2 2 2 8 3 5 3" xfId="32573"/>
    <cellStyle name="Heading 2 2 2 2 8 3 6" xfId="32574"/>
    <cellStyle name="Heading 2 2 2 2 8 3 6 2" xfId="32575"/>
    <cellStyle name="Heading 2 2 2 2 8 3 6 2 2" xfId="32576"/>
    <cellStyle name="Heading 2 2 2 2 8 3 6 3" xfId="32577"/>
    <cellStyle name="Heading 2 2 2 2 8 3 7" xfId="32578"/>
    <cellStyle name="Heading 2 2 2 2 8 3 7 2" xfId="32579"/>
    <cellStyle name="Heading 2 2 2 2 8 3 7 2 2" xfId="32580"/>
    <cellStyle name="Heading 2 2 2 2 8 3 7 3" xfId="32581"/>
    <cellStyle name="Heading 2 2 2 2 8 3 8" xfId="32582"/>
    <cellStyle name="Heading 2 2 2 2 8 3 8 2" xfId="32583"/>
    <cellStyle name="Heading 2 2 2 2 8 3 9" xfId="32584"/>
    <cellStyle name="Heading 2 2 2 2 8 4" xfId="32585"/>
    <cellStyle name="Heading 2 2 2 2 8 4 2" xfId="32586"/>
    <cellStyle name="Heading 2 2 2 2 8 4 2 2" xfId="32587"/>
    <cellStyle name="Heading 2 2 2 2 8 4 2 2 2" xfId="32588"/>
    <cellStyle name="Heading 2 2 2 2 8 4 2 3" xfId="32589"/>
    <cellStyle name="Heading 2 2 2 2 8 4 3" xfId="32590"/>
    <cellStyle name="Heading 2 2 2 2 8 4 3 2" xfId="32591"/>
    <cellStyle name="Heading 2 2 2 2 8 4 3 2 2" xfId="32592"/>
    <cellStyle name="Heading 2 2 2 2 8 4 3 3" xfId="32593"/>
    <cellStyle name="Heading 2 2 2 2 8 4 4" xfId="32594"/>
    <cellStyle name="Heading 2 2 2 2 8 4 4 2" xfId="32595"/>
    <cellStyle name="Heading 2 2 2 2 8 4 4 2 2" xfId="32596"/>
    <cellStyle name="Heading 2 2 2 2 8 4 4 3" xfId="32597"/>
    <cellStyle name="Heading 2 2 2 2 8 4 5" xfId="32598"/>
    <cellStyle name="Heading 2 2 2 2 8 4 5 2" xfId="32599"/>
    <cellStyle name="Heading 2 2 2 2 8 4 5 2 2" xfId="32600"/>
    <cellStyle name="Heading 2 2 2 2 8 4 5 3" xfId="32601"/>
    <cellStyle name="Heading 2 2 2 2 8 4 6" xfId="32602"/>
    <cellStyle name="Heading 2 2 2 2 8 4 6 2" xfId="32603"/>
    <cellStyle name="Heading 2 2 2 2 8 4 6 2 2" xfId="32604"/>
    <cellStyle name="Heading 2 2 2 2 8 4 6 3" xfId="32605"/>
    <cellStyle name="Heading 2 2 2 2 8 4 7" xfId="32606"/>
    <cellStyle name="Heading 2 2 2 2 8 4 7 2" xfId="32607"/>
    <cellStyle name="Heading 2 2 2 2 8 4 7 2 2" xfId="32608"/>
    <cellStyle name="Heading 2 2 2 2 8 4 7 3" xfId="32609"/>
    <cellStyle name="Heading 2 2 2 2 8 4 8" xfId="32610"/>
    <cellStyle name="Heading 2 2 2 2 8 4 8 2" xfId="32611"/>
    <cellStyle name="Heading 2 2 2 2 8 4 9" xfId="32612"/>
    <cellStyle name="Heading 2 2 2 2 8 5" xfId="32613"/>
    <cellStyle name="Heading 2 2 2 2 8 5 2" xfId="32614"/>
    <cellStyle name="Heading 2 2 2 2 8 5 2 2" xfId="32615"/>
    <cellStyle name="Heading 2 2 2 2 8 5 2 2 2" xfId="32616"/>
    <cellStyle name="Heading 2 2 2 2 8 5 2 3" xfId="32617"/>
    <cellStyle name="Heading 2 2 2 2 8 5 3" xfId="32618"/>
    <cellStyle name="Heading 2 2 2 2 8 5 3 2" xfId="32619"/>
    <cellStyle name="Heading 2 2 2 2 8 5 3 2 2" xfId="32620"/>
    <cellStyle name="Heading 2 2 2 2 8 5 3 3" xfId="32621"/>
    <cellStyle name="Heading 2 2 2 2 8 5 4" xfId="32622"/>
    <cellStyle name="Heading 2 2 2 2 8 5 4 2" xfId="32623"/>
    <cellStyle name="Heading 2 2 2 2 8 5 4 2 2" xfId="32624"/>
    <cellStyle name="Heading 2 2 2 2 8 5 4 3" xfId="32625"/>
    <cellStyle name="Heading 2 2 2 2 8 5 5" xfId="32626"/>
    <cellStyle name="Heading 2 2 2 2 8 5 5 2" xfId="32627"/>
    <cellStyle name="Heading 2 2 2 2 8 5 5 2 2" xfId="32628"/>
    <cellStyle name="Heading 2 2 2 2 8 5 5 3" xfId="32629"/>
    <cellStyle name="Heading 2 2 2 2 8 5 6" xfId="32630"/>
    <cellStyle name="Heading 2 2 2 2 8 5 6 2" xfId="32631"/>
    <cellStyle name="Heading 2 2 2 2 8 5 6 2 2" xfId="32632"/>
    <cellStyle name="Heading 2 2 2 2 8 5 6 3" xfId="32633"/>
    <cellStyle name="Heading 2 2 2 2 8 5 7" xfId="32634"/>
    <cellStyle name="Heading 2 2 2 2 8 5 7 2" xfId="32635"/>
    <cellStyle name="Heading 2 2 2 2 8 5 7 2 2" xfId="32636"/>
    <cellStyle name="Heading 2 2 2 2 8 5 7 3" xfId="32637"/>
    <cellStyle name="Heading 2 2 2 2 8 5 8" xfId="32638"/>
    <cellStyle name="Heading 2 2 2 2 8 5 8 2" xfId="32639"/>
    <cellStyle name="Heading 2 2 2 2 8 5 9" xfId="32640"/>
    <cellStyle name="Heading 2 2 2 2 8 6" xfId="32641"/>
    <cellStyle name="Heading 2 2 2 2 8 6 2" xfId="32642"/>
    <cellStyle name="Heading 2 2 2 2 8 6 2 2" xfId="32643"/>
    <cellStyle name="Heading 2 2 2 2 8 6 2 2 2" xfId="32644"/>
    <cellStyle name="Heading 2 2 2 2 8 6 2 3" xfId="32645"/>
    <cellStyle name="Heading 2 2 2 2 8 6 3" xfId="32646"/>
    <cellStyle name="Heading 2 2 2 2 8 6 3 2" xfId="32647"/>
    <cellStyle name="Heading 2 2 2 2 8 6 3 2 2" xfId="32648"/>
    <cellStyle name="Heading 2 2 2 2 8 6 3 3" xfId="32649"/>
    <cellStyle name="Heading 2 2 2 2 8 6 4" xfId="32650"/>
    <cellStyle name="Heading 2 2 2 2 8 6 4 2" xfId="32651"/>
    <cellStyle name="Heading 2 2 2 2 8 6 4 2 2" xfId="32652"/>
    <cellStyle name="Heading 2 2 2 2 8 6 4 3" xfId="32653"/>
    <cellStyle name="Heading 2 2 2 2 8 6 5" xfId="32654"/>
    <cellStyle name="Heading 2 2 2 2 8 6 5 2" xfId="32655"/>
    <cellStyle name="Heading 2 2 2 2 8 6 5 2 2" xfId="32656"/>
    <cellStyle name="Heading 2 2 2 2 8 6 5 3" xfId="32657"/>
    <cellStyle name="Heading 2 2 2 2 8 6 6" xfId="32658"/>
    <cellStyle name="Heading 2 2 2 2 8 6 6 2" xfId="32659"/>
    <cellStyle name="Heading 2 2 2 2 8 6 6 2 2" xfId="32660"/>
    <cellStyle name="Heading 2 2 2 2 8 6 6 3" xfId="32661"/>
    <cellStyle name="Heading 2 2 2 2 8 6 7" xfId="32662"/>
    <cellStyle name="Heading 2 2 2 2 8 6 7 2" xfId="32663"/>
    <cellStyle name="Heading 2 2 2 2 8 6 7 2 2" xfId="32664"/>
    <cellStyle name="Heading 2 2 2 2 8 6 7 3" xfId="32665"/>
    <cellStyle name="Heading 2 2 2 2 8 6 8" xfId="32666"/>
    <cellStyle name="Heading 2 2 2 2 8 6 8 2" xfId="32667"/>
    <cellStyle name="Heading 2 2 2 2 8 6 9" xfId="32668"/>
    <cellStyle name="Heading 2 2 2 2 8 7" xfId="32669"/>
    <cellStyle name="Heading 2 2 2 2 8 7 2" xfId="32670"/>
    <cellStyle name="Heading 2 2 2 2 8 7 2 2" xfId="32671"/>
    <cellStyle name="Heading 2 2 2 2 8 7 2 2 2" xfId="32672"/>
    <cellStyle name="Heading 2 2 2 2 8 7 2 3" xfId="32673"/>
    <cellStyle name="Heading 2 2 2 2 8 7 3" xfId="32674"/>
    <cellStyle name="Heading 2 2 2 2 8 7 3 2" xfId="32675"/>
    <cellStyle name="Heading 2 2 2 2 8 7 3 2 2" xfId="32676"/>
    <cellStyle name="Heading 2 2 2 2 8 7 3 3" xfId="32677"/>
    <cellStyle name="Heading 2 2 2 2 8 7 4" xfId="32678"/>
    <cellStyle name="Heading 2 2 2 2 8 7 4 2" xfId="32679"/>
    <cellStyle name="Heading 2 2 2 2 8 7 4 2 2" xfId="32680"/>
    <cellStyle name="Heading 2 2 2 2 8 7 4 3" xfId="32681"/>
    <cellStyle name="Heading 2 2 2 2 8 7 5" xfId="32682"/>
    <cellStyle name="Heading 2 2 2 2 8 7 5 2" xfId="32683"/>
    <cellStyle name="Heading 2 2 2 2 8 7 5 2 2" xfId="32684"/>
    <cellStyle name="Heading 2 2 2 2 8 7 5 3" xfId="32685"/>
    <cellStyle name="Heading 2 2 2 2 8 7 6" xfId="32686"/>
    <cellStyle name="Heading 2 2 2 2 8 7 6 2" xfId="32687"/>
    <cellStyle name="Heading 2 2 2 2 8 7 6 2 2" xfId="32688"/>
    <cellStyle name="Heading 2 2 2 2 8 7 6 3" xfId="32689"/>
    <cellStyle name="Heading 2 2 2 2 8 7 7" xfId="32690"/>
    <cellStyle name="Heading 2 2 2 2 8 7 7 2" xfId="32691"/>
    <cellStyle name="Heading 2 2 2 2 8 7 7 2 2" xfId="32692"/>
    <cellStyle name="Heading 2 2 2 2 8 7 7 3" xfId="32693"/>
    <cellStyle name="Heading 2 2 2 2 8 7 8" xfId="32694"/>
    <cellStyle name="Heading 2 2 2 2 8 7 8 2" xfId="32695"/>
    <cellStyle name="Heading 2 2 2 2 8 7 9" xfId="32696"/>
    <cellStyle name="Heading 2 2 2 2 8 8" xfId="32697"/>
    <cellStyle name="Heading 2 2 2 2 8 8 2" xfId="32698"/>
    <cellStyle name="Heading 2 2 2 2 8 8 2 2" xfId="32699"/>
    <cellStyle name="Heading 2 2 2 2 8 8 2 2 2" xfId="32700"/>
    <cellStyle name="Heading 2 2 2 2 8 8 2 3" xfId="32701"/>
    <cellStyle name="Heading 2 2 2 2 8 8 3" xfId="32702"/>
    <cellStyle name="Heading 2 2 2 2 8 8 3 2" xfId="32703"/>
    <cellStyle name="Heading 2 2 2 2 8 8 3 2 2" xfId="32704"/>
    <cellStyle name="Heading 2 2 2 2 8 8 3 3" xfId="32705"/>
    <cellStyle name="Heading 2 2 2 2 8 8 4" xfId="32706"/>
    <cellStyle name="Heading 2 2 2 2 8 8 4 2" xfId="32707"/>
    <cellStyle name="Heading 2 2 2 2 8 8 4 2 2" xfId="32708"/>
    <cellStyle name="Heading 2 2 2 2 8 8 4 3" xfId="32709"/>
    <cellStyle name="Heading 2 2 2 2 8 8 5" xfId="32710"/>
    <cellStyle name="Heading 2 2 2 2 8 8 5 2" xfId="32711"/>
    <cellStyle name="Heading 2 2 2 2 8 8 5 2 2" xfId="32712"/>
    <cellStyle name="Heading 2 2 2 2 8 8 5 3" xfId="32713"/>
    <cellStyle name="Heading 2 2 2 2 8 8 6" xfId="32714"/>
    <cellStyle name="Heading 2 2 2 2 8 8 6 2" xfId="32715"/>
    <cellStyle name="Heading 2 2 2 2 8 8 6 2 2" xfId="32716"/>
    <cellStyle name="Heading 2 2 2 2 8 8 6 3" xfId="32717"/>
    <cellStyle name="Heading 2 2 2 2 8 8 7" xfId="32718"/>
    <cellStyle name="Heading 2 2 2 2 8 8 7 2" xfId="32719"/>
    <cellStyle name="Heading 2 2 2 2 8 8 7 2 2" xfId="32720"/>
    <cellStyle name="Heading 2 2 2 2 8 8 7 3" xfId="32721"/>
    <cellStyle name="Heading 2 2 2 2 8 8 8" xfId="32722"/>
    <cellStyle name="Heading 2 2 2 2 8 8 8 2" xfId="32723"/>
    <cellStyle name="Heading 2 2 2 2 8 8 9" xfId="32724"/>
    <cellStyle name="Heading 2 2 2 2 8 9" xfId="32725"/>
    <cellStyle name="Heading 2 2 2 2 8 9 2" xfId="32726"/>
    <cellStyle name="Heading 2 2 2 2 8 9 2 2" xfId="32727"/>
    <cellStyle name="Heading 2 2 2 2 8 9 2 2 2" xfId="32728"/>
    <cellStyle name="Heading 2 2 2 2 8 9 2 3" xfId="32729"/>
    <cellStyle name="Heading 2 2 2 2 8 9 3" xfId="32730"/>
    <cellStyle name="Heading 2 2 2 2 8 9 3 2" xfId="32731"/>
    <cellStyle name="Heading 2 2 2 2 8 9 3 2 2" xfId="32732"/>
    <cellStyle name="Heading 2 2 2 2 8 9 3 3" xfId="32733"/>
    <cellStyle name="Heading 2 2 2 2 8 9 4" xfId="32734"/>
    <cellStyle name="Heading 2 2 2 2 8 9 4 2" xfId="32735"/>
    <cellStyle name="Heading 2 2 2 2 8 9 4 2 2" xfId="32736"/>
    <cellStyle name="Heading 2 2 2 2 8 9 4 3" xfId="32737"/>
    <cellStyle name="Heading 2 2 2 2 8 9 5" xfId="32738"/>
    <cellStyle name="Heading 2 2 2 2 8 9 5 2" xfId="32739"/>
    <cellStyle name="Heading 2 2 2 2 8 9 5 2 2" xfId="32740"/>
    <cellStyle name="Heading 2 2 2 2 8 9 5 3" xfId="32741"/>
    <cellStyle name="Heading 2 2 2 2 8 9 6" xfId="32742"/>
    <cellStyle name="Heading 2 2 2 2 8 9 6 2" xfId="32743"/>
    <cellStyle name="Heading 2 2 2 2 8 9 6 2 2" xfId="32744"/>
    <cellStyle name="Heading 2 2 2 2 8 9 6 3" xfId="32745"/>
    <cellStyle name="Heading 2 2 2 2 8 9 7" xfId="32746"/>
    <cellStyle name="Heading 2 2 2 2 8 9 7 2" xfId="32747"/>
    <cellStyle name="Heading 2 2 2 2 8 9 7 2 2" xfId="32748"/>
    <cellStyle name="Heading 2 2 2 2 8 9 7 3" xfId="32749"/>
    <cellStyle name="Heading 2 2 2 2 8 9 8" xfId="32750"/>
    <cellStyle name="Heading 2 2 2 2 8 9 8 2" xfId="32751"/>
    <cellStyle name="Heading 2 2 2 2 8 9 9" xfId="32752"/>
    <cellStyle name="Heading 2 2 2 2 9" xfId="32753"/>
    <cellStyle name="Heading 2 2 2 2 9 2" xfId="32754"/>
    <cellStyle name="Heading 2 2 2 2 9 2 2" xfId="32755"/>
    <cellStyle name="Heading 2 2 2 2 9 3" xfId="32756"/>
    <cellStyle name="Heading 2 2 2 2 9 3 2" xfId="32757"/>
    <cellStyle name="Heading 2 2 2 2 9 4" xfId="32758"/>
    <cellStyle name="Heading 2 2 2 2 9 4 2" xfId="32759"/>
    <cellStyle name="Heading 2 2 2 2 9 5" xfId="32760"/>
    <cellStyle name="Heading 2 2 2 3" xfId="32761"/>
    <cellStyle name="Heading 2 2 2 3 2" xfId="32762"/>
    <cellStyle name="Heading 2 2 2 3 2 10" xfId="32763"/>
    <cellStyle name="Heading 2 2 2 3 2 10 2" xfId="32764"/>
    <cellStyle name="Heading 2 2 2 3 2 10 2 2" xfId="32765"/>
    <cellStyle name="Heading 2 2 2 3 2 10 3" xfId="32766"/>
    <cellStyle name="Heading 2 2 2 3 2 11" xfId="32767"/>
    <cellStyle name="Heading 2 2 2 3 2 11 2" xfId="32768"/>
    <cellStyle name="Heading 2 2 2 3 2 11 2 2" xfId="32769"/>
    <cellStyle name="Heading 2 2 2 3 2 11 3" xfId="32770"/>
    <cellStyle name="Heading 2 2 2 3 2 12" xfId="32771"/>
    <cellStyle name="Heading 2 2 2 3 2 12 2" xfId="32772"/>
    <cellStyle name="Heading 2 2 2 3 2 12 2 2" xfId="32773"/>
    <cellStyle name="Heading 2 2 2 3 2 12 3" xfId="32774"/>
    <cellStyle name="Heading 2 2 2 3 2 13" xfId="32775"/>
    <cellStyle name="Heading 2 2 2 3 2 13 2" xfId="32776"/>
    <cellStyle name="Heading 2 2 2 3 2 13 2 2" xfId="32777"/>
    <cellStyle name="Heading 2 2 2 3 2 13 3" xfId="32778"/>
    <cellStyle name="Heading 2 2 2 3 2 14" xfId="32779"/>
    <cellStyle name="Heading 2 2 2 3 2 14 2" xfId="32780"/>
    <cellStyle name="Heading 2 2 2 3 2 14 2 2" xfId="32781"/>
    <cellStyle name="Heading 2 2 2 3 2 14 3" xfId="32782"/>
    <cellStyle name="Heading 2 2 2 3 2 15" xfId="32783"/>
    <cellStyle name="Heading 2 2 2 3 2 15 2" xfId="32784"/>
    <cellStyle name="Heading 2 2 2 3 2 15 2 2" xfId="32785"/>
    <cellStyle name="Heading 2 2 2 3 2 15 3" xfId="32786"/>
    <cellStyle name="Heading 2 2 2 3 2 16" xfId="32787"/>
    <cellStyle name="Heading 2 2 2 3 2 16 2" xfId="32788"/>
    <cellStyle name="Heading 2 2 2 3 2 16 2 2" xfId="32789"/>
    <cellStyle name="Heading 2 2 2 3 2 16 3" xfId="32790"/>
    <cellStyle name="Heading 2 2 2 3 2 17" xfId="32791"/>
    <cellStyle name="Heading 2 2 2 3 2 17 2" xfId="32792"/>
    <cellStyle name="Heading 2 2 2 3 2 17 2 2" xfId="32793"/>
    <cellStyle name="Heading 2 2 2 3 2 17 3" xfId="32794"/>
    <cellStyle name="Heading 2 2 2 3 2 18" xfId="32795"/>
    <cellStyle name="Heading 2 2 2 3 2 18 2" xfId="32796"/>
    <cellStyle name="Heading 2 2 2 3 2 18 2 2" xfId="32797"/>
    <cellStyle name="Heading 2 2 2 3 2 18 3" xfId="32798"/>
    <cellStyle name="Heading 2 2 2 3 2 19" xfId="32799"/>
    <cellStyle name="Heading 2 2 2 3 2 19 2" xfId="32800"/>
    <cellStyle name="Heading 2 2 2 3 2 19 2 2" xfId="32801"/>
    <cellStyle name="Heading 2 2 2 3 2 19 3" xfId="32802"/>
    <cellStyle name="Heading 2 2 2 3 2 2" xfId="32803"/>
    <cellStyle name="Heading 2 2 2 3 2 2 10" xfId="32804"/>
    <cellStyle name="Heading 2 2 2 3 2 2 10 2" xfId="32805"/>
    <cellStyle name="Heading 2 2 2 3 2 2 10 2 2" xfId="32806"/>
    <cellStyle name="Heading 2 2 2 3 2 2 10 3" xfId="32807"/>
    <cellStyle name="Heading 2 2 2 3 2 2 11" xfId="32808"/>
    <cellStyle name="Heading 2 2 2 3 2 2 11 2" xfId="32809"/>
    <cellStyle name="Heading 2 2 2 3 2 2 11 2 2" xfId="32810"/>
    <cellStyle name="Heading 2 2 2 3 2 2 11 3" xfId="32811"/>
    <cellStyle name="Heading 2 2 2 3 2 2 12" xfId="32812"/>
    <cellStyle name="Heading 2 2 2 3 2 2 12 2" xfId="32813"/>
    <cellStyle name="Heading 2 2 2 3 2 2 12 2 2" xfId="32814"/>
    <cellStyle name="Heading 2 2 2 3 2 2 12 3" xfId="32815"/>
    <cellStyle name="Heading 2 2 2 3 2 2 13" xfId="32816"/>
    <cellStyle name="Heading 2 2 2 3 2 2 13 2" xfId="32817"/>
    <cellStyle name="Heading 2 2 2 3 2 2 13 2 2" xfId="32818"/>
    <cellStyle name="Heading 2 2 2 3 2 2 13 3" xfId="32819"/>
    <cellStyle name="Heading 2 2 2 3 2 2 14" xfId="32820"/>
    <cellStyle name="Heading 2 2 2 3 2 2 14 2" xfId="32821"/>
    <cellStyle name="Heading 2 2 2 3 2 2 14 2 2" xfId="32822"/>
    <cellStyle name="Heading 2 2 2 3 2 2 14 3" xfId="32823"/>
    <cellStyle name="Heading 2 2 2 3 2 2 15" xfId="32824"/>
    <cellStyle name="Heading 2 2 2 3 2 2 15 2" xfId="32825"/>
    <cellStyle name="Heading 2 2 2 3 2 2 15 2 2" xfId="32826"/>
    <cellStyle name="Heading 2 2 2 3 2 2 15 3" xfId="32827"/>
    <cellStyle name="Heading 2 2 2 3 2 2 16" xfId="32828"/>
    <cellStyle name="Heading 2 2 2 3 2 2 16 2" xfId="32829"/>
    <cellStyle name="Heading 2 2 2 3 2 2 16 2 2" xfId="32830"/>
    <cellStyle name="Heading 2 2 2 3 2 2 16 3" xfId="32831"/>
    <cellStyle name="Heading 2 2 2 3 2 2 17" xfId="32832"/>
    <cellStyle name="Heading 2 2 2 3 2 2 17 2" xfId="32833"/>
    <cellStyle name="Heading 2 2 2 3 2 2 17 2 2" xfId="32834"/>
    <cellStyle name="Heading 2 2 2 3 2 2 17 3" xfId="32835"/>
    <cellStyle name="Heading 2 2 2 3 2 2 18" xfId="32836"/>
    <cellStyle name="Heading 2 2 2 3 2 2 18 2" xfId="32837"/>
    <cellStyle name="Heading 2 2 2 3 2 2 18 2 2" xfId="32838"/>
    <cellStyle name="Heading 2 2 2 3 2 2 18 3" xfId="32839"/>
    <cellStyle name="Heading 2 2 2 3 2 2 19" xfId="32840"/>
    <cellStyle name="Heading 2 2 2 3 2 2 19 2" xfId="32841"/>
    <cellStyle name="Heading 2 2 2 3 2 2 2" xfId="32842"/>
    <cellStyle name="Heading 2 2 2 3 2 2 2 2" xfId="32843"/>
    <cellStyle name="Heading 2 2 2 3 2 2 2 2 2" xfId="32844"/>
    <cellStyle name="Heading 2 2 2 3 2 2 2 2 2 2" xfId="32845"/>
    <cellStyle name="Heading 2 2 2 3 2 2 2 2 3" xfId="32846"/>
    <cellStyle name="Heading 2 2 2 3 2 2 2 3" xfId="32847"/>
    <cellStyle name="Heading 2 2 2 3 2 2 2 3 2" xfId="32848"/>
    <cellStyle name="Heading 2 2 2 3 2 2 2 3 2 2" xfId="32849"/>
    <cellStyle name="Heading 2 2 2 3 2 2 2 3 3" xfId="32850"/>
    <cellStyle name="Heading 2 2 2 3 2 2 2 4" xfId="32851"/>
    <cellStyle name="Heading 2 2 2 3 2 2 2 4 2" xfId="32852"/>
    <cellStyle name="Heading 2 2 2 3 2 2 2 4 2 2" xfId="32853"/>
    <cellStyle name="Heading 2 2 2 3 2 2 2 4 3" xfId="32854"/>
    <cellStyle name="Heading 2 2 2 3 2 2 2 5" xfId="32855"/>
    <cellStyle name="Heading 2 2 2 3 2 2 2 5 2" xfId="32856"/>
    <cellStyle name="Heading 2 2 2 3 2 2 2 5 2 2" xfId="32857"/>
    <cellStyle name="Heading 2 2 2 3 2 2 2 5 3" xfId="32858"/>
    <cellStyle name="Heading 2 2 2 3 2 2 2 6" xfId="32859"/>
    <cellStyle name="Heading 2 2 2 3 2 2 2 6 2" xfId="32860"/>
    <cellStyle name="Heading 2 2 2 3 2 2 2 6 2 2" xfId="32861"/>
    <cellStyle name="Heading 2 2 2 3 2 2 2 6 3" xfId="32862"/>
    <cellStyle name="Heading 2 2 2 3 2 2 2 7" xfId="32863"/>
    <cellStyle name="Heading 2 2 2 3 2 2 2 7 2" xfId="32864"/>
    <cellStyle name="Heading 2 2 2 3 2 2 2 7 2 2" xfId="32865"/>
    <cellStyle name="Heading 2 2 2 3 2 2 2 7 3" xfId="32866"/>
    <cellStyle name="Heading 2 2 2 3 2 2 2 8" xfId="32867"/>
    <cellStyle name="Heading 2 2 2 3 2 2 2 8 2" xfId="32868"/>
    <cellStyle name="Heading 2 2 2 3 2 2 2 9" xfId="32869"/>
    <cellStyle name="Heading 2 2 2 3 2 2 20" xfId="32870"/>
    <cellStyle name="Heading 2 2 2 3 2 2 20 2" xfId="32871"/>
    <cellStyle name="Heading 2 2 2 3 2 2 21" xfId="32872"/>
    <cellStyle name="Heading 2 2 2 3 2 2 21 2" xfId="32873"/>
    <cellStyle name="Heading 2 2 2 3 2 2 22" xfId="32874"/>
    <cellStyle name="Heading 2 2 2 3 2 2 3" xfId="32875"/>
    <cellStyle name="Heading 2 2 2 3 2 2 3 2" xfId="32876"/>
    <cellStyle name="Heading 2 2 2 3 2 2 3 2 2" xfId="32877"/>
    <cellStyle name="Heading 2 2 2 3 2 2 3 2 2 2" xfId="32878"/>
    <cellStyle name="Heading 2 2 2 3 2 2 3 2 3" xfId="32879"/>
    <cellStyle name="Heading 2 2 2 3 2 2 3 3" xfId="32880"/>
    <cellStyle name="Heading 2 2 2 3 2 2 3 3 2" xfId="32881"/>
    <cellStyle name="Heading 2 2 2 3 2 2 3 3 2 2" xfId="32882"/>
    <cellStyle name="Heading 2 2 2 3 2 2 3 3 3" xfId="32883"/>
    <cellStyle name="Heading 2 2 2 3 2 2 3 4" xfId="32884"/>
    <cellStyle name="Heading 2 2 2 3 2 2 3 4 2" xfId="32885"/>
    <cellStyle name="Heading 2 2 2 3 2 2 3 4 2 2" xfId="32886"/>
    <cellStyle name="Heading 2 2 2 3 2 2 3 4 3" xfId="32887"/>
    <cellStyle name="Heading 2 2 2 3 2 2 3 5" xfId="32888"/>
    <cellStyle name="Heading 2 2 2 3 2 2 3 5 2" xfId="32889"/>
    <cellStyle name="Heading 2 2 2 3 2 2 3 5 2 2" xfId="32890"/>
    <cellStyle name="Heading 2 2 2 3 2 2 3 5 3" xfId="32891"/>
    <cellStyle name="Heading 2 2 2 3 2 2 3 6" xfId="32892"/>
    <cellStyle name="Heading 2 2 2 3 2 2 3 6 2" xfId="32893"/>
    <cellStyle name="Heading 2 2 2 3 2 2 3 6 2 2" xfId="32894"/>
    <cellStyle name="Heading 2 2 2 3 2 2 3 6 3" xfId="32895"/>
    <cellStyle name="Heading 2 2 2 3 2 2 3 7" xfId="32896"/>
    <cellStyle name="Heading 2 2 2 3 2 2 3 7 2" xfId="32897"/>
    <cellStyle name="Heading 2 2 2 3 2 2 3 7 2 2" xfId="32898"/>
    <cellStyle name="Heading 2 2 2 3 2 2 3 7 3" xfId="32899"/>
    <cellStyle name="Heading 2 2 2 3 2 2 3 8" xfId="32900"/>
    <cellStyle name="Heading 2 2 2 3 2 2 3 8 2" xfId="32901"/>
    <cellStyle name="Heading 2 2 2 3 2 2 3 9" xfId="32902"/>
    <cellStyle name="Heading 2 2 2 3 2 2 4" xfId="32903"/>
    <cellStyle name="Heading 2 2 2 3 2 2 4 2" xfId="32904"/>
    <cellStyle name="Heading 2 2 2 3 2 2 4 2 2" xfId="32905"/>
    <cellStyle name="Heading 2 2 2 3 2 2 4 2 2 2" xfId="32906"/>
    <cellStyle name="Heading 2 2 2 3 2 2 4 2 3" xfId="32907"/>
    <cellStyle name="Heading 2 2 2 3 2 2 4 3" xfId="32908"/>
    <cellStyle name="Heading 2 2 2 3 2 2 4 3 2" xfId="32909"/>
    <cellStyle name="Heading 2 2 2 3 2 2 4 3 2 2" xfId="32910"/>
    <cellStyle name="Heading 2 2 2 3 2 2 4 3 3" xfId="32911"/>
    <cellStyle name="Heading 2 2 2 3 2 2 4 4" xfId="32912"/>
    <cellStyle name="Heading 2 2 2 3 2 2 4 4 2" xfId="32913"/>
    <cellStyle name="Heading 2 2 2 3 2 2 4 4 2 2" xfId="32914"/>
    <cellStyle name="Heading 2 2 2 3 2 2 4 4 3" xfId="32915"/>
    <cellStyle name="Heading 2 2 2 3 2 2 4 5" xfId="32916"/>
    <cellStyle name="Heading 2 2 2 3 2 2 4 5 2" xfId="32917"/>
    <cellStyle name="Heading 2 2 2 3 2 2 4 5 2 2" xfId="32918"/>
    <cellStyle name="Heading 2 2 2 3 2 2 4 5 3" xfId="32919"/>
    <cellStyle name="Heading 2 2 2 3 2 2 4 6" xfId="32920"/>
    <cellStyle name="Heading 2 2 2 3 2 2 4 6 2" xfId="32921"/>
    <cellStyle name="Heading 2 2 2 3 2 2 4 6 2 2" xfId="32922"/>
    <cellStyle name="Heading 2 2 2 3 2 2 4 6 3" xfId="32923"/>
    <cellStyle name="Heading 2 2 2 3 2 2 4 7" xfId="32924"/>
    <cellStyle name="Heading 2 2 2 3 2 2 4 7 2" xfId="32925"/>
    <cellStyle name="Heading 2 2 2 3 2 2 4 7 2 2" xfId="32926"/>
    <cellStyle name="Heading 2 2 2 3 2 2 4 7 3" xfId="32927"/>
    <cellStyle name="Heading 2 2 2 3 2 2 4 8" xfId="32928"/>
    <cellStyle name="Heading 2 2 2 3 2 2 4 8 2" xfId="32929"/>
    <cellStyle name="Heading 2 2 2 3 2 2 4 9" xfId="32930"/>
    <cellStyle name="Heading 2 2 2 3 2 2 5" xfId="32931"/>
    <cellStyle name="Heading 2 2 2 3 2 2 5 2" xfId="32932"/>
    <cellStyle name="Heading 2 2 2 3 2 2 5 2 2" xfId="32933"/>
    <cellStyle name="Heading 2 2 2 3 2 2 5 2 2 2" xfId="32934"/>
    <cellStyle name="Heading 2 2 2 3 2 2 5 2 3" xfId="32935"/>
    <cellStyle name="Heading 2 2 2 3 2 2 5 3" xfId="32936"/>
    <cellStyle name="Heading 2 2 2 3 2 2 5 3 2" xfId="32937"/>
    <cellStyle name="Heading 2 2 2 3 2 2 5 3 2 2" xfId="32938"/>
    <cellStyle name="Heading 2 2 2 3 2 2 5 3 3" xfId="32939"/>
    <cellStyle name="Heading 2 2 2 3 2 2 5 4" xfId="32940"/>
    <cellStyle name="Heading 2 2 2 3 2 2 5 4 2" xfId="32941"/>
    <cellStyle name="Heading 2 2 2 3 2 2 5 4 2 2" xfId="32942"/>
    <cellStyle name="Heading 2 2 2 3 2 2 5 4 3" xfId="32943"/>
    <cellStyle name="Heading 2 2 2 3 2 2 5 5" xfId="32944"/>
    <cellStyle name="Heading 2 2 2 3 2 2 5 5 2" xfId="32945"/>
    <cellStyle name="Heading 2 2 2 3 2 2 5 5 2 2" xfId="32946"/>
    <cellStyle name="Heading 2 2 2 3 2 2 5 5 3" xfId="32947"/>
    <cellStyle name="Heading 2 2 2 3 2 2 5 6" xfId="32948"/>
    <cellStyle name="Heading 2 2 2 3 2 2 5 6 2" xfId="32949"/>
    <cellStyle name="Heading 2 2 2 3 2 2 5 6 2 2" xfId="32950"/>
    <cellStyle name="Heading 2 2 2 3 2 2 5 6 3" xfId="32951"/>
    <cellStyle name="Heading 2 2 2 3 2 2 5 7" xfId="32952"/>
    <cellStyle name="Heading 2 2 2 3 2 2 5 7 2" xfId="32953"/>
    <cellStyle name="Heading 2 2 2 3 2 2 5 7 2 2" xfId="32954"/>
    <cellStyle name="Heading 2 2 2 3 2 2 5 7 3" xfId="32955"/>
    <cellStyle name="Heading 2 2 2 3 2 2 5 8" xfId="32956"/>
    <cellStyle name="Heading 2 2 2 3 2 2 5 8 2" xfId="32957"/>
    <cellStyle name="Heading 2 2 2 3 2 2 5 9" xfId="32958"/>
    <cellStyle name="Heading 2 2 2 3 2 2 6" xfId="32959"/>
    <cellStyle name="Heading 2 2 2 3 2 2 6 2" xfId="32960"/>
    <cellStyle name="Heading 2 2 2 3 2 2 6 2 2" xfId="32961"/>
    <cellStyle name="Heading 2 2 2 3 2 2 6 2 2 2" xfId="32962"/>
    <cellStyle name="Heading 2 2 2 3 2 2 6 2 3" xfId="32963"/>
    <cellStyle name="Heading 2 2 2 3 2 2 6 3" xfId="32964"/>
    <cellStyle name="Heading 2 2 2 3 2 2 6 3 2" xfId="32965"/>
    <cellStyle name="Heading 2 2 2 3 2 2 6 3 2 2" xfId="32966"/>
    <cellStyle name="Heading 2 2 2 3 2 2 6 3 3" xfId="32967"/>
    <cellStyle name="Heading 2 2 2 3 2 2 6 4" xfId="32968"/>
    <cellStyle name="Heading 2 2 2 3 2 2 6 4 2" xfId="32969"/>
    <cellStyle name="Heading 2 2 2 3 2 2 6 4 2 2" xfId="32970"/>
    <cellStyle name="Heading 2 2 2 3 2 2 6 4 3" xfId="32971"/>
    <cellStyle name="Heading 2 2 2 3 2 2 6 5" xfId="32972"/>
    <cellStyle name="Heading 2 2 2 3 2 2 6 5 2" xfId="32973"/>
    <cellStyle name="Heading 2 2 2 3 2 2 6 5 2 2" xfId="32974"/>
    <cellStyle name="Heading 2 2 2 3 2 2 6 5 3" xfId="32975"/>
    <cellStyle name="Heading 2 2 2 3 2 2 6 6" xfId="32976"/>
    <cellStyle name="Heading 2 2 2 3 2 2 6 6 2" xfId="32977"/>
    <cellStyle name="Heading 2 2 2 3 2 2 6 6 2 2" xfId="32978"/>
    <cellStyle name="Heading 2 2 2 3 2 2 6 6 3" xfId="32979"/>
    <cellStyle name="Heading 2 2 2 3 2 2 6 7" xfId="32980"/>
    <cellStyle name="Heading 2 2 2 3 2 2 6 7 2" xfId="32981"/>
    <cellStyle name="Heading 2 2 2 3 2 2 6 7 2 2" xfId="32982"/>
    <cellStyle name="Heading 2 2 2 3 2 2 6 7 3" xfId="32983"/>
    <cellStyle name="Heading 2 2 2 3 2 2 6 8" xfId="32984"/>
    <cellStyle name="Heading 2 2 2 3 2 2 6 8 2" xfId="32985"/>
    <cellStyle name="Heading 2 2 2 3 2 2 6 9" xfId="32986"/>
    <cellStyle name="Heading 2 2 2 3 2 2 7" xfId="32987"/>
    <cellStyle name="Heading 2 2 2 3 2 2 7 2" xfId="32988"/>
    <cellStyle name="Heading 2 2 2 3 2 2 7 2 2" xfId="32989"/>
    <cellStyle name="Heading 2 2 2 3 2 2 7 2 2 2" xfId="32990"/>
    <cellStyle name="Heading 2 2 2 3 2 2 7 2 3" xfId="32991"/>
    <cellStyle name="Heading 2 2 2 3 2 2 7 3" xfId="32992"/>
    <cellStyle name="Heading 2 2 2 3 2 2 7 3 2" xfId="32993"/>
    <cellStyle name="Heading 2 2 2 3 2 2 7 3 2 2" xfId="32994"/>
    <cellStyle name="Heading 2 2 2 3 2 2 7 3 3" xfId="32995"/>
    <cellStyle name="Heading 2 2 2 3 2 2 7 4" xfId="32996"/>
    <cellStyle name="Heading 2 2 2 3 2 2 7 4 2" xfId="32997"/>
    <cellStyle name="Heading 2 2 2 3 2 2 7 4 2 2" xfId="32998"/>
    <cellStyle name="Heading 2 2 2 3 2 2 7 4 3" xfId="32999"/>
    <cellStyle name="Heading 2 2 2 3 2 2 7 5" xfId="33000"/>
    <cellStyle name="Heading 2 2 2 3 2 2 7 5 2" xfId="33001"/>
    <cellStyle name="Heading 2 2 2 3 2 2 7 5 2 2" xfId="33002"/>
    <cellStyle name="Heading 2 2 2 3 2 2 7 5 3" xfId="33003"/>
    <cellStyle name="Heading 2 2 2 3 2 2 7 6" xfId="33004"/>
    <cellStyle name="Heading 2 2 2 3 2 2 7 6 2" xfId="33005"/>
    <cellStyle name="Heading 2 2 2 3 2 2 7 6 2 2" xfId="33006"/>
    <cellStyle name="Heading 2 2 2 3 2 2 7 6 3" xfId="33007"/>
    <cellStyle name="Heading 2 2 2 3 2 2 7 7" xfId="33008"/>
    <cellStyle name="Heading 2 2 2 3 2 2 7 7 2" xfId="33009"/>
    <cellStyle name="Heading 2 2 2 3 2 2 7 7 2 2" xfId="33010"/>
    <cellStyle name="Heading 2 2 2 3 2 2 7 7 3" xfId="33011"/>
    <cellStyle name="Heading 2 2 2 3 2 2 7 8" xfId="33012"/>
    <cellStyle name="Heading 2 2 2 3 2 2 7 8 2" xfId="33013"/>
    <cellStyle name="Heading 2 2 2 3 2 2 7 9" xfId="33014"/>
    <cellStyle name="Heading 2 2 2 3 2 2 8" xfId="33015"/>
    <cellStyle name="Heading 2 2 2 3 2 2 8 2" xfId="33016"/>
    <cellStyle name="Heading 2 2 2 3 2 2 8 2 2" xfId="33017"/>
    <cellStyle name="Heading 2 2 2 3 2 2 8 2 2 2" xfId="33018"/>
    <cellStyle name="Heading 2 2 2 3 2 2 8 2 3" xfId="33019"/>
    <cellStyle name="Heading 2 2 2 3 2 2 8 3" xfId="33020"/>
    <cellStyle name="Heading 2 2 2 3 2 2 8 3 2" xfId="33021"/>
    <cellStyle name="Heading 2 2 2 3 2 2 8 3 2 2" xfId="33022"/>
    <cellStyle name="Heading 2 2 2 3 2 2 8 3 3" xfId="33023"/>
    <cellStyle name="Heading 2 2 2 3 2 2 8 4" xfId="33024"/>
    <cellStyle name="Heading 2 2 2 3 2 2 8 4 2" xfId="33025"/>
    <cellStyle name="Heading 2 2 2 3 2 2 8 4 2 2" xfId="33026"/>
    <cellStyle name="Heading 2 2 2 3 2 2 8 4 3" xfId="33027"/>
    <cellStyle name="Heading 2 2 2 3 2 2 8 5" xfId="33028"/>
    <cellStyle name="Heading 2 2 2 3 2 2 8 5 2" xfId="33029"/>
    <cellStyle name="Heading 2 2 2 3 2 2 8 5 2 2" xfId="33030"/>
    <cellStyle name="Heading 2 2 2 3 2 2 8 5 3" xfId="33031"/>
    <cellStyle name="Heading 2 2 2 3 2 2 8 6" xfId="33032"/>
    <cellStyle name="Heading 2 2 2 3 2 2 8 6 2" xfId="33033"/>
    <cellStyle name="Heading 2 2 2 3 2 2 8 6 2 2" xfId="33034"/>
    <cellStyle name="Heading 2 2 2 3 2 2 8 6 3" xfId="33035"/>
    <cellStyle name="Heading 2 2 2 3 2 2 8 7" xfId="33036"/>
    <cellStyle name="Heading 2 2 2 3 2 2 8 7 2" xfId="33037"/>
    <cellStyle name="Heading 2 2 2 3 2 2 8 7 2 2" xfId="33038"/>
    <cellStyle name="Heading 2 2 2 3 2 2 8 7 3" xfId="33039"/>
    <cellStyle name="Heading 2 2 2 3 2 2 8 8" xfId="33040"/>
    <cellStyle name="Heading 2 2 2 3 2 2 8 8 2" xfId="33041"/>
    <cellStyle name="Heading 2 2 2 3 2 2 8 9" xfId="33042"/>
    <cellStyle name="Heading 2 2 2 3 2 2 9" xfId="33043"/>
    <cellStyle name="Heading 2 2 2 3 2 2 9 2" xfId="33044"/>
    <cellStyle name="Heading 2 2 2 3 2 2 9 2 2" xfId="33045"/>
    <cellStyle name="Heading 2 2 2 3 2 2 9 3" xfId="33046"/>
    <cellStyle name="Heading 2 2 2 3 2 20" xfId="33047"/>
    <cellStyle name="Heading 2 2 2 3 2 20 2" xfId="33048"/>
    <cellStyle name="Heading 2 2 2 3 2 21" xfId="33049"/>
    <cellStyle name="Heading 2 2 2 3 2 21 2" xfId="33050"/>
    <cellStyle name="Heading 2 2 2 3 2 22" xfId="33051"/>
    <cellStyle name="Heading 2 2 2 3 2 22 2" xfId="33052"/>
    <cellStyle name="Heading 2 2 2 3 2 23" xfId="33053"/>
    <cellStyle name="Heading 2 2 2 3 2 3" xfId="33054"/>
    <cellStyle name="Heading 2 2 2 3 2 3 2" xfId="33055"/>
    <cellStyle name="Heading 2 2 2 3 2 3 2 2" xfId="33056"/>
    <cellStyle name="Heading 2 2 2 3 2 3 2 2 2" xfId="33057"/>
    <cellStyle name="Heading 2 2 2 3 2 3 2 3" xfId="33058"/>
    <cellStyle name="Heading 2 2 2 3 2 3 3" xfId="33059"/>
    <cellStyle name="Heading 2 2 2 3 2 3 3 2" xfId="33060"/>
    <cellStyle name="Heading 2 2 2 3 2 3 3 2 2" xfId="33061"/>
    <cellStyle name="Heading 2 2 2 3 2 3 3 3" xfId="33062"/>
    <cellStyle name="Heading 2 2 2 3 2 3 4" xfId="33063"/>
    <cellStyle name="Heading 2 2 2 3 2 3 4 2" xfId="33064"/>
    <cellStyle name="Heading 2 2 2 3 2 3 4 2 2" xfId="33065"/>
    <cellStyle name="Heading 2 2 2 3 2 3 4 3" xfId="33066"/>
    <cellStyle name="Heading 2 2 2 3 2 3 5" xfId="33067"/>
    <cellStyle name="Heading 2 2 2 3 2 3 5 2" xfId="33068"/>
    <cellStyle name="Heading 2 2 2 3 2 3 5 2 2" xfId="33069"/>
    <cellStyle name="Heading 2 2 2 3 2 3 5 3" xfId="33070"/>
    <cellStyle name="Heading 2 2 2 3 2 3 6" xfId="33071"/>
    <cellStyle name="Heading 2 2 2 3 2 3 6 2" xfId="33072"/>
    <cellStyle name="Heading 2 2 2 3 2 3 6 2 2" xfId="33073"/>
    <cellStyle name="Heading 2 2 2 3 2 3 6 3" xfId="33074"/>
    <cellStyle name="Heading 2 2 2 3 2 3 7" xfId="33075"/>
    <cellStyle name="Heading 2 2 2 3 2 3 7 2" xfId="33076"/>
    <cellStyle name="Heading 2 2 2 3 2 3 7 2 2" xfId="33077"/>
    <cellStyle name="Heading 2 2 2 3 2 3 7 3" xfId="33078"/>
    <cellStyle name="Heading 2 2 2 3 2 3 8" xfId="33079"/>
    <cellStyle name="Heading 2 2 2 3 2 3 8 2" xfId="33080"/>
    <cellStyle name="Heading 2 2 2 3 2 3 9" xfId="33081"/>
    <cellStyle name="Heading 2 2 2 3 2 4" xfId="33082"/>
    <cellStyle name="Heading 2 2 2 3 2 4 2" xfId="33083"/>
    <cellStyle name="Heading 2 2 2 3 2 4 2 2" xfId="33084"/>
    <cellStyle name="Heading 2 2 2 3 2 4 2 2 2" xfId="33085"/>
    <cellStyle name="Heading 2 2 2 3 2 4 2 3" xfId="33086"/>
    <cellStyle name="Heading 2 2 2 3 2 4 3" xfId="33087"/>
    <cellStyle name="Heading 2 2 2 3 2 4 3 2" xfId="33088"/>
    <cellStyle name="Heading 2 2 2 3 2 4 3 2 2" xfId="33089"/>
    <cellStyle name="Heading 2 2 2 3 2 4 3 3" xfId="33090"/>
    <cellStyle name="Heading 2 2 2 3 2 4 4" xfId="33091"/>
    <cellStyle name="Heading 2 2 2 3 2 4 4 2" xfId="33092"/>
    <cellStyle name="Heading 2 2 2 3 2 4 4 2 2" xfId="33093"/>
    <cellStyle name="Heading 2 2 2 3 2 4 4 3" xfId="33094"/>
    <cellStyle name="Heading 2 2 2 3 2 4 5" xfId="33095"/>
    <cellStyle name="Heading 2 2 2 3 2 4 5 2" xfId="33096"/>
    <cellStyle name="Heading 2 2 2 3 2 4 5 2 2" xfId="33097"/>
    <cellStyle name="Heading 2 2 2 3 2 4 5 3" xfId="33098"/>
    <cellStyle name="Heading 2 2 2 3 2 4 6" xfId="33099"/>
    <cellStyle name="Heading 2 2 2 3 2 4 6 2" xfId="33100"/>
    <cellStyle name="Heading 2 2 2 3 2 4 6 2 2" xfId="33101"/>
    <cellStyle name="Heading 2 2 2 3 2 4 6 3" xfId="33102"/>
    <cellStyle name="Heading 2 2 2 3 2 4 7" xfId="33103"/>
    <cellStyle name="Heading 2 2 2 3 2 4 7 2" xfId="33104"/>
    <cellStyle name="Heading 2 2 2 3 2 4 7 2 2" xfId="33105"/>
    <cellStyle name="Heading 2 2 2 3 2 4 7 3" xfId="33106"/>
    <cellStyle name="Heading 2 2 2 3 2 4 8" xfId="33107"/>
    <cellStyle name="Heading 2 2 2 3 2 4 8 2" xfId="33108"/>
    <cellStyle name="Heading 2 2 2 3 2 4 9" xfId="33109"/>
    <cellStyle name="Heading 2 2 2 3 2 5" xfId="33110"/>
    <cellStyle name="Heading 2 2 2 3 2 5 2" xfId="33111"/>
    <cellStyle name="Heading 2 2 2 3 2 5 2 2" xfId="33112"/>
    <cellStyle name="Heading 2 2 2 3 2 5 2 2 2" xfId="33113"/>
    <cellStyle name="Heading 2 2 2 3 2 5 2 3" xfId="33114"/>
    <cellStyle name="Heading 2 2 2 3 2 5 3" xfId="33115"/>
    <cellStyle name="Heading 2 2 2 3 2 5 3 2" xfId="33116"/>
    <cellStyle name="Heading 2 2 2 3 2 5 3 2 2" xfId="33117"/>
    <cellStyle name="Heading 2 2 2 3 2 5 3 3" xfId="33118"/>
    <cellStyle name="Heading 2 2 2 3 2 5 4" xfId="33119"/>
    <cellStyle name="Heading 2 2 2 3 2 5 4 2" xfId="33120"/>
    <cellStyle name="Heading 2 2 2 3 2 5 4 2 2" xfId="33121"/>
    <cellStyle name="Heading 2 2 2 3 2 5 4 3" xfId="33122"/>
    <cellStyle name="Heading 2 2 2 3 2 5 5" xfId="33123"/>
    <cellStyle name="Heading 2 2 2 3 2 5 5 2" xfId="33124"/>
    <cellStyle name="Heading 2 2 2 3 2 5 5 2 2" xfId="33125"/>
    <cellStyle name="Heading 2 2 2 3 2 5 5 3" xfId="33126"/>
    <cellStyle name="Heading 2 2 2 3 2 5 6" xfId="33127"/>
    <cellStyle name="Heading 2 2 2 3 2 5 6 2" xfId="33128"/>
    <cellStyle name="Heading 2 2 2 3 2 5 6 2 2" xfId="33129"/>
    <cellStyle name="Heading 2 2 2 3 2 5 6 3" xfId="33130"/>
    <cellStyle name="Heading 2 2 2 3 2 5 7" xfId="33131"/>
    <cellStyle name="Heading 2 2 2 3 2 5 7 2" xfId="33132"/>
    <cellStyle name="Heading 2 2 2 3 2 5 7 2 2" xfId="33133"/>
    <cellStyle name="Heading 2 2 2 3 2 5 7 3" xfId="33134"/>
    <cellStyle name="Heading 2 2 2 3 2 5 8" xfId="33135"/>
    <cellStyle name="Heading 2 2 2 3 2 5 8 2" xfId="33136"/>
    <cellStyle name="Heading 2 2 2 3 2 5 9" xfId="33137"/>
    <cellStyle name="Heading 2 2 2 3 2 6" xfId="33138"/>
    <cellStyle name="Heading 2 2 2 3 2 6 2" xfId="33139"/>
    <cellStyle name="Heading 2 2 2 3 2 6 2 2" xfId="33140"/>
    <cellStyle name="Heading 2 2 2 3 2 6 2 2 2" xfId="33141"/>
    <cellStyle name="Heading 2 2 2 3 2 6 2 3" xfId="33142"/>
    <cellStyle name="Heading 2 2 2 3 2 6 3" xfId="33143"/>
    <cellStyle name="Heading 2 2 2 3 2 6 3 2" xfId="33144"/>
    <cellStyle name="Heading 2 2 2 3 2 6 3 2 2" xfId="33145"/>
    <cellStyle name="Heading 2 2 2 3 2 6 3 3" xfId="33146"/>
    <cellStyle name="Heading 2 2 2 3 2 6 4" xfId="33147"/>
    <cellStyle name="Heading 2 2 2 3 2 6 4 2" xfId="33148"/>
    <cellStyle name="Heading 2 2 2 3 2 6 4 2 2" xfId="33149"/>
    <cellStyle name="Heading 2 2 2 3 2 6 4 3" xfId="33150"/>
    <cellStyle name="Heading 2 2 2 3 2 6 5" xfId="33151"/>
    <cellStyle name="Heading 2 2 2 3 2 6 5 2" xfId="33152"/>
    <cellStyle name="Heading 2 2 2 3 2 6 5 2 2" xfId="33153"/>
    <cellStyle name="Heading 2 2 2 3 2 6 5 3" xfId="33154"/>
    <cellStyle name="Heading 2 2 2 3 2 6 6" xfId="33155"/>
    <cellStyle name="Heading 2 2 2 3 2 6 6 2" xfId="33156"/>
    <cellStyle name="Heading 2 2 2 3 2 6 6 2 2" xfId="33157"/>
    <cellStyle name="Heading 2 2 2 3 2 6 6 3" xfId="33158"/>
    <cellStyle name="Heading 2 2 2 3 2 6 7" xfId="33159"/>
    <cellStyle name="Heading 2 2 2 3 2 6 7 2" xfId="33160"/>
    <cellStyle name="Heading 2 2 2 3 2 6 7 2 2" xfId="33161"/>
    <cellStyle name="Heading 2 2 2 3 2 6 7 3" xfId="33162"/>
    <cellStyle name="Heading 2 2 2 3 2 6 8" xfId="33163"/>
    <cellStyle name="Heading 2 2 2 3 2 6 8 2" xfId="33164"/>
    <cellStyle name="Heading 2 2 2 3 2 6 9" xfId="33165"/>
    <cellStyle name="Heading 2 2 2 3 2 7" xfId="33166"/>
    <cellStyle name="Heading 2 2 2 3 2 7 2" xfId="33167"/>
    <cellStyle name="Heading 2 2 2 3 2 7 2 2" xfId="33168"/>
    <cellStyle name="Heading 2 2 2 3 2 7 2 2 2" xfId="33169"/>
    <cellStyle name="Heading 2 2 2 3 2 7 2 3" xfId="33170"/>
    <cellStyle name="Heading 2 2 2 3 2 7 3" xfId="33171"/>
    <cellStyle name="Heading 2 2 2 3 2 7 3 2" xfId="33172"/>
    <cellStyle name="Heading 2 2 2 3 2 7 3 2 2" xfId="33173"/>
    <cellStyle name="Heading 2 2 2 3 2 7 3 3" xfId="33174"/>
    <cellStyle name="Heading 2 2 2 3 2 7 4" xfId="33175"/>
    <cellStyle name="Heading 2 2 2 3 2 7 4 2" xfId="33176"/>
    <cellStyle name="Heading 2 2 2 3 2 7 4 2 2" xfId="33177"/>
    <cellStyle name="Heading 2 2 2 3 2 7 4 3" xfId="33178"/>
    <cellStyle name="Heading 2 2 2 3 2 7 5" xfId="33179"/>
    <cellStyle name="Heading 2 2 2 3 2 7 5 2" xfId="33180"/>
    <cellStyle name="Heading 2 2 2 3 2 7 5 2 2" xfId="33181"/>
    <cellStyle name="Heading 2 2 2 3 2 7 5 3" xfId="33182"/>
    <cellStyle name="Heading 2 2 2 3 2 7 6" xfId="33183"/>
    <cellStyle name="Heading 2 2 2 3 2 7 6 2" xfId="33184"/>
    <cellStyle name="Heading 2 2 2 3 2 7 6 2 2" xfId="33185"/>
    <cellStyle name="Heading 2 2 2 3 2 7 6 3" xfId="33186"/>
    <cellStyle name="Heading 2 2 2 3 2 7 7" xfId="33187"/>
    <cellStyle name="Heading 2 2 2 3 2 7 7 2" xfId="33188"/>
    <cellStyle name="Heading 2 2 2 3 2 7 7 2 2" xfId="33189"/>
    <cellStyle name="Heading 2 2 2 3 2 7 7 3" xfId="33190"/>
    <cellStyle name="Heading 2 2 2 3 2 7 8" xfId="33191"/>
    <cellStyle name="Heading 2 2 2 3 2 7 8 2" xfId="33192"/>
    <cellStyle name="Heading 2 2 2 3 2 7 9" xfId="33193"/>
    <cellStyle name="Heading 2 2 2 3 2 8" xfId="33194"/>
    <cellStyle name="Heading 2 2 2 3 2 8 2" xfId="33195"/>
    <cellStyle name="Heading 2 2 2 3 2 8 2 2" xfId="33196"/>
    <cellStyle name="Heading 2 2 2 3 2 8 2 2 2" xfId="33197"/>
    <cellStyle name="Heading 2 2 2 3 2 8 2 3" xfId="33198"/>
    <cellStyle name="Heading 2 2 2 3 2 8 3" xfId="33199"/>
    <cellStyle name="Heading 2 2 2 3 2 8 3 2" xfId="33200"/>
    <cellStyle name="Heading 2 2 2 3 2 8 3 2 2" xfId="33201"/>
    <cellStyle name="Heading 2 2 2 3 2 8 3 3" xfId="33202"/>
    <cellStyle name="Heading 2 2 2 3 2 8 4" xfId="33203"/>
    <cellStyle name="Heading 2 2 2 3 2 8 4 2" xfId="33204"/>
    <cellStyle name="Heading 2 2 2 3 2 8 4 2 2" xfId="33205"/>
    <cellStyle name="Heading 2 2 2 3 2 8 4 3" xfId="33206"/>
    <cellStyle name="Heading 2 2 2 3 2 8 5" xfId="33207"/>
    <cellStyle name="Heading 2 2 2 3 2 8 5 2" xfId="33208"/>
    <cellStyle name="Heading 2 2 2 3 2 8 5 2 2" xfId="33209"/>
    <cellStyle name="Heading 2 2 2 3 2 8 5 3" xfId="33210"/>
    <cellStyle name="Heading 2 2 2 3 2 8 6" xfId="33211"/>
    <cellStyle name="Heading 2 2 2 3 2 8 6 2" xfId="33212"/>
    <cellStyle name="Heading 2 2 2 3 2 8 6 2 2" xfId="33213"/>
    <cellStyle name="Heading 2 2 2 3 2 8 6 3" xfId="33214"/>
    <cellStyle name="Heading 2 2 2 3 2 8 7" xfId="33215"/>
    <cellStyle name="Heading 2 2 2 3 2 8 7 2" xfId="33216"/>
    <cellStyle name="Heading 2 2 2 3 2 8 7 2 2" xfId="33217"/>
    <cellStyle name="Heading 2 2 2 3 2 8 7 3" xfId="33218"/>
    <cellStyle name="Heading 2 2 2 3 2 8 8" xfId="33219"/>
    <cellStyle name="Heading 2 2 2 3 2 8 8 2" xfId="33220"/>
    <cellStyle name="Heading 2 2 2 3 2 8 9" xfId="33221"/>
    <cellStyle name="Heading 2 2 2 3 2 9" xfId="33222"/>
    <cellStyle name="Heading 2 2 2 3 2 9 2" xfId="33223"/>
    <cellStyle name="Heading 2 2 2 3 2 9 2 2" xfId="33224"/>
    <cellStyle name="Heading 2 2 2 3 2 9 2 2 2" xfId="33225"/>
    <cellStyle name="Heading 2 2 2 3 2 9 2 3" xfId="33226"/>
    <cellStyle name="Heading 2 2 2 3 2 9 3" xfId="33227"/>
    <cellStyle name="Heading 2 2 2 3 2 9 3 2" xfId="33228"/>
    <cellStyle name="Heading 2 2 2 3 2 9 3 2 2" xfId="33229"/>
    <cellStyle name="Heading 2 2 2 3 2 9 3 3" xfId="33230"/>
    <cellStyle name="Heading 2 2 2 3 2 9 4" xfId="33231"/>
    <cellStyle name="Heading 2 2 2 3 2 9 4 2" xfId="33232"/>
    <cellStyle name="Heading 2 2 2 3 2 9 4 2 2" xfId="33233"/>
    <cellStyle name="Heading 2 2 2 3 2 9 4 3" xfId="33234"/>
    <cellStyle name="Heading 2 2 2 3 2 9 5" xfId="33235"/>
    <cellStyle name="Heading 2 2 2 3 2 9 5 2" xfId="33236"/>
    <cellStyle name="Heading 2 2 2 3 2 9 5 2 2" xfId="33237"/>
    <cellStyle name="Heading 2 2 2 3 2 9 5 3" xfId="33238"/>
    <cellStyle name="Heading 2 2 2 3 2 9 6" xfId="33239"/>
    <cellStyle name="Heading 2 2 2 3 2 9 6 2" xfId="33240"/>
    <cellStyle name="Heading 2 2 2 3 2 9 6 2 2" xfId="33241"/>
    <cellStyle name="Heading 2 2 2 3 2 9 6 3" xfId="33242"/>
    <cellStyle name="Heading 2 2 2 3 2 9 7" xfId="33243"/>
    <cellStyle name="Heading 2 2 2 3 2 9 7 2" xfId="33244"/>
    <cellStyle name="Heading 2 2 2 3 2 9 7 2 2" xfId="33245"/>
    <cellStyle name="Heading 2 2 2 3 2 9 7 3" xfId="33246"/>
    <cellStyle name="Heading 2 2 2 3 2 9 8" xfId="33247"/>
    <cellStyle name="Heading 2 2 2 3 2 9 8 2" xfId="33248"/>
    <cellStyle name="Heading 2 2 2 3 2 9 9" xfId="33249"/>
    <cellStyle name="Heading 2 2 2 3 3" xfId="33250"/>
    <cellStyle name="Heading 2 2 2 3 3 10" xfId="33251"/>
    <cellStyle name="Heading 2 2 2 3 3 10 2" xfId="33252"/>
    <cellStyle name="Heading 2 2 2 3 3 10 2 2" xfId="33253"/>
    <cellStyle name="Heading 2 2 2 3 3 10 3" xfId="33254"/>
    <cellStyle name="Heading 2 2 2 3 3 11" xfId="33255"/>
    <cellStyle name="Heading 2 2 2 3 3 11 2" xfId="33256"/>
    <cellStyle name="Heading 2 2 2 3 3 11 2 2" xfId="33257"/>
    <cellStyle name="Heading 2 2 2 3 3 11 3" xfId="33258"/>
    <cellStyle name="Heading 2 2 2 3 3 12" xfId="33259"/>
    <cellStyle name="Heading 2 2 2 3 3 12 2" xfId="33260"/>
    <cellStyle name="Heading 2 2 2 3 3 12 2 2" xfId="33261"/>
    <cellStyle name="Heading 2 2 2 3 3 12 3" xfId="33262"/>
    <cellStyle name="Heading 2 2 2 3 3 13" xfId="33263"/>
    <cellStyle name="Heading 2 2 2 3 3 13 2" xfId="33264"/>
    <cellStyle name="Heading 2 2 2 3 3 13 2 2" xfId="33265"/>
    <cellStyle name="Heading 2 2 2 3 3 13 3" xfId="33266"/>
    <cellStyle name="Heading 2 2 2 3 3 14" xfId="33267"/>
    <cellStyle name="Heading 2 2 2 3 3 14 2" xfId="33268"/>
    <cellStyle name="Heading 2 2 2 3 3 14 2 2" xfId="33269"/>
    <cellStyle name="Heading 2 2 2 3 3 14 3" xfId="33270"/>
    <cellStyle name="Heading 2 2 2 3 3 15" xfId="33271"/>
    <cellStyle name="Heading 2 2 2 3 3 15 2" xfId="33272"/>
    <cellStyle name="Heading 2 2 2 3 3 15 2 2" xfId="33273"/>
    <cellStyle name="Heading 2 2 2 3 3 15 3" xfId="33274"/>
    <cellStyle name="Heading 2 2 2 3 3 16" xfId="33275"/>
    <cellStyle name="Heading 2 2 2 3 3 16 2" xfId="33276"/>
    <cellStyle name="Heading 2 2 2 3 3 16 2 2" xfId="33277"/>
    <cellStyle name="Heading 2 2 2 3 3 16 3" xfId="33278"/>
    <cellStyle name="Heading 2 2 2 3 3 17" xfId="33279"/>
    <cellStyle name="Heading 2 2 2 3 3 17 2" xfId="33280"/>
    <cellStyle name="Heading 2 2 2 3 3 17 2 2" xfId="33281"/>
    <cellStyle name="Heading 2 2 2 3 3 17 3" xfId="33282"/>
    <cellStyle name="Heading 2 2 2 3 3 18" xfId="33283"/>
    <cellStyle name="Heading 2 2 2 3 3 18 2" xfId="33284"/>
    <cellStyle name="Heading 2 2 2 3 3 18 2 2" xfId="33285"/>
    <cellStyle name="Heading 2 2 2 3 3 18 3" xfId="33286"/>
    <cellStyle name="Heading 2 2 2 3 3 19" xfId="33287"/>
    <cellStyle name="Heading 2 2 2 3 3 19 2" xfId="33288"/>
    <cellStyle name="Heading 2 2 2 3 3 2" xfId="33289"/>
    <cellStyle name="Heading 2 2 2 3 3 2 2" xfId="33290"/>
    <cellStyle name="Heading 2 2 2 3 3 2 2 2" xfId="33291"/>
    <cellStyle name="Heading 2 2 2 3 3 2 2 2 2" xfId="33292"/>
    <cellStyle name="Heading 2 2 2 3 3 2 2 3" xfId="33293"/>
    <cellStyle name="Heading 2 2 2 3 3 2 3" xfId="33294"/>
    <cellStyle name="Heading 2 2 2 3 3 2 3 2" xfId="33295"/>
    <cellStyle name="Heading 2 2 2 3 3 2 3 2 2" xfId="33296"/>
    <cellStyle name="Heading 2 2 2 3 3 2 3 3" xfId="33297"/>
    <cellStyle name="Heading 2 2 2 3 3 2 4" xfId="33298"/>
    <cellStyle name="Heading 2 2 2 3 3 2 4 2" xfId="33299"/>
    <cellStyle name="Heading 2 2 2 3 3 2 4 2 2" xfId="33300"/>
    <cellStyle name="Heading 2 2 2 3 3 2 4 3" xfId="33301"/>
    <cellStyle name="Heading 2 2 2 3 3 2 5" xfId="33302"/>
    <cellStyle name="Heading 2 2 2 3 3 2 5 2" xfId="33303"/>
    <cellStyle name="Heading 2 2 2 3 3 2 5 2 2" xfId="33304"/>
    <cellStyle name="Heading 2 2 2 3 3 2 5 3" xfId="33305"/>
    <cellStyle name="Heading 2 2 2 3 3 2 6" xfId="33306"/>
    <cellStyle name="Heading 2 2 2 3 3 2 6 2" xfId="33307"/>
    <cellStyle name="Heading 2 2 2 3 3 2 6 2 2" xfId="33308"/>
    <cellStyle name="Heading 2 2 2 3 3 2 6 3" xfId="33309"/>
    <cellStyle name="Heading 2 2 2 3 3 2 7" xfId="33310"/>
    <cellStyle name="Heading 2 2 2 3 3 2 7 2" xfId="33311"/>
    <cellStyle name="Heading 2 2 2 3 3 2 7 2 2" xfId="33312"/>
    <cellStyle name="Heading 2 2 2 3 3 2 7 3" xfId="33313"/>
    <cellStyle name="Heading 2 2 2 3 3 2 8" xfId="33314"/>
    <cellStyle name="Heading 2 2 2 3 3 2 8 2" xfId="33315"/>
    <cellStyle name="Heading 2 2 2 3 3 2 9" xfId="33316"/>
    <cellStyle name="Heading 2 2 2 3 3 20" xfId="33317"/>
    <cellStyle name="Heading 2 2 2 3 3 20 2" xfId="33318"/>
    <cellStyle name="Heading 2 2 2 3 3 21" xfId="33319"/>
    <cellStyle name="Heading 2 2 2 3 3 21 2" xfId="33320"/>
    <cellStyle name="Heading 2 2 2 3 3 22" xfId="33321"/>
    <cellStyle name="Heading 2 2 2 3 3 3" xfId="33322"/>
    <cellStyle name="Heading 2 2 2 3 3 3 2" xfId="33323"/>
    <cellStyle name="Heading 2 2 2 3 3 3 2 2" xfId="33324"/>
    <cellStyle name="Heading 2 2 2 3 3 3 2 2 2" xfId="33325"/>
    <cellStyle name="Heading 2 2 2 3 3 3 2 3" xfId="33326"/>
    <cellStyle name="Heading 2 2 2 3 3 3 3" xfId="33327"/>
    <cellStyle name="Heading 2 2 2 3 3 3 3 2" xfId="33328"/>
    <cellStyle name="Heading 2 2 2 3 3 3 3 2 2" xfId="33329"/>
    <cellStyle name="Heading 2 2 2 3 3 3 3 3" xfId="33330"/>
    <cellStyle name="Heading 2 2 2 3 3 3 4" xfId="33331"/>
    <cellStyle name="Heading 2 2 2 3 3 3 4 2" xfId="33332"/>
    <cellStyle name="Heading 2 2 2 3 3 3 4 2 2" xfId="33333"/>
    <cellStyle name="Heading 2 2 2 3 3 3 4 3" xfId="33334"/>
    <cellStyle name="Heading 2 2 2 3 3 3 5" xfId="33335"/>
    <cellStyle name="Heading 2 2 2 3 3 3 5 2" xfId="33336"/>
    <cellStyle name="Heading 2 2 2 3 3 3 5 2 2" xfId="33337"/>
    <cellStyle name="Heading 2 2 2 3 3 3 5 3" xfId="33338"/>
    <cellStyle name="Heading 2 2 2 3 3 3 6" xfId="33339"/>
    <cellStyle name="Heading 2 2 2 3 3 3 6 2" xfId="33340"/>
    <cellStyle name="Heading 2 2 2 3 3 3 6 2 2" xfId="33341"/>
    <cellStyle name="Heading 2 2 2 3 3 3 6 3" xfId="33342"/>
    <cellStyle name="Heading 2 2 2 3 3 3 7" xfId="33343"/>
    <cellStyle name="Heading 2 2 2 3 3 3 7 2" xfId="33344"/>
    <cellStyle name="Heading 2 2 2 3 3 3 7 2 2" xfId="33345"/>
    <cellStyle name="Heading 2 2 2 3 3 3 7 3" xfId="33346"/>
    <cellStyle name="Heading 2 2 2 3 3 3 8" xfId="33347"/>
    <cellStyle name="Heading 2 2 2 3 3 3 8 2" xfId="33348"/>
    <cellStyle name="Heading 2 2 2 3 3 3 9" xfId="33349"/>
    <cellStyle name="Heading 2 2 2 3 3 4" xfId="33350"/>
    <cellStyle name="Heading 2 2 2 3 3 4 2" xfId="33351"/>
    <cellStyle name="Heading 2 2 2 3 3 4 2 2" xfId="33352"/>
    <cellStyle name="Heading 2 2 2 3 3 4 2 2 2" xfId="33353"/>
    <cellStyle name="Heading 2 2 2 3 3 4 2 3" xfId="33354"/>
    <cellStyle name="Heading 2 2 2 3 3 4 3" xfId="33355"/>
    <cellStyle name="Heading 2 2 2 3 3 4 3 2" xfId="33356"/>
    <cellStyle name="Heading 2 2 2 3 3 4 3 2 2" xfId="33357"/>
    <cellStyle name="Heading 2 2 2 3 3 4 3 3" xfId="33358"/>
    <cellStyle name="Heading 2 2 2 3 3 4 4" xfId="33359"/>
    <cellStyle name="Heading 2 2 2 3 3 4 4 2" xfId="33360"/>
    <cellStyle name="Heading 2 2 2 3 3 4 4 2 2" xfId="33361"/>
    <cellStyle name="Heading 2 2 2 3 3 4 4 3" xfId="33362"/>
    <cellStyle name="Heading 2 2 2 3 3 4 5" xfId="33363"/>
    <cellStyle name="Heading 2 2 2 3 3 4 5 2" xfId="33364"/>
    <cellStyle name="Heading 2 2 2 3 3 4 5 2 2" xfId="33365"/>
    <cellStyle name="Heading 2 2 2 3 3 4 5 3" xfId="33366"/>
    <cellStyle name="Heading 2 2 2 3 3 4 6" xfId="33367"/>
    <cellStyle name="Heading 2 2 2 3 3 4 6 2" xfId="33368"/>
    <cellStyle name="Heading 2 2 2 3 3 4 6 2 2" xfId="33369"/>
    <cellStyle name="Heading 2 2 2 3 3 4 6 3" xfId="33370"/>
    <cellStyle name="Heading 2 2 2 3 3 4 7" xfId="33371"/>
    <cellStyle name="Heading 2 2 2 3 3 4 7 2" xfId="33372"/>
    <cellStyle name="Heading 2 2 2 3 3 4 7 2 2" xfId="33373"/>
    <cellStyle name="Heading 2 2 2 3 3 4 7 3" xfId="33374"/>
    <cellStyle name="Heading 2 2 2 3 3 4 8" xfId="33375"/>
    <cellStyle name="Heading 2 2 2 3 3 4 8 2" xfId="33376"/>
    <cellStyle name="Heading 2 2 2 3 3 4 9" xfId="33377"/>
    <cellStyle name="Heading 2 2 2 3 3 5" xfId="33378"/>
    <cellStyle name="Heading 2 2 2 3 3 5 2" xfId="33379"/>
    <cellStyle name="Heading 2 2 2 3 3 5 2 2" xfId="33380"/>
    <cellStyle name="Heading 2 2 2 3 3 5 2 2 2" xfId="33381"/>
    <cellStyle name="Heading 2 2 2 3 3 5 2 3" xfId="33382"/>
    <cellStyle name="Heading 2 2 2 3 3 5 3" xfId="33383"/>
    <cellStyle name="Heading 2 2 2 3 3 5 3 2" xfId="33384"/>
    <cellStyle name="Heading 2 2 2 3 3 5 3 2 2" xfId="33385"/>
    <cellStyle name="Heading 2 2 2 3 3 5 3 3" xfId="33386"/>
    <cellStyle name="Heading 2 2 2 3 3 5 4" xfId="33387"/>
    <cellStyle name="Heading 2 2 2 3 3 5 4 2" xfId="33388"/>
    <cellStyle name="Heading 2 2 2 3 3 5 4 2 2" xfId="33389"/>
    <cellStyle name="Heading 2 2 2 3 3 5 4 3" xfId="33390"/>
    <cellStyle name="Heading 2 2 2 3 3 5 5" xfId="33391"/>
    <cellStyle name="Heading 2 2 2 3 3 5 5 2" xfId="33392"/>
    <cellStyle name="Heading 2 2 2 3 3 5 5 2 2" xfId="33393"/>
    <cellStyle name="Heading 2 2 2 3 3 5 5 3" xfId="33394"/>
    <cellStyle name="Heading 2 2 2 3 3 5 6" xfId="33395"/>
    <cellStyle name="Heading 2 2 2 3 3 5 6 2" xfId="33396"/>
    <cellStyle name="Heading 2 2 2 3 3 5 6 2 2" xfId="33397"/>
    <cellStyle name="Heading 2 2 2 3 3 5 6 3" xfId="33398"/>
    <cellStyle name="Heading 2 2 2 3 3 5 7" xfId="33399"/>
    <cellStyle name="Heading 2 2 2 3 3 5 7 2" xfId="33400"/>
    <cellStyle name="Heading 2 2 2 3 3 5 7 2 2" xfId="33401"/>
    <cellStyle name="Heading 2 2 2 3 3 5 7 3" xfId="33402"/>
    <cellStyle name="Heading 2 2 2 3 3 5 8" xfId="33403"/>
    <cellStyle name="Heading 2 2 2 3 3 5 8 2" xfId="33404"/>
    <cellStyle name="Heading 2 2 2 3 3 5 9" xfId="33405"/>
    <cellStyle name="Heading 2 2 2 3 3 6" xfId="33406"/>
    <cellStyle name="Heading 2 2 2 3 3 6 2" xfId="33407"/>
    <cellStyle name="Heading 2 2 2 3 3 6 2 2" xfId="33408"/>
    <cellStyle name="Heading 2 2 2 3 3 6 2 2 2" xfId="33409"/>
    <cellStyle name="Heading 2 2 2 3 3 6 2 3" xfId="33410"/>
    <cellStyle name="Heading 2 2 2 3 3 6 3" xfId="33411"/>
    <cellStyle name="Heading 2 2 2 3 3 6 3 2" xfId="33412"/>
    <cellStyle name="Heading 2 2 2 3 3 6 3 2 2" xfId="33413"/>
    <cellStyle name="Heading 2 2 2 3 3 6 3 3" xfId="33414"/>
    <cellStyle name="Heading 2 2 2 3 3 6 4" xfId="33415"/>
    <cellStyle name="Heading 2 2 2 3 3 6 4 2" xfId="33416"/>
    <cellStyle name="Heading 2 2 2 3 3 6 4 2 2" xfId="33417"/>
    <cellStyle name="Heading 2 2 2 3 3 6 4 3" xfId="33418"/>
    <cellStyle name="Heading 2 2 2 3 3 6 5" xfId="33419"/>
    <cellStyle name="Heading 2 2 2 3 3 6 5 2" xfId="33420"/>
    <cellStyle name="Heading 2 2 2 3 3 6 5 2 2" xfId="33421"/>
    <cellStyle name="Heading 2 2 2 3 3 6 5 3" xfId="33422"/>
    <cellStyle name="Heading 2 2 2 3 3 6 6" xfId="33423"/>
    <cellStyle name="Heading 2 2 2 3 3 6 6 2" xfId="33424"/>
    <cellStyle name="Heading 2 2 2 3 3 6 6 2 2" xfId="33425"/>
    <cellStyle name="Heading 2 2 2 3 3 6 6 3" xfId="33426"/>
    <cellStyle name="Heading 2 2 2 3 3 6 7" xfId="33427"/>
    <cellStyle name="Heading 2 2 2 3 3 6 7 2" xfId="33428"/>
    <cellStyle name="Heading 2 2 2 3 3 6 7 2 2" xfId="33429"/>
    <cellStyle name="Heading 2 2 2 3 3 6 7 3" xfId="33430"/>
    <cellStyle name="Heading 2 2 2 3 3 6 8" xfId="33431"/>
    <cellStyle name="Heading 2 2 2 3 3 6 8 2" xfId="33432"/>
    <cellStyle name="Heading 2 2 2 3 3 6 9" xfId="33433"/>
    <cellStyle name="Heading 2 2 2 3 3 7" xfId="33434"/>
    <cellStyle name="Heading 2 2 2 3 3 7 2" xfId="33435"/>
    <cellStyle name="Heading 2 2 2 3 3 7 2 2" xfId="33436"/>
    <cellStyle name="Heading 2 2 2 3 3 7 2 2 2" xfId="33437"/>
    <cellStyle name="Heading 2 2 2 3 3 7 2 3" xfId="33438"/>
    <cellStyle name="Heading 2 2 2 3 3 7 3" xfId="33439"/>
    <cellStyle name="Heading 2 2 2 3 3 7 3 2" xfId="33440"/>
    <cellStyle name="Heading 2 2 2 3 3 7 3 2 2" xfId="33441"/>
    <cellStyle name="Heading 2 2 2 3 3 7 3 3" xfId="33442"/>
    <cellStyle name="Heading 2 2 2 3 3 7 4" xfId="33443"/>
    <cellStyle name="Heading 2 2 2 3 3 7 4 2" xfId="33444"/>
    <cellStyle name="Heading 2 2 2 3 3 7 4 2 2" xfId="33445"/>
    <cellStyle name="Heading 2 2 2 3 3 7 4 3" xfId="33446"/>
    <cellStyle name="Heading 2 2 2 3 3 7 5" xfId="33447"/>
    <cellStyle name="Heading 2 2 2 3 3 7 5 2" xfId="33448"/>
    <cellStyle name="Heading 2 2 2 3 3 7 5 2 2" xfId="33449"/>
    <cellStyle name="Heading 2 2 2 3 3 7 5 3" xfId="33450"/>
    <cellStyle name="Heading 2 2 2 3 3 7 6" xfId="33451"/>
    <cellStyle name="Heading 2 2 2 3 3 7 6 2" xfId="33452"/>
    <cellStyle name="Heading 2 2 2 3 3 7 6 2 2" xfId="33453"/>
    <cellStyle name="Heading 2 2 2 3 3 7 6 3" xfId="33454"/>
    <cellStyle name="Heading 2 2 2 3 3 7 7" xfId="33455"/>
    <cellStyle name="Heading 2 2 2 3 3 7 7 2" xfId="33456"/>
    <cellStyle name="Heading 2 2 2 3 3 7 7 2 2" xfId="33457"/>
    <cellStyle name="Heading 2 2 2 3 3 7 7 3" xfId="33458"/>
    <cellStyle name="Heading 2 2 2 3 3 7 8" xfId="33459"/>
    <cellStyle name="Heading 2 2 2 3 3 7 8 2" xfId="33460"/>
    <cellStyle name="Heading 2 2 2 3 3 7 9" xfId="33461"/>
    <cellStyle name="Heading 2 2 2 3 3 8" xfId="33462"/>
    <cellStyle name="Heading 2 2 2 3 3 8 2" xfId="33463"/>
    <cellStyle name="Heading 2 2 2 3 3 8 2 2" xfId="33464"/>
    <cellStyle name="Heading 2 2 2 3 3 8 2 2 2" xfId="33465"/>
    <cellStyle name="Heading 2 2 2 3 3 8 2 3" xfId="33466"/>
    <cellStyle name="Heading 2 2 2 3 3 8 3" xfId="33467"/>
    <cellStyle name="Heading 2 2 2 3 3 8 3 2" xfId="33468"/>
    <cellStyle name="Heading 2 2 2 3 3 8 3 2 2" xfId="33469"/>
    <cellStyle name="Heading 2 2 2 3 3 8 3 3" xfId="33470"/>
    <cellStyle name="Heading 2 2 2 3 3 8 4" xfId="33471"/>
    <cellStyle name="Heading 2 2 2 3 3 8 4 2" xfId="33472"/>
    <cellStyle name="Heading 2 2 2 3 3 8 4 2 2" xfId="33473"/>
    <cellStyle name="Heading 2 2 2 3 3 8 4 3" xfId="33474"/>
    <cellStyle name="Heading 2 2 2 3 3 8 5" xfId="33475"/>
    <cellStyle name="Heading 2 2 2 3 3 8 5 2" xfId="33476"/>
    <cellStyle name="Heading 2 2 2 3 3 8 5 2 2" xfId="33477"/>
    <cellStyle name="Heading 2 2 2 3 3 8 5 3" xfId="33478"/>
    <cellStyle name="Heading 2 2 2 3 3 8 6" xfId="33479"/>
    <cellStyle name="Heading 2 2 2 3 3 8 6 2" xfId="33480"/>
    <cellStyle name="Heading 2 2 2 3 3 8 6 2 2" xfId="33481"/>
    <cellStyle name="Heading 2 2 2 3 3 8 6 3" xfId="33482"/>
    <cellStyle name="Heading 2 2 2 3 3 8 7" xfId="33483"/>
    <cellStyle name="Heading 2 2 2 3 3 8 7 2" xfId="33484"/>
    <cellStyle name="Heading 2 2 2 3 3 8 7 2 2" xfId="33485"/>
    <cellStyle name="Heading 2 2 2 3 3 8 7 3" xfId="33486"/>
    <cellStyle name="Heading 2 2 2 3 3 8 8" xfId="33487"/>
    <cellStyle name="Heading 2 2 2 3 3 8 8 2" xfId="33488"/>
    <cellStyle name="Heading 2 2 2 3 3 8 9" xfId="33489"/>
    <cellStyle name="Heading 2 2 2 3 3 9" xfId="33490"/>
    <cellStyle name="Heading 2 2 2 3 3 9 2" xfId="33491"/>
    <cellStyle name="Heading 2 2 2 3 3 9 2 2" xfId="33492"/>
    <cellStyle name="Heading 2 2 2 3 3 9 3" xfId="33493"/>
    <cellStyle name="Heading 2 2 2 3 4" xfId="33494"/>
    <cellStyle name="Heading 2 2 2 3 4 2" xfId="33495"/>
    <cellStyle name="Heading 2 2 2 3 4 2 2" xfId="33496"/>
    <cellStyle name="Heading 2 2 2 3 4 3" xfId="33497"/>
    <cellStyle name="Heading 2 2 2 3 5" xfId="33498"/>
    <cellStyle name="Heading 2 2 2 3 5 2" xfId="33499"/>
    <cellStyle name="Heading 2 2 2 3 6" xfId="33500"/>
    <cellStyle name="Heading 2 2 2 4" xfId="33501"/>
    <cellStyle name="Heading 2 2 2 4 2" xfId="33502"/>
    <cellStyle name="Heading 2 2 2 4 2 10" xfId="33503"/>
    <cellStyle name="Heading 2 2 2 4 2 10 2" xfId="33504"/>
    <cellStyle name="Heading 2 2 2 4 2 10 2 2" xfId="33505"/>
    <cellStyle name="Heading 2 2 2 4 2 10 3" xfId="33506"/>
    <cellStyle name="Heading 2 2 2 4 2 11" xfId="33507"/>
    <cellStyle name="Heading 2 2 2 4 2 11 2" xfId="33508"/>
    <cellStyle name="Heading 2 2 2 4 2 11 2 2" xfId="33509"/>
    <cellStyle name="Heading 2 2 2 4 2 11 3" xfId="33510"/>
    <cellStyle name="Heading 2 2 2 4 2 12" xfId="33511"/>
    <cellStyle name="Heading 2 2 2 4 2 12 2" xfId="33512"/>
    <cellStyle name="Heading 2 2 2 4 2 12 2 2" xfId="33513"/>
    <cellStyle name="Heading 2 2 2 4 2 12 3" xfId="33514"/>
    <cellStyle name="Heading 2 2 2 4 2 13" xfId="33515"/>
    <cellStyle name="Heading 2 2 2 4 2 13 2" xfId="33516"/>
    <cellStyle name="Heading 2 2 2 4 2 13 2 2" xfId="33517"/>
    <cellStyle name="Heading 2 2 2 4 2 13 3" xfId="33518"/>
    <cellStyle name="Heading 2 2 2 4 2 14" xfId="33519"/>
    <cellStyle name="Heading 2 2 2 4 2 14 2" xfId="33520"/>
    <cellStyle name="Heading 2 2 2 4 2 14 2 2" xfId="33521"/>
    <cellStyle name="Heading 2 2 2 4 2 14 3" xfId="33522"/>
    <cellStyle name="Heading 2 2 2 4 2 15" xfId="33523"/>
    <cellStyle name="Heading 2 2 2 4 2 15 2" xfId="33524"/>
    <cellStyle name="Heading 2 2 2 4 2 15 2 2" xfId="33525"/>
    <cellStyle name="Heading 2 2 2 4 2 15 3" xfId="33526"/>
    <cellStyle name="Heading 2 2 2 4 2 16" xfId="33527"/>
    <cellStyle name="Heading 2 2 2 4 2 16 2" xfId="33528"/>
    <cellStyle name="Heading 2 2 2 4 2 16 2 2" xfId="33529"/>
    <cellStyle name="Heading 2 2 2 4 2 16 3" xfId="33530"/>
    <cellStyle name="Heading 2 2 2 4 2 17" xfId="33531"/>
    <cellStyle name="Heading 2 2 2 4 2 17 2" xfId="33532"/>
    <cellStyle name="Heading 2 2 2 4 2 17 2 2" xfId="33533"/>
    <cellStyle name="Heading 2 2 2 4 2 17 3" xfId="33534"/>
    <cellStyle name="Heading 2 2 2 4 2 18" xfId="33535"/>
    <cellStyle name="Heading 2 2 2 4 2 18 2" xfId="33536"/>
    <cellStyle name="Heading 2 2 2 4 2 18 2 2" xfId="33537"/>
    <cellStyle name="Heading 2 2 2 4 2 18 3" xfId="33538"/>
    <cellStyle name="Heading 2 2 2 4 2 19" xfId="33539"/>
    <cellStyle name="Heading 2 2 2 4 2 19 2" xfId="33540"/>
    <cellStyle name="Heading 2 2 2 4 2 19 2 2" xfId="33541"/>
    <cellStyle name="Heading 2 2 2 4 2 19 3" xfId="33542"/>
    <cellStyle name="Heading 2 2 2 4 2 2" xfId="33543"/>
    <cellStyle name="Heading 2 2 2 4 2 2 10" xfId="33544"/>
    <cellStyle name="Heading 2 2 2 4 2 2 10 2" xfId="33545"/>
    <cellStyle name="Heading 2 2 2 4 2 2 10 2 2" xfId="33546"/>
    <cellStyle name="Heading 2 2 2 4 2 2 10 3" xfId="33547"/>
    <cellStyle name="Heading 2 2 2 4 2 2 11" xfId="33548"/>
    <cellStyle name="Heading 2 2 2 4 2 2 11 2" xfId="33549"/>
    <cellStyle name="Heading 2 2 2 4 2 2 11 2 2" xfId="33550"/>
    <cellStyle name="Heading 2 2 2 4 2 2 11 3" xfId="33551"/>
    <cellStyle name="Heading 2 2 2 4 2 2 12" xfId="33552"/>
    <cellStyle name="Heading 2 2 2 4 2 2 12 2" xfId="33553"/>
    <cellStyle name="Heading 2 2 2 4 2 2 12 2 2" xfId="33554"/>
    <cellStyle name="Heading 2 2 2 4 2 2 12 3" xfId="33555"/>
    <cellStyle name="Heading 2 2 2 4 2 2 13" xfId="33556"/>
    <cellStyle name="Heading 2 2 2 4 2 2 13 2" xfId="33557"/>
    <cellStyle name="Heading 2 2 2 4 2 2 13 2 2" xfId="33558"/>
    <cellStyle name="Heading 2 2 2 4 2 2 13 3" xfId="33559"/>
    <cellStyle name="Heading 2 2 2 4 2 2 14" xfId="33560"/>
    <cellStyle name="Heading 2 2 2 4 2 2 14 2" xfId="33561"/>
    <cellStyle name="Heading 2 2 2 4 2 2 14 2 2" xfId="33562"/>
    <cellStyle name="Heading 2 2 2 4 2 2 14 3" xfId="33563"/>
    <cellStyle name="Heading 2 2 2 4 2 2 15" xfId="33564"/>
    <cellStyle name="Heading 2 2 2 4 2 2 15 2" xfId="33565"/>
    <cellStyle name="Heading 2 2 2 4 2 2 15 2 2" xfId="33566"/>
    <cellStyle name="Heading 2 2 2 4 2 2 15 3" xfId="33567"/>
    <cellStyle name="Heading 2 2 2 4 2 2 16" xfId="33568"/>
    <cellStyle name="Heading 2 2 2 4 2 2 16 2" xfId="33569"/>
    <cellStyle name="Heading 2 2 2 4 2 2 16 2 2" xfId="33570"/>
    <cellStyle name="Heading 2 2 2 4 2 2 16 3" xfId="33571"/>
    <cellStyle name="Heading 2 2 2 4 2 2 17" xfId="33572"/>
    <cellStyle name="Heading 2 2 2 4 2 2 17 2" xfId="33573"/>
    <cellStyle name="Heading 2 2 2 4 2 2 17 2 2" xfId="33574"/>
    <cellStyle name="Heading 2 2 2 4 2 2 17 3" xfId="33575"/>
    <cellStyle name="Heading 2 2 2 4 2 2 18" xfId="33576"/>
    <cellStyle name="Heading 2 2 2 4 2 2 18 2" xfId="33577"/>
    <cellStyle name="Heading 2 2 2 4 2 2 18 2 2" xfId="33578"/>
    <cellStyle name="Heading 2 2 2 4 2 2 18 3" xfId="33579"/>
    <cellStyle name="Heading 2 2 2 4 2 2 19" xfId="33580"/>
    <cellStyle name="Heading 2 2 2 4 2 2 19 2" xfId="33581"/>
    <cellStyle name="Heading 2 2 2 4 2 2 2" xfId="33582"/>
    <cellStyle name="Heading 2 2 2 4 2 2 2 2" xfId="33583"/>
    <cellStyle name="Heading 2 2 2 4 2 2 2 2 2" xfId="33584"/>
    <cellStyle name="Heading 2 2 2 4 2 2 2 2 2 2" xfId="33585"/>
    <cellStyle name="Heading 2 2 2 4 2 2 2 2 3" xfId="33586"/>
    <cellStyle name="Heading 2 2 2 4 2 2 2 3" xfId="33587"/>
    <cellStyle name="Heading 2 2 2 4 2 2 2 3 2" xfId="33588"/>
    <cellStyle name="Heading 2 2 2 4 2 2 2 3 2 2" xfId="33589"/>
    <cellStyle name="Heading 2 2 2 4 2 2 2 3 3" xfId="33590"/>
    <cellStyle name="Heading 2 2 2 4 2 2 2 4" xfId="33591"/>
    <cellStyle name="Heading 2 2 2 4 2 2 2 4 2" xfId="33592"/>
    <cellStyle name="Heading 2 2 2 4 2 2 2 4 2 2" xfId="33593"/>
    <cellStyle name="Heading 2 2 2 4 2 2 2 4 3" xfId="33594"/>
    <cellStyle name="Heading 2 2 2 4 2 2 2 5" xfId="33595"/>
    <cellStyle name="Heading 2 2 2 4 2 2 2 5 2" xfId="33596"/>
    <cellStyle name="Heading 2 2 2 4 2 2 2 5 2 2" xfId="33597"/>
    <cellStyle name="Heading 2 2 2 4 2 2 2 5 3" xfId="33598"/>
    <cellStyle name="Heading 2 2 2 4 2 2 2 6" xfId="33599"/>
    <cellStyle name="Heading 2 2 2 4 2 2 2 6 2" xfId="33600"/>
    <cellStyle name="Heading 2 2 2 4 2 2 2 6 2 2" xfId="33601"/>
    <cellStyle name="Heading 2 2 2 4 2 2 2 6 3" xfId="33602"/>
    <cellStyle name="Heading 2 2 2 4 2 2 2 7" xfId="33603"/>
    <cellStyle name="Heading 2 2 2 4 2 2 2 7 2" xfId="33604"/>
    <cellStyle name="Heading 2 2 2 4 2 2 2 7 2 2" xfId="33605"/>
    <cellStyle name="Heading 2 2 2 4 2 2 2 7 3" xfId="33606"/>
    <cellStyle name="Heading 2 2 2 4 2 2 2 8" xfId="33607"/>
    <cellStyle name="Heading 2 2 2 4 2 2 2 8 2" xfId="33608"/>
    <cellStyle name="Heading 2 2 2 4 2 2 2 9" xfId="33609"/>
    <cellStyle name="Heading 2 2 2 4 2 2 20" xfId="33610"/>
    <cellStyle name="Heading 2 2 2 4 2 2 20 2" xfId="33611"/>
    <cellStyle name="Heading 2 2 2 4 2 2 21" xfId="33612"/>
    <cellStyle name="Heading 2 2 2 4 2 2 21 2" xfId="33613"/>
    <cellStyle name="Heading 2 2 2 4 2 2 22" xfId="33614"/>
    <cellStyle name="Heading 2 2 2 4 2 2 3" xfId="33615"/>
    <cellStyle name="Heading 2 2 2 4 2 2 3 2" xfId="33616"/>
    <cellStyle name="Heading 2 2 2 4 2 2 3 2 2" xfId="33617"/>
    <cellStyle name="Heading 2 2 2 4 2 2 3 2 2 2" xfId="33618"/>
    <cellStyle name="Heading 2 2 2 4 2 2 3 2 3" xfId="33619"/>
    <cellStyle name="Heading 2 2 2 4 2 2 3 3" xfId="33620"/>
    <cellStyle name="Heading 2 2 2 4 2 2 3 3 2" xfId="33621"/>
    <cellStyle name="Heading 2 2 2 4 2 2 3 3 2 2" xfId="33622"/>
    <cellStyle name="Heading 2 2 2 4 2 2 3 3 3" xfId="33623"/>
    <cellStyle name="Heading 2 2 2 4 2 2 3 4" xfId="33624"/>
    <cellStyle name="Heading 2 2 2 4 2 2 3 4 2" xfId="33625"/>
    <cellStyle name="Heading 2 2 2 4 2 2 3 4 2 2" xfId="33626"/>
    <cellStyle name="Heading 2 2 2 4 2 2 3 4 3" xfId="33627"/>
    <cellStyle name="Heading 2 2 2 4 2 2 3 5" xfId="33628"/>
    <cellStyle name="Heading 2 2 2 4 2 2 3 5 2" xfId="33629"/>
    <cellStyle name="Heading 2 2 2 4 2 2 3 5 2 2" xfId="33630"/>
    <cellStyle name="Heading 2 2 2 4 2 2 3 5 3" xfId="33631"/>
    <cellStyle name="Heading 2 2 2 4 2 2 3 6" xfId="33632"/>
    <cellStyle name="Heading 2 2 2 4 2 2 3 6 2" xfId="33633"/>
    <cellStyle name="Heading 2 2 2 4 2 2 3 6 2 2" xfId="33634"/>
    <cellStyle name="Heading 2 2 2 4 2 2 3 6 3" xfId="33635"/>
    <cellStyle name="Heading 2 2 2 4 2 2 3 7" xfId="33636"/>
    <cellStyle name="Heading 2 2 2 4 2 2 3 7 2" xfId="33637"/>
    <cellStyle name="Heading 2 2 2 4 2 2 3 7 2 2" xfId="33638"/>
    <cellStyle name="Heading 2 2 2 4 2 2 3 7 3" xfId="33639"/>
    <cellStyle name="Heading 2 2 2 4 2 2 3 8" xfId="33640"/>
    <cellStyle name="Heading 2 2 2 4 2 2 3 8 2" xfId="33641"/>
    <cellStyle name="Heading 2 2 2 4 2 2 3 9" xfId="33642"/>
    <cellStyle name="Heading 2 2 2 4 2 2 4" xfId="33643"/>
    <cellStyle name="Heading 2 2 2 4 2 2 4 2" xfId="33644"/>
    <cellStyle name="Heading 2 2 2 4 2 2 4 2 2" xfId="33645"/>
    <cellStyle name="Heading 2 2 2 4 2 2 4 2 2 2" xfId="33646"/>
    <cellStyle name="Heading 2 2 2 4 2 2 4 2 3" xfId="33647"/>
    <cellStyle name="Heading 2 2 2 4 2 2 4 3" xfId="33648"/>
    <cellStyle name="Heading 2 2 2 4 2 2 4 3 2" xfId="33649"/>
    <cellStyle name="Heading 2 2 2 4 2 2 4 3 2 2" xfId="33650"/>
    <cellStyle name="Heading 2 2 2 4 2 2 4 3 3" xfId="33651"/>
    <cellStyle name="Heading 2 2 2 4 2 2 4 4" xfId="33652"/>
    <cellStyle name="Heading 2 2 2 4 2 2 4 4 2" xfId="33653"/>
    <cellStyle name="Heading 2 2 2 4 2 2 4 4 2 2" xfId="33654"/>
    <cellStyle name="Heading 2 2 2 4 2 2 4 4 3" xfId="33655"/>
    <cellStyle name="Heading 2 2 2 4 2 2 4 5" xfId="33656"/>
    <cellStyle name="Heading 2 2 2 4 2 2 4 5 2" xfId="33657"/>
    <cellStyle name="Heading 2 2 2 4 2 2 4 5 2 2" xfId="33658"/>
    <cellStyle name="Heading 2 2 2 4 2 2 4 5 3" xfId="33659"/>
    <cellStyle name="Heading 2 2 2 4 2 2 4 6" xfId="33660"/>
    <cellStyle name="Heading 2 2 2 4 2 2 4 6 2" xfId="33661"/>
    <cellStyle name="Heading 2 2 2 4 2 2 4 6 2 2" xfId="33662"/>
    <cellStyle name="Heading 2 2 2 4 2 2 4 6 3" xfId="33663"/>
    <cellStyle name="Heading 2 2 2 4 2 2 4 7" xfId="33664"/>
    <cellStyle name="Heading 2 2 2 4 2 2 4 7 2" xfId="33665"/>
    <cellStyle name="Heading 2 2 2 4 2 2 4 7 2 2" xfId="33666"/>
    <cellStyle name="Heading 2 2 2 4 2 2 4 7 3" xfId="33667"/>
    <cellStyle name="Heading 2 2 2 4 2 2 4 8" xfId="33668"/>
    <cellStyle name="Heading 2 2 2 4 2 2 4 8 2" xfId="33669"/>
    <cellStyle name="Heading 2 2 2 4 2 2 4 9" xfId="33670"/>
    <cellStyle name="Heading 2 2 2 4 2 2 5" xfId="33671"/>
    <cellStyle name="Heading 2 2 2 4 2 2 5 2" xfId="33672"/>
    <cellStyle name="Heading 2 2 2 4 2 2 5 2 2" xfId="33673"/>
    <cellStyle name="Heading 2 2 2 4 2 2 5 2 2 2" xfId="33674"/>
    <cellStyle name="Heading 2 2 2 4 2 2 5 2 3" xfId="33675"/>
    <cellStyle name="Heading 2 2 2 4 2 2 5 3" xfId="33676"/>
    <cellStyle name="Heading 2 2 2 4 2 2 5 3 2" xfId="33677"/>
    <cellStyle name="Heading 2 2 2 4 2 2 5 3 2 2" xfId="33678"/>
    <cellStyle name="Heading 2 2 2 4 2 2 5 3 3" xfId="33679"/>
    <cellStyle name="Heading 2 2 2 4 2 2 5 4" xfId="33680"/>
    <cellStyle name="Heading 2 2 2 4 2 2 5 4 2" xfId="33681"/>
    <cellStyle name="Heading 2 2 2 4 2 2 5 4 2 2" xfId="33682"/>
    <cellStyle name="Heading 2 2 2 4 2 2 5 4 3" xfId="33683"/>
    <cellStyle name="Heading 2 2 2 4 2 2 5 5" xfId="33684"/>
    <cellStyle name="Heading 2 2 2 4 2 2 5 5 2" xfId="33685"/>
    <cellStyle name="Heading 2 2 2 4 2 2 5 5 2 2" xfId="33686"/>
    <cellStyle name="Heading 2 2 2 4 2 2 5 5 3" xfId="33687"/>
    <cellStyle name="Heading 2 2 2 4 2 2 5 6" xfId="33688"/>
    <cellStyle name="Heading 2 2 2 4 2 2 5 6 2" xfId="33689"/>
    <cellStyle name="Heading 2 2 2 4 2 2 5 6 2 2" xfId="33690"/>
    <cellStyle name="Heading 2 2 2 4 2 2 5 6 3" xfId="33691"/>
    <cellStyle name="Heading 2 2 2 4 2 2 5 7" xfId="33692"/>
    <cellStyle name="Heading 2 2 2 4 2 2 5 7 2" xfId="33693"/>
    <cellStyle name="Heading 2 2 2 4 2 2 5 7 2 2" xfId="33694"/>
    <cellStyle name="Heading 2 2 2 4 2 2 5 7 3" xfId="33695"/>
    <cellStyle name="Heading 2 2 2 4 2 2 5 8" xfId="33696"/>
    <cellStyle name="Heading 2 2 2 4 2 2 5 8 2" xfId="33697"/>
    <cellStyle name="Heading 2 2 2 4 2 2 5 9" xfId="33698"/>
    <cellStyle name="Heading 2 2 2 4 2 2 6" xfId="33699"/>
    <cellStyle name="Heading 2 2 2 4 2 2 6 2" xfId="33700"/>
    <cellStyle name="Heading 2 2 2 4 2 2 6 2 2" xfId="33701"/>
    <cellStyle name="Heading 2 2 2 4 2 2 6 2 2 2" xfId="33702"/>
    <cellStyle name="Heading 2 2 2 4 2 2 6 2 3" xfId="33703"/>
    <cellStyle name="Heading 2 2 2 4 2 2 6 3" xfId="33704"/>
    <cellStyle name="Heading 2 2 2 4 2 2 6 3 2" xfId="33705"/>
    <cellStyle name="Heading 2 2 2 4 2 2 6 3 2 2" xfId="33706"/>
    <cellStyle name="Heading 2 2 2 4 2 2 6 3 3" xfId="33707"/>
    <cellStyle name="Heading 2 2 2 4 2 2 6 4" xfId="33708"/>
    <cellStyle name="Heading 2 2 2 4 2 2 6 4 2" xfId="33709"/>
    <cellStyle name="Heading 2 2 2 4 2 2 6 4 2 2" xfId="33710"/>
    <cellStyle name="Heading 2 2 2 4 2 2 6 4 3" xfId="33711"/>
    <cellStyle name="Heading 2 2 2 4 2 2 6 5" xfId="33712"/>
    <cellStyle name="Heading 2 2 2 4 2 2 6 5 2" xfId="33713"/>
    <cellStyle name="Heading 2 2 2 4 2 2 6 5 2 2" xfId="33714"/>
    <cellStyle name="Heading 2 2 2 4 2 2 6 5 3" xfId="33715"/>
    <cellStyle name="Heading 2 2 2 4 2 2 6 6" xfId="33716"/>
    <cellStyle name="Heading 2 2 2 4 2 2 6 6 2" xfId="33717"/>
    <cellStyle name="Heading 2 2 2 4 2 2 6 6 2 2" xfId="33718"/>
    <cellStyle name="Heading 2 2 2 4 2 2 6 6 3" xfId="33719"/>
    <cellStyle name="Heading 2 2 2 4 2 2 6 7" xfId="33720"/>
    <cellStyle name="Heading 2 2 2 4 2 2 6 7 2" xfId="33721"/>
    <cellStyle name="Heading 2 2 2 4 2 2 6 7 2 2" xfId="33722"/>
    <cellStyle name="Heading 2 2 2 4 2 2 6 7 3" xfId="33723"/>
    <cellStyle name="Heading 2 2 2 4 2 2 6 8" xfId="33724"/>
    <cellStyle name="Heading 2 2 2 4 2 2 6 8 2" xfId="33725"/>
    <cellStyle name="Heading 2 2 2 4 2 2 6 9" xfId="33726"/>
    <cellStyle name="Heading 2 2 2 4 2 2 7" xfId="33727"/>
    <cellStyle name="Heading 2 2 2 4 2 2 7 2" xfId="33728"/>
    <cellStyle name="Heading 2 2 2 4 2 2 7 2 2" xfId="33729"/>
    <cellStyle name="Heading 2 2 2 4 2 2 7 2 2 2" xfId="33730"/>
    <cellStyle name="Heading 2 2 2 4 2 2 7 2 3" xfId="33731"/>
    <cellStyle name="Heading 2 2 2 4 2 2 7 3" xfId="33732"/>
    <cellStyle name="Heading 2 2 2 4 2 2 7 3 2" xfId="33733"/>
    <cellStyle name="Heading 2 2 2 4 2 2 7 3 2 2" xfId="33734"/>
    <cellStyle name="Heading 2 2 2 4 2 2 7 3 3" xfId="33735"/>
    <cellStyle name="Heading 2 2 2 4 2 2 7 4" xfId="33736"/>
    <cellStyle name="Heading 2 2 2 4 2 2 7 4 2" xfId="33737"/>
    <cellStyle name="Heading 2 2 2 4 2 2 7 4 2 2" xfId="33738"/>
    <cellStyle name="Heading 2 2 2 4 2 2 7 4 3" xfId="33739"/>
    <cellStyle name="Heading 2 2 2 4 2 2 7 5" xfId="33740"/>
    <cellStyle name="Heading 2 2 2 4 2 2 7 5 2" xfId="33741"/>
    <cellStyle name="Heading 2 2 2 4 2 2 7 5 2 2" xfId="33742"/>
    <cellStyle name="Heading 2 2 2 4 2 2 7 5 3" xfId="33743"/>
    <cellStyle name="Heading 2 2 2 4 2 2 7 6" xfId="33744"/>
    <cellStyle name="Heading 2 2 2 4 2 2 7 6 2" xfId="33745"/>
    <cellStyle name="Heading 2 2 2 4 2 2 7 6 2 2" xfId="33746"/>
    <cellStyle name="Heading 2 2 2 4 2 2 7 6 3" xfId="33747"/>
    <cellStyle name="Heading 2 2 2 4 2 2 7 7" xfId="33748"/>
    <cellStyle name="Heading 2 2 2 4 2 2 7 7 2" xfId="33749"/>
    <cellStyle name="Heading 2 2 2 4 2 2 7 7 2 2" xfId="33750"/>
    <cellStyle name="Heading 2 2 2 4 2 2 7 7 3" xfId="33751"/>
    <cellStyle name="Heading 2 2 2 4 2 2 7 8" xfId="33752"/>
    <cellStyle name="Heading 2 2 2 4 2 2 7 8 2" xfId="33753"/>
    <cellStyle name="Heading 2 2 2 4 2 2 7 9" xfId="33754"/>
    <cellStyle name="Heading 2 2 2 4 2 2 8" xfId="33755"/>
    <cellStyle name="Heading 2 2 2 4 2 2 8 2" xfId="33756"/>
    <cellStyle name="Heading 2 2 2 4 2 2 8 2 2" xfId="33757"/>
    <cellStyle name="Heading 2 2 2 4 2 2 8 2 2 2" xfId="33758"/>
    <cellStyle name="Heading 2 2 2 4 2 2 8 2 3" xfId="33759"/>
    <cellStyle name="Heading 2 2 2 4 2 2 8 3" xfId="33760"/>
    <cellStyle name="Heading 2 2 2 4 2 2 8 3 2" xfId="33761"/>
    <cellStyle name="Heading 2 2 2 4 2 2 8 3 2 2" xfId="33762"/>
    <cellStyle name="Heading 2 2 2 4 2 2 8 3 3" xfId="33763"/>
    <cellStyle name="Heading 2 2 2 4 2 2 8 4" xfId="33764"/>
    <cellStyle name="Heading 2 2 2 4 2 2 8 4 2" xfId="33765"/>
    <cellStyle name="Heading 2 2 2 4 2 2 8 4 2 2" xfId="33766"/>
    <cellStyle name="Heading 2 2 2 4 2 2 8 4 3" xfId="33767"/>
    <cellStyle name="Heading 2 2 2 4 2 2 8 5" xfId="33768"/>
    <cellStyle name="Heading 2 2 2 4 2 2 8 5 2" xfId="33769"/>
    <cellStyle name="Heading 2 2 2 4 2 2 8 5 2 2" xfId="33770"/>
    <cellStyle name="Heading 2 2 2 4 2 2 8 5 3" xfId="33771"/>
    <cellStyle name="Heading 2 2 2 4 2 2 8 6" xfId="33772"/>
    <cellStyle name="Heading 2 2 2 4 2 2 8 6 2" xfId="33773"/>
    <cellStyle name="Heading 2 2 2 4 2 2 8 6 2 2" xfId="33774"/>
    <cellStyle name="Heading 2 2 2 4 2 2 8 6 3" xfId="33775"/>
    <cellStyle name="Heading 2 2 2 4 2 2 8 7" xfId="33776"/>
    <cellStyle name="Heading 2 2 2 4 2 2 8 7 2" xfId="33777"/>
    <cellStyle name="Heading 2 2 2 4 2 2 8 7 2 2" xfId="33778"/>
    <cellStyle name="Heading 2 2 2 4 2 2 8 7 3" xfId="33779"/>
    <cellStyle name="Heading 2 2 2 4 2 2 8 8" xfId="33780"/>
    <cellStyle name="Heading 2 2 2 4 2 2 8 8 2" xfId="33781"/>
    <cellStyle name="Heading 2 2 2 4 2 2 8 9" xfId="33782"/>
    <cellStyle name="Heading 2 2 2 4 2 2 9" xfId="33783"/>
    <cellStyle name="Heading 2 2 2 4 2 2 9 2" xfId="33784"/>
    <cellStyle name="Heading 2 2 2 4 2 2 9 2 2" xfId="33785"/>
    <cellStyle name="Heading 2 2 2 4 2 2 9 3" xfId="33786"/>
    <cellStyle name="Heading 2 2 2 4 2 20" xfId="33787"/>
    <cellStyle name="Heading 2 2 2 4 2 20 2" xfId="33788"/>
    <cellStyle name="Heading 2 2 2 4 2 21" xfId="33789"/>
    <cellStyle name="Heading 2 2 2 4 2 21 2" xfId="33790"/>
    <cellStyle name="Heading 2 2 2 4 2 22" xfId="33791"/>
    <cellStyle name="Heading 2 2 2 4 2 22 2" xfId="33792"/>
    <cellStyle name="Heading 2 2 2 4 2 23" xfId="33793"/>
    <cellStyle name="Heading 2 2 2 4 2 3" xfId="33794"/>
    <cellStyle name="Heading 2 2 2 4 2 3 2" xfId="33795"/>
    <cellStyle name="Heading 2 2 2 4 2 3 2 2" xfId="33796"/>
    <cellStyle name="Heading 2 2 2 4 2 3 2 2 2" xfId="33797"/>
    <cellStyle name="Heading 2 2 2 4 2 3 2 3" xfId="33798"/>
    <cellStyle name="Heading 2 2 2 4 2 3 3" xfId="33799"/>
    <cellStyle name="Heading 2 2 2 4 2 3 3 2" xfId="33800"/>
    <cellStyle name="Heading 2 2 2 4 2 3 3 2 2" xfId="33801"/>
    <cellStyle name="Heading 2 2 2 4 2 3 3 3" xfId="33802"/>
    <cellStyle name="Heading 2 2 2 4 2 3 4" xfId="33803"/>
    <cellStyle name="Heading 2 2 2 4 2 3 4 2" xfId="33804"/>
    <cellStyle name="Heading 2 2 2 4 2 3 4 2 2" xfId="33805"/>
    <cellStyle name="Heading 2 2 2 4 2 3 4 3" xfId="33806"/>
    <cellStyle name="Heading 2 2 2 4 2 3 5" xfId="33807"/>
    <cellStyle name="Heading 2 2 2 4 2 3 5 2" xfId="33808"/>
    <cellStyle name="Heading 2 2 2 4 2 3 5 2 2" xfId="33809"/>
    <cellStyle name="Heading 2 2 2 4 2 3 5 3" xfId="33810"/>
    <cellStyle name="Heading 2 2 2 4 2 3 6" xfId="33811"/>
    <cellStyle name="Heading 2 2 2 4 2 3 6 2" xfId="33812"/>
    <cellStyle name="Heading 2 2 2 4 2 3 6 2 2" xfId="33813"/>
    <cellStyle name="Heading 2 2 2 4 2 3 6 3" xfId="33814"/>
    <cellStyle name="Heading 2 2 2 4 2 3 7" xfId="33815"/>
    <cellStyle name="Heading 2 2 2 4 2 3 7 2" xfId="33816"/>
    <cellStyle name="Heading 2 2 2 4 2 3 7 2 2" xfId="33817"/>
    <cellStyle name="Heading 2 2 2 4 2 3 7 3" xfId="33818"/>
    <cellStyle name="Heading 2 2 2 4 2 3 8" xfId="33819"/>
    <cellStyle name="Heading 2 2 2 4 2 3 8 2" xfId="33820"/>
    <cellStyle name="Heading 2 2 2 4 2 3 9" xfId="33821"/>
    <cellStyle name="Heading 2 2 2 4 2 4" xfId="33822"/>
    <cellStyle name="Heading 2 2 2 4 2 4 2" xfId="33823"/>
    <cellStyle name="Heading 2 2 2 4 2 4 2 2" xfId="33824"/>
    <cellStyle name="Heading 2 2 2 4 2 4 2 2 2" xfId="33825"/>
    <cellStyle name="Heading 2 2 2 4 2 4 2 3" xfId="33826"/>
    <cellStyle name="Heading 2 2 2 4 2 4 3" xfId="33827"/>
    <cellStyle name="Heading 2 2 2 4 2 4 3 2" xfId="33828"/>
    <cellStyle name="Heading 2 2 2 4 2 4 3 2 2" xfId="33829"/>
    <cellStyle name="Heading 2 2 2 4 2 4 3 3" xfId="33830"/>
    <cellStyle name="Heading 2 2 2 4 2 4 4" xfId="33831"/>
    <cellStyle name="Heading 2 2 2 4 2 4 4 2" xfId="33832"/>
    <cellStyle name="Heading 2 2 2 4 2 4 4 2 2" xfId="33833"/>
    <cellStyle name="Heading 2 2 2 4 2 4 4 3" xfId="33834"/>
    <cellStyle name="Heading 2 2 2 4 2 4 5" xfId="33835"/>
    <cellStyle name="Heading 2 2 2 4 2 4 5 2" xfId="33836"/>
    <cellStyle name="Heading 2 2 2 4 2 4 5 2 2" xfId="33837"/>
    <cellStyle name="Heading 2 2 2 4 2 4 5 3" xfId="33838"/>
    <cellStyle name="Heading 2 2 2 4 2 4 6" xfId="33839"/>
    <cellStyle name="Heading 2 2 2 4 2 4 6 2" xfId="33840"/>
    <cellStyle name="Heading 2 2 2 4 2 4 6 2 2" xfId="33841"/>
    <cellStyle name="Heading 2 2 2 4 2 4 6 3" xfId="33842"/>
    <cellStyle name="Heading 2 2 2 4 2 4 7" xfId="33843"/>
    <cellStyle name="Heading 2 2 2 4 2 4 7 2" xfId="33844"/>
    <cellStyle name="Heading 2 2 2 4 2 4 7 2 2" xfId="33845"/>
    <cellStyle name="Heading 2 2 2 4 2 4 7 3" xfId="33846"/>
    <cellStyle name="Heading 2 2 2 4 2 4 8" xfId="33847"/>
    <cellStyle name="Heading 2 2 2 4 2 4 8 2" xfId="33848"/>
    <cellStyle name="Heading 2 2 2 4 2 4 9" xfId="33849"/>
    <cellStyle name="Heading 2 2 2 4 2 5" xfId="33850"/>
    <cellStyle name="Heading 2 2 2 4 2 5 2" xfId="33851"/>
    <cellStyle name="Heading 2 2 2 4 2 5 2 2" xfId="33852"/>
    <cellStyle name="Heading 2 2 2 4 2 5 2 2 2" xfId="33853"/>
    <cellStyle name="Heading 2 2 2 4 2 5 2 3" xfId="33854"/>
    <cellStyle name="Heading 2 2 2 4 2 5 3" xfId="33855"/>
    <cellStyle name="Heading 2 2 2 4 2 5 3 2" xfId="33856"/>
    <cellStyle name="Heading 2 2 2 4 2 5 3 2 2" xfId="33857"/>
    <cellStyle name="Heading 2 2 2 4 2 5 3 3" xfId="33858"/>
    <cellStyle name="Heading 2 2 2 4 2 5 4" xfId="33859"/>
    <cellStyle name="Heading 2 2 2 4 2 5 4 2" xfId="33860"/>
    <cellStyle name="Heading 2 2 2 4 2 5 4 2 2" xfId="33861"/>
    <cellStyle name="Heading 2 2 2 4 2 5 4 3" xfId="33862"/>
    <cellStyle name="Heading 2 2 2 4 2 5 5" xfId="33863"/>
    <cellStyle name="Heading 2 2 2 4 2 5 5 2" xfId="33864"/>
    <cellStyle name="Heading 2 2 2 4 2 5 5 2 2" xfId="33865"/>
    <cellStyle name="Heading 2 2 2 4 2 5 5 3" xfId="33866"/>
    <cellStyle name="Heading 2 2 2 4 2 5 6" xfId="33867"/>
    <cellStyle name="Heading 2 2 2 4 2 5 6 2" xfId="33868"/>
    <cellStyle name="Heading 2 2 2 4 2 5 6 2 2" xfId="33869"/>
    <cellStyle name="Heading 2 2 2 4 2 5 6 3" xfId="33870"/>
    <cellStyle name="Heading 2 2 2 4 2 5 7" xfId="33871"/>
    <cellStyle name="Heading 2 2 2 4 2 5 7 2" xfId="33872"/>
    <cellStyle name="Heading 2 2 2 4 2 5 7 2 2" xfId="33873"/>
    <cellStyle name="Heading 2 2 2 4 2 5 7 3" xfId="33874"/>
    <cellStyle name="Heading 2 2 2 4 2 5 8" xfId="33875"/>
    <cellStyle name="Heading 2 2 2 4 2 5 8 2" xfId="33876"/>
    <cellStyle name="Heading 2 2 2 4 2 5 9" xfId="33877"/>
    <cellStyle name="Heading 2 2 2 4 2 6" xfId="33878"/>
    <cellStyle name="Heading 2 2 2 4 2 6 2" xfId="33879"/>
    <cellStyle name="Heading 2 2 2 4 2 6 2 2" xfId="33880"/>
    <cellStyle name="Heading 2 2 2 4 2 6 2 2 2" xfId="33881"/>
    <cellStyle name="Heading 2 2 2 4 2 6 2 3" xfId="33882"/>
    <cellStyle name="Heading 2 2 2 4 2 6 3" xfId="33883"/>
    <cellStyle name="Heading 2 2 2 4 2 6 3 2" xfId="33884"/>
    <cellStyle name="Heading 2 2 2 4 2 6 3 2 2" xfId="33885"/>
    <cellStyle name="Heading 2 2 2 4 2 6 3 3" xfId="33886"/>
    <cellStyle name="Heading 2 2 2 4 2 6 4" xfId="33887"/>
    <cellStyle name="Heading 2 2 2 4 2 6 4 2" xfId="33888"/>
    <cellStyle name="Heading 2 2 2 4 2 6 4 2 2" xfId="33889"/>
    <cellStyle name="Heading 2 2 2 4 2 6 4 3" xfId="33890"/>
    <cellStyle name="Heading 2 2 2 4 2 6 5" xfId="33891"/>
    <cellStyle name="Heading 2 2 2 4 2 6 5 2" xfId="33892"/>
    <cellStyle name="Heading 2 2 2 4 2 6 5 2 2" xfId="33893"/>
    <cellStyle name="Heading 2 2 2 4 2 6 5 3" xfId="33894"/>
    <cellStyle name="Heading 2 2 2 4 2 6 6" xfId="33895"/>
    <cellStyle name="Heading 2 2 2 4 2 6 6 2" xfId="33896"/>
    <cellStyle name="Heading 2 2 2 4 2 6 6 2 2" xfId="33897"/>
    <cellStyle name="Heading 2 2 2 4 2 6 6 3" xfId="33898"/>
    <cellStyle name="Heading 2 2 2 4 2 6 7" xfId="33899"/>
    <cellStyle name="Heading 2 2 2 4 2 6 7 2" xfId="33900"/>
    <cellStyle name="Heading 2 2 2 4 2 6 7 2 2" xfId="33901"/>
    <cellStyle name="Heading 2 2 2 4 2 6 7 3" xfId="33902"/>
    <cellStyle name="Heading 2 2 2 4 2 6 8" xfId="33903"/>
    <cellStyle name="Heading 2 2 2 4 2 6 8 2" xfId="33904"/>
    <cellStyle name="Heading 2 2 2 4 2 6 9" xfId="33905"/>
    <cellStyle name="Heading 2 2 2 4 2 7" xfId="33906"/>
    <cellStyle name="Heading 2 2 2 4 2 7 2" xfId="33907"/>
    <cellStyle name="Heading 2 2 2 4 2 7 2 2" xfId="33908"/>
    <cellStyle name="Heading 2 2 2 4 2 7 2 2 2" xfId="33909"/>
    <cellStyle name="Heading 2 2 2 4 2 7 2 3" xfId="33910"/>
    <cellStyle name="Heading 2 2 2 4 2 7 3" xfId="33911"/>
    <cellStyle name="Heading 2 2 2 4 2 7 3 2" xfId="33912"/>
    <cellStyle name="Heading 2 2 2 4 2 7 3 2 2" xfId="33913"/>
    <cellStyle name="Heading 2 2 2 4 2 7 3 3" xfId="33914"/>
    <cellStyle name="Heading 2 2 2 4 2 7 4" xfId="33915"/>
    <cellStyle name="Heading 2 2 2 4 2 7 4 2" xfId="33916"/>
    <cellStyle name="Heading 2 2 2 4 2 7 4 2 2" xfId="33917"/>
    <cellStyle name="Heading 2 2 2 4 2 7 4 3" xfId="33918"/>
    <cellStyle name="Heading 2 2 2 4 2 7 5" xfId="33919"/>
    <cellStyle name="Heading 2 2 2 4 2 7 5 2" xfId="33920"/>
    <cellStyle name="Heading 2 2 2 4 2 7 5 2 2" xfId="33921"/>
    <cellStyle name="Heading 2 2 2 4 2 7 5 3" xfId="33922"/>
    <cellStyle name="Heading 2 2 2 4 2 7 6" xfId="33923"/>
    <cellStyle name="Heading 2 2 2 4 2 7 6 2" xfId="33924"/>
    <cellStyle name="Heading 2 2 2 4 2 7 6 2 2" xfId="33925"/>
    <cellStyle name="Heading 2 2 2 4 2 7 6 3" xfId="33926"/>
    <cellStyle name="Heading 2 2 2 4 2 7 7" xfId="33927"/>
    <cellStyle name="Heading 2 2 2 4 2 7 7 2" xfId="33928"/>
    <cellStyle name="Heading 2 2 2 4 2 7 7 2 2" xfId="33929"/>
    <cellStyle name="Heading 2 2 2 4 2 7 7 3" xfId="33930"/>
    <cellStyle name="Heading 2 2 2 4 2 7 8" xfId="33931"/>
    <cellStyle name="Heading 2 2 2 4 2 7 8 2" xfId="33932"/>
    <cellStyle name="Heading 2 2 2 4 2 7 9" xfId="33933"/>
    <cellStyle name="Heading 2 2 2 4 2 8" xfId="33934"/>
    <cellStyle name="Heading 2 2 2 4 2 8 2" xfId="33935"/>
    <cellStyle name="Heading 2 2 2 4 2 8 2 2" xfId="33936"/>
    <cellStyle name="Heading 2 2 2 4 2 8 2 2 2" xfId="33937"/>
    <cellStyle name="Heading 2 2 2 4 2 8 2 3" xfId="33938"/>
    <cellStyle name="Heading 2 2 2 4 2 8 3" xfId="33939"/>
    <cellStyle name="Heading 2 2 2 4 2 8 3 2" xfId="33940"/>
    <cellStyle name="Heading 2 2 2 4 2 8 3 2 2" xfId="33941"/>
    <cellStyle name="Heading 2 2 2 4 2 8 3 3" xfId="33942"/>
    <cellStyle name="Heading 2 2 2 4 2 8 4" xfId="33943"/>
    <cellStyle name="Heading 2 2 2 4 2 8 4 2" xfId="33944"/>
    <cellStyle name="Heading 2 2 2 4 2 8 4 2 2" xfId="33945"/>
    <cellStyle name="Heading 2 2 2 4 2 8 4 3" xfId="33946"/>
    <cellStyle name="Heading 2 2 2 4 2 8 5" xfId="33947"/>
    <cellStyle name="Heading 2 2 2 4 2 8 5 2" xfId="33948"/>
    <cellStyle name="Heading 2 2 2 4 2 8 5 2 2" xfId="33949"/>
    <cellStyle name="Heading 2 2 2 4 2 8 5 3" xfId="33950"/>
    <cellStyle name="Heading 2 2 2 4 2 8 6" xfId="33951"/>
    <cellStyle name="Heading 2 2 2 4 2 8 6 2" xfId="33952"/>
    <cellStyle name="Heading 2 2 2 4 2 8 6 2 2" xfId="33953"/>
    <cellStyle name="Heading 2 2 2 4 2 8 6 3" xfId="33954"/>
    <cellStyle name="Heading 2 2 2 4 2 8 7" xfId="33955"/>
    <cellStyle name="Heading 2 2 2 4 2 8 7 2" xfId="33956"/>
    <cellStyle name="Heading 2 2 2 4 2 8 7 2 2" xfId="33957"/>
    <cellStyle name="Heading 2 2 2 4 2 8 7 3" xfId="33958"/>
    <cellStyle name="Heading 2 2 2 4 2 8 8" xfId="33959"/>
    <cellStyle name="Heading 2 2 2 4 2 8 8 2" xfId="33960"/>
    <cellStyle name="Heading 2 2 2 4 2 8 9" xfId="33961"/>
    <cellStyle name="Heading 2 2 2 4 2 9" xfId="33962"/>
    <cellStyle name="Heading 2 2 2 4 2 9 2" xfId="33963"/>
    <cellStyle name="Heading 2 2 2 4 2 9 2 2" xfId="33964"/>
    <cellStyle name="Heading 2 2 2 4 2 9 2 2 2" xfId="33965"/>
    <cellStyle name="Heading 2 2 2 4 2 9 2 3" xfId="33966"/>
    <cellStyle name="Heading 2 2 2 4 2 9 3" xfId="33967"/>
    <cellStyle name="Heading 2 2 2 4 2 9 3 2" xfId="33968"/>
    <cellStyle name="Heading 2 2 2 4 2 9 3 2 2" xfId="33969"/>
    <cellStyle name="Heading 2 2 2 4 2 9 3 3" xfId="33970"/>
    <cellStyle name="Heading 2 2 2 4 2 9 4" xfId="33971"/>
    <cellStyle name="Heading 2 2 2 4 2 9 4 2" xfId="33972"/>
    <cellStyle name="Heading 2 2 2 4 2 9 4 2 2" xfId="33973"/>
    <cellStyle name="Heading 2 2 2 4 2 9 4 3" xfId="33974"/>
    <cellStyle name="Heading 2 2 2 4 2 9 5" xfId="33975"/>
    <cellStyle name="Heading 2 2 2 4 2 9 5 2" xfId="33976"/>
    <cellStyle name="Heading 2 2 2 4 2 9 5 2 2" xfId="33977"/>
    <cellStyle name="Heading 2 2 2 4 2 9 5 3" xfId="33978"/>
    <cellStyle name="Heading 2 2 2 4 2 9 6" xfId="33979"/>
    <cellStyle name="Heading 2 2 2 4 2 9 6 2" xfId="33980"/>
    <cellStyle name="Heading 2 2 2 4 2 9 6 2 2" xfId="33981"/>
    <cellStyle name="Heading 2 2 2 4 2 9 6 3" xfId="33982"/>
    <cellStyle name="Heading 2 2 2 4 2 9 7" xfId="33983"/>
    <cellStyle name="Heading 2 2 2 4 2 9 7 2" xfId="33984"/>
    <cellStyle name="Heading 2 2 2 4 2 9 7 2 2" xfId="33985"/>
    <cellStyle name="Heading 2 2 2 4 2 9 7 3" xfId="33986"/>
    <cellStyle name="Heading 2 2 2 4 2 9 8" xfId="33987"/>
    <cellStyle name="Heading 2 2 2 4 2 9 8 2" xfId="33988"/>
    <cellStyle name="Heading 2 2 2 4 2 9 9" xfId="33989"/>
    <cellStyle name="Heading 2 2 2 4 3" xfId="33990"/>
    <cellStyle name="Heading 2 2 2 4 3 10" xfId="33991"/>
    <cellStyle name="Heading 2 2 2 4 3 10 2" xfId="33992"/>
    <cellStyle name="Heading 2 2 2 4 3 10 2 2" xfId="33993"/>
    <cellStyle name="Heading 2 2 2 4 3 10 3" xfId="33994"/>
    <cellStyle name="Heading 2 2 2 4 3 11" xfId="33995"/>
    <cellStyle name="Heading 2 2 2 4 3 11 2" xfId="33996"/>
    <cellStyle name="Heading 2 2 2 4 3 11 2 2" xfId="33997"/>
    <cellStyle name="Heading 2 2 2 4 3 11 3" xfId="33998"/>
    <cellStyle name="Heading 2 2 2 4 3 12" xfId="33999"/>
    <cellStyle name="Heading 2 2 2 4 3 12 2" xfId="34000"/>
    <cellStyle name="Heading 2 2 2 4 3 12 2 2" xfId="34001"/>
    <cellStyle name="Heading 2 2 2 4 3 12 3" xfId="34002"/>
    <cellStyle name="Heading 2 2 2 4 3 13" xfId="34003"/>
    <cellStyle name="Heading 2 2 2 4 3 13 2" xfId="34004"/>
    <cellStyle name="Heading 2 2 2 4 3 13 2 2" xfId="34005"/>
    <cellStyle name="Heading 2 2 2 4 3 13 3" xfId="34006"/>
    <cellStyle name="Heading 2 2 2 4 3 14" xfId="34007"/>
    <cellStyle name="Heading 2 2 2 4 3 14 2" xfId="34008"/>
    <cellStyle name="Heading 2 2 2 4 3 14 2 2" xfId="34009"/>
    <cellStyle name="Heading 2 2 2 4 3 14 3" xfId="34010"/>
    <cellStyle name="Heading 2 2 2 4 3 15" xfId="34011"/>
    <cellStyle name="Heading 2 2 2 4 3 15 2" xfId="34012"/>
    <cellStyle name="Heading 2 2 2 4 3 15 2 2" xfId="34013"/>
    <cellStyle name="Heading 2 2 2 4 3 15 3" xfId="34014"/>
    <cellStyle name="Heading 2 2 2 4 3 16" xfId="34015"/>
    <cellStyle name="Heading 2 2 2 4 3 16 2" xfId="34016"/>
    <cellStyle name="Heading 2 2 2 4 3 16 2 2" xfId="34017"/>
    <cellStyle name="Heading 2 2 2 4 3 16 3" xfId="34018"/>
    <cellStyle name="Heading 2 2 2 4 3 17" xfId="34019"/>
    <cellStyle name="Heading 2 2 2 4 3 17 2" xfId="34020"/>
    <cellStyle name="Heading 2 2 2 4 3 17 2 2" xfId="34021"/>
    <cellStyle name="Heading 2 2 2 4 3 17 3" xfId="34022"/>
    <cellStyle name="Heading 2 2 2 4 3 18" xfId="34023"/>
    <cellStyle name="Heading 2 2 2 4 3 18 2" xfId="34024"/>
    <cellStyle name="Heading 2 2 2 4 3 18 2 2" xfId="34025"/>
    <cellStyle name="Heading 2 2 2 4 3 18 3" xfId="34026"/>
    <cellStyle name="Heading 2 2 2 4 3 19" xfId="34027"/>
    <cellStyle name="Heading 2 2 2 4 3 19 2" xfId="34028"/>
    <cellStyle name="Heading 2 2 2 4 3 2" xfId="34029"/>
    <cellStyle name="Heading 2 2 2 4 3 2 2" xfId="34030"/>
    <cellStyle name="Heading 2 2 2 4 3 2 2 2" xfId="34031"/>
    <cellStyle name="Heading 2 2 2 4 3 2 2 2 2" xfId="34032"/>
    <cellStyle name="Heading 2 2 2 4 3 2 2 3" xfId="34033"/>
    <cellStyle name="Heading 2 2 2 4 3 2 3" xfId="34034"/>
    <cellStyle name="Heading 2 2 2 4 3 2 3 2" xfId="34035"/>
    <cellStyle name="Heading 2 2 2 4 3 2 3 2 2" xfId="34036"/>
    <cellStyle name="Heading 2 2 2 4 3 2 3 3" xfId="34037"/>
    <cellStyle name="Heading 2 2 2 4 3 2 4" xfId="34038"/>
    <cellStyle name="Heading 2 2 2 4 3 2 4 2" xfId="34039"/>
    <cellStyle name="Heading 2 2 2 4 3 2 4 2 2" xfId="34040"/>
    <cellStyle name="Heading 2 2 2 4 3 2 4 3" xfId="34041"/>
    <cellStyle name="Heading 2 2 2 4 3 2 5" xfId="34042"/>
    <cellStyle name="Heading 2 2 2 4 3 2 5 2" xfId="34043"/>
    <cellStyle name="Heading 2 2 2 4 3 2 5 2 2" xfId="34044"/>
    <cellStyle name="Heading 2 2 2 4 3 2 5 3" xfId="34045"/>
    <cellStyle name="Heading 2 2 2 4 3 2 6" xfId="34046"/>
    <cellStyle name="Heading 2 2 2 4 3 2 6 2" xfId="34047"/>
    <cellStyle name="Heading 2 2 2 4 3 2 6 2 2" xfId="34048"/>
    <cellStyle name="Heading 2 2 2 4 3 2 6 3" xfId="34049"/>
    <cellStyle name="Heading 2 2 2 4 3 2 7" xfId="34050"/>
    <cellStyle name="Heading 2 2 2 4 3 2 7 2" xfId="34051"/>
    <cellStyle name="Heading 2 2 2 4 3 2 7 2 2" xfId="34052"/>
    <cellStyle name="Heading 2 2 2 4 3 2 7 3" xfId="34053"/>
    <cellStyle name="Heading 2 2 2 4 3 2 8" xfId="34054"/>
    <cellStyle name="Heading 2 2 2 4 3 2 8 2" xfId="34055"/>
    <cellStyle name="Heading 2 2 2 4 3 2 9" xfId="34056"/>
    <cellStyle name="Heading 2 2 2 4 3 20" xfId="34057"/>
    <cellStyle name="Heading 2 2 2 4 3 20 2" xfId="34058"/>
    <cellStyle name="Heading 2 2 2 4 3 21" xfId="34059"/>
    <cellStyle name="Heading 2 2 2 4 3 21 2" xfId="34060"/>
    <cellStyle name="Heading 2 2 2 4 3 22" xfId="34061"/>
    <cellStyle name="Heading 2 2 2 4 3 3" xfId="34062"/>
    <cellStyle name="Heading 2 2 2 4 3 3 2" xfId="34063"/>
    <cellStyle name="Heading 2 2 2 4 3 3 2 2" xfId="34064"/>
    <cellStyle name="Heading 2 2 2 4 3 3 2 2 2" xfId="34065"/>
    <cellStyle name="Heading 2 2 2 4 3 3 2 3" xfId="34066"/>
    <cellStyle name="Heading 2 2 2 4 3 3 3" xfId="34067"/>
    <cellStyle name="Heading 2 2 2 4 3 3 3 2" xfId="34068"/>
    <cellStyle name="Heading 2 2 2 4 3 3 3 2 2" xfId="34069"/>
    <cellStyle name="Heading 2 2 2 4 3 3 3 3" xfId="34070"/>
    <cellStyle name="Heading 2 2 2 4 3 3 4" xfId="34071"/>
    <cellStyle name="Heading 2 2 2 4 3 3 4 2" xfId="34072"/>
    <cellStyle name="Heading 2 2 2 4 3 3 4 2 2" xfId="34073"/>
    <cellStyle name="Heading 2 2 2 4 3 3 4 3" xfId="34074"/>
    <cellStyle name="Heading 2 2 2 4 3 3 5" xfId="34075"/>
    <cellStyle name="Heading 2 2 2 4 3 3 5 2" xfId="34076"/>
    <cellStyle name="Heading 2 2 2 4 3 3 5 2 2" xfId="34077"/>
    <cellStyle name="Heading 2 2 2 4 3 3 5 3" xfId="34078"/>
    <cellStyle name="Heading 2 2 2 4 3 3 6" xfId="34079"/>
    <cellStyle name="Heading 2 2 2 4 3 3 6 2" xfId="34080"/>
    <cellStyle name="Heading 2 2 2 4 3 3 6 2 2" xfId="34081"/>
    <cellStyle name="Heading 2 2 2 4 3 3 6 3" xfId="34082"/>
    <cellStyle name="Heading 2 2 2 4 3 3 7" xfId="34083"/>
    <cellStyle name="Heading 2 2 2 4 3 3 7 2" xfId="34084"/>
    <cellStyle name="Heading 2 2 2 4 3 3 7 2 2" xfId="34085"/>
    <cellStyle name="Heading 2 2 2 4 3 3 7 3" xfId="34086"/>
    <cellStyle name="Heading 2 2 2 4 3 3 8" xfId="34087"/>
    <cellStyle name="Heading 2 2 2 4 3 3 8 2" xfId="34088"/>
    <cellStyle name="Heading 2 2 2 4 3 3 9" xfId="34089"/>
    <cellStyle name="Heading 2 2 2 4 3 4" xfId="34090"/>
    <cellStyle name="Heading 2 2 2 4 3 4 2" xfId="34091"/>
    <cellStyle name="Heading 2 2 2 4 3 4 2 2" xfId="34092"/>
    <cellStyle name="Heading 2 2 2 4 3 4 2 2 2" xfId="34093"/>
    <cellStyle name="Heading 2 2 2 4 3 4 2 3" xfId="34094"/>
    <cellStyle name="Heading 2 2 2 4 3 4 3" xfId="34095"/>
    <cellStyle name="Heading 2 2 2 4 3 4 3 2" xfId="34096"/>
    <cellStyle name="Heading 2 2 2 4 3 4 3 2 2" xfId="34097"/>
    <cellStyle name="Heading 2 2 2 4 3 4 3 3" xfId="34098"/>
    <cellStyle name="Heading 2 2 2 4 3 4 4" xfId="34099"/>
    <cellStyle name="Heading 2 2 2 4 3 4 4 2" xfId="34100"/>
    <cellStyle name="Heading 2 2 2 4 3 4 4 2 2" xfId="34101"/>
    <cellStyle name="Heading 2 2 2 4 3 4 4 3" xfId="34102"/>
    <cellStyle name="Heading 2 2 2 4 3 4 5" xfId="34103"/>
    <cellStyle name="Heading 2 2 2 4 3 4 5 2" xfId="34104"/>
    <cellStyle name="Heading 2 2 2 4 3 4 5 2 2" xfId="34105"/>
    <cellStyle name="Heading 2 2 2 4 3 4 5 3" xfId="34106"/>
    <cellStyle name="Heading 2 2 2 4 3 4 6" xfId="34107"/>
    <cellStyle name="Heading 2 2 2 4 3 4 6 2" xfId="34108"/>
    <cellStyle name="Heading 2 2 2 4 3 4 6 2 2" xfId="34109"/>
    <cellStyle name="Heading 2 2 2 4 3 4 6 3" xfId="34110"/>
    <cellStyle name="Heading 2 2 2 4 3 4 7" xfId="34111"/>
    <cellStyle name="Heading 2 2 2 4 3 4 7 2" xfId="34112"/>
    <cellStyle name="Heading 2 2 2 4 3 4 7 2 2" xfId="34113"/>
    <cellStyle name="Heading 2 2 2 4 3 4 7 3" xfId="34114"/>
    <cellStyle name="Heading 2 2 2 4 3 4 8" xfId="34115"/>
    <cellStyle name="Heading 2 2 2 4 3 4 8 2" xfId="34116"/>
    <cellStyle name="Heading 2 2 2 4 3 4 9" xfId="34117"/>
    <cellStyle name="Heading 2 2 2 4 3 5" xfId="34118"/>
    <cellStyle name="Heading 2 2 2 4 3 5 2" xfId="34119"/>
    <cellStyle name="Heading 2 2 2 4 3 5 2 2" xfId="34120"/>
    <cellStyle name="Heading 2 2 2 4 3 5 2 2 2" xfId="34121"/>
    <cellStyle name="Heading 2 2 2 4 3 5 2 3" xfId="34122"/>
    <cellStyle name="Heading 2 2 2 4 3 5 3" xfId="34123"/>
    <cellStyle name="Heading 2 2 2 4 3 5 3 2" xfId="34124"/>
    <cellStyle name="Heading 2 2 2 4 3 5 3 2 2" xfId="34125"/>
    <cellStyle name="Heading 2 2 2 4 3 5 3 3" xfId="34126"/>
    <cellStyle name="Heading 2 2 2 4 3 5 4" xfId="34127"/>
    <cellStyle name="Heading 2 2 2 4 3 5 4 2" xfId="34128"/>
    <cellStyle name="Heading 2 2 2 4 3 5 4 2 2" xfId="34129"/>
    <cellStyle name="Heading 2 2 2 4 3 5 4 3" xfId="34130"/>
    <cellStyle name="Heading 2 2 2 4 3 5 5" xfId="34131"/>
    <cellStyle name="Heading 2 2 2 4 3 5 5 2" xfId="34132"/>
    <cellStyle name="Heading 2 2 2 4 3 5 5 2 2" xfId="34133"/>
    <cellStyle name="Heading 2 2 2 4 3 5 5 3" xfId="34134"/>
    <cellStyle name="Heading 2 2 2 4 3 5 6" xfId="34135"/>
    <cellStyle name="Heading 2 2 2 4 3 5 6 2" xfId="34136"/>
    <cellStyle name="Heading 2 2 2 4 3 5 6 2 2" xfId="34137"/>
    <cellStyle name="Heading 2 2 2 4 3 5 6 3" xfId="34138"/>
    <cellStyle name="Heading 2 2 2 4 3 5 7" xfId="34139"/>
    <cellStyle name="Heading 2 2 2 4 3 5 7 2" xfId="34140"/>
    <cellStyle name="Heading 2 2 2 4 3 5 7 2 2" xfId="34141"/>
    <cellStyle name="Heading 2 2 2 4 3 5 7 3" xfId="34142"/>
    <cellStyle name="Heading 2 2 2 4 3 5 8" xfId="34143"/>
    <cellStyle name="Heading 2 2 2 4 3 5 8 2" xfId="34144"/>
    <cellStyle name="Heading 2 2 2 4 3 5 9" xfId="34145"/>
    <cellStyle name="Heading 2 2 2 4 3 6" xfId="34146"/>
    <cellStyle name="Heading 2 2 2 4 3 6 2" xfId="34147"/>
    <cellStyle name="Heading 2 2 2 4 3 6 2 2" xfId="34148"/>
    <cellStyle name="Heading 2 2 2 4 3 6 2 2 2" xfId="34149"/>
    <cellStyle name="Heading 2 2 2 4 3 6 2 3" xfId="34150"/>
    <cellStyle name="Heading 2 2 2 4 3 6 3" xfId="34151"/>
    <cellStyle name="Heading 2 2 2 4 3 6 3 2" xfId="34152"/>
    <cellStyle name="Heading 2 2 2 4 3 6 3 2 2" xfId="34153"/>
    <cellStyle name="Heading 2 2 2 4 3 6 3 3" xfId="34154"/>
    <cellStyle name="Heading 2 2 2 4 3 6 4" xfId="34155"/>
    <cellStyle name="Heading 2 2 2 4 3 6 4 2" xfId="34156"/>
    <cellStyle name="Heading 2 2 2 4 3 6 4 2 2" xfId="34157"/>
    <cellStyle name="Heading 2 2 2 4 3 6 4 3" xfId="34158"/>
    <cellStyle name="Heading 2 2 2 4 3 6 5" xfId="34159"/>
    <cellStyle name="Heading 2 2 2 4 3 6 5 2" xfId="34160"/>
    <cellStyle name="Heading 2 2 2 4 3 6 5 2 2" xfId="34161"/>
    <cellStyle name="Heading 2 2 2 4 3 6 5 3" xfId="34162"/>
    <cellStyle name="Heading 2 2 2 4 3 6 6" xfId="34163"/>
    <cellStyle name="Heading 2 2 2 4 3 6 6 2" xfId="34164"/>
    <cellStyle name="Heading 2 2 2 4 3 6 6 2 2" xfId="34165"/>
    <cellStyle name="Heading 2 2 2 4 3 6 6 3" xfId="34166"/>
    <cellStyle name="Heading 2 2 2 4 3 6 7" xfId="34167"/>
    <cellStyle name="Heading 2 2 2 4 3 6 7 2" xfId="34168"/>
    <cellStyle name="Heading 2 2 2 4 3 6 7 2 2" xfId="34169"/>
    <cellStyle name="Heading 2 2 2 4 3 6 7 3" xfId="34170"/>
    <cellStyle name="Heading 2 2 2 4 3 6 8" xfId="34171"/>
    <cellStyle name="Heading 2 2 2 4 3 6 8 2" xfId="34172"/>
    <cellStyle name="Heading 2 2 2 4 3 6 9" xfId="34173"/>
    <cellStyle name="Heading 2 2 2 4 3 7" xfId="34174"/>
    <cellStyle name="Heading 2 2 2 4 3 7 2" xfId="34175"/>
    <cellStyle name="Heading 2 2 2 4 3 7 2 2" xfId="34176"/>
    <cellStyle name="Heading 2 2 2 4 3 7 2 2 2" xfId="34177"/>
    <cellStyle name="Heading 2 2 2 4 3 7 2 3" xfId="34178"/>
    <cellStyle name="Heading 2 2 2 4 3 7 3" xfId="34179"/>
    <cellStyle name="Heading 2 2 2 4 3 7 3 2" xfId="34180"/>
    <cellStyle name="Heading 2 2 2 4 3 7 3 2 2" xfId="34181"/>
    <cellStyle name="Heading 2 2 2 4 3 7 3 3" xfId="34182"/>
    <cellStyle name="Heading 2 2 2 4 3 7 4" xfId="34183"/>
    <cellStyle name="Heading 2 2 2 4 3 7 4 2" xfId="34184"/>
    <cellStyle name="Heading 2 2 2 4 3 7 4 2 2" xfId="34185"/>
    <cellStyle name="Heading 2 2 2 4 3 7 4 3" xfId="34186"/>
    <cellStyle name="Heading 2 2 2 4 3 7 5" xfId="34187"/>
    <cellStyle name="Heading 2 2 2 4 3 7 5 2" xfId="34188"/>
    <cellStyle name="Heading 2 2 2 4 3 7 5 2 2" xfId="34189"/>
    <cellStyle name="Heading 2 2 2 4 3 7 5 3" xfId="34190"/>
    <cellStyle name="Heading 2 2 2 4 3 7 6" xfId="34191"/>
    <cellStyle name="Heading 2 2 2 4 3 7 6 2" xfId="34192"/>
    <cellStyle name="Heading 2 2 2 4 3 7 6 2 2" xfId="34193"/>
    <cellStyle name="Heading 2 2 2 4 3 7 6 3" xfId="34194"/>
    <cellStyle name="Heading 2 2 2 4 3 7 7" xfId="34195"/>
    <cellStyle name="Heading 2 2 2 4 3 7 7 2" xfId="34196"/>
    <cellStyle name="Heading 2 2 2 4 3 7 7 2 2" xfId="34197"/>
    <cellStyle name="Heading 2 2 2 4 3 7 7 3" xfId="34198"/>
    <cellStyle name="Heading 2 2 2 4 3 7 8" xfId="34199"/>
    <cellStyle name="Heading 2 2 2 4 3 7 8 2" xfId="34200"/>
    <cellStyle name="Heading 2 2 2 4 3 7 9" xfId="34201"/>
    <cellStyle name="Heading 2 2 2 4 3 8" xfId="34202"/>
    <cellStyle name="Heading 2 2 2 4 3 8 2" xfId="34203"/>
    <cellStyle name="Heading 2 2 2 4 3 8 2 2" xfId="34204"/>
    <cellStyle name="Heading 2 2 2 4 3 8 2 2 2" xfId="34205"/>
    <cellStyle name="Heading 2 2 2 4 3 8 2 3" xfId="34206"/>
    <cellStyle name="Heading 2 2 2 4 3 8 3" xfId="34207"/>
    <cellStyle name="Heading 2 2 2 4 3 8 3 2" xfId="34208"/>
    <cellStyle name="Heading 2 2 2 4 3 8 3 2 2" xfId="34209"/>
    <cellStyle name="Heading 2 2 2 4 3 8 3 3" xfId="34210"/>
    <cellStyle name="Heading 2 2 2 4 3 8 4" xfId="34211"/>
    <cellStyle name="Heading 2 2 2 4 3 8 4 2" xfId="34212"/>
    <cellStyle name="Heading 2 2 2 4 3 8 4 2 2" xfId="34213"/>
    <cellStyle name="Heading 2 2 2 4 3 8 4 3" xfId="34214"/>
    <cellStyle name="Heading 2 2 2 4 3 8 5" xfId="34215"/>
    <cellStyle name="Heading 2 2 2 4 3 8 5 2" xfId="34216"/>
    <cellStyle name="Heading 2 2 2 4 3 8 5 2 2" xfId="34217"/>
    <cellStyle name="Heading 2 2 2 4 3 8 5 3" xfId="34218"/>
    <cellStyle name="Heading 2 2 2 4 3 8 6" xfId="34219"/>
    <cellStyle name="Heading 2 2 2 4 3 8 6 2" xfId="34220"/>
    <cellStyle name="Heading 2 2 2 4 3 8 6 2 2" xfId="34221"/>
    <cellStyle name="Heading 2 2 2 4 3 8 6 3" xfId="34222"/>
    <cellStyle name="Heading 2 2 2 4 3 8 7" xfId="34223"/>
    <cellStyle name="Heading 2 2 2 4 3 8 7 2" xfId="34224"/>
    <cellStyle name="Heading 2 2 2 4 3 8 7 2 2" xfId="34225"/>
    <cellStyle name="Heading 2 2 2 4 3 8 7 3" xfId="34226"/>
    <cellStyle name="Heading 2 2 2 4 3 8 8" xfId="34227"/>
    <cellStyle name="Heading 2 2 2 4 3 8 8 2" xfId="34228"/>
    <cellStyle name="Heading 2 2 2 4 3 8 9" xfId="34229"/>
    <cellStyle name="Heading 2 2 2 4 3 9" xfId="34230"/>
    <cellStyle name="Heading 2 2 2 4 3 9 2" xfId="34231"/>
    <cellStyle name="Heading 2 2 2 4 3 9 2 2" xfId="34232"/>
    <cellStyle name="Heading 2 2 2 4 3 9 3" xfId="34233"/>
    <cellStyle name="Heading 2 2 2 4 4" xfId="34234"/>
    <cellStyle name="Heading 2 2 2 4 4 2" xfId="34235"/>
    <cellStyle name="Heading 2 2 2 4 4 2 2" xfId="34236"/>
    <cellStyle name="Heading 2 2 2 4 4 3" xfId="34237"/>
    <cellStyle name="Heading 2 2 2 4 5" xfId="34238"/>
    <cellStyle name="Heading 2 2 2 4 5 2" xfId="34239"/>
    <cellStyle name="Heading 2 2 2 4 6" xfId="34240"/>
    <cellStyle name="Heading 2 2 2 5" xfId="34241"/>
    <cellStyle name="Heading 2 2 2 5 2" xfId="34242"/>
    <cellStyle name="Heading 2 2 2 5 2 10" xfId="34243"/>
    <cellStyle name="Heading 2 2 2 5 2 10 2" xfId="34244"/>
    <cellStyle name="Heading 2 2 2 5 2 10 2 2" xfId="34245"/>
    <cellStyle name="Heading 2 2 2 5 2 10 3" xfId="34246"/>
    <cellStyle name="Heading 2 2 2 5 2 11" xfId="34247"/>
    <cellStyle name="Heading 2 2 2 5 2 11 2" xfId="34248"/>
    <cellStyle name="Heading 2 2 2 5 2 11 2 2" xfId="34249"/>
    <cellStyle name="Heading 2 2 2 5 2 11 3" xfId="34250"/>
    <cellStyle name="Heading 2 2 2 5 2 12" xfId="34251"/>
    <cellStyle name="Heading 2 2 2 5 2 12 2" xfId="34252"/>
    <cellStyle name="Heading 2 2 2 5 2 12 2 2" xfId="34253"/>
    <cellStyle name="Heading 2 2 2 5 2 12 3" xfId="34254"/>
    <cellStyle name="Heading 2 2 2 5 2 13" xfId="34255"/>
    <cellStyle name="Heading 2 2 2 5 2 13 2" xfId="34256"/>
    <cellStyle name="Heading 2 2 2 5 2 13 2 2" xfId="34257"/>
    <cellStyle name="Heading 2 2 2 5 2 13 3" xfId="34258"/>
    <cellStyle name="Heading 2 2 2 5 2 14" xfId="34259"/>
    <cellStyle name="Heading 2 2 2 5 2 14 2" xfId="34260"/>
    <cellStyle name="Heading 2 2 2 5 2 14 2 2" xfId="34261"/>
    <cellStyle name="Heading 2 2 2 5 2 14 3" xfId="34262"/>
    <cellStyle name="Heading 2 2 2 5 2 15" xfId="34263"/>
    <cellStyle name="Heading 2 2 2 5 2 15 2" xfId="34264"/>
    <cellStyle name="Heading 2 2 2 5 2 15 2 2" xfId="34265"/>
    <cellStyle name="Heading 2 2 2 5 2 15 3" xfId="34266"/>
    <cellStyle name="Heading 2 2 2 5 2 16" xfId="34267"/>
    <cellStyle name="Heading 2 2 2 5 2 16 2" xfId="34268"/>
    <cellStyle name="Heading 2 2 2 5 2 16 2 2" xfId="34269"/>
    <cellStyle name="Heading 2 2 2 5 2 16 3" xfId="34270"/>
    <cellStyle name="Heading 2 2 2 5 2 17" xfId="34271"/>
    <cellStyle name="Heading 2 2 2 5 2 17 2" xfId="34272"/>
    <cellStyle name="Heading 2 2 2 5 2 17 2 2" xfId="34273"/>
    <cellStyle name="Heading 2 2 2 5 2 17 3" xfId="34274"/>
    <cellStyle name="Heading 2 2 2 5 2 18" xfId="34275"/>
    <cellStyle name="Heading 2 2 2 5 2 18 2" xfId="34276"/>
    <cellStyle name="Heading 2 2 2 5 2 18 2 2" xfId="34277"/>
    <cellStyle name="Heading 2 2 2 5 2 18 3" xfId="34278"/>
    <cellStyle name="Heading 2 2 2 5 2 19" xfId="34279"/>
    <cellStyle name="Heading 2 2 2 5 2 19 2" xfId="34280"/>
    <cellStyle name="Heading 2 2 2 5 2 19 2 2" xfId="34281"/>
    <cellStyle name="Heading 2 2 2 5 2 19 3" xfId="34282"/>
    <cellStyle name="Heading 2 2 2 5 2 2" xfId="34283"/>
    <cellStyle name="Heading 2 2 2 5 2 2 10" xfId="34284"/>
    <cellStyle name="Heading 2 2 2 5 2 2 10 2" xfId="34285"/>
    <cellStyle name="Heading 2 2 2 5 2 2 10 2 2" xfId="34286"/>
    <cellStyle name="Heading 2 2 2 5 2 2 10 3" xfId="34287"/>
    <cellStyle name="Heading 2 2 2 5 2 2 11" xfId="34288"/>
    <cellStyle name="Heading 2 2 2 5 2 2 11 2" xfId="34289"/>
    <cellStyle name="Heading 2 2 2 5 2 2 11 2 2" xfId="34290"/>
    <cellStyle name="Heading 2 2 2 5 2 2 11 3" xfId="34291"/>
    <cellStyle name="Heading 2 2 2 5 2 2 12" xfId="34292"/>
    <cellStyle name="Heading 2 2 2 5 2 2 12 2" xfId="34293"/>
    <cellStyle name="Heading 2 2 2 5 2 2 12 2 2" xfId="34294"/>
    <cellStyle name="Heading 2 2 2 5 2 2 12 3" xfId="34295"/>
    <cellStyle name="Heading 2 2 2 5 2 2 13" xfId="34296"/>
    <cellStyle name="Heading 2 2 2 5 2 2 13 2" xfId="34297"/>
    <cellStyle name="Heading 2 2 2 5 2 2 13 2 2" xfId="34298"/>
    <cellStyle name="Heading 2 2 2 5 2 2 13 3" xfId="34299"/>
    <cellStyle name="Heading 2 2 2 5 2 2 14" xfId="34300"/>
    <cellStyle name="Heading 2 2 2 5 2 2 14 2" xfId="34301"/>
    <cellStyle name="Heading 2 2 2 5 2 2 14 2 2" xfId="34302"/>
    <cellStyle name="Heading 2 2 2 5 2 2 14 3" xfId="34303"/>
    <cellStyle name="Heading 2 2 2 5 2 2 15" xfId="34304"/>
    <cellStyle name="Heading 2 2 2 5 2 2 15 2" xfId="34305"/>
    <cellStyle name="Heading 2 2 2 5 2 2 15 2 2" xfId="34306"/>
    <cellStyle name="Heading 2 2 2 5 2 2 15 3" xfId="34307"/>
    <cellStyle name="Heading 2 2 2 5 2 2 16" xfId="34308"/>
    <cellStyle name="Heading 2 2 2 5 2 2 16 2" xfId="34309"/>
    <cellStyle name="Heading 2 2 2 5 2 2 16 2 2" xfId="34310"/>
    <cellStyle name="Heading 2 2 2 5 2 2 16 3" xfId="34311"/>
    <cellStyle name="Heading 2 2 2 5 2 2 17" xfId="34312"/>
    <cellStyle name="Heading 2 2 2 5 2 2 17 2" xfId="34313"/>
    <cellStyle name="Heading 2 2 2 5 2 2 17 2 2" xfId="34314"/>
    <cellStyle name="Heading 2 2 2 5 2 2 17 3" xfId="34315"/>
    <cellStyle name="Heading 2 2 2 5 2 2 18" xfId="34316"/>
    <cellStyle name="Heading 2 2 2 5 2 2 18 2" xfId="34317"/>
    <cellStyle name="Heading 2 2 2 5 2 2 18 2 2" xfId="34318"/>
    <cellStyle name="Heading 2 2 2 5 2 2 18 3" xfId="34319"/>
    <cellStyle name="Heading 2 2 2 5 2 2 19" xfId="34320"/>
    <cellStyle name="Heading 2 2 2 5 2 2 19 2" xfId="34321"/>
    <cellStyle name="Heading 2 2 2 5 2 2 2" xfId="34322"/>
    <cellStyle name="Heading 2 2 2 5 2 2 2 2" xfId="34323"/>
    <cellStyle name="Heading 2 2 2 5 2 2 2 2 2" xfId="34324"/>
    <cellStyle name="Heading 2 2 2 5 2 2 2 2 2 2" xfId="34325"/>
    <cellStyle name="Heading 2 2 2 5 2 2 2 2 3" xfId="34326"/>
    <cellStyle name="Heading 2 2 2 5 2 2 2 3" xfId="34327"/>
    <cellStyle name="Heading 2 2 2 5 2 2 2 3 2" xfId="34328"/>
    <cellStyle name="Heading 2 2 2 5 2 2 2 3 2 2" xfId="34329"/>
    <cellStyle name="Heading 2 2 2 5 2 2 2 3 3" xfId="34330"/>
    <cellStyle name="Heading 2 2 2 5 2 2 2 4" xfId="34331"/>
    <cellStyle name="Heading 2 2 2 5 2 2 2 4 2" xfId="34332"/>
    <cellStyle name="Heading 2 2 2 5 2 2 2 4 2 2" xfId="34333"/>
    <cellStyle name="Heading 2 2 2 5 2 2 2 4 3" xfId="34334"/>
    <cellStyle name="Heading 2 2 2 5 2 2 2 5" xfId="34335"/>
    <cellStyle name="Heading 2 2 2 5 2 2 2 5 2" xfId="34336"/>
    <cellStyle name="Heading 2 2 2 5 2 2 2 5 2 2" xfId="34337"/>
    <cellStyle name="Heading 2 2 2 5 2 2 2 5 3" xfId="34338"/>
    <cellStyle name="Heading 2 2 2 5 2 2 2 6" xfId="34339"/>
    <cellStyle name="Heading 2 2 2 5 2 2 2 6 2" xfId="34340"/>
    <cellStyle name="Heading 2 2 2 5 2 2 2 6 2 2" xfId="34341"/>
    <cellStyle name="Heading 2 2 2 5 2 2 2 6 3" xfId="34342"/>
    <cellStyle name="Heading 2 2 2 5 2 2 2 7" xfId="34343"/>
    <cellStyle name="Heading 2 2 2 5 2 2 2 7 2" xfId="34344"/>
    <cellStyle name="Heading 2 2 2 5 2 2 2 7 2 2" xfId="34345"/>
    <cellStyle name="Heading 2 2 2 5 2 2 2 7 3" xfId="34346"/>
    <cellStyle name="Heading 2 2 2 5 2 2 2 8" xfId="34347"/>
    <cellStyle name="Heading 2 2 2 5 2 2 2 8 2" xfId="34348"/>
    <cellStyle name="Heading 2 2 2 5 2 2 2 9" xfId="34349"/>
    <cellStyle name="Heading 2 2 2 5 2 2 20" xfId="34350"/>
    <cellStyle name="Heading 2 2 2 5 2 2 20 2" xfId="34351"/>
    <cellStyle name="Heading 2 2 2 5 2 2 21" xfId="34352"/>
    <cellStyle name="Heading 2 2 2 5 2 2 21 2" xfId="34353"/>
    <cellStyle name="Heading 2 2 2 5 2 2 22" xfId="34354"/>
    <cellStyle name="Heading 2 2 2 5 2 2 3" xfId="34355"/>
    <cellStyle name="Heading 2 2 2 5 2 2 3 2" xfId="34356"/>
    <cellStyle name="Heading 2 2 2 5 2 2 3 2 2" xfId="34357"/>
    <cellStyle name="Heading 2 2 2 5 2 2 3 2 2 2" xfId="34358"/>
    <cellStyle name="Heading 2 2 2 5 2 2 3 2 3" xfId="34359"/>
    <cellStyle name="Heading 2 2 2 5 2 2 3 3" xfId="34360"/>
    <cellStyle name="Heading 2 2 2 5 2 2 3 3 2" xfId="34361"/>
    <cellStyle name="Heading 2 2 2 5 2 2 3 3 2 2" xfId="34362"/>
    <cellStyle name="Heading 2 2 2 5 2 2 3 3 3" xfId="34363"/>
    <cellStyle name="Heading 2 2 2 5 2 2 3 4" xfId="34364"/>
    <cellStyle name="Heading 2 2 2 5 2 2 3 4 2" xfId="34365"/>
    <cellStyle name="Heading 2 2 2 5 2 2 3 4 2 2" xfId="34366"/>
    <cellStyle name="Heading 2 2 2 5 2 2 3 4 3" xfId="34367"/>
    <cellStyle name="Heading 2 2 2 5 2 2 3 5" xfId="34368"/>
    <cellStyle name="Heading 2 2 2 5 2 2 3 5 2" xfId="34369"/>
    <cellStyle name="Heading 2 2 2 5 2 2 3 5 2 2" xfId="34370"/>
    <cellStyle name="Heading 2 2 2 5 2 2 3 5 3" xfId="34371"/>
    <cellStyle name="Heading 2 2 2 5 2 2 3 6" xfId="34372"/>
    <cellStyle name="Heading 2 2 2 5 2 2 3 6 2" xfId="34373"/>
    <cellStyle name="Heading 2 2 2 5 2 2 3 6 2 2" xfId="34374"/>
    <cellStyle name="Heading 2 2 2 5 2 2 3 6 3" xfId="34375"/>
    <cellStyle name="Heading 2 2 2 5 2 2 3 7" xfId="34376"/>
    <cellStyle name="Heading 2 2 2 5 2 2 3 7 2" xfId="34377"/>
    <cellStyle name="Heading 2 2 2 5 2 2 3 7 2 2" xfId="34378"/>
    <cellStyle name="Heading 2 2 2 5 2 2 3 7 3" xfId="34379"/>
    <cellStyle name="Heading 2 2 2 5 2 2 3 8" xfId="34380"/>
    <cellStyle name="Heading 2 2 2 5 2 2 3 8 2" xfId="34381"/>
    <cellStyle name="Heading 2 2 2 5 2 2 3 9" xfId="34382"/>
    <cellStyle name="Heading 2 2 2 5 2 2 4" xfId="34383"/>
    <cellStyle name="Heading 2 2 2 5 2 2 4 2" xfId="34384"/>
    <cellStyle name="Heading 2 2 2 5 2 2 4 2 2" xfId="34385"/>
    <cellStyle name="Heading 2 2 2 5 2 2 4 2 2 2" xfId="34386"/>
    <cellStyle name="Heading 2 2 2 5 2 2 4 2 3" xfId="34387"/>
    <cellStyle name="Heading 2 2 2 5 2 2 4 3" xfId="34388"/>
    <cellStyle name="Heading 2 2 2 5 2 2 4 3 2" xfId="34389"/>
    <cellStyle name="Heading 2 2 2 5 2 2 4 3 2 2" xfId="34390"/>
    <cellStyle name="Heading 2 2 2 5 2 2 4 3 3" xfId="34391"/>
    <cellStyle name="Heading 2 2 2 5 2 2 4 4" xfId="34392"/>
    <cellStyle name="Heading 2 2 2 5 2 2 4 4 2" xfId="34393"/>
    <cellStyle name="Heading 2 2 2 5 2 2 4 4 2 2" xfId="34394"/>
    <cellStyle name="Heading 2 2 2 5 2 2 4 4 3" xfId="34395"/>
    <cellStyle name="Heading 2 2 2 5 2 2 4 5" xfId="34396"/>
    <cellStyle name="Heading 2 2 2 5 2 2 4 5 2" xfId="34397"/>
    <cellStyle name="Heading 2 2 2 5 2 2 4 5 2 2" xfId="34398"/>
    <cellStyle name="Heading 2 2 2 5 2 2 4 5 3" xfId="34399"/>
    <cellStyle name="Heading 2 2 2 5 2 2 4 6" xfId="34400"/>
    <cellStyle name="Heading 2 2 2 5 2 2 4 6 2" xfId="34401"/>
    <cellStyle name="Heading 2 2 2 5 2 2 4 6 2 2" xfId="34402"/>
    <cellStyle name="Heading 2 2 2 5 2 2 4 6 3" xfId="34403"/>
    <cellStyle name="Heading 2 2 2 5 2 2 4 7" xfId="34404"/>
    <cellStyle name="Heading 2 2 2 5 2 2 4 7 2" xfId="34405"/>
    <cellStyle name="Heading 2 2 2 5 2 2 4 7 2 2" xfId="34406"/>
    <cellStyle name="Heading 2 2 2 5 2 2 4 7 3" xfId="34407"/>
    <cellStyle name="Heading 2 2 2 5 2 2 4 8" xfId="34408"/>
    <cellStyle name="Heading 2 2 2 5 2 2 4 8 2" xfId="34409"/>
    <cellStyle name="Heading 2 2 2 5 2 2 4 9" xfId="34410"/>
    <cellStyle name="Heading 2 2 2 5 2 2 5" xfId="34411"/>
    <cellStyle name="Heading 2 2 2 5 2 2 5 2" xfId="34412"/>
    <cellStyle name="Heading 2 2 2 5 2 2 5 2 2" xfId="34413"/>
    <cellStyle name="Heading 2 2 2 5 2 2 5 2 2 2" xfId="34414"/>
    <cellStyle name="Heading 2 2 2 5 2 2 5 2 3" xfId="34415"/>
    <cellStyle name="Heading 2 2 2 5 2 2 5 3" xfId="34416"/>
    <cellStyle name="Heading 2 2 2 5 2 2 5 3 2" xfId="34417"/>
    <cellStyle name="Heading 2 2 2 5 2 2 5 3 2 2" xfId="34418"/>
    <cellStyle name="Heading 2 2 2 5 2 2 5 3 3" xfId="34419"/>
    <cellStyle name="Heading 2 2 2 5 2 2 5 4" xfId="34420"/>
    <cellStyle name="Heading 2 2 2 5 2 2 5 4 2" xfId="34421"/>
    <cellStyle name="Heading 2 2 2 5 2 2 5 4 2 2" xfId="34422"/>
    <cellStyle name="Heading 2 2 2 5 2 2 5 4 3" xfId="34423"/>
    <cellStyle name="Heading 2 2 2 5 2 2 5 5" xfId="34424"/>
    <cellStyle name="Heading 2 2 2 5 2 2 5 5 2" xfId="34425"/>
    <cellStyle name="Heading 2 2 2 5 2 2 5 5 2 2" xfId="34426"/>
    <cellStyle name="Heading 2 2 2 5 2 2 5 5 3" xfId="34427"/>
    <cellStyle name="Heading 2 2 2 5 2 2 5 6" xfId="34428"/>
    <cellStyle name="Heading 2 2 2 5 2 2 5 6 2" xfId="34429"/>
    <cellStyle name="Heading 2 2 2 5 2 2 5 6 2 2" xfId="34430"/>
    <cellStyle name="Heading 2 2 2 5 2 2 5 6 3" xfId="34431"/>
    <cellStyle name="Heading 2 2 2 5 2 2 5 7" xfId="34432"/>
    <cellStyle name="Heading 2 2 2 5 2 2 5 7 2" xfId="34433"/>
    <cellStyle name="Heading 2 2 2 5 2 2 5 7 2 2" xfId="34434"/>
    <cellStyle name="Heading 2 2 2 5 2 2 5 7 3" xfId="34435"/>
    <cellStyle name="Heading 2 2 2 5 2 2 5 8" xfId="34436"/>
    <cellStyle name="Heading 2 2 2 5 2 2 5 8 2" xfId="34437"/>
    <cellStyle name="Heading 2 2 2 5 2 2 5 9" xfId="34438"/>
    <cellStyle name="Heading 2 2 2 5 2 2 6" xfId="34439"/>
    <cellStyle name="Heading 2 2 2 5 2 2 6 2" xfId="34440"/>
    <cellStyle name="Heading 2 2 2 5 2 2 6 2 2" xfId="34441"/>
    <cellStyle name="Heading 2 2 2 5 2 2 6 2 2 2" xfId="34442"/>
    <cellStyle name="Heading 2 2 2 5 2 2 6 2 3" xfId="34443"/>
    <cellStyle name="Heading 2 2 2 5 2 2 6 3" xfId="34444"/>
    <cellStyle name="Heading 2 2 2 5 2 2 6 3 2" xfId="34445"/>
    <cellStyle name="Heading 2 2 2 5 2 2 6 3 2 2" xfId="34446"/>
    <cellStyle name="Heading 2 2 2 5 2 2 6 3 3" xfId="34447"/>
    <cellStyle name="Heading 2 2 2 5 2 2 6 4" xfId="34448"/>
    <cellStyle name="Heading 2 2 2 5 2 2 6 4 2" xfId="34449"/>
    <cellStyle name="Heading 2 2 2 5 2 2 6 4 2 2" xfId="34450"/>
    <cellStyle name="Heading 2 2 2 5 2 2 6 4 3" xfId="34451"/>
    <cellStyle name="Heading 2 2 2 5 2 2 6 5" xfId="34452"/>
    <cellStyle name="Heading 2 2 2 5 2 2 6 5 2" xfId="34453"/>
    <cellStyle name="Heading 2 2 2 5 2 2 6 5 2 2" xfId="34454"/>
    <cellStyle name="Heading 2 2 2 5 2 2 6 5 3" xfId="34455"/>
    <cellStyle name="Heading 2 2 2 5 2 2 6 6" xfId="34456"/>
    <cellStyle name="Heading 2 2 2 5 2 2 6 6 2" xfId="34457"/>
    <cellStyle name="Heading 2 2 2 5 2 2 6 6 2 2" xfId="34458"/>
    <cellStyle name="Heading 2 2 2 5 2 2 6 6 3" xfId="34459"/>
    <cellStyle name="Heading 2 2 2 5 2 2 6 7" xfId="34460"/>
    <cellStyle name="Heading 2 2 2 5 2 2 6 7 2" xfId="34461"/>
    <cellStyle name="Heading 2 2 2 5 2 2 6 7 2 2" xfId="34462"/>
    <cellStyle name="Heading 2 2 2 5 2 2 6 7 3" xfId="34463"/>
    <cellStyle name="Heading 2 2 2 5 2 2 6 8" xfId="34464"/>
    <cellStyle name="Heading 2 2 2 5 2 2 6 8 2" xfId="34465"/>
    <cellStyle name="Heading 2 2 2 5 2 2 6 9" xfId="34466"/>
    <cellStyle name="Heading 2 2 2 5 2 2 7" xfId="34467"/>
    <cellStyle name="Heading 2 2 2 5 2 2 7 2" xfId="34468"/>
    <cellStyle name="Heading 2 2 2 5 2 2 7 2 2" xfId="34469"/>
    <cellStyle name="Heading 2 2 2 5 2 2 7 2 2 2" xfId="34470"/>
    <cellStyle name="Heading 2 2 2 5 2 2 7 2 3" xfId="34471"/>
    <cellStyle name="Heading 2 2 2 5 2 2 7 3" xfId="34472"/>
    <cellStyle name="Heading 2 2 2 5 2 2 7 3 2" xfId="34473"/>
    <cellStyle name="Heading 2 2 2 5 2 2 7 3 2 2" xfId="34474"/>
    <cellStyle name="Heading 2 2 2 5 2 2 7 3 3" xfId="34475"/>
    <cellStyle name="Heading 2 2 2 5 2 2 7 4" xfId="34476"/>
    <cellStyle name="Heading 2 2 2 5 2 2 7 4 2" xfId="34477"/>
    <cellStyle name="Heading 2 2 2 5 2 2 7 4 2 2" xfId="34478"/>
    <cellStyle name="Heading 2 2 2 5 2 2 7 4 3" xfId="34479"/>
    <cellStyle name="Heading 2 2 2 5 2 2 7 5" xfId="34480"/>
    <cellStyle name="Heading 2 2 2 5 2 2 7 5 2" xfId="34481"/>
    <cellStyle name="Heading 2 2 2 5 2 2 7 5 2 2" xfId="34482"/>
    <cellStyle name="Heading 2 2 2 5 2 2 7 5 3" xfId="34483"/>
    <cellStyle name="Heading 2 2 2 5 2 2 7 6" xfId="34484"/>
    <cellStyle name="Heading 2 2 2 5 2 2 7 6 2" xfId="34485"/>
    <cellStyle name="Heading 2 2 2 5 2 2 7 6 2 2" xfId="34486"/>
    <cellStyle name="Heading 2 2 2 5 2 2 7 6 3" xfId="34487"/>
    <cellStyle name="Heading 2 2 2 5 2 2 7 7" xfId="34488"/>
    <cellStyle name="Heading 2 2 2 5 2 2 7 7 2" xfId="34489"/>
    <cellStyle name="Heading 2 2 2 5 2 2 7 7 2 2" xfId="34490"/>
    <cellStyle name="Heading 2 2 2 5 2 2 7 7 3" xfId="34491"/>
    <cellStyle name="Heading 2 2 2 5 2 2 7 8" xfId="34492"/>
    <cellStyle name="Heading 2 2 2 5 2 2 7 8 2" xfId="34493"/>
    <cellStyle name="Heading 2 2 2 5 2 2 7 9" xfId="34494"/>
    <cellStyle name="Heading 2 2 2 5 2 2 8" xfId="34495"/>
    <cellStyle name="Heading 2 2 2 5 2 2 8 2" xfId="34496"/>
    <cellStyle name="Heading 2 2 2 5 2 2 8 2 2" xfId="34497"/>
    <cellStyle name="Heading 2 2 2 5 2 2 8 2 2 2" xfId="34498"/>
    <cellStyle name="Heading 2 2 2 5 2 2 8 2 3" xfId="34499"/>
    <cellStyle name="Heading 2 2 2 5 2 2 8 3" xfId="34500"/>
    <cellStyle name="Heading 2 2 2 5 2 2 8 3 2" xfId="34501"/>
    <cellStyle name="Heading 2 2 2 5 2 2 8 3 2 2" xfId="34502"/>
    <cellStyle name="Heading 2 2 2 5 2 2 8 3 3" xfId="34503"/>
    <cellStyle name="Heading 2 2 2 5 2 2 8 4" xfId="34504"/>
    <cellStyle name="Heading 2 2 2 5 2 2 8 4 2" xfId="34505"/>
    <cellStyle name="Heading 2 2 2 5 2 2 8 4 2 2" xfId="34506"/>
    <cellStyle name="Heading 2 2 2 5 2 2 8 4 3" xfId="34507"/>
    <cellStyle name="Heading 2 2 2 5 2 2 8 5" xfId="34508"/>
    <cellStyle name="Heading 2 2 2 5 2 2 8 5 2" xfId="34509"/>
    <cellStyle name="Heading 2 2 2 5 2 2 8 5 2 2" xfId="34510"/>
    <cellStyle name="Heading 2 2 2 5 2 2 8 5 3" xfId="34511"/>
    <cellStyle name="Heading 2 2 2 5 2 2 8 6" xfId="34512"/>
    <cellStyle name="Heading 2 2 2 5 2 2 8 6 2" xfId="34513"/>
    <cellStyle name="Heading 2 2 2 5 2 2 8 6 2 2" xfId="34514"/>
    <cellStyle name="Heading 2 2 2 5 2 2 8 6 3" xfId="34515"/>
    <cellStyle name="Heading 2 2 2 5 2 2 8 7" xfId="34516"/>
    <cellStyle name="Heading 2 2 2 5 2 2 8 7 2" xfId="34517"/>
    <cellStyle name="Heading 2 2 2 5 2 2 8 7 2 2" xfId="34518"/>
    <cellStyle name="Heading 2 2 2 5 2 2 8 7 3" xfId="34519"/>
    <cellStyle name="Heading 2 2 2 5 2 2 8 8" xfId="34520"/>
    <cellStyle name="Heading 2 2 2 5 2 2 8 8 2" xfId="34521"/>
    <cellStyle name="Heading 2 2 2 5 2 2 8 9" xfId="34522"/>
    <cellStyle name="Heading 2 2 2 5 2 2 9" xfId="34523"/>
    <cellStyle name="Heading 2 2 2 5 2 2 9 2" xfId="34524"/>
    <cellStyle name="Heading 2 2 2 5 2 2 9 2 2" xfId="34525"/>
    <cellStyle name="Heading 2 2 2 5 2 2 9 3" xfId="34526"/>
    <cellStyle name="Heading 2 2 2 5 2 20" xfId="34527"/>
    <cellStyle name="Heading 2 2 2 5 2 20 2" xfId="34528"/>
    <cellStyle name="Heading 2 2 2 5 2 21" xfId="34529"/>
    <cellStyle name="Heading 2 2 2 5 2 21 2" xfId="34530"/>
    <cellStyle name="Heading 2 2 2 5 2 22" xfId="34531"/>
    <cellStyle name="Heading 2 2 2 5 2 22 2" xfId="34532"/>
    <cellStyle name="Heading 2 2 2 5 2 23" xfId="34533"/>
    <cellStyle name="Heading 2 2 2 5 2 3" xfId="34534"/>
    <cellStyle name="Heading 2 2 2 5 2 3 2" xfId="34535"/>
    <cellStyle name="Heading 2 2 2 5 2 3 2 2" xfId="34536"/>
    <cellStyle name="Heading 2 2 2 5 2 3 2 2 2" xfId="34537"/>
    <cellStyle name="Heading 2 2 2 5 2 3 2 3" xfId="34538"/>
    <cellStyle name="Heading 2 2 2 5 2 3 3" xfId="34539"/>
    <cellStyle name="Heading 2 2 2 5 2 3 3 2" xfId="34540"/>
    <cellStyle name="Heading 2 2 2 5 2 3 3 2 2" xfId="34541"/>
    <cellStyle name="Heading 2 2 2 5 2 3 3 3" xfId="34542"/>
    <cellStyle name="Heading 2 2 2 5 2 3 4" xfId="34543"/>
    <cellStyle name="Heading 2 2 2 5 2 3 4 2" xfId="34544"/>
    <cellStyle name="Heading 2 2 2 5 2 3 4 2 2" xfId="34545"/>
    <cellStyle name="Heading 2 2 2 5 2 3 4 3" xfId="34546"/>
    <cellStyle name="Heading 2 2 2 5 2 3 5" xfId="34547"/>
    <cellStyle name="Heading 2 2 2 5 2 3 5 2" xfId="34548"/>
    <cellStyle name="Heading 2 2 2 5 2 3 5 2 2" xfId="34549"/>
    <cellStyle name="Heading 2 2 2 5 2 3 5 3" xfId="34550"/>
    <cellStyle name="Heading 2 2 2 5 2 3 6" xfId="34551"/>
    <cellStyle name="Heading 2 2 2 5 2 3 6 2" xfId="34552"/>
    <cellStyle name="Heading 2 2 2 5 2 3 6 2 2" xfId="34553"/>
    <cellStyle name="Heading 2 2 2 5 2 3 6 3" xfId="34554"/>
    <cellStyle name="Heading 2 2 2 5 2 3 7" xfId="34555"/>
    <cellStyle name="Heading 2 2 2 5 2 3 7 2" xfId="34556"/>
    <cellStyle name="Heading 2 2 2 5 2 3 7 2 2" xfId="34557"/>
    <cellStyle name="Heading 2 2 2 5 2 3 7 3" xfId="34558"/>
    <cellStyle name="Heading 2 2 2 5 2 3 8" xfId="34559"/>
    <cellStyle name="Heading 2 2 2 5 2 3 8 2" xfId="34560"/>
    <cellStyle name="Heading 2 2 2 5 2 3 9" xfId="34561"/>
    <cellStyle name="Heading 2 2 2 5 2 4" xfId="34562"/>
    <cellStyle name="Heading 2 2 2 5 2 4 2" xfId="34563"/>
    <cellStyle name="Heading 2 2 2 5 2 4 2 2" xfId="34564"/>
    <cellStyle name="Heading 2 2 2 5 2 4 2 2 2" xfId="34565"/>
    <cellStyle name="Heading 2 2 2 5 2 4 2 3" xfId="34566"/>
    <cellStyle name="Heading 2 2 2 5 2 4 3" xfId="34567"/>
    <cellStyle name="Heading 2 2 2 5 2 4 3 2" xfId="34568"/>
    <cellStyle name="Heading 2 2 2 5 2 4 3 2 2" xfId="34569"/>
    <cellStyle name="Heading 2 2 2 5 2 4 3 3" xfId="34570"/>
    <cellStyle name="Heading 2 2 2 5 2 4 4" xfId="34571"/>
    <cellStyle name="Heading 2 2 2 5 2 4 4 2" xfId="34572"/>
    <cellStyle name="Heading 2 2 2 5 2 4 4 2 2" xfId="34573"/>
    <cellStyle name="Heading 2 2 2 5 2 4 4 3" xfId="34574"/>
    <cellStyle name="Heading 2 2 2 5 2 4 5" xfId="34575"/>
    <cellStyle name="Heading 2 2 2 5 2 4 5 2" xfId="34576"/>
    <cellStyle name="Heading 2 2 2 5 2 4 5 2 2" xfId="34577"/>
    <cellStyle name="Heading 2 2 2 5 2 4 5 3" xfId="34578"/>
    <cellStyle name="Heading 2 2 2 5 2 4 6" xfId="34579"/>
    <cellStyle name="Heading 2 2 2 5 2 4 6 2" xfId="34580"/>
    <cellStyle name="Heading 2 2 2 5 2 4 6 2 2" xfId="34581"/>
    <cellStyle name="Heading 2 2 2 5 2 4 6 3" xfId="34582"/>
    <cellStyle name="Heading 2 2 2 5 2 4 7" xfId="34583"/>
    <cellStyle name="Heading 2 2 2 5 2 4 7 2" xfId="34584"/>
    <cellStyle name="Heading 2 2 2 5 2 4 7 2 2" xfId="34585"/>
    <cellStyle name="Heading 2 2 2 5 2 4 7 3" xfId="34586"/>
    <cellStyle name="Heading 2 2 2 5 2 4 8" xfId="34587"/>
    <cellStyle name="Heading 2 2 2 5 2 4 8 2" xfId="34588"/>
    <cellStyle name="Heading 2 2 2 5 2 4 9" xfId="34589"/>
    <cellStyle name="Heading 2 2 2 5 2 5" xfId="34590"/>
    <cellStyle name="Heading 2 2 2 5 2 5 2" xfId="34591"/>
    <cellStyle name="Heading 2 2 2 5 2 5 2 2" xfId="34592"/>
    <cellStyle name="Heading 2 2 2 5 2 5 2 2 2" xfId="34593"/>
    <cellStyle name="Heading 2 2 2 5 2 5 2 3" xfId="34594"/>
    <cellStyle name="Heading 2 2 2 5 2 5 3" xfId="34595"/>
    <cellStyle name="Heading 2 2 2 5 2 5 3 2" xfId="34596"/>
    <cellStyle name="Heading 2 2 2 5 2 5 3 2 2" xfId="34597"/>
    <cellStyle name="Heading 2 2 2 5 2 5 3 3" xfId="34598"/>
    <cellStyle name="Heading 2 2 2 5 2 5 4" xfId="34599"/>
    <cellStyle name="Heading 2 2 2 5 2 5 4 2" xfId="34600"/>
    <cellStyle name="Heading 2 2 2 5 2 5 4 2 2" xfId="34601"/>
    <cellStyle name="Heading 2 2 2 5 2 5 4 3" xfId="34602"/>
    <cellStyle name="Heading 2 2 2 5 2 5 5" xfId="34603"/>
    <cellStyle name="Heading 2 2 2 5 2 5 5 2" xfId="34604"/>
    <cellStyle name="Heading 2 2 2 5 2 5 5 2 2" xfId="34605"/>
    <cellStyle name="Heading 2 2 2 5 2 5 5 3" xfId="34606"/>
    <cellStyle name="Heading 2 2 2 5 2 5 6" xfId="34607"/>
    <cellStyle name="Heading 2 2 2 5 2 5 6 2" xfId="34608"/>
    <cellStyle name="Heading 2 2 2 5 2 5 6 2 2" xfId="34609"/>
    <cellStyle name="Heading 2 2 2 5 2 5 6 3" xfId="34610"/>
    <cellStyle name="Heading 2 2 2 5 2 5 7" xfId="34611"/>
    <cellStyle name="Heading 2 2 2 5 2 5 7 2" xfId="34612"/>
    <cellStyle name="Heading 2 2 2 5 2 5 7 2 2" xfId="34613"/>
    <cellStyle name="Heading 2 2 2 5 2 5 7 3" xfId="34614"/>
    <cellStyle name="Heading 2 2 2 5 2 5 8" xfId="34615"/>
    <cellStyle name="Heading 2 2 2 5 2 5 8 2" xfId="34616"/>
    <cellStyle name="Heading 2 2 2 5 2 5 9" xfId="34617"/>
    <cellStyle name="Heading 2 2 2 5 2 6" xfId="34618"/>
    <cellStyle name="Heading 2 2 2 5 2 6 2" xfId="34619"/>
    <cellStyle name="Heading 2 2 2 5 2 6 2 2" xfId="34620"/>
    <cellStyle name="Heading 2 2 2 5 2 6 2 2 2" xfId="34621"/>
    <cellStyle name="Heading 2 2 2 5 2 6 2 3" xfId="34622"/>
    <cellStyle name="Heading 2 2 2 5 2 6 3" xfId="34623"/>
    <cellStyle name="Heading 2 2 2 5 2 6 3 2" xfId="34624"/>
    <cellStyle name="Heading 2 2 2 5 2 6 3 2 2" xfId="34625"/>
    <cellStyle name="Heading 2 2 2 5 2 6 3 3" xfId="34626"/>
    <cellStyle name="Heading 2 2 2 5 2 6 4" xfId="34627"/>
    <cellStyle name="Heading 2 2 2 5 2 6 4 2" xfId="34628"/>
    <cellStyle name="Heading 2 2 2 5 2 6 4 2 2" xfId="34629"/>
    <cellStyle name="Heading 2 2 2 5 2 6 4 3" xfId="34630"/>
    <cellStyle name="Heading 2 2 2 5 2 6 5" xfId="34631"/>
    <cellStyle name="Heading 2 2 2 5 2 6 5 2" xfId="34632"/>
    <cellStyle name="Heading 2 2 2 5 2 6 5 2 2" xfId="34633"/>
    <cellStyle name="Heading 2 2 2 5 2 6 5 3" xfId="34634"/>
    <cellStyle name="Heading 2 2 2 5 2 6 6" xfId="34635"/>
    <cellStyle name="Heading 2 2 2 5 2 6 6 2" xfId="34636"/>
    <cellStyle name="Heading 2 2 2 5 2 6 6 2 2" xfId="34637"/>
    <cellStyle name="Heading 2 2 2 5 2 6 6 3" xfId="34638"/>
    <cellStyle name="Heading 2 2 2 5 2 6 7" xfId="34639"/>
    <cellStyle name="Heading 2 2 2 5 2 6 7 2" xfId="34640"/>
    <cellStyle name="Heading 2 2 2 5 2 6 7 2 2" xfId="34641"/>
    <cellStyle name="Heading 2 2 2 5 2 6 7 3" xfId="34642"/>
    <cellStyle name="Heading 2 2 2 5 2 6 8" xfId="34643"/>
    <cellStyle name="Heading 2 2 2 5 2 6 8 2" xfId="34644"/>
    <cellStyle name="Heading 2 2 2 5 2 6 9" xfId="34645"/>
    <cellStyle name="Heading 2 2 2 5 2 7" xfId="34646"/>
    <cellStyle name="Heading 2 2 2 5 2 7 2" xfId="34647"/>
    <cellStyle name="Heading 2 2 2 5 2 7 2 2" xfId="34648"/>
    <cellStyle name="Heading 2 2 2 5 2 7 2 2 2" xfId="34649"/>
    <cellStyle name="Heading 2 2 2 5 2 7 2 3" xfId="34650"/>
    <cellStyle name="Heading 2 2 2 5 2 7 3" xfId="34651"/>
    <cellStyle name="Heading 2 2 2 5 2 7 3 2" xfId="34652"/>
    <cellStyle name="Heading 2 2 2 5 2 7 3 2 2" xfId="34653"/>
    <cellStyle name="Heading 2 2 2 5 2 7 3 3" xfId="34654"/>
    <cellStyle name="Heading 2 2 2 5 2 7 4" xfId="34655"/>
    <cellStyle name="Heading 2 2 2 5 2 7 4 2" xfId="34656"/>
    <cellStyle name="Heading 2 2 2 5 2 7 4 2 2" xfId="34657"/>
    <cellStyle name="Heading 2 2 2 5 2 7 4 3" xfId="34658"/>
    <cellStyle name="Heading 2 2 2 5 2 7 5" xfId="34659"/>
    <cellStyle name="Heading 2 2 2 5 2 7 5 2" xfId="34660"/>
    <cellStyle name="Heading 2 2 2 5 2 7 5 2 2" xfId="34661"/>
    <cellStyle name="Heading 2 2 2 5 2 7 5 3" xfId="34662"/>
    <cellStyle name="Heading 2 2 2 5 2 7 6" xfId="34663"/>
    <cellStyle name="Heading 2 2 2 5 2 7 6 2" xfId="34664"/>
    <cellStyle name="Heading 2 2 2 5 2 7 6 2 2" xfId="34665"/>
    <cellStyle name="Heading 2 2 2 5 2 7 6 3" xfId="34666"/>
    <cellStyle name="Heading 2 2 2 5 2 7 7" xfId="34667"/>
    <cellStyle name="Heading 2 2 2 5 2 7 7 2" xfId="34668"/>
    <cellStyle name="Heading 2 2 2 5 2 7 7 2 2" xfId="34669"/>
    <cellStyle name="Heading 2 2 2 5 2 7 7 3" xfId="34670"/>
    <cellStyle name="Heading 2 2 2 5 2 7 8" xfId="34671"/>
    <cellStyle name="Heading 2 2 2 5 2 7 8 2" xfId="34672"/>
    <cellStyle name="Heading 2 2 2 5 2 7 9" xfId="34673"/>
    <cellStyle name="Heading 2 2 2 5 2 8" xfId="34674"/>
    <cellStyle name="Heading 2 2 2 5 2 8 2" xfId="34675"/>
    <cellStyle name="Heading 2 2 2 5 2 8 2 2" xfId="34676"/>
    <cellStyle name="Heading 2 2 2 5 2 8 2 2 2" xfId="34677"/>
    <cellStyle name="Heading 2 2 2 5 2 8 2 3" xfId="34678"/>
    <cellStyle name="Heading 2 2 2 5 2 8 3" xfId="34679"/>
    <cellStyle name="Heading 2 2 2 5 2 8 3 2" xfId="34680"/>
    <cellStyle name="Heading 2 2 2 5 2 8 3 2 2" xfId="34681"/>
    <cellStyle name="Heading 2 2 2 5 2 8 3 3" xfId="34682"/>
    <cellStyle name="Heading 2 2 2 5 2 8 4" xfId="34683"/>
    <cellStyle name="Heading 2 2 2 5 2 8 4 2" xfId="34684"/>
    <cellStyle name="Heading 2 2 2 5 2 8 4 2 2" xfId="34685"/>
    <cellStyle name="Heading 2 2 2 5 2 8 4 3" xfId="34686"/>
    <cellStyle name="Heading 2 2 2 5 2 8 5" xfId="34687"/>
    <cellStyle name="Heading 2 2 2 5 2 8 5 2" xfId="34688"/>
    <cellStyle name="Heading 2 2 2 5 2 8 5 2 2" xfId="34689"/>
    <cellStyle name="Heading 2 2 2 5 2 8 5 3" xfId="34690"/>
    <cellStyle name="Heading 2 2 2 5 2 8 6" xfId="34691"/>
    <cellStyle name="Heading 2 2 2 5 2 8 6 2" xfId="34692"/>
    <cellStyle name="Heading 2 2 2 5 2 8 6 2 2" xfId="34693"/>
    <cellStyle name="Heading 2 2 2 5 2 8 6 3" xfId="34694"/>
    <cellStyle name="Heading 2 2 2 5 2 8 7" xfId="34695"/>
    <cellStyle name="Heading 2 2 2 5 2 8 7 2" xfId="34696"/>
    <cellStyle name="Heading 2 2 2 5 2 8 7 2 2" xfId="34697"/>
    <cellStyle name="Heading 2 2 2 5 2 8 7 3" xfId="34698"/>
    <cellStyle name="Heading 2 2 2 5 2 8 8" xfId="34699"/>
    <cellStyle name="Heading 2 2 2 5 2 8 8 2" xfId="34700"/>
    <cellStyle name="Heading 2 2 2 5 2 8 9" xfId="34701"/>
    <cellStyle name="Heading 2 2 2 5 2 9" xfId="34702"/>
    <cellStyle name="Heading 2 2 2 5 2 9 2" xfId="34703"/>
    <cellStyle name="Heading 2 2 2 5 2 9 2 2" xfId="34704"/>
    <cellStyle name="Heading 2 2 2 5 2 9 2 2 2" xfId="34705"/>
    <cellStyle name="Heading 2 2 2 5 2 9 2 3" xfId="34706"/>
    <cellStyle name="Heading 2 2 2 5 2 9 3" xfId="34707"/>
    <cellStyle name="Heading 2 2 2 5 2 9 3 2" xfId="34708"/>
    <cellStyle name="Heading 2 2 2 5 2 9 3 2 2" xfId="34709"/>
    <cellStyle name="Heading 2 2 2 5 2 9 3 3" xfId="34710"/>
    <cellStyle name="Heading 2 2 2 5 2 9 4" xfId="34711"/>
    <cellStyle name="Heading 2 2 2 5 2 9 4 2" xfId="34712"/>
    <cellStyle name="Heading 2 2 2 5 2 9 4 2 2" xfId="34713"/>
    <cellStyle name="Heading 2 2 2 5 2 9 4 3" xfId="34714"/>
    <cellStyle name="Heading 2 2 2 5 2 9 5" xfId="34715"/>
    <cellStyle name="Heading 2 2 2 5 2 9 5 2" xfId="34716"/>
    <cellStyle name="Heading 2 2 2 5 2 9 5 2 2" xfId="34717"/>
    <cellStyle name="Heading 2 2 2 5 2 9 5 3" xfId="34718"/>
    <cellStyle name="Heading 2 2 2 5 2 9 6" xfId="34719"/>
    <cellStyle name="Heading 2 2 2 5 2 9 6 2" xfId="34720"/>
    <cellStyle name="Heading 2 2 2 5 2 9 6 2 2" xfId="34721"/>
    <cellStyle name="Heading 2 2 2 5 2 9 6 3" xfId="34722"/>
    <cellStyle name="Heading 2 2 2 5 2 9 7" xfId="34723"/>
    <cellStyle name="Heading 2 2 2 5 2 9 7 2" xfId="34724"/>
    <cellStyle name="Heading 2 2 2 5 2 9 7 2 2" xfId="34725"/>
    <cellStyle name="Heading 2 2 2 5 2 9 7 3" xfId="34726"/>
    <cellStyle name="Heading 2 2 2 5 2 9 8" xfId="34727"/>
    <cellStyle name="Heading 2 2 2 5 2 9 8 2" xfId="34728"/>
    <cellStyle name="Heading 2 2 2 5 2 9 9" xfId="34729"/>
    <cellStyle name="Heading 2 2 2 5 3" xfId="34730"/>
    <cellStyle name="Heading 2 2 2 5 3 10" xfId="34731"/>
    <cellStyle name="Heading 2 2 2 5 3 10 2" xfId="34732"/>
    <cellStyle name="Heading 2 2 2 5 3 10 2 2" xfId="34733"/>
    <cellStyle name="Heading 2 2 2 5 3 10 3" xfId="34734"/>
    <cellStyle name="Heading 2 2 2 5 3 11" xfId="34735"/>
    <cellStyle name="Heading 2 2 2 5 3 11 2" xfId="34736"/>
    <cellStyle name="Heading 2 2 2 5 3 11 2 2" xfId="34737"/>
    <cellStyle name="Heading 2 2 2 5 3 11 3" xfId="34738"/>
    <cellStyle name="Heading 2 2 2 5 3 12" xfId="34739"/>
    <cellStyle name="Heading 2 2 2 5 3 12 2" xfId="34740"/>
    <cellStyle name="Heading 2 2 2 5 3 12 2 2" xfId="34741"/>
    <cellStyle name="Heading 2 2 2 5 3 12 3" xfId="34742"/>
    <cellStyle name="Heading 2 2 2 5 3 13" xfId="34743"/>
    <cellStyle name="Heading 2 2 2 5 3 13 2" xfId="34744"/>
    <cellStyle name="Heading 2 2 2 5 3 13 2 2" xfId="34745"/>
    <cellStyle name="Heading 2 2 2 5 3 13 3" xfId="34746"/>
    <cellStyle name="Heading 2 2 2 5 3 14" xfId="34747"/>
    <cellStyle name="Heading 2 2 2 5 3 14 2" xfId="34748"/>
    <cellStyle name="Heading 2 2 2 5 3 14 2 2" xfId="34749"/>
    <cellStyle name="Heading 2 2 2 5 3 14 3" xfId="34750"/>
    <cellStyle name="Heading 2 2 2 5 3 15" xfId="34751"/>
    <cellStyle name="Heading 2 2 2 5 3 15 2" xfId="34752"/>
    <cellStyle name="Heading 2 2 2 5 3 15 2 2" xfId="34753"/>
    <cellStyle name="Heading 2 2 2 5 3 15 3" xfId="34754"/>
    <cellStyle name="Heading 2 2 2 5 3 16" xfId="34755"/>
    <cellStyle name="Heading 2 2 2 5 3 16 2" xfId="34756"/>
    <cellStyle name="Heading 2 2 2 5 3 16 2 2" xfId="34757"/>
    <cellStyle name="Heading 2 2 2 5 3 16 3" xfId="34758"/>
    <cellStyle name="Heading 2 2 2 5 3 17" xfId="34759"/>
    <cellStyle name="Heading 2 2 2 5 3 17 2" xfId="34760"/>
    <cellStyle name="Heading 2 2 2 5 3 17 2 2" xfId="34761"/>
    <cellStyle name="Heading 2 2 2 5 3 17 3" xfId="34762"/>
    <cellStyle name="Heading 2 2 2 5 3 18" xfId="34763"/>
    <cellStyle name="Heading 2 2 2 5 3 18 2" xfId="34764"/>
    <cellStyle name="Heading 2 2 2 5 3 18 2 2" xfId="34765"/>
    <cellStyle name="Heading 2 2 2 5 3 18 3" xfId="34766"/>
    <cellStyle name="Heading 2 2 2 5 3 19" xfId="34767"/>
    <cellStyle name="Heading 2 2 2 5 3 19 2" xfId="34768"/>
    <cellStyle name="Heading 2 2 2 5 3 2" xfId="34769"/>
    <cellStyle name="Heading 2 2 2 5 3 2 2" xfId="34770"/>
    <cellStyle name="Heading 2 2 2 5 3 2 2 2" xfId="34771"/>
    <cellStyle name="Heading 2 2 2 5 3 2 2 2 2" xfId="34772"/>
    <cellStyle name="Heading 2 2 2 5 3 2 2 3" xfId="34773"/>
    <cellStyle name="Heading 2 2 2 5 3 2 3" xfId="34774"/>
    <cellStyle name="Heading 2 2 2 5 3 2 3 2" xfId="34775"/>
    <cellStyle name="Heading 2 2 2 5 3 2 3 2 2" xfId="34776"/>
    <cellStyle name="Heading 2 2 2 5 3 2 3 3" xfId="34777"/>
    <cellStyle name="Heading 2 2 2 5 3 2 4" xfId="34778"/>
    <cellStyle name="Heading 2 2 2 5 3 2 4 2" xfId="34779"/>
    <cellStyle name="Heading 2 2 2 5 3 2 4 2 2" xfId="34780"/>
    <cellStyle name="Heading 2 2 2 5 3 2 4 3" xfId="34781"/>
    <cellStyle name="Heading 2 2 2 5 3 2 5" xfId="34782"/>
    <cellStyle name="Heading 2 2 2 5 3 2 5 2" xfId="34783"/>
    <cellStyle name="Heading 2 2 2 5 3 2 5 2 2" xfId="34784"/>
    <cellStyle name="Heading 2 2 2 5 3 2 5 3" xfId="34785"/>
    <cellStyle name="Heading 2 2 2 5 3 2 6" xfId="34786"/>
    <cellStyle name="Heading 2 2 2 5 3 2 6 2" xfId="34787"/>
    <cellStyle name="Heading 2 2 2 5 3 2 6 2 2" xfId="34788"/>
    <cellStyle name="Heading 2 2 2 5 3 2 6 3" xfId="34789"/>
    <cellStyle name="Heading 2 2 2 5 3 2 7" xfId="34790"/>
    <cellStyle name="Heading 2 2 2 5 3 2 7 2" xfId="34791"/>
    <cellStyle name="Heading 2 2 2 5 3 2 7 2 2" xfId="34792"/>
    <cellStyle name="Heading 2 2 2 5 3 2 7 3" xfId="34793"/>
    <cellStyle name="Heading 2 2 2 5 3 2 8" xfId="34794"/>
    <cellStyle name="Heading 2 2 2 5 3 2 8 2" xfId="34795"/>
    <cellStyle name="Heading 2 2 2 5 3 2 9" xfId="34796"/>
    <cellStyle name="Heading 2 2 2 5 3 20" xfId="34797"/>
    <cellStyle name="Heading 2 2 2 5 3 20 2" xfId="34798"/>
    <cellStyle name="Heading 2 2 2 5 3 21" xfId="34799"/>
    <cellStyle name="Heading 2 2 2 5 3 21 2" xfId="34800"/>
    <cellStyle name="Heading 2 2 2 5 3 22" xfId="34801"/>
    <cellStyle name="Heading 2 2 2 5 3 3" xfId="34802"/>
    <cellStyle name="Heading 2 2 2 5 3 3 2" xfId="34803"/>
    <cellStyle name="Heading 2 2 2 5 3 3 2 2" xfId="34804"/>
    <cellStyle name="Heading 2 2 2 5 3 3 2 2 2" xfId="34805"/>
    <cellStyle name="Heading 2 2 2 5 3 3 2 3" xfId="34806"/>
    <cellStyle name="Heading 2 2 2 5 3 3 3" xfId="34807"/>
    <cellStyle name="Heading 2 2 2 5 3 3 3 2" xfId="34808"/>
    <cellStyle name="Heading 2 2 2 5 3 3 3 2 2" xfId="34809"/>
    <cellStyle name="Heading 2 2 2 5 3 3 3 3" xfId="34810"/>
    <cellStyle name="Heading 2 2 2 5 3 3 4" xfId="34811"/>
    <cellStyle name="Heading 2 2 2 5 3 3 4 2" xfId="34812"/>
    <cellStyle name="Heading 2 2 2 5 3 3 4 2 2" xfId="34813"/>
    <cellStyle name="Heading 2 2 2 5 3 3 4 3" xfId="34814"/>
    <cellStyle name="Heading 2 2 2 5 3 3 5" xfId="34815"/>
    <cellStyle name="Heading 2 2 2 5 3 3 5 2" xfId="34816"/>
    <cellStyle name="Heading 2 2 2 5 3 3 5 2 2" xfId="34817"/>
    <cellStyle name="Heading 2 2 2 5 3 3 5 3" xfId="34818"/>
    <cellStyle name="Heading 2 2 2 5 3 3 6" xfId="34819"/>
    <cellStyle name="Heading 2 2 2 5 3 3 6 2" xfId="34820"/>
    <cellStyle name="Heading 2 2 2 5 3 3 6 2 2" xfId="34821"/>
    <cellStyle name="Heading 2 2 2 5 3 3 6 3" xfId="34822"/>
    <cellStyle name="Heading 2 2 2 5 3 3 7" xfId="34823"/>
    <cellStyle name="Heading 2 2 2 5 3 3 7 2" xfId="34824"/>
    <cellStyle name="Heading 2 2 2 5 3 3 7 2 2" xfId="34825"/>
    <cellStyle name="Heading 2 2 2 5 3 3 7 3" xfId="34826"/>
    <cellStyle name="Heading 2 2 2 5 3 3 8" xfId="34827"/>
    <cellStyle name="Heading 2 2 2 5 3 3 8 2" xfId="34828"/>
    <cellStyle name="Heading 2 2 2 5 3 3 9" xfId="34829"/>
    <cellStyle name="Heading 2 2 2 5 3 4" xfId="34830"/>
    <cellStyle name="Heading 2 2 2 5 3 4 2" xfId="34831"/>
    <cellStyle name="Heading 2 2 2 5 3 4 2 2" xfId="34832"/>
    <cellStyle name="Heading 2 2 2 5 3 4 2 2 2" xfId="34833"/>
    <cellStyle name="Heading 2 2 2 5 3 4 2 3" xfId="34834"/>
    <cellStyle name="Heading 2 2 2 5 3 4 3" xfId="34835"/>
    <cellStyle name="Heading 2 2 2 5 3 4 3 2" xfId="34836"/>
    <cellStyle name="Heading 2 2 2 5 3 4 3 2 2" xfId="34837"/>
    <cellStyle name="Heading 2 2 2 5 3 4 3 3" xfId="34838"/>
    <cellStyle name="Heading 2 2 2 5 3 4 4" xfId="34839"/>
    <cellStyle name="Heading 2 2 2 5 3 4 4 2" xfId="34840"/>
    <cellStyle name="Heading 2 2 2 5 3 4 4 2 2" xfId="34841"/>
    <cellStyle name="Heading 2 2 2 5 3 4 4 3" xfId="34842"/>
    <cellStyle name="Heading 2 2 2 5 3 4 5" xfId="34843"/>
    <cellStyle name="Heading 2 2 2 5 3 4 5 2" xfId="34844"/>
    <cellStyle name="Heading 2 2 2 5 3 4 5 2 2" xfId="34845"/>
    <cellStyle name="Heading 2 2 2 5 3 4 5 3" xfId="34846"/>
    <cellStyle name="Heading 2 2 2 5 3 4 6" xfId="34847"/>
    <cellStyle name="Heading 2 2 2 5 3 4 6 2" xfId="34848"/>
    <cellStyle name="Heading 2 2 2 5 3 4 6 2 2" xfId="34849"/>
    <cellStyle name="Heading 2 2 2 5 3 4 6 3" xfId="34850"/>
    <cellStyle name="Heading 2 2 2 5 3 4 7" xfId="34851"/>
    <cellStyle name="Heading 2 2 2 5 3 4 7 2" xfId="34852"/>
    <cellStyle name="Heading 2 2 2 5 3 4 7 2 2" xfId="34853"/>
    <cellStyle name="Heading 2 2 2 5 3 4 7 3" xfId="34854"/>
    <cellStyle name="Heading 2 2 2 5 3 4 8" xfId="34855"/>
    <cellStyle name="Heading 2 2 2 5 3 4 8 2" xfId="34856"/>
    <cellStyle name="Heading 2 2 2 5 3 4 9" xfId="34857"/>
    <cellStyle name="Heading 2 2 2 5 3 5" xfId="34858"/>
    <cellStyle name="Heading 2 2 2 5 3 5 2" xfId="34859"/>
    <cellStyle name="Heading 2 2 2 5 3 5 2 2" xfId="34860"/>
    <cellStyle name="Heading 2 2 2 5 3 5 2 2 2" xfId="34861"/>
    <cellStyle name="Heading 2 2 2 5 3 5 2 3" xfId="34862"/>
    <cellStyle name="Heading 2 2 2 5 3 5 3" xfId="34863"/>
    <cellStyle name="Heading 2 2 2 5 3 5 3 2" xfId="34864"/>
    <cellStyle name="Heading 2 2 2 5 3 5 3 2 2" xfId="34865"/>
    <cellStyle name="Heading 2 2 2 5 3 5 3 3" xfId="34866"/>
    <cellStyle name="Heading 2 2 2 5 3 5 4" xfId="34867"/>
    <cellStyle name="Heading 2 2 2 5 3 5 4 2" xfId="34868"/>
    <cellStyle name="Heading 2 2 2 5 3 5 4 2 2" xfId="34869"/>
    <cellStyle name="Heading 2 2 2 5 3 5 4 3" xfId="34870"/>
    <cellStyle name="Heading 2 2 2 5 3 5 5" xfId="34871"/>
    <cellStyle name="Heading 2 2 2 5 3 5 5 2" xfId="34872"/>
    <cellStyle name="Heading 2 2 2 5 3 5 5 2 2" xfId="34873"/>
    <cellStyle name="Heading 2 2 2 5 3 5 5 3" xfId="34874"/>
    <cellStyle name="Heading 2 2 2 5 3 5 6" xfId="34875"/>
    <cellStyle name="Heading 2 2 2 5 3 5 6 2" xfId="34876"/>
    <cellStyle name="Heading 2 2 2 5 3 5 6 2 2" xfId="34877"/>
    <cellStyle name="Heading 2 2 2 5 3 5 6 3" xfId="34878"/>
    <cellStyle name="Heading 2 2 2 5 3 5 7" xfId="34879"/>
    <cellStyle name="Heading 2 2 2 5 3 5 7 2" xfId="34880"/>
    <cellStyle name="Heading 2 2 2 5 3 5 7 2 2" xfId="34881"/>
    <cellStyle name="Heading 2 2 2 5 3 5 7 3" xfId="34882"/>
    <cellStyle name="Heading 2 2 2 5 3 5 8" xfId="34883"/>
    <cellStyle name="Heading 2 2 2 5 3 5 8 2" xfId="34884"/>
    <cellStyle name="Heading 2 2 2 5 3 5 9" xfId="34885"/>
    <cellStyle name="Heading 2 2 2 5 3 6" xfId="34886"/>
    <cellStyle name="Heading 2 2 2 5 3 6 2" xfId="34887"/>
    <cellStyle name="Heading 2 2 2 5 3 6 2 2" xfId="34888"/>
    <cellStyle name="Heading 2 2 2 5 3 6 2 2 2" xfId="34889"/>
    <cellStyle name="Heading 2 2 2 5 3 6 2 3" xfId="34890"/>
    <cellStyle name="Heading 2 2 2 5 3 6 3" xfId="34891"/>
    <cellStyle name="Heading 2 2 2 5 3 6 3 2" xfId="34892"/>
    <cellStyle name="Heading 2 2 2 5 3 6 3 2 2" xfId="34893"/>
    <cellStyle name="Heading 2 2 2 5 3 6 3 3" xfId="34894"/>
    <cellStyle name="Heading 2 2 2 5 3 6 4" xfId="34895"/>
    <cellStyle name="Heading 2 2 2 5 3 6 4 2" xfId="34896"/>
    <cellStyle name="Heading 2 2 2 5 3 6 4 2 2" xfId="34897"/>
    <cellStyle name="Heading 2 2 2 5 3 6 4 3" xfId="34898"/>
    <cellStyle name="Heading 2 2 2 5 3 6 5" xfId="34899"/>
    <cellStyle name="Heading 2 2 2 5 3 6 5 2" xfId="34900"/>
    <cellStyle name="Heading 2 2 2 5 3 6 5 2 2" xfId="34901"/>
    <cellStyle name="Heading 2 2 2 5 3 6 5 3" xfId="34902"/>
    <cellStyle name="Heading 2 2 2 5 3 6 6" xfId="34903"/>
    <cellStyle name="Heading 2 2 2 5 3 6 6 2" xfId="34904"/>
    <cellStyle name="Heading 2 2 2 5 3 6 6 2 2" xfId="34905"/>
    <cellStyle name="Heading 2 2 2 5 3 6 6 3" xfId="34906"/>
    <cellStyle name="Heading 2 2 2 5 3 6 7" xfId="34907"/>
    <cellStyle name="Heading 2 2 2 5 3 6 7 2" xfId="34908"/>
    <cellStyle name="Heading 2 2 2 5 3 6 7 2 2" xfId="34909"/>
    <cellStyle name="Heading 2 2 2 5 3 6 7 3" xfId="34910"/>
    <cellStyle name="Heading 2 2 2 5 3 6 8" xfId="34911"/>
    <cellStyle name="Heading 2 2 2 5 3 6 8 2" xfId="34912"/>
    <cellStyle name="Heading 2 2 2 5 3 6 9" xfId="34913"/>
    <cellStyle name="Heading 2 2 2 5 3 7" xfId="34914"/>
    <cellStyle name="Heading 2 2 2 5 3 7 2" xfId="34915"/>
    <cellStyle name="Heading 2 2 2 5 3 7 2 2" xfId="34916"/>
    <cellStyle name="Heading 2 2 2 5 3 7 2 2 2" xfId="34917"/>
    <cellStyle name="Heading 2 2 2 5 3 7 2 3" xfId="34918"/>
    <cellStyle name="Heading 2 2 2 5 3 7 3" xfId="34919"/>
    <cellStyle name="Heading 2 2 2 5 3 7 3 2" xfId="34920"/>
    <cellStyle name="Heading 2 2 2 5 3 7 3 2 2" xfId="34921"/>
    <cellStyle name="Heading 2 2 2 5 3 7 3 3" xfId="34922"/>
    <cellStyle name="Heading 2 2 2 5 3 7 4" xfId="34923"/>
    <cellStyle name="Heading 2 2 2 5 3 7 4 2" xfId="34924"/>
    <cellStyle name="Heading 2 2 2 5 3 7 4 2 2" xfId="34925"/>
    <cellStyle name="Heading 2 2 2 5 3 7 4 3" xfId="34926"/>
    <cellStyle name="Heading 2 2 2 5 3 7 5" xfId="34927"/>
    <cellStyle name="Heading 2 2 2 5 3 7 5 2" xfId="34928"/>
    <cellStyle name="Heading 2 2 2 5 3 7 5 2 2" xfId="34929"/>
    <cellStyle name="Heading 2 2 2 5 3 7 5 3" xfId="34930"/>
    <cellStyle name="Heading 2 2 2 5 3 7 6" xfId="34931"/>
    <cellStyle name="Heading 2 2 2 5 3 7 6 2" xfId="34932"/>
    <cellStyle name="Heading 2 2 2 5 3 7 6 2 2" xfId="34933"/>
    <cellStyle name="Heading 2 2 2 5 3 7 6 3" xfId="34934"/>
    <cellStyle name="Heading 2 2 2 5 3 7 7" xfId="34935"/>
    <cellStyle name="Heading 2 2 2 5 3 7 7 2" xfId="34936"/>
    <cellStyle name="Heading 2 2 2 5 3 7 7 2 2" xfId="34937"/>
    <cellStyle name="Heading 2 2 2 5 3 7 7 3" xfId="34938"/>
    <cellStyle name="Heading 2 2 2 5 3 7 8" xfId="34939"/>
    <cellStyle name="Heading 2 2 2 5 3 7 8 2" xfId="34940"/>
    <cellStyle name="Heading 2 2 2 5 3 7 9" xfId="34941"/>
    <cellStyle name="Heading 2 2 2 5 3 8" xfId="34942"/>
    <cellStyle name="Heading 2 2 2 5 3 8 2" xfId="34943"/>
    <cellStyle name="Heading 2 2 2 5 3 8 2 2" xfId="34944"/>
    <cellStyle name="Heading 2 2 2 5 3 8 2 2 2" xfId="34945"/>
    <cellStyle name="Heading 2 2 2 5 3 8 2 3" xfId="34946"/>
    <cellStyle name="Heading 2 2 2 5 3 8 3" xfId="34947"/>
    <cellStyle name="Heading 2 2 2 5 3 8 3 2" xfId="34948"/>
    <cellStyle name="Heading 2 2 2 5 3 8 3 2 2" xfId="34949"/>
    <cellStyle name="Heading 2 2 2 5 3 8 3 3" xfId="34950"/>
    <cellStyle name="Heading 2 2 2 5 3 8 4" xfId="34951"/>
    <cellStyle name="Heading 2 2 2 5 3 8 4 2" xfId="34952"/>
    <cellStyle name="Heading 2 2 2 5 3 8 4 2 2" xfId="34953"/>
    <cellStyle name="Heading 2 2 2 5 3 8 4 3" xfId="34954"/>
    <cellStyle name="Heading 2 2 2 5 3 8 5" xfId="34955"/>
    <cellStyle name="Heading 2 2 2 5 3 8 5 2" xfId="34956"/>
    <cellStyle name="Heading 2 2 2 5 3 8 5 2 2" xfId="34957"/>
    <cellStyle name="Heading 2 2 2 5 3 8 5 3" xfId="34958"/>
    <cellStyle name="Heading 2 2 2 5 3 8 6" xfId="34959"/>
    <cellStyle name="Heading 2 2 2 5 3 8 6 2" xfId="34960"/>
    <cellStyle name="Heading 2 2 2 5 3 8 6 2 2" xfId="34961"/>
    <cellStyle name="Heading 2 2 2 5 3 8 6 3" xfId="34962"/>
    <cellStyle name="Heading 2 2 2 5 3 8 7" xfId="34963"/>
    <cellStyle name="Heading 2 2 2 5 3 8 7 2" xfId="34964"/>
    <cellStyle name="Heading 2 2 2 5 3 8 7 2 2" xfId="34965"/>
    <cellStyle name="Heading 2 2 2 5 3 8 7 3" xfId="34966"/>
    <cellStyle name="Heading 2 2 2 5 3 8 8" xfId="34967"/>
    <cellStyle name="Heading 2 2 2 5 3 8 8 2" xfId="34968"/>
    <cellStyle name="Heading 2 2 2 5 3 8 9" xfId="34969"/>
    <cellStyle name="Heading 2 2 2 5 3 9" xfId="34970"/>
    <cellStyle name="Heading 2 2 2 5 3 9 2" xfId="34971"/>
    <cellStyle name="Heading 2 2 2 5 3 9 2 2" xfId="34972"/>
    <cellStyle name="Heading 2 2 2 5 3 9 3" xfId="34973"/>
    <cellStyle name="Heading 2 2 2 5 4" xfId="34974"/>
    <cellStyle name="Heading 2 2 2 5 4 2" xfId="34975"/>
    <cellStyle name="Heading 2 2 2 5 4 2 2" xfId="34976"/>
    <cellStyle name="Heading 2 2 2 5 4 3" xfId="34977"/>
    <cellStyle name="Heading 2 2 2 5 5" xfId="34978"/>
    <cellStyle name="Heading 2 2 2 5 5 2" xfId="34979"/>
    <cellStyle name="Heading 2 2 2 5 6" xfId="34980"/>
    <cellStyle name="Heading 2 2 2 6" xfId="34981"/>
    <cellStyle name="Heading 2 2 2 6 2" xfId="34982"/>
    <cellStyle name="Heading 2 2 2 6 2 10" xfId="34983"/>
    <cellStyle name="Heading 2 2 2 6 2 10 2" xfId="34984"/>
    <cellStyle name="Heading 2 2 2 6 2 10 2 2" xfId="34985"/>
    <cellStyle name="Heading 2 2 2 6 2 10 3" xfId="34986"/>
    <cellStyle name="Heading 2 2 2 6 2 11" xfId="34987"/>
    <cellStyle name="Heading 2 2 2 6 2 11 2" xfId="34988"/>
    <cellStyle name="Heading 2 2 2 6 2 11 2 2" xfId="34989"/>
    <cellStyle name="Heading 2 2 2 6 2 11 3" xfId="34990"/>
    <cellStyle name="Heading 2 2 2 6 2 12" xfId="34991"/>
    <cellStyle name="Heading 2 2 2 6 2 12 2" xfId="34992"/>
    <cellStyle name="Heading 2 2 2 6 2 12 2 2" xfId="34993"/>
    <cellStyle name="Heading 2 2 2 6 2 12 3" xfId="34994"/>
    <cellStyle name="Heading 2 2 2 6 2 13" xfId="34995"/>
    <cellStyle name="Heading 2 2 2 6 2 13 2" xfId="34996"/>
    <cellStyle name="Heading 2 2 2 6 2 13 2 2" xfId="34997"/>
    <cellStyle name="Heading 2 2 2 6 2 13 3" xfId="34998"/>
    <cellStyle name="Heading 2 2 2 6 2 14" xfId="34999"/>
    <cellStyle name="Heading 2 2 2 6 2 14 2" xfId="35000"/>
    <cellStyle name="Heading 2 2 2 6 2 14 2 2" xfId="35001"/>
    <cellStyle name="Heading 2 2 2 6 2 14 3" xfId="35002"/>
    <cellStyle name="Heading 2 2 2 6 2 15" xfId="35003"/>
    <cellStyle name="Heading 2 2 2 6 2 15 2" xfId="35004"/>
    <cellStyle name="Heading 2 2 2 6 2 15 2 2" xfId="35005"/>
    <cellStyle name="Heading 2 2 2 6 2 15 3" xfId="35006"/>
    <cellStyle name="Heading 2 2 2 6 2 16" xfId="35007"/>
    <cellStyle name="Heading 2 2 2 6 2 16 2" xfId="35008"/>
    <cellStyle name="Heading 2 2 2 6 2 16 2 2" xfId="35009"/>
    <cellStyle name="Heading 2 2 2 6 2 16 3" xfId="35010"/>
    <cellStyle name="Heading 2 2 2 6 2 17" xfId="35011"/>
    <cellStyle name="Heading 2 2 2 6 2 17 2" xfId="35012"/>
    <cellStyle name="Heading 2 2 2 6 2 17 2 2" xfId="35013"/>
    <cellStyle name="Heading 2 2 2 6 2 17 3" xfId="35014"/>
    <cellStyle name="Heading 2 2 2 6 2 18" xfId="35015"/>
    <cellStyle name="Heading 2 2 2 6 2 18 2" xfId="35016"/>
    <cellStyle name="Heading 2 2 2 6 2 18 2 2" xfId="35017"/>
    <cellStyle name="Heading 2 2 2 6 2 18 3" xfId="35018"/>
    <cellStyle name="Heading 2 2 2 6 2 19" xfId="35019"/>
    <cellStyle name="Heading 2 2 2 6 2 19 2" xfId="35020"/>
    <cellStyle name="Heading 2 2 2 6 2 19 2 2" xfId="35021"/>
    <cellStyle name="Heading 2 2 2 6 2 19 3" xfId="35022"/>
    <cellStyle name="Heading 2 2 2 6 2 2" xfId="35023"/>
    <cellStyle name="Heading 2 2 2 6 2 2 10" xfId="35024"/>
    <cellStyle name="Heading 2 2 2 6 2 2 10 2" xfId="35025"/>
    <cellStyle name="Heading 2 2 2 6 2 2 10 2 2" xfId="35026"/>
    <cellStyle name="Heading 2 2 2 6 2 2 10 3" xfId="35027"/>
    <cellStyle name="Heading 2 2 2 6 2 2 11" xfId="35028"/>
    <cellStyle name="Heading 2 2 2 6 2 2 11 2" xfId="35029"/>
    <cellStyle name="Heading 2 2 2 6 2 2 11 2 2" xfId="35030"/>
    <cellStyle name="Heading 2 2 2 6 2 2 11 3" xfId="35031"/>
    <cellStyle name="Heading 2 2 2 6 2 2 12" xfId="35032"/>
    <cellStyle name="Heading 2 2 2 6 2 2 12 2" xfId="35033"/>
    <cellStyle name="Heading 2 2 2 6 2 2 12 2 2" xfId="35034"/>
    <cellStyle name="Heading 2 2 2 6 2 2 12 3" xfId="35035"/>
    <cellStyle name="Heading 2 2 2 6 2 2 13" xfId="35036"/>
    <cellStyle name="Heading 2 2 2 6 2 2 13 2" xfId="35037"/>
    <cellStyle name="Heading 2 2 2 6 2 2 13 2 2" xfId="35038"/>
    <cellStyle name="Heading 2 2 2 6 2 2 13 3" xfId="35039"/>
    <cellStyle name="Heading 2 2 2 6 2 2 14" xfId="35040"/>
    <cellStyle name="Heading 2 2 2 6 2 2 14 2" xfId="35041"/>
    <cellStyle name="Heading 2 2 2 6 2 2 14 2 2" xfId="35042"/>
    <cellStyle name="Heading 2 2 2 6 2 2 14 3" xfId="35043"/>
    <cellStyle name="Heading 2 2 2 6 2 2 15" xfId="35044"/>
    <cellStyle name="Heading 2 2 2 6 2 2 15 2" xfId="35045"/>
    <cellStyle name="Heading 2 2 2 6 2 2 15 2 2" xfId="35046"/>
    <cellStyle name="Heading 2 2 2 6 2 2 15 3" xfId="35047"/>
    <cellStyle name="Heading 2 2 2 6 2 2 16" xfId="35048"/>
    <cellStyle name="Heading 2 2 2 6 2 2 16 2" xfId="35049"/>
    <cellStyle name="Heading 2 2 2 6 2 2 16 2 2" xfId="35050"/>
    <cellStyle name="Heading 2 2 2 6 2 2 16 3" xfId="35051"/>
    <cellStyle name="Heading 2 2 2 6 2 2 17" xfId="35052"/>
    <cellStyle name="Heading 2 2 2 6 2 2 17 2" xfId="35053"/>
    <cellStyle name="Heading 2 2 2 6 2 2 17 2 2" xfId="35054"/>
    <cellStyle name="Heading 2 2 2 6 2 2 17 3" xfId="35055"/>
    <cellStyle name="Heading 2 2 2 6 2 2 18" xfId="35056"/>
    <cellStyle name="Heading 2 2 2 6 2 2 18 2" xfId="35057"/>
    <cellStyle name="Heading 2 2 2 6 2 2 18 2 2" xfId="35058"/>
    <cellStyle name="Heading 2 2 2 6 2 2 18 3" xfId="35059"/>
    <cellStyle name="Heading 2 2 2 6 2 2 19" xfId="35060"/>
    <cellStyle name="Heading 2 2 2 6 2 2 19 2" xfId="35061"/>
    <cellStyle name="Heading 2 2 2 6 2 2 2" xfId="35062"/>
    <cellStyle name="Heading 2 2 2 6 2 2 2 2" xfId="35063"/>
    <cellStyle name="Heading 2 2 2 6 2 2 2 2 2" xfId="35064"/>
    <cellStyle name="Heading 2 2 2 6 2 2 2 2 2 2" xfId="35065"/>
    <cellStyle name="Heading 2 2 2 6 2 2 2 2 3" xfId="35066"/>
    <cellStyle name="Heading 2 2 2 6 2 2 2 3" xfId="35067"/>
    <cellStyle name="Heading 2 2 2 6 2 2 2 3 2" xfId="35068"/>
    <cellStyle name="Heading 2 2 2 6 2 2 2 3 2 2" xfId="35069"/>
    <cellStyle name="Heading 2 2 2 6 2 2 2 3 3" xfId="35070"/>
    <cellStyle name="Heading 2 2 2 6 2 2 2 4" xfId="35071"/>
    <cellStyle name="Heading 2 2 2 6 2 2 2 4 2" xfId="35072"/>
    <cellStyle name="Heading 2 2 2 6 2 2 2 4 2 2" xfId="35073"/>
    <cellStyle name="Heading 2 2 2 6 2 2 2 4 3" xfId="35074"/>
    <cellStyle name="Heading 2 2 2 6 2 2 2 5" xfId="35075"/>
    <cellStyle name="Heading 2 2 2 6 2 2 2 5 2" xfId="35076"/>
    <cellStyle name="Heading 2 2 2 6 2 2 2 5 2 2" xfId="35077"/>
    <cellStyle name="Heading 2 2 2 6 2 2 2 5 3" xfId="35078"/>
    <cellStyle name="Heading 2 2 2 6 2 2 2 6" xfId="35079"/>
    <cellStyle name="Heading 2 2 2 6 2 2 2 6 2" xfId="35080"/>
    <cellStyle name="Heading 2 2 2 6 2 2 2 6 2 2" xfId="35081"/>
    <cellStyle name="Heading 2 2 2 6 2 2 2 6 3" xfId="35082"/>
    <cellStyle name="Heading 2 2 2 6 2 2 2 7" xfId="35083"/>
    <cellStyle name="Heading 2 2 2 6 2 2 2 7 2" xfId="35084"/>
    <cellStyle name="Heading 2 2 2 6 2 2 2 7 2 2" xfId="35085"/>
    <cellStyle name="Heading 2 2 2 6 2 2 2 7 3" xfId="35086"/>
    <cellStyle name="Heading 2 2 2 6 2 2 2 8" xfId="35087"/>
    <cellStyle name="Heading 2 2 2 6 2 2 2 8 2" xfId="35088"/>
    <cellStyle name="Heading 2 2 2 6 2 2 2 9" xfId="35089"/>
    <cellStyle name="Heading 2 2 2 6 2 2 20" xfId="35090"/>
    <cellStyle name="Heading 2 2 2 6 2 2 20 2" xfId="35091"/>
    <cellStyle name="Heading 2 2 2 6 2 2 21" xfId="35092"/>
    <cellStyle name="Heading 2 2 2 6 2 2 21 2" xfId="35093"/>
    <cellStyle name="Heading 2 2 2 6 2 2 22" xfId="35094"/>
    <cellStyle name="Heading 2 2 2 6 2 2 3" xfId="35095"/>
    <cellStyle name="Heading 2 2 2 6 2 2 3 2" xfId="35096"/>
    <cellStyle name="Heading 2 2 2 6 2 2 3 2 2" xfId="35097"/>
    <cellStyle name="Heading 2 2 2 6 2 2 3 2 2 2" xfId="35098"/>
    <cellStyle name="Heading 2 2 2 6 2 2 3 2 3" xfId="35099"/>
    <cellStyle name="Heading 2 2 2 6 2 2 3 3" xfId="35100"/>
    <cellStyle name="Heading 2 2 2 6 2 2 3 3 2" xfId="35101"/>
    <cellStyle name="Heading 2 2 2 6 2 2 3 3 2 2" xfId="35102"/>
    <cellStyle name="Heading 2 2 2 6 2 2 3 3 3" xfId="35103"/>
    <cellStyle name="Heading 2 2 2 6 2 2 3 4" xfId="35104"/>
    <cellStyle name="Heading 2 2 2 6 2 2 3 4 2" xfId="35105"/>
    <cellStyle name="Heading 2 2 2 6 2 2 3 4 2 2" xfId="35106"/>
    <cellStyle name="Heading 2 2 2 6 2 2 3 4 3" xfId="35107"/>
    <cellStyle name="Heading 2 2 2 6 2 2 3 5" xfId="35108"/>
    <cellStyle name="Heading 2 2 2 6 2 2 3 5 2" xfId="35109"/>
    <cellStyle name="Heading 2 2 2 6 2 2 3 5 2 2" xfId="35110"/>
    <cellStyle name="Heading 2 2 2 6 2 2 3 5 3" xfId="35111"/>
    <cellStyle name="Heading 2 2 2 6 2 2 3 6" xfId="35112"/>
    <cellStyle name="Heading 2 2 2 6 2 2 3 6 2" xfId="35113"/>
    <cellStyle name="Heading 2 2 2 6 2 2 3 6 2 2" xfId="35114"/>
    <cellStyle name="Heading 2 2 2 6 2 2 3 6 3" xfId="35115"/>
    <cellStyle name="Heading 2 2 2 6 2 2 3 7" xfId="35116"/>
    <cellStyle name="Heading 2 2 2 6 2 2 3 7 2" xfId="35117"/>
    <cellStyle name="Heading 2 2 2 6 2 2 3 7 2 2" xfId="35118"/>
    <cellStyle name="Heading 2 2 2 6 2 2 3 7 3" xfId="35119"/>
    <cellStyle name="Heading 2 2 2 6 2 2 3 8" xfId="35120"/>
    <cellStyle name="Heading 2 2 2 6 2 2 3 8 2" xfId="35121"/>
    <cellStyle name="Heading 2 2 2 6 2 2 3 9" xfId="35122"/>
    <cellStyle name="Heading 2 2 2 6 2 2 4" xfId="35123"/>
    <cellStyle name="Heading 2 2 2 6 2 2 4 2" xfId="35124"/>
    <cellStyle name="Heading 2 2 2 6 2 2 4 2 2" xfId="35125"/>
    <cellStyle name="Heading 2 2 2 6 2 2 4 2 2 2" xfId="35126"/>
    <cellStyle name="Heading 2 2 2 6 2 2 4 2 3" xfId="35127"/>
    <cellStyle name="Heading 2 2 2 6 2 2 4 3" xfId="35128"/>
    <cellStyle name="Heading 2 2 2 6 2 2 4 3 2" xfId="35129"/>
    <cellStyle name="Heading 2 2 2 6 2 2 4 3 2 2" xfId="35130"/>
    <cellStyle name="Heading 2 2 2 6 2 2 4 3 3" xfId="35131"/>
    <cellStyle name="Heading 2 2 2 6 2 2 4 4" xfId="35132"/>
    <cellStyle name="Heading 2 2 2 6 2 2 4 4 2" xfId="35133"/>
    <cellStyle name="Heading 2 2 2 6 2 2 4 4 2 2" xfId="35134"/>
    <cellStyle name="Heading 2 2 2 6 2 2 4 4 3" xfId="35135"/>
    <cellStyle name="Heading 2 2 2 6 2 2 4 5" xfId="35136"/>
    <cellStyle name="Heading 2 2 2 6 2 2 4 5 2" xfId="35137"/>
    <cellStyle name="Heading 2 2 2 6 2 2 4 5 2 2" xfId="35138"/>
    <cellStyle name="Heading 2 2 2 6 2 2 4 5 3" xfId="35139"/>
    <cellStyle name="Heading 2 2 2 6 2 2 4 6" xfId="35140"/>
    <cellStyle name="Heading 2 2 2 6 2 2 4 6 2" xfId="35141"/>
    <cellStyle name="Heading 2 2 2 6 2 2 4 6 2 2" xfId="35142"/>
    <cellStyle name="Heading 2 2 2 6 2 2 4 6 3" xfId="35143"/>
    <cellStyle name="Heading 2 2 2 6 2 2 4 7" xfId="35144"/>
    <cellStyle name="Heading 2 2 2 6 2 2 4 7 2" xfId="35145"/>
    <cellStyle name="Heading 2 2 2 6 2 2 4 7 2 2" xfId="35146"/>
    <cellStyle name="Heading 2 2 2 6 2 2 4 7 3" xfId="35147"/>
    <cellStyle name="Heading 2 2 2 6 2 2 4 8" xfId="35148"/>
    <cellStyle name="Heading 2 2 2 6 2 2 4 8 2" xfId="35149"/>
    <cellStyle name="Heading 2 2 2 6 2 2 4 9" xfId="35150"/>
    <cellStyle name="Heading 2 2 2 6 2 2 5" xfId="35151"/>
    <cellStyle name="Heading 2 2 2 6 2 2 5 2" xfId="35152"/>
    <cellStyle name="Heading 2 2 2 6 2 2 5 2 2" xfId="35153"/>
    <cellStyle name="Heading 2 2 2 6 2 2 5 2 2 2" xfId="35154"/>
    <cellStyle name="Heading 2 2 2 6 2 2 5 2 3" xfId="35155"/>
    <cellStyle name="Heading 2 2 2 6 2 2 5 3" xfId="35156"/>
    <cellStyle name="Heading 2 2 2 6 2 2 5 3 2" xfId="35157"/>
    <cellStyle name="Heading 2 2 2 6 2 2 5 3 2 2" xfId="35158"/>
    <cellStyle name="Heading 2 2 2 6 2 2 5 3 3" xfId="35159"/>
    <cellStyle name="Heading 2 2 2 6 2 2 5 4" xfId="35160"/>
    <cellStyle name="Heading 2 2 2 6 2 2 5 4 2" xfId="35161"/>
    <cellStyle name="Heading 2 2 2 6 2 2 5 4 2 2" xfId="35162"/>
    <cellStyle name="Heading 2 2 2 6 2 2 5 4 3" xfId="35163"/>
    <cellStyle name="Heading 2 2 2 6 2 2 5 5" xfId="35164"/>
    <cellStyle name="Heading 2 2 2 6 2 2 5 5 2" xfId="35165"/>
    <cellStyle name="Heading 2 2 2 6 2 2 5 5 2 2" xfId="35166"/>
    <cellStyle name="Heading 2 2 2 6 2 2 5 5 3" xfId="35167"/>
    <cellStyle name="Heading 2 2 2 6 2 2 5 6" xfId="35168"/>
    <cellStyle name="Heading 2 2 2 6 2 2 5 6 2" xfId="35169"/>
    <cellStyle name="Heading 2 2 2 6 2 2 5 6 2 2" xfId="35170"/>
    <cellStyle name="Heading 2 2 2 6 2 2 5 6 3" xfId="35171"/>
    <cellStyle name="Heading 2 2 2 6 2 2 5 7" xfId="35172"/>
    <cellStyle name="Heading 2 2 2 6 2 2 5 7 2" xfId="35173"/>
    <cellStyle name="Heading 2 2 2 6 2 2 5 7 2 2" xfId="35174"/>
    <cellStyle name="Heading 2 2 2 6 2 2 5 7 3" xfId="35175"/>
    <cellStyle name="Heading 2 2 2 6 2 2 5 8" xfId="35176"/>
    <cellStyle name="Heading 2 2 2 6 2 2 5 8 2" xfId="35177"/>
    <cellStyle name="Heading 2 2 2 6 2 2 5 9" xfId="35178"/>
    <cellStyle name="Heading 2 2 2 6 2 2 6" xfId="35179"/>
    <cellStyle name="Heading 2 2 2 6 2 2 6 2" xfId="35180"/>
    <cellStyle name="Heading 2 2 2 6 2 2 6 2 2" xfId="35181"/>
    <cellStyle name="Heading 2 2 2 6 2 2 6 2 2 2" xfId="35182"/>
    <cellStyle name="Heading 2 2 2 6 2 2 6 2 3" xfId="35183"/>
    <cellStyle name="Heading 2 2 2 6 2 2 6 3" xfId="35184"/>
    <cellStyle name="Heading 2 2 2 6 2 2 6 3 2" xfId="35185"/>
    <cellStyle name="Heading 2 2 2 6 2 2 6 3 2 2" xfId="35186"/>
    <cellStyle name="Heading 2 2 2 6 2 2 6 3 3" xfId="35187"/>
    <cellStyle name="Heading 2 2 2 6 2 2 6 4" xfId="35188"/>
    <cellStyle name="Heading 2 2 2 6 2 2 6 4 2" xfId="35189"/>
    <cellStyle name="Heading 2 2 2 6 2 2 6 4 2 2" xfId="35190"/>
    <cellStyle name="Heading 2 2 2 6 2 2 6 4 3" xfId="35191"/>
    <cellStyle name="Heading 2 2 2 6 2 2 6 5" xfId="35192"/>
    <cellStyle name="Heading 2 2 2 6 2 2 6 5 2" xfId="35193"/>
    <cellStyle name="Heading 2 2 2 6 2 2 6 5 2 2" xfId="35194"/>
    <cellStyle name="Heading 2 2 2 6 2 2 6 5 3" xfId="35195"/>
    <cellStyle name="Heading 2 2 2 6 2 2 6 6" xfId="35196"/>
    <cellStyle name="Heading 2 2 2 6 2 2 6 6 2" xfId="35197"/>
    <cellStyle name="Heading 2 2 2 6 2 2 6 6 2 2" xfId="35198"/>
    <cellStyle name="Heading 2 2 2 6 2 2 6 6 3" xfId="35199"/>
    <cellStyle name="Heading 2 2 2 6 2 2 6 7" xfId="35200"/>
    <cellStyle name="Heading 2 2 2 6 2 2 6 7 2" xfId="35201"/>
    <cellStyle name="Heading 2 2 2 6 2 2 6 7 2 2" xfId="35202"/>
    <cellStyle name="Heading 2 2 2 6 2 2 6 7 3" xfId="35203"/>
    <cellStyle name="Heading 2 2 2 6 2 2 6 8" xfId="35204"/>
    <cellStyle name="Heading 2 2 2 6 2 2 6 8 2" xfId="35205"/>
    <cellStyle name="Heading 2 2 2 6 2 2 6 9" xfId="35206"/>
    <cellStyle name="Heading 2 2 2 6 2 2 7" xfId="35207"/>
    <cellStyle name="Heading 2 2 2 6 2 2 7 2" xfId="35208"/>
    <cellStyle name="Heading 2 2 2 6 2 2 7 2 2" xfId="35209"/>
    <cellStyle name="Heading 2 2 2 6 2 2 7 2 2 2" xfId="35210"/>
    <cellStyle name="Heading 2 2 2 6 2 2 7 2 3" xfId="35211"/>
    <cellStyle name="Heading 2 2 2 6 2 2 7 3" xfId="35212"/>
    <cellStyle name="Heading 2 2 2 6 2 2 7 3 2" xfId="35213"/>
    <cellStyle name="Heading 2 2 2 6 2 2 7 3 2 2" xfId="35214"/>
    <cellStyle name="Heading 2 2 2 6 2 2 7 3 3" xfId="35215"/>
    <cellStyle name="Heading 2 2 2 6 2 2 7 4" xfId="35216"/>
    <cellStyle name="Heading 2 2 2 6 2 2 7 4 2" xfId="35217"/>
    <cellStyle name="Heading 2 2 2 6 2 2 7 4 2 2" xfId="35218"/>
    <cellStyle name="Heading 2 2 2 6 2 2 7 4 3" xfId="35219"/>
    <cellStyle name="Heading 2 2 2 6 2 2 7 5" xfId="35220"/>
    <cellStyle name="Heading 2 2 2 6 2 2 7 5 2" xfId="35221"/>
    <cellStyle name="Heading 2 2 2 6 2 2 7 5 2 2" xfId="35222"/>
    <cellStyle name="Heading 2 2 2 6 2 2 7 5 3" xfId="35223"/>
    <cellStyle name="Heading 2 2 2 6 2 2 7 6" xfId="35224"/>
    <cellStyle name="Heading 2 2 2 6 2 2 7 6 2" xfId="35225"/>
    <cellStyle name="Heading 2 2 2 6 2 2 7 6 2 2" xfId="35226"/>
    <cellStyle name="Heading 2 2 2 6 2 2 7 6 3" xfId="35227"/>
    <cellStyle name="Heading 2 2 2 6 2 2 7 7" xfId="35228"/>
    <cellStyle name="Heading 2 2 2 6 2 2 7 7 2" xfId="35229"/>
    <cellStyle name="Heading 2 2 2 6 2 2 7 7 2 2" xfId="35230"/>
    <cellStyle name="Heading 2 2 2 6 2 2 7 7 3" xfId="35231"/>
    <cellStyle name="Heading 2 2 2 6 2 2 7 8" xfId="35232"/>
    <cellStyle name="Heading 2 2 2 6 2 2 7 8 2" xfId="35233"/>
    <cellStyle name="Heading 2 2 2 6 2 2 7 9" xfId="35234"/>
    <cellStyle name="Heading 2 2 2 6 2 2 8" xfId="35235"/>
    <cellStyle name="Heading 2 2 2 6 2 2 8 2" xfId="35236"/>
    <cellStyle name="Heading 2 2 2 6 2 2 8 2 2" xfId="35237"/>
    <cellStyle name="Heading 2 2 2 6 2 2 8 2 2 2" xfId="35238"/>
    <cellStyle name="Heading 2 2 2 6 2 2 8 2 3" xfId="35239"/>
    <cellStyle name="Heading 2 2 2 6 2 2 8 3" xfId="35240"/>
    <cellStyle name="Heading 2 2 2 6 2 2 8 3 2" xfId="35241"/>
    <cellStyle name="Heading 2 2 2 6 2 2 8 3 2 2" xfId="35242"/>
    <cellStyle name="Heading 2 2 2 6 2 2 8 3 3" xfId="35243"/>
    <cellStyle name="Heading 2 2 2 6 2 2 8 4" xfId="35244"/>
    <cellStyle name="Heading 2 2 2 6 2 2 8 4 2" xfId="35245"/>
    <cellStyle name="Heading 2 2 2 6 2 2 8 4 2 2" xfId="35246"/>
    <cellStyle name="Heading 2 2 2 6 2 2 8 4 3" xfId="35247"/>
    <cellStyle name="Heading 2 2 2 6 2 2 8 5" xfId="35248"/>
    <cellStyle name="Heading 2 2 2 6 2 2 8 5 2" xfId="35249"/>
    <cellStyle name="Heading 2 2 2 6 2 2 8 5 2 2" xfId="35250"/>
    <cellStyle name="Heading 2 2 2 6 2 2 8 5 3" xfId="35251"/>
    <cellStyle name="Heading 2 2 2 6 2 2 8 6" xfId="35252"/>
    <cellStyle name="Heading 2 2 2 6 2 2 8 6 2" xfId="35253"/>
    <cellStyle name="Heading 2 2 2 6 2 2 8 6 2 2" xfId="35254"/>
    <cellStyle name="Heading 2 2 2 6 2 2 8 6 3" xfId="35255"/>
    <cellStyle name="Heading 2 2 2 6 2 2 8 7" xfId="35256"/>
    <cellStyle name="Heading 2 2 2 6 2 2 8 7 2" xfId="35257"/>
    <cellStyle name="Heading 2 2 2 6 2 2 8 7 2 2" xfId="35258"/>
    <cellStyle name="Heading 2 2 2 6 2 2 8 7 3" xfId="35259"/>
    <cellStyle name="Heading 2 2 2 6 2 2 8 8" xfId="35260"/>
    <cellStyle name="Heading 2 2 2 6 2 2 8 8 2" xfId="35261"/>
    <cellStyle name="Heading 2 2 2 6 2 2 8 9" xfId="35262"/>
    <cellStyle name="Heading 2 2 2 6 2 2 9" xfId="35263"/>
    <cellStyle name="Heading 2 2 2 6 2 2 9 2" xfId="35264"/>
    <cellStyle name="Heading 2 2 2 6 2 2 9 2 2" xfId="35265"/>
    <cellStyle name="Heading 2 2 2 6 2 2 9 3" xfId="35266"/>
    <cellStyle name="Heading 2 2 2 6 2 20" xfId="35267"/>
    <cellStyle name="Heading 2 2 2 6 2 20 2" xfId="35268"/>
    <cellStyle name="Heading 2 2 2 6 2 21" xfId="35269"/>
    <cellStyle name="Heading 2 2 2 6 2 21 2" xfId="35270"/>
    <cellStyle name="Heading 2 2 2 6 2 22" xfId="35271"/>
    <cellStyle name="Heading 2 2 2 6 2 22 2" xfId="35272"/>
    <cellStyle name="Heading 2 2 2 6 2 23" xfId="35273"/>
    <cellStyle name="Heading 2 2 2 6 2 3" xfId="35274"/>
    <cellStyle name="Heading 2 2 2 6 2 3 2" xfId="35275"/>
    <cellStyle name="Heading 2 2 2 6 2 3 2 2" xfId="35276"/>
    <cellStyle name="Heading 2 2 2 6 2 3 2 2 2" xfId="35277"/>
    <cellStyle name="Heading 2 2 2 6 2 3 2 3" xfId="35278"/>
    <cellStyle name="Heading 2 2 2 6 2 3 3" xfId="35279"/>
    <cellStyle name="Heading 2 2 2 6 2 3 3 2" xfId="35280"/>
    <cellStyle name="Heading 2 2 2 6 2 3 3 2 2" xfId="35281"/>
    <cellStyle name="Heading 2 2 2 6 2 3 3 3" xfId="35282"/>
    <cellStyle name="Heading 2 2 2 6 2 3 4" xfId="35283"/>
    <cellStyle name="Heading 2 2 2 6 2 3 4 2" xfId="35284"/>
    <cellStyle name="Heading 2 2 2 6 2 3 4 2 2" xfId="35285"/>
    <cellStyle name="Heading 2 2 2 6 2 3 4 3" xfId="35286"/>
    <cellStyle name="Heading 2 2 2 6 2 3 5" xfId="35287"/>
    <cellStyle name="Heading 2 2 2 6 2 3 5 2" xfId="35288"/>
    <cellStyle name="Heading 2 2 2 6 2 3 5 2 2" xfId="35289"/>
    <cellStyle name="Heading 2 2 2 6 2 3 5 3" xfId="35290"/>
    <cellStyle name="Heading 2 2 2 6 2 3 6" xfId="35291"/>
    <cellStyle name="Heading 2 2 2 6 2 3 6 2" xfId="35292"/>
    <cellStyle name="Heading 2 2 2 6 2 3 6 2 2" xfId="35293"/>
    <cellStyle name="Heading 2 2 2 6 2 3 6 3" xfId="35294"/>
    <cellStyle name="Heading 2 2 2 6 2 3 7" xfId="35295"/>
    <cellStyle name="Heading 2 2 2 6 2 3 7 2" xfId="35296"/>
    <cellStyle name="Heading 2 2 2 6 2 3 7 2 2" xfId="35297"/>
    <cellStyle name="Heading 2 2 2 6 2 3 7 3" xfId="35298"/>
    <cellStyle name="Heading 2 2 2 6 2 3 8" xfId="35299"/>
    <cellStyle name="Heading 2 2 2 6 2 3 8 2" xfId="35300"/>
    <cellStyle name="Heading 2 2 2 6 2 3 9" xfId="35301"/>
    <cellStyle name="Heading 2 2 2 6 2 4" xfId="35302"/>
    <cellStyle name="Heading 2 2 2 6 2 4 2" xfId="35303"/>
    <cellStyle name="Heading 2 2 2 6 2 4 2 2" xfId="35304"/>
    <cellStyle name="Heading 2 2 2 6 2 4 2 2 2" xfId="35305"/>
    <cellStyle name="Heading 2 2 2 6 2 4 2 3" xfId="35306"/>
    <cellStyle name="Heading 2 2 2 6 2 4 3" xfId="35307"/>
    <cellStyle name="Heading 2 2 2 6 2 4 3 2" xfId="35308"/>
    <cellStyle name="Heading 2 2 2 6 2 4 3 2 2" xfId="35309"/>
    <cellStyle name="Heading 2 2 2 6 2 4 3 3" xfId="35310"/>
    <cellStyle name="Heading 2 2 2 6 2 4 4" xfId="35311"/>
    <cellStyle name="Heading 2 2 2 6 2 4 4 2" xfId="35312"/>
    <cellStyle name="Heading 2 2 2 6 2 4 4 2 2" xfId="35313"/>
    <cellStyle name="Heading 2 2 2 6 2 4 4 3" xfId="35314"/>
    <cellStyle name="Heading 2 2 2 6 2 4 5" xfId="35315"/>
    <cellStyle name="Heading 2 2 2 6 2 4 5 2" xfId="35316"/>
    <cellStyle name="Heading 2 2 2 6 2 4 5 2 2" xfId="35317"/>
    <cellStyle name="Heading 2 2 2 6 2 4 5 3" xfId="35318"/>
    <cellStyle name="Heading 2 2 2 6 2 4 6" xfId="35319"/>
    <cellStyle name="Heading 2 2 2 6 2 4 6 2" xfId="35320"/>
    <cellStyle name="Heading 2 2 2 6 2 4 6 2 2" xfId="35321"/>
    <cellStyle name="Heading 2 2 2 6 2 4 6 3" xfId="35322"/>
    <cellStyle name="Heading 2 2 2 6 2 4 7" xfId="35323"/>
    <cellStyle name="Heading 2 2 2 6 2 4 7 2" xfId="35324"/>
    <cellStyle name="Heading 2 2 2 6 2 4 7 2 2" xfId="35325"/>
    <cellStyle name="Heading 2 2 2 6 2 4 7 3" xfId="35326"/>
    <cellStyle name="Heading 2 2 2 6 2 4 8" xfId="35327"/>
    <cellStyle name="Heading 2 2 2 6 2 4 8 2" xfId="35328"/>
    <cellStyle name="Heading 2 2 2 6 2 4 9" xfId="35329"/>
    <cellStyle name="Heading 2 2 2 6 2 5" xfId="35330"/>
    <cellStyle name="Heading 2 2 2 6 2 5 2" xfId="35331"/>
    <cellStyle name="Heading 2 2 2 6 2 5 2 2" xfId="35332"/>
    <cellStyle name="Heading 2 2 2 6 2 5 2 2 2" xfId="35333"/>
    <cellStyle name="Heading 2 2 2 6 2 5 2 3" xfId="35334"/>
    <cellStyle name="Heading 2 2 2 6 2 5 3" xfId="35335"/>
    <cellStyle name="Heading 2 2 2 6 2 5 3 2" xfId="35336"/>
    <cellStyle name="Heading 2 2 2 6 2 5 3 2 2" xfId="35337"/>
    <cellStyle name="Heading 2 2 2 6 2 5 3 3" xfId="35338"/>
    <cellStyle name="Heading 2 2 2 6 2 5 4" xfId="35339"/>
    <cellStyle name="Heading 2 2 2 6 2 5 4 2" xfId="35340"/>
    <cellStyle name="Heading 2 2 2 6 2 5 4 2 2" xfId="35341"/>
    <cellStyle name="Heading 2 2 2 6 2 5 4 3" xfId="35342"/>
    <cellStyle name="Heading 2 2 2 6 2 5 5" xfId="35343"/>
    <cellStyle name="Heading 2 2 2 6 2 5 5 2" xfId="35344"/>
    <cellStyle name="Heading 2 2 2 6 2 5 5 2 2" xfId="35345"/>
    <cellStyle name="Heading 2 2 2 6 2 5 5 3" xfId="35346"/>
    <cellStyle name="Heading 2 2 2 6 2 5 6" xfId="35347"/>
    <cellStyle name="Heading 2 2 2 6 2 5 6 2" xfId="35348"/>
    <cellStyle name="Heading 2 2 2 6 2 5 6 2 2" xfId="35349"/>
    <cellStyle name="Heading 2 2 2 6 2 5 6 3" xfId="35350"/>
    <cellStyle name="Heading 2 2 2 6 2 5 7" xfId="35351"/>
    <cellStyle name="Heading 2 2 2 6 2 5 7 2" xfId="35352"/>
    <cellStyle name="Heading 2 2 2 6 2 5 7 2 2" xfId="35353"/>
    <cellStyle name="Heading 2 2 2 6 2 5 7 3" xfId="35354"/>
    <cellStyle name="Heading 2 2 2 6 2 5 8" xfId="35355"/>
    <cellStyle name="Heading 2 2 2 6 2 5 8 2" xfId="35356"/>
    <cellStyle name="Heading 2 2 2 6 2 5 9" xfId="35357"/>
    <cellStyle name="Heading 2 2 2 6 2 6" xfId="35358"/>
    <cellStyle name="Heading 2 2 2 6 2 6 2" xfId="35359"/>
    <cellStyle name="Heading 2 2 2 6 2 6 2 2" xfId="35360"/>
    <cellStyle name="Heading 2 2 2 6 2 6 2 2 2" xfId="35361"/>
    <cellStyle name="Heading 2 2 2 6 2 6 2 3" xfId="35362"/>
    <cellStyle name="Heading 2 2 2 6 2 6 3" xfId="35363"/>
    <cellStyle name="Heading 2 2 2 6 2 6 3 2" xfId="35364"/>
    <cellStyle name="Heading 2 2 2 6 2 6 3 2 2" xfId="35365"/>
    <cellStyle name="Heading 2 2 2 6 2 6 3 3" xfId="35366"/>
    <cellStyle name="Heading 2 2 2 6 2 6 4" xfId="35367"/>
    <cellStyle name="Heading 2 2 2 6 2 6 4 2" xfId="35368"/>
    <cellStyle name="Heading 2 2 2 6 2 6 4 2 2" xfId="35369"/>
    <cellStyle name="Heading 2 2 2 6 2 6 4 3" xfId="35370"/>
    <cellStyle name="Heading 2 2 2 6 2 6 5" xfId="35371"/>
    <cellStyle name="Heading 2 2 2 6 2 6 5 2" xfId="35372"/>
    <cellStyle name="Heading 2 2 2 6 2 6 5 2 2" xfId="35373"/>
    <cellStyle name="Heading 2 2 2 6 2 6 5 3" xfId="35374"/>
    <cellStyle name="Heading 2 2 2 6 2 6 6" xfId="35375"/>
    <cellStyle name="Heading 2 2 2 6 2 6 6 2" xfId="35376"/>
    <cellStyle name="Heading 2 2 2 6 2 6 6 2 2" xfId="35377"/>
    <cellStyle name="Heading 2 2 2 6 2 6 6 3" xfId="35378"/>
    <cellStyle name="Heading 2 2 2 6 2 6 7" xfId="35379"/>
    <cellStyle name="Heading 2 2 2 6 2 6 7 2" xfId="35380"/>
    <cellStyle name="Heading 2 2 2 6 2 6 7 2 2" xfId="35381"/>
    <cellStyle name="Heading 2 2 2 6 2 6 7 3" xfId="35382"/>
    <cellStyle name="Heading 2 2 2 6 2 6 8" xfId="35383"/>
    <cellStyle name="Heading 2 2 2 6 2 6 8 2" xfId="35384"/>
    <cellStyle name="Heading 2 2 2 6 2 6 9" xfId="35385"/>
    <cellStyle name="Heading 2 2 2 6 2 7" xfId="35386"/>
    <cellStyle name="Heading 2 2 2 6 2 7 2" xfId="35387"/>
    <cellStyle name="Heading 2 2 2 6 2 7 2 2" xfId="35388"/>
    <cellStyle name="Heading 2 2 2 6 2 7 2 2 2" xfId="35389"/>
    <cellStyle name="Heading 2 2 2 6 2 7 2 3" xfId="35390"/>
    <cellStyle name="Heading 2 2 2 6 2 7 3" xfId="35391"/>
    <cellStyle name="Heading 2 2 2 6 2 7 3 2" xfId="35392"/>
    <cellStyle name="Heading 2 2 2 6 2 7 3 2 2" xfId="35393"/>
    <cellStyle name="Heading 2 2 2 6 2 7 3 3" xfId="35394"/>
    <cellStyle name="Heading 2 2 2 6 2 7 4" xfId="35395"/>
    <cellStyle name="Heading 2 2 2 6 2 7 4 2" xfId="35396"/>
    <cellStyle name="Heading 2 2 2 6 2 7 4 2 2" xfId="35397"/>
    <cellStyle name="Heading 2 2 2 6 2 7 4 3" xfId="35398"/>
    <cellStyle name="Heading 2 2 2 6 2 7 5" xfId="35399"/>
    <cellStyle name="Heading 2 2 2 6 2 7 5 2" xfId="35400"/>
    <cellStyle name="Heading 2 2 2 6 2 7 5 2 2" xfId="35401"/>
    <cellStyle name="Heading 2 2 2 6 2 7 5 3" xfId="35402"/>
    <cellStyle name="Heading 2 2 2 6 2 7 6" xfId="35403"/>
    <cellStyle name="Heading 2 2 2 6 2 7 6 2" xfId="35404"/>
    <cellStyle name="Heading 2 2 2 6 2 7 6 2 2" xfId="35405"/>
    <cellStyle name="Heading 2 2 2 6 2 7 6 3" xfId="35406"/>
    <cellStyle name="Heading 2 2 2 6 2 7 7" xfId="35407"/>
    <cellStyle name="Heading 2 2 2 6 2 7 7 2" xfId="35408"/>
    <cellStyle name="Heading 2 2 2 6 2 7 7 2 2" xfId="35409"/>
    <cellStyle name="Heading 2 2 2 6 2 7 7 3" xfId="35410"/>
    <cellStyle name="Heading 2 2 2 6 2 7 8" xfId="35411"/>
    <cellStyle name="Heading 2 2 2 6 2 7 8 2" xfId="35412"/>
    <cellStyle name="Heading 2 2 2 6 2 7 9" xfId="35413"/>
    <cellStyle name="Heading 2 2 2 6 2 8" xfId="35414"/>
    <cellStyle name="Heading 2 2 2 6 2 8 2" xfId="35415"/>
    <cellStyle name="Heading 2 2 2 6 2 8 2 2" xfId="35416"/>
    <cellStyle name="Heading 2 2 2 6 2 8 2 2 2" xfId="35417"/>
    <cellStyle name="Heading 2 2 2 6 2 8 2 3" xfId="35418"/>
    <cellStyle name="Heading 2 2 2 6 2 8 3" xfId="35419"/>
    <cellStyle name="Heading 2 2 2 6 2 8 3 2" xfId="35420"/>
    <cellStyle name="Heading 2 2 2 6 2 8 3 2 2" xfId="35421"/>
    <cellStyle name="Heading 2 2 2 6 2 8 3 3" xfId="35422"/>
    <cellStyle name="Heading 2 2 2 6 2 8 4" xfId="35423"/>
    <cellStyle name="Heading 2 2 2 6 2 8 4 2" xfId="35424"/>
    <cellStyle name="Heading 2 2 2 6 2 8 4 2 2" xfId="35425"/>
    <cellStyle name="Heading 2 2 2 6 2 8 4 3" xfId="35426"/>
    <cellStyle name="Heading 2 2 2 6 2 8 5" xfId="35427"/>
    <cellStyle name="Heading 2 2 2 6 2 8 5 2" xfId="35428"/>
    <cellStyle name="Heading 2 2 2 6 2 8 5 2 2" xfId="35429"/>
    <cellStyle name="Heading 2 2 2 6 2 8 5 3" xfId="35430"/>
    <cellStyle name="Heading 2 2 2 6 2 8 6" xfId="35431"/>
    <cellStyle name="Heading 2 2 2 6 2 8 6 2" xfId="35432"/>
    <cellStyle name="Heading 2 2 2 6 2 8 6 2 2" xfId="35433"/>
    <cellStyle name="Heading 2 2 2 6 2 8 6 3" xfId="35434"/>
    <cellStyle name="Heading 2 2 2 6 2 8 7" xfId="35435"/>
    <cellStyle name="Heading 2 2 2 6 2 8 7 2" xfId="35436"/>
    <cellStyle name="Heading 2 2 2 6 2 8 7 2 2" xfId="35437"/>
    <cellStyle name="Heading 2 2 2 6 2 8 7 3" xfId="35438"/>
    <cellStyle name="Heading 2 2 2 6 2 8 8" xfId="35439"/>
    <cellStyle name="Heading 2 2 2 6 2 8 8 2" xfId="35440"/>
    <cellStyle name="Heading 2 2 2 6 2 8 9" xfId="35441"/>
    <cellStyle name="Heading 2 2 2 6 2 9" xfId="35442"/>
    <cellStyle name="Heading 2 2 2 6 2 9 2" xfId="35443"/>
    <cellStyle name="Heading 2 2 2 6 2 9 2 2" xfId="35444"/>
    <cellStyle name="Heading 2 2 2 6 2 9 2 2 2" xfId="35445"/>
    <cellStyle name="Heading 2 2 2 6 2 9 2 3" xfId="35446"/>
    <cellStyle name="Heading 2 2 2 6 2 9 3" xfId="35447"/>
    <cellStyle name="Heading 2 2 2 6 2 9 3 2" xfId="35448"/>
    <cellStyle name="Heading 2 2 2 6 2 9 3 2 2" xfId="35449"/>
    <cellStyle name="Heading 2 2 2 6 2 9 3 3" xfId="35450"/>
    <cellStyle name="Heading 2 2 2 6 2 9 4" xfId="35451"/>
    <cellStyle name="Heading 2 2 2 6 2 9 4 2" xfId="35452"/>
    <cellStyle name="Heading 2 2 2 6 2 9 4 2 2" xfId="35453"/>
    <cellStyle name="Heading 2 2 2 6 2 9 4 3" xfId="35454"/>
    <cellStyle name="Heading 2 2 2 6 2 9 5" xfId="35455"/>
    <cellStyle name="Heading 2 2 2 6 2 9 5 2" xfId="35456"/>
    <cellStyle name="Heading 2 2 2 6 2 9 5 2 2" xfId="35457"/>
    <cellStyle name="Heading 2 2 2 6 2 9 5 3" xfId="35458"/>
    <cellStyle name="Heading 2 2 2 6 2 9 6" xfId="35459"/>
    <cellStyle name="Heading 2 2 2 6 2 9 6 2" xfId="35460"/>
    <cellStyle name="Heading 2 2 2 6 2 9 6 2 2" xfId="35461"/>
    <cellStyle name="Heading 2 2 2 6 2 9 6 3" xfId="35462"/>
    <cellStyle name="Heading 2 2 2 6 2 9 7" xfId="35463"/>
    <cellStyle name="Heading 2 2 2 6 2 9 7 2" xfId="35464"/>
    <cellStyle name="Heading 2 2 2 6 2 9 7 2 2" xfId="35465"/>
    <cellStyle name="Heading 2 2 2 6 2 9 7 3" xfId="35466"/>
    <cellStyle name="Heading 2 2 2 6 2 9 8" xfId="35467"/>
    <cellStyle name="Heading 2 2 2 6 2 9 8 2" xfId="35468"/>
    <cellStyle name="Heading 2 2 2 6 2 9 9" xfId="35469"/>
    <cellStyle name="Heading 2 2 2 6 3" xfId="35470"/>
    <cellStyle name="Heading 2 2 2 6 3 10" xfId="35471"/>
    <cellStyle name="Heading 2 2 2 6 3 10 2" xfId="35472"/>
    <cellStyle name="Heading 2 2 2 6 3 10 2 2" xfId="35473"/>
    <cellStyle name="Heading 2 2 2 6 3 10 3" xfId="35474"/>
    <cellStyle name="Heading 2 2 2 6 3 11" xfId="35475"/>
    <cellStyle name="Heading 2 2 2 6 3 11 2" xfId="35476"/>
    <cellStyle name="Heading 2 2 2 6 3 11 2 2" xfId="35477"/>
    <cellStyle name="Heading 2 2 2 6 3 11 3" xfId="35478"/>
    <cellStyle name="Heading 2 2 2 6 3 12" xfId="35479"/>
    <cellStyle name="Heading 2 2 2 6 3 12 2" xfId="35480"/>
    <cellStyle name="Heading 2 2 2 6 3 12 2 2" xfId="35481"/>
    <cellStyle name="Heading 2 2 2 6 3 12 3" xfId="35482"/>
    <cellStyle name="Heading 2 2 2 6 3 13" xfId="35483"/>
    <cellStyle name="Heading 2 2 2 6 3 13 2" xfId="35484"/>
    <cellStyle name="Heading 2 2 2 6 3 13 2 2" xfId="35485"/>
    <cellStyle name="Heading 2 2 2 6 3 13 3" xfId="35486"/>
    <cellStyle name="Heading 2 2 2 6 3 14" xfId="35487"/>
    <cellStyle name="Heading 2 2 2 6 3 14 2" xfId="35488"/>
    <cellStyle name="Heading 2 2 2 6 3 14 2 2" xfId="35489"/>
    <cellStyle name="Heading 2 2 2 6 3 14 3" xfId="35490"/>
    <cellStyle name="Heading 2 2 2 6 3 15" xfId="35491"/>
    <cellStyle name="Heading 2 2 2 6 3 15 2" xfId="35492"/>
    <cellStyle name="Heading 2 2 2 6 3 15 2 2" xfId="35493"/>
    <cellStyle name="Heading 2 2 2 6 3 15 3" xfId="35494"/>
    <cellStyle name="Heading 2 2 2 6 3 16" xfId="35495"/>
    <cellStyle name="Heading 2 2 2 6 3 16 2" xfId="35496"/>
    <cellStyle name="Heading 2 2 2 6 3 16 2 2" xfId="35497"/>
    <cellStyle name="Heading 2 2 2 6 3 16 3" xfId="35498"/>
    <cellStyle name="Heading 2 2 2 6 3 17" xfId="35499"/>
    <cellStyle name="Heading 2 2 2 6 3 17 2" xfId="35500"/>
    <cellStyle name="Heading 2 2 2 6 3 17 2 2" xfId="35501"/>
    <cellStyle name="Heading 2 2 2 6 3 17 3" xfId="35502"/>
    <cellStyle name="Heading 2 2 2 6 3 18" xfId="35503"/>
    <cellStyle name="Heading 2 2 2 6 3 18 2" xfId="35504"/>
    <cellStyle name="Heading 2 2 2 6 3 18 2 2" xfId="35505"/>
    <cellStyle name="Heading 2 2 2 6 3 18 3" xfId="35506"/>
    <cellStyle name="Heading 2 2 2 6 3 19" xfId="35507"/>
    <cellStyle name="Heading 2 2 2 6 3 19 2" xfId="35508"/>
    <cellStyle name="Heading 2 2 2 6 3 2" xfId="35509"/>
    <cellStyle name="Heading 2 2 2 6 3 2 2" xfId="35510"/>
    <cellStyle name="Heading 2 2 2 6 3 2 2 2" xfId="35511"/>
    <cellStyle name="Heading 2 2 2 6 3 2 2 2 2" xfId="35512"/>
    <cellStyle name="Heading 2 2 2 6 3 2 2 3" xfId="35513"/>
    <cellStyle name="Heading 2 2 2 6 3 2 3" xfId="35514"/>
    <cellStyle name="Heading 2 2 2 6 3 2 3 2" xfId="35515"/>
    <cellStyle name="Heading 2 2 2 6 3 2 3 2 2" xfId="35516"/>
    <cellStyle name="Heading 2 2 2 6 3 2 3 3" xfId="35517"/>
    <cellStyle name="Heading 2 2 2 6 3 2 4" xfId="35518"/>
    <cellStyle name="Heading 2 2 2 6 3 2 4 2" xfId="35519"/>
    <cellStyle name="Heading 2 2 2 6 3 2 4 2 2" xfId="35520"/>
    <cellStyle name="Heading 2 2 2 6 3 2 4 3" xfId="35521"/>
    <cellStyle name="Heading 2 2 2 6 3 2 5" xfId="35522"/>
    <cellStyle name="Heading 2 2 2 6 3 2 5 2" xfId="35523"/>
    <cellStyle name="Heading 2 2 2 6 3 2 5 2 2" xfId="35524"/>
    <cellStyle name="Heading 2 2 2 6 3 2 5 3" xfId="35525"/>
    <cellStyle name="Heading 2 2 2 6 3 2 6" xfId="35526"/>
    <cellStyle name="Heading 2 2 2 6 3 2 6 2" xfId="35527"/>
    <cellStyle name="Heading 2 2 2 6 3 2 6 2 2" xfId="35528"/>
    <cellStyle name="Heading 2 2 2 6 3 2 6 3" xfId="35529"/>
    <cellStyle name="Heading 2 2 2 6 3 2 7" xfId="35530"/>
    <cellStyle name="Heading 2 2 2 6 3 2 7 2" xfId="35531"/>
    <cellStyle name="Heading 2 2 2 6 3 2 7 2 2" xfId="35532"/>
    <cellStyle name="Heading 2 2 2 6 3 2 7 3" xfId="35533"/>
    <cellStyle name="Heading 2 2 2 6 3 2 8" xfId="35534"/>
    <cellStyle name="Heading 2 2 2 6 3 2 8 2" xfId="35535"/>
    <cellStyle name="Heading 2 2 2 6 3 2 9" xfId="35536"/>
    <cellStyle name="Heading 2 2 2 6 3 20" xfId="35537"/>
    <cellStyle name="Heading 2 2 2 6 3 20 2" xfId="35538"/>
    <cellStyle name="Heading 2 2 2 6 3 21" xfId="35539"/>
    <cellStyle name="Heading 2 2 2 6 3 21 2" xfId="35540"/>
    <cellStyle name="Heading 2 2 2 6 3 22" xfId="35541"/>
    <cellStyle name="Heading 2 2 2 6 3 3" xfId="35542"/>
    <cellStyle name="Heading 2 2 2 6 3 3 2" xfId="35543"/>
    <cellStyle name="Heading 2 2 2 6 3 3 2 2" xfId="35544"/>
    <cellStyle name="Heading 2 2 2 6 3 3 2 2 2" xfId="35545"/>
    <cellStyle name="Heading 2 2 2 6 3 3 2 3" xfId="35546"/>
    <cellStyle name="Heading 2 2 2 6 3 3 3" xfId="35547"/>
    <cellStyle name="Heading 2 2 2 6 3 3 3 2" xfId="35548"/>
    <cellStyle name="Heading 2 2 2 6 3 3 3 2 2" xfId="35549"/>
    <cellStyle name="Heading 2 2 2 6 3 3 3 3" xfId="35550"/>
    <cellStyle name="Heading 2 2 2 6 3 3 4" xfId="35551"/>
    <cellStyle name="Heading 2 2 2 6 3 3 4 2" xfId="35552"/>
    <cellStyle name="Heading 2 2 2 6 3 3 4 2 2" xfId="35553"/>
    <cellStyle name="Heading 2 2 2 6 3 3 4 3" xfId="35554"/>
    <cellStyle name="Heading 2 2 2 6 3 3 5" xfId="35555"/>
    <cellStyle name="Heading 2 2 2 6 3 3 5 2" xfId="35556"/>
    <cellStyle name="Heading 2 2 2 6 3 3 5 2 2" xfId="35557"/>
    <cellStyle name="Heading 2 2 2 6 3 3 5 3" xfId="35558"/>
    <cellStyle name="Heading 2 2 2 6 3 3 6" xfId="35559"/>
    <cellStyle name="Heading 2 2 2 6 3 3 6 2" xfId="35560"/>
    <cellStyle name="Heading 2 2 2 6 3 3 6 2 2" xfId="35561"/>
    <cellStyle name="Heading 2 2 2 6 3 3 6 3" xfId="35562"/>
    <cellStyle name="Heading 2 2 2 6 3 3 7" xfId="35563"/>
    <cellStyle name="Heading 2 2 2 6 3 3 7 2" xfId="35564"/>
    <cellStyle name="Heading 2 2 2 6 3 3 7 2 2" xfId="35565"/>
    <cellStyle name="Heading 2 2 2 6 3 3 7 3" xfId="35566"/>
    <cellStyle name="Heading 2 2 2 6 3 3 8" xfId="35567"/>
    <cellStyle name="Heading 2 2 2 6 3 3 8 2" xfId="35568"/>
    <cellStyle name="Heading 2 2 2 6 3 3 9" xfId="35569"/>
    <cellStyle name="Heading 2 2 2 6 3 4" xfId="35570"/>
    <cellStyle name="Heading 2 2 2 6 3 4 2" xfId="35571"/>
    <cellStyle name="Heading 2 2 2 6 3 4 2 2" xfId="35572"/>
    <cellStyle name="Heading 2 2 2 6 3 4 2 2 2" xfId="35573"/>
    <cellStyle name="Heading 2 2 2 6 3 4 2 3" xfId="35574"/>
    <cellStyle name="Heading 2 2 2 6 3 4 3" xfId="35575"/>
    <cellStyle name="Heading 2 2 2 6 3 4 3 2" xfId="35576"/>
    <cellStyle name="Heading 2 2 2 6 3 4 3 2 2" xfId="35577"/>
    <cellStyle name="Heading 2 2 2 6 3 4 3 3" xfId="35578"/>
    <cellStyle name="Heading 2 2 2 6 3 4 4" xfId="35579"/>
    <cellStyle name="Heading 2 2 2 6 3 4 4 2" xfId="35580"/>
    <cellStyle name="Heading 2 2 2 6 3 4 4 2 2" xfId="35581"/>
    <cellStyle name="Heading 2 2 2 6 3 4 4 3" xfId="35582"/>
    <cellStyle name="Heading 2 2 2 6 3 4 5" xfId="35583"/>
    <cellStyle name="Heading 2 2 2 6 3 4 5 2" xfId="35584"/>
    <cellStyle name="Heading 2 2 2 6 3 4 5 2 2" xfId="35585"/>
    <cellStyle name="Heading 2 2 2 6 3 4 5 3" xfId="35586"/>
    <cellStyle name="Heading 2 2 2 6 3 4 6" xfId="35587"/>
    <cellStyle name="Heading 2 2 2 6 3 4 6 2" xfId="35588"/>
    <cellStyle name="Heading 2 2 2 6 3 4 6 2 2" xfId="35589"/>
    <cellStyle name="Heading 2 2 2 6 3 4 6 3" xfId="35590"/>
    <cellStyle name="Heading 2 2 2 6 3 4 7" xfId="35591"/>
    <cellStyle name="Heading 2 2 2 6 3 4 7 2" xfId="35592"/>
    <cellStyle name="Heading 2 2 2 6 3 4 7 2 2" xfId="35593"/>
    <cellStyle name="Heading 2 2 2 6 3 4 7 3" xfId="35594"/>
    <cellStyle name="Heading 2 2 2 6 3 4 8" xfId="35595"/>
    <cellStyle name="Heading 2 2 2 6 3 4 8 2" xfId="35596"/>
    <cellStyle name="Heading 2 2 2 6 3 4 9" xfId="35597"/>
    <cellStyle name="Heading 2 2 2 6 3 5" xfId="35598"/>
    <cellStyle name="Heading 2 2 2 6 3 5 2" xfId="35599"/>
    <cellStyle name="Heading 2 2 2 6 3 5 2 2" xfId="35600"/>
    <cellStyle name="Heading 2 2 2 6 3 5 2 2 2" xfId="35601"/>
    <cellStyle name="Heading 2 2 2 6 3 5 2 3" xfId="35602"/>
    <cellStyle name="Heading 2 2 2 6 3 5 3" xfId="35603"/>
    <cellStyle name="Heading 2 2 2 6 3 5 3 2" xfId="35604"/>
    <cellStyle name="Heading 2 2 2 6 3 5 3 2 2" xfId="35605"/>
    <cellStyle name="Heading 2 2 2 6 3 5 3 3" xfId="35606"/>
    <cellStyle name="Heading 2 2 2 6 3 5 4" xfId="35607"/>
    <cellStyle name="Heading 2 2 2 6 3 5 4 2" xfId="35608"/>
    <cellStyle name="Heading 2 2 2 6 3 5 4 2 2" xfId="35609"/>
    <cellStyle name="Heading 2 2 2 6 3 5 4 3" xfId="35610"/>
    <cellStyle name="Heading 2 2 2 6 3 5 5" xfId="35611"/>
    <cellStyle name="Heading 2 2 2 6 3 5 5 2" xfId="35612"/>
    <cellStyle name="Heading 2 2 2 6 3 5 5 2 2" xfId="35613"/>
    <cellStyle name="Heading 2 2 2 6 3 5 5 3" xfId="35614"/>
    <cellStyle name="Heading 2 2 2 6 3 5 6" xfId="35615"/>
    <cellStyle name="Heading 2 2 2 6 3 5 6 2" xfId="35616"/>
    <cellStyle name="Heading 2 2 2 6 3 5 6 2 2" xfId="35617"/>
    <cellStyle name="Heading 2 2 2 6 3 5 6 3" xfId="35618"/>
    <cellStyle name="Heading 2 2 2 6 3 5 7" xfId="35619"/>
    <cellStyle name="Heading 2 2 2 6 3 5 7 2" xfId="35620"/>
    <cellStyle name="Heading 2 2 2 6 3 5 7 2 2" xfId="35621"/>
    <cellStyle name="Heading 2 2 2 6 3 5 7 3" xfId="35622"/>
    <cellStyle name="Heading 2 2 2 6 3 5 8" xfId="35623"/>
    <cellStyle name="Heading 2 2 2 6 3 5 8 2" xfId="35624"/>
    <cellStyle name="Heading 2 2 2 6 3 5 9" xfId="35625"/>
    <cellStyle name="Heading 2 2 2 6 3 6" xfId="35626"/>
    <cellStyle name="Heading 2 2 2 6 3 6 2" xfId="35627"/>
    <cellStyle name="Heading 2 2 2 6 3 6 2 2" xfId="35628"/>
    <cellStyle name="Heading 2 2 2 6 3 6 2 2 2" xfId="35629"/>
    <cellStyle name="Heading 2 2 2 6 3 6 2 3" xfId="35630"/>
    <cellStyle name="Heading 2 2 2 6 3 6 3" xfId="35631"/>
    <cellStyle name="Heading 2 2 2 6 3 6 3 2" xfId="35632"/>
    <cellStyle name="Heading 2 2 2 6 3 6 3 2 2" xfId="35633"/>
    <cellStyle name="Heading 2 2 2 6 3 6 3 3" xfId="35634"/>
    <cellStyle name="Heading 2 2 2 6 3 6 4" xfId="35635"/>
    <cellStyle name="Heading 2 2 2 6 3 6 4 2" xfId="35636"/>
    <cellStyle name="Heading 2 2 2 6 3 6 4 2 2" xfId="35637"/>
    <cellStyle name="Heading 2 2 2 6 3 6 4 3" xfId="35638"/>
    <cellStyle name="Heading 2 2 2 6 3 6 5" xfId="35639"/>
    <cellStyle name="Heading 2 2 2 6 3 6 5 2" xfId="35640"/>
    <cellStyle name="Heading 2 2 2 6 3 6 5 2 2" xfId="35641"/>
    <cellStyle name="Heading 2 2 2 6 3 6 5 3" xfId="35642"/>
    <cellStyle name="Heading 2 2 2 6 3 6 6" xfId="35643"/>
    <cellStyle name="Heading 2 2 2 6 3 6 6 2" xfId="35644"/>
    <cellStyle name="Heading 2 2 2 6 3 6 6 2 2" xfId="35645"/>
    <cellStyle name="Heading 2 2 2 6 3 6 6 3" xfId="35646"/>
    <cellStyle name="Heading 2 2 2 6 3 6 7" xfId="35647"/>
    <cellStyle name="Heading 2 2 2 6 3 6 7 2" xfId="35648"/>
    <cellStyle name="Heading 2 2 2 6 3 6 7 2 2" xfId="35649"/>
    <cellStyle name="Heading 2 2 2 6 3 6 7 3" xfId="35650"/>
    <cellStyle name="Heading 2 2 2 6 3 6 8" xfId="35651"/>
    <cellStyle name="Heading 2 2 2 6 3 6 8 2" xfId="35652"/>
    <cellStyle name="Heading 2 2 2 6 3 6 9" xfId="35653"/>
    <cellStyle name="Heading 2 2 2 6 3 7" xfId="35654"/>
    <cellStyle name="Heading 2 2 2 6 3 7 2" xfId="35655"/>
    <cellStyle name="Heading 2 2 2 6 3 7 2 2" xfId="35656"/>
    <cellStyle name="Heading 2 2 2 6 3 7 2 2 2" xfId="35657"/>
    <cellStyle name="Heading 2 2 2 6 3 7 2 3" xfId="35658"/>
    <cellStyle name="Heading 2 2 2 6 3 7 3" xfId="35659"/>
    <cellStyle name="Heading 2 2 2 6 3 7 3 2" xfId="35660"/>
    <cellStyle name="Heading 2 2 2 6 3 7 3 2 2" xfId="35661"/>
    <cellStyle name="Heading 2 2 2 6 3 7 3 3" xfId="35662"/>
    <cellStyle name="Heading 2 2 2 6 3 7 4" xfId="35663"/>
    <cellStyle name="Heading 2 2 2 6 3 7 4 2" xfId="35664"/>
    <cellStyle name="Heading 2 2 2 6 3 7 4 2 2" xfId="35665"/>
    <cellStyle name="Heading 2 2 2 6 3 7 4 3" xfId="35666"/>
    <cellStyle name="Heading 2 2 2 6 3 7 5" xfId="35667"/>
    <cellStyle name="Heading 2 2 2 6 3 7 5 2" xfId="35668"/>
    <cellStyle name="Heading 2 2 2 6 3 7 5 2 2" xfId="35669"/>
    <cellStyle name="Heading 2 2 2 6 3 7 5 3" xfId="35670"/>
    <cellStyle name="Heading 2 2 2 6 3 7 6" xfId="35671"/>
    <cellStyle name="Heading 2 2 2 6 3 7 6 2" xfId="35672"/>
    <cellStyle name="Heading 2 2 2 6 3 7 6 2 2" xfId="35673"/>
    <cellStyle name="Heading 2 2 2 6 3 7 6 3" xfId="35674"/>
    <cellStyle name="Heading 2 2 2 6 3 7 7" xfId="35675"/>
    <cellStyle name="Heading 2 2 2 6 3 7 7 2" xfId="35676"/>
    <cellStyle name="Heading 2 2 2 6 3 7 7 2 2" xfId="35677"/>
    <cellStyle name="Heading 2 2 2 6 3 7 7 3" xfId="35678"/>
    <cellStyle name="Heading 2 2 2 6 3 7 8" xfId="35679"/>
    <cellStyle name="Heading 2 2 2 6 3 7 8 2" xfId="35680"/>
    <cellStyle name="Heading 2 2 2 6 3 7 9" xfId="35681"/>
    <cellStyle name="Heading 2 2 2 6 3 8" xfId="35682"/>
    <cellStyle name="Heading 2 2 2 6 3 8 2" xfId="35683"/>
    <cellStyle name="Heading 2 2 2 6 3 8 2 2" xfId="35684"/>
    <cellStyle name="Heading 2 2 2 6 3 8 2 2 2" xfId="35685"/>
    <cellStyle name="Heading 2 2 2 6 3 8 2 3" xfId="35686"/>
    <cellStyle name="Heading 2 2 2 6 3 8 3" xfId="35687"/>
    <cellStyle name="Heading 2 2 2 6 3 8 3 2" xfId="35688"/>
    <cellStyle name="Heading 2 2 2 6 3 8 3 2 2" xfId="35689"/>
    <cellStyle name="Heading 2 2 2 6 3 8 3 3" xfId="35690"/>
    <cellStyle name="Heading 2 2 2 6 3 8 4" xfId="35691"/>
    <cellStyle name="Heading 2 2 2 6 3 8 4 2" xfId="35692"/>
    <cellStyle name="Heading 2 2 2 6 3 8 4 2 2" xfId="35693"/>
    <cellStyle name="Heading 2 2 2 6 3 8 4 3" xfId="35694"/>
    <cellStyle name="Heading 2 2 2 6 3 8 5" xfId="35695"/>
    <cellStyle name="Heading 2 2 2 6 3 8 5 2" xfId="35696"/>
    <cellStyle name="Heading 2 2 2 6 3 8 5 2 2" xfId="35697"/>
    <cellStyle name="Heading 2 2 2 6 3 8 5 3" xfId="35698"/>
    <cellStyle name="Heading 2 2 2 6 3 8 6" xfId="35699"/>
    <cellStyle name="Heading 2 2 2 6 3 8 6 2" xfId="35700"/>
    <cellStyle name="Heading 2 2 2 6 3 8 6 2 2" xfId="35701"/>
    <cellStyle name="Heading 2 2 2 6 3 8 6 3" xfId="35702"/>
    <cellStyle name="Heading 2 2 2 6 3 8 7" xfId="35703"/>
    <cellStyle name="Heading 2 2 2 6 3 8 7 2" xfId="35704"/>
    <cellStyle name="Heading 2 2 2 6 3 8 7 2 2" xfId="35705"/>
    <cellStyle name="Heading 2 2 2 6 3 8 7 3" xfId="35706"/>
    <cellStyle name="Heading 2 2 2 6 3 8 8" xfId="35707"/>
    <cellStyle name="Heading 2 2 2 6 3 8 8 2" xfId="35708"/>
    <cellStyle name="Heading 2 2 2 6 3 8 9" xfId="35709"/>
    <cellStyle name="Heading 2 2 2 6 3 9" xfId="35710"/>
    <cellStyle name="Heading 2 2 2 6 3 9 2" xfId="35711"/>
    <cellStyle name="Heading 2 2 2 6 3 9 2 2" xfId="35712"/>
    <cellStyle name="Heading 2 2 2 6 3 9 3" xfId="35713"/>
    <cellStyle name="Heading 2 2 2 6 4" xfId="35714"/>
    <cellStyle name="Heading 2 2 2 6 4 2" xfId="35715"/>
    <cellStyle name="Heading 2 2 2 6 4 2 2" xfId="35716"/>
    <cellStyle name="Heading 2 2 2 6 4 3" xfId="35717"/>
    <cellStyle name="Heading 2 2 2 6 5" xfId="35718"/>
    <cellStyle name="Heading 2 2 2 6 5 2" xfId="35719"/>
    <cellStyle name="Heading 2 2 2 6 6" xfId="35720"/>
    <cellStyle name="Heading 2 2 2 7" xfId="35721"/>
    <cellStyle name="Heading 2 2 2 7 2" xfId="35722"/>
    <cellStyle name="Heading 2 2 2 7 2 10" xfId="35723"/>
    <cellStyle name="Heading 2 2 2 7 2 10 2" xfId="35724"/>
    <cellStyle name="Heading 2 2 2 7 2 10 2 2" xfId="35725"/>
    <cellStyle name="Heading 2 2 2 7 2 10 3" xfId="35726"/>
    <cellStyle name="Heading 2 2 2 7 2 11" xfId="35727"/>
    <cellStyle name="Heading 2 2 2 7 2 11 2" xfId="35728"/>
    <cellStyle name="Heading 2 2 2 7 2 11 2 2" xfId="35729"/>
    <cellStyle name="Heading 2 2 2 7 2 11 3" xfId="35730"/>
    <cellStyle name="Heading 2 2 2 7 2 12" xfId="35731"/>
    <cellStyle name="Heading 2 2 2 7 2 12 2" xfId="35732"/>
    <cellStyle name="Heading 2 2 2 7 2 12 2 2" xfId="35733"/>
    <cellStyle name="Heading 2 2 2 7 2 12 3" xfId="35734"/>
    <cellStyle name="Heading 2 2 2 7 2 13" xfId="35735"/>
    <cellStyle name="Heading 2 2 2 7 2 13 2" xfId="35736"/>
    <cellStyle name="Heading 2 2 2 7 2 13 2 2" xfId="35737"/>
    <cellStyle name="Heading 2 2 2 7 2 13 3" xfId="35738"/>
    <cellStyle name="Heading 2 2 2 7 2 14" xfId="35739"/>
    <cellStyle name="Heading 2 2 2 7 2 14 2" xfId="35740"/>
    <cellStyle name="Heading 2 2 2 7 2 14 2 2" xfId="35741"/>
    <cellStyle name="Heading 2 2 2 7 2 14 3" xfId="35742"/>
    <cellStyle name="Heading 2 2 2 7 2 15" xfId="35743"/>
    <cellStyle name="Heading 2 2 2 7 2 15 2" xfId="35744"/>
    <cellStyle name="Heading 2 2 2 7 2 15 2 2" xfId="35745"/>
    <cellStyle name="Heading 2 2 2 7 2 15 3" xfId="35746"/>
    <cellStyle name="Heading 2 2 2 7 2 16" xfId="35747"/>
    <cellStyle name="Heading 2 2 2 7 2 16 2" xfId="35748"/>
    <cellStyle name="Heading 2 2 2 7 2 16 2 2" xfId="35749"/>
    <cellStyle name="Heading 2 2 2 7 2 16 3" xfId="35750"/>
    <cellStyle name="Heading 2 2 2 7 2 17" xfId="35751"/>
    <cellStyle name="Heading 2 2 2 7 2 17 2" xfId="35752"/>
    <cellStyle name="Heading 2 2 2 7 2 17 2 2" xfId="35753"/>
    <cellStyle name="Heading 2 2 2 7 2 17 3" xfId="35754"/>
    <cellStyle name="Heading 2 2 2 7 2 18" xfId="35755"/>
    <cellStyle name="Heading 2 2 2 7 2 18 2" xfId="35756"/>
    <cellStyle name="Heading 2 2 2 7 2 18 2 2" xfId="35757"/>
    <cellStyle name="Heading 2 2 2 7 2 18 3" xfId="35758"/>
    <cellStyle name="Heading 2 2 2 7 2 19" xfId="35759"/>
    <cellStyle name="Heading 2 2 2 7 2 19 2" xfId="35760"/>
    <cellStyle name="Heading 2 2 2 7 2 19 2 2" xfId="35761"/>
    <cellStyle name="Heading 2 2 2 7 2 19 3" xfId="35762"/>
    <cellStyle name="Heading 2 2 2 7 2 2" xfId="35763"/>
    <cellStyle name="Heading 2 2 2 7 2 2 10" xfId="35764"/>
    <cellStyle name="Heading 2 2 2 7 2 2 10 2" xfId="35765"/>
    <cellStyle name="Heading 2 2 2 7 2 2 10 2 2" xfId="35766"/>
    <cellStyle name="Heading 2 2 2 7 2 2 10 3" xfId="35767"/>
    <cellStyle name="Heading 2 2 2 7 2 2 11" xfId="35768"/>
    <cellStyle name="Heading 2 2 2 7 2 2 11 2" xfId="35769"/>
    <cellStyle name="Heading 2 2 2 7 2 2 11 2 2" xfId="35770"/>
    <cellStyle name="Heading 2 2 2 7 2 2 11 3" xfId="35771"/>
    <cellStyle name="Heading 2 2 2 7 2 2 12" xfId="35772"/>
    <cellStyle name="Heading 2 2 2 7 2 2 12 2" xfId="35773"/>
    <cellStyle name="Heading 2 2 2 7 2 2 12 2 2" xfId="35774"/>
    <cellStyle name="Heading 2 2 2 7 2 2 12 3" xfId="35775"/>
    <cellStyle name="Heading 2 2 2 7 2 2 13" xfId="35776"/>
    <cellStyle name="Heading 2 2 2 7 2 2 13 2" xfId="35777"/>
    <cellStyle name="Heading 2 2 2 7 2 2 13 2 2" xfId="35778"/>
    <cellStyle name="Heading 2 2 2 7 2 2 13 3" xfId="35779"/>
    <cellStyle name="Heading 2 2 2 7 2 2 14" xfId="35780"/>
    <cellStyle name="Heading 2 2 2 7 2 2 14 2" xfId="35781"/>
    <cellStyle name="Heading 2 2 2 7 2 2 14 2 2" xfId="35782"/>
    <cellStyle name="Heading 2 2 2 7 2 2 14 3" xfId="35783"/>
    <cellStyle name="Heading 2 2 2 7 2 2 15" xfId="35784"/>
    <cellStyle name="Heading 2 2 2 7 2 2 15 2" xfId="35785"/>
    <cellStyle name="Heading 2 2 2 7 2 2 15 2 2" xfId="35786"/>
    <cellStyle name="Heading 2 2 2 7 2 2 15 3" xfId="35787"/>
    <cellStyle name="Heading 2 2 2 7 2 2 16" xfId="35788"/>
    <cellStyle name="Heading 2 2 2 7 2 2 16 2" xfId="35789"/>
    <cellStyle name="Heading 2 2 2 7 2 2 16 2 2" xfId="35790"/>
    <cellStyle name="Heading 2 2 2 7 2 2 16 3" xfId="35791"/>
    <cellStyle name="Heading 2 2 2 7 2 2 17" xfId="35792"/>
    <cellStyle name="Heading 2 2 2 7 2 2 17 2" xfId="35793"/>
    <cellStyle name="Heading 2 2 2 7 2 2 17 2 2" xfId="35794"/>
    <cellStyle name="Heading 2 2 2 7 2 2 17 3" xfId="35795"/>
    <cellStyle name="Heading 2 2 2 7 2 2 18" xfId="35796"/>
    <cellStyle name="Heading 2 2 2 7 2 2 18 2" xfId="35797"/>
    <cellStyle name="Heading 2 2 2 7 2 2 18 2 2" xfId="35798"/>
    <cellStyle name="Heading 2 2 2 7 2 2 18 3" xfId="35799"/>
    <cellStyle name="Heading 2 2 2 7 2 2 19" xfId="35800"/>
    <cellStyle name="Heading 2 2 2 7 2 2 19 2" xfId="35801"/>
    <cellStyle name="Heading 2 2 2 7 2 2 2" xfId="35802"/>
    <cellStyle name="Heading 2 2 2 7 2 2 2 2" xfId="35803"/>
    <cellStyle name="Heading 2 2 2 7 2 2 2 2 2" xfId="35804"/>
    <cellStyle name="Heading 2 2 2 7 2 2 2 2 2 2" xfId="35805"/>
    <cellStyle name="Heading 2 2 2 7 2 2 2 2 3" xfId="35806"/>
    <cellStyle name="Heading 2 2 2 7 2 2 2 3" xfId="35807"/>
    <cellStyle name="Heading 2 2 2 7 2 2 2 3 2" xfId="35808"/>
    <cellStyle name="Heading 2 2 2 7 2 2 2 3 2 2" xfId="35809"/>
    <cellStyle name="Heading 2 2 2 7 2 2 2 3 3" xfId="35810"/>
    <cellStyle name="Heading 2 2 2 7 2 2 2 4" xfId="35811"/>
    <cellStyle name="Heading 2 2 2 7 2 2 2 4 2" xfId="35812"/>
    <cellStyle name="Heading 2 2 2 7 2 2 2 4 2 2" xfId="35813"/>
    <cellStyle name="Heading 2 2 2 7 2 2 2 4 3" xfId="35814"/>
    <cellStyle name="Heading 2 2 2 7 2 2 2 5" xfId="35815"/>
    <cellStyle name="Heading 2 2 2 7 2 2 2 5 2" xfId="35816"/>
    <cellStyle name="Heading 2 2 2 7 2 2 2 5 2 2" xfId="35817"/>
    <cellStyle name="Heading 2 2 2 7 2 2 2 5 3" xfId="35818"/>
    <cellStyle name="Heading 2 2 2 7 2 2 2 6" xfId="35819"/>
    <cellStyle name="Heading 2 2 2 7 2 2 2 6 2" xfId="35820"/>
    <cellStyle name="Heading 2 2 2 7 2 2 2 6 2 2" xfId="35821"/>
    <cellStyle name="Heading 2 2 2 7 2 2 2 6 3" xfId="35822"/>
    <cellStyle name="Heading 2 2 2 7 2 2 2 7" xfId="35823"/>
    <cellStyle name="Heading 2 2 2 7 2 2 2 7 2" xfId="35824"/>
    <cellStyle name="Heading 2 2 2 7 2 2 2 7 2 2" xfId="35825"/>
    <cellStyle name="Heading 2 2 2 7 2 2 2 7 3" xfId="35826"/>
    <cellStyle name="Heading 2 2 2 7 2 2 2 8" xfId="35827"/>
    <cellStyle name="Heading 2 2 2 7 2 2 2 8 2" xfId="35828"/>
    <cellStyle name="Heading 2 2 2 7 2 2 2 9" xfId="35829"/>
    <cellStyle name="Heading 2 2 2 7 2 2 20" xfId="35830"/>
    <cellStyle name="Heading 2 2 2 7 2 2 20 2" xfId="35831"/>
    <cellStyle name="Heading 2 2 2 7 2 2 21" xfId="35832"/>
    <cellStyle name="Heading 2 2 2 7 2 2 21 2" xfId="35833"/>
    <cellStyle name="Heading 2 2 2 7 2 2 22" xfId="35834"/>
    <cellStyle name="Heading 2 2 2 7 2 2 3" xfId="35835"/>
    <cellStyle name="Heading 2 2 2 7 2 2 3 2" xfId="35836"/>
    <cellStyle name="Heading 2 2 2 7 2 2 3 2 2" xfId="35837"/>
    <cellStyle name="Heading 2 2 2 7 2 2 3 2 2 2" xfId="35838"/>
    <cellStyle name="Heading 2 2 2 7 2 2 3 2 3" xfId="35839"/>
    <cellStyle name="Heading 2 2 2 7 2 2 3 3" xfId="35840"/>
    <cellStyle name="Heading 2 2 2 7 2 2 3 3 2" xfId="35841"/>
    <cellStyle name="Heading 2 2 2 7 2 2 3 3 2 2" xfId="35842"/>
    <cellStyle name="Heading 2 2 2 7 2 2 3 3 3" xfId="35843"/>
    <cellStyle name="Heading 2 2 2 7 2 2 3 4" xfId="35844"/>
    <cellStyle name="Heading 2 2 2 7 2 2 3 4 2" xfId="35845"/>
    <cellStyle name="Heading 2 2 2 7 2 2 3 4 2 2" xfId="35846"/>
    <cellStyle name="Heading 2 2 2 7 2 2 3 4 3" xfId="35847"/>
    <cellStyle name="Heading 2 2 2 7 2 2 3 5" xfId="35848"/>
    <cellStyle name="Heading 2 2 2 7 2 2 3 5 2" xfId="35849"/>
    <cellStyle name="Heading 2 2 2 7 2 2 3 5 2 2" xfId="35850"/>
    <cellStyle name="Heading 2 2 2 7 2 2 3 5 3" xfId="35851"/>
    <cellStyle name="Heading 2 2 2 7 2 2 3 6" xfId="35852"/>
    <cellStyle name="Heading 2 2 2 7 2 2 3 6 2" xfId="35853"/>
    <cellStyle name="Heading 2 2 2 7 2 2 3 6 2 2" xfId="35854"/>
    <cellStyle name="Heading 2 2 2 7 2 2 3 6 3" xfId="35855"/>
    <cellStyle name="Heading 2 2 2 7 2 2 3 7" xfId="35856"/>
    <cellStyle name="Heading 2 2 2 7 2 2 3 7 2" xfId="35857"/>
    <cellStyle name="Heading 2 2 2 7 2 2 3 7 2 2" xfId="35858"/>
    <cellStyle name="Heading 2 2 2 7 2 2 3 7 3" xfId="35859"/>
    <cellStyle name="Heading 2 2 2 7 2 2 3 8" xfId="35860"/>
    <cellStyle name="Heading 2 2 2 7 2 2 3 8 2" xfId="35861"/>
    <cellStyle name="Heading 2 2 2 7 2 2 3 9" xfId="35862"/>
    <cellStyle name="Heading 2 2 2 7 2 2 4" xfId="35863"/>
    <cellStyle name="Heading 2 2 2 7 2 2 4 2" xfId="35864"/>
    <cellStyle name="Heading 2 2 2 7 2 2 4 2 2" xfId="35865"/>
    <cellStyle name="Heading 2 2 2 7 2 2 4 2 2 2" xfId="35866"/>
    <cellStyle name="Heading 2 2 2 7 2 2 4 2 3" xfId="35867"/>
    <cellStyle name="Heading 2 2 2 7 2 2 4 3" xfId="35868"/>
    <cellStyle name="Heading 2 2 2 7 2 2 4 3 2" xfId="35869"/>
    <cellStyle name="Heading 2 2 2 7 2 2 4 3 2 2" xfId="35870"/>
    <cellStyle name="Heading 2 2 2 7 2 2 4 3 3" xfId="35871"/>
    <cellStyle name="Heading 2 2 2 7 2 2 4 4" xfId="35872"/>
    <cellStyle name="Heading 2 2 2 7 2 2 4 4 2" xfId="35873"/>
    <cellStyle name="Heading 2 2 2 7 2 2 4 4 2 2" xfId="35874"/>
    <cellStyle name="Heading 2 2 2 7 2 2 4 4 3" xfId="35875"/>
    <cellStyle name="Heading 2 2 2 7 2 2 4 5" xfId="35876"/>
    <cellStyle name="Heading 2 2 2 7 2 2 4 5 2" xfId="35877"/>
    <cellStyle name="Heading 2 2 2 7 2 2 4 5 2 2" xfId="35878"/>
    <cellStyle name="Heading 2 2 2 7 2 2 4 5 3" xfId="35879"/>
    <cellStyle name="Heading 2 2 2 7 2 2 4 6" xfId="35880"/>
    <cellStyle name="Heading 2 2 2 7 2 2 4 6 2" xfId="35881"/>
    <cellStyle name="Heading 2 2 2 7 2 2 4 6 2 2" xfId="35882"/>
    <cellStyle name="Heading 2 2 2 7 2 2 4 6 3" xfId="35883"/>
    <cellStyle name="Heading 2 2 2 7 2 2 4 7" xfId="35884"/>
    <cellStyle name="Heading 2 2 2 7 2 2 4 7 2" xfId="35885"/>
    <cellStyle name="Heading 2 2 2 7 2 2 4 7 2 2" xfId="35886"/>
    <cellStyle name="Heading 2 2 2 7 2 2 4 7 3" xfId="35887"/>
    <cellStyle name="Heading 2 2 2 7 2 2 4 8" xfId="35888"/>
    <cellStyle name="Heading 2 2 2 7 2 2 4 8 2" xfId="35889"/>
    <cellStyle name="Heading 2 2 2 7 2 2 4 9" xfId="35890"/>
    <cellStyle name="Heading 2 2 2 7 2 2 5" xfId="35891"/>
    <cellStyle name="Heading 2 2 2 7 2 2 5 2" xfId="35892"/>
    <cellStyle name="Heading 2 2 2 7 2 2 5 2 2" xfId="35893"/>
    <cellStyle name="Heading 2 2 2 7 2 2 5 2 2 2" xfId="35894"/>
    <cellStyle name="Heading 2 2 2 7 2 2 5 2 3" xfId="35895"/>
    <cellStyle name="Heading 2 2 2 7 2 2 5 3" xfId="35896"/>
    <cellStyle name="Heading 2 2 2 7 2 2 5 3 2" xfId="35897"/>
    <cellStyle name="Heading 2 2 2 7 2 2 5 3 2 2" xfId="35898"/>
    <cellStyle name="Heading 2 2 2 7 2 2 5 3 3" xfId="35899"/>
    <cellStyle name="Heading 2 2 2 7 2 2 5 4" xfId="35900"/>
    <cellStyle name="Heading 2 2 2 7 2 2 5 4 2" xfId="35901"/>
    <cellStyle name="Heading 2 2 2 7 2 2 5 4 2 2" xfId="35902"/>
    <cellStyle name="Heading 2 2 2 7 2 2 5 4 3" xfId="35903"/>
    <cellStyle name="Heading 2 2 2 7 2 2 5 5" xfId="35904"/>
    <cellStyle name="Heading 2 2 2 7 2 2 5 5 2" xfId="35905"/>
    <cellStyle name="Heading 2 2 2 7 2 2 5 5 2 2" xfId="35906"/>
    <cellStyle name="Heading 2 2 2 7 2 2 5 5 3" xfId="35907"/>
    <cellStyle name="Heading 2 2 2 7 2 2 5 6" xfId="35908"/>
    <cellStyle name="Heading 2 2 2 7 2 2 5 6 2" xfId="35909"/>
    <cellStyle name="Heading 2 2 2 7 2 2 5 6 2 2" xfId="35910"/>
    <cellStyle name="Heading 2 2 2 7 2 2 5 6 3" xfId="35911"/>
    <cellStyle name="Heading 2 2 2 7 2 2 5 7" xfId="35912"/>
    <cellStyle name="Heading 2 2 2 7 2 2 5 7 2" xfId="35913"/>
    <cellStyle name="Heading 2 2 2 7 2 2 5 7 2 2" xfId="35914"/>
    <cellStyle name="Heading 2 2 2 7 2 2 5 7 3" xfId="35915"/>
    <cellStyle name="Heading 2 2 2 7 2 2 5 8" xfId="35916"/>
    <cellStyle name="Heading 2 2 2 7 2 2 5 8 2" xfId="35917"/>
    <cellStyle name="Heading 2 2 2 7 2 2 5 9" xfId="35918"/>
    <cellStyle name="Heading 2 2 2 7 2 2 6" xfId="35919"/>
    <cellStyle name="Heading 2 2 2 7 2 2 6 2" xfId="35920"/>
    <cellStyle name="Heading 2 2 2 7 2 2 6 2 2" xfId="35921"/>
    <cellStyle name="Heading 2 2 2 7 2 2 6 2 2 2" xfId="35922"/>
    <cellStyle name="Heading 2 2 2 7 2 2 6 2 3" xfId="35923"/>
    <cellStyle name="Heading 2 2 2 7 2 2 6 3" xfId="35924"/>
    <cellStyle name="Heading 2 2 2 7 2 2 6 3 2" xfId="35925"/>
    <cellStyle name="Heading 2 2 2 7 2 2 6 3 2 2" xfId="35926"/>
    <cellStyle name="Heading 2 2 2 7 2 2 6 3 3" xfId="35927"/>
    <cellStyle name="Heading 2 2 2 7 2 2 6 4" xfId="35928"/>
    <cellStyle name="Heading 2 2 2 7 2 2 6 4 2" xfId="35929"/>
    <cellStyle name="Heading 2 2 2 7 2 2 6 4 2 2" xfId="35930"/>
    <cellStyle name="Heading 2 2 2 7 2 2 6 4 3" xfId="35931"/>
    <cellStyle name="Heading 2 2 2 7 2 2 6 5" xfId="35932"/>
    <cellStyle name="Heading 2 2 2 7 2 2 6 5 2" xfId="35933"/>
    <cellStyle name="Heading 2 2 2 7 2 2 6 5 2 2" xfId="35934"/>
    <cellStyle name="Heading 2 2 2 7 2 2 6 5 3" xfId="35935"/>
    <cellStyle name="Heading 2 2 2 7 2 2 6 6" xfId="35936"/>
    <cellStyle name="Heading 2 2 2 7 2 2 6 6 2" xfId="35937"/>
    <cellStyle name="Heading 2 2 2 7 2 2 6 6 2 2" xfId="35938"/>
    <cellStyle name="Heading 2 2 2 7 2 2 6 6 3" xfId="35939"/>
    <cellStyle name="Heading 2 2 2 7 2 2 6 7" xfId="35940"/>
    <cellStyle name="Heading 2 2 2 7 2 2 6 7 2" xfId="35941"/>
    <cellStyle name="Heading 2 2 2 7 2 2 6 7 2 2" xfId="35942"/>
    <cellStyle name="Heading 2 2 2 7 2 2 6 7 3" xfId="35943"/>
    <cellStyle name="Heading 2 2 2 7 2 2 6 8" xfId="35944"/>
    <cellStyle name="Heading 2 2 2 7 2 2 6 8 2" xfId="35945"/>
    <cellStyle name="Heading 2 2 2 7 2 2 6 9" xfId="35946"/>
    <cellStyle name="Heading 2 2 2 7 2 2 7" xfId="35947"/>
    <cellStyle name="Heading 2 2 2 7 2 2 7 2" xfId="35948"/>
    <cellStyle name="Heading 2 2 2 7 2 2 7 2 2" xfId="35949"/>
    <cellStyle name="Heading 2 2 2 7 2 2 7 2 2 2" xfId="35950"/>
    <cellStyle name="Heading 2 2 2 7 2 2 7 2 3" xfId="35951"/>
    <cellStyle name="Heading 2 2 2 7 2 2 7 3" xfId="35952"/>
    <cellStyle name="Heading 2 2 2 7 2 2 7 3 2" xfId="35953"/>
    <cellStyle name="Heading 2 2 2 7 2 2 7 3 2 2" xfId="35954"/>
    <cellStyle name="Heading 2 2 2 7 2 2 7 3 3" xfId="35955"/>
    <cellStyle name="Heading 2 2 2 7 2 2 7 4" xfId="35956"/>
    <cellStyle name="Heading 2 2 2 7 2 2 7 4 2" xfId="35957"/>
    <cellStyle name="Heading 2 2 2 7 2 2 7 4 2 2" xfId="35958"/>
    <cellStyle name="Heading 2 2 2 7 2 2 7 4 3" xfId="35959"/>
    <cellStyle name="Heading 2 2 2 7 2 2 7 5" xfId="35960"/>
    <cellStyle name="Heading 2 2 2 7 2 2 7 5 2" xfId="35961"/>
    <cellStyle name="Heading 2 2 2 7 2 2 7 5 2 2" xfId="35962"/>
    <cellStyle name="Heading 2 2 2 7 2 2 7 5 3" xfId="35963"/>
    <cellStyle name="Heading 2 2 2 7 2 2 7 6" xfId="35964"/>
    <cellStyle name="Heading 2 2 2 7 2 2 7 6 2" xfId="35965"/>
    <cellStyle name="Heading 2 2 2 7 2 2 7 6 2 2" xfId="35966"/>
    <cellStyle name="Heading 2 2 2 7 2 2 7 6 3" xfId="35967"/>
    <cellStyle name="Heading 2 2 2 7 2 2 7 7" xfId="35968"/>
    <cellStyle name="Heading 2 2 2 7 2 2 7 7 2" xfId="35969"/>
    <cellStyle name="Heading 2 2 2 7 2 2 7 7 2 2" xfId="35970"/>
    <cellStyle name="Heading 2 2 2 7 2 2 7 7 3" xfId="35971"/>
    <cellStyle name="Heading 2 2 2 7 2 2 7 8" xfId="35972"/>
    <cellStyle name="Heading 2 2 2 7 2 2 7 8 2" xfId="35973"/>
    <cellStyle name="Heading 2 2 2 7 2 2 7 9" xfId="35974"/>
    <cellStyle name="Heading 2 2 2 7 2 2 8" xfId="35975"/>
    <cellStyle name="Heading 2 2 2 7 2 2 8 2" xfId="35976"/>
    <cellStyle name="Heading 2 2 2 7 2 2 8 2 2" xfId="35977"/>
    <cellStyle name="Heading 2 2 2 7 2 2 8 2 2 2" xfId="35978"/>
    <cellStyle name="Heading 2 2 2 7 2 2 8 2 3" xfId="35979"/>
    <cellStyle name="Heading 2 2 2 7 2 2 8 3" xfId="35980"/>
    <cellStyle name="Heading 2 2 2 7 2 2 8 3 2" xfId="35981"/>
    <cellStyle name="Heading 2 2 2 7 2 2 8 3 2 2" xfId="35982"/>
    <cellStyle name="Heading 2 2 2 7 2 2 8 3 3" xfId="35983"/>
    <cellStyle name="Heading 2 2 2 7 2 2 8 4" xfId="35984"/>
    <cellStyle name="Heading 2 2 2 7 2 2 8 4 2" xfId="35985"/>
    <cellStyle name="Heading 2 2 2 7 2 2 8 4 2 2" xfId="35986"/>
    <cellStyle name="Heading 2 2 2 7 2 2 8 4 3" xfId="35987"/>
    <cellStyle name="Heading 2 2 2 7 2 2 8 5" xfId="35988"/>
    <cellStyle name="Heading 2 2 2 7 2 2 8 5 2" xfId="35989"/>
    <cellStyle name="Heading 2 2 2 7 2 2 8 5 2 2" xfId="35990"/>
    <cellStyle name="Heading 2 2 2 7 2 2 8 5 3" xfId="35991"/>
    <cellStyle name="Heading 2 2 2 7 2 2 8 6" xfId="35992"/>
    <cellStyle name="Heading 2 2 2 7 2 2 8 6 2" xfId="35993"/>
    <cellStyle name="Heading 2 2 2 7 2 2 8 6 2 2" xfId="35994"/>
    <cellStyle name="Heading 2 2 2 7 2 2 8 6 3" xfId="35995"/>
    <cellStyle name="Heading 2 2 2 7 2 2 8 7" xfId="35996"/>
    <cellStyle name="Heading 2 2 2 7 2 2 8 7 2" xfId="35997"/>
    <cellStyle name="Heading 2 2 2 7 2 2 8 7 2 2" xfId="35998"/>
    <cellStyle name="Heading 2 2 2 7 2 2 8 7 3" xfId="35999"/>
    <cellStyle name="Heading 2 2 2 7 2 2 8 8" xfId="36000"/>
    <cellStyle name="Heading 2 2 2 7 2 2 8 8 2" xfId="36001"/>
    <cellStyle name="Heading 2 2 2 7 2 2 8 9" xfId="36002"/>
    <cellStyle name="Heading 2 2 2 7 2 2 9" xfId="36003"/>
    <cellStyle name="Heading 2 2 2 7 2 2 9 2" xfId="36004"/>
    <cellStyle name="Heading 2 2 2 7 2 2 9 2 2" xfId="36005"/>
    <cellStyle name="Heading 2 2 2 7 2 2 9 3" xfId="36006"/>
    <cellStyle name="Heading 2 2 2 7 2 20" xfId="36007"/>
    <cellStyle name="Heading 2 2 2 7 2 20 2" xfId="36008"/>
    <cellStyle name="Heading 2 2 2 7 2 21" xfId="36009"/>
    <cellStyle name="Heading 2 2 2 7 2 21 2" xfId="36010"/>
    <cellStyle name="Heading 2 2 2 7 2 22" xfId="36011"/>
    <cellStyle name="Heading 2 2 2 7 2 22 2" xfId="36012"/>
    <cellStyle name="Heading 2 2 2 7 2 23" xfId="36013"/>
    <cellStyle name="Heading 2 2 2 7 2 3" xfId="36014"/>
    <cellStyle name="Heading 2 2 2 7 2 3 2" xfId="36015"/>
    <cellStyle name="Heading 2 2 2 7 2 3 2 2" xfId="36016"/>
    <cellStyle name="Heading 2 2 2 7 2 3 2 2 2" xfId="36017"/>
    <cellStyle name="Heading 2 2 2 7 2 3 2 3" xfId="36018"/>
    <cellStyle name="Heading 2 2 2 7 2 3 3" xfId="36019"/>
    <cellStyle name="Heading 2 2 2 7 2 3 3 2" xfId="36020"/>
    <cellStyle name="Heading 2 2 2 7 2 3 3 2 2" xfId="36021"/>
    <cellStyle name="Heading 2 2 2 7 2 3 3 3" xfId="36022"/>
    <cellStyle name="Heading 2 2 2 7 2 3 4" xfId="36023"/>
    <cellStyle name="Heading 2 2 2 7 2 3 4 2" xfId="36024"/>
    <cellStyle name="Heading 2 2 2 7 2 3 4 2 2" xfId="36025"/>
    <cellStyle name="Heading 2 2 2 7 2 3 4 3" xfId="36026"/>
    <cellStyle name="Heading 2 2 2 7 2 3 5" xfId="36027"/>
    <cellStyle name="Heading 2 2 2 7 2 3 5 2" xfId="36028"/>
    <cellStyle name="Heading 2 2 2 7 2 3 5 2 2" xfId="36029"/>
    <cellStyle name="Heading 2 2 2 7 2 3 5 3" xfId="36030"/>
    <cellStyle name="Heading 2 2 2 7 2 3 6" xfId="36031"/>
    <cellStyle name="Heading 2 2 2 7 2 3 6 2" xfId="36032"/>
    <cellStyle name="Heading 2 2 2 7 2 3 6 2 2" xfId="36033"/>
    <cellStyle name="Heading 2 2 2 7 2 3 6 3" xfId="36034"/>
    <cellStyle name="Heading 2 2 2 7 2 3 7" xfId="36035"/>
    <cellStyle name="Heading 2 2 2 7 2 3 7 2" xfId="36036"/>
    <cellStyle name="Heading 2 2 2 7 2 3 7 2 2" xfId="36037"/>
    <cellStyle name="Heading 2 2 2 7 2 3 7 3" xfId="36038"/>
    <cellStyle name="Heading 2 2 2 7 2 3 8" xfId="36039"/>
    <cellStyle name="Heading 2 2 2 7 2 3 8 2" xfId="36040"/>
    <cellStyle name="Heading 2 2 2 7 2 3 9" xfId="36041"/>
    <cellStyle name="Heading 2 2 2 7 2 4" xfId="36042"/>
    <cellStyle name="Heading 2 2 2 7 2 4 2" xfId="36043"/>
    <cellStyle name="Heading 2 2 2 7 2 4 2 2" xfId="36044"/>
    <cellStyle name="Heading 2 2 2 7 2 4 2 2 2" xfId="36045"/>
    <cellStyle name="Heading 2 2 2 7 2 4 2 3" xfId="36046"/>
    <cellStyle name="Heading 2 2 2 7 2 4 3" xfId="36047"/>
    <cellStyle name="Heading 2 2 2 7 2 4 3 2" xfId="36048"/>
    <cellStyle name="Heading 2 2 2 7 2 4 3 2 2" xfId="36049"/>
    <cellStyle name="Heading 2 2 2 7 2 4 3 3" xfId="36050"/>
    <cellStyle name="Heading 2 2 2 7 2 4 4" xfId="36051"/>
    <cellStyle name="Heading 2 2 2 7 2 4 4 2" xfId="36052"/>
    <cellStyle name="Heading 2 2 2 7 2 4 4 2 2" xfId="36053"/>
    <cellStyle name="Heading 2 2 2 7 2 4 4 3" xfId="36054"/>
    <cellStyle name="Heading 2 2 2 7 2 4 5" xfId="36055"/>
    <cellStyle name="Heading 2 2 2 7 2 4 5 2" xfId="36056"/>
    <cellStyle name="Heading 2 2 2 7 2 4 5 2 2" xfId="36057"/>
    <cellStyle name="Heading 2 2 2 7 2 4 5 3" xfId="36058"/>
    <cellStyle name="Heading 2 2 2 7 2 4 6" xfId="36059"/>
    <cellStyle name="Heading 2 2 2 7 2 4 6 2" xfId="36060"/>
    <cellStyle name="Heading 2 2 2 7 2 4 6 2 2" xfId="36061"/>
    <cellStyle name="Heading 2 2 2 7 2 4 6 3" xfId="36062"/>
    <cellStyle name="Heading 2 2 2 7 2 4 7" xfId="36063"/>
    <cellStyle name="Heading 2 2 2 7 2 4 7 2" xfId="36064"/>
    <cellStyle name="Heading 2 2 2 7 2 4 7 2 2" xfId="36065"/>
    <cellStyle name="Heading 2 2 2 7 2 4 7 3" xfId="36066"/>
    <cellStyle name="Heading 2 2 2 7 2 4 8" xfId="36067"/>
    <cellStyle name="Heading 2 2 2 7 2 4 8 2" xfId="36068"/>
    <cellStyle name="Heading 2 2 2 7 2 4 9" xfId="36069"/>
    <cellStyle name="Heading 2 2 2 7 2 5" xfId="36070"/>
    <cellStyle name="Heading 2 2 2 7 2 5 2" xfId="36071"/>
    <cellStyle name="Heading 2 2 2 7 2 5 2 2" xfId="36072"/>
    <cellStyle name="Heading 2 2 2 7 2 5 2 2 2" xfId="36073"/>
    <cellStyle name="Heading 2 2 2 7 2 5 2 3" xfId="36074"/>
    <cellStyle name="Heading 2 2 2 7 2 5 3" xfId="36075"/>
    <cellStyle name="Heading 2 2 2 7 2 5 3 2" xfId="36076"/>
    <cellStyle name="Heading 2 2 2 7 2 5 3 2 2" xfId="36077"/>
    <cellStyle name="Heading 2 2 2 7 2 5 3 3" xfId="36078"/>
    <cellStyle name="Heading 2 2 2 7 2 5 4" xfId="36079"/>
    <cellStyle name="Heading 2 2 2 7 2 5 4 2" xfId="36080"/>
    <cellStyle name="Heading 2 2 2 7 2 5 4 2 2" xfId="36081"/>
    <cellStyle name="Heading 2 2 2 7 2 5 4 3" xfId="36082"/>
    <cellStyle name="Heading 2 2 2 7 2 5 5" xfId="36083"/>
    <cellStyle name="Heading 2 2 2 7 2 5 5 2" xfId="36084"/>
    <cellStyle name="Heading 2 2 2 7 2 5 5 2 2" xfId="36085"/>
    <cellStyle name="Heading 2 2 2 7 2 5 5 3" xfId="36086"/>
    <cellStyle name="Heading 2 2 2 7 2 5 6" xfId="36087"/>
    <cellStyle name="Heading 2 2 2 7 2 5 6 2" xfId="36088"/>
    <cellStyle name="Heading 2 2 2 7 2 5 6 2 2" xfId="36089"/>
    <cellStyle name="Heading 2 2 2 7 2 5 6 3" xfId="36090"/>
    <cellStyle name="Heading 2 2 2 7 2 5 7" xfId="36091"/>
    <cellStyle name="Heading 2 2 2 7 2 5 7 2" xfId="36092"/>
    <cellStyle name="Heading 2 2 2 7 2 5 7 2 2" xfId="36093"/>
    <cellStyle name="Heading 2 2 2 7 2 5 7 3" xfId="36094"/>
    <cellStyle name="Heading 2 2 2 7 2 5 8" xfId="36095"/>
    <cellStyle name="Heading 2 2 2 7 2 5 8 2" xfId="36096"/>
    <cellStyle name="Heading 2 2 2 7 2 5 9" xfId="36097"/>
    <cellStyle name="Heading 2 2 2 7 2 6" xfId="36098"/>
    <cellStyle name="Heading 2 2 2 7 2 6 2" xfId="36099"/>
    <cellStyle name="Heading 2 2 2 7 2 6 2 2" xfId="36100"/>
    <cellStyle name="Heading 2 2 2 7 2 6 2 2 2" xfId="36101"/>
    <cellStyle name="Heading 2 2 2 7 2 6 2 3" xfId="36102"/>
    <cellStyle name="Heading 2 2 2 7 2 6 3" xfId="36103"/>
    <cellStyle name="Heading 2 2 2 7 2 6 3 2" xfId="36104"/>
    <cellStyle name="Heading 2 2 2 7 2 6 3 2 2" xfId="36105"/>
    <cellStyle name="Heading 2 2 2 7 2 6 3 3" xfId="36106"/>
    <cellStyle name="Heading 2 2 2 7 2 6 4" xfId="36107"/>
    <cellStyle name="Heading 2 2 2 7 2 6 4 2" xfId="36108"/>
    <cellStyle name="Heading 2 2 2 7 2 6 4 2 2" xfId="36109"/>
    <cellStyle name="Heading 2 2 2 7 2 6 4 3" xfId="36110"/>
    <cellStyle name="Heading 2 2 2 7 2 6 5" xfId="36111"/>
    <cellStyle name="Heading 2 2 2 7 2 6 5 2" xfId="36112"/>
    <cellStyle name="Heading 2 2 2 7 2 6 5 2 2" xfId="36113"/>
    <cellStyle name="Heading 2 2 2 7 2 6 5 3" xfId="36114"/>
    <cellStyle name="Heading 2 2 2 7 2 6 6" xfId="36115"/>
    <cellStyle name="Heading 2 2 2 7 2 6 6 2" xfId="36116"/>
    <cellStyle name="Heading 2 2 2 7 2 6 6 2 2" xfId="36117"/>
    <cellStyle name="Heading 2 2 2 7 2 6 6 3" xfId="36118"/>
    <cellStyle name="Heading 2 2 2 7 2 6 7" xfId="36119"/>
    <cellStyle name="Heading 2 2 2 7 2 6 7 2" xfId="36120"/>
    <cellStyle name="Heading 2 2 2 7 2 6 7 2 2" xfId="36121"/>
    <cellStyle name="Heading 2 2 2 7 2 6 7 3" xfId="36122"/>
    <cellStyle name="Heading 2 2 2 7 2 6 8" xfId="36123"/>
    <cellStyle name="Heading 2 2 2 7 2 6 8 2" xfId="36124"/>
    <cellStyle name="Heading 2 2 2 7 2 6 9" xfId="36125"/>
    <cellStyle name="Heading 2 2 2 7 2 7" xfId="36126"/>
    <cellStyle name="Heading 2 2 2 7 2 7 2" xfId="36127"/>
    <cellStyle name="Heading 2 2 2 7 2 7 2 2" xfId="36128"/>
    <cellStyle name="Heading 2 2 2 7 2 7 2 2 2" xfId="36129"/>
    <cellStyle name="Heading 2 2 2 7 2 7 2 3" xfId="36130"/>
    <cellStyle name="Heading 2 2 2 7 2 7 3" xfId="36131"/>
    <cellStyle name="Heading 2 2 2 7 2 7 3 2" xfId="36132"/>
    <cellStyle name="Heading 2 2 2 7 2 7 3 2 2" xfId="36133"/>
    <cellStyle name="Heading 2 2 2 7 2 7 3 3" xfId="36134"/>
    <cellStyle name="Heading 2 2 2 7 2 7 4" xfId="36135"/>
    <cellStyle name="Heading 2 2 2 7 2 7 4 2" xfId="36136"/>
    <cellStyle name="Heading 2 2 2 7 2 7 4 2 2" xfId="36137"/>
    <cellStyle name="Heading 2 2 2 7 2 7 4 3" xfId="36138"/>
    <cellStyle name="Heading 2 2 2 7 2 7 5" xfId="36139"/>
    <cellStyle name="Heading 2 2 2 7 2 7 5 2" xfId="36140"/>
    <cellStyle name="Heading 2 2 2 7 2 7 5 2 2" xfId="36141"/>
    <cellStyle name="Heading 2 2 2 7 2 7 5 3" xfId="36142"/>
    <cellStyle name="Heading 2 2 2 7 2 7 6" xfId="36143"/>
    <cellStyle name="Heading 2 2 2 7 2 7 6 2" xfId="36144"/>
    <cellStyle name="Heading 2 2 2 7 2 7 6 2 2" xfId="36145"/>
    <cellStyle name="Heading 2 2 2 7 2 7 6 3" xfId="36146"/>
    <cellStyle name="Heading 2 2 2 7 2 7 7" xfId="36147"/>
    <cellStyle name="Heading 2 2 2 7 2 7 7 2" xfId="36148"/>
    <cellStyle name="Heading 2 2 2 7 2 7 7 2 2" xfId="36149"/>
    <cellStyle name="Heading 2 2 2 7 2 7 7 3" xfId="36150"/>
    <cellStyle name="Heading 2 2 2 7 2 7 8" xfId="36151"/>
    <cellStyle name="Heading 2 2 2 7 2 7 8 2" xfId="36152"/>
    <cellStyle name="Heading 2 2 2 7 2 7 9" xfId="36153"/>
    <cellStyle name="Heading 2 2 2 7 2 8" xfId="36154"/>
    <cellStyle name="Heading 2 2 2 7 2 8 2" xfId="36155"/>
    <cellStyle name="Heading 2 2 2 7 2 8 2 2" xfId="36156"/>
    <cellStyle name="Heading 2 2 2 7 2 8 2 2 2" xfId="36157"/>
    <cellStyle name="Heading 2 2 2 7 2 8 2 3" xfId="36158"/>
    <cellStyle name="Heading 2 2 2 7 2 8 3" xfId="36159"/>
    <cellStyle name="Heading 2 2 2 7 2 8 3 2" xfId="36160"/>
    <cellStyle name="Heading 2 2 2 7 2 8 3 2 2" xfId="36161"/>
    <cellStyle name="Heading 2 2 2 7 2 8 3 3" xfId="36162"/>
    <cellStyle name="Heading 2 2 2 7 2 8 4" xfId="36163"/>
    <cellStyle name="Heading 2 2 2 7 2 8 4 2" xfId="36164"/>
    <cellStyle name="Heading 2 2 2 7 2 8 4 2 2" xfId="36165"/>
    <cellStyle name="Heading 2 2 2 7 2 8 4 3" xfId="36166"/>
    <cellStyle name="Heading 2 2 2 7 2 8 5" xfId="36167"/>
    <cellStyle name="Heading 2 2 2 7 2 8 5 2" xfId="36168"/>
    <cellStyle name="Heading 2 2 2 7 2 8 5 2 2" xfId="36169"/>
    <cellStyle name="Heading 2 2 2 7 2 8 5 3" xfId="36170"/>
    <cellStyle name="Heading 2 2 2 7 2 8 6" xfId="36171"/>
    <cellStyle name="Heading 2 2 2 7 2 8 6 2" xfId="36172"/>
    <cellStyle name="Heading 2 2 2 7 2 8 6 2 2" xfId="36173"/>
    <cellStyle name="Heading 2 2 2 7 2 8 6 3" xfId="36174"/>
    <cellStyle name="Heading 2 2 2 7 2 8 7" xfId="36175"/>
    <cellStyle name="Heading 2 2 2 7 2 8 7 2" xfId="36176"/>
    <cellStyle name="Heading 2 2 2 7 2 8 7 2 2" xfId="36177"/>
    <cellStyle name="Heading 2 2 2 7 2 8 7 3" xfId="36178"/>
    <cellStyle name="Heading 2 2 2 7 2 8 8" xfId="36179"/>
    <cellStyle name="Heading 2 2 2 7 2 8 8 2" xfId="36180"/>
    <cellStyle name="Heading 2 2 2 7 2 8 9" xfId="36181"/>
    <cellStyle name="Heading 2 2 2 7 2 9" xfId="36182"/>
    <cellStyle name="Heading 2 2 2 7 2 9 2" xfId="36183"/>
    <cellStyle name="Heading 2 2 2 7 2 9 2 2" xfId="36184"/>
    <cellStyle name="Heading 2 2 2 7 2 9 2 2 2" xfId="36185"/>
    <cellStyle name="Heading 2 2 2 7 2 9 2 3" xfId="36186"/>
    <cellStyle name="Heading 2 2 2 7 2 9 3" xfId="36187"/>
    <cellStyle name="Heading 2 2 2 7 2 9 3 2" xfId="36188"/>
    <cellStyle name="Heading 2 2 2 7 2 9 3 2 2" xfId="36189"/>
    <cellStyle name="Heading 2 2 2 7 2 9 3 3" xfId="36190"/>
    <cellStyle name="Heading 2 2 2 7 2 9 4" xfId="36191"/>
    <cellStyle name="Heading 2 2 2 7 2 9 4 2" xfId="36192"/>
    <cellStyle name="Heading 2 2 2 7 2 9 4 2 2" xfId="36193"/>
    <cellStyle name="Heading 2 2 2 7 2 9 4 3" xfId="36194"/>
    <cellStyle name="Heading 2 2 2 7 2 9 5" xfId="36195"/>
    <cellStyle name="Heading 2 2 2 7 2 9 5 2" xfId="36196"/>
    <cellStyle name="Heading 2 2 2 7 2 9 5 2 2" xfId="36197"/>
    <cellStyle name="Heading 2 2 2 7 2 9 5 3" xfId="36198"/>
    <cellStyle name="Heading 2 2 2 7 2 9 6" xfId="36199"/>
    <cellStyle name="Heading 2 2 2 7 2 9 6 2" xfId="36200"/>
    <cellStyle name="Heading 2 2 2 7 2 9 6 2 2" xfId="36201"/>
    <cellStyle name="Heading 2 2 2 7 2 9 6 3" xfId="36202"/>
    <cellStyle name="Heading 2 2 2 7 2 9 7" xfId="36203"/>
    <cellStyle name="Heading 2 2 2 7 2 9 7 2" xfId="36204"/>
    <cellStyle name="Heading 2 2 2 7 2 9 7 2 2" xfId="36205"/>
    <cellStyle name="Heading 2 2 2 7 2 9 7 3" xfId="36206"/>
    <cellStyle name="Heading 2 2 2 7 2 9 8" xfId="36207"/>
    <cellStyle name="Heading 2 2 2 7 2 9 8 2" xfId="36208"/>
    <cellStyle name="Heading 2 2 2 7 2 9 9" xfId="36209"/>
    <cellStyle name="Heading 2 2 2 7 3" xfId="36210"/>
    <cellStyle name="Heading 2 2 2 7 3 10" xfId="36211"/>
    <cellStyle name="Heading 2 2 2 7 3 10 2" xfId="36212"/>
    <cellStyle name="Heading 2 2 2 7 3 10 2 2" xfId="36213"/>
    <cellStyle name="Heading 2 2 2 7 3 10 3" xfId="36214"/>
    <cellStyle name="Heading 2 2 2 7 3 11" xfId="36215"/>
    <cellStyle name="Heading 2 2 2 7 3 11 2" xfId="36216"/>
    <cellStyle name="Heading 2 2 2 7 3 11 2 2" xfId="36217"/>
    <cellStyle name="Heading 2 2 2 7 3 11 3" xfId="36218"/>
    <cellStyle name="Heading 2 2 2 7 3 12" xfId="36219"/>
    <cellStyle name="Heading 2 2 2 7 3 12 2" xfId="36220"/>
    <cellStyle name="Heading 2 2 2 7 3 12 2 2" xfId="36221"/>
    <cellStyle name="Heading 2 2 2 7 3 12 3" xfId="36222"/>
    <cellStyle name="Heading 2 2 2 7 3 13" xfId="36223"/>
    <cellStyle name="Heading 2 2 2 7 3 13 2" xfId="36224"/>
    <cellStyle name="Heading 2 2 2 7 3 13 2 2" xfId="36225"/>
    <cellStyle name="Heading 2 2 2 7 3 13 3" xfId="36226"/>
    <cellStyle name="Heading 2 2 2 7 3 14" xfId="36227"/>
    <cellStyle name="Heading 2 2 2 7 3 14 2" xfId="36228"/>
    <cellStyle name="Heading 2 2 2 7 3 14 2 2" xfId="36229"/>
    <cellStyle name="Heading 2 2 2 7 3 14 3" xfId="36230"/>
    <cellStyle name="Heading 2 2 2 7 3 15" xfId="36231"/>
    <cellStyle name="Heading 2 2 2 7 3 15 2" xfId="36232"/>
    <cellStyle name="Heading 2 2 2 7 3 15 2 2" xfId="36233"/>
    <cellStyle name="Heading 2 2 2 7 3 15 3" xfId="36234"/>
    <cellStyle name="Heading 2 2 2 7 3 16" xfId="36235"/>
    <cellStyle name="Heading 2 2 2 7 3 16 2" xfId="36236"/>
    <cellStyle name="Heading 2 2 2 7 3 16 2 2" xfId="36237"/>
    <cellStyle name="Heading 2 2 2 7 3 16 3" xfId="36238"/>
    <cellStyle name="Heading 2 2 2 7 3 17" xfId="36239"/>
    <cellStyle name="Heading 2 2 2 7 3 17 2" xfId="36240"/>
    <cellStyle name="Heading 2 2 2 7 3 17 2 2" xfId="36241"/>
    <cellStyle name="Heading 2 2 2 7 3 17 3" xfId="36242"/>
    <cellStyle name="Heading 2 2 2 7 3 18" xfId="36243"/>
    <cellStyle name="Heading 2 2 2 7 3 18 2" xfId="36244"/>
    <cellStyle name="Heading 2 2 2 7 3 18 2 2" xfId="36245"/>
    <cellStyle name="Heading 2 2 2 7 3 18 3" xfId="36246"/>
    <cellStyle name="Heading 2 2 2 7 3 19" xfId="36247"/>
    <cellStyle name="Heading 2 2 2 7 3 19 2" xfId="36248"/>
    <cellStyle name="Heading 2 2 2 7 3 2" xfId="36249"/>
    <cellStyle name="Heading 2 2 2 7 3 2 2" xfId="36250"/>
    <cellStyle name="Heading 2 2 2 7 3 2 2 2" xfId="36251"/>
    <cellStyle name="Heading 2 2 2 7 3 2 2 2 2" xfId="36252"/>
    <cellStyle name="Heading 2 2 2 7 3 2 2 3" xfId="36253"/>
    <cellStyle name="Heading 2 2 2 7 3 2 3" xfId="36254"/>
    <cellStyle name="Heading 2 2 2 7 3 2 3 2" xfId="36255"/>
    <cellStyle name="Heading 2 2 2 7 3 2 3 2 2" xfId="36256"/>
    <cellStyle name="Heading 2 2 2 7 3 2 3 3" xfId="36257"/>
    <cellStyle name="Heading 2 2 2 7 3 2 4" xfId="36258"/>
    <cellStyle name="Heading 2 2 2 7 3 2 4 2" xfId="36259"/>
    <cellStyle name="Heading 2 2 2 7 3 2 4 2 2" xfId="36260"/>
    <cellStyle name="Heading 2 2 2 7 3 2 4 3" xfId="36261"/>
    <cellStyle name="Heading 2 2 2 7 3 2 5" xfId="36262"/>
    <cellStyle name="Heading 2 2 2 7 3 2 5 2" xfId="36263"/>
    <cellStyle name="Heading 2 2 2 7 3 2 5 2 2" xfId="36264"/>
    <cellStyle name="Heading 2 2 2 7 3 2 5 3" xfId="36265"/>
    <cellStyle name="Heading 2 2 2 7 3 2 6" xfId="36266"/>
    <cellStyle name="Heading 2 2 2 7 3 2 6 2" xfId="36267"/>
    <cellStyle name="Heading 2 2 2 7 3 2 6 2 2" xfId="36268"/>
    <cellStyle name="Heading 2 2 2 7 3 2 6 3" xfId="36269"/>
    <cellStyle name="Heading 2 2 2 7 3 2 7" xfId="36270"/>
    <cellStyle name="Heading 2 2 2 7 3 2 7 2" xfId="36271"/>
    <cellStyle name="Heading 2 2 2 7 3 2 7 2 2" xfId="36272"/>
    <cellStyle name="Heading 2 2 2 7 3 2 7 3" xfId="36273"/>
    <cellStyle name="Heading 2 2 2 7 3 2 8" xfId="36274"/>
    <cellStyle name="Heading 2 2 2 7 3 2 8 2" xfId="36275"/>
    <cellStyle name="Heading 2 2 2 7 3 2 9" xfId="36276"/>
    <cellStyle name="Heading 2 2 2 7 3 20" xfId="36277"/>
    <cellStyle name="Heading 2 2 2 7 3 20 2" xfId="36278"/>
    <cellStyle name="Heading 2 2 2 7 3 21" xfId="36279"/>
    <cellStyle name="Heading 2 2 2 7 3 21 2" xfId="36280"/>
    <cellStyle name="Heading 2 2 2 7 3 22" xfId="36281"/>
    <cellStyle name="Heading 2 2 2 7 3 3" xfId="36282"/>
    <cellStyle name="Heading 2 2 2 7 3 3 2" xfId="36283"/>
    <cellStyle name="Heading 2 2 2 7 3 3 2 2" xfId="36284"/>
    <cellStyle name="Heading 2 2 2 7 3 3 2 2 2" xfId="36285"/>
    <cellStyle name="Heading 2 2 2 7 3 3 2 3" xfId="36286"/>
    <cellStyle name="Heading 2 2 2 7 3 3 3" xfId="36287"/>
    <cellStyle name="Heading 2 2 2 7 3 3 3 2" xfId="36288"/>
    <cellStyle name="Heading 2 2 2 7 3 3 3 2 2" xfId="36289"/>
    <cellStyle name="Heading 2 2 2 7 3 3 3 3" xfId="36290"/>
    <cellStyle name="Heading 2 2 2 7 3 3 4" xfId="36291"/>
    <cellStyle name="Heading 2 2 2 7 3 3 4 2" xfId="36292"/>
    <cellStyle name="Heading 2 2 2 7 3 3 4 2 2" xfId="36293"/>
    <cellStyle name="Heading 2 2 2 7 3 3 4 3" xfId="36294"/>
    <cellStyle name="Heading 2 2 2 7 3 3 5" xfId="36295"/>
    <cellStyle name="Heading 2 2 2 7 3 3 5 2" xfId="36296"/>
    <cellStyle name="Heading 2 2 2 7 3 3 5 2 2" xfId="36297"/>
    <cellStyle name="Heading 2 2 2 7 3 3 5 3" xfId="36298"/>
    <cellStyle name="Heading 2 2 2 7 3 3 6" xfId="36299"/>
    <cellStyle name="Heading 2 2 2 7 3 3 6 2" xfId="36300"/>
    <cellStyle name="Heading 2 2 2 7 3 3 6 2 2" xfId="36301"/>
    <cellStyle name="Heading 2 2 2 7 3 3 6 3" xfId="36302"/>
    <cellStyle name="Heading 2 2 2 7 3 3 7" xfId="36303"/>
    <cellStyle name="Heading 2 2 2 7 3 3 7 2" xfId="36304"/>
    <cellStyle name="Heading 2 2 2 7 3 3 7 2 2" xfId="36305"/>
    <cellStyle name="Heading 2 2 2 7 3 3 7 3" xfId="36306"/>
    <cellStyle name="Heading 2 2 2 7 3 3 8" xfId="36307"/>
    <cellStyle name="Heading 2 2 2 7 3 3 8 2" xfId="36308"/>
    <cellStyle name="Heading 2 2 2 7 3 3 9" xfId="36309"/>
    <cellStyle name="Heading 2 2 2 7 3 4" xfId="36310"/>
    <cellStyle name="Heading 2 2 2 7 3 4 2" xfId="36311"/>
    <cellStyle name="Heading 2 2 2 7 3 4 2 2" xfId="36312"/>
    <cellStyle name="Heading 2 2 2 7 3 4 2 2 2" xfId="36313"/>
    <cellStyle name="Heading 2 2 2 7 3 4 2 3" xfId="36314"/>
    <cellStyle name="Heading 2 2 2 7 3 4 3" xfId="36315"/>
    <cellStyle name="Heading 2 2 2 7 3 4 3 2" xfId="36316"/>
    <cellStyle name="Heading 2 2 2 7 3 4 3 2 2" xfId="36317"/>
    <cellStyle name="Heading 2 2 2 7 3 4 3 3" xfId="36318"/>
    <cellStyle name="Heading 2 2 2 7 3 4 4" xfId="36319"/>
    <cellStyle name="Heading 2 2 2 7 3 4 4 2" xfId="36320"/>
    <cellStyle name="Heading 2 2 2 7 3 4 4 2 2" xfId="36321"/>
    <cellStyle name="Heading 2 2 2 7 3 4 4 3" xfId="36322"/>
    <cellStyle name="Heading 2 2 2 7 3 4 5" xfId="36323"/>
    <cellStyle name="Heading 2 2 2 7 3 4 5 2" xfId="36324"/>
    <cellStyle name="Heading 2 2 2 7 3 4 5 2 2" xfId="36325"/>
    <cellStyle name="Heading 2 2 2 7 3 4 5 3" xfId="36326"/>
    <cellStyle name="Heading 2 2 2 7 3 4 6" xfId="36327"/>
    <cellStyle name="Heading 2 2 2 7 3 4 6 2" xfId="36328"/>
    <cellStyle name="Heading 2 2 2 7 3 4 6 2 2" xfId="36329"/>
    <cellStyle name="Heading 2 2 2 7 3 4 6 3" xfId="36330"/>
    <cellStyle name="Heading 2 2 2 7 3 4 7" xfId="36331"/>
    <cellStyle name="Heading 2 2 2 7 3 4 7 2" xfId="36332"/>
    <cellStyle name="Heading 2 2 2 7 3 4 7 2 2" xfId="36333"/>
    <cellStyle name="Heading 2 2 2 7 3 4 7 3" xfId="36334"/>
    <cellStyle name="Heading 2 2 2 7 3 4 8" xfId="36335"/>
    <cellStyle name="Heading 2 2 2 7 3 4 8 2" xfId="36336"/>
    <cellStyle name="Heading 2 2 2 7 3 4 9" xfId="36337"/>
    <cellStyle name="Heading 2 2 2 7 3 5" xfId="36338"/>
    <cellStyle name="Heading 2 2 2 7 3 5 2" xfId="36339"/>
    <cellStyle name="Heading 2 2 2 7 3 5 2 2" xfId="36340"/>
    <cellStyle name="Heading 2 2 2 7 3 5 2 2 2" xfId="36341"/>
    <cellStyle name="Heading 2 2 2 7 3 5 2 3" xfId="36342"/>
    <cellStyle name="Heading 2 2 2 7 3 5 3" xfId="36343"/>
    <cellStyle name="Heading 2 2 2 7 3 5 3 2" xfId="36344"/>
    <cellStyle name="Heading 2 2 2 7 3 5 3 2 2" xfId="36345"/>
    <cellStyle name="Heading 2 2 2 7 3 5 3 3" xfId="36346"/>
    <cellStyle name="Heading 2 2 2 7 3 5 4" xfId="36347"/>
    <cellStyle name="Heading 2 2 2 7 3 5 4 2" xfId="36348"/>
    <cellStyle name="Heading 2 2 2 7 3 5 4 2 2" xfId="36349"/>
    <cellStyle name="Heading 2 2 2 7 3 5 4 3" xfId="36350"/>
    <cellStyle name="Heading 2 2 2 7 3 5 5" xfId="36351"/>
    <cellStyle name="Heading 2 2 2 7 3 5 5 2" xfId="36352"/>
    <cellStyle name="Heading 2 2 2 7 3 5 5 2 2" xfId="36353"/>
    <cellStyle name="Heading 2 2 2 7 3 5 5 3" xfId="36354"/>
    <cellStyle name="Heading 2 2 2 7 3 5 6" xfId="36355"/>
    <cellStyle name="Heading 2 2 2 7 3 5 6 2" xfId="36356"/>
    <cellStyle name="Heading 2 2 2 7 3 5 6 2 2" xfId="36357"/>
    <cellStyle name="Heading 2 2 2 7 3 5 6 3" xfId="36358"/>
    <cellStyle name="Heading 2 2 2 7 3 5 7" xfId="36359"/>
    <cellStyle name="Heading 2 2 2 7 3 5 7 2" xfId="36360"/>
    <cellStyle name="Heading 2 2 2 7 3 5 7 2 2" xfId="36361"/>
    <cellStyle name="Heading 2 2 2 7 3 5 7 3" xfId="36362"/>
    <cellStyle name="Heading 2 2 2 7 3 5 8" xfId="36363"/>
    <cellStyle name="Heading 2 2 2 7 3 5 8 2" xfId="36364"/>
    <cellStyle name="Heading 2 2 2 7 3 5 9" xfId="36365"/>
    <cellStyle name="Heading 2 2 2 7 3 6" xfId="36366"/>
    <cellStyle name="Heading 2 2 2 7 3 6 2" xfId="36367"/>
    <cellStyle name="Heading 2 2 2 7 3 6 2 2" xfId="36368"/>
    <cellStyle name="Heading 2 2 2 7 3 6 2 2 2" xfId="36369"/>
    <cellStyle name="Heading 2 2 2 7 3 6 2 3" xfId="36370"/>
    <cellStyle name="Heading 2 2 2 7 3 6 3" xfId="36371"/>
    <cellStyle name="Heading 2 2 2 7 3 6 3 2" xfId="36372"/>
    <cellStyle name="Heading 2 2 2 7 3 6 3 2 2" xfId="36373"/>
    <cellStyle name="Heading 2 2 2 7 3 6 3 3" xfId="36374"/>
    <cellStyle name="Heading 2 2 2 7 3 6 4" xfId="36375"/>
    <cellStyle name="Heading 2 2 2 7 3 6 4 2" xfId="36376"/>
    <cellStyle name="Heading 2 2 2 7 3 6 4 2 2" xfId="36377"/>
    <cellStyle name="Heading 2 2 2 7 3 6 4 3" xfId="36378"/>
    <cellStyle name="Heading 2 2 2 7 3 6 5" xfId="36379"/>
    <cellStyle name="Heading 2 2 2 7 3 6 5 2" xfId="36380"/>
    <cellStyle name="Heading 2 2 2 7 3 6 5 2 2" xfId="36381"/>
    <cellStyle name="Heading 2 2 2 7 3 6 5 3" xfId="36382"/>
    <cellStyle name="Heading 2 2 2 7 3 6 6" xfId="36383"/>
    <cellStyle name="Heading 2 2 2 7 3 6 6 2" xfId="36384"/>
    <cellStyle name="Heading 2 2 2 7 3 6 6 2 2" xfId="36385"/>
    <cellStyle name="Heading 2 2 2 7 3 6 6 3" xfId="36386"/>
    <cellStyle name="Heading 2 2 2 7 3 6 7" xfId="36387"/>
    <cellStyle name="Heading 2 2 2 7 3 6 7 2" xfId="36388"/>
    <cellStyle name="Heading 2 2 2 7 3 6 7 2 2" xfId="36389"/>
    <cellStyle name="Heading 2 2 2 7 3 6 7 3" xfId="36390"/>
    <cellStyle name="Heading 2 2 2 7 3 6 8" xfId="36391"/>
    <cellStyle name="Heading 2 2 2 7 3 6 8 2" xfId="36392"/>
    <cellStyle name="Heading 2 2 2 7 3 6 9" xfId="36393"/>
    <cellStyle name="Heading 2 2 2 7 3 7" xfId="36394"/>
    <cellStyle name="Heading 2 2 2 7 3 7 2" xfId="36395"/>
    <cellStyle name="Heading 2 2 2 7 3 7 2 2" xfId="36396"/>
    <cellStyle name="Heading 2 2 2 7 3 7 2 2 2" xfId="36397"/>
    <cellStyle name="Heading 2 2 2 7 3 7 2 3" xfId="36398"/>
    <cellStyle name="Heading 2 2 2 7 3 7 3" xfId="36399"/>
    <cellStyle name="Heading 2 2 2 7 3 7 3 2" xfId="36400"/>
    <cellStyle name="Heading 2 2 2 7 3 7 3 2 2" xfId="36401"/>
    <cellStyle name="Heading 2 2 2 7 3 7 3 3" xfId="36402"/>
    <cellStyle name="Heading 2 2 2 7 3 7 4" xfId="36403"/>
    <cellStyle name="Heading 2 2 2 7 3 7 4 2" xfId="36404"/>
    <cellStyle name="Heading 2 2 2 7 3 7 4 2 2" xfId="36405"/>
    <cellStyle name="Heading 2 2 2 7 3 7 4 3" xfId="36406"/>
    <cellStyle name="Heading 2 2 2 7 3 7 5" xfId="36407"/>
    <cellStyle name="Heading 2 2 2 7 3 7 5 2" xfId="36408"/>
    <cellStyle name="Heading 2 2 2 7 3 7 5 2 2" xfId="36409"/>
    <cellStyle name="Heading 2 2 2 7 3 7 5 3" xfId="36410"/>
    <cellStyle name="Heading 2 2 2 7 3 7 6" xfId="36411"/>
    <cellStyle name="Heading 2 2 2 7 3 7 6 2" xfId="36412"/>
    <cellStyle name="Heading 2 2 2 7 3 7 6 2 2" xfId="36413"/>
    <cellStyle name="Heading 2 2 2 7 3 7 6 3" xfId="36414"/>
    <cellStyle name="Heading 2 2 2 7 3 7 7" xfId="36415"/>
    <cellStyle name="Heading 2 2 2 7 3 7 7 2" xfId="36416"/>
    <cellStyle name="Heading 2 2 2 7 3 7 7 2 2" xfId="36417"/>
    <cellStyle name="Heading 2 2 2 7 3 7 7 3" xfId="36418"/>
    <cellStyle name="Heading 2 2 2 7 3 7 8" xfId="36419"/>
    <cellStyle name="Heading 2 2 2 7 3 7 8 2" xfId="36420"/>
    <cellStyle name="Heading 2 2 2 7 3 7 9" xfId="36421"/>
    <cellStyle name="Heading 2 2 2 7 3 8" xfId="36422"/>
    <cellStyle name="Heading 2 2 2 7 3 8 2" xfId="36423"/>
    <cellStyle name="Heading 2 2 2 7 3 8 2 2" xfId="36424"/>
    <cellStyle name="Heading 2 2 2 7 3 8 2 2 2" xfId="36425"/>
    <cellStyle name="Heading 2 2 2 7 3 8 2 3" xfId="36426"/>
    <cellStyle name="Heading 2 2 2 7 3 8 3" xfId="36427"/>
    <cellStyle name="Heading 2 2 2 7 3 8 3 2" xfId="36428"/>
    <cellStyle name="Heading 2 2 2 7 3 8 3 2 2" xfId="36429"/>
    <cellStyle name="Heading 2 2 2 7 3 8 3 3" xfId="36430"/>
    <cellStyle name="Heading 2 2 2 7 3 8 4" xfId="36431"/>
    <cellStyle name="Heading 2 2 2 7 3 8 4 2" xfId="36432"/>
    <cellStyle name="Heading 2 2 2 7 3 8 4 2 2" xfId="36433"/>
    <cellStyle name="Heading 2 2 2 7 3 8 4 3" xfId="36434"/>
    <cellStyle name="Heading 2 2 2 7 3 8 5" xfId="36435"/>
    <cellStyle name="Heading 2 2 2 7 3 8 5 2" xfId="36436"/>
    <cellStyle name="Heading 2 2 2 7 3 8 5 2 2" xfId="36437"/>
    <cellStyle name="Heading 2 2 2 7 3 8 5 3" xfId="36438"/>
    <cellStyle name="Heading 2 2 2 7 3 8 6" xfId="36439"/>
    <cellStyle name="Heading 2 2 2 7 3 8 6 2" xfId="36440"/>
    <cellStyle name="Heading 2 2 2 7 3 8 6 2 2" xfId="36441"/>
    <cellStyle name="Heading 2 2 2 7 3 8 6 3" xfId="36442"/>
    <cellStyle name="Heading 2 2 2 7 3 8 7" xfId="36443"/>
    <cellStyle name="Heading 2 2 2 7 3 8 7 2" xfId="36444"/>
    <cellStyle name="Heading 2 2 2 7 3 8 7 2 2" xfId="36445"/>
    <cellStyle name="Heading 2 2 2 7 3 8 7 3" xfId="36446"/>
    <cellStyle name="Heading 2 2 2 7 3 8 8" xfId="36447"/>
    <cellStyle name="Heading 2 2 2 7 3 8 8 2" xfId="36448"/>
    <cellStyle name="Heading 2 2 2 7 3 8 9" xfId="36449"/>
    <cellStyle name="Heading 2 2 2 7 3 9" xfId="36450"/>
    <cellStyle name="Heading 2 2 2 7 3 9 2" xfId="36451"/>
    <cellStyle name="Heading 2 2 2 7 3 9 2 2" xfId="36452"/>
    <cellStyle name="Heading 2 2 2 7 3 9 3" xfId="36453"/>
    <cellStyle name="Heading 2 2 2 7 4" xfId="36454"/>
    <cellStyle name="Heading 2 2 2 7 4 2" xfId="36455"/>
    <cellStyle name="Heading 2 2 2 7 4 2 2" xfId="36456"/>
    <cellStyle name="Heading 2 2 2 7 4 3" xfId="36457"/>
    <cellStyle name="Heading 2 2 2 7 5" xfId="36458"/>
    <cellStyle name="Heading 2 2 2 7 5 2" xfId="36459"/>
    <cellStyle name="Heading 2 2 2 7 6" xfId="36460"/>
    <cellStyle name="Heading 2 2 2 8" xfId="36461"/>
    <cellStyle name="Heading 2 2 2 8 2" xfId="36462"/>
    <cellStyle name="Heading 2 2 2 8 2 10" xfId="36463"/>
    <cellStyle name="Heading 2 2 2 8 2 10 2" xfId="36464"/>
    <cellStyle name="Heading 2 2 2 8 2 10 2 2" xfId="36465"/>
    <cellStyle name="Heading 2 2 2 8 2 10 3" xfId="36466"/>
    <cellStyle name="Heading 2 2 2 8 2 11" xfId="36467"/>
    <cellStyle name="Heading 2 2 2 8 2 11 2" xfId="36468"/>
    <cellStyle name="Heading 2 2 2 8 2 11 2 2" xfId="36469"/>
    <cellStyle name="Heading 2 2 2 8 2 11 3" xfId="36470"/>
    <cellStyle name="Heading 2 2 2 8 2 12" xfId="36471"/>
    <cellStyle name="Heading 2 2 2 8 2 12 2" xfId="36472"/>
    <cellStyle name="Heading 2 2 2 8 2 12 2 2" xfId="36473"/>
    <cellStyle name="Heading 2 2 2 8 2 12 3" xfId="36474"/>
    <cellStyle name="Heading 2 2 2 8 2 13" xfId="36475"/>
    <cellStyle name="Heading 2 2 2 8 2 13 2" xfId="36476"/>
    <cellStyle name="Heading 2 2 2 8 2 13 2 2" xfId="36477"/>
    <cellStyle name="Heading 2 2 2 8 2 13 3" xfId="36478"/>
    <cellStyle name="Heading 2 2 2 8 2 14" xfId="36479"/>
    <cellStyle name="Heading 2 2 2 8 2 14 2" xfId="36480"/>
    <cellStyle name="Heading 2 2 2 8 2 14 2 2" xfId="36481"/>
    <cellStyle name="Heading 2 2 2 8 2 14 3" xfId="36482"/>
    <cellStyle name="Heading 2 2 2 8 2 15" xfId="36483"/>
    <cellStyle name="Heading 2 2 2 8 2 15 2" xfId="36484"/>
    <cellStyle name="Heading 2 2 2 8 2 15 2 2" xfId="36485"/>
    <cellStyle name="Heading 2 2 2 8 2 15 3" xfId="36486"/>
    <cellStyle name="Heading 2 2 2 8 2 16" xfId="36487"/>
    <cellStyle name="Heading 2 2 2 8 2 16 2" xfId="36488"/>
    <cellStyle name="Heading 2 2 2 8 2 16 2 2" xfId="36489"/>
    <cellStyle name="Heading 2 2 2 8 2 16 3" xfId="36490"/>
    <cellStyle name="Heading 2 2 2 8 2 17" xfId="36491"/>
    <cellStyle name="Heading 2 2 2 8 2 17 2" xfId="36492"/>
    <cellStyle name="Heading 2 2 2 8 2 17 2 2" xfId="36493"/>
    <cellStyle name="Heading 2 2 2 8 2 17 3" xfId="36494"/>
    <cellStyle name="Heading 2 2 2 8 2 18" xfId="36495"/>
    <cellStyle name="Heading 2 2 2 8 2 18 2" xfId="36496"/>
    <cellStyle name="Heading 2 2 2 8 2 18 2 2" xfId="36497"/>
    <cellStyle name="Heading 2 2 2 8 2 18 3" xfId="36498"/>
    <cellStyle name="Heading 2 2 2 8 2 19" xfId="36499"/>
    <cellStyle name="Heading 2 2 2 8 2 19 2" xfId="36500"/>
    <cellStyle name="Heading 2 2 2 8 2 19 2 2" xfId="36501"/>
    <cellStyle name="Heading 2 2 2 8 2 19 3" xfId="36502"/>
    <cellStyle name="Heading 2 2 2 8 2 2" xfId="36503"/>
    <cellStyle name="Heading 2 2 2 8 2 2 10" xfId="36504"/>
    <cellStyle name="Heading 2 2 2 8 2 2 10 2" xfId="36505"/>
    <cellStyle name="Heading 2 2 2 8 2 2 10 2 2" xfId="36506"/>
    <cellStyle name="Heading 2 2 2 8 2 2 10 3" xfId="36507"/>
    <cellStyle name="Heading 2 2 2 8 2 2 11" xfId="36508"/>
    <cellStyle name="Heading 2 2 2 8 2 2 11 2" xfId="36509"/>
    <cellStyle name="Heading 2 2 2 8 2 2 11 2 2" xfId="36510"/>
    <cellStyle name="Heading 2 2 2 8 2 2 11 3" xfId="36511"/>
    <cellStyle name="Heading 2 2 2 8 2 2 12" xfId="36512"/>
    <cellStyle name="Heading 2 2 2 8 2 2 12 2" xfId="36513"/>
    <cellStyle name="Heading 2 2 2 8 2 2 12 2 2" xfId="36514"/>
    <cellStyle name="Heading 2 2 2 8 2 2 12 3" xfId="36515"/>
    <cellStyle name="Heading 2 2 2 8 2 2 13" xfId="36516"/>
    <cellStyle name="Heading 2 2 2 8 2 2 13 2" xfId="36517"/>
    <cellStyle name="Heading 2 2 2 8 2 2 13 2 2" xfId="36518"/>
    <cellStyle name="Heading 2 2 2 8 2 2 13 3" xfId="36519"/>
    <cellStyle name="Heading 2 2 2 8 2 2 14" xfId="36520"/>
    <cellStyle name="Heading 2 2 2 8 2 2 14 2" xfId="36521"/>
    <cellStyle name="Heading 2 2 2 8 2 2 14 2 2" xfId="36522"/>
    <cellStyle name="Heading 2 2 2 8 2 2 14 3" xfId="36523"/>
    <cellStyle name="Heading 2 2 2 8 2 2 15" xfId="36524"/>
    <cellStyle name="Heading 2 2 2 8 2 2 15 2" xfId="36525"/>
    <cellStyle name="Heading 2 2 2 8 2 2 15 2 2" xfId="36526"/>
    <cellStyle name="Heading 2 2 2 8 2 2 15 3" xfId="36527"/>
    <cellStyle name="Heading 2 2 2 8 2 2 16" xfId="36528"/>
    <cellStyle name="Heading 2 2 2 8 2 2 16 2" xfId="36529"/>
    <cellStyle name="Heading 2 2 2 8 2 2 16 2 2" xfId="36530"/>
    <cellStyle name="Heading 2 2 2 8 2 2 16 3" xfId="36531"/>
    <cellStyle name="Heading 2 2 2 8 2 2 17" xfId="36532"/>
    <cellStyle name="Heading 2 2 2 8 2 2 17 2" xfId="36533"/>
    <cellStyle name="Heading 2 2 2 8 2 2 17 2 2" xfId="36534"/>
    <cellStyle name="Heading 2 2 2 8 2 2 17 3" xfId="36535"/>
    <cellStyle name="Heading 2 2 2 8 2 2 18" xfId="36536"/>
    <cellStyle name="Heading 2 2 2 8 2 2 18 2" xfId="36537"/>
    <cellStyle name="Heading 2 2 2 8 2 2 18 2 2" xfId="36538"/>
    <cellStyle name="Heading 2 2 2 8 2 2 18 3" xfId="36539"/>
    <cellStyle name="Heading 2 2 2 8 2 2 19" xfId="36540"/>
    <cellStyle name="Heading 2 2 2 8 2 2 19 2" xfId="36541"/>
    <cellStyle name="Heading 2 2 2 8 2 2 2" xfId="36542"/>
    <cellStyle name="Heading 2 2 2 8 2 2 2 2" xfId="36543"/>
    <cellStyle name="Heading 2 2 2 8 2 2 2 2 2" xfId="36544"/>
    <cellStyle name="Heading 2 2 2 8 2 2 2 2 2 2" xfId="36545"/>
    <cellStyle name="Heading 2 2 2 8 2 2 2 2 3" xfId="36546"/>
    <cellStyle name="Heading 2 2 2 8 2 2 2 3" xfId="36547"/>
    <cellStyle name="Heading 2 2 2 8 2 2 2 3 2" xfId="36548"/>
    <cellStyle name="Heading 2 2 2 8 2 2 2 3 2 2" xfId="36549"/>
    <cellStyle name="Heading 2 2 2 8 2 2 2 3 3" xfId="36550"/>
    <cellStyle name="Heading 2 2 2 8 2 2 2 4" xfId="36551"/>
    <cellStyle name="Heading 2 2 2 8 2 2 2 4 2" xfId="36552"/>
    <cellStyle name="Heading 2 2 2 8 2 2 2 4 2 2" xfId="36553"/>
    <cellStyle name="Heading 2 2 2 8 2 2 2 4 3" xfId="36554"/>
    <cellStyle name="Heading 2 2 2 8 2 2 2 5" xfId="36555"/>
    <cellStyle name="Heading 2 2 2 8 2 2 2 5 2" xfId="36556"/>
    <cellStyle name="Heading 2 2 2 8 2 2 2 5 2 2" xfId="36557"/>
    <cellStyle name="Heading 2 2 2 8 2 2 2 5 3" xfId="36558"/>
    <cellStyle name="Heading 2 2 2 8 2 2 2 6" xfId="36559"/>
    <cellStyle name="Heading 2 2 2 8 2 2 2 6 2" xfId="36560"/>
    <cellStyle name="Heading 2 2 2 8 2 2 2 6 2 2" xfId="36561"/>
    <cellStyle name="Heading 2 2 2 8 2 2 2 6 3" xfId="36562"/>
    <cellStyle name="Heading 2 2 2 8 2 2 2 7" xfId="36563"/>
    <cellStyle name="Heading 2 2 2 8 2 2 2 7 2" xfId="36564"/>
    <cellStyle name="Heading 2 2 2 8 2 2 2 7 2 2" xfId="36565"/>
    <cellStyle name="Heading 2 2 2 8 2 2 2 7 3" xfId="36566"/>
    <cellStyle name="Heading 2 2 2 8 2 2 2 8" xfId="36567"/>
    <cellStyle name="Heading 2 2 2 8 2 2 2 8 2" xfId="36568"/>
    <cellStyle name="Heading 2 2 2 8 2 2 2 9" xfId="36569"/>
    <cellStyle name="Heading 2 2 2 8 2 2 20" xfId="36570"/>
    <cellStyle name="Heading 2 2 2 8 2 2 20 2" xfId="36571"/>
    <cellStyle name="Heading 2 2 2 8 2 2 21" xfId="36572"/>
    <cellStyle name="Heading 2 2 2 8 2 2 21 2" xfId="36573"/>
    <cellStyle name="Heading 2 2 2 8 2 2 22" xfId="36574"/>
    <cellStyle name="Heading 2 2 2 8 2 2 3" xfId="36575"/>
    <cellStyle name="Heading 2 2 2 8 2 2 3 2" xfId="36576"/>
    <cellStyle name="Heading 2 2 2 8 2 2 3 2 2" xfId="36577"/>
    <cellStyle name="Heading 2 2 2 8 2 2 3 2 2 2" xfId="36578"/>
    <cellStyle name="Heading 2 2 2 8 2 2 3 2 3" xfId="36579"/>
    <cellStyle name="Heading 2 2 2 8 2 2 3 3" xfId="36580"/>
    <cellStyle name="Heading 2 2 2 8 2 2 3 3 2" xfId="36581"/>
    <cellStyle name="Heading 2 2 2 8 2 2 3 3 2 2" xfId="36582"/>
    <cellStyle name="Heading 2 2 2 8 2 2 3 3 3" xfId="36583"/>
    <cellStyle name="Heading 2 2 2 8 2 2 3 4" xfId="36584"/>
    <cellStyle name="Heading 2 2 2 8 2 2 3 4 2" xfId="36585"/>
    <cellStyle name="Heading 2 2 2 8 2 2 3 4 2 2" xfId="36586"/>
    <cellStyle name="Heading 2 2 2 8 2 2 3 4 3" xfId="36587"/>
    <cellStyle name="Heading 2 2 2 8 2 2 3 5" xfId="36588"/>
    <cellStyle name="Heading 2 2 2 8 2 2 3 5 2" xfId="36589"/>
    <cellStyle name="Heading 2 2 2 8 2 2 3 5 2 2" xfId="36590"/>
    <cellStyle name="Heading 2 2 2 8 2 2 3 5 3" xfId="36591"/>
    <cellStyle name="Heading 2 2 2 8 2 2 3 6" xfId="36592"/>
    <cellStyle name="Heading 2 2 2 8 2 2 3 6 2" xfId="36593"/>
    <cellStyle name="Heading 2 2 2 8 2 2 3 6 2 2" xfId="36594"/>
    <cellStyle name="Heading 2 2 2 8 2 2 3 6 3" xfId="36595"/>
    <cellStyle name="Heading 2 2 2 8 2 2 3 7" xfId="36596"/>
    <cellStyle name="Heading 2 2 2 8 2 2 3 7 2" xfId="36597"/>
    <cellStyle name="Heading 2 2 2 8 2 2 3 7 2 2" xfId="36598"/>
    <cellStyle name="Heading 2 2 2 8 2 2 3 7 3" xfId="36599"/>
    <cellStyle name="Heading 2 2 2 8 2 2 3 8" xfId="36600"/>
    <cellStyle name="Heading 2 2 2 8 2 2 3 8 2" xfId="36601"/>
    <cellStyle name="Heading 2 2 2 8 2 2 3 9" xfId="36602"/>
    <cellStyle name="Heading 2 2 2 8 2 2 4" xfId="36603"/>
    <cellStyle name="Heading 2 2 2 8 2 2 4 2" xfId="36604"/>
    <cellStyle name="Heading 2 2 2 8 2 2 4 2 2" xfId="36605"/>
    <cellStyle name="Heading 2 2 2 8 2 2 4 2 2 2" xfId="36606"/>
    <cellStyle name="Heading 2 2 2 8 2 2 4 2 3" xfId="36607"/>
    <cellStyle name="Heading 2 2 2 8 2 2 4 3" xfId="36608"/>
    <cellStyle name="Heading 2 2 2 8 2 2 4 3 2" xfId="36609"/>
    <cellStyle name="Heading 2 2 2 8 2 2 4 3 2 2" xfId="36610"/>
    <cellStyle name="Heading 2 2 2 8 2 2 4 3 3" xfId="36611"/>
    <cellStyle name="Heading 2 2 2 8 2 2 4 4" xfId="36612"/>
    <cellStyle name="Heading 2 2 2 8 2 2 4 4 2" xfId="36613"/>
    <cellStyle name="Heading 2 2 2 8 2 2 4 4 2 2" xfId="36614"/>
    <cellStyle name="Heading 2 2 2 8 2 2 4 4 3" xfId="36615"/>
    <cellStyle name="Heading 2 2 2 8 2 2 4 5" xfId="36616"/>
    <cellStyle name="Heading 2 2 2 8 2 2 4 5 2" xfId="36617"/>
    <cellStyle name="Heading 2 2 2 8 2 2 4 5 2 2" xfId="36618"/>
    <cellStyle name="Heading 2 2 2 8 2 2 4 5 3" xfId="36619"/>
    <cellStyle name="Heading 2 2 2 8 2 2 4 6" xfId="36620"/>
    <cellStyle name="Heading 2 2 2 8 2 2 4 6 2" xfId="36621"/>
    <cellStyle name="Heading 2 2 2 8 2 2 4 6 2 2" xfId="36622"/>
    <cellStyle name="Heading 2 2 2 8 2 2 4 6 3" xfId="36623"/>
    <cellStyle name="Heading 2 2 2 8 2 2 4 7" xfId="36624"/>
    <cellStyle name="Heading 2 2 2 8 2 2 4 7 2" xfId="36625"/>
    <cellStyle name="Heading 2 2 2 8 2 2 4 7 2 2" xfId="36626"/>
    <cellStyle name="Heading 2 2 2 8 2 2 4 7 3" xfId="36627"/>
    <cellStyle name="Heading 2 2 2 8 2 2 4 8" xfId="36628"/>
    <cellStyle name="Heading 2 2 2 8 2 2 4 8 2" xfId="36629"/>
    <cellStyle name="Heading 2 2 2 8 2 2 4 9" xfId="36630"/>
    <cellStyle name="Heading 2 2 2 8 2 2 5" xfId="36631"/>
    <cellStyle name="Heading 2 2 2 8 2 2 5 2" xfId="36632"/>
    <cellStyle name="Heading 2 2 2 8 2 2 5 2 2" xfId="36633"/>
    <cellStyle name="Heading 2 2 2 8 2 2 5 2 2 2" xfId="36634"/>
    <cellStyle name="Heading 2 2 2 8 2 2 5 2 3" xfId="36635"/>
    <cellStyle name="Heading 2 2 2 8 2 2 5 3" xfId="36636"/>
    <cellStyle name="Heading 2 2 2 8 2 2 5 3 2" xfId="36637"/>
    <cellStyle name="Heading 2 2 2 8 2 2 5 3 2 2" xfId="36638"/>
    <cellStyle name="Heading 2 2 2 8 2 2 5 3 3" xfId="36639"/>
    <cellStyle name="Heading 2 2 2 8 2 2 5 4" xfId="36640"/>
    <cellStyle name="Heading 2 2 2 8 2 2 5 4 2" xfId="36641"/>
    <cellStyle name="Heading 2 2 2 8 2 2 5 4 2 2" xfId="36642"/>
    <cellStyle name="Heading 2 2 2 8 2 2 5 4 3" xfId="36643"/>
    <cellStyle name="Heading 2 2 2 8 2 2 5 5" xfId="36644"/>
    <cellStyle name="Heading 2 2 2 8 2 2 5 5 2" xfId="36645"/>
    <cellStyle name="Heading 2 2 2 8 2 2 5 5 2 2" xfId="36646"/>
    <cellStyle name="Heading 2 2 2 8 2 2 5 5 3" xfId="36647"/>
    <cellStyle name="Heading 2 2 2 8 2 2 5 6" xfId="36648"/>
    <cellStyle name="Heading 2 2 2 8 2 2 5 6 2" xfId="36649"/>
    <cellStyle name="Heading 2 2 2 8 2 2 5 6 2 2" xfId="36650"/>
    <cellStyle name="Heading 2 2 2 8 2 2 5 6 3" xfId="36651"/>
    <cellStyle name="Heading 2 2 2 8 2 2 5 7" xfId="36652"/>
    <cellStyle name="Heading 2 2 2 8 2 2 5 7 2" xfId="36653"/>
    <cellStyle name="Heading 2 2 2 8 2 2 5 7 2 2" xfId="36654"/>
    <cellStyle name="Heading 2 2 2 8 2 2 5 7 3" xfId="36655"/>
    <cellStyle name="Heading 2 2 2 8 2 2 5 8" xfId="36656"/>
    <cellStyle name="Heading 2 2 2 8 2 2 5 8 2" xfId="36657"/>
    <cellStyle name="Heading 2 2 2 8 2 2 5 9" xfId="36658"/>
    <cellStyle name="Heading 2 2 2 8 2 2 6" xfId="36659"/>
    <cellStyle name="Heading 2 2 2 8 2 2 6 2" xfId="36660"/>
    <cellStyle name="Heading 2 2 2 8 2 2 6 2 2" xfId="36661"/>
    <cellStyle name="Heading 2 2 2 8 2 2 6 2 2 2" xfId="36662"/>
    <cellStyle name="Heading 2 2 2 8 2 2 6 2 3" xfId="36663"/>
    <cellStyle name="Heading 2 2 2 8 2 2 6 3" xfId="36664"/>
    <cellStyle name="Heading 2 2 2 8 2 2 6 3 2" xfId="36665"/>
    <cellStyle name="Heading 2 2 2 8 2 2 6 3 2 2" xfId="36666"/>
    <cellStyle name="Heading 2 2 2 8 2 2 6 3 3" xfId="36667"/>
    <cellStyle name="Heading 2 2 2 8 2 2 6 4" xfId="36668"/>
    <cellStyle name="Heading 2 2 2 8 2 2 6 4 2" xfId="36669"/>
    <cellStyle name="Heading 2 2 2 8 2 2 6 4 2 2" xfId="36670"/>
    <cellStyle name="Heading 2 2 2 8 2 2 6 4 3" xfId="36671"/>
    <cellStyle name="Heading 2 2 2 8 2 2 6 5" xfId="36672"/>
    <cellStyle name="Heading 2 2 2 8 2 2 6 5 2" xfId="36673"/>
    <cellStyle name="Heading 2 2 2 8 2 2 6 5 2 2" xfId="36674"/>
    <cellStyle name="Heading 2 2 2 8 2 2 6 5 3" xfId="36675"/>
    <cellStyle name="Heading 2 2 2 8 2 2 6 6" xfId="36676"/>
    <cellStyle name="Heading 2 2 2 8 2 2 6 6 2" xfId="36677"/>
    <cellStyle name="Heading 2 2 2 8 2 2 6 6 2 2" xfId="36678"/>
    <cellStyle name="Heading 2 2 2 8 2 2 6 6 3" xfId="36679"/>
    <cellStyle name="Heading 2 2 2 8 2 2 6 7" xfId="36680"/>
    <cellStyle name="Heading 2 2 2 8 2 2 6 7 2" xfId="36681"/>
    <cellStyle name="Heading 2 2 2 8 2 2 6 7 2 2" xfId="36682"/>
    <cellStyle name="Heading 2 2 2 8 2 2 6 7 3" xfId="36683"/>
    <cellStyle name="Heading 2 2 2 8 2 2 6 8" xfId="36684"/>
    <cellStyle name="Heading 2 2 2 8 2 2 6 8 2" xfId="36685"/>
    <cellStyle name="Heading 2 2 2 8 2 2 6 9" xfId="36686"/>
    <cellStyle name="Heading 2 2 2 8 2 2 7" xfId="36687"/>
    <cellStyle name="Heading 2 2 2 8 2 2 7 2" xfId="36688"/>
    <cellStyle name="Heading 2 2 2 8 2 2 7 2 2" xfId="36689"/>
    <cellStyle name="Heading 2 2 2 8 2 2 7 2 2 2" xfId="36690"/>
    <cellStyle name="Heading 2 2 2 8 2 2 7 2 3" xfId="36691"/>
    <cellStyle name="Heading 2 2 2 8 2 2 7 3" xfId="36692"/>
    <cellStyle name="Heading 2 2 2 8 2 2 7 3 2" xfId="36693"/>
    <cellStyle name="Heading 2 2 2 8 2 2 7 3 2 2" xfId="36694"/>
    <cellStyle name="Heading 2 2 2 8 2 2 7 3 3" xfId="36695"/>
    <cellStyle name="Heading 2 2 2 8 2 2 7 4" xfId="36696"/>
    <cellStyle name="Heading 2 2 2 8 2 2 7 4 2" xfId="36697"/>
    <cellStyle name="Heading 2 2 2 8 2 2 7 4 2 2" xfId="36698"/>
    <cellStyle name="Heading 2 2 2 8 2 2 7 4 3" xfId="36699"/>
    <cellStyle name="Heading 2 2 2 8 2 2 7 5" xfId="36700"/>
    <cellStyle name="Heading 2 2 2 8 2 2 7 5 2" xfId="36701"/>
    <cellStyle name="Heading 2 2 2 8 2 2 7 5 2 2" xfId="36702"/>
    <cellStyle name="Heading 2 2 2 8 2 2 7 5 3" xfId="36703"/>
    <cellStyle name="Heading 2 2 2 8 2 2 7 6" xfId="36704"/>
    <cellStyle name="Heading 2 2 2 8 2 2 7 6 2" xfId="36705"/>
    <cellStyle name="Heading 2 2 2 8 2 2 7 6 2 2" xfId="36706"/>
    <cellStyle name="Heading 2 2 2 8 2 2 7 6 3" xfId="36707"/>
    <cellStyle name="Heading 2 2 2 8 2 2 7 7" xfId="36708"/>
    <cellStyle name="Heading 2 2 2 8 2 2 7 7 2" xfId="36709"/>
    <cellStyle name="Heading 2 2 2 8 2 2 7 7 2 2" xfId="36710"/>
    <cellStyle name="Heading 2 2 2 8 2 2 7 7 3" xfId="36711"/>
    <cellStyle name="Heading 2 2 2 8 2 2 7 8" xfId="36712"/>
    <cellStyle name="Heading 2 2 2 8 2 2 7 8 2" xfId="36713"/>
    <cellStyle name="Heading 2 2 2 8 2 2 7 9" xfId="36714"/>
    <cellStyle name="Heading 2 2 2 8 2 2 8" xfId="36715"/>
    <cellStyle name="Heading 2 2 2 8 2 2 8 2" xfId="36716"/>
    <cellStyle name="Heading 2 2 2 8 2 2 8 2 2" xfId="36717"/>
    <cellStyle name="Heading 2 2 2 8 2 2 8 2 2 2" xfId="36718"/>
    <cellStyle name="Heading 2 2 2 8 2 2 8 2 3" xfId="36719"/>
    <cellStyle name="Heading 2 2 2 8 2 2 8 3" xfId="36720"/>
    <cellStyle name="Heading 2 2 2 8 2 2 8 3 2" xfId="36721"/>
    <cellStyle name="Heading 2 2 2 8 2 2 8 3 2 2" xfId="36722"/>
    <cellStyle name="Heading 2 2 2 8 2 2 8 3 3" xfId="36723"/>
    <cellStyle name="Heading 2 2 2 8 2 2 8 4" xfId="36724"/>
    <cellStyle name="Heading 2 2 2 8 2 2 8 4 2" xfId="36725"/>
    <cellStyle name="Heading 2 2 2 8 2 2 8 4 2 2" xfId="36726"/>
    <cellStyle name="Heading 2 2 2 8 2 2 8 4 3" xfId="36727"/>
    <cellStyle name="Heading 2 2 2 8 2 2 8 5" xfId="36728"/>
    <cellStyle name="Heading 2 2 2 8 2 2 8 5 2" xfId="36729"/>
    <cellStyle name="Heading 2 2 2 8 2 2 8 5 2 2" xfId="36730"/>
    <cellStyle name="Heading 2 2 2 8 2 2 8 5 3" xfId="36731"/>
    <cellStyle name="Heading 2 2 2 8 2 2 8 6" xfId="36732"/>
    <cellStyle name="Heading 2 2 2 8 2 2 8 6 2" xfId="36733"/>
    <cellStyle name="Heading 2 2 2 8 2 2 8 6 2 2" xfId="36734"/>
    <cellStyle name="Heading 2 2 2 8 2 2 8 6 3" xfId="36735"/>
    <cellStyle name="Heading 2 2 2 8 2 2 8 7" xfId="36736"/>
    <cellStyle name="Heading 2 2 2 8 2 2 8 7 2" xfId="36737"/>
    <cellStyle name="Heading 2 2 2 8 2 2 8 7 2 2" xfId="36738"/>
    <cellStyle name="Heading 2 2 2 8 2 2 8 7 3" xfId="36739"/>
    <cellStyle name="Heading 2 2 2 8 2 2 8 8" xfId="36740"/>
    <cellStyle name="Heading 2 2 2 8 2 2 8 8 2" xfId="36741"/>
    <cellStyle name="Heading 2 2 2 8 2 2 8 9" xfId="36742"/>
    <cellStyle name="Heading 2 2 2 8 2 2 9" xfId="36743"/>
    <cellStyle name="Heading 2 2 2 8 2 2 9 2" xfId="36744"/>
    <cellStyle name="Heading 2 2 2 8 2 2 9 2 2" xfId="36745"/>
    <cellStyle name="Heading 2 2 2 8 2 2 9 3" xfId="36746"/>
    <cellStyle name="Heading 2 2 2 8 2 20" xfId="36747"/>
    <cellStyle name="Heading 2 2 2 8 2 20 2" xfId="36748"/>
    <cellStyle name="Heading 2 2 2 8 2 21" xfId="36749"/>
    <cellStyle name="Heading 2 2 2 8 2 21 2" xfId="36750"/>
    <cellStyle name="Heading 2 2 2 8 2 22" xfId="36751"/>
    <cellStyle name="Heading 2 2 2 8 2 22 2" xfId="36752"/>
    <cellStyle name="Heading 2 2 2 8 2 23" xfId="36753"/>
    <cellStyle name="Heading 2 2 2 8 2 3" xfId="36754"/>
    <cellStyle name="Heading 2 2 2 8 2 3 2" xfId="36755"/>
    <cellStyle name="Heading 2 2 2 8 2 3 2 2" xfId="36756"/>
    <cellStyle name="Heading 2 2 2 8 2 3 2 2 2" xfId="36757"/>
    <cellStyle name="Heading 2 2 2 8 2 3 2 3" xfId="36758"/>
    <cellStyle name="Heading 2 2 2 8 2 3 3" xfId="36759"/>
    <cellStyle name="Heading 2 2 2 8 2 3 3 2" xfId="36760"/>
    <cellStyle name="Heading 2 2 2 8 2 3 3 2 2" xfId="36761"/>
    <cellStyle name="Heading 2 2 2 8 2 3 3 3" xfId="36762"/>
    <cellStyle name="Heading 2 2 2 8 2 3 4" xfId="36763"/>
    <cellStyle name="Heading 2 2 2 8 2 3 4 2" xfId="36764"/>
    <cellStyle name="Heading 2 2 2 8 2 3 4 2 2" xfId="36765"/>
    <cellStyle name="Heading 2 2 2 8 2 3 4 3" xfId="36766"/>
    <cellStyle name="Heading 2 2 2 8 2 3 5" xfId="36767"/>
    <cellStyle name="Heading 2 2 2 8 2 3 5 2" xfId="36768"/>
    <cellStyle name="Heading 2 2 2 8 2 3 5 2 2" xfId="36769"/>
    <cellStyle name="Heading 2 2 2 8 2 3 5 3" xfId="36770"/>
    <cellStyle name="Heading 2 2 2 8 2 3 6" xfId="36771"/>
    <cellStyle name="Heading 2 2 2 8 2 3 6 2" xfId="36772"/>
    <cellStyle name="Heading 2 2 2 8 2 3 6 2 2" xfId="36773"/>
    <cellStyle name="Heading 2 2 2 8 2 3 6 3" xfId="36774"/>
    <cellStyle name="Heading 2 2 2 8 2 3 7" xfId="36775"/>
    <cellStyle name="Heading 2 2 2 8 2 3 7 2" xfId="36776"/>
    <cellStyle name="Heading 2 2 2 8 2 3 7 2 2" xfId="36777"/>
    <cellStyle name="Heading 2 2 2 8 2 3 7 3" xfId="36778"/>
    <cellStyle name="Heading 2 2 2 8 2 3 8" xfId="36779"/>
    <cellStyle name="Heading 2 2 2 8 2 3 8 2" xfId="36780"/>
    <cellStyle name="Heading 2 2 2 8 2 3 9" xfId="36781"/>
    <cellStyle name="Heading 2 2 2 8 2 4" xfId="36782"/>
    <cellStyle name="Heading 2 2 2 8 2 4 2" xfId="36783"/>
    <cellStyle name="Heading 2 2 2 8 2 4 2 2" xfId="36784"/>
    <cellStyle name="Heading 2 2 2 8 2 4 2 2 2" xfId="36785"/>
    <cellStyle name="Heading 2 2 2 8 2 4 2 3" xfId="36786"/>
    <cellStyle name="Heading 2 2 2 8 2 4 3" xfId="36787"/>
    <cellStyle name="Heading 2 2 2 8 2 4 3 2" xfId="36788"/>
    <cellStyle name="Heading 2 2 2 8 2 4 3 2 2" xfId="36789"/>
    <cellStyle name="Heading 2 2 2 8 2 4 3 3" xfId="36790"/>
    <cellStyle name="Heading 2 2 2 8 2 4 4" xfId="36791"/>
    <cellStyle name="Heading 2 2 2 8 2 4 4 2" xfId="36792"/>
    <cellStyle name="Heading 2 2 2 8 2 4 4 2 2" xfId="36793"/>
    <cellStyle name="Heading 2 2 2 8 2 4 4 3" xfId="36794"/>
    <cellStyle name="Heading 2 2 2 8 2 4 5" xfId="36795"/>
    <cellStyle name="Heading 2 2 2 8 2 4 5 2" xfId="36796"/>
    <cellStyle name="Heading 2 2 2 8 2 4 5 2 2" xfId="36797"/>
    <cellStyle name="Heading 2 2 2 8 2 4 5 3" xfId="36798"/>
    <cellStyle name="Heading 2 2 2 8 2 4 6" xfId="36799"/>
    <cellStyle name="Heading 2 2 2 8 2 4 6 2" xfId="36800"/>
    <cellStyle name="Heading 2 2 2 8 2 4 6 2 2" xfId="36801"/>
    <cellStyle name="Heading 2 2 2 8 2 4 6 3" xfId="36802"/>
    <cellStyle name="Heading 2 2 2 8 2 4 7" xfId="36803"/>
    <cellStyle name="Heading 2 2 2 8 2 4 7 2" xfId="36804"/>
    <cellStyle name="Heading 2 2 2 8 2 4 7 2 2" xfId="36805"/>
    <cellStyle name="Heading 2 2 2 8 2 4 7 3" xfId="36806"/>
    <cellStyle name="Heading 2 2 2 8 2 4 8" xfId="36807"/>
    <cellStyle name="Heading 2 2 2 8 2 4 8 2" xfId="36808"/>
    <cellStyle name="Heading 2 2 2 8 2 4 9" xfId="36809"/>
    <cellStyle name="Heading 2 2 2 8 2 5" xfId="36810"/>
    <cellStyle name="Heading 2 2 2 8 2 5 2" xfId="36811"/>
    <cellStyle name="Heading 2 2 2 8 2 5 2 2" xfId="36812"/>
    <cellStyle name="Heading 2 2 2 8 2 5 2 2 2" xfId="36813"/>
    <cellStyle name="Heading 2 2 2 8 2 5 2 3" xfId="36814"/>
    <cellStyle name="Heading 2 2 2 8 2 5 3" xfId="36815"/>
    <cellStyle name="Heading 2 2 2 8 2 5 3 2" xfId="36816"/>
    <cellStyle name="Heading 2 2 2 8 2 5 3 2 2" xfId="36817"/>
    <cellStyle name="Heading 2 2 2 8 2 5 3 3" xfId="36818"/>
    <cellStyle name="Heading 2 2 2 8 2 5 4" xfId="36819"/>
    <cellStyle name="Heading 2 2 2 8 2 5 4 2" xfId="36820"/>
    <cellStyle name="Heading 2 2 2 8 2 5 4 2 2" xfId="36821"/>
    <cellStyle name="Heading 2 2 2 8 2 5 4 3" xfId="36822"/>
    <cellStyle name="Heading 2 2 2 8 2 5 5" xfId="36823"/>
    <cellStyle name="Heading 2 2 2 8 2 5 5 2" xfId="36824"/>
    <cellStyle name="Heading 2 2 2 8 2 5 5 2 2" xfId="36825"/>
    <cellStyle name="Heading 2 2 2 8 2 5 5 3" xfId="36826"/>
    <cellStyle name="Heading 2 2 2 8 2 5 6" xfId="36827"/>
    <cellStyle name="Heading 2 2 2 8 2 5 6 2" xfId="36828"/>
    <cellStyle name="Heading 2 2 2 8 2 5 6 2 2" xfId="36829"/>
    <cellStyle name="Heading 2 2 2 8 2 5 6 3" xfId="36830"/>
    <cellStyle name="Heading 2 2 2 8 2 5 7" xfId="36831"/>
    <cellStyle name="Heading 2 2 2 8 2 5 7 2" xfId="36832"/>
    <cellStyle name="Heading 2 2 2 8 2 5 7 2 2" xfId="36833"/>
    <cellStyle name="Heading 2 2 2 8 2 5 7 3" xfId="36834"/>
    <cellStyle name="Heading 2 2 2 8 2 5 8" xfId="36835"/>
    <cellStyle name="Heading 2 2 2 8 2 5 8 2" xfId="36836"/>
    <cellStyle name="Heading 2 2 2 8 2 5 9" xfId="36837"/>
    <cellStyle name="Heading 2 2 2 8 2 6" xfId="36838"/>
    <cellStyle name="Heading 2 2 2 8 2 6 2" xfId="36839"/>
    <cellStyle name="Heading 2 2 2 8 2 6 2 2" xfId="36840"/>
    <cellStyle name="Heading 2 2 2 8 2 6 2 2 2" xfId="36841"/>
    <cellStyle name="Heading 2 2 2 8 2 6 2 3" xfId="36842"/>
    <cellStyle name="Heading 2 2 2 8 2 6 3" xfId="36843"/>
    <cellStyle name="Heading 2 2 2 8 2 6 3 2" xfId="36844"/>
    <cellStyle name="Heading 2 2 2 8 2 6 3 2 2" xfId="36845"/>
    <cellStyle name="Heading 2 2 2 8 2 6 3 3" xfId="36846"/>
    <cellStyle name="Heading 2 2 2 8 2 6 4" xfId="36847"/>
    <cellStyle name="Heading 2 2 2 8 2 6 4 2" xfId="36848"/>
    <cellStyle name="Heading 2 2 2 8 2 6 4 2 2" xfId="36849"/>
    <cellStyle name="Heading 2 2 2 8 2 6 4 3" xfId="36850"/>
    <cellStyle name="Heading 2 2 2 8 2 6 5" xfId="36851"/>
    <cellStyle name="Heading 2 2 2 8 2 6 5 2" xfId="36852"/>
    <cellStyle name="Heading 2 2 2 8 2 6 5 2 2" xfId="36853"/>
    <cellStyle name="Heading 2 2 2 8 2 6 5 3" xfId="36854"/>
    <cellStyle name="Heading 2 2 2 8 2 6 6" xfId="36855"/>
    <cellStyle name="Heading 2 2 2 8 2 6 6 2" xfId="36856"/>
    <cellStyle name="Heading 2 2 2 8 2 6 6 2 2" xfId="36857"/>
    <cellStyle name="Heading 2 2 2 8 2 6 6 3" xfId="36858"/>
    <cellStyle name="Heading 2 2 2 8 2 6 7" xfId="36859"/>
    <cellStyle name="Heading 2 2 2 8 2 6 7 2" xfId="36860"/>
    <cellStyle name="Heading 2 2 2 8 2 6 7 2 2" xfId="36861"/>
    <cellStyle name="Heading 2 2 2 8 2 6 7 3" xfId="36862"/>
    <cellStyle name="Heading 2 2 2 8 2 6 8" xfId="36863"/>
    <cellStyle name="Heading 2 2 2 8 2 6 8 2" xfId="36864"/>
    <cellStyle name="Heading 2 2 2 8 2 6 9" xfId="36865"/>
    <cellStyle name="Heading 2 2 2 8 2 7" xfId="36866"/>
    <cellStyle name="Heading 2 2 2 8 2 7 2" xfId="36867"/>
    <cellStyle name="Heading 2 2 2 8 2 7 2 2" xfId="36868"/>
    <cellStyle name="Heading 2 2 2 8 2 7 2 2 2" xfId="36869"/>
    <cellStyle name="Heading 2 2 2 8 2 7 2 3" xfId="36870"/>
    <cellStyle name="Heading 2 2 2 8 2 7 3" xfId="36871"/>
    <cellStyle name="Heading 2 2 2 8 2 7 3 2" xfId="36872"/>
    <cellStyle name="Heading 2 2 2 8 2 7 3 2 2" xfId="36873"/>
    <cellStyle name="Heading 2 2 2 8 2 7 3 3" xfId="36874"/>
    <cellStyle name="Heading 2 2 2 8 2 7 4" xfId="36875"/>
    <cellStyle name="Heading 2 2 2 8 2 7 4 2" xfId="36876"/>
    <cellStyle name="Heading 2 2 2 8 2 7 4 2 2" xfId="36877"/>
    <cellStyle name="Heading 2 2 2 8 2 7 4 3" xfId="36878"/>
    <cellStyle name="Heading 2 2 2 8 2 7 5" xfId="36879"/>
    <cellStyle name="Heading 2 2 2 8 2 7 5 2" xfId="36880"/>
    <cellStyle name="Heading 2 2 2 8 2 7 5 2 2" xfId="36881"/>
    <cellStyle name="Heading 2 2 2 8 2 7 5 3" xfId="36882"/>
    <cellStyle name="Heading 2 2 2 8 2 7 6" xfId="36883"/>
    <cellStyle name="Heading 2 2 2 8 2 7 6 2" xfId="36884"/>
    <cellStyle name="Heading 2 2 2 8 2 7 6 2 2" xfId="36885"/>
    <cellStyle name="Heading 2 2 2 8 2 7 6 3" xfId="36886"/>
    <cellStyle name="Heading 2 2 2 8 2 7 7" xfId="36887"/>
    <cellStyle name="Heading 2 2 2 8 2 7 7 2" xfId="36888"/>
    <cellStyle name="Heading 2 2 2 8 2 7 7 2 2" xfId="36889"/>
    <cellStyle name="Heading 2 2 2 8 2 7 7 3" xfId="36890"/>
    <cellStyle name="Heading 2 2 2 8 2 7 8" xfId="36891"/>
    <cellStyle name="Heading 2 2 2 8 2 7 8 2" xfId="36892"/>
    <cellStyle name="Heading 2 2 2 8 2 7 9" xfId="36893"/>
    <cellStyle name="Heading 2 2 2 8 2 8" xfId="36894"/>
    <cellStyle name="Heading 2 2 2 8 2 8 2" xfId="36895"/>
    <cellStyle name="Heading 2 2 2 8 2 8 2 2" xfId="36896"/>
    <cellStyle name="Heading 2 2 2 8 2 8 2 2 2" xfId="36897"/>
    <cellStyle name="Heading 2 2 2 8 2 8 2 3" xfId="36898"/>
    <cellStyle name="Heading 2 2 2 8 2 8 3" xfId="36899"/>
    <cellStyle name="Heading 2 2 2 8 2 8 3 2" xfId="36900"/>
    <cellStyle name="Heading 2 2 2 8 2 8 3 2 2" xfId="36901"/>
    <cellStyle name="Heading 2 2 2 8 2 8 3 3" xfId="36902"/>
    <cellStyle name="Heading 2 2 2 8 2 8 4" xfId="36903"/>
    <cellStyle name="Heading 2 2 2 8 2 8 4 2" xfId="36904"/>
    <cellStyle name="Heading 2 2 2 8 2 8 4 2 2" xfId="36905"/>
    <cellStyle name="Heading 2 2 2 8 2 8 4 3" xfId="36906"/>
    <cellStyle name="Heading 2 2 2 8 2 8 5" xfId="36907"/>
    <cellStyle name="Heading 2 2 2 8 2 8 5 2" xfId="36908"/>
    <cellStyle name="Heading 2 2 2 8 2 8 5 2 2" xfId="36909"/>
    <cellStyle name="Heading 2 2 2 8 2 8 5 3" xfId="36910"/>
    <cellStyle name="Heading 2 2 2 8 2 8 6" xfId="36911"/>
    <cellStyle name="Heading 2 2 2 8 2 8 6 2" xfId="36912"/>
    <cellStyle name="Heading 2 2 2 8 2 8 6 2 2" xfId="36913"/>
    <cellStyle name="Heading 2 2 2 8 2 8 6 3" xfId="36914"/>
    <cellStyle name="Heading 2 2 2 8 2 8 7" xfId="36915"/>
    <cellStyle name="Heading 2 2 2 8 2 8 7 2" xfId="36916"/>
    <cellStyle name="Heading 2 2 2 8 2 8 7 2 2" xfId="36917"/>
    <cellStyle name="Heading 2 2 2 8 2 8 7 3" xfId="36918"/>
    <cellStyle name="Heading 2 2 2 8 2 8 8" xfId="36919"/>
    <cellStyle name="Heading 2 2 2 8 2 8 8 2" xfId="36920"/>
    <cellStyle name="Heading 2 2 2 8 2 8 9" xfId="36921"/>
    <cellStyle name="Heading 2 2 2 8 2 9" xfId="36922"/>
    <cellStyle name="Heading 2 2 2 8 2 9 2" xfId="36923"/>
    <cellStyle name="Heading 2 2 2 8 2 9 2 2" xfId="36924"/>
    <cellStyle name="Heading 2 2 2 8 2 9 2 2 2" xfId="36925"/>
    <cellStyle name="Heading 2 2 2 8 2 9 2 3" xfId="36926"/>
    <cellStyle name="Heading 2 2 2 8 2 9 3" xfId="36927"/>
    <cellStyle name="Heading 2 2 2 8 2 9 3 2" xfId="36928"/>
    <cellStyle name="Heading 2 2 2 8 2 9 3 2 2" xfId="36929"/>
    <cellStyle name="Heading 2 2 2 8 2 9 3 3" xfId="36930"/>
    <cellStyle name="Heading 2 2 2 8 2 9 4" xfId="36931"/>
    <cellStyle name="Heading 2 2 2 8 2 9 4 2" xfId="36932"/>
    <cellStyle name="Heading 2 2 2 8 2 9 4 2 2" xfId="36933"/>
    <cellStyle name="Heading 2 2 2 8 2 9 4 3" xfId="36934"/>
    <cellStyle name="Heading 2 2 2 8 2 9 5" xfId="36935"/>
    <cellStyle name="Heading 2 2 2 8 2 9 5 2" xfId="36936"/>
    <cellStyle name="Heading 2 2 2 8 2 9 5 2 2" xfId="36937"/>
    <cellStyle name="Heading 2 2 2 8 2 9 5 3" xfId="36938"/>
    <cellStyle name="Heading 2 2 2 8 2 9 6" xfId="36939"/>
    <cellStyle name="Heading 2 2 2 8 2 9 6 2" xfId="36940"/>
    <cellStyle name="Heading 2 2 2 8 2 9 6 2 2" xfId="36941"/>
    <cellStyle name="Heading 2 2 2 8 2 9 6 3" xfId="36942"/>
    <cellStyle name="Heading 2 2 2 8 2 9 7" xfId="36943"/>
    <cellStyle name="Heading 2 2 2 8 2 9 7 2" xfId="36944"/>
    <cellStyle name="Heading 2 2 2 8 2 9 7 2 2" xfId="36945"/>
    <cellStyle name="Heading 2 2 2 8 2 9 7 3" xfId="36946"/>
    <cellStyle name="Heading 2 2 2 8 2 9 8" xfId="36947"/>
    <cellStyle name="Heading 2 2 2 8 2 9 8 2" xfId="36948"/>
    <cellStyle name="Heading 2 2 2 8 2 9 9" xfId="36949"/>
    <cellStyle name="Heading 2 2 2 8 3" xfId="36950"/>
    <cellStyle name="Heading 2 2 2 8 3 10" xfId="36951"/>
    <cellStyle name="Heading 2 2 2 8 3 10 2" xfId="36952"/>
    <cellStyle name="Heading 2 2 2 8 3 10 2 2" xfId="36953"/>
    <cellStyle name="Heading 2 2 2 8 3 10 3" xfId="36954"/>
    <cellStyle name="Heading 2 2 2 8 3 11" xfId="36955"/>
    <cellStyle name="Heading 2 2 2 8 3 11 2" xfId="36956"/>
    <cellStyle name="Heading 2 2 2 8 3 11 2 2" xfId="36957"/>
    <cellStyle name="Heading 2 2 2 8 3 11 3" xfId="36958"/>
    <cellStyle name="Heading 2 2 2 8 3 12" xfId="36959"/>
    <cellStyle name="Heading 2 2 2 8 3 12 2" xfId="36960"/>
    <cellStyle name="Heading 2 2 2 8 3 12 2 2" xfId="36961"/>
    <cellStyle name="Heading 2 2 2 8 3 12 3" xfId="36962"/>
    <cellStyle name="Heading 2 2 2 8 3 13" xfId="36963"/>
    <cellStyle name="Heading 2 2 2 8 3 13 2" xfId="36964"/>
    <cellStyle name="Heading 2 2 2 8 3 13 2 2" xfId="36965"/>
    <cellStyle name="Heading 2 2 2 8 3 13 3" xfId="36966"/>
    <cellStyle name="Heading 2 2 2 8 3 14" xfId="36967"/>
    <cellStyle name="Heading 2 2 2 8 3 14 2" xfId="36968"/>
    <cellStyle name="Heading 2 2 2 8 3 14 2 2" xfId="36969"/>
    <cellStyle name="Heading 2 2 2 8 3 14 3" xfId="36970"/>
    <cellStyle name="Heading 2 2 2 8 3 15" xfId="36971"/>
    <cellStyle name="Heading 2 2 2 8 3 15 2" xfId="36972"/>
    <cellStyle name="Heading 2 2 2 8 3 15 2 2" xfId="36973"/>
    <cellStyle name="Heading 2 2 2 8 3 15 3" xfId="36974"/>
    <cellStyle name="Heading 2 2 2 8 3 16" xfId="36975"/>
    <cellStyle name="Heading 2 2 2 8 3 16 2" xfId="36976"/>
    <cellStyle name="Heading 2 2 2 8 3 16 2 2" xfId="36977"/>
    <cellStyle name="Heading 2 2 2 8 3 16 3" xfId="36978"/>
    <cellStyle name="Heading 2 2 2 8 3 17" xfId="36979"/>
    <cellStyle name="Heading 2 2 2 8 3 17 2" xfId="36980"/>
    <cellStyle name="Heading 2 2 2 8 3 17 2 2" xfId="36981"/>
    <cellStyle name="Heading 2 2 2 8 3 17 3" xfId="36982"/>
    <cellStyle name="Heading 2 2 2 8 3 18" xfId="36983"/>
    <cellStyle name="Heading 2 2 2 8 3 18 2" xfId="36984"/>
    <cellStyle name="Heading 2 2 2 8 3 18 2 2" xfId="36985"/>
    <cellStyle name="Heading 2 2 2 8 3 18 3" xfId="36986"/>
    <cellStyle name="Heading 2 2 2 8 3 19" xfId="36987"/>
    <cellStyle name="Heading 2 2 2 8 3 19 2" xfId="36988"/>
    <cellStyle name="Heading 2 2 2 8 3 2" xfId="36989"/>
    <cellStyle name="Heading 2 2 2 8 3 2 2" xfId="36990"/>
    <cellStyle name="Heading 2 2 2 8 3 2 2 2" xfId="36991"/>
    <cellStyle name="Heading 2 2 2 8 3 2 2 2 2" xfId="36992"/>
    <cellStyle name="Heading 2 2 2 8 3 2 2 3" xfId="36993"/>
    <cellStyle name="Heading 2 2 2 8 3 2 3" xfId="36994"/>
    <cellStyle name="Heading 2 2 2 8 3 2 3 2" xfId="36995"/>
    <cellStyle name="Heading 2 2 2 8 3 2 3 2 2" xfId="36996"/>
    <cellStyle name="Heading 2 2 2 8 3 2 3 3" xfId="36997"/>
    <cellStyle name="Heading 2 2 2 8 3 2 4" xfId="36998"/>
    <cellStyle name="Heading 2 2 2 8 3 2 4 2" xfId="36999"/>
    <cellStyle name="Heading 2 2 2 8 3 2 4 2 2" xfId="37000"/>
    <cellStyle name="Heading 2 2 2 8 3 2 4 3" xfId="37001"/>
    <cellStyle name="Heading 2 2 2 8 3 2 5" xfId="37002"/>
    <cellStyle name="Heading 2 2 2 8 3 2 5 2" xfId="37003"/>
    <cellStyle name="Heading 2 2 2 8 3 2 5 2 2" xfId="37004"/>
    <cellStyle name="Heading 2 2 2 8 3 2 5 3" xfId="37005"/>
    <cellStyle name="Heading 2 2 2 8 3 2 6" xfId="37006"/>
    <cellStyle name="Heading 2 2 2 8 3 2 6 2" xfId="37007"/>
    <cellStyle name="Heading 2 2 2 8 3 2 6 2 2" xfId="37008"/>
    <cellStyle name="Heading 2 2 2 8 3 2 6 3" xfId="37009"/>
    <cellStyle name="Heading 2 2 2 8 3 2 7" xfId="37010"/>
    <cellStyle name="Heading 2 2 2 8 3 2 7 2" xfId="37011"/>
    <cellStyle name="Heading 2 2 2 8 3 2 7 2 2" xfId="37012"/>
    <cellStyle name="Heading 2 2 2 8 3 2 7 3" xfId="37013"/>
    <cellStyle name="Heading 2 2 2 8 3 2 8" xfId="37014"/>
    <cellStyle name="Heading 2 2 2 8 3 2 8 2" xfId="37015"/>
    <cellStyle name="Heading 2 2 2 8 3 2 9" xfId="37016"/>
    <cellStyle name="Heading 2 2 2 8 3 20" xfId="37017"/>
    <cellStyle name="Heading 2 2 2 8 3 20 2" xfId="37018"/>
    <cellStyle name="Heading 2 2 2 8 3 21" xfId="37019"/>
    <cellStyle name="Heading 2 2 2 8 3 21 2" xfId="37020"/>
    <cellStyle name="Heading 2 2 2 8 3 22" xfId="37021"/>
    <cellStyle name="Heading 2 2 2 8 3 3" xfId="37022"/>
    <cellStyle name="Heading 2 2 2 8 3 3 2" xfId="37023"/>
    <cellStyle name="Heading 2 2 2 8 3 3 2 2" xfId="37024"/>
    <cellStyle name="Heading 2 2 2 8 3 3 2 2 2" xfId="37025"/>
    <cellStyle name="Heading 2 2 2 8 3 3 2 3" xfId="37026"/>
    <cellStyle name="Heading 2 2 2 8 3 3 3" xfId="37027"/>
    <cellStyle name="Heading 2 2 2 8 3 3 3 2" xfId="37028"/>
    <cellStyle name="Heading 2 2 2 8 3 3 3 2 2" xfId="37029"/>
    <cellStyle name="Heading 2 2 2 8 3 3 3 3" xfId="37030"/>
    <cellStyle name="Heading 2 2 2 8 3 3 4" xfId="37031"/>
    <cellStyle name="Heading 2 2 2 8 3 3 4 2" xfId="37032"/>
    <cellStyle name="Heading 2 2 2 8 3 3 4 2 2" xfId="37033"/>
    <cellStyle name="Heading 2 2 2 8 3 3 4 3" xfId="37034"/>
    <cellStyle name="Heading 2 2 2 8 3 3 5" xfId="37035"/>
    <cellStyle name="Heading 2 2 2 8 3 3 5 2" xfId="37036"/>
    <cellStyle name="Heading 2 2 2 8 3 3 5 2 2" xfId="37037"/>
    <cellStyle name="Heading 2 2 2 8 3 3 5 3" xfId="37038"/>
    <cellStyle name="Heading 2 2 2 8 3 3 6" xfId="37039"/>
    <cellStyle name="Heading 2 2 2 8 3 3 6 2" xfId="37040"/>
    <cellStyle name="Heading 2 2 2 8 3 3 6 2 2" xfId="37041"/>
    <cellStyle name="Heading 2 2 2 8 3 3 6 3" xfId="37042"/>
    <cellStyle name="Heading 2 2 2 8 3 3 7" xfId="37043"/>
    <cellStyle name="Heading 2 2 2 8 3 3 7 2" xfId="37044"/>
    <cellStyle name="Heading 2 2 2 8 3 3 7 2 2" xfId="37045"/>
    <cellStyle name="Heading 2 2 2 8 3 3 7 3" xfId="37046"/>
    <cellStyle name="Heading 2 2 2 8 3 3 8" xfId="37047"/>
    <cellStyle name="Heading 2 2 2 8 3 3 8 2" xfId="37048"/>
    <cellStyle name="Heading 2 2 2 8 3 3 9" xfId="37049"/>
    <cellStyle name="Heading 2 2 2 8 3 4" xfId="37050"/>
    <cellStyle name="Heading 2 2 2 8 3 4 2" xfId="37051"/>
    <cellStyle name="Heading 2 2 2 8 3 4 2 2" xfId="37052"/>
    <cellStyle name="Heading 2 2 2 8 3 4 2 2 2" xfId="37053"/>
    <cellStyle name="Heading 2 2 2 8 3 4 2 3" xfId="37054"/>
    <cellStyle name="Heading 2 2 2 8 3 4 3" xfId="37055"/>
    <cellStyle name="Heading 2 2 2 8 3 4 3 2" xfId="37056"/>
    <cellStyle name="Heading 2 2 2 8 3 4 3 2 2" xfId="37057"/>
    <cellStyle name="Heading 2 2 2 8 3 4 3 3" xfId="37058"/>
    <cellStyle name="Heading 2 2 2 8 3 4 4" xfId="37059"/>
    <cellStyle name="Heading 2 2 2 8 3 4 4 2" xfId="37060"/>
    <cellStyle name="Heading 2 2 2 8 3 4 4 2 2" xfId="37061"/>
    <cellStyle name="Heading 2 2 2 8 3 4 4 3" xfId="37062"/>
    <cellStyle name="Heading 2 2 2 8 3 4 5" xfId="37063"/>
    <cellStyle name="Heading 2 2 2 8 3 4 5 2" xfId="37064"/>
    <cellStyle name="Heading 2 2 2 8 3 4 5 2 2" xfId="37065"/>
    <cellStyle name="Heading 2 2 2 8 3 4 5 3" xfId="37066"/>
    <cellStyle name="Heading 2 2 2 8 3 4 6" xfId="37067"/>
    <cellStyle name="Heading 2 2 2 8 3 4 6 2" xfId="37068"/>
    <cellStyle name="Heading 2 2 2 8 3 4 6 2 2" xfId="37069"/>
    <cellStyle name="Heading 2 2 2 8 3 4 6 3" xfId="37070"/>
    <cellStyle name="Heading 2 2 2 8 3 4 7" xfId="37071"/>
    <cellStyle name="Heading 2 2 2 8 3 4 7 2" xfId="37072"/>
    <cellStyle name="Heading 2 2 2 8 3 4 7 2 2" xfId="37073"/>
    <cellStyle name="Heading 2 2 2 8 3 4 7 3" xfId="37074"/>
    <cellStyle name="Heading 2 2 2 8 3 4 8" xfId="37075"/>
    <cellStyle name="Heading 2 2 2 8 3 4 8 2" xfId="37076"/>
    <cellStyle name="Heading 2 2 2 8 3 4 9" xfId="37077"/>
    <cellStyle name="Heading 2 2 2 8 3 5" xfId="37078"/>
    <cellStyle name="Heading 2 2 2 8 3 5 2" xfId="37079"/>
    <cellStyle name="Heading 2 2 2 8 3 5 2 2" xfId="37080"/>
    <cellStyle name="Heading 2 2 2 8 3 5 2 2 2" xfId="37081"/>
    <cellStyle name="Heading 2 2 2 8 3 5 2 3" xfId="37082"/>
    <cellStyle name="Heading 2 2 2 8 3 5 3" xfId="37083"/>
    <cellStyle name="Heading 2 2 2 8 3 5 3 2" xfId="37084"/>
    <cellStyle name="Heading 2 2 2 8 3 5 3 2 2" xfId="37085"/>
    <cellStyle name="Heading 2 2 2 8 3 5 3 3" xfId="37086"/>
    <cellStyle name="Heading 2 2 2 8 3 5 4" xfId="37087"/>
    <cellStyle name="Heading 2 2 2 8 3 5 4 2" xfId="37088"/>
    <cellStyle name="Heading 2 2 2 8 3 5 4 2 2" xfId="37089"/>
    <cellStyle name="Heading 2 2 2 8 3 5 4 3" xfId="37090"/>
    <cellStyle name="Heading 2 2 2 8 3 5 5" xfId="37091"/>
    <cellStyle name="Heading 2 2 2 8 3 5 5 2" xfId="37092"/>
    <cellStyle name="Heading 2 2 2 8 3 5 5 2 2" xfId="37093"/>
    <cellStyle name="Heading 2 2 2 8 3 5 5 3" xfId="37094"/>
    <cellStyle name="Heading 2 2 2 8 3 5 6" xfId="37095"/>
    <cellStyle name="Heading 2 2 2 8 3 5 6 2" xfId="37096"/>
    <cellStyle name="Heading 2 2 2 8 3 5 6 2 2" xfId="37097"/>
    <cellStyle name="Heading 2 2 2 8 3 5 6 3" xfId="37098"/>
    <cellStyle name="Heading 2 2 2 8 3 5 7" xfId="37099"/>
    <cellStyle name="Heading 2 2 2 8 3 5 7 2" xfId="37100"/>
    <cellStyle name="Heading 2 2 2 8 3 5 7 2 2" xfId="37101"/>
    <cellStyle name="Heading 2 2 2 8 3 5 7 3" xfId="37102"/>
    <cellStyle name="Heading 2 2 2 8 3 5 8" xfId="37103"/>
    <cellStyle name="Heading 2 2 2 8 3 5 8 2" xfId="37104"/>
    <cellStyle name="Heading 2 2 2 8 3 5 9" xfId="37105"/>
    <cellStyle name="Heading 2 2 2 8 3 6" xfId="37106"/>
    <cellStyle name="Heading 2 2 2 8 3 6 2" xfId="37107"/>
    <cellStyle name="Heading 2 2 2 8 3 6 2 2" xfId="37108"/>
    <cellStyle name="Heading 2 2 2 8 3 6 2 2 2" xfId="37109"/>
    <cellStyle name="Heading 2 2 2 8 3 6 2 3" xfId="37110"/>
    <cellStyle name="Heading 2 2 2 8 3 6 3" xfId="37111"/>
    <cellStyle name="Heading 2 2 2 8 3 6 3 2" xfId="37112"/>
    <cellStyle name="Heading 2 2 2 8 3 6 3 2 2" xfId="37113"/>
    <cellStyle name="Heading 2 2 2 8 3 6 3 3" xfId="37114"/>
    <cellStyle name="Heading 2 2 2 8 3 6 4" xfId="37115"/>
    <cellStyle name="Heading 2 2 2 8 3 6 4 2" xfId="37116"/>
    <cellStyle name="Heading 2 2 2 8 3 6 4 2 2" xfId="37117"/>
    <cellStyle name="Heading 2 2 2 8 3 6 4 3" xfId="37118"/>
    <cellStyle name="Heading 2 2 2 8 3 6 5" xfId="37119"/>
    <cellStyle name="Heading 2 2 2 8 3 6 5 2" xfId="37120"/>
    <cellStyle name="Heading 2 2 2 8 3 6 5 2 2" xfId="37121"/>
    <cellStyle name="Heading 2 2 2 8 3 6 5 3" xfId="37122"/>
    <cellStyle name="Heading 2 2 2 8 3 6 6" xfId="37123"/>
    <cellStyle name="Heading 2 2 2 8 3 6 6 2" xfId="37124"/>
    <cellStyle name="Heading 2 2 2 8 3 6 6 2 2" xfId="37125"/>
    <cellStyle name="Heading 2 2 2 8 3 6 6 3" xfId="37126"/>
    <cellStyle name="Heading 2 2 2 8 3 6 7" xfId="37127"/>
    <cellStyle name="Heading 2 2 2 8 3 6 7 2" xfId="37128"/>
    <cellStyle name="Heading 2 2 2 8 3 6 7 2 2" xfId="37129"/>
    <cellStyle name="Heading 2 2 2 8 3 6 7 3" xfId="37130"/>
    <cellStyle name="Heading 2 2 2 8 3 6 8" xfId="37131"/>
    <cellStyle name="Heading 2 2 2 8 3 6 8 2" xfId="37132"/>
    <cellStyle name="Heading 2 2 2 8 3 6 9" xfId="37133"/>
    <cellStyle name="Heading 2 2 2 8 3 7" xfId="37134"/>
    <cellStyle name="Heading 2 2 2 8 3 7 2" xfId="37135"/>
    <cellStyle name="Heading 2 2 2 8 3 7 2 2" xfId="37136"/>
    <cellStyle name="Heading 2 2 2 8 3 7 2 2 2" xfId="37137"/>
    <cellStyle name="Heading 2 2 2 8 3 7 2 3" xfId="37138"/>
    <cellStyle name="Heading 2 2 2 8 3 7 3" xfId="37139"/>
    <cellStyle name="Heading 2 2 2 8 3 7 3 2" xfId="37140"/>
    <cellStyle name="Heading 2 2 2 8 3 7 3 2 2" xfId="37141"/>
    <cellStyle name="Heading 2 2 2 8 3 7 3 3" xfId="37142"/>
    <cellStyle name="Heading 2 2 2 8 3 7 4" xfId="37143"/>
    <cellStyle name="Heading 2 2 2 8 3 7 4 2" xfId="37144"/>
    <cellStyle name="Heading 2 2 2 8 3 7 4 2 2" xfId="37145"/>
    <cellStyle name="Heading 2 2 2 8 3 7 4 3" xfId="37146"/>
    <cellStyle name="Heading 2 2 2 8 3 7 5" xfId="37147"/>
    <cellStyle name="Heading 2 2 2 8 3 7 5 2" xfId="37148"/>
    <cellStyle name="Heading 2 2 2 8 3 7 5 2 2" xfId="37149"/>
    <cellStyle name="Heading 2 2 2 8 3 7 5 3" xfId="37150"/>
    <cellStyle name="Heading 2 2 2 8 3 7 6" xfId="37151"/>
    <cellStyle name="Heading 2 2 2 8 3 7 6 2" xfId="37152"/>
    <cellStyle name="Heading 2 2 2 8 3 7 6 2 2" xfId="37153"/>
    <cellStyle name="Heading 2 2 2 8 3 7 6 3" xfId="37154"/>
    <cellStyle name="Heading 2 2 2 8 3 7 7" xfId="37155"/>
    <cellStyle name="Heading 2 2 2 8 3 7 7 2" xfId="37156"/>
    <cellStyle name="Heading 2 2 2 8 3 7 7 2 2" xfId="37157"/>
    <cellStyle name="Heading 2 2 2 8 3 7 7 3" xfId="37158"/>
    <cellStyle name="Heading 2 2 2 8 3 7 8" xfId="37159"/>
    <cellStyle name="Heading 2 2 2 8 3 7 8 2" xfId="37160"/>
    <cellStyle name="Heading 2 2 2 8 3 7 9" xfId="37161"/>
    <cellStyle name="Heading 2 2 2 8 3 8" xfId="37162"/>
    <cellStyle name="Heading 2 2 2 8 3 8 2" xfId="37163"/>
    <cellStyle name="Heading 2 2 2 8 3 8 2 2" xfId="37164"/>
    <cellStyle name="Heading 2 2 2 8 3 8 2 2 2" xfId="37165"/>
    <cellStyle name="Heading 2 2 2 8 3 8 2 3" xfId="37166"/>
    <cellStyle name="Heading 2 2 2 8 3 8 3" xfId="37167"/>
    <cellStyle name="Heading 2 2 2 8 3 8 3 2" xfId="37168"/>
    <cellStyle name="Heading 2 2 2 8 3 8 3 2 2" xfId="37169"/>
    <cellStyle name="Heading 2 2 2 8 3 8 3 3" xfId="37170"/>
    <cellStyle name="Heading 2 2 2 8 3 8 4" xfId="37171"/>
    <cellStyle name="Heading 2 2 2 8 3 8 4 2" xfId="37172"/>
    <cellStyle name="Heading 2 2 2 8 3 8 4 2 2" xfId="37173"/>
    <cellStyle name="Heading 2 2 2 8 3 8 4 3" xfId="37174"/>
    <cellStyle name="Heading 2 2 2 8 3 8 5" xfId="37175"/>
    <cellStyle name="Heading 2 2 2 8 3 8 5 2" xfId="37176"/>
    <cellStyle name="Heading 2 2 2 8 3 8 5 2 2" xfId="37177"/>
    <cellStyle name="Heading 2 2 2 8 3 8 5 3" xfId="37178"/>
    <cellStyle name="Heading 2 2 2 8 3 8 6" xfId="37179"/>
    <cellStyle name="Heading 2 2 2 8 3 8 6 2" xfId="37180"/>
    <cellStyle name="Heading 2 2 2 8 3 8 6 2 2" xfId="37181"/>
    <cellStyle name="Heading 2 2 2 8 3 8 6 3" xfId="37182"/>
    <cellStyle name="Heading 2 2 2 8 3 8 7" xfId="37183"/>
    <cellStyle name="Heading 2 2 2 8 3 8 7 2" xfId="37184"/>
    <cellStyle name="Heading 2 2 2 8 3 8 7 2 2" xfId="37185"/>
    <cellStyle name="Heading 2 2 2 8 3 8 7 3" xfId="37186"/>
    <cellStyle name="Heading 2 2 2 8 3 8 8" xfId="37187"/>
    <cellStyle name="Heading 2 2 2 8 3 8 8 2" xfId="37188"/>
    <cellStyle name="Heading 2 2 2 8 3 8 9" xfId="37189"/>
    <cellStyle name="Heading 2 2 2 8 3 9" xfId="37190"/>
    <cellStyle name="Heading 2 2 2 8 3 9 2" xfId="37191"/>
    <cellStyle name="Heading 2 2 2 8 3 9 2 2" xfId="37192"/>
    <cellStyle name="Heading 2 2 2 8 3 9 3" xfId="37193"/>
    <cellStyle name="Heading 2 2 2 8 4" xfId="37194"/>
    <cellStyle name="Heading 2 2 2 8 4 2" xfId="37195"/>
    <cellStyle name="Heading 2 2 2 8 4 2 2" xfId="37196"/>
    <cellStyle name="Heading 2 2 2 8 4 3" xfId="37197"/>
    <cellStyle name="Heading 2 2 2 8 5" xfId="37198"/>
    <cellStyle name="Heading 2 2 2 8 5 2" xfId="37199"/>
    <cellStyle name="Heading 2 2 2 8 6" xfId="37200"/>
    <cellStyle name="Heading 2 2 2 9" xfId="37201"/>
    <cellStyle name="Heading 2 2 2 9 10" xfId="37202"/>
    <cellStyle name="Heading 2 2 2 9 10 2" xfId="37203"/>
    <cellStyle name="Heading 2 2 2 9 10 2 2" xfId="37204"/>
    <cellStyle name="Heading 2 2 2 9 10 3" xfId="37205"/>
    <cellStyle name="Heading 2 2 2 9 11" xfId="37206"/>
    <cellStyle name="Heading 2 2 2 9 11 2" xfId="37207"/>
    <cellStyle name="Heading 2 2 2 9 11 2 2" xfId="37208"/>
    <cellStyle name="Heading 2 2 2 9 11 3" xfId="37209"/>
    <cellStyle name="Heading 2 2 2 9 12" xfId="37210"/>
    <cellStyle name="Heading 2 2 2 9 12 2" xfId="37211"/>
    <cellStyle name="Heading 2 2 2 9 12 2 2" xfId="37212"/>
    <cellStyle name="Heading 2 2 2 9 12 3" xfId="37213"/>
    <cellStyle name="Heading 2 2 2 9 13" xfId="37214"/>
    <cellStyle name="Heading 2 2 2 9 13 2" xfId="37215"/>
    <cellStyle name="Heading 2 2 2 9 13 2 2" xfId="37216"/>
    <cellStyle name="Heading 2 2 2 9 13 3" xfId="37217"/>
    <cellStyle name="Heading 2 2 2 9 14" xfId="37218"/>
    <cellStyle name="Heading 2 2 2 9 14 2" xfId="37219"/>
    <cellStyle name="Heading 2 2 2 9 14 2 2" xfId="37220"/>
    <cellStyle name="Heading 2 2 2 9 14 3" xfId="37221"/>
    <cellStyle name="Heading 2 2 2 9 15" xfId="37222"/>
    <cellStyle name="Heading 2 2 2 9 15 2" xfId="37223"/>
    <cellStyle name="Heading 2 2 2 9 15 2 2" xfId="37224"/>
    <cellStyle name="Heading 2 2 2 9 15 3" xfId="37225"/>
    <cellStyle name="Heading 2 2 2 9 16" xfId="37226"/>
    <cellStyle name="Heading 2 2 2 9 16 2" xfId="37227"/>
    <cellStyle name="Heading 2 2 2 9 16 2 2" xfId="37228"/>
    <cellStyle name="Heading 2 2 2 9 16 3" xfId="37229"/>
    <cellStyle name="Heading 2 2 2 9 17" xfId="37230"/>
    <cellStyle name="Heading 2 2 2 9 17 2" xfId="37231"/>
    <cellStyle name="Heading 2 2 2 9 17 2 2" xfId="37232"/>
    <cellStyle name="Heading 2 2 2 9 17 3" xfId="37233"/>
    <cellStyle name="Heading 2 2 2 9 18" xfId="37234"/>
    <cellStyle name="Heading 2 2 2 9 18 2" xfId="37235"/>
    <cellStyle name="Heading 2 2 2 9 18 2 2" xfId="37236"/>
    <cellStyle name="Heading 2 2 2 9 18 3" xfId="37237"/>
    <cellStyle name="Heading 2 2 2 9 19" xfId="37238"/>
    <cellStyle name="Heading 2 2 2 9 19 2" xfId="37239"/>
    <cellStyle name="Heading 2 2 2 9 19 2 2" xfId="37240"/>
    <cellStyle name="Heading 2 2 2 9 19 3" xfId="37241"/>
    <cellStyle name="Heading 2 2 2 9 2" xfId="37242"/>
    <cellStyle name="Heading 2 2 2 9 2 10" xfId="37243"/>
    <cellStyle name="Heading 2 2 2 9 2 10 2" xfId="37244"/>
    <cellStyle name="Heading 2 2 2 9 2 10 2 2" xfId="37245"/>
    <cellStyle name="Heading 2 2 2 9 2 10 3" xfId="37246"/>
    <cellStyle name="Heading 2 2 2 9 2 11" xfId="37247"/>
    <cellStyle name="Heading 2 2 2 9 2 11 2" xfId="37248"/>
    <cellStyle name="Heading 2 2 2 9 2 11 2 2" xfId="37249"/>
    <cellStyle name="Heading 2 2 2 9 2 11 3" xfId="37250"/>
    <cellStyle name="Heading 2 2 2 9 2 12" xfId="37251"/>
    <cellStyle name="Heading 2 2 2 9 2 12 2" xfId="37252"/>
    <cellStyle name="Heading 2 2 2 9 2 12 2 2" xfId="37253"/>
    <cellStyle name="Heading 2 2 2 9 2 12 3" xfId="37254"/>
    <cellStyle name="Heading 2 2 2 9 2 13" xfId="37255"/>
    <cellStyle name="Heading 2 2 2 9 2 13 2" xfId="37256"/>
    <cellStyle name="Heading 2 2 2 9 2 13 2 2" xfId="37257"/>
    <cellStyle name="Heading 2 2 2 9 2 13 3" xfId="37258"/>
    <cellStyle name="Heading 2 2 2 9 2 14" xfId="37259"/>
    <cellStyle name="Heading 2 2 2 9 2 14 2" xfId="37260"/>
    <cellStyle name="Heading 2 2 2 9 2 14 2 2" xfId="37261"/>
    <cellStyle name="Heading 2 2 2 9 2 14 3" xfId="37262"/>
    <cellStyle name="Heading 2 2 2 9 2 15" xfId="37263"/>
    <cellStyle name="Heading 2 2 2 9 2 15 2" xfId="37264"/>
    <cellStyle name="Heading 2 2 2 9 2 15 2 2" xfId="37265"/>
    <cellStyle name="Heading 2 2 2 9 2 15 3" xfId="37266"/>
    <cellStyle name="Heading 2 2 2 9 2 16" xfId="37267"/>
    <cellStyle name="Heading 2 2 2 9 2 16 2" xfId="37268"/>
    <cellStyle name="Heading 2 2 2 9 2 16 2 2" xfId="37269"/>
    <cellStyle name="Heading 2 2 2 9 2 16 3" xfId="37270"/>
    <cellStyle name="Heading 2 2 2 9 2 17" xfId="37271"/>
    <cellStyle name="Heading 2 2 2 9 2 17 2" xfId="37272"/>
    <cellStyle name="Heading 2 2 2 9 2 17 2 2" xfId="37273"/>
    <cellStyle name="Heading 2 2 2 9 2 17 3" xfId="37274"/>
    <cellStyle name="Heading 2 2 2 9 2 18" xfId="37275"/>
    <cellStyle name="Heading 2 2 2 9 2 18 2" xfId="37276"/>
    <cellStyle name="Heading 2 2 2 9 2 18 2 2" xfId="37277"/>
    <cellStyle name="Heading 2 2 2 9 2 18 3" xfId="37278"/>
    <cellStyle name="Heading 2 2 2 9 2 19" xfId="37279"/>
    <cellStyle name="Heading 2 2 2 9 2 19 2" xfId="37280"/>
    <cellStyle name="Heading 2 2 2 9 2 2" xfId="37281"/>
    <cellStyle name="Heading 2 2 2 9 2 2 2" xfId="37282"/>
    <cellStyle name="Heading 2 2 2 9 2 2 2 2" xfId="37283"/>
    <cellStyle name="Heading 2 2 2 9 2 2 2 2 2" xfId="37284"/>
    <cellStyle name="Heading 2 2 2 9 2 2 2 3" xfId="37285"/>
    <cellStyle name="Heading 2 2 2 9 2 2 3" xfId="37286"/>
    <cellStyle name="Heading 2 2 2 9 2 2 3 2" xfId="37287"/>
    <cellStyle name="Heading 2 2 2 9 2 2 3 2 2" xfId="37288"/>
    <cellStyle name="Heading 2 2 2 9 2 2 3 3" xfId="37289"/>
    <cellStyle name="Heading 2 2 2 9 2 2 4" xfId="37290"/>
    <cellStyle name="Heading 2 2 2 9 2 2 4 2" xfId="37291"/>
    <cellStyle name="Heading 2 2 2 9 2 2 4 2 2" xfId="37292"/>
    <cellStyle name="Heading 2 2 2 9 2 2 4 3" xfId="37293"/>
    <cellStyle name="Heading 2 2 2 9 2 2 5" xfId="37294"/>
    <cellStyle name="Heading 2 2 2 9 2 2 5 2" xfId="37295"/>
    <cellStyle name="Heading 2 2 2 9 2 2 5 2 2" xfId="37296"/>
    <cellStyle name="Heading 2 2 2 9 2 2 5 3" xfId="37297"/>
    <cellStyle name="Heading 2 2 2 9 2 2 6" xfId="37298"/>
    <cellStyle name="Heading 2 2 2 9 2 2 6 2" xfId="37299"/>
    <cellStyle name="Heading 2 2 2 9 2 2 6 2 2" xfId="37300"/>
    <cellStyle name="Heading 2 2 2 9 2 2 6 3" xfId="37301"/>
    <cellStyle name="Heading 2 2 2 9 2 2 7" xfId="37302"/>
    <cellStyle name="Heading 2 2 2 9 2 2 7 2" xfId="37303"/>
    <cellStyle name="Heading 2 2 2 9 2 2 7 2 2" xfId="37304"/>
    <cellStyle name="Heading 2 2 2 9 2 2 7 3" xfId="37305"/>
    <cellStyle name="Heading 2 2 2 9 2 2 8" xfId="37306"/>
    <cellStyle name="Heading 2 2 2 9 2 2 8 2" xfId="37307"/>
    <cellStyle name="Heading 2 2 2 9 2 2 9" xfId="37308"/>
    <cellStyle name="Heading 2 2 2 9 2 20" xfId="37309"/>
    <cellStyle name="Heading 2 2 2 9 2 20 2" xfId="37310"/>
    <cellStyle name="Heading 2 2 2 9 2 21" xfId="37311"/>
    <cellStyle name="Heading 2 2 2 9 2 21 2" xfId="37312"/>
    <cellStyle name="Heading 2 2 2 9 2 22" xfId="37313"/>
    <cellStyle name="Heading 2 2 2 9 2 3" xfId="37314"/>
    <cellStyle name="Heading 2 2 2 9 2 3 2" xfId="37315"/>
    <cellStyle name="Heading 2 2 2 9 2 3 2 2" xfId="37316"/>
    <cellStyle name="Heading 2 2 2 9 2 3 2 2 2" xfId="37317"/>
    <cellStyle name="Heading 2 2 2 9 2 3 2 3" xfId="37318"/>
    <cellStyle name="Heading 2 2 2 9 2 3 3" xfId="37319"/>
    <cellStyle name="Heading 2 2 2 9 2 3 3 2" xfId="37320"/>
    <cellStyle name="Heading 2 2 2 9 2 3 3 2 2" xfId="37321"/>
    <cellStyle name="Heading 2 2 2 9 2 3 3 3" xfId="37322"/>
    <cellStyle name="Heading 2 2 2 9 2 3 4" xfId="37323"/>
    <cellStyle name="Heading 2 2 2 9 2 3 4 2" xfId="37324"/>
    <cellStyle name="Heading 2 2 2 9 2 3 4 2 2" xfId="37325"/>
    <cellStyle name="Heading 2 2 2 9 2 3 4 3" xfId="37326"/>
    <cellStyle name="Heading 2 2 2 9 2 3 5" xfId="37327"/>
    <cellStyle name="Heading 2 2 2 9 2 3 5 2" xfId="37328"/>
    <cellStyle name="Heading 2 2 2 9 2 3 5 2 2" xfId="37329"/>
    <cellStyle name="Heading 2 2 2 9 2 3 5 3" xfId="37330"/>
    <cellStyle name="Heading 2 2 2 9 2 3 6" xfId="37331"/>
    <cellStyle name="Heading 2 2 2 9 2 3 6 2" xfId="37332"/>
    <cellStyle name="Heading 2 2 2 9 2 3 6 2 2" xfId="37333"/>
    <cellStyle name="Heading 2 2 2 9 2 3 6 3" xfId="37334"/>
    <cellStyle name="Heading 2 2 2 9 2 3 7" xfId="37335"/>
    <cellStyle name="Heading 2 2 2 9 2 3 7 2" xfId="37336"/>
    <cellStyle name="Heading 2 2 2 9 2 3 7 2 2" xfId="37337"/>
    <cellStyle name="Heading 2 2 2 9 2 3 7 3" xfId="37338"/>
    <cellStyle name="Heading 2 2 2 9 2 3 8" xfId="37339"/>
    <cellStyle name="Heading 2 2 2 9 2 3 8 2" xfId="37340"/>
    <cellStyle name="Heading 2 2 2 9 2 3 9" xfId="37341"/>
    <cellStyle name="Heading 2 2 2 9 2 4" xfId="37342"/>
    <cellStyle name="Heading 2 2 2 9 2 4 2" xfId="37343"/>
    <cellStyle name="Heading 2 2 2 9 2 4 2 2" xfId="37344"/>
    <cellStyle name="Heading 2 2 2 9 2 4 2 2 2" xfId="37345"/>
    <cellStyle name="Heading 2 2 2 9 2 4 2 3" xfId="37346"/>
    <cellStyle name="Heading 2 2 2 9 2 4 3" xfId="37347"/>
    <cellStyle name="Heading 2 2 2 9 2 4 3 2" xfId="37348"/>
    <cellStyle name="Heading 2 2 2 9 2 4 3 2 2" xfId="37349"/>
    <cellStyle name="Heading 2 2 2 9 2 4 3 3" xfId="37350"/>
    <cellStyle name="Heading 2 2 2 9 2 4 4" xfId="37351"/>
    <cellStyle name="Heading 2 2 2 9 2 4 4 2" xfId="37352"/>
    <cellStyle name="Heading 2 2 2 9 2 4 4 2 2" xfId="37353"/>
    <cellStyle name="Heading 2 2 2 9 2 4 4 3" xfId="37354"/>
    <cellStyle name="Heading 2 2 2 9 2 4 5" xfId="37355"/>
    <cellStyle name="Heading 2 2 2 9 2 4 5 2" xfId="37356"/>
    <cellStyle name="Heading 2 2 2 9 2 4 5 2 2" xfId="37357"/>
    <cellStyle name="Heading 2 2 2 9 2 4 5 3" xfId="37358"/>
    <cellStyle name="Heading 2 2 2 9 2 4 6" xfId="37359"/>
    <cellStyle name="Heading 2 2 2 9 2 4 6 2" xfId="37360"/>
    <cellStyle name="Heading 2 2 2 9 2 4 6 2 2" xfId="37361"/>
    <cellStyle name="Heading 2 2 2 9 2 4 6 3" xfId="37362"/>
    <cellStyle name="Heading 2 2 2 9 2 4 7" xfId="37363"/>
    <cellStyle name="Heading 2 2 2 9 2 4 7 2" xfId="37364"/>
    <cellStyle name="Heading 2 2 2 9 2 4 7 2 2" xfId="37365"/>
    <cellStyle name="Heading 2 2 2 9 2 4 7 3" xfId="37366"/>
    <cellStyle name="Heading 2 2 2 9 2 4 8" xfId="37367"/>
    <cellStyle name="Heading 2 2 2 9 2 4 8 2" xfId="37368"/>
    <cellStyle name="Heading 2 2 2 9 2 4 9" xfId="37369"/>
    <cellStyle name="Heading 2 2 2 9 2 5" xfId="37370"/>
    <cellStyle name="Heading 2 2 2 9 2 5 2" xfId="37371"/>
    <cellStyle name="Heading 2 2 2 9 2 5 2 2" xfId="37372"/>
    <cellStyle name="Heading 2 2 2 9 2 5 2 2 2" xfId="37373"/>
    <cellStyle name="Heading 2 2 2 9 2 5 2 3" xfId="37374"/>
    <cellStyle name="Heading 2 2 2 9 2 5 3" xfId="37375"/>
    <cellStyle name="Heading 2 2 2 9 2 5 3 2" xfId="37376"/>
    <cellStyle name="Heading 2 2 2 9 2 5 3 2 2" xfId="37377"/>
    <cellStyle name="Heading 2 2 2 9 2 5 3 3" xfId="37378"/>
    <cellStyle name="Heading 2 2 2 9 2 5 4" xfId="37379"/>
    <cellStyle name="Heading 2 2 2 9 2 5 4 2" xfId="37380"/>
    <cellStyle name="Heading 2 2 2 9 2 5 4 2 2" xfId="37381"/>
    <cellStyle name="Heading 2 2 2 9 2 5 4 3" xfId="37382"/>
    <cellStyle name="Heading 2 2 2 9 2 5 5" xfId="37383"/>
    <cellStyle name="Heading 2 2 2 9 2 5 5 2" xfId="37384"/>
    <cellStyle name="Heading 2 2 2 9 2 5 5 2 2" xfId="37385"/>
    <cellStyle name="Heading 2 2 2 9 2 5 5 3" xfId="37386"/>
    <cellStyle name="Heading 2 2 2 9 2 5 6" xfId="37387"/>
    <cellStyle name="Heading 2 2 2 9 2 5 6 2" xfId="37388"/>
    <cellStyle name="Heading 2 2 2 9 2 5 6 2 2" xfId="37389"/>
    <cellStyle name="Heading 2 2 2 9 2 5 6 3" xfId="37390"/>
    <cellStyle name="Heading 2 2 2 9 2 5 7" xfId="37391"/>
    <cellStyle name="Heading 2 2 2 9 2 5 7 2" xfId="37392"/>
    <cellStyle name="Heading 2 2 2 9 2 5 7 2 2" xfId="37393"/>
    <cellStyle name="Heading 2 2 2 9 2 5 7 3" xfId="37394"/>
    <cellStyle name="Heading 2 2 2 9 2 5 8" xfId="37395"/>
    <cellStyle name="Heading 2 2 2 9 2 5 8 2" xfId="37396"/>
    <cellStyle name="Heading 2 2 2 9 2 5 9" xfId="37397"/>
    <cellStyle name="Heading 2 2 2 9 2 6" xfId="37398"/>
    <cellStyle name="Heading 2 2 2 9 2 6 2" xfId="37399"/>
    <cellStyle name="Heading 2 2 2 9 2 6 2 2" xfId="37400"/>
    <cellStyle name="Heading 2 2 2 9 2 6 2 2 2" xfId="37401"/>
    <cellStyle name="Heading 2 2 2 9 2 6 2 3" xfId="37402"/>
    <cellStyle name="Heading 2 2 2 9 2 6 3" xfId="37403"/>
    <cellStyle name="Heading 2 2 2 9 2 6 3 2" xfId="37404"/>
    <cellStyle name="Heading 2 2 2 9 2 6 3 2 2" xfId="37405"/>
    <cellStyle name="Heading 2 2 2 9 2 6 3 3" xfId="37406"/>
    <cellStyle name="Heading 2 2 2 9 2 6 4" xfId="37407"/>
    <cellStyle name="Heading 2 2 2 9 2 6 4 2" xfId="37408"/>
    <cellStyle name="Heading 2 2 2 9 2 6 4 2 2" xfId="37409"/>
    <cellStyle name="Heading 2 2 2 9 2 6 4 3" xfId="37410"/>
    <cellStyle name="Heading 2 2 2 9 2 6 5" xfId="37411"/>
    <cellStyle name="Heading 2 2 2 9 2 6 5 2" xfId="37412"/>
    <cellStyle name="Heading 2 2 2 9 2 6 5 2 2" xfId="37413"/>
    <cellStyle name="Heading 2 2 2 9 2 6 5 3" xfId="37414"/>
    <cellStyle name="Heading 2 2 2 9 2 6 6" xfId="37415"/>
    <cellStyle name="Heading 2 2 2 9 2 6 6 2" xfId="37416"/>
    <cellStyle name="Heading 2 2 2 9 2 6 6 2 2" xfId="37417"/>
    <cellStyle name="Heading 2 2 2 9 2 6 6 3" xfId="37418"/>
    <cellStyle name="Heading 2 2 2 9 2 6 7" xfId="37419"/>
    <cellStyle name="Heading 2 2 2 9 2 6 7 2" xfId="37420"/>
    <cellStyle name="Heading 2 2 2 9 2 6 7 2 2" xfId="37421"/>
    <cellStyle name="Heading 2 2 2 9 2 6 7 3" xfId="37422"/>
    <cellStyle name="Heading 2 2 2 9 2 6 8" xfId="37423"/>
    <cellStyle name="Heading 2 2 2 9 2 6 8 2" xfId="37424"/>
    <cellStyle name="Heading 2 2 2 9 2 6 9" xfId="37425"/>
    <cellStyle name="Heading 2 2 2 9 2 7" xfId="37426"/>
    <cellStyle name="Heading 2 2 2 9 2 7 2" xfId="37427"/>
    <cellStyle name="Heading 2 2 2 9 2 7 2 2" xfId="37428"/>
    <cellStyle name="Heading 2 2 2 9 2 7 2 2 2" xfId="37429"/>
    <cellStyle name="Heading 2 2 2 9 2 7 2 3" xfId="37430"/>
    <cellStyle name="Heading 2 2 2 9 2 7 3" xfId="37431"/>
    <cellStyle name="Heading 2 2 2 9 2 7 3 2" xfId="37432"/>
    <cellStyle name="Heading 2 2 2 9 2 7 3 2 2" xfId="37433"/>
    <cellStyle name="Heading 2 2 2 9 2 7 3 3" xfId="37434"/>
    <cellStyle name="Heading 2 2 2 9 2 7 4" xfId="37435"/>
    <cellStyle name="Heading 2 2 2 9 2 7 4 2" xfId="37436"/>
    <cellStyle name="Heading 2 2 2 9 2 7 4 2 2" xfId="37437"/>
    <cellStyle name="Heading 2 2 2 9 2 7 4 3" xfId="37438"/>
    <cellStyle name="Heading 2 2 2 9 2 7 5" xfId="37439"/>
    <cellStyle name="Heading 2 2 2 9 2 7 5 2" xfId="37440"/>
    <cellStyle name="Heading 2 2 2 9 2 7 5 2 2" xfId="37441"/>
    <cellStyle name="Heading 2 2 2 9 2 7 5 3" xfId="37442"/>
    <cellStyle name="Heading 2 2 2 9 2 7 6" xfId="37443"/>
    <cellStyle name="Heading 2 2 2 9 2 7 6 2" xfId="37444"/>
    <cellStyle name="Heading 2 2 2 9 2 7 6 2 2" xfId="37445"/>
    <cellStyle name="Heading 2 2 2 9 2 7 6 3" xfId="37446"/>
    <cellStyle name="Heading 2 2 2 9 2 7 7" xfId="37447"/>
    <cellStyle name="Heading 2 2 2 9 2 7 7 2" xfId="37448"/>
    <cellStyle name="Heading 2 2 2 9 2 7 7 2 2" xfId="37449"/>
    <cellStyle name="Heading 2 2 2 9 2 7 7 3" xfId="37450"/>
    <cellStyle name="Heading 2 2 2 9 2 7 8" xfId="37451"/>
    <cellStyle name="Heading 2 2 2 9 2 7 8 2" xfId="37452"/>
    <cellStyle name="Heading 2 2 2 9 2 7 9" xfId="37453"/>
    <cellStyle name="Heading 2 2 2 9 2 8" xfId="37454"/>
    <cellStyle name="Heading 2 2 2 9 2 8 2" xfId="37455"/>
    <cellStyle name="Heading 2 2 2 9 2 8 2 2" xfId="37456"/>
    <cellStyle name="Heading 2 2 2 9 2 8 2 2 2" xfId="37457"/>
    <cellStyle name="Heading 2 2 2 9 2 8 2 3" xfId="37458"/>
    <cellStyle name="Heading 2 2 2 9 2 8 3" xfId="37459"/>
    <cellStyle name="Heading 2 2 2 9 2 8 3 2" xfId="37460"/>
    <cellStyle name="Heading 2 2 2 9 2 8 3 2 2" xfId="37461"/>
    <cellStyle name="Heading 2 2 2 9 2 8 3 3" xfId="37462"/>
    <cellStyle name="Heading 2 2 2 9 2 8 4" xfId="37463"/>
    <cellStyle name="Heading 2 2 2 9 2 8 4 2" xfId="37464"/>
    <cellStyle name="Heading 2 2 2 9 2 8 4 2 2" xfId="37465"/>
    <cellStyle name="Heading 2 2 2 9 2 8 4 3" xfId="37466"/>
    <cellStyle name="Heading 2 2 2 9 2 8 5" xfId="37467"/>
    <cellStyle name="Heading 2 2 2 9 2 8 5 2" xfId="37468"/>
    <cellStyle name="Heading 2 2 2 9 2 8 5 2 2" xfId="37469"/>
    <cellStyle name="Heading 2 2 2 9 2 8 5 3" xfId="37470"/>
    <cellStyle name="Heading 2 2 2 9 2 8 6" xfId="37471"/>
    <cellStyle name="Heading 2 2 2 9 2 8 6 2" xfId="37472"/>
    <cellStyle name="Heading 2 2 2 9 2 8 6 2 2" xfId="37473"/>
    <cellStyle name="Heading 2 2 2 9 2 8 6 3" xfId="37474"/>
    <cellStyle name="Heading 2 2 2 9 2 8 7" xfId="37475"/>
    <cellStyle name="Heading 2 2 2 9 2 8 7 2" xfId="37476"/>
    <cellStyle name="Heading 2 2 2 9 2 8 7 2 2" xfId="37477"/>
    <cellStyle name="Heading 2 2 2 9 2 8 7 3" xfId="37478"/>
    <cellStyle name="Heading 2 2 2 9 2 8 8" xfId="37479"/>
    <cellStyle name="Heading 2 2 2 9 2 8 8 2" xfId="37480"/>
    <cellStyle name="Heading 2 2 2 9 2 8 9" xfId="37481"/>
    <cellStyle name="Heading 2 2 2 9 2 9" xfId="37482"/>
    <cellStyle name="Heading 2 2 2 9 2 9 2" xfId="37483"/>
    <cellStyle name="Heading 2 2 2 9 2 9 2 2" xfId="37484"/>
    <cellStyle name="Heading 2 2 2 9 2 9 3" xfId="37485"/>
    <cellStyle name="Heading 2 2 2 9 20" xfId="37486"/>
    <cellStyle name="Heading 2 2 2 9 20 2" xfId="37487"/>
    <cellStyle name="Heading 2 2 2 9 21" xfId="37488"/>
    <cellStyle name="Heading 2 2 2 9 21 2" xfId="37489"/>
    <cellStyle name="Heading 2 2 2 9 22" xfId="37490"/>
    <cellStyle name="Heading 2 2 2 9 22 2" xfId="37491"/>
    <cellStyle name="Heading 2 2 2 9 23" xfId="37492"/>
    <cellStyle name="Heading 2 2 2 9 3" xfId="37493"/>
    <cellStyle name="Heading 2 2 2 9 3 2" xfId="37494"/>
    <cellStyle name="Heading 2 2 2 9 3 2 2" xfId="37495"/>
    <cellStyle name="Heading 2 2 2 9 3 2 2 2" xfId="37496"/>
    <cellStyle name="Heading 2 2 2 9 3 2 3" xfId="37497"/>
    <cellStyle name="Heading 2 2 2 9 3 3" xfId="37498"/>
    <cellStyle name="Heading 2 2 2 9 3 3 2" xfId="37499"/>
    <cellStyle name="Heading 2 2 2 9 3 3 2 2" xfId="37500"/>
    <cellStyle name="Heading 2 2 2 9 3 3 3" xfId="37501"/>
    <cellStyle name="Heading 2 2 2 9 3 4" xfId="37502"/>
    <cellStyle name="Heading 2 2 2 9 3 4 2" xfId="37503"/>
    <cellStyle name="Heading 2 2 2 9 3 4 2 2" xfId="37504"/>
    <cellStyle name="Heading 2 2 2 9 3 4 3" xfId="37505"/>
    <cellStyle name="Heading 2 2 2 9 3 5" xfId="37506"/>
    <cellStyle name="Heading 2 2 2 9 3 5 2" xfId="37507"/>
    <cellStyle name="Heading 2 2 2 9 3 5 2 2" xfId="37508"/>
    <cellStyle name="Heading 2 2 2 9 3 5 3" xfId="37509"/>
    <cellStyle name="Heading 2 2 2 9 3 6" xfId="37510"/>
    <cellStyle name="Heading 2 2 2 9 3 6 2" xfId="37511"/>
    <cellStyle name="Heading 2 2 2 9 3 6 2 2" xfId="37512"/>
    <cellStyle name="Heading 2 2 2 9 3 6 3" xfId="37513"/>
    <cellStyle name="Heading 2 2 2 9 3 7" xfId="37514"/>
    <cellStyle name="Heading 2 2 2 9 3 7 2" xfId="37515"/>
    <cellStyle name="Heading 2 2 2 9 3 7 2 2" xfId="37516"/>
    <cellStyle name="Heading 2 2 2 9 3 7 3" xfId="37517"/>
    <cellStyle name="Heading 2 2 2 9 3 8" xfId="37518"/>
    <cellStyle name="Heading 2 2 2 9 3 8 2" xfId="37519"/>
    <cellStyle name="Heading 2 2 2 9 3 9" xfId="37520"/>
    <cellStyle name="Heading 2 2 2 9 4" xfId="37521"/>
    <cellStyle name="Heading 2 2 2 9 4 2" xfId="37522"/>
    <cellStyle name="Heading 2 2 2 9 4 2 2" xfId="37523"/>
    <cellStyle name="Heading 2 2 2 9 4 2 2 2" xfId="37524"/>
    <cellStyle name="Heading 2 2 2 9 4 2 3" xfId="37525"/>
    <cellStyle name="Heading 2 2 2 9 4 3" xfId="37526"/>
    <cellStyle name="Heading 2 2 2 9 4 3 2" xfId="37527"/>
    <cellStyle name="Heading 2 2 2 9 4 3 2 2" xfId="37528"/>
    <cellStyle name="Heading 2 2 2 9 4 3 3" xfId="37529"/>
    <cellStyle name="Heading 2 2 2 9 4 4" xfId="37530"/>
    <cellStyle name="Heading 2 2 2 9 4 4 2" xfId="37531"/>
    <cellStyle name="Heading 2 2 2 9 4 4 2 2" xfId="37532"/>
    <cellStyle name="Heading 2 2 2 9 4 4 3" xfId="37533"/>
    <cellStyle name="Heading 2 2 2 9 4 5" xfId="37534"/>
    <cellStyle name="Heading 2 2 2 9 4 5 2" xfId="37535"/>
    <cellStyle name="Heading 2 2 2 9 4 5 2 2" xfId="37536"/>
    <cellStyle name="Heading 2 2 2 9 4 5 3" xfId="37537"/>
    <cellStyle name="Heading 2 2 2 9 4 6" xfId="37538"/>
    <cellStyle name="Heading 2 2 2 9 4 6 2" xfId="37539"/>
    <cellStyle name="Heading 2 2 2 9 4 6 2 2" xfId="37540"/>
    <cellStyle name="Heading 2 2 2 9 4 6 3" xfId="37541"/>
    <cellStyle name="Heading 2 2 2 9 4 7" xfId="37542"/>
    <cellStyle name="Heading 2 2 2 9 4 7 2" xfId="37543"/>
    <cellStyle name="Heading 2 2 2 9 4 7 2 2" xfId="37544"/>
    <cellStyle name="Heading 2 2 2 9 4 7 3" xfId="37545"/>
    <cellStyle name="Heading 2 2 2 9 4 8" xfId="37546"/>
    <cellStyle name="Heading 2 2 2 9 4 8 2" xfId="37547"/>
    <cellStyle name="Heading 2 2 2 9 4 9" xfId="37548"/>
    <cellStyle name="Heading 2 2 2 9 5" xfId="37549"/>
    <cellStyle name="Heading 2 2 2 9 5 2" xfId="37550"/>
    <cellStyle name="Heading 2 2 2 9 5 2 2" xfId="37551"/>
    <cellStyle name="Heading 2 2 2 9 5 2 2 2" xfId="37552"/>
    <cellStyle name="Heading 2 2 2 9 5 2 3" xfId="37553"/>
    <cellStyle name="Heading 2 2 2 9 5 3" xfId="37554"/>
    <cellStyle name="Heading 2 2 2 9 5 3 2" xfId="37555"/>
    <cellStyle name="Heading 2 2 2 9 5 3 2 2" xfId="37556"/>
    <cellStyle name="Heading 2 2 2 9 5 3 3" xfId="37557"/>
    <cellStyle name="Heading 2 2 2 9 5 4" xfId="37558"/>
    <cellStyle name="Heading 2 2 2 9 5 4 2" xfId="37559"/>
    <cellStyle name="Heading 2 2 2 9 5 4 2 2" xfId="37560"/>
    <cellStyle name="Heading 2 2 2 9 5 4 3" xfId="37561"/>
    <cellStyle name="Heading 2 2 2 9 5 5" xfId="37562"/>
    <cellStyle name="Heading 2 2 2 9 5 5 2" xfId="37563"/>
    <cellStyle name="Heading 2 2 2 9 5 5 2 2" xfId="37564"/>
    <cellStyle name="Heading 2 2 2 9 5 5 3" xfId="37565"/>
    <cellStyle name="Heading 2 2 2 9 5 6" xfId="37566"/>
    <cellStyle name="Heading 2 2 2 9 5 6 2" xfId="37567"/>
    <cellStyle name="Heading 2 2 2 9 5 6 2 2" xfId="37568"/>
    <cellStyle name="Heading 2 2 2 9 5 6 3" xfId="37569"/>
    <cellStyle name="Heading 2 2 2 9 5 7" xfId="37570"/>
    <cellStyle name="Heading 2 2 2 9 5 7 2" xfId="37571"/>
    <cellStyle name="Heading 2 2 2 9 5 7 2 2" xfId="37572"/>
    <cellStyle name="Heading 2 2 2 9 5 7 3" xfId="37573"/>
    <cellStyle name="Heading 2 2 2 9 5 8" xfId="37574"/>
    <cellStyle name="Heading 2 2 2 9 5 8 2" xfId="37575"/>
    <cellStyle name="Heading 2 2 2 9 5 9" xfId="37576"/>
    <cellStyle name="Heading 2 2 2 9 6" xfId="37577"/>
    <cellStyle name="Heading 2 2 2 9 6 2" xfId="37578"/>
    <cellStyle name="Heading 2 2 2 9 6 2 2" xfId="37579"/>
    <cellStyle name="Heading 2 2 2 9 6 2 2 2" xfId="37580"/>
    <cellStyle name="Heading 2 2 2 9 6 2 3" xfId="37581"/>
    <cellStyle name="Heading 2 2 2 9 6 3" xfId="37582"/>
    <cellStyle name="Heading 2 2 2 9 6 3 2" xfId="37583"/>
    <cellStyle name="Heading 2 2 2 9 6 3 2 2" xfId="37584"/>
    <cellStyle name="Heading 2 2 2 9 6 3 3" xfId="37585"/>
    <cellStyle name="Heading 2 2 2 9 6 4" xfId="37586"/>
    <cellStyle name="Heading 2 2 2 9 6 4 2" xfId="37587"/>
    <cellStyle name="Heading 2 2 2 9 6 4 2 2" xfId="37588"/>
    <cellStyle name="Heading 2 2 2 9 6 4 3" xfId="37589"/>
    <cellStyle name="Heading 2 2 2 9 6 5" xfId="37590"/>
    <cellStyle name="Heading 2 2 2 9 6 5 2" xfId="37591"/>
    <cellStyle name="Heading 2 2 2 9 6 5 2 2" xfId="37592"/>
    <cellStyle name="Heading 2 2 2 9 6 5 3" xfId="37593"/>
    <cellStyle name="Heading 2 2 2 9 6 6" xfId="37594"/>
    <cellStyle name="Heading 2 2 2 9 6 6 2" xfId="37595"/>
    <cellStyle name="Heading 2 2 2 9 6 6 2 2" xfId="37596"/>
    <cellStyle name="Heading 2 2 2 9 6 6 3" xfId="37597"/>
    <cellStyle name="Heading 2 2 2 9 6 7" xfId="37598"/>
    <cellStyle name="Heading 2 2 2 9 6 7 2" xfId="37599"/>
    <cellStyle name="Heading 2 2 2 9 6 7 2 2" xfId="37600"/>
    <cellStyle name="Heading 2 2 2 9 6 7 3" xfId="37601"/>
    <cellStyle name="Heading 2 2 2 9 6 8" xfId="37602"/>
    <cellStyle name="Heading 2 2 2 9 6 8 2" xfId="37603"/>
    <cellStyle name="Heading 2 2 2 9 6 9" xfId="37604"/>
    <cellStyle name="Heading 2 2 2 9 7" xfId="37605"/>
    <cellStyle name="Heading 2 2 2 9 7 2" xfId="37606"/>
    <cellStyle name="Heading 2 2 2 9 7 2 2" xfId="37607"/>
    <cellStyle name="Heading 2 2 2 9 7 2 2 2" xfId="37608"/>
    <cellStyle name="Heading 2 2 2 9 7 2 3" xfId="37609"/>
    <cellStyle name="Heading 2 2 2 9 7 3" xfId="37610"/>
    <cellStyle name="Heading 2 2 2 9 7 3 2" xfId="37611"/>
    <cellStyle name="Heading 2 2 2 9 7 3 2 2" xfId="37612"/>
    <cellStyle name="Heading 2 2 2 9 7 3 3" xfId="37613"/>
    <cellStyle name="Heading 2 2 2 9 7 4" xfId="37614"/>
    <cellStyle name="Heading 2 2 2 9 7 4 2" xfId="37615"/>
    <cellStyle name="Heading 2 2 2 9 7 4 2 2" xfId="37616"/>
    <cellStyle name="Heading 2 2 2 9 7 4 3" xfId="37617"/>
    <cellStyle name="Heading 2 2 2 9 7 5" xfId="37618"/>
    <cellStyle name="Heading 2 2 2 9 7 5 2" xfId="37619"/>
    <cellStyle name="Heading 2 2 2 9 7 5 2 2" xfId="37620"/>
    <cellStyle name="Heading 2 2 2 9 7 5 3" xfId="37621"/>
    <cellStyle name="Heading 2 2 2 9 7 6" xfId="37622"/>
    <cellStyle name="Heading 2 2 2 9 7 6 2" xfId="37623"/>
    <cellStyle name="Heading 2 2 2 9 7 6 2 2" xfId="37624"/>
    <cellStyle name="Heading 2 2 2 9 7 6 3" xfId="37625"/>
    <cellStyle name="Heading 2 2 2 9 7 7" xfId="37626"/>
    <cellStyle name="Heading 2 2 2 9 7 7 2" xfId="37627"/>
    <cellStyle name="Heading 2 2 2 9 7 7 2 2" xfId="37628"/>
    <cellStyle name="Heading 2 2 2 9 7 7 3" xfId="37629"/>
    <cellStyle name="Heading 2 2 2 9 7 8" xfId="37630"/>
    <cellStyle name="Heading 2 2 2 9 7 8 2" xfId="37631"/>
    <cellStyle name="Heading 2 2 2 9 7 9" xfId="37632"/>
    <cellStyle name="Heading 2 2 2 9 8" xfId="37633"/>
    <cellStyle name="Heading 2 2 2 9 8 2" xfId="37634"/>
    <cellStyle name="Heading 2 2 2 9 8 2 2" xfId="37635"/>
    <cellStyle name="Heading 2 2 2 9 8 2 2 2" xfId="37636"/>
    <cellStyle name="Heading 2 2 2 9 8 2 3" xfId="37637"/>
    <cellStyle name="Heading 2 2 2 9 8 3" xfId="37638"/>
    <cellStyle name="Heading 2 2 2 9 8 3 2" xfId="37639"/>
    <cellStyle name="Heading 2 2 2 9 8 3 2 2" xfId="37640"/>
    <cellStyle name="Heading 2 2 2 9 8 3 3" xfId="37641"/>
    <cellStyle name="Heading 2 2 2 9 8 4" xfId="37642"/>
    <cellStyle name="Heading 2 2 2 9 8 4 2" xfId="37643"/>
    <cellStyle name="Heading 2 2 2 9 8 4 2 2" xfId="37644"/>
    <cellStyle name="Heading 2 2 2 9 8 4 3" xfId="37645"/>
    <cellStyle name="Heading 2 2 2 9 8 5" xfId="37646"/>
    <cellStyle name="Heading 2 2 2 9 8 5 2" xfId="37647"/>
    <cellStyle name="Heading 2 2 2 9 8 5 2 2" xfId="37648"/>
    <cellStyle name="Heading 2 2 2 9 8 5 3" xfId="37649"/>
    <cellStyle name="Heading 2 2 2 9 8 6" xfId="37650"/>
    <cellStyle name="Heading 2 2 2 9 8 6 2" xfId="37651"/>
    <cellStyle name="Heading 2 2 2 9 8 6 2 2" xfId="37652"/>
    <cellStyle name="Heading 2 2 2 9 8 6 3" xfId="37653"/>
    <cellStyle name="Heading 2 2 2 9 8 7" xfId="37654"/>
    <cellStyle name="Heading 2 2 2 9 8 7 2" xfId="37655"/>
    <cellStyle name="Heading 2 2 2 9 8 7 2 2" xfId="37656"/>
    <cellStyle name="Heading 2 2 2 9 8 7 3" xfId="37657"/>
    <cellStyle name="Heading 2 2 2 9 8 8" xfId="37658"/>
    <cellStyle name="Heading 2 2 2 9 8 8 2" xfId="37659"/>
    <cellStyle name="Heading 2 2 2 9 8 9" xfId="37660"/>
    <cellStyle name="Heading 2 2 2 9 9" xfId="37661"/>
    <cellStyle name="Heading 2 2 2 9 9 2" xfId="37662"/>
    <cellStyle name="Heading 2 2 2 9 9 2 2" xfId="37663"/>
    <cellStyle name="Heading 2 2 2 9 9 2 2 2" xfId="37664"/>
    <cellStyle name="Heading 2 2 2 9 9 2 3" xfId="37665"/>
    <cellStyle name="Heading 2 2 2 9 9 3" xfId="37666"/>
    <cellStyle name="Heading 2 2 2 9 9 3 2" xfId="37667"/>
    <cellStyle name="Heading 2 2 2 9 9 3 2 2" xfId="37668"/>
    <cellStyle name="Heading 2 2 2 9 9 3 3" xfId="37669"/>
    <cellStyle name="Heading 2 2 2 9 9 4" xfId="37670"/>
    <cellStyle name="Heading 2 2 2 9 9 4 2" xfId="37671"/>
    <cellStyle name="Heading 2 2 2 9 9 4 2 2" xfId="37672"/>
    <cellStyle name="Heading 2 2 2 9 9 4 3" xfId="37673"/>
    <cellStyle name="Heading 2 2 2 9 9 5" xfId="37674"/>
    <cellStyle name="Heading 2 2 2 9 9 5 2" xfId="37675"/>
    <cellStyle name="Heading 2 2 2 9 9 5 2 2" xfId="37676"/>
    <cellStyle name="Heading 2 2 2 9 9 5 3" xfId="37677"/>
    <cellStyle name="Heading 2 2 2 9 9 6" xfId="37678"/>
    <cellStyle name="Heading 2 2 2 9 9 6 2" xfId="37679"/>
    <cellStyle name="Heading 2 2 2 9 9 6 2 2" xfId="37680"/>
    <cellStyle name="Heading 2 2 2 9 9 6 3" xfId="37681"/>
    <cellStyle name="Heading 2 2 2 9 9 7" xfId="37682"/>
    <cellStyle name="Heading 2 2 2 9 9 7 2" xfId="37683"/>
    <cellStyle name="Heading 2 2 2 9 9 7 2 2" xfId="37684"/>
    <cellStyle name="Heading 2 2 2 9 9 7 3" xfId="37685"/>
    <cellStyle name="Heading 2 2 2 9 9 8" xfId="37686"/>
    <cellStyle name="Heading 2 2 2 9 9 8 2" xfId="37687"/>
    <cellStyle name="Heading 2 2 2 9 9 9" xfId="37688"/>
    <cellStyle name="Heading 2 2 3" xfId="37689"/>
    <cellStyle name="Heading 2 2 3 10" xfId="37690"/>
    <cellStyle name="Heading 2 2 3 10 2" xfId="37691"/>
    <cellStyle name="Heading 2 2 3 10 2 2" xfId="37692"/>
    <cellStyle name="Heading 2 2 3 10 3" xfId="37693"/>
    <cellStyle name="Heading 2 2 3 10 3 2" xfId="37694"/>
    <cellStyle name="Heading 2 2 3 10 4" xfId="37695"/>
    <cellStyle name="Heading 2 2 3 11" xfId="37696"/>
    <cellStyle name="Heading 2 2 3 11 2" xfId="37697"/>
    <cellStyle name="Heading 2 2 3 11 2 2" xfId="37698"/>
    <cellStyle name="Heading 2 2 3 11 3" xfId="37699"/>
    <cellStyle name="Heading 2 2 3 11 3 2" xfId="37700"/>
    <cellStyle name="Heading 2 2 3 11 4" xfId="37701"/>
    <cellStyle name="Heading 2 2 3 12" xfId="37702"/>
    <cellStyle name="Heading 2 2 3 12 2" xfId="37703"/>
    <cellStyle name="Heading 2 2 3 12 2 2" xfId="37704"/>
    <cellStyle name="Heading 2 2 3 12 3" xfId="37705"/>
    <cellStyle name="Heading 2 2 3 12 3 2" xfId="37706"/>
    <cellStyle name="Heading 2 2 3 12 4" xfId="37707"/>
    <cellStyle name="Heading 2 2 3 13" xfId="37708"/>
    <cellStyle name="Heading 2 2 3 13 2" xfId="37709"/>
    <cellStyle name="Heading 2 2 3 13 2 2" xfId="37710"/>
    <cellStyle name="Heading 2 2 3 13 3" xfId="37711"/>
    <cellStyle name="Heading 2 2 3 13 3 2" xfId="37712"/>
    <cellStyle name="Heading 2 2 3 13 4" xfId="37713"/>
    <cellStyle name="Heading 2 2 3 14" xfId="37714"/>
    <cellStyle name="Heading 2 2 3 14 2" xfId="37715"/>
    <cellStyle name="Heading 2 2 3 14 2 2" xfId="37716"/>
    <cellStyle name="Heading 2 2 3 14 3" xfId="37717"/>
    <cellStyle name="Heading 2 2 3 14 3 2" xfId="37718"/>
    <cellStyle name="Heading 2 2 3 14 4" xfId="37719"/>
    <cellStyle name="Heading 2 2 3 15" xfId="37720"/>
    <cellStyle name="Heading 2 2 3 15 2" xfId="37721"/>
    <cellStyle name="Heading 2 2 3 15 2 2" xfId="37722"/>
    <cellStyle name="Heading 2 2 3 15 3" xfId="37723"/>
    <cellStyle name="Heading 2 2 3 15 3 2" xfId="37724"/>
    <cellStyle name="Heading 2 2 3 15 4" xfId="37725"/>
    <cellStyle name="Heading 2 2 3 16" xfId="37726"/>
    <cellStyle name="Heading 2 2 3 16 2" xfId="37727"/>
    <cellStyle name="Heading 2 2 3 16 2 2" xfId="37728"/>
    <cellStyle name="Heading 2 2 3 16 3" xfId="37729"/>
    <cellStyle name="Heading 2 2 3 16 3 2" xfId="37730"/>
    <cellStyle name="Heading 2 2 3 16 4" xfId="37731"/>
    <cellStyle name="Heading 2 2 3 17" xfId="37732"/>
    <cellStyle name="Heading 2 2 3 17 2" xfId="37733"/>
    <cellStyle name="Heading 2 2 3 17 2 2" xfId="37734"/>
    <cellStyle name="Heading 2 2 3 17 3" xfId="37735"/>
    <cellStyle name="Heading 2 2 3 17 3 2" xfId="37736"/>
    <cellStyle name="Heading 2 2 3 17 4" xfId="37737"/>
    <cellStyle name="Heading 2 2 3 18" xfId="37738"/>
    <cellStyle name="Heading 2 2 3 18 2" xfId="37739"/>
    <cellStyle name="Heading 2 2 3 18 2 2" xfId="37740"/>
    <cellStyle name="Heading 2 2 3 18 3" xfId="37741"/>
    <cellStyle name="Heading 2 2 3 18 3 2" xfId="37742"/>
    <cellStyle name="Heading 2 2 3 18 4" xfId="37743"/>
    <cellStyle name="Heading 2 2 3 19" xfId="37744"/>
    <cellStyle name="Heading 2 2 3 19 2" xfId="37745"/>
    <cellStyle name="Heading 2 2 3 2" xfId="37746"/>
    <cellStyle name="Heading 2 2 3 2 2" xfId="37747"/>
    <cellStyle name="Heading 2 2 3 2 2 10" xfId="37748"/>
    <cellStyle name="Heading 2 2 3 2 2 10 2" xfId="37749"/>
    <cellStyle name="Heading 2 2 3 2 2 10 2 2" xfId="37750"/>
    <cellStyle name="Heading 2 2 3 2 2 10 3" xfId="37751"/>
    <cellStyle name="Heading 2 2 3 2 2 11" xfId="37752"/>
    <cellStyle name="Heading 2 2 3 2 2 11 2" xfId="37753"/>
    <cellStyle name="Heading 2 2 3 2 2 11 2 2" xfId="37754"/>
    <cellStyle name="Heading 2 2 3 2 2 11 3" xfId="37755"/>
    <cellStyle name="Heading 2 2 3 2 2 12" xfId="37756"/>
    <cellStyle name="Heading 2 2 3 2 2 12 2" xfId="37757"/>
    <cellStyle name="Heading 2 2 3 2 2 12 2 2" xfId="37758"/>
    <cellStyle name="Heading 2 2 3 2 2 12 3" xfId="37759"/>
    <cellStyle name="Heading 2 2 3 2 2 13" xfId="37760"/>
    <cellStyle name="Heading 2 2 3 2 2 13 2" xfId="37761"/>
    <cellStyle name="Heading 2 2 3 2 2 13 2 2" xfId="37762"/>
    <cellStyle name="Heading 2 2 3 2 2 13 3" xfId="37763"/>
    <cellStyle name="Heading 2 2 3 2 2 14" xfId="37764"/>
    <cellStyle name="Heading 2 2 3 2 2 14 2" xfId="37765"/>
    <cellStyle name="Heading 2 2 3 2 2 14 2 2" xfId="37766"/>
    <cellStyle name="Heading 2 2 3 2 2 14 3" xfId="37767"/>
    <cellStyle name="Heading 2 2 3 2 2 15" xfId="37768"/>
    <cellStyle name="Heading 2 2 3 2 2 15 2" xfId="37769"/>
    <cellStyle name="Heading 2 2 3 2 2 15 2 2" xfId="37770"/>
    <cellStyle name="Heading 2 2 3 2 2 15 3" xfId="37771"/>
    <cellStyle name="Heading 2 2 3 2 2 16" xfId="37772"/>
    <cellStyle name="Heading 2 2 3 2 2 16 2" xfId="37773"/>
    <cellStyle name="Heading 2 2 3 2 2 16 2 2" xfId="37774"/>
    <cellStyle name="Heading 2 2 3 2 2 16 3" xfId="37775"/>
    <cellStyle name="Heading 2 2 3 2 2 17" xfId="37776"/>
    <cellStyle name="Heading 2 2 3 2 2 17 2" xfId="37777"/>
    <cellStyle name="Heading 2 2 3 2 2 17 2 2" xfId="37778"/>
    <cellStyle name="Heading 2 2 3 2 2 17 3" xfId="37779"/>
    <cellStyle name="Heading 2 2 3 2 2 18" xfId="37780"/>
    <cellStyle name="Heading 2 2 3 2 2 18 2" xfId="37781"/>
    <cellStyle name="Heading 2 2 3 2 2 18 2 2" xfId="37782"/>
    <cellStyle name="Heading 2 2 3 2 2 18 3" xfId="37783"/>
    <cellStyle name="Heading 2 2 3 2 2 19" xfId="37784"/>
    <cellStyle name="Heading 2 2 3 2 2 19 2" xfId="37785"/>
    <cellStyle name="Heading 2 2 3 2 2 19 2 2" xfId="37786"/>
    <cellStyle name="Heading 2 2 3 2 2 19 3" xfId="37787"/>
    <cellStyle name="Heading 2 2 3 2 2 2" xfId="37788"/>
    <cellStyle name="Heading 2 2 3 2 2 2 10" xfId="37789"/>
    <cellStyle name="Heading 2 2 3 2 2 2 10 2" xfId="37790"/>
    <cellStyle name="Heading 2 2 3 2 2 2 10 2 2" xfId="37791"/>
    <cellStyle name="Heading 2 2 3 2 2 2 10 3" xfId="37792"/>
    <cellStyle name="Heading 2 2 3 2 2 2 11" xfId="37793"/>
    <cellStyle name="Heading 2 2 3 2 2 2 11 2" xfId="37794"/>
    <cellStyle name="Heading 2 2 3 2 2 2 11 2 2" xfId="37795"/>
    <cellStyle name="Heading 2 2 3 2 2 2 11 3" xfId="37796"/>
    <cellStyle name="Heading 2 2 3 2 2 2 12" xfId="37797"/>
    <cellStyle name="Heading 2 2 3 2 2 2 12 2" xfId="37798"/>
    <cellStyle name="Heading 2 2 3 2 2 2 12 2 2" xfId="37799"/>
    <cellStyle name="Heading 2 2 3 2 2 2 12 3" xfId="37800"/>
    <cellStyle name="Heading 2 2 3 2 2 2 13" xfId="37801"/>
    <cellStyle name="Heading 2 2 3 2 2 2 13 2" xfId="37802"/>
    <cellStyle name="Heading 2 2 3 2 2 2 13 2 2" xfId="37803"/>
    <cellStyle name="Heading 2 2 3 2 2 2 13 3" xfId="37804"/>
    <cellStyle name="Heading 2 2 3 2 2 2 14" xfId="37805"/>
    <cellStyle name="Heading 2 2 3 2 2 2 14 2" xfId="37806"/>
    <cellStyle name="Heading 2 2 3 2 2 2 14 2 2" xfId="37807"/>
    <cellStyle name="Heading 2 2 3 2 2 2 14 3" xfId="37808"/>
    <cellStyle name="Heading 2 2 3 2 2 2 15" xfId="37809"/>
    <cellStyle name="Heading 2 2 3 2 2 2 15 2" xfId="37810"/>
    <cellStyle name="Heading 2 2 3 2 2 2 15 2 2" xfId="37811"/>
    <cellStyle name="Heading 2 2 3 2 2 2 15 3" xfId="37812"/>
    <cellStyle name="Heading 2 2 3 2 2 2 16" xfId="37813"/>
    <cellStyle name="Heading 2 2 3 2 2 2 16 2" xfId="37814"/>
    <cellStyle name="Heading 2 2 3 2 2 2 16 2 2" xfId="37815"/>
    <cellStyle name="Heading 2 2 3 2 2 2 16 3" xfId="37816"/>
    <cellStyle name="Heading 2 2 3 2 2 2 17" xfId="37817"/>
    <cellStyle name="Heading 2 2 3 2 2 2 17 2" xfId="37818"/>
    <cellStyle name="Heading 2 2 3 2 2 2 17 2 2" xfId="37819"/>
    <cellStyle name="Heading 2 2 3 2 2 2 17 3" xfId="37820"/>
    <cellStyle name="Heading 2 2 3 2 2 2 18" xfId="37821"/>
    <cellStyle name="Heading 2 2 3 2 2 2 18 2" xfId="37822"/>
    <cellStyle name="Heading 2 2 3 2 2 2 18 2 2" xfId="37823"/>
    <cellStyle name="Heading 2 2 3 2 2 2 18 3" xfId="37824"/>
    <cellStyle name="Heading 2 2 3 2 2 2 19" xfId="37825"/>
    <cellStyle name="Heading 2 2 3 2 2 2 19 2" xfId="37826"/>
    <cellStyle name="Heading 2 2 3 2 2 2 2" xfId="37827"/>
    <cellStyle name="Heading 2 2 3 2 2 2 2 2" xfId="37828"/>
    <cellStyle name="Heading 2 2 3 2 2 2 2 2 2" xfId="37829"/>
    <cellStyle name="Heading 2 2 3 2 2 2 2 2 2 2" xfId="37830"/>
    <cellStyle name="Heading 2 2 3 2 2 2 2 2 3" xfId="37831"/>
    <cellStyle name="Heading 2 2 3 2 2 2 2 3" xfId="37832"/>
    <cellStyle name="Heading 2 2 3 2 2 2 2 3 2" xfId="37833"/>
    <cellStyle name="Heading 2 2 3 2 2 2 2 3 2 2" xfId="37834"/>
    <cellStyle name="Heading 2 2 3 2 2 2 2 3 3" xfId="37835"/>
    <cellStyle name="Heading 2 2 3 2 2 2 2 4" xfId="37836"/>
    <cellStyle name="Heading 2 2 3 2 2 2 2 4 2" xfId="37837"/>
    <cellStyle name="Heading 2 2 3 2 2 2 2 4 2 2" xfId="37838"/>
    <cellStyle name="Heading 2 2 3 2 2 2 2 4 3" xfId="37839"/>
    <cellStyle name="Heading 2 2 3 2 2 2 2 5" xfId="37840"/>
    <cellStyle name="Heading 2 2 3 2 2 2 2 5 2" xfId="37841"/>
    <cellStyle name="Heading 2 2 3 2 2 2 2 5 2 2" xfId="37842"/>
    <cellStyle name="Heading 2 2 3 2 2 2 2 5 3" xfId="37843"/>
    <cellStyle name="Heading 2 2 3 2 2 2 2 6" xfId="37844"/>
    <cellStyle name="Heading 2 2 3 2 2 2 2 6 2" xfId="37845"/>
    <cellStyle name="Heading 2 2 3 2 2 2 2 6 2 2" xfId="37846"/>
    <cellStyle name="Heading 2 2 3 2 2 2 2 6 3" xfId="37847"/>
    <cellStyle name="Heading 2 2 3 2 2 2 2 7" xfId="37848"/>
    <cellStyle name="Heading 2 2 3 2 2 2 2 7 2" xfId="37849"/>
    <cellStyle name="Heading 2 2 3 2 2 2 2 7 2 2" xfId="37850"/>
    <cellStyle name="Heading 2 2 3 2 2 2 2 7 3" xfId="37851"/>
    <cellStyle name="Heading 2 2 3 2 2 2 2 8" xfId="37852"/>
    <cellStyle name="Heading 2 2 3 2 2 2 2 8 2" xfId="37853"/>
    <cellStyle name="Heading 2 2 3 2 2 2 2 9" xfId="37854"/>
    <cellStyle name="Heading 2 2 3 2 2 2 20" xfId="37855"/>
    <cellStyle name="Heading 2 2 3 2 2 2 20 2" xfId="37856"/>
    <cellStyle name="Heading 2 2 3 2 2 2 21" xfId="37857"/>
    <cellStyle name="Heading 2 2 3 2 2 2 21 2" xfId="37858"/>
    <cellStyle name="Heading 2 2 3 2 2 2 22" xfId="37859"/>
    <cellStyle name="Heading 2 2 3 2 2 2 3" xfId="37860"/>
    <cellStyle name="Heading 2 2 3 2 2 2 3 2" xfId="37861"/>
    <cellStyle name="Heading 2 2 3 2 2 2 3 2 2" xfId="37862"/>
    <cellStyle name="Heading 2 2 3 2 2 2 3 2 2 2" xfId="37863"/>
    <cellStyle name="Heading 2 2 3 2 2 2 3 2 3" xfId="37864"/>
    <cellStyle name="Heading 2 2 3 2 2 2 3 3" xfId="37865"/>
    <cellStyle name="Heading 2 2 3 2 2 2 3 3 2" xfId="37866"/>
    <cellStyle name="Heading 2 2 3 2 2 2 3 3 2 2" xfId="37867"/>
    <cellStyle name="Heading 2 2 3 2 2 2 3 3 3" xfId="37868"/>
    <cellStyle name="Heading 2 2 3 2 2 2 3 4" xfId="37869"/>
    <cellStyle name="Heading 2 2 3 2 2 2 3 4 2" xfId="37870"/>
    <cellStyle name="Heading 2 2 3 2 2 2 3 4 2 2" xfId="37871"/>
    <cellStyle name="Heading 2 2 3 2 2 2 3 4 3" xfId="37872"/>
    <cellStyle name="Heading 2 2 3 2 2 2 3 5" xfId="37873"/>
    <cellStyle name="Heading 2 2 3 2 2 2 3 5 2" xfId="37874"/>
    <cellStyle name="Heading 2 2 3 2 2 2 3 5 2 2" xfId="37875"/>
    <cellStyle name="Heading 2 2 3 2 2 2 3 5 3" xfId="37876"/>
    <cellStyle name="Heading 2 2 3 2 2 2 3 6" xfId="37877"/>
    <cellStyle name="Heading 2 2 3 2 2 2 3 6 2" xfId="37878"/>
    <cellStyle name="Heading 2 2 3 2 2 2 3 6 2 2" xfId="37879"/>
    <cellStyle name="Heading 2 2 3 2 2 2 3 6 3" xfId="37880"/>
    <cellStyle name="Heading 2 2 3 2 2 2 3 7" xfId="37881"/>
    <cellStyle name="Heading 2 2 3 2 2 2 3 7 2" xfId="37882"/>
    <cellStyle name="Heading 2 2 3 2 2 2 3 7 2 2" xfId="37883"/>
    <cellStyle name="Heading 2 2 3 2 2 2 3 7 3" xfId="37884"/>
    <cellStyle name="Heading 2 2 3 2 2 2 3 8" xfId="37885"/>
    <cellStyle name="Heading 2 2 3 2 2 2 3 8 2" xfId="37886"/>
    <cellStyle name="Heading 2 2 3 2 2 2 3 9" xfId="37887"/>
    <cellStyle name="Heading 2 2 3 2 2 2 4" xfId="37888"/>
    <cellStyle name="Heading 2 2 3 2 2 2 4 2" xfId="37889"/>
    <cellStyle name="Heading 2 2 3 2 2 2 4 2 2" xfId="37890"/>
    <cellStyle name="Heading 2 2 3 2 2 2 4 2 2 2" xfId="37891"/>
    <cellStyle name="Heading 2 2 3 2 2 2 4 2 3" xfId="37892"/>
    <cellStyle name="Heading 2 2 3 2 2 2 4 3" xfId="37893"/>
    <cellStyle name="Heading 2 2 3 2 2 2 4 3 2" xfId="37894"/>
    <cellStyle name="Heading 2 2 3 2 2 2 4 3 2 2" xfId="37895"/>
    <cellStyle name="Heading 2 2 3 2 2 2 4 3 3" xfId="37896"/>
    <cellStyle name="Heading 2 2 3 2 2 2 4 4" xfId="37897"/>
    <cellStyle name="Heading 2 2 3 2 2 2 4 4 2" xfId="37898"/>
    <cellStyle name="Heading 2 2 3 2 2 2 4 4 2 2" xfId="37899"/>
    <cellStyle name="Heading 2 2 3 2 2 2 4 4 3" xfId="37900"/>
    <cellStyle name="Heading 2 2 3 2 2 2 4 5" xfId="37901"/>
    <cellStyle name="Heading 2 2 3 2 2 2 4 5 2" xfId="37902"/>
    <cellStyle name="Heading 2 2 3 2 2 2 4 5 2 2" xfId="37903"/>
    <cellStyle name="Heading 2 2 3 2 2 2 4 5 3" xfId="37904"/>
    <cellStyle name="Heading 2 2 3 2 2 2 4 6" xfId="37905"/>
    <cellStyle name="Heading 2 2 3 2 2 2 4 6 2" xfId="37906"/>
    <cellStyle name="Heading 2 2 3 2 2 2 4 6 2 2" xfId="37907"/>
    <cellStyle name="Heading 2 2 3 2 2 2 4 6 3" xfId="37908"/>
    <cellStyle name="Heading 2 2 3 2 2 2 4 7" xfId="37909"/>
    <cellStyle name="Heading 2 2 3 2 2 2 4 7 2" xfId="37910"/>
    <cellStyle name="Heading 2 2 3 2 2 2 4 7 2 2" xfId="37911"/>
    <cellStyle name="Heading 2 2 3 2 2 2 4 7 3" xfId="37912"/>
    <cellStyle name="Heading 2 2 3 2 2 2 4 8" xfId="37913"/>
    <cellStyle name="Heading 2 2 3 2 2 2 4 8 2" xfId="37914"/>
    <cellStyle name="Heading 2 2 3 2 2 2 4 9" xfId="37915"/>
    <cellStyle name="Heading 2 2 3 2 2 2 5" xfId="37916"/>
    <cellStyle name="Heading 2 2 3 2 2 2 5 2" xfId="37917"/>
    <cellStyle name="Heading 2 2 3 2 2 2 5 2 2" xfId="37918"/>
    <cellStyle name="Heading 2 2 3 2 2 2 5 2 2 2" xfId="37919"/>
    <cellStyle name="Heading 2 2 3 2 2 2 5 2 3" xfId="37920"/>
    <cellStyle name="Heading 2 2 3 2 2 2 5 3" xfId="37921"/>
    <cellStyle name="Heading 2 2 3 2 2 2 5 3 2" xfId="37922"/>
    <cellStyle name="Heading 2 2 3 2 2 2 5 3 2 2" xfId="37923"/>
    <cellStyle name="Heading 2 2 3 2 2 2 5 3 3" xfId="37924"/>
    <cellStyle name="Heading 2 2 3 2 2 2 5 4" xfId="37925"/>
    <cellStyle name="Heading 2 2 3 2 2 2 5 4 2" xfId="37926"/>
    <cellStyle name="Heading 2 2 3 2 2 2 5 4 2 2" xfId="37927"/>
    <cellStyle name="Heading 2 2 3 2 2 2 5 4 3" xfId="37928"/>
    <cellStyle name="Heading 2 2 3 2 2 2 5 5" xfId="37929"/>
    <cellStyle name="Heading 2 2 3 2 2 2 5 5 2" xfId="37930"/>
    <cellStyle name="Heading 2 2 3 2 2 2 5 5 2 2" xfId="37931"/>
    <cellStyle name="Heading 2 2 3 2 2 2 5 5 3" xfId="37932"/>
    <cellStyle name="Heading 2 2 3 2 2 2 5 6" xfId="37933"/>
    <cellStyle name="Heading 2 2 3 2 2 2 5 6 2" xfId="37934"/>
    <cellStyle name="Heading 2 2 3 2 2 2 5 6 2 2" xfId="37935"/>
    <cellStyle name="Heading 2 2 3 2 2 2 5 6 3" xfId="37936"/>
    <cellStyle name="Heading 2 2 3 2 2 2 5 7" xfId="37937"/>
    <cellStyle name="Heading 2 2 3 2 2 2 5 7 2" xfId="37938"/>
    <cellStyle name="Heading 2 2 3 2 2 2 5 7 2 2" xfId="37939"/>
    <cellStyle name="Heading 2 2 3 2 2 2 5 7 3" xfId="37940"/>
    <cellStyle name="Heading 2 2 3 2 2 2 5 8" xfId="37941"/>
    <cellStyle name="Heading 2 2 3 2 2 2 5 8 2" xfId="37942"/>
    <cellStyle name="Heading 2 2 3 2 2 2 5 9" xfId="37943"/>
    <cellStyle name="Heading 2 2 3 2 2 2 6" xfId="37944"/>
    <cellStyle name="Heading 2 2 3 2 2 2 6 2" xfId="37945"/>
    <cellStyle name="Heading 2 2 3 2 2 2 6 2 2" xfId="37946"/>
    <cellStyle name="Heading 2 2 3 2 2 2 6 2 2 2" xfId="37947"/>
    <cellStyle name="Heading 2 2 3 2 2 2 6 2 3" xfId="37948"/>
    <cellStyle name="Heading 2 2 3 2 2 2 6 3" xfId="37949"/>
    <cellStyle name="Heading 2 2 3 2 2 2 6 3 2" xfId="37950"/>
    <cellStyle name="Heading 2 2 3 2 2 2 6 3 2 2" xfId="37951"/>
    <cellStyle name="Heading 2 2 3 2 2 2 6 3 3" xfId="37952"/>
    <cellStyle name="Heading 2 2 3 2 2 2 6 4" xfId="37953"/>
    <cellStyle name="Heading 2 2 3 2 2 2 6 4 2" xfId="37954"/>
    <cellStyle name="Heading 2 2 3 2 2 2 6 4 2 2" xfId="37955"/>
    <cellStyle name="Heading 2 2 3 2 2 2 6 4 3" xfId="37956"/>
    <cellStyle name="Heading 2 2 3 2 2 2 6 5" xfId="37957"/>
    <cellStyle name="Heading 2 2 3 2 2 2 6 5 2" xfId="37958"/>
    <cellStyle name="Heading 2 2 3 2 2 2 6 5 2 2" xfId="37959"/>
    <cellStyle name="Heading 2 2 3 2 2 2 6 5 3" xfId="37960"/>
    <cellStyle name="Heading 2 2 3 2 2 2 6 6" xfId="37961"/>
    <cellStyle name="Heading 2 2 3 2 2 2 6 6 2" xfId="37962"/>
    <cellStyle name="Heading 2 2 3 2 2 2 6 6 2 2" xfId="37963"/>
    <cellStyle name="Heading 2 2 3 2 2 2 6 6 3" xfId="37964"/>
    <cellStyle name="Heading 2 2 3 2 2 2 6 7" xfId="37965"/>
    <cellStyle name="Heading 2 2 3 2 2 2 6 7 2" xfId="37966"/>
    <cellStyle name="Heading 2 2 3 2 2 2 6 7 2 2" xfId="37967"/>
    <cellStyle name="Heading 2 2 3 2 2 2 6 7 3" xfId="37968"/>
    <cellStyle name="Heading 2 2 3 2 2 2 6 8" xfId="37969"/>
    <cellStyle name="Heading 2 2 3 2 2 2 6 8 2" xfId="37970"/>
    <cellStyle name="Heading 2 2 3 2 2 2 6 9" xfId="37971"/>
    <cellStyle name="Heading 2 2 3 2 2 2 7" xfId="37972"/>
    <cellStyle name="Heading 2 2 3 2 2 2 7 2" xfId="37973"/>
    <cellStyle name="Heading 2 2 3 2 2 2 7 2 2" xfId="37974"/>
    <cellStyle name="Heading 2 2 3 2 2 2 7 2 2 2" xfId="37975"/>
    <cellStyle name="Heading 2 2 3 2 2 2 7 2 3" xfId="37976"/>
    <cellStyle name="Heading 2 2 3 2 2 2 7 3" xfId="37977"/>
    <cellStyle name="Heading 2 2 3 2 2 2 7 3 2" xfId="37978"/>
    <cellStyle name="Heading 2 2 3 2 2 2 7 3 2 2" xfId="37979"/>
    <cellStyle name="Heading 2 2 3 2 2 2 7 3 3" xfId="37980"/>
    <cellStyle name="Heading 2 2 3 2 2 2 7 4" xfId="37981"/>
    <cellStyle name="Heading 2 2 3 2 2 2 7 4 2" xfId="37982"/>
    <cellStyle name="Heading 2 2 3 2 2 2 7 4 2 2" xfId="37983"/>
    <cellStyle name="Heading 2 2 3 2 2 2 7 4 3" xfId="37984"/>
    <cellStyle name="Heading 2 2 3 2 2 2 7 5" xfId="37985"/>
    <cellStyle name="Heading 2 2 3 2 2 2 7 5 2" xfId="37986"/>
    <cellStyle name="Heading 2 2 3 2 2 2 7 5 2 2" xfId="37987"/>
    <cellStyle name="Heading 2 2 3 2 2 2 7 5 3" xfId="37988"/>
    <cellStyle name="Heading 2 2 3 2 2 2 7 6" xfId="37989"/>
    <cellStyle name="Heading 2 2 3 2 2 2 7 6 2" xfId="37990"/>
    <cellStyle name="Heading 2 2 3 2 2 2 7 6 2 2" xfId="37991"/>
    <cellStyle name="Heading 2 2 3 2 2 2 7 6 3" xfId="37992"/>
    <cellStyle name="Heading 2 2 3 2 2 2 7 7" xfId="37993"/>
    <cellStyle name="Heading 2 2 3 2 2 2 7 7 2" xfId="37994"/>
    <cellStyle name="Heading 2 2 3 2 2 2 7 7 2 2" xfId="37995"/>
    <cellStyle name="Heading 2 2 3 2 2 2 7 7 3" xfId="37996"/>
    <cellStyle name="Heading 2 2 3 2 2 2 7 8" xfId="37997"/>
    <cellStyle name="Heading 2 2 3 2 2 2 7 8 2" xfId="37998"/>
    <cellStyle name="Heading 2 2 3 2 2 2 7 9" xfId="37999"/>
    <cellStyle name="Heading 2 2 3 2 2 2 8" xfId="38000"/>
    <cellStyle name="Heading 2 2 3 2 2 2 8 2" xfId="38001"/>
    <cellStyle name="Heading 2 2 3 2 2 2 8 2 2" xfId="38002"/>
    <cellStyle name="Heading 2 2 3 2 2 2 8 2 2 2" xfId="38003"/>
    <cellStyle name="Heading 2 2 3 2 2 2 8 2 3" xfId="38004"/>
    <cellStyle name="Heading 2 2 3 2 2 2 8 3" xfId="38005"/>
    <cellStyle name="Heading 2 2 3 2 2 2 8 3 2" xfId="38006"/>
    <cellStyle name="Heading 2 2 3 2 2 2 8 3 2 2" xfId="38007"/>
    <cellStyle name="Heading 2 2 3 2 2 2 8 3 3" xfId="38008"/>
    <cellStyle name="Heading 2 2 3 2 2 2 8 4" xfId="38009"/>
    <cellStyle name="Heading 2 2 3 2 2 2 8 4 2" xfId="38010"/>
    <cellStyle name="Heading 2 2 3 2 2 2 8 4 2 2" xfId="38011"/>
    <cellStyle name="Heading 2 2 3 2 2 2 8 4 3" xfId="38012"/>
    <cellStyle name="Heading 2 2 3 2 2 2 8 5" xfId="38013"/>
    <cellStyle name="Heading 2 2 3 2 2 2 8 5 2" xfId="38014"/>
    <cellStyle name="Heading 2 2 3 2 2 2 8 5 2 2" xfId="38015"/>
    <cellStyle name="Heading 2 2 3 2 2 2 8 5 3" xfId="38016"/>
    <cellStyle name="Heading 2 2 3 2 2 2 8 6" xfId="38017"/>
    <cellStyle name="Heading 2 2 3 2 2 2 8 6 2" xfId="38018"/>
    <cellStyle name="Heading 2 2 3 2 2 2 8 6 2 2" xfId="38019"/>
    <cellStyle name="Heading 2 2 3 2 2 2 8 6 3" xfId="38020"/>
    <cellStyle name="Heading 2 2 3 2 2 2 8 7" xfId="38021"/>
    <cellStyle name="Heading 2 2 3 2 2 2 8 7 2" xfId="38022"/>
    <cellStyle name="Heading 2 2 3 2 2 2 8 7 2 2" xfId="38023"/>
    <cellStyle name="Heading 2 2 3 2 2 2 8 7 3" xfId="38024"/>
    <cellStyle name="Heading 2 2 3 2 2 2 8 8" xfId="38025"/>
    <cellStyle name="Heading 2 2 3 2 2 2 8 8 2" xfId="38026"/>
    <cellStyle name="Heading 2 2 3 2 2 2 8 9" xfId="38027"/>
    <cellStyle name="Heading 2 2 3 2 2 2 9" xfId="38028"/>
    <cellStyle name="Heading 2 2 3 2 2 2 9 2" xfId="38029"/>
    <cellStyle name="Heading 2 2 3 2 2 2 9 2 2" xfId="38030"/>
    <cellStyle name="Heading 2 2 3 2 2 2 9 3" xfId="38031"/>
    <cellStyle name="Heading 2 2 3 2 2 20" xfId="38032"/>
    <cellStyle name="Heading 2 2 3 2 2 20 2" xfId="38033"/>
    <cellStyle name="Heading 2 2 3 2 2 21" xfId="38034"/>
    <cellStyle name="Heading 2 2 3 2 2 21 2" xfId="38035"/>
    <cellStyle name="Heading 2 2 3 2 2 22" xfId="38036"/>
    <cellStyle name="Heading 2 2 3 2 2 22 2" xfId="38037"/>
    <cellStyle name="Heading 2 2 3 2 2 23" xfId="38038"/>
    <cellStyle name="Heading 2 2 3 2 2 3" xfId="38039"/>
    <cellStyle name="Heading 2 2 3 2 2 3 2" xfId="38040"/>
    <cellStyle name="Heading 2 2 3 2 2 3 2 2" xfId="38041"/>
    <cellStyle name="Heading 2 2 3 2 2 3 2 2 2" xfId="38042"/>
    <cellStyle name="Heading 2 2 3 2 2 3 2 3" xfId="38043"/>
    <cellStyle name="Heading 2 2 3 2 2 3 3" xfId="38044"/>
    <cellStyle name="Heading 2 2 3 2 2 3 3 2" xfId="38045"/>
    <cellStyle name="Heading 2 2 3 2 2 3 3 2 2" xfId="38046"/>
    <cellStyle name="Heading 2 2 3 2 2 3 3 3" xfId="38047"/>
    <cellStyle name="Heading 2 2 3 2 2 3 4" xfId="38048"/>
    <cellStyle name="Heading 2 2 3 2 2 3 4 2" xfId="38049"/>
    <cellStyle name="Heading 2 2 3 2 2 3 4 2 2" xfId="38050"/>
    <cellStyle name="Heading 2 2 3 2 2 3 4 3" xfId="38051"/>
    <cellStyle name="Heading 2 2 3 2 2 3 5" xfId="38052"/>
    <cellStyle name="Heading 2 2 3 2 2 3 5 2" xfId="38053"/>
    <cellStyle name="Heading 2 2 3 2 2 3 5 2 2" xfId="38054"/>
    <cellStyle name="Heading 2 2 3 2 2 3 5 3" xfId="38055"/>
    <cellStyle name="Heading 2 2 3 2 2 3 6" xfId="38056"/>
    <cellStyle name="Heading 2 2 3 2 2 3 6 2" xfId="38057"/>
    <cellStyle name="Heading 2 2 3 2 2 3 6 2 2" xfId="38058"/>
    <cellStyle name="Heading 2 2 3 2 2 3 6 3" xfId="38059"/>
    <cellStyle name="Heading 2 2 3 2 2 3 7" xfId="38060"/>
    <cellStyle name="Heading 2 2 3 2 2 3 7 2" xfId="38061"/>
    <cellStyle name="Heading 2 2 3 2 2 3 7 2 2" xfId="38062"/>
    <cellStyle name="Heading 2 2 3 2 2 3 7 3" xfId="38063"/>
    <cellStyle name="Heading 2 2 3 2 2 3 8" xfId="38064"/>
    <cellStyle name="Heading 2 2 3 2 2 3 8 2" xfId="38065"/>
    <cellStyle name="Heading 2 2 3 2 2 3 9" xfId="38066"/>
    <cellStyle name="Heading 2 2 3 2 2 4" xfId="38067"/>
    <cellStyle name="Heading 2 2 3 2 2 4 2" xfId="38068"/>
    <cellStyle name="Heading 2 2 3 2 2 4 2 2" xfId="38069"/>
    <cellStyle name="Heading 2 2 3 2 2 4 2 2 2" xfId="38070"/>
    <cellStyle name="Heading 2 2 3 2 2 4 2 3" xfId="38071"/>
    <cellStyle name="Heading 2 2 3 2 2 4 3" xfId="38072"/>
    <cellStyle name="Heading 2 2 3 2 2 4 3 2" xfId="38073"/>
    <cellStyle name="Heading 2 2 3 2 2 4 3 2 2" xfId="38074"/>
    <cellStyle name="Heading 2 2 3 2 2 4 3 3" xfId="38075"/>
    <cellStyle name="Heading 2 2 3 2 2 4 4" xfId="38076"/>
    <cellStyle name="Heading 2 2 3 2 2 4 4 2" xfId="38077"/>
    <cellStyle name="Heading 2 2 3 2 2 4 4 2 2" xfId="38078"/>
    <cellStyle name="Heading 2 2 3 2 2 4 4 3" xfId="38079"/>
    <cellStyle name="Heading 2 2 3 2 2 4 5" xfId="38080"/>
    <cellStyle name="Heading 2 2 3 2 2 4 5 2" xfId="38081"/>
    <cellStyle name="Heading 2 2 3 2 2 4 5 2 2" xfId="38082"/>
    <cellStyle name="Heading 2 2 3 2 2 4 5 3" xfId="38083"/>
    <cellStyle name="Heading 2 2 3 2 2 4 6" xfId="38084"/>
    <cellStyle name="Heading 2 2 3 2 2 4 6 2" xfId="38085"/>
    <cellStyle name="Heading 2 2 3 2 2 4 6 2 2" xfId="38086"/>
    <cellStyle name="Heading 2 2 3 2 2 4 6 3" xfId="38087"/>
    <cellStyle name="Heading 2 2 3 2 2 4 7" xfId="38088"/>
    <cellStyle name="Heading 2 2 3 2 2 4 7 2" xfId="38089"/>
    <cellStyle name="Heading 2 2 3 2 2 4 7 2 2" xfId="38090"/>
    <cellStyle name="Heading 2 2 3 2 2 4 7 3" xfId="38091"/>
    <cellStyle name="Heading 2 2 3 2 2 4 8" xfId="38092"/>
    <cellStyle name="Heading 2 2 3 2 2 4 8 2" xfId="38093"/>
    <cellStyle name="Heading 2 2 3 2 2 4 9" xfId="38094"/>
    <cellStyle name="Heading 2 2 3 2 2 5" xfId="38095"/>
    <cellStyle name="Heading 2 2 3 2 2 5 2" xfId="38096"/>
    <cellStyle name="Heading 2 2 3 2 2 5 2 2" xfId="38097"/>
    <cellStyle name="Heading 2 2 3 2 2 5 2 2 2" xfId="38098"/>
    <cellStyle name="Heading 2 2 3 2 2 5 2 3" xfId="38099"/>
    <cellStyle name="Heading 2 2 3 2 2 5 3" xfId="38100"/>
    <cellStyle name="Heading 2 2 3 2 2 5 3 2" xfId="38101"/>
    <cellStyle name="Heading 2 2 3 2 2 5 3 2 2" xfId="38102"/>
    <cellStyle name="Heading 2 2 3 2 2 5 3 3" xfId="38103"/>
    <cellStyle name="Heading 2 2 3 2 2 5 4" xfId="38104"/>
    <cellStyle name="Heading 2 2 3 2 2 5 4 2" xfId="38105"/>
    <cellStyle name="Heading 2 2 3 2 2 5 4 2 2" xfId="38106"/>
    <cellStyle name="Heading 2 2 3 2 2 5 4 3" xfId="38107"/>
    <cellStyle name="Heading 2 2 3 2 2 5 5" xfId="38108"/>
    <cellStyle name="Heading 2 2 3 2 2 5 5 2" xfId="38109"/>
    <cellStyle name="Heading 2 2 3 2 2 5 5 2 2" xfId="38110"/>
    <cellStyle name="Heading 2 2 3 2 2 5 5 3" xfId="38111"/>
    <cellStyle name="Heading 2 2 3 2 2 5 6" xfId="38112"/>
    <cellStyle name="Heading 2 2 3 2 2 5 6 2" xfId="38113"/>
    <cellStyle name="Heading 2 2 3 2 2 5 6 2 2" xfId="38114"/>
    <cellStyle name="Heading 2 2 3 2 2 5 6 3" xfId="38115"/>
    <cellStyle name="Heading 2 2 3 2 2 5 7" xfId="38116"/>
    <cellStyle name="Heading 2 2 3 2 2 5 7 2" xfId="38117"/>
    <cellStyle name="Heading 2 2 3 2 2 5 7 2 2" xfId="38118"/>
    <cellStyle name="Heading 2 2 3 2 2 5 7 3" xfId="38119"/>
    <cellStyle name="Heading 2 2 3 2 2 5 8" xfId="38120"/>
    <cellStyle name="Heading 2 2 3 2 2 5 8 2" xfId="38121"/>
    <cellStyle name="Heading 2 2 3 2 2 5 9" xfId="38122"/>
    <cellStyle name="Heading 2 2 3 2 2 6" xfId="38123"/>
    <cellStyle name="Heading 2 2 3 2 2 6 2" xfId="38124"/>
    <cellStyle name="Heading 2 2 3 2 2 6 2 2" xfId="38125"/>
    <cellStyle name="Heading 2 2 3 2 2 6 2 2 2" xfId="38126"/>
    <cellStyle name="Heading 2 2 3 2 2 6 2 3" xfId="38127"/>
    <cellStyle name="Heading 2 2 3 2 2 6 3" xfId="38128"/>
    <cellStyle name="Heading 2 2 3 2 2 6 3 2" xfId="38129"/>
    <cellStyle name="Heading 2 2 3 2 2 6 3 2 2" xfId="38130"/>
    <cellStyle name="Heading 2 2 3 2 2 6 3 3" xfId="38131"/>
    <cellStyle name="Heading 2 2 3 2 2 6 4" xfId="38132"/>
    <cellStyle name="Heading 2 2 3 2 2 6 4 2" xfId="38133"/>
    <cellStyle name="Heading 2 2 3 2 2 6 4 2 2" xfId="38134"/>
    <cellStyle name="Heading 2 2 3 2 2 6 4 3" xfId="38135"/>
    <cellStyle name="Heading 2 2 3 2 2 6 5" xfId="38136"/>
    <cellStyle name="Heading 2 2 3 2 2 6 5 2" xfId="38137"/>
    <cellStyle name="Heading 2 2 3 2 2 6 5 2 2" xfId="38138"/>
    <cellStyle name="Heading 2 2 3 2 2 6 5 3" xfId="38139"/>
    <cellStyle name="Heading 2 2 3 2 2 6 6" xfId="38140"/>
    <cellStyle name="Heading 2 2 3 2 2 6 6 2" xfId="38141"/>
    <cellStyle name="Heading 2 2 3 2 2 6 6 2 2" xfId="38142"/>
    <cellStyle name="Heading 2 2 3 2 2 6 6 3" xfId="38143"/>
    <cellStyle name="Heading 2 2 3 2 2 6 7" xfId="38144"/>
    <cellStyle name="Heading 2 2 3 2 2 6 7 2" xfId="38145"/>
    <cellStyle name="Heading 2 2 3 2 2 6 7 2 2" xfId="38146"/>
    <cellStyle name="Heading 2 2 3 2 2 6 7 3" xfId="38147"/>
    <cellStyle name="Heading 2 2 3 2 2 6 8" xfId="38148"/>
    <cellStyle name="Heading 2 2 3 2 2 6 8 2" xfId="38149"/>
    <cellStyle name="Heading 2 2 3 2 2 6 9" xfId="38150"/>
    <cellStyle name="Heading 2 2 3 2 2 7" xfId="38151"/>
    <cellStyle name="Heading 2 2 3 2 2 7 2" xfId="38152"/>
    <cellStyle name="Heading 2 2 3 2 2 7 2 2" xfId="38153"/>
    <cellStyle name="Heading 2 2 3 2 2 7 2 2 2" xfId="38154"/>
    <cellStyle name="Heading 2 2 3 2 2 7 2 3" xfId="38155"/>
    <cellStyle name="Heading 2 2 3 2 2 7 3" xfId="38156"/>
    <cellStyle name="Heading 2 2 3 2 2 7 3 2" xfId="38157"/>
    <cellStyle name="Heading 2 2 3 2 2 7 3 2 2" xfId="38158"/>
    <cellStyle name="Heading 2 2 3 2 2 7 3 3" xfId="38159"/>
    <cellStyle name="Heading 2 2 3 2 2 7 4" xfId="38160"/>
    <cellStyle name="Heading 2 2 3 2 2 7 4 2" xfId="38161"/>
    <cellStyle name="Heading 2 2 3 2 2 7 4 2 2" xfId="38162"/>
    <cellStyle name="Heading 2 2 3 2 2 7 4 3" xfId="38163"/>
    <cellStyle name="Heading 2 2 3 2 2 7 5" xfId="38164"/>
    <cellStyle name="Heading 2 2 3 2 2 7 5 2" xfId="38165"/>
    <cellStyle name="Heading 2 2 3 2 2 7 5 2 2" xfId="38166"/>
    <cellStyle name="Heading 2 2 3 2 2 7 5 3" xfId="38167"/>
    <cellStyle name="Heading 2 2 3 2 2 7 6" xfId="38168"/>
    <cellStyle name="Heading 2 2 3 2 2 7 6 2" xfId="38169"/>
    <cellStyle name="Heading 2 2 3 2 2 7 6 2 2" xfId="38170"/>
    <cellStyle name="Heading 2 2 3 2 2 7 6 3" xfId="38171"/>
    <cellStyle name="Heading 2 2 3 2 2 7 7" xfId="38172"/>
    <cellStyle name="Heading 2 2 3 2 2 7 7 2" xfId="38173"/>
    <cellStyle name="Heading 2 2 3 2 2 7 7 2 2" xfId="38174"/>
    <cellStyle name="Heading 2 2 3 2 2 7 7 3" xfId="38175"/>
    <cellStyle name="Heading 2 2 3 2 2 7 8" xfId="38176"/>
    <cellStyle name="Heading 2 2 3 2 2 7 8 2" xfId="38177"/>
    <cellStyle name="Heading 2 2 3 2 2 7 9" xfId="38178"/>
    <cellStyle name="Heading 2 2 3 2 2 8" xfId="38179"/>
    <cellStyle name="Heading 2 2 3 2 2 8 2" xfId="38180"/>
    <cellStyle name="Heading 2 2 3 2 2 8 2 2" xfId="38181"/>
    <cellStyle name="Heading 2 2 3 2 2 8 2 2 2" xfId="38182"/>
    <cellStyle name="Heading 2 2 3 2 2 8 2 3" xfId="38183"/>
    <cellStyle name="Heading 2 2 3 2 2 8 3" xfId="38184"/>
    <cellStyle name="Heading 2 2 3 2 2 8 3 2" xfId="38185"/>
    <cellStyle name="Heading 2 2 3 2 2 8 3 2 2" xfId="38186"/>
    <cellStyle name="Heading 2 2 3 2 2 8 3 3" xfId="38187"/>
    <cellStyle name="Heading 2 2 3 2 2 8 4" xfId="38188"/>
    <cellStyle name="Heading 2 2 3 2 2 8 4 2" xfId="38189"/>
    <cellStyle name="Heading 2 2 3 2 2 8 4 2 2" xfId="38190"/>
    <cellStyle name="Heading 2 2 3 2 2 8 4 3" xfId="38191"/>
    <cellStyle name="Heading 2 2 3 2 2 8 5" xfId="38192"/>
    <cellStyle name="Heading 2 2 3 2 2 8 5 2" xfId="38193"/>
    <cellStyle name="Heading 2 2 3 2 2 8 5 2 2" xfId="38194"/>
    <cellStyle name="Heading 2 2 3 2 2 8 5 3" xfId="38195"/>
    <cellStyle name="Heading 2 2 3 2 2 8 6" xfId="38196"/>
    <cellStyle name="Heading 2 2 3 2 2 8 6 2" xfId="38197"/>
    <cellStyle name="Heading 2 2 3 2 2 8 6 2 2" xfId="38198"/>
    <cellStyle name="Heading 2 2 3 2 2 8 6 3" xfId="38199"/>
    <cellStyle name="Heading 2 2 3 2 2 8 7" xfId="38200"/>
    <cellStyle name="Heading 2 2 3 2 2 8 7 2" xfId="38201"/>
    <cellStyle name="Heading 2 2 3 2 2 8 7 2 2" xfId="38202"/>
    <cellStyle name="Heading 2 2 3 2 2 8 7 3" xfId="38203"/>
    <cellStyle name="Heading 2 2 3 2 2 8 8" xfId="38204"/>
    <cellStyle name="Heading 2 2 3 2 2 8 8 2" xfId="38205"/>
    <cellStyle name="Heading 2 2 3 2 2 8 9" xfId="38206"/>
    <cellStyle name="Heading 2 2 3 2 2 9" xfId="38207"/>
    <cellStyle name="Heading 2 2 3 2 2 9 2" xfId="38208"/>
    <cellStyle name="Heading 2 2 3 2 2 9 2 2" xfId="38209"/>
    <cellStyle name="Heading 2 2 3 2 2 9 2 2 2" xfId="38210"/>
    <cellStyle name="Heading 2 2 3 2 2 9 2 3" xfId="38211"/>
    <cellStyle name="Heading 2 2 3 2 2 9 3" xfId="38212"/>
    <cellStyle name="Heading 2 2 3 2 2 9 3 2" xfId="38213"/>
    <cellStyle name="Heading 2 2 3 2 2 9 3 2 2" xfId="38214"/>
    <cellStyle name="Heading 2 2 3 2 2 9 3 3" xfId="38215"/>
    <cellStyle name="Heading 2 2 3 2 2 9 4" xfId="38216"/>
    <cellStyle name="Heading 2 2 3 2 2 9 4 2" xfId="38217"/>
    <cellStyle name="Heading 2 2 3 2 2 9 4 2 2" xfId="38218"/>
    <cellStyle name="Heading 2 2 3 2 2 9 4 3" xfId="38219"/>
    <cellStyle name="Heading 2 2 3 2 2 9 5" xfId="38220"/>
    <cellStyle name="Heading 2 2 3 2 2 9 5 2" xfId="38221"/>
    <cellStyle name="Heading 2 2 3 2 2 9 5 2 2" xfId="38222"/>
    <cellStyle name="Heading 2 2 3 2 2 9 5 3" xfId="38223"/>
    <cellStyle name="Heading 2 2 3 2 2 9 6" xfId="38224"/>
    <cellStyle name="Heading 2 2 3 2 2 9 6 2" xfId="38225"/>
    <cellStyle name="Heading 2 2 3 2 2 9 6 2 2" xfId="38226"/>
    <cellStyle name="Heading 2 2 3 2 2 9 6 3" xfId="38227"/>
    <cellStyle name="Heading 2 2 3 2 2 9 7" xfId="38228"/>
    <cellStyle name="Heading 2 2 3 2 2 9 7 2" xfId="38229"/>
    <cellStyle name="Heading 2 2 3 2 2 9 7 2 2" xfId="38230"/>
    <cellStyle name="Heading 2 2 3 2 2 9 7 3" xfId="38231"/>
    <cellStyle name="Heading 2 2 3 2 2 9 8" xfId="38232"/>
    <cellStyle name="Heading 2 2 3 2 2 9 8 2" xfId="38233"/>
    <cellStyle name="Heading 2 2 3 2 2 9 9" xfId="38234"/>
    <cellStyle name="Heading 2 2 3 2 3" xfId="38235"/>
    <cellStyle name="Heading 2 2 3 2 3 10" xfId="38236"/>
    <cellStyle name="Heading 2 2 3 2 3 10 2" xfId="38237"/>
    <cellStyle name="Heading 2 2 3 2 3 10 2 2" xfId="38238"/>
    <cellStyle name="Heading 2 2 3 2 3 10 3" xfId="38239"/>
    <cellStyle name="Heading 2 2 3 2 3 11" xfId="38240"/>
    <cellStyle name="Heading 2 2 3 2 3 11 2" xfId="38241"/>
    <cellStyle name="Heading 2 2 3 2 3 11 2 2" xfId="38242"/>
    <cellStyle name="Heading 2 2 3 2 3 11 3" xfId="38243"/>
    <cellStyle name="Heading 2 2 3 2 3 12" xfId="38244"/>
    <cellStyle name="Heading 2 2 3 2 3 12 2" xfId="38245"/>
    <cellStyle name="Heading 2 2 3 2 3 12 2 2" xfId="38246"/>
    <cellStyle name="Heading 2 2 3 2 3 12 3" xfId="38247"/>
    <cellStyle name="Heading 2 2 3 2 3 13" xfId="38248"/>
    <cellStyle name="Heading 2 2 3 2 3 13 2" xfId="38249"/>
    <cellStyle name="Heading 2 2 3 2 3 13 2 2" xfId="38250"/>
    <cellStyle name="Heading 2 2 3 2 3 13 3" xfId="38251"/>
    <cellStyle name="Heading 2 2 3 2 3 14" xfId="38252"/>
    <cellStyle name="Heading 2 2 3 2 3 14 2" xfId="38253"/>
    <cellStyle name="Heading 2 2 3 2 3 14 2 2" xfId="38254"/>
    <cellStyle name="Heading 2 2 3 2 3 14 3" xfId="38255"/>
    <cellStyle name="Heading 2 2 3 2 3 15" xfId="38256"/>
    <cellStyle name="Heading 2 2 3 2 3 15 2" xfId="38257"/>
    <cellStyle name="Heading 2 2 3 2 3 15 2 2" xfId="38258"/>
    <cellStyle name="Heading 2 2 3 2 3 15 3" xfId="38259"/>
    <cellStyle name="Heading 2 2 3 2 3 16" xfId="38260"/>
    <cellStyle name="Heading 2 2 3 2 3 16 2" xfId="38261"/>
    <cellStyle name="Heading 2 2 3 2 3 16 2 2" xfId="38262"/>
    <cellStyle name="Heading 2 2 3 2 3 16 3" xfId="38263"/>
    <cellStyle name="Heading 2 2 3 2 3 17" xfId="38264"/>
    <cellStyle name="Heading 2 2 3 2 3 17 2" xfId="38265"/>
    <cellStyle name="Heading 2 2 3 2 3 17 2 2" xfId="38266"/>
    <cellStyle name="Heading 2 2 3 2 3 17 3" xfId="38267"/>
    <cellStyle name="Heading 2 2 3 2 3 18" xfId="38268"/>
    <cellStyle name="Heading 2 2 3 2 3 18 2" xfId="38269"/>
    <cellStyle name="Heading 2 2 3 2 3 18 2 2" xfId="38270"/>
    <cellStyle name="Heading 2 2 3 2 3 18 3" xfId="38271"/>
    <cellStyle name="Heading 2 2 3 2 3 19" xfId="38272"/>
    <cellStyle name="Heading 2 2 3 2 3 19 2" xfId="38273"/>
    <cellStyle name="Heading 2 2 3 2 3 2" xfId="38274"/>
    <cellStyle name="Heading 2 2 3 2 3 2 2" xfId="38275"/>
    <cellStyle name="Heading 2 2 3 2 3 2 2 2" xfId="38276"/>
    <cellStyle name="Heading 2 2 3 2 3 2 2 2 2" xfId="38277"/>
    <cellStyle name="Heading 2 2 3 2 3 2 2 3" xfId="38278"/>
    <cellStyle name="Heading 2 2 3 2 3 2 3" xfId="38279"/>
    <cellStyle name="Heading 2 2 3 2 3 2 3 2" xfId="38280"/>
    <cellStyle name="Heading 2 2 3 2 3 2 3 2 2" xfId="38281"/>
    <cellStyle name="Heading 2 2 3 2 3 2 3 3" xfId="38282"/>
    <cellStyle name="Heading 2 2 3 2 3 2 4" xfId="38283"/>
    <cellStyle name="Heading 2 2 3 2 3 2 4 2" xfId="38284"/>
    <cellStyle name="Heading 2 2 3 2 3 2 4 2 2" xfId="38285"/>
    <cellStyle name="Heading 2 2 3 2 3 2 4 3" xfId="38286"/>
    <cellStyle name="Heading 2 2 3 2 3 2 5" xfId="38287"/>
    <cellStyle name="Heading 2 2 3 2 3 2 5 2" xfId="38288"/>
    <cellStyle name="Heading 2 2 3 2 3 2 5 2 2" xfId="38289"/>
    <cellStyle name="Heading 2 2 3 2 3 2 5 3" xfId="38290"/>
    <cellStyle name="Heading 2 2 3 2 3 2 6" xfId="38291"/>
    <cellStyle name="Heading 2 2 3 2 3 2 6 2" xfId="38292"/>
    <cellStyle name="Heading 2 2 3 2 3 2 6 2 2" xfId="38293"/>
    <cellStyle name="Heading 2 2 3 2 3 2 6 3" xfId="38294"/>
    <cellStyle name="Heading 2 2 3 2 3 2 7" xfId="38295"/>
    <cellStyle name="Heading 2 2 3 2 3 2 7 2" xfId="38296"/>
    <cellStyle name="Heading 2 2 3 2 3 2 7 2 2" xfId="38297"/>
    <cellStyle name="Heading 2 2 3 2 3 2 7 3" xfId="38298"/>
    <cellStyle name="Heading 2 2 3 2 3 2 8" xfId="38299"/>
    <cellStyle name="Heading 2 2 3 2 3 2 8 2" xfId="38300"/>
    <cellStyle name="Heading 2 2 3 2 3 2 9" xfId="38301"/>
    <cellStyle name="Heading 2 2 3 2 3 20" xfId="38302"/>
    <cellStyle name="Heading 2 2 3 2 3 20 2" xfId="38303"/>
    <cellStyle name="Heading 2 2 3 2 3 21" xfId="38304"/>
    <cellStyle name="Heading 2 2 3 2 3 21 2" xfId="38305"/>
    <cellStyle name="Heading 2 2 3 2 3 22" xfId="38306"/>
    <cellStyle name="Heading 2 2 3 2 3 3" xfId="38307"/>
    <cellStyle name="Heading 2 2 3 2 3 3 2" xfId="38308"/>
    <cellStyle name="Heading 2 2 3 2 3 3 2 2" xfId="38309"/>
    <cellStyle name="Heading 2 2 3 2 3 3 2 2 2" xfId="38310"/>
    <cellStyle name="Heading 2 2 3 2 3 3 2 3" xfId="38311"/>
    <cellStyle name="Heading 2 2 3 2 3 3 3" xfId="38312"/>
    <cellStyle name="Heading 2 2 3 2 3 3 3 2" xfId="38313"/>
    <cellStyle name="Heading 2 2 3 2 3 3 3 2 2" xfId="38314"/>
    <cellStyle name="Heading 2 2 3 2 3 3 3 3" xfId="38315"/>
    <cellStyle name="Heading 2 2 3 2 3 3 4" xfId="38316"/>
    <cellStyle name="Heading 2 2 3 2 3 3 4 2" xfId="38317"/>
    <cellStyle name="Heading 2 2 3 2 3 3 4 2 2" xfId="38318"/>
    <cellStyle name="Heading 2 2 3 2 3 3 4 3" xfId="38319"/>
    <cellStyle name="Heading 2 2 3 2 3 3 5" xfId="38320"/>
    <cellStyle name="Heading 2 2 3 2 3 3 5 2" xfId="38321"/>
    <cellStyle name="Heading 2 2 3 2 3 3 5 2 2" xfId="38322"/>
    <cellStyle name="Heading 2 2 3 2 3 3 5 3" xfId="38323"/>
    <cellStyle name="Heading 2 2 3 2 3 3 6" xfId="38324"/>
    <cellStyle name="Heading 2 2 3 2 3 3 6 2" xfId="38325"/>
    <cellStyle name="Heading 2 2 3 2 3 3 6 2 2" xfId="38326"/>
    <cellStyle name="Heading 2 2 3 2 3 3 6 3" xfId="38327"/>
    <cellStyle name="Heading 2 2 3 2 3 3 7" xfId="38328"/>
    <cellStyle name="Heading 2 2 3 2 3 3 7 2" xfId="38329"/>
    <cellStyle name="Heading 2 2 3 2 3 3 7 2 2" xfId="38330"/>
    <cellStyle name="Heading 2 2 3 2 3 3 7 3" xfId="38331"/>
    <cellStyle name="Heading 2 2 3 2 3 3 8" xfId="38332"/>
    <cellStyle name="Heading 2 2 3 2 3 3 8 2" xfId="38333"/>
    <cellStyle name="Heading 2 2 3 2 3 3 9" xfId="38334"/>
    <cellStyle name="Heading 2 2 3 2 3 4" xfId="38335"/>
    <cellStyle name="Heading 2 2 3 2 3 4 2" xfId="38336"/>
    <cellStyle name="Heading 2 2 3 2 3 4 2 2" xfId="38337"/>
    <cellStyle name="Heading 2 2 3 2 3 4 2 2 2" xfId="38338"/>
    <cellStyle name="Heading 2 2 3 2 3 4 2 3" xfId="38339"/>
    <cellStyle name="Heading 2 2 3 2 3 4 3" xfId="38340"/>
    <cellStyle name="Heading 2 2 3 2 3 4 3 2" xfId="38341"/>
    <cellStyle name="Heading 2 2 3 2 3 4 3 2 2" xfId="38342"/>
    <cellStyle name="Heading 2 2 3 2 3 4 3 3" xfId="38343"/>
    <cellStyle name="Heading 2 2 3 2 3 4 4" xfId="38344"/>
    <cellStyle name="Heading 2 2 3 2 3 4 4 2" xfId="38345"/>
    <cellStyle name="Heading 2 2 3 2 3 4 4 2 2" xfId="38346"/>
    <cellStyle name="Heading 2 2 3 2 3 4 4 3" xfId="38347"/>
    <cellStyle name="Heading 2 2 3 2 3 4 5" xfId="38348"/>
    <cellStyle name="Heading 2 2 3 2 3 4 5 2" xfId="38349"/>
    <cellStyle name="Heading 2 2 3 2 3 4 5 2 2" xfId="38350"/>
    <cellStyle name="Heading 2 2 3 2 3 4 5 3" xfId="38351"/>
    <cellStyle name="Heading 2 2 3 2 3 4 6" xfId="38352"/>
    <cellStyle name="Heading 2 2 3 2 3 4 6 2" xfId="38353"/>
    <cellStyle name="Heading 2 2 3 2 3 4 6 2 2" xfId="38354"/>
    <cellStyle name="Heading 2 2 3 2 3 4 6 3" xfId="38355"/>
    <cellStyle name="Heading 2 2 3 2 3 4 7" xfId="38356"/>
    <cellStyle name="Heading 2 2 3 2 3 4 7 2" xfId="38357"/>
    <cellStyle name="Heading 2 2 3 2 3 4 7 2 2" xfId="38358"/>
    <cellStyle name="Heading 2 2 3 2 3 4 7 3" xfId="38359"/>
    <cellStyle name="Heading 2 2 3 2 3 4 8" xfId="38360"/>
    <cellStyle name="Heading 2 2 3 2 3 4 8 2" xfId="38361"/>
    <cellStyle name="Heading 2 2 3 2 3 4 9" xfId="38362"/>
    <cellStyle name="Heading 2 2 3 2 3 5" xfId="38363"/>
    <cellStyle name="Heading 2 2 3 2 3 5 2" xfId="38364"/>
    <cellStyle name="Heading 2 2 3 2 3 5 2 2" xfId="38365"/>
    <cellStyle name="Heading 2 2 3 2 3 5 2 2 2" xfId="38366"/>
    <cellStyle name="Heading 2 2 3 2 3 5 2 3" xfId="38367"/>
    <cellStyle name="Heading 2 2 3 2 3 5 3" xfId="38368"/>
    <cellStyle name="Heading 2 2 3 2 3 5 3 2" xfId="38369"/>
    <cellStyle name="Heading 2 2 3 2 3 5 3 2 2" xfId="38370"/>
    <cellStyle name="Heading 2 2 3 2 3 5 3 3" xfId="38371"/>
    <cellStyle name="Heading 2 2 3 2 3 5 4" xfId="38372"/>
    <cellStyle name="Heading 2 2 3 2 3 5 4 2" xfId="38373"/>
    <cellStyle name="Heading 2 2 3 2 3 5 4 2 2" xfId="38374"/>
    <cellStyle name="Heading 2 2 3 2 3 5 4 3" xfId="38375"/>
    <cellStyle name="Heading 2 2 3 2 3 5 5" xfId="38376"/>
    <cellStyle name="Heading 2 2 3 2 3 5 5 2" xfId="38377"/>
    <cellStyle name="Heading 2 2 3 2 3 5 5 2 2" xfId="38378"/>
    <cellStyle name="Heading 2 2 3 2 3 5 5 3" xfId="38379"/>
    <cellStyle name="Heading 2 2 3 2 3 5 6" xfId="38380"/>
    <cellStyle name="Heading 2 2 3 2 3 5 6 2" xfId="38381"/>
    <cellStyle name="Heading 2 2 3 2 3 5 6 2 2" xfId="38382"/>
    <cellStyle name="Heading 2 2 3 2 3 5 6 3" xfId="38383"/>
    <cellStyle name="Heading 2 2 3 2 3 5 7" xfId="38384"/>
    <cellStyle name="Heading 2 2 3 2 3 5 7 2" xfId="38385"/>
    <cellStyle name="Heading 2 2 3 2 3 5 7 2 2" xfId="38386"/>
    <cellStyle name="Heading 2 2 3 2 3 5 7 3" xfId="38387"/>
    <cellStyle name="Heading 2 2 3 2 3 5 8" xfId="38388"/>
    <cellStyle name="Heading 2 2 3 2 3 5 8 2" xfId="38389"/>
    <cellStyle name="Heading 2 2 3 2 3 5 9" xfId="38390"/>
    <cellStyle name="Heading 2 2 3 2 3 6" xfId="38391"/>
    <cellStyle name="Heading 2 2 3 2 3 6 2" xfId="38392"/>
    <cellStyle name="Heading 2 2 3 2 3 6 2 2" xfId="38393"/>
    <cellStyle name="Heading 2 2 3 2 3 6 2 2 2" xfId="38394"/>
    <cellStyle name="Heading 2 2 3 2 3 6 2 3" xfId="38395"/>
    <cellStyle name="Heading 2 2 3 2 3 6 3" xfId="38396"/>
    <cellStyle name="Heading 2 2 3 2 3 6 3 2" xfId="38397"/>
    <cellStyle name="Heading 2 2 3 2 3 6 3 2 2" xfId="38398"/>
    <cellStyle name="Heading 2 2 3 2 3 6 3 3" xfId="38399"/>
    <cellStyle name="Heading 2 2 3 2 3 6 4" xfId="38400"/>
    <cellStyle name="Heading 2 2 3 2 3 6 4 2" xfId="38401"/>
    <cellStyle name="Heading 2 2 3 2 3 6 4 2 2" xfId="38402"/>
    <cellStyle name="Heading 2 2 3 2 3 6 4 3" xfId="38403"/>
    <cellStyle name="Heading 2 2 3 2 3 6 5" xfId="38404"/>
    <cellStyle name="Heading 2 2 3 2 3 6 5 2" xfId="38405"/>
    <cellStyle name="Heading 2 2 3 2 3 6 5 2 2" xfId="38406"/>
    <cellStyle name="Heading 2 2 3 2 3 6 5 3" xfId="38407"/>
    <cellStyle name="Heading 2 2 3 2 3 6 6" xfId="38408"/>
    <cellStyle name="Heading 2 2 3 2 3 6 6 2" xfId="38409"/>
    <cellStyle name="Heading 2 2 3 2 3 6 6 2 2" xfId="38410"/>
    <cellStyle name="Heading 2 2 3 2 3 6 6 3" xfId="38411"/>
    <cellStyle name="Heading 2 2 3 2 3 6 7" xfId="38412"/>
    <cellStyle name="Heading 2 2 3 2 3 6 7 2" xfId="38413"/>
    <cellStyle name="Heading 2 2 3 2 3 6 7 2 2" xfId="38414"/>
    <cellStyle name="Heading 2 2 3 2 3 6 7 3" xfId="38415"/>
    <cellStyle name="Heading 2 2 3 2 3 6 8" xfId="38416"/>
    <cellStyle name="Heading 2 2 3 2 3 6 8 2" xfId="38417"/>
    <cellStyle name="Heading 2 2 3 2 3 6 9" xfId="38418"/>
    <cellStyle name="Heading 2 2 3 2 3 7" xfId="38419"/>
    <cellStyle name="Heading 2 2 3 2 3 7 2" xfId="38420"/>
    <cellStyle name="Heading 2 2 3 2 3 7 2 2" xfId="38421"/>
    <cellStyle name="Heading 2 2 3 2 3 7 2 2 2" xfId="38422"/>
    <cellStyle name="Heading 2 2 3 2 3 7 2 3" xfId="38423"/>
    <cellStyle name="Heading 2 2 3 2 3 7 3" xfId="38424"/>
    <cellStyle name="Heading 2 2 3 2 3 7 3 2" xfId="38425"/>
    <cellStyle name="Heading 2 2 3 2 3 7 3 2 2" xfId="38426"/>
    <cellStyle name="Heading 2 2 3 2 3 7 3 3" xfId="38427"/>
    <cellStyle name="Heading 2 2 3 2 3 7 4" xfId="38428"/>
    <cellStyle name="Heading 2 2 3 2 3 7 4 2" xfId="38429"/>
    <cellStyle name="Heading 2 2 3 2 3 7 4 2 2" xfId="38430"/>
    <cellStyle name="Heading 2 2 3 2 3 7 4 3" xfId="38431"/>
    <cellStyle name="Heading 2 2 3 2 3 7 5" xfId="38432"/>
    <cellStyle name="Heading 2 2 3 2 3 7 5 2" xfId="38433"/>
    <cellStyle name="Heading 2 2 3 2 3 7 5 2 2" xfId="38434"/>
    <cellStyle name="Heading 2 2 3 2 3 7 5 3" xfId="38435"/>
    <cellStyle name="Heading 2 2 3 2 3 7 6" xfId="38436"/>
    <cellStyle name="Heading 2 2 3 2 3 7 6 2" xfId="38437"/>
    <cellStyle name="Heading 2 2 3 2 3 7 6 2 2" xfId="38438"/>
    <cellStyle name="Heading 2 2 3 2 3 7 6 3" xfId="38439"/>
    <cellStyle name="Heading 2 2 3 2 3 7 7" xfId="38440"/>
    <cellStyle name="Heading 2 2 3 2 3 7 7 2" xfId="38441"/>
    <cellStyle name="Heading 2 2 3 2 3 7 7 2 2" xfId="38442"/>
    <cellStyle name="Heading 2 2 3 2 3 7 7 3" xfId="38443"/>
    <cellStyle name="Heading 2 2 3 2 3 7 8" xfId="38444"/>
    <cellStyle name="Heading 2 2 3 2 3 7 8 2" xfId="38445"/>
    <cellStyle name="Heading 2 2 3 2 3 7 9" xfId="38446"/>
    <cellStyle name="Heading 2 2 3 2 3 8" xfId="38447"/>
    <cellStyle name="Heading 2 2 3 2 3 8 2" xfId="38448"/>
    <cellStyle name="Heading 2 2 3 2 3 8 2 2" xfId="38449"/>
    <cellStyle name="Heading 2 2 3 2 3 8 2 2 2" xfId="38450"/>
    <cellStyle name="Heading 2 2 3 2 3 8 2 3" xfId="38451"/>
    <cellStyle name="Heading 2 2 3 2 3 8 3" xfId="38452"/>
    <cellStyle name="Heading 2 2 3 2 3 8 3 2" xfId="38453"/>
    <cellStyle name="Heading 2 2 3 2 3 8 3 2 2" xfId="38454"/>
    <cellStyle name="Heading 2 2 3 2 3 8 3 3" xfId="38455"/>
    <cellStyle name="Heading 2 2 3 2 3 8 4" xfId="38456"/>
    <cellStyle name="Heading 2 2 3 2 3 8 4 2" xfId="38457"/>
    <cellStyle name="Heading 2 2 3 2 3 8 4 2 2" xfId="38458"/>
    <cellStyle name="Heading 2 2 3 2 3 8 4 3" xfId="38459"/>
    <cellStyle name="Heading 2 2 3 2 3 8 5" xfId="38460"/>
    <cellStyle name="Heading 2 2 3 2 3 8 5 2" xfId="38461"/>
    <cellStyle name="Heading 2 2 3 2 3 8 5 2 2" xfId="38462"/>
    <cellStyle name="Heading 2 2 3 2 3 8 5 3" xfId="38463"/>
    <cellStyle name="Heading 2 2 3 2 3 8 6" xfId="38464"/>
    <cellStyle name="Heading 2 2 3 2 3 8 6 2" xfId="38465"/>
    <cellStyle name="Heading 2 2 3 2 3 8 6 2 2" xfId="38466"/>
    <cellStyle name="Heading 2 2 3 2 3 8 6 3" xfId="38467"/>
    <cellStyle name="Heading 2 2 3 2 3 8 7" xfId="38468"/>
    <cellStyle name="Heading 2 2 3 2 3 8 7 2" xfId="38469"/>
    <cellStyle name="Heading 2 2 3 2 3 8 7 2 2" xfId="38470"/>
    <cellStyle name="Heading 2 2 3 2 3 8 7 3" xfId="38471"/>
    <cellStyle name="Heading 2 2 3 2 3 8 8" xfId="38472"/>
    <cellStyle name="Heading 2 2 3 2 3 8 8 2" xfId="38473"/>
    <cellStyle name="Heading 2 2 3 2 3 8 9" xfId="38474"/>
    <cellStyle name="Heading 2 2 3 2 3 9" xfId="38475"/>
    <cellStyle name="Heading 2 2 3 2 3 9 2" xfId="38476"/>
    <cellStyle name="Heading 2 2 3 2 3 9 2 2" xfId="38477"/>
    <cellStyle name="Heading 2 2 3 2 3 9 3" xfId="38478"/>
    <cellStyle name="Heading 2 2 3 2 4" xfId="38479"/>
    <cellStyle name="Heading 2 2 3 2 4 2" xfId="38480"/>
    <cellStyle name="Heading 2 2 3 2 4 2 2" xfId="38481"/>
    <cellStyle name="Heading 2 2 3 2 4 3" xfId="38482"/>
    <cellStyle name="Heading 2 2 3 2 5" xfId="38483"/>
    <cellStyle name="Heading 2 2 3 2 5 2" xfId="38484"/>
    <cellStyle name="Heading 2 2 3 2 6" xfId="38485"/>
    <cellStyle name="Heading 2 2 3 20" xfId="38486"/>
    <cellStyle name="Heading 2 2 3 3" xfId="38487"/>
    <cellStyle name="Heading 2 2 3 3 2" xfId="38488"/>
    <cellStyle name="Heading 2 2 3 3 2 10" xfId="38489"/>
    <cellStyle name="Heading 2 2 3 3 2 10 2" xfId="38490"/>
    <cellStyle name="Heading 2 2 3 3 2 10 2 2" xfId="38491"/>
    <cellStyle name="Heading 2 2 3 3 2 10 3" xfId="38492"/>
    <cellStyle name="Heading 2 2 3 3 2 11" xfId="38493"/>
    <cellStyle name="Heading 2 2 3 3 2 11 2" xfId="38494"/>
    <cellStyle name="Heading 2 2 3 3 2 11 2 2" xfId="38495"/>
    <cellStyle name="Heading 2 2 3 3 2 11 3" xfId="38496"/>
    <cellStyle name="Heading 2 2 3 3 2 12" xfId="38497"/>
    <cellStyle name="Heading 2 2 3 3 2 12 2" xfId="38498"/>
    <cellStyle name="Heading 2 2 3 3 2 12 2 2" xfId="38499"/>
    <cellStyle name="Heading 2 2 3 3 2 12 3" xfId="38500"/>
    <cellStyle name="Heading 2 2 3 3 2 13" xfId="38501"/>
    <cellStyle name="Heading 2 2 3 3 2 13 2" xfId="38502"/>
    <cellStyle name="Heading 2 2 3 3 2 13 2 2" xfId="38503"/>
    <cellStyle name="Heading 2 2 3 3 2 13 3" xfId="38504"/>
    <cellStyle name="Heading 2 2 3 3 2 14" xfId="38505"/>
    <cellStyle name="Heading 2 2 3 3 2 14 2" xfId="38506"/>
    <cellStyle name="Heading 2 2 3 3 2 14 2 2" xfId="38507"/>
    <cellStyle name="Heading 2 2 3 3 2 14 3" xfId="38508"/>
    <cellStyle name="Heading 2 2 3 3 2 15" xfId="38509"/>
    <cellStyle name="Heading 2 2 3 3 2 15 2" xfId="38510"/>
    <cellStyle name="Heading 2 2 3 3 2 15 2 2" xfId="38511"/>
    <cellStyle name="Heading 2 2 3 3 2 15 3" xfId="38512"/>
    <cellStyle name="Heading 2 2 3 3 2 16" xfId="38513"/>
    <cellStyle name="Heading 2 2 3 3 2 16 2" xfId="38514"/>
    <cellStyle name="Heading 2 2 3 3 2 16 2 2" xfId="38515"/>
    <cellStyle name="Heading 2 2 3 3 2 16 3" xfId="38516"/>
    <cellStyle name="Heading 2 2 3 3 2 17" xfId="38517"/>
    <cellStyle name="Heading 2 2 3 3 2 17 2" xfId="38518"/>
    <cellStyle name="Heading 2 2 3 3 2 17 2 2" xfId="38519"/>
    <cellStyle name="Heading 2 2 3 3 2 17 3" xfId="38520"/>
    <cellStyle name="Heading 2 2 3 3 2 18" xfId="38521"/>
    <cellStyle name="Heading 2 2 3 3 2 18 2" xfId="38522"/>
    <cellStyle name="Heading 2 2 3 3 2 18 2 2" xfId="38523"/>
    <cellStyle name="Heading 2 2 3 3 2 18 3" xfId="38524"/>
    <cellStyle name="Heading 2 2 3 3 2 19" xfId="38525"/>
    <cellStyle name="Heading 2 2 3 3 2 19 2" xfId="38526"/>
    <cellStyle name="Heading 2 2 3 3 2 19 2 2" xfId="38527"/>
    <cellStyle name="Heading 2 2 3 3 2 19 3" xfId="38528"/>
    <cellStyle name="Heading 2 2 3 3 2 2" xfId="38529"/>
    <cellStyle name="Heading 2 2 3 3 2 2 10" xfId="38530"/>
    <cellStyle name="Heading 2 2 3 3 2 2 10 2" xfId="38531"/>
    <cellStyle name="Heading 2 2 3 3 2 2 10 2 2" xfId="38532"/>
    <cellStyle name="Heading 2 2 3 3 2 2 10 3" xfId="38533"/>
    <cellStyle name="Heading 2 2 3 3 2 2 11" xfId="38534"/>
    <cellStyle name="Heading 2 2 3 3 2 2 11 2" xfId="38535"/>
    <cellStyle name="Heading 2 2 3 3 2 2 11 2 2" xfId="38536"/>
    <cellStyle name="Heading 2 2 3 3 2 2 11 3" xfId="38537"/>
    <cellStyle name="Heading 2 2 3 3 2 2 12" xfId="38538"/>
    <cellStyle name="Heading 2 2 3 3 2 2 12 2" xfId="38539"/>
    <cellStyle name="Heading 2 2 3 3 2 2 12 2 2" xfId="38540"/>
    <cellStyle name="Heading 2 2 3 3 2 2 12 3" xfId="38541"/>
    <cellStyle name="Heading 2 2 3 3 2 2 13" xfId="38542"/>
    <cellStyle name="Heading 2 2 3 3 2 2 13 2" xfId="38543"/>
    <cellStyle name="Heading 2 2 3 3 2 2 13 2 2" xfId="38544"/>
    <cellStyle name="Heading 2 2 3 3 2 2 13 3" xfId="38545"/>
    <cellStyle name="Heading 2 2 3 3 2 2 14" xfId="38546"/>
    <cellStyle name="Heading 2 2 3 3 2 2 14 2" xfId="38547"/>
    <cellStyle name="Heading 2 2 3 3 2 2 14 2 2" xfId="38548"/>
    <cellStyle name="Heading 2 2 3 3 2 2 14 3" xfId="38549"/>
    <cellStyle name="Heading 2 2 3 3 2 2 15" xfId="38550"/>
    <cellStyle name="Heading 2 2 3 3 2 2 15 2" xfId="38551"/>
    <cellStyle name="Heading 2 2 3 3 2 2 15 2 2" xfId="38552"/>
    <cellStyle name="Heading 2 2 3 3 2 2 15 3" xfId="38553"/>
    <cellStyle name="Heading 2 2 3 3 2 2 16" xfId="38554"/>
    <cellStyle name="Heading 2 2 3 3 2 2 16 2" xfId="38555"/>
    <cellStyle name="Heading 2 2 3 3 2 2 16 2 2" xfId="38556"/>
    <cellStyle name="Heading 2 2 3 3 2 2 16 3" xfId="38557"/>
    <cellStyle name="Heading 2 2 3 3 2 2 17" xfId="38558"/>
    <cellStyle name="Heading 2 2 3 3 2 2 17 2" xfId="38559"/>
    <cellStyle name="Heading 2 2 3 3 2 2 17 2 2" xfId="38560"/>
    <cellStyle name="Heading 2 2 3 3 2 2 17 3" xfId="38561"/>
    <cellStyle name="Heading 2 2 3 3 2 2 18" xfId="38562"/>
    <cellStyle name="Heading 2 2 3 3 2 2 18 2" xfId="38563"/>
    <cellStyle name="Heading 2 2 3 3 2 2 18 2 2" xfId="38564"/>
    <cellStyle name="Heading 2 2 3 3 2 2 18 3" xfId="38565"/>
    <cellStyle name="Heading 2 2 3 3 2 2 19" xfId="38566"/>
    <cellStyle name="Heading 2 2 3 3 2 2 19 2" xfId="38567"/>
    <cellStyle name="Heading 2 2 3 3 2 2 2" xfId="38568"/>
    <cellStyle name="Heading 2 2 3 3 2 2 2 2" xfId="38569"/>
    <cellStyle name="Heading 2 2 3 3 2 2 2 2 2" xfId="38570"/>
    <cellStyle name="Heading 2 2 3 3 2 2 2 2 2 2" xfId="38571"/>
    <cellStyle name="Heading 2 2 3 3 2 2 2 2 3" xfId="38572"/>
    <cellStyle name="Heading 2 2 3 3 2 2 2 3" xfId="38573"/>
    <cellStyle name="Heading 2 2 3 3 2 2 2 3 2" xfId="38574"/>
    <cellStyle name="Heading 2 2 3 3 2 2 2 3 2 2" xfId="38575"/>
    <cellStyle name="Heading 2 2 3 3 2 2 2 3 3" xfId="38576"/>
    <cellStyle name="Heading 2 2 3 3 2 2 2 4" xfId="38577"/>
    <cellStyle name="Heading 2 2 3 3 2 2 2 4 2" xfId="38578"/>
    <cellStyle name="Heading 2 2 3 3 2 2 2 4 2 2" xfId="38579"/>
    <cellStyle name="Heading 2 2 3 3 2 2 2 4 3" xfId="38580"/>
    <cellStyle name="Heading 2 2 3 3 2 2 2 5" xfId="38581"/>
    <cellStyle name="Heading 2 2 3 3 2 2 2 5 2" xfId="38582"/>
    <cellStyle name="Heading 2 2 3 3 2 2 2 5 2 2" xfId="38583"/>
    <cellStyle name="Heading 2 2 3 3 2 2 2 5 3" xfId="38584"/>
    <cellStyle name="Heading 2 2 3 3 2 2 2 6" xfId="38585"/>
    <cellStyle name="Heading 2 2 3 3 2 2 2 6 2" xfId="38586"/>
    <cellStyle name="Heading 2 2 3 3 2 2 2 6 2 2" xfId="38587"/>
    <cellStyle name="Heading 2 2 3 3 2 2 2 6 3" xfId="38588"/>
    <cellStyle name="Heading 2 2 3 3 2 2 2 7" xfId="38589"/>
    <cellStyle name="Heading 2 2 3 3 2 2 2 7 2" xfId="38590"/>
    <cellStyle name="Heading 2 2 3 3 2 2 2 7 2 2" xfId="38591"/>
    <cellStyle name="Heading 2 2 3 3 2 2 2 7 3" xfId="38592"/>
    <cellStyle name="Heading 2 2 3 3 2 2 2 8" xfId="38593"/>
    <cellStyle name="Heading 2 2 3 3 2 2 2 8 2" xfId="38594"/>
    <cellStyle name="Heading 2 2 3 3 2 2 2 9" xfId="38595"/>
    <cellStyle name="Heading 2 2 3 3 2 2 20" xfId="38596"/>
    <cellStyle name="Heading 2 2 3 3 2 2 20 2" xfId="38597"/>
    <cellStyle name="Heading 2 2 3 3 2 2 21" xfId="38598"/>
    <cellStyle name="Heading 2 2 3 3 2 2 21 2" xfId="38599"/>
    <cellStyle name="Heading 2 2 3 3 2 2 22" xfId="38600"/>
    <cellStyle name="Heading 2 2 3 3 2 2 3" xfId="38601"/>
    <cellStyle name="Heading 2 2 3 3 2 2 3 2" xfId="38602"/>
    <cellStyle name="Heading 2 2 3 3 2 2 3 2 2" xfId="38603"/>
    <cellStyle name="Heading 2 2 3 3 2 2 3 2 2 2" xfId="38604"/>
    <cellStyle name="Heading 2 2 3 3 2 2 3 2 3" xfId="38605"/>
    <cellStyle name="Heading 2 2 3 3 2 2 3 3" xfId="38606"/>
    <cellStyle name="Heading 2 2 3 3 2 2 3 3 2" xfId="38607"/>
    <cellStyle name="Heading 2 2 3 3 2 2 3 3 2 2" xfId="38608"/>
    <cellStyle name="Heading 2 2 3 3 2 2 3 3 3" xfId="38609"/>
    <cellStyle name="Heading 2 2 3 3 2 2 3 4" xfId="38610"/>
    <cellStyle name="Heading 2 2 3 3 2 2 3 4 2" xfId="38611"/>
    <cellStyle name="Heading 2 2 3 3 2 2 3 4 2 2" xfId="38612"/>
    <cellStyle name="Heading 2 2 3 3 2 2 3 4 3" xfId="38613"/>
    <cellStyle name="Heading 2 2 3 3 2 2 3 5" xfId="38614"/>
    <cellStyle name="Heading 2 2 3 3 2 2 3 5 2" xfId="38615"/>
    <cellStyle name="Heading 2 2 3 3 2 2 3 5 2 2" xfId="38616"/>
    <cellStyle name="Heading 2 2 3 3 2 2 3 5 3" xfId="38617"/>
    <cellStyle name="Heading 2 2 3 3 2 2 3 6" xfId="38618"/>
    <cellStyle name="Heading 2 2 3 3 2 2 3 6 2" xfId="38619"/>
    <cellStyle name="Heading 2 2 3 3 2 2 3 6 2 2" xfId="38620"/>
    <cellStyle name="Heading 2 2 3 3 2 2 3 6 3" xfId="38621"/>
    <cellStyle name="Heading 2 2 3 3 2 2 3 7" xfId="38622"/>
    <cellStyle name="Heading 2 2 3 3 2 2 3 7 2" xfId="38623"/>
    <cellStyle name="Heading 2 2 3 3 2 2 3 7 2 2" xfId="38624"/>
    <cellStyle name="Heading 2 2 3 3 2 2 3 7 3" xfId="38625"/>
    <cellStyle name="Heading 2 2 3 3 2 2 3 8" xfId="38626"/>
    <cellStyle name="Heading 2 2 3 3 2 2 3 8 2" xfId="38627"/>
    <cellStyle name="Heading 2 2 3 3 2 2 3 9" xfId="38628"/>
    <cellStyle name="Heading 2 2 3 3 2 2 4" xfId="38629"/>
    <cellStyle name="Heading 2 2 3 3 2 2 4 2" xfId="38630"/>
    <cellStyle name="Heading 2 2 3 3 2 2 4 2 2" xfId="38631"/>
    <cellStyle name="Heading 2 2 3 3 2 2 4 2 2 2" xfId="38632"/>
    <cellStyle name="Heading 2 2 3 3 2 2 4 2 3" xfId="38633"/>
    <cellStyle name="Heading 2 2 3 3 2 2 4 3" xfId="38634"/>
    <cellStyle name="Heading 2 2 3 3 2 2 4 3 2" xfId="38635"/>
    <cellStyle name="Heading 2 2 3 3 2 2 4 3 2 2" xfId="38636"/>
    <cellStyle name="Heading 2 2 3 3 2 2 4 3 3" xfId="38637"/>
    <cellStyle name="Heading 2 2 3 3 2 2 4 4" xfId="38638"/>
    <cellStyle name="Heading 2 2 3 3 2 2 4 4 2" xfId="38639"/>
    <cellStyle name="Heading 2 2 3 3 2 2 4 4 2 2" xfId="38640"/>
    <cellStyle name="Heading 2 2 3 3 2 2 4 4 3" xfId="38641"/>
    <cellStyle name="Heading 2 2 3 3 2 2 4 5" xfId="38642"/>
    <cellStyle name="Heading 2 2 3 3 2 2 4 5 2" xfId="38643"/>
    <cellStyle name="Heading 2 2 3 3 2 2 4 5 2 2" xfId="38644"/>
    <cellStyle name="Heading 2 2 3 3 2 2 4 5 3" xfId="38645"/>
    <cellStyle name="Heading 2 2 3 3 2 2 4 6" xfId="38646"/>
    <cellStyle name="Heading 2 2 3 3 2 2 4 6 2" xfId="38647"/>
    <cellStyle name="Heading 2 2 3 3 2 2 4 6 2 2" xfId="38648"/>
    <cellStyle name="Heading 2 2 3 3 2 2 4 6 3" xfId="38649"/>
    <cellStyle name="Heading 2 2 3 3 2 2 4 7" xfId="38650"/>
    <cellStyle name="Heading 2 2 3 3 2 2 4 7 2" xfId="38651"/>
    <cellStyle name="Heading 2 2 3 3 2 2 4 7 2 2" xfId="38652"/>
    <cellStyle name="Heading 2 2 3 3 2 2 4 7 3" xfId="38653"/>
    <cellStyle name="Heading 2 2 3 3 2 2 4 8" xfId="38654"/>
    <cellStyle name="Heading 2 2 3 3 2 2 4 8 2" xfId="38655"/>
    <cellStyle name="Heading 2 2 3 3 2 2 4 9" xfId="38656"/>
    <cellStyle name="Heading 2 2 3 3 2 2 5" xfId="38657"/>
    <cellStyle name="Heading 2 2 3 3 2 2 5 2" xfId="38658"/>
    <cellStyle name="Heading 2 2 3 3 2 2 5 2 2" xfId="38659"/>
    <cellStyle name="Heading 2 2 3 3 2 2 5 2 2 2" xfId="38660"/>
    <cellStyle name="Heading 2 2 3 3 2 2 5 2 3" xfId="38661"/>
    <cellStyle name="Heading 2 2 3 3 2 2 5 3" xfId="38662"/>
    <cellStyle name="Heading 2 2 3 3 2 2 5 3 2" xfId="38663"/>
    <cellStyle name="Heading 2 2 3 3 2 2 5 3 2 2" xfId="38664"/>
    <cellStyle name="Heading 2 2 3 3 2 2 5 3 3" xfId="38665"/>
    <cellStyle name="Heading 2 2 3 3 2 2 5 4" xfId="38666"/>
    <cellStyle name="Heading 2 2 3 3 2 2 5 4 2" xfId="38667"/>
    <cellStyle name="Heading 2 2 3 3 2 2 5 4 2 2" xfId="38668"/>
    <cellStyle name="Heading 2 2 3 3 2 2 5 4 3" xfId="38669"/>
    <cellStyle name="Heading 2 2 3 3 2 2 5 5" xfId="38670"/>
    <cellStyle name="Heading 2 2 3 3 2 2 5 5 2" xfId="38671"/>
    <cellStyle name="Heading 2 2 3 3 2 2 5 5 2 2" xfId="38672"/>
    <cellStyle name="Heading 2 2 3 3 2 2 5 5 3" xfId="38673"/>
    <cellStyle name="Heading 2 2 3 3 2 2 5 6" xfId="38674"/>
    <cellStyle name="Heading 2 2 3 3 2 2 5 6 2" xfId="38675"/>
    <cellStyle name="Heading 2 2 3 3 2 2 5 6 2 2" xfId="38676"/>
    <cellStyle name="Heading 2 2 3 3 2 2 5 6 3" xfId="38677"/>
    <cellStyle name="Heading 2 2 3 3 2 2 5 7" xfId="38678"/>
    <cellStyle name="Heading 2 2 3 3 2 2 5 7 2" xfId="38679"/>
    <cellStyle name="Heading 2 2 3 3 2 2 5 7 2 2" xfId="38680"/>
    <cellStyle name="Heading 2 2 3 3 2 2 5 7 3" xfId="38681"/>
    <cellStyle name="Heading 2 2 3 3 2 2 5 8" xfId="38682"/>
    <cellStyle name="Heading 2 2 3 3 2 2 5 8 2" xfId="38683"/>
    <cellStyle name="Heading 2 2 3 3 2 2 5 9" xfId="38684"/>
    <cellStyle name="Heading 2 2 3 3 2 2 6" xfId="38685"/>
    <cellStyle name="Heading 2 2 3 3 2 2 6 2" xfId="38686"/>
    <cellStyle name="Heading 2 2 3 3 2 2 6 2 2" xfId="38687"/>
    <cellStyle name="Heading 2 2 3 3 2 2 6 2 2 2" xfId="38688"/>
    <cellStyle name="Heading 2 2 3 3 2 2 6 2 3" xfId="38689"/>
    <cellStyle name="Heading 2 2 3 3 2 2 6 3" xfId="38690"/>
    <cellStyle name="Heading 2 2 3 3 2 2 6 3 2" xfId="38691"/>
    <cellStyle name="Heading 2 2 3 3 2 2 6 3 2 2" xfId="38692"/>
    <cellStyle name="Heading 2 2 3 3 2 2 6 3 3" xfId="38693"/>
    <cellStyle name="Heading 2 2 3 3 2 2 6 4" xfId="38694"/>
    <cellStyle name="Heading 2 2 3 3 2 2 6 4 2" xfId="38695"/>
    <cellStyle name="Heading 2 2 3 3 2 2 6 4 2 2" xfId="38696"/>
    <cellStyle name="Heading 2 2 3 3 2 2 6 4 3" xfId="38697"/>
    <cellStyle name="Heading 2 2 3 3 2 2 6 5" xfId="38698"/>
    <cellStyle name="Heading 2 2 3 3 2 2 6 5 2" xfId="38699"/>
    <cellStyle name="Heading 2 2 3 3 2 2 6 5 2 2" xfId="38700"/>
    <cellStyle name="Heading 2 2 3 3 2 2 6 5 3" xfId="38701"/>
    <cellStyle name="Heading 2 2 3 3 2 2 6 6" xfId="38702"/>
    <cellStyle name="Heading 2 2 3 3 2 2 6 6 2" xfId="38703"/>
    <cellStyle name="Heading 2 2 3 3 2 2 6 6 2 2" xfId="38704"/>
    <cellStyle name="Heading 2 2 3 3 2 2 6 6 3" xfId="38705"/>
    <cellStyle name="Heading 2 2 3 3 2 2 6 7" xfId="38706"/>
    <cellStyle name="Heading 2 2 3 3 2 2 6 7 2" xfId="38707"/>
    <cellStyle name="Heading 2 2 3 3 2 2 6 7 2 2" xfId="38708"/>
    <cellStyle name="Heading 2 2 3 3 2 2 6 7 3" xfId="38709"/>
    <cellStyle name="Heading 2 2 3 3 2 2 6 8" xfId="38710"/>
    <cellStyle name="Heading 2 2 3 3 2 2 6 8 2" xfId="38711"/>
    <cellStyle name="Heading 2 2 3 3 2 2 6 9" xfId="38712"/>
    <cellStyle name="Heading 2 2 3 3 2 2 7" xfId="38713"/>
    <cellStyle name="Heading 2 2 3 3 2 2 7 2" xfId="38714"/>
    <cellStyle name="Heading 2 2 3 3 2 2 7 2 2" xfId="38715"/>
    <cellStyle name="Heading 2 2 3 3 2 2 7 2 2 2" xfId="38716"/>
    <cellStyle name="Heading 2 2 3 3 2 2 7 2 3" xfId="38717"/>
    <cellStyle name="Heading 2 2 3 3 2 2 7 3" xfId="38718"/>
    <cellStyle name="Heading 2 2 3 3 2 2 7 3 2" xfId="38719"/>
    <cellStyle name="Heading 2 2 3 3 2 2 7 3 2 2" xfId="38720"/>
    <cellStyle name="Heading 2 2 3 3 2 2 7 3 3" xfId="38721"/>
    <cellStyle name="Heading 2 2 3 3 2 2 7 4" xfId="38722"/>
    <cellStyle name="Heading 2 2 3 3 2 2 7 4 2" xfId="38723"/>
    <cellStyle name="Heading 2 2 3 3 2 2 7 4 2 2" xfId="38724"/>
    <cellStyle name="Heading 2 2 3 3 2 2 7 4 3" xfId="38725"/>
    <cellStyle name="Heading 2 2 3 3 2 2 7 5" xfId="38726"/>
    <cellStyle name="Heading 2 2 3 3 2 2 7 5 2" xfId="38727"/>
    <cellStyle name="Heading 2 2 3 3 2 2 7 5 2 2" xfId="38728"/>
    <cellStyle name="Heading 2 2 3 3 2 2 7 5 3" xfId="38729"/>
    <cellStyle name="Heading 2 2 3 3 2 2 7 6" xfId="38730"/>
    <cellStyle name="Heading 2 2 3 3 2 2 7 6 2" xfId="38731"/>
    <cellStyle name="Heading 2 2 3 3 2 2 7 6 2 2" xfId="38732"/>
    <cellStyle name="Heading 2 2 3 3 2 2 7 6 3" xfId="38733"/>
    <cellStyle name="Heading 2 2 3 3 2 2 7 7" xfId="38734"/>
    <cellStyle name="Heading 2 2 3 3 2 2 7 7 2" xfId="38735"/>
    <cellStyle name="Heading 2 2 3 3 2 2 7 7 2 2" xfId="38736"/>
    <cellStyle name="Heading 2 2 3 3 2 2 7 7 3" xfId="38737"/>
    <cellStyle name="Heading 2 2 3 3 2 2 7 8" xfId="38738"/>
    <cellStyle name="Heading 2 2 3 3 2 2 7 8 2" xfId="38739"/>
    <cellStyle name="Heading 2 2 3 3 2 2 7 9" xfId="38740"/>
    <cellStyle name="Heading 2 2 3 3 2 2 8" xfId="38741"/>
    <cellStyle name="Heading 2 2 3 3 2 2 8 2" xfId="38742"/>
    <cellStyle name="Heading 2 2 3 3 2 2 8 2 2" xfId="38743"/>
    <cellStyle name="Heading 2 2 3 3 2 2 8 2 2 2" xfId="38744"/>
    <cellStyle name="Heading 2 2 3 3 2 2 8 2 3" xfId="38745"/>
    <cellStyle name="Heading 2 2 3 3 2 2 8 3" xfId="38746"/>
    <cellStyle name="Heading 2 2 3 3 2 2 8 3 2" xfId="38747"/>
    <cellStyle name="Heading 2 2 3 3 2 2 8 3 2 2" xfId="38748"/>
    <cellStyle name="Heading 2 2 3 3 2 2 8 3 3" xfId="38749"/>
    <cellStyle name="Heading 2 2 3 3 2 2 8 4" xfId="38750"/>
    <cellStyle name="Heading 2 2 3 3 2 2 8 4 2" xfId="38751"/>
    <cellStyle name="Heading 2 2 3 3 2 2 8 4 2 2" xfId="38752"/>
    <cellStyle name="Heading 2 2 3 3 2 2 8 4 3" xfId="38753"/>
    <cellStyle name="Heading 2 2 3 3 2 2 8 5" xfId="38754"/>
    <cellStyle name="Heading 2 2 3 3 2 2 8 5 2" xfId="38755"/>
    <cellStyle name="Heading 2 2 3 3 2 2 8 5 2 2" xfId="38756"/>
    <cellStyle name="Heading 2 2 3 3 2 2 8 5 3" xfId="38757"/>
    <cellStyle name="Heading 2 2 3 3 2 2 8 6" xfId="38758"/>
    <cellStyle name="Heading 2 2 3 3 2 2 8 6 2" xfId="38759"/>
    <cellStyle name="Heading 2 2 3 3 2 2 8 6 2 2" xfId="38760"/>
    <cellStyle name="Heading 2 2 3 3 2 2 8 6 3" xfId="38761"/>
    <cellStyle name="Heading 2 2 3 3 2 2 8 7" xfId="38762"/>
    <cellStyle name="Heading 2 2 3 3 2 2 8 7 2" xfId="38763"/>
    <cellStyle name="Heading 2 2 3 3 2 2 8 7 2 2" xfId="38764"/>
    <cellStyle name="Heading 2 2 3 3 2 2 8 7 3" xfId="38765"/>
    <cellStyle name="Heading 2 2 3 3 2 2 8 8" xfId="38766"/>
    <cellStyle name="Heading 2 2 3 3 2 2 8 8 2" xfId="38767"/>
    <cellStyle name="Heading 2 2 3 3 2 2 8 9" xfId="38768"/>
    <cellStyle name="Heading 2 2 3 3 2 2 9" xfId="38769"/>
    <cellStyle name="Heading 2 2 3 3 2 2 9 2" xfId="38770"/>
    <cellStyle name="Heading 2 2 3 3 2 2 9 2 2" xfId="38771"/>
    <cellStyle name="Heading 2 2 3 3 2 2 9 3" xfId="38772"/>
    <cellStyle name="Heading 2 2 3 3 2 20" xfId="38773"/>
    <cellStyle name="Heading 2 2 3 3 2 20 2" xfId="38774"/>
    <cellStyle name="Heading 2 2 3 3 2 21" xfId="38775"/>
    <cellStyle name="Heading 2 2 3 3 2 21 2" xfId="38776"/>
    <cellStyle name="Heading 2 2 3 3 2 22" xfId="38777"/>
    <cellStyle name="Heading 2 2 3 3 2 22 2" xfId="38778"/>
    <cellStyle name="Heading 2 2 3 3 2 23" xfId="38779"/>
    <cellStyle name="Heading 2 2 3 3 2 3" xfId="38780"/>
    <cellStyle name="Heading 2 2 3 3 2 3 2" xfId="38781"/>
    <cellStyle name="Heading 2 2 3 3 2 3 2 2" xfId="38782"/>
    <cellStyle name="Heading 2 2 3 3 2 3 2 2 2" xfId="38783"/>
    <cellStyle name="Heading 2 2 3 3 2 3 2 3" xfId="38784"/>
    <cellStyle name="Heading 2 2 3 3 2 3 3" xfId="38785"/>
    <cellStyle name="Heading 2 2 3 3 2 3 3 2" xfId="38786"/>
    <cellStyle name="Heading 2 2 3 3 2 3 3 2 2" xfId="38787"/>
    <cellStyle name="Heading 2 2 3 3 2 3 3 3" xfId="38788"/>
    <cellStyle name="Heading 2 2 3 3 2 3 4" xfId="38789"/>
    <cellStyle name="Heading 2 2 3 3 2 3 4 2" xfId="38790"/>
    <cellStyle name="Heading 2 2 3 3 2 3 4 2 2" xfId="38791"/>
    <cellStyle name="Heading 2 2 3 3 2 3 4 3" xfId="38792"/>
    <cellStyle name="Heading 2 2 3 3 2 3 5" xfId="38793"/>
    <cellStyle name="Heading 2 2 3 3 2 3 5 2" xfId="38794"/>
    <cellStyle name="Heading 2 2 3 3 2 3 5 2 2" xfId="38795"/>
    <cellStyle name="Heading 2 2 3 3 2 3 5 3" xfId="38796"/>
    <cellStyle name="Heading 2 2 3 3 2 3 6" xfId="38797"/>
    <cellStyle name="Heading 2 2 3 3 2 3 6 2" xfId="38798"/>
    <cellStyle name="Heading 2 2 3 3 2 3 6 2 2" xfId="38799"/>
    <cellStyle name="Heading 2 2 3 3 2 3 6 3" xfId="38800"/>
    <cellStyle name="Heading 2 2 3 3 2 3 7" xfId="38801"/>
    <cellStyle name="Heading 2 2 3 3 2 3 7 2" xfId="38802"/>
    <cellStyle name="Heading 2 2 3 3 2 3 7 2 2" xfId="38803"/>
    <cellStyle name="Heading 2 2 3 3 2 3 7 3" xfId="38804"/>
    <cellStyle name="Heading 2 2 3 3 2 3 8" xfId="38805"/>
    <cellStyle name="Heading 2 2 3 3 2 3 8 2" xfId="38806"/>
    <cellStyle name="Heading 2 2 3 3 2 3 9" xfId="38807"/>
    <cellStyle name="Heading 2 2 3 3 2 4" xfId="38808"/>
    <cellStyle name="Heading 2 2 3 3 2 4 2" xfId="38809"/>
    <cellStyle name="Heading 2 2 3 3 2 4 2 2" xfId="38810"/>
    <cellStyle name="Heading 2 2 3 3 2 4 2 2 2" xfId="38811"/>
    <cellStyle name="Heading 2 2 3 3 2 4 2 3" xfId="38812"/>
    <cellStyle name="Heading 2 2 3 3 2 4 3" xfId="38813"/>
    <cellStyle name="Heading 2 2 3 3 2 4 3 2" xfId="38814"/>
    <cellStyle name="Heading 2 2 3 3 2 4 3 2 2" xfId="38815"/>
    <cellStyle name="Heading 2 2 3 3 2 4 3 3" xfId="38816"/>
    <cellStyle name="Heading 2 2 3 3 2 4 4" xfId="38817"/>
    <cellStyle name="Heading 2 2 3 3 2 4 4 2" xfId="38818"/>
    <cellStyle name="Heading 2 2 3 3 2 4 4 2 2" xfId="38819"/>
    <cellStyle name="Heading 2 2 3 3 2 4 4 3" xfId="38820"/>
    <cellStyle name="Heading 2 2 3 3 2 4 5" xfId="38821"/>
    <cellStyle name="Heading 2 2 3 3 2 4 5 2" xfId="38822"/>
    <cellStyle name="Heading 2 2 3 3 2 4 5 2 2" xfId="38823"/>
    <cellStyle name="Heading 2 2 3 3 2 4 5 3" xfId="38824"/>
    <cellStyle name="Heading 2 2 3 3 2 4 6" xfId="38825"/>
    <cellStyle name="Heading 2 2 3 3 2 4 6 2" xfId="38826"/>
    <cellStyle name="Heading 2 2 3 3 2 4 6 2 2" xfId="38827"/>
    <cellStyle name="Heading 2 2 3 3 2 4 6 3" xfId="38828"/>
    <cellStyle name="Heading 2 2 3 3 2 4 7" xfId="38829"/>
    <cellStyle name="Heading 2 2 3 3 2 4 7 2" xfId="38830"/>
    <cellStyle name="Heading 2 2 3 3 2 4 7 2 2" xfId="38831"/>
    <cellStyle name="Heading 2 2 3 3 2 4 7 3" xfId="38832"/>
    <cellStyle name="Heading 2 2 3 3 2 4 8" xfId="38833"/>
    <cellStyle name="Heading 2 2 3 3 2 4 8 2" xfId="38834"/>
    <cellStyle name="Heading 2 2 3 3 2 4 9" xfId="38835"/>
    <cellStyle name="Heading 2 2 3 3 2 5" xfId="38836"/>
    <cellStyle name="Heading 2 2 3 3 2 5 2" xfId="38837"/>
    <cellStyle name="Heading 2 2 3 3 2 5 2 2" xfId="38838"/>
    <cellStyle name="Heading 2 2 3 3 2 5 2 2 2" xfId="38839"/>
    <cellStyle name="Heading 2 2 3 3 2 5 2 3" xfId="38840"/>
    <cellStyle name="Heading 2 2 3 3 2 5 3" xfId="38841"/>
    <cellStyle name="Heading 2 2 3 3 2 5 3 2" xfId="38842"/>
    <cellStyle name="Heading 2 2 3 3 2 5 3 2 2" xfId="38843"/>
    <cellStyle name="Heading 2 2 3 3 2 5 3 3" xfId="38844"/>
    <cellStyle name="Heading 2 2 3 3 2 5 4" xfId="38845"/>
    <cellStyle name="Heading 2 2 3 3 2 5 4 2" xfId="38846"/>
    <cellStyle name="Heading 2 2 3 3 2 5 4 2 2" xfId="38847"/>
    <cellStyle name="Heading 2 2 3 3 2 5 4 3" xfId="38848"/>
    <cellStyle name="Heading 2 2 3 3 2 5 5" xfId="38849"/>
    <cellStyle name="Heading 2 2 3 3 2 5 5 2" xfId="38850"/>
    <cellStyle name="Heading 2 2 3 3 2 5 5 2 2" xfId="38851"/>
    <cellStyle name="Heading 2 2 3 3 2 5 5 3" xfId="38852"/>
    <cellStyle name="Heading 2 2 3 3 2 5 6" xfId="38853"/>
    <cellStyle name="Heading 2 2 3 3 2 5 6 2" xfId="38854"/>
    <cellStyle name="Heading 2 2 3 3 2 5 6 2 2" xfId="38855"/>
    <cellStyle name="Heading 2 2 3 3 2 5 6 3" xfId="38856"/>
    <cellStyle name="Heading 2 2 3 3 2 5 7" xfId="38857"/>
    <cellStyle name="Heading 2 2 3 3 2 5 7 2" xfId="38858"/>
    <cellStyle name="Heading 2 2 3 3 2 5 7 2 2" xfId="38859"/>
    <cellStyle name="Heading 2 2 3 3 2 5 7 3" xfId="38860"/>
    <cellStyle name="Heading 2 2 3 3 2 5 8" xfId="38861"/>
    <cellStyle name="Heading 2 2 3 3 2 5 8 2" xfId="38862"/>
    <cellStyle name="Heading 2 2 3 3 2 5 9" xfId="38863"/>
    <cellStyle name="Heading 2 2 3 3 2 6" xfId="38864"/>
    <cellStyle name="Heading 2 2 3 3 2 6 2" xfId="38865"/>
    <cellStyle name="Heading 2 2 3 3 2 6 2 2" xfId="38866"/>
    <cellStyle name="Heading 2 2 3 3 2 6 2 2 2" xfId="38867"/>
    <cellStyle name="Heading 2 2 3 3 2 6 2 3" xfId="38868"/>
    <cellStyle name="Heading 2 2 3 3 2 6 3" xfId="38869"/>
    <cellStyle name="Heading 2 2 3 3 2 6 3 2" xfId="38870"/>
    <cellStyle name="Heading 2 2 3 3 2 6 3 2 2" xfId="38871"/>
    <cellStyle name="Heading 2 2 3 3 2 6 3 3" xfId="38872"/>
    <cellStyle name="Heading 2 2 3 3 2 6 4" xfId="38873"/>
    <cellStyle name="Heading 2 2 3 3 2 6 4 2" xfId="38874"/>
    <cellStyle name="Heading 2 2 3 3 2 6 4 2 2" xfId="38875"/>
    <cellStyle name="Heading 2 2 3 3 2 6 4 3" xfId="38876"/>
    <cellStyle name="Heading 2 2 3 3 2 6 5" xfId="38877"/>
    <cellStyle name="Heading 2 2 3 3 2 6 5 2" xfId="38878"/>
    <cellStyle name="Heading 2 2 3 3 2 6 5 2 2" xfId="38879"/>
    <cellStyle name="Heading 2 2 3 3 2 6 5 3" xfId="38880"/>
    <cellStyle name="Heading 2 2 3 3 2 6 6" xfId="38881"/>
    <cellStyle name="Heading 2 2 3 3 2 6 6 2" xfId="38882"/>
    <cellStyle name="Heading 2 2 3 3 2 6 6 2 2" xfId="38883"/>
    <cellStyle name="Heading 2 2 3 3 2 6 6 3" xfId="38884"/>
    <cellStyle name="Heading 2 2 3 3 2 6 7" xfId="38885"/>
    <cellStyle name="Heading 2 2 3 3 2 6 7 2" xfId="38886"/>
    <cellStyle name="Heading 2 2 3 3 2 6 7 2 2" xfId="38887"/>
    <cellStyle name="Heading 2 2 3 3 2 6 7 3" xfId="38888"/>
    <cellStyle name="Heading 2 2 3 3 2 6 8" xfId="38889"/>
    <cellStyle name="Heading 2 2 3 3 2 6 8 2" xfId="38890"/>
    <cellStyle name="Heading 2 2 3 3 2 6 9" xfId="38891"/>
    <cellStyle name="Heading 2 2 3 3 2 7" xfId="38892"/>
    <cellStyle name="Heading 2 2 3 3 2 7 2" xfId="38893"/>
    <cellStyle name="Heading 2 2 3 3 2 7 2 2" xfId="38894"/>
    <cellStyle name="Heading 2 2 3 3 2 7 2 2 2" xfId="38895"/>
    <cellStyle name="Heading 2 2 3 3 2 7 2 3" xfId="38896"/>
    <cellStyle name="Heading 2 2 3 3 2 7 3" xfId="38897"/>
    <cellStyle name="Heading 2 2 3 3 2 7 3 2" xfId="38898"/>
    <cellStyle name="Heading 2 2 3 3 2 7 3 2 2" xfId="38899"/>
    <cellStyle name="Heading 2 2 3 3 2 7 3 3" xfId="38900"/>
    <cellStyle name="Heading 2 2 3 3 2 7 4" xfId="38901"/>
    <cellStyle name="Heading 2 2 3 3 2 7 4 2" xfId="38902"/>
    <cellStyle name="Heading 2 2 3 3 2 7 4 2 2" xfId="38903"/>
    <cellStyle name="Heading 2 2 3 3 2 7 4 3" xfId="38904"/>
    <cellStyle name="Heading 2 2 3 3 2 7 5" xfId="38905"/>
    <cellStyle name="Heading 2 2 3 3 2 7 5 2" xfId="38906"/>
    <cellStyle name="Heading 2 2 3 3 2 7 5 2 2" xfId="38907"/>
    <cellStyle name="Heading 2 2 3 3 2 7 5 3" xfId="38908"/>
    <cellStyle name="Heading 2 2 3 3 2 7 6" xfId="38909"/>
    <cellStyle name="Heading 2 2 3 3 2 7 6 2" xfId="38910"/>
    <cellStyle name="Heading 2 2 3 3 2 7 6 2 2" xfId="38911"/>
    <cellStyle name="Heading 2 2 3 3 2 7 6 3" xfId="38912"/>
    <cellStyle name="Heading 2 2 3 3 2 7 7" xfId="38913"/>
    <cellStyle name="Heading 2 2 3 3 2 7 7 2" xfId="38914"/>
    <cellStyle name="Heading 2 2 3 3 2 7 7 2 2" xfId="38915"/>
    <cellStyle name="Heading 2 2 3 3 2 7 7 3" xfId="38916"/>
    <cellStyle name="Heading 2 2 3 3 2 7 8" xfId="38917"/>
    <cellStyle name="Heading 2 2 3 3 2 7 8 2" xfId="38918"/>
    <cellStyle name="Heading 2 2 3 3 2 7 9" xfId="38919"/>
    <cellStyle name="Heading 2 2 3 3 2 8" xfId="38920"/>
    <cellStyle name="Heading 2 2 3 3 2 8 2" xfId="38921"/>
    <cellStyle name="Heading 2 2 3 3 2 8 2 2" xfId="38922"/>
    <cellStyle name="Heading 2 2 3 3 2 8 2 2 2" xfId="38923"/>
    <cellStyle name="Heading 2 2 3 3 2 8 2 3" xfId="38924"/>
    <cellStyle name="Heading 2 2 3 3 2 8 3" xfId="38925"/>
    <cellStyle name="Heading 2 2 3 3 2 8 3 2" xfId="38926"/>
    <cellStyle name="Heading 2 2 3 3 2 8 3 2 2" xfId="38927"/>
    <cellStyle name="Heading 2 2 3 3 2 8 3 3" xfId="38928"/>
    <cellStyle name="Heading 2 2 3 3 2 8 4" xfId="38929"/>
    <cellStyle name="Heading 2 2 3 3 2 8 4 2" xfId="38930"/>
    <cellStyle name="Heading 2 2 3 3 2 8 4 2 2" xfId="38931"/>
    <cellStyle name="Heading 2 2 3 3 2 8 4 3" xfId="38932"/>
    <cellStyle name="Heading 2 2 3 3 2 8 5" xfId="38933"/>
    <cellStyle name="Heading 2 2 3 3 2 8 5 2" xfId="38934"/>
    <cellStyle name="Heading 2 2 3 3 2 8 5 2 2" xfId="38935"/>
    <cellStyle name="Heading 2 2 3 3 2 8 5 3" xfId="38936"/>
    <cellStyle name="Heading 2 2 3 3 2 8 6" xfId="38937"/>
    <cellStyle name="Heading 2 2 3 3 2 8 6 2" xfId="38938"/>
    <cellStyle name="Heading 2 2 3 3 2 8 6 2 2" xfId="38939"/>
    <cellStyle name="Heading 2 2 3 3 2 8 6 3" xfId="38940"/>
    <cellStyle name="Heading 2 2 3 3 2 8 7" xfId="38941"/>
    <cellStyle name="Heading 2 2 3 3 2 8 7 2" xfId="38942"/>
    <cellStyle name="Heading 2 2 3 3 2 8 7 2 2" xfId="38943"/>
    <cellStyle name="Heading 2 2 3 3 2 8 7 3" xfId="38944"/>
    <cellStyle name="Heading 2 2 3 3 2 8 8" xfId="38945"/>
    <cellStyle name="Heading 2 2 3 3 2 8 8 2" xfId="38946"/>
    <cellStyle name="Heading 2 2 3 3 2 8 9" xfId="38947"/>
    <cellStyle name="Heading 2 2 3 3 2 9" xfId="38948"/>
    <cellStyle name="Heading 2 2 3 3 2 9 2" xfId="38949"/>
    <cellStyle name="Heading 2 2 3 3 2 9 2 2" xfId="38950"/>
    <cellStyle name="Heading 2 2 3 3 2 9 2 2 2" xfId="38951"/>
    <cellStyle name="Heading 2 2 3 3 2 9 2 3" xfId="38952"/>
    <cellStyle name="Heading 2 2 3 3 2 9 3" xfId="38953"/>
    <cellStyle name="Heading 2 2 3 3 2 9 3 2" xfId="38954"/>
    <cellStyle name="Heading 2 2 3 3 2 9 3 2 2" xfId="38955"/>
    <cellStyle name="Heading 2 2 3 3 2 9 3 3" xfId="38956"/>
    <cellStyle name="Heading 2 2 3 3 2 9 4" xfId="38957"/>
    <cellStyle name="Heading 2 2 3 3 2 9 4 2" xfId="38958"/>
    <cellStyle name="Heading 2 2 3 3 2 9 4 2 2" xfId="38959"/>
    <cellStyle name="Heading 2 2 3 3 2 9 4 3" xfId="38960"/>
    <cellStyle name="Heading 2 2 3 3 2 9 5" xfId="38961"/>
    <cellStyle name="Heading 2 2 3 3 2 9 5 2" xfId="38962"/>
    <cellStyle name="Heading 2 2 3 3 2 9 5 2 2" xfId="38963"/>
    <cellStyle name="Heading 2 2 3 3 2 9 5 3" xfId="38964"/>
    <cellStyle name="Heading 2 2 3 3 2 9 6" xfId="38965"/>
    <cellStyle name="Heading 2 2 3 3 2 9 6 2" xfId="38966"/>
    <cellStyle name="Heading 2 2 3 3 2 9 6 2 2" xfId="38967"/>
    <cellStyle name="Heading 2 2 3 3 2 9 6 3" xfId="38968"/>
    <cellStyle name="Heading 2 2 3 3 2 9 7" xfId="38969"/>
    <cellStyle name="Heading 2 2 3 3 2 9 7 2" xfId="38970"/>
    <cellStyle name="Heading 2 2 3 3 2 9 7 2 2" xfId="38971"/>
    <cellStyle name="Heading 2 2 3 3 2 9 7 3" xfId="38972"/>
    <cellStyle name="Heading 2 2 3 3 2 9 8" xfId="38973"/>
    <cellStyle name="Heading 2 2 3 3 2 9 8 2" xfId="38974"/>
    <cellStyle name="Heading 2 2 3 3 2 9 9" xfId="38975"/>
    <cellStyle name="Heading 2 2 3 3 3" xfId="38976"/>
    <cellStyle name="Heading 2 2 3 3 3 10" xfId="38977"/>
    <cellStyle name="Heading 2 2 3 3 3 10 2" xfId="38978"/>
    <cellStyle name="Heading 2 2 3 3 3 10 2 2" xfId="38979"/>
    <cellStyle name="Heading 2 2 3 3 3 10 3" xfId="38980"/>
    <cellStyle name="Heading 2 2 3 3 3 11" xfId="38981"/>
    <cellStyle name="Heading 2 2 3 3 3 11 2" xfId="38982"/>
    <cellStyle name="Heading 2 2 3 3 3 11 2 2" xfId="38983"/>
    <cellStyle name="Heading 2 2 3 3 3 11 3" xfId="38984"/>
    <cellStyle name="Heading 2 2 3 3 3 12" xfId="38985"/>
    <cellStyle name="Heading 2 2 3 3 3 12 2" xfId="38986"/>
    <cellStyle name="Heading 2 2 3 3 3 12 2 2" xfId="38987"/>
    <cellStyle name="Heading 2 2 3 3 3 12 3" xfId="38988"/>
    <cellStyle name="Heading 2 2 3 3 3 13" xfId="38989"/>
    <cellStyle name="Heading 2 2 3 3 3 13 2" xfId="38990"/>
    <cellStyle name="Heading 2 2 3 3 3 13 2 2" xfId="38991"/>
    <cellStyle name="Heading 2 2 3 3 3 13 3" xfId="38992"/>
    <cellStyle name="Heading 2 2 3 3 3 14" xfId="38993"/>
    <cellStyle name="Heading 2 2 3 3 3 14 2" xfId="38994"/>
    <cellStyle name="Heading 2 2 3 3 3 14 2 2" xfId="38995"/>
    <cellStyle name="Heading 2 2 3 3 3 14 3" xfId="38996"/>
    <cellStyle name="Heading 2 2 3 3 3 15" xfId="38997"/>
    <cellStyle name="Heading 2 2 3 3 3 15 2" xfId="38998"/>
    <cellStyle name="Heading 2 2 3 3 3 15 2 2" xfId="38999"/>
    <cellStyle name="Heading 2 2 3 3 3 15 3" xfId="39000"/>
    <cellStyle name="Heading 2 2 3 3 3 16" xfId="39001"/>
    <cellStyle name="Heading 2 2 3 3 3 16 2" xfId="39002"/>
    <cellStyle name="Heading 2 2 3 3 3 16 2 2" xfId="39003"/>
    <cellStyle name="Heading 2 2 3 3 3 16 3" xfId="39004"/>
    <cellStyle name="Heading 2 2 3 3 3 17" xfId="39005"/>
    <cellStyle name="Heading 2 2 3 3 3 17 2" xfId="39006"/>
    <cellStyle name="Heading 2 2 3 3 3 17 2 2" xfId="39007"/>
    <cellStyle name="Heading 2 2 3 3 3 17 3" xfId="39008"/>
    <cellStyle name="Heading 2 2 3 3 3 18" xfId="39009"/>
    <cellStyle name="Heading 2 2 3 3 3 18 2" xfId="39010"/>
    <cellStyle name="Heading 2 2 3 3 3 18 2 2" xfId="39011"/>
    <cellStyle name="Heading 2 2 3 3 3 18 3" xfId="39012"/>
    <cellStyle name="Heading 2 2 3 3 3 19" xfId="39013"/>
    <cellStyle name="Heading 2 2 3 3 3 19 2" xfId="39014"/>
    <cellStyle name="Heading 2 2 3 3 3 2" xfId="39015"/>
    <cellStyle name="Heading 2 2 3 3 3 2 2" xfId="39016"/>
    <cellStyle name="Heading 2 2 3 3 3 2 2 2" xfId="39017"/>
    <cellStyle name="Heading 2 2 3 3 3 2 2 2 2" xfId="39018"/>
    <cellStyle name="Heading 2 2 3 3 3 2 2 3" xfId="39019"/>
    <cellStyle name="Heading 2 2 3 3 3 2 3" xfId="39020"/>
    <cellStyle name="Heading 2 2 3 3 3 2 3 2" xfId="39021"/>
    <cellStyle name="Heading 2 2 3 3 3 2 3 2 2" xfId="39022"/>
    <cellStyle name="Heading 2 2 3 3 3 2 3 3" xfId="39023"/>
    <cellStyle name="Heading 2 2 3 3 3 2 4" xfId="39024"/>
    <cellStyle name="Heading 2 2 3 3 3 2 4 2" xfId="39025"/>
    <cellStyle name="Heading 2 2 3 3 3 2 4 2 2" xfId="39026"/>
    <cellStyle name="Heading 2 2 3 3 3 2 4 3" xfId="39027"/>
    <cellStyle name="Heading 2 2 3 3 3 2 5" xfId="39028"/>
    <cellStyle name="Heading 2 2 3 3 3 2 5 2" xfId="39029"/>
    <cellStyle name="Heading 2 2 3 3 3 2 5 2 2" xfId="39030"/>
    <cellStyle name="Heading 2 2 3 3 3 2 5 3" xfId="39031"/>
    <cellStyle name="Heading 2 2 3 3 3 2 6" xfId="39032"/>
    <cellStyle name="Heading 2 2 3 3 3 2 6 2" xfId="39033"/>
    <cellStyle name="Heading 2 2 3 3 3 2 6 2 2" xfId="39034"/>
    <cellStyle name="Heading 2 2 3 3 3 2 6 3" xfId="39035"/>
    <cellStyle name="Heading 2 2 3 3 3 2 7" xfId="39036"/>
    <cellStyle name="Heading 2 2 3 3 3 2 7 2" xfId="39037"/>
    <cellStyle name="Heading 2 2 3 3 3 2 7 2 2" xfId="39038"/>
    <cellStyle name="Heading 2 2 3 3 3 2 7 3" xfId="39039"/>
    <cellStyle name="Heading 2 2 3 3 3 2 8" xfId="39040"/>
    <cellStyle name="Heading 2 2 3 3 3 2 8 2" xfId="39041"/>
    <cellStyle name="Heading 2 2 3 3 3 2 9" xfId="39042"/>
    <cellStyle name="Heading 2 2 3 3 3 20" xfId="39043"/>
    <cellStyle name="Heading 2 2 3 3 3 20 2" xfId="39044"/>
    <cellStyle name="Heading 2 2 3 3 3 21" xfId="39045"/>
    <cellStyle name="Heading 2 2 3 3 3 21 2" xfId="39046"/>
    <cellStyle name="Heading 2 2 3 3 3 22" xfId="39047"/>
    <cellStyle name="Heading 2 2 3 3 3 3" xfId="39048"/>
    <cellStyle name="Heading 2 2 3 3 3 3 2" xfId="39049"/>
    <cellStyle name="Heading 2 2 3 3 3 3 2 2" xfId="39050"/>
    <cellStyle name="Heading 2 2 3 3 3 3 2 2 2" xfId="39051"/>
    <cellStyle name="Heading 2 2 3 3 3 3 2 3" xfId="39052"/>
    <cellStyle name="Heading 2 2 3 3 3 3 3" xfId="39053"/>
    <cellStyle name="Heading 2 2 3 3 3 3 3 2" xfId="39054"/>
    <cellStyle name="Heading 2 2 3 3 3 3 3 2 2" xfId="39055"/>
    <cellStyle name="Heading 2 2 3 3 3 3 3 3" xfId="39056"/>
    <cellStyle name="Heading 2 2 3 3 3 3 4" xfId="39057"/>
    <cellStyle name="Heading 2 2 3 3 3 3 4 2" xfId="39058"/>
    <cellStyle name="Heading 2 2 3 3 3 3 4 2 2" xfId="39059"/>
    <cellStyle name="Heading 2 2 3 3 3 3 4 3" xfId="39060"/>
    <cellStyle name="Heading 2 2 3 3 3 3 5" xfId="39061"/>
    <cellStyle name="Heading 2 2 3 3 3 3 5 2" xfId="39062"/>
    <cellStyle name="Heading 2 2 3 3 3 3 5 2 2" xfId="39063"/>
    <cellStyle name="Heading 2 2 3 3 3 3 5 3" xfId="39064"/>
    <cellStyle name="Heading 2 2 3 3 3 3 6" xfId="39065"/>
    <cellStyle name="Heading 2 2 3 3 3 3 6 2" xfId="39066"/>
    <cellStyle name="Heading 2 2 3 3 3 3 6 2 2" xfId="39067"/>
    <cellStyle name="Heading 2 2 3 3 3 3 6 3" xfId="39068"/>
    <cellStyle name="Heading 2 2 3 3 3 3 7" xfId="39069"/>
    <cellStyle name="Heading 2 2 3 3 3 3 7 2" xfId="39070"/>
    <cellStyle name="Heading 2 2 3 3 3 3 7 2 2" xfId="39071"/>
    <cellStyle name="Heading 2 2 3 3 3 3 7 3" xfId="39072"/>
    <cellStyle name="Heading 2 2 3 3 3 3 8" xfId="39073"/>
    <cellStyle name="Heading 2 2 3 3 3 3 8 2" xfId="39074"/>
    <cellStyle name="Heading 2 2 3 3 3 3 9" xfId="39075"/>
    <cellStyle name="Heading 2 2 3 3 3 4" xfId="39076"/>
    <cellStyle name="Heading 2 2 3 3 3 4 2" xfId="39077"/>
    <cellStyle name="Heading 2 2 3 3 3 4 2 2" xfId="39078"/>
    <cellStyle name="Heading 2 2 3 3 3 4 2 2 2" xfId="39079"/>
    <cellStyle name="Heading 2 2 3 3 3 4 2 3" xfId="39080"/>
    <cellStyle name="Heading 2 2 3 3 3 4 3" xfId="39081"/>
    <cellStyle name="Heading 2 2 3 3 3 4 3 2" xfId="39082"/>
    <cellStyle name="Heading 2 2 3 3 3 4 3 2 2" xfId="39083"/>
    <cellStyle name="Heading 2 2 3 3 3 4 3 3" xfId="39084"/>
    <cellStyle name="Heading 2 2 3 3 3 4 4" xfId="39085"/>
    <cellStyle name="Heading 2 2 3 3 3 4 4 2" xfId="39086"/>
    <cellStyle name="Heading 2 2 3 3 3 4 4 2 2" xfId="39087"/>
    <cellStyle name="Heading 2 2 3 3 3 4 4 3" xfId="39088"/>
    <cellStyle name="Heading 2 2 3 3 3 4 5" xfId="39089"/>
    <cellStyle name="Heading 2 2 3 3 3 4 5 2" xfId="39090"/>
    <cellStyle name="Heading 2 2 3 3 3 4 5 2 2" xfId="39091"/>
    <cellStyle name="Heading 2 2 3 3 3 4 5 3" xfId="39092"/>
    <cellStyle name="Heading 2 2 3 3 3 4 6" xfId="39093"/>
    <cellStyle name="Heading 2 2 3 3 3 4 6 2" xfId="39094"/>
    <cellStyle name="Heading 2 2 3 3 3 4 6 2 2" xfId="39095"/>
    <cellStyle name="Heading 2 2 3 3 3 4 6 3" xfId="39096"/>
    <cellStyle name="Heading 2 2 3 3 3 4 7" xfId="39097"/>
    <cellStyle name="Heading 2 2 3 3 3 4 7 2" xfId="39098"/>
    <cellStyle name="Heading 2 2 3 3 3 4 7 2 2" xfId="39099"/>
    <cellStyle name="Heading 2 2 3 3 3 4 7 3" xfId="39100"/>
    <cellStyle name="Heading 2 2 3 3 3 4 8" xfId="39101"/>
    <cellStyle name="Heading 2 2 3 3 3 4 8 2" xfId="39102"/>
    <cellStyle name="Heading 2 2 3 3 3 4 9" xfId="39103"/>
    <cellStyle name="Heading 2 2 3 3 3 5" xfId="39104"/>
    <cellStyle name="Heading 2 2 3 3 3 5 2" xfId="39105"/>
    <cellStyle name="Heading 2 2 3 3 3 5 2 2" xfId="39106"/>
    <cellStyle name="Heading 2 2 3 3 3 5 2 2 2" xfId="39107"/>
    <cellStyle name="Heading 2 2 3 3 3 5 2 3" xfId="39108"/>
    <cellStyle name="Heading 2 2 3 3 3 5 3" xfId="39109"/>
    <cellStyle name="Heading 2 2 3 3 3 5 3 2" xfId="39110"/>
    <cellStyle name="Heading 2 2 3 3 3 5 3 2 2" xfId="39111"/>
    <cellStyle name="Heading 2 2 3 3 3 5 3 3" xfId="39112"/>
    <cellStyle name="Heading 2 2 3 3 3 5 4" xfId="39113"/>
    <cellStyle name="Heading 2 2 3 3 3 5 4 2" xfId="39114"/>
    <cellStyle name="Heading 2 2 3 3 3 5 4 2 2" xfId="39115"/>
    <cellStyle name="Heading 2 2 3 3 3 5 4 3" xfId="39116"/>
    <cellStyle name="Heading 2 2 3 3 3 5 5" xfId="39117"/>
    <cellStyle name="Heading 2 2 3 3 3 5 5 2" xfId="39118"/>
    <cellStyle name="Heading 2 2 3 3 3 5 5 2 2" xfId="39119"/>
    <cellStyle name="Heading 2 2 3 3 3 5 5 3" xfId="39120"/>
    <cellStyle name="Heading 2 2 3 3 3 5 6" xfId="39121"/>
    <cellStyle name="Heading 2 2 3 3 3 5 6 2" xfId="39122"/>
    <cellStyle name="Heading 2 2 3 3 3 5 6 2 2" xfId="39123"/>
    <cellStyle name="Heading 2 2 3 3 3 5 6 3" xfId="39124"/>
    <cellStyle name="Heading 2 2 3 3 3 5 7" xfId="39125"/>
    <cellStyle name="Heading 2 2 3 3 3 5 7 2" xfId="39126"/>
    <cellStyle name="Heading 2 2 3 3 3 5 7 2 2" xfId="39127"/>
    <cellStyle name="Heading 2 2 3 3 3 5 7 3" xfId="39128"/>
    <cellStyle name="Heading 2 2 3 3 3 5 8" xfId="39129"/>
    <cellStyle name="Heading 2 2 3 3 3 5 8 2" xfId="39130"/>
    <cellStyle name="Heading 2 2 3 3 3 5 9" xfId="39131"/>
    <cellStyle name="Heading 2 2 3 3 3 6" xfId="39132"/>
    <cellStyle name="Heading 2 2 3 3 3 6 2" xfId="39133"/>
    <cellStyle name="Heading 2 2 3 3 3 6 2 2" xfId="39134"/>
    <cellStyle name="Heading 2 2 3 3 3 6 2 2 2" xfId="39135"/>
    <cellStyle name="Heading 2 2 3 3 3 6 2 3" xfId="39136"/>
    <cellStyle name="Heading 2 2 3 3 3 6 3" xfId="39137"/>
    <cellStyle name="Heading 2 2 3 3 3 6 3 2" xfId="39138"/>
    <cellStyle name="Heading 2 2 3 3 3 6 3 2 2" xfId="39139"/>
    <cellStyle name="Heading 2 2 3 3 3 6 3 3" xfId="39140"/>
    <cellStyle name="Heading 2 2 3 3 3 6 4" xfId="39141"/>
    <cellStyle name="Heading 2 2 3 3 3 6 4 2" xfId="39142"/>
    <cellStyle name="Heading 2 2 3 3 3 6 4 2 2" xfId="39143"/>
    <cellStyle name="Heading 2 2 3 3 3 6 4 3" xfId="39144"/>
    <cellStyle name="Heading 2 2 3 3 3 6 5" xfId="39145"/>
    <cellStyle name="Heading 2 2 3 3 3 6 5 2" xfId="39146"/>
    <cellStyle name="Heading 2 2 3 3 3 6 5 2 2" xfId="39147"/>
    <cellStyle name="Heading 2 2 3 3 3 6 5 3" xfId="39148"/>
    <cellStyle name="Heading 2 2 3 3 3 6 6" xfId="39149"/>
    <cellStyle name="Heading 2 2 3 3 3 6 6 2" xfId="39150"/>
    <cellStyle name="Heading 2 2 3 3 3 6 6 2 2" xfId="39151"/>
    <cellStyle name="Heading 2 2 3 3 3 6 6 3" xfId="39152"/>
    <cellStyle name="Heading 2 2 3 3 3 6 7" xfId="39153"/>
    <cellStyle name="Heading 2 2 3 3 3 6 7 2" xfId="39154"/>
    <cellStyle name="Heading 2 2 3 3 3 6 7 2 2" xfId="39155"/>
    <cellStyle name="Heading 2 2 3 3 3 6 7 3" xfId="39156"/>
    <cellStyle name="Heading 2 2 3 3 3 6 8" xfId="39157"/>
    <cellStyle name="Heading 2 2 3 3 3 6 8 2" xfId="39158"/>
    <cellStyle name="Heading 2 2 3 3 3 6 9" xfId="39159"/>
    <cellStyle name="Heading 2 2 3 3 3 7" xfId="39160"/>
    <cellStyle name="Heading 2 2 3 3 3 7 2" xfId="39161"/>
    <cellStyle name="Heading 2 2 3 3 3 7 2 2" xfId="39162"/>
    <cellStyle name="Heading 2 2 3 3 3 7 2 2 2" xfId="39163"/>
    <cellStyle name="Heading 2 2 3 3 3 7 2 3" xfId="39164"/>
    <cellStyle name="Heading 2 2 3 3 3 7 3" xfId="39165"/>
    <cellStyle name="Heading 2 2 3 3 3 7 3 2" xfId="39166"/>
    <cellStyle name="Heading 2 2 3 3 3 7 3 2 2" xfId="39167"/>
    <cellStyle name="Heading 2 2 3 3 3 7 3 3" xfId="39168"/>
    <cellStyle name="Heading 2 2 3 3 3 7 4" xfId="39169"/>
    <cellStyle name="Heading 2 2 3 3 3 7 4 2" xfId="39170"/>
    <cellStyle name="Heading 2 2 3 3 3 7 4 2 2" xfId="39171"/>
    <cellStyle name="Heading 2 2 3 3 3 7 4 3" xfId="39172"/>
    <cellStyle name="Heading 2 2 3 3 3 7 5" xfId="39173"/>
    <cellStyle name="Heading 2 2 3 3 3 7 5 2" xfId="39174"/>
    <cellStyle name="Heading 2 2 3 3 3 7 5 2 2" xfId="39175"/>
    <cellStyle name="Heading 2 2 3 3 3 7 5 3" xfId="39176"/>
    <cellStyle name="Heading 2 2 3 3 3 7 6" xfId="39177"/>
    <cellStyle name="Heading 2 2 3 3 3 7 6 2" xfId="39178"/>
    <cellStyle name="Heading 2 2 3 3 3 7 6 2 2" xfId="39179"/>
    <cellStyle name="Heading 2 2 3 3 3 7 6 3" xfId="39180"/>
    <cellStyle name="Heading 2 2 3 3 3 7 7" xfId="39181"/>
    <cellStyle name="Heading 2 2 3 3 3 7 7 2" xfId="39182"/>
    <cellStyle name="Heading 2 2 3 3 3 7 7 2 2" xfId="39183"/>
    <cellStyle name="Heading 2 2 3 3 3 7 7 3" xfId="39184"/>
    <cellStyle name="Heading 2 2 3 3 3 7 8" xfId="39185"/>
    <cellStyle name="Heading 2 2 3 3 3 7 8 2" xfId="39186"/>
    <cellStyle name="Heading 2 2 3 3 3 7 9" xfId="39187"/>
    <cellStyle name="Heading 2 2 3 3 3 8" xfId="39188"/>
    <cellStyle name="Heading 2 2 3 3 3 8 2" xfId="39189"/>
    <cellStyle name="Heading 2 2 3 3 3 8 2 2" xfId="39190"/>
    <cellStyle name="Heading 2 2 3 3 3 8 2 2 2" xfId="39191"/>
    <cellStyle name="Heading 2 2 3 3 3 8 2 3" xfId="39192"/>
    <cellStyle name="Heading 2 2 3 3 3 8 3" xfId="39193"/>
    <cellStyle name="Heading 2 2 3 3 3 8 3 2" xfId="39194"/>
    <cellStyle name="Heading 2 2 3 3 3 8 3 2 2" xfId="39195"/>
    <cellStyle name="Heading 2 2 3 3 3 8 3 3" xfId="39196"/>
    <cellStyle name="Heading 2 2 3 3 3 8 4" xfId="39197"/>
    <cellStyle name="Heading 2 2 3 3 3 8 4 2" xfId="39198"/>
    <cellStyle name="Heading 2 2 3 3 3 8 4 2 2" xfId="39199"/>
    <cellStyle name="Heading 2 2 3 3 3 8 4 3" xfId="39200"/>
    <cellStyle name="Heading 2 2 3 3 3 8 5" xfId="39201"/>
    <cellStyle name="Heading 2 2 3 3 3 8 5 2" xfId="39202"/>
    <cellStyle name="Heading 2 2 3 3 3 8 5 2 2" xfId="39203"/>
    <cellStyle name="Heading 2 2 3 3 3 8 5 3" xfId="39204"/>
    <cellStyle name="Heading 2 2 3 3 3 8 6" xfId="39205"/>
    <cellStyle name="Heading 2 2 3 3 3 8 6 2" xfId="39206"/>
    <cellStyle name="Heading 2 2 3 3 3 8 6 2 2" xfId="39207"/>
    <cellStyle name="Heading 2 2 3 3 3 8 6 3" xfId="39208"/>
    <cellStyle name="Heading 2 2 3 3 3 8 7" xfId="39209"/>
    <cellStyle name="Heading 2 2 3 3 3 8 7 2" xfId="39210"/>
    <cellStyle name="Heading 2 2 3 3 3 8 7 2 2" xfId="39211"/>
    <cellStyle name="Heading 2 2 3 3 3 8 7 3" xfId="39212"/>
    <cellStyle name="Heading 2 2 3 3 3 8 8" xfId="39213"/>
    <cellStyle name="Heading 2 2 3 3 3 8 8 2" xfId="39214"/>
    <cellStyle name="Heading 2 2 3 3 3 8 9" xfId="39215"/>
    <cellStyle name="Heading 2 2 3 3 3 9" xfId="39216"/>
    <cellStyle name="Heading 2 2 3 3 3 9 2" xfId="39217"/>
    <cellStyle name="Heading 2 2 3 3 3 9 2 2" xfId="39218"/>
    <cellStyle name="Heading 2 2 3 3 3 9 3" xfId="39219"/>
    <cellStyle name="Heading 2 2 3 3 4" xfId="39220"/>
    <cellStyle name="Heading 2 2 3 3 4 2" xfId="39221"/>
    <cellStyle name="Heading 2 2 3 3 4 2 2" xfId="39222"/>
    <cellStyle name="Heading 2 2 3 3 4 3" xfId="39223"/>
    <cellStyle name="Heading 2 2 3 3 5" xfId="39224"/>
    <cellStyle name="Heading 2 2 3 3 5 2" xfId="39225"/>
    <cellStyle name="Heading 2 2 3 3 6" xfId="39226"/>
    <cellStyle name="Heading 2 2 3 4" xfId="39227"/>
    <cellStyle name="Heading 2 2 3 4 2" xfId="39228"/>
    <cellStyle name="Heading 2 2 3 4 2 10" xfId="39229"/>
    <cellStyle name="Heading 2 2 3 4 2 10 2" xfId="39230"/>
    <cellStyle name="Heading 2 2 3 4 2 10 2 2" xfId="39231"/>
    <cellStyle name="Heading 2 2 3 4 2 10 3" xfId="39232"/>
    <cellStyle name="Heading 2 2 3 4 2 11" xfId="39233"/>
    <cellStyle name="Heading 2 2 3 4 2 11 2" xfId="39234"/>
    <cellStyle name="Heading 2 2 3 4 2 11 2 2" xfId="39235"/>
    <cellStyle name="Heading 2 2 3 4 2 11 3" xfId="39236"/>
    <cellStyle name="Heading 2 2 3 4 2 12" xfId="39237"/>
    <cellStyle name="Heading 2 2 3 4 2 12 2" xfId="39238"/>
    <cellStyle name="Heading 2 2 3 4 2 12 2 2" xfId="39239"/>
    <cellStyle name="Heading 2 2 3 4 2 12 3" xfId="39240"/>
    <cellStyle name="Heading 2 2 3 4 2 13" xfId="39241"/>
    <cellStyle name="Heading 2 2 3 4 2 13 2" xfId="39242"/>
    <cellStyle name="Heading 2 2 3 4 2 13 2 2" xfId="39243"/>
    <cellStyle name="Heading 2 2 3 4 2 13 3" xfId="39244"/>
    <cellStyle name="Heading 2 2 3 4 2 14" xfId="39245"/>
    <cellStyle name="Heading 2 2 3 4 2 14 2" xfId="39246"/>
    <cellStyle name="Heading 2 2 3 4 2 14 2 2" xfId="39247"/>
    <cellStyle name="Heading 2 2 3 4 2 14 3" xfId="39248"/>
    <cellStyle name="Heading 2 2 3 4 2 15" xfId="39249"/>
    <cellStyle name="Heading 2 2 3 4 2 15 2" xfId="39250"/>
    <cellStyle name="Heading 2 2 3 4 2 15 2 2" xfId="39251"/>
    <cellStyle name="Heading 2 2 3 4 2 15 3" xfId="39252"/>
    <cellStyle name="Heading 2 2 3 4 2 16" xfId="39253"/>
    <cellStyle name="Heading 2 2 3 4 2 16 2" xfId="39254"/>
    <cellStyle name="Heading 2 2 3 4 2 16 2 2" xfId="39255"/>
    <cellStyle name="Heading 2 2 3 4 2 16 3" xfId="39256"/>
    <cellStyle name="Heading 2 2 3 4 2 17" xfId="39257"/>
    <cellStyle name="Heading 2 2 3 4 2 17 2" xfId="39258"/>
    <cellStyle name="Heading 2 2 3 4 2 17 2 2" xfId="39259"/>
    <cellStyle name="Heading 2 2 3 4 2 17 3" xfId="39260"/>
    <cellStyle name="Heading 2 2 3 4 2 18" xfId="39261"/>
    <cellStyle name="Heading 2 2 3 4 2 18 2" xfId="39262"/>
    <cellStyle name="Heading 2 2 3 4 2 18 2 2" xfId="39263"/>
    <cellStyle name="Heading 2 2 3 4 2 18 3" xfId="39264"/>
    <cellStyle name="Heading 2 2 3 4 2 19" xfId="39265"/>
    <cellStyle name="Heading 2 2 3 4 2 19 2" xfId="39266"/>
    <cellStyle name="Heading 2 2 3 4 2 19 2 2" xfId="39267"/>
    <cellStyle name="Heading 2 2 3 4 2 19 3" xfId="39268"/>
    <cellStyle name="Heading 2 2 3 4 2 2" xfId="39269"/>
    <cellStyle name="Heading 2 2 3 4 2 2 10" xfId="39270"/>
    <cellStyle name="Heading 2 2 3 4 2 2 10 2" xfId="39271"/>
    <cellStyle name="Heading 2 2 3 4 2 2 10 2 2" xfId="39272"/>
    <cellStyle name="Heading 2 2 3 4 2 2 10 3" xfId="39273"/>
    <cellStyle name="Heading 2 2 3 4 2 2 11" xfId="39274"/>
    <cellStyle name="Heading 2 2 3 4 2 2 11 2" xfId="39275"/>
    <cellStyle name="Heading 2 2 3 4 2 2 11 2 2" xfId="39276"/>
    <cellStyle name="Heading 2 2 3 4 2 2 11 3" xfId="39277"/>
    <cellStyle name="Heading 2 2 3 4 2 2 12" xfId="39278"/>
    <cellStyle name="Heading 2 2 3 4 2 2 12 2" xfId="39279"/>
    <cellStyle name="Heading 2 2 3 4 2 2 12 2 2" xfId="39280"/>
    <cellStyle name="Heading 2 2 3 4 2 2 12 3" xfId="39281"/>
    <cellStyle name="Heading 2 2 3 4 2 2 13" xfId="39282"/>
    <cellStyle name="Heading 2 2 3 4 2 2 13 2" xfId="39283"/>
    <cellStyle name="Heading 2 2 3 4 2 2 13 2 2" xfId="39284"/>
    <cellStyle name="Heading 2 2 3 4 2 2 13 3" xfId="39285"/>
    <cellStyle name="Heading 2 2 3 4 2 2 14" xfId="39286"/>
    <cellStyle name="Heading 2 2 3 4 2 2 14 2" xfId="39287"/>
    <cellStyle name="Heading 2 2 3 4 2 2 14 2 2" xfId="39288"/>
    <cellStyle name="Heading 2 2 3 4 2 2 14 3" xfId="39289"/>
    <cellStyle name="Heading 2 2 3 4 2 2 15" xfId="39290"/>
    <cellStyle name="Heading 2 2 3 4 2 2 15 2" xfId="39291"/>
    <cellStyle name="Heading 2 2 3 4 2 2 15 2 2" xfId="39292"/>
    <cellStyle name="Heading 2 2 3 4 2 2 15 3" xfId="39293"/>
    <cellStyle name="Heading 2 2 3 4 2 2 16" xfId="39294"/>
    <cellStyle name="Heading 2 2 3 4 2 2 16 2" xfId="39295"/>
    <cellStyle name="Heading 2 2 3 4 2 2 16 2 2" xfId="39296"/>
    <cellStyle name="Heading 2 2 3 4 2 2 16 3" xfId="39297"/>
    <cellStyle name="Heading 2 2 3 4 2 2 17" xfId="39298"/>
    <cellStyle name="Heading 2 2 3 4 2 2 17 2" xfId="39299"/>
    <cellStyle name="Heading 2 2 3 4 2 2 17 2 2" xfId="39300"/>
    <cellStyle name="Heading 2 2 3 4 2 2 17 3" xfId="39301"/>
    <cellStyle name="Heading 2 2 3 4 2 2 18" xfId="39302"/>
    <cellStyle name="Heading 2 2 3 4 2 2 18 2" xfId="39303"/>
    <cellStyle name="Heading 2 2 3 4 2 2 18 2 2" xfId="39304"/>
    <cellStyle name="Heading 2 2 3 4 2 2 18 3" xfId="39305"/>
    <cellStyle name="Heading 2 2 3 4 2 2 19" xfId="39306"/>
    <cellStyle name="Heading 2 2 3 4 2 2 19 2" xfId="39307"/>
    <cellStyle name="Heading 2 2 3 4 2 2 2" xfId="39308"/>
    <cellStyle name="Heading 2 2 3 4 2 2 2 2" xfId="39309"/>
    <cellStyle name="Heading 2 2 3 4 2 2 2 2 2" xfId="39310"/>
    <cellStyle name="Heading 2 2 3 4 2 2 2 2 2 2" xfId="39311"/>
    <cellStyle name="Heading 2 2 3 4 2 2 2 2 3" xfId="39312"/>
    <cellStyle name="Heading 2 2 3 4 2 2 2 3" xfId="39313"/>
    <cellStyle name="Heading 2 2 3 4 2 2 2 3 2" xfId="39314"/>
    <cellStyle name="Heading 2 2 3 4 2 2 2 3 2 2" xfId="39315"/>
    <cellStyle name="Heading 2 2 3 4 2 2 2 3 3" xfId="39316"/>
    <cellStyle name="Heading 2 2 3 4 2 2 2 4" xfId="39317"/>
    <cellStyle name="Heading 2 2 3 4 2 2 2 4 2" xfId="39318"/>
    <cellStyle name="Heading 2 2 3 4 2 2 2 4 2 2" xfId="39319"/>
    <cellStyle name="Heading 2 2 3 4 2 2 2 4 3" xfId="39320"/>
    <cellStyle name="Heading 2 2 3 4 2 2 2 5" xfId="39321"/>
    <cellStyle name="Heading 2 2 3 4 2 2 2 5 2" xfId="39322"/>
    <cellStyle name="Heading 2 2 3 4 2 2 2 5 2 2" xfId="39323"/>
    <cellStyle name="Heading 2 2 3 4 2 2 2 5 3" xfId="39324"/>
    <cellStyle name="Heading 2 2 3 4 2 2 2 6" xfId="39325"/>
    <cellStyle name="Heading 2 2 3 4 2 2 2 6 2" xfId="39326"/>
    <cellStyle name="Heading 2 2 3 4 2 2 2 6 2 2" xfId="39327"/>
    <cellStyle name="Heading 2 2 3 4 2 2 2 6 3" xfId="39328"/>
    <cellStyle name="Heading 2 2 3 4 2 2 2 7" xfId="39329"/>
    <cellStyle name="Heading 2 2 3 4 2 2 2 7 2" xfId="39330"/>
    <cellStyle name="Heading 2 2 3 4 2 2 2 7 2 2" xfId="39331"/>
    <cellStyle name="Heading 2 2 3 4 2 2 2 7 3" xfId="39332"/>
    <cellStyle name="Heading 2 2 3 4 2 2 2 8" xfId="39333"/>
    <cellStyle name="Heading 2 2 3 4 2 2 2 8 2" xfId="39334"/>
    <cellStyle name="Heading 2 2 3 4 2 2 2 9" xfId="39335"/>
    <cellStyle name="Heading 2 2 3 4 2 2 20" xfId="39336"/>
    <cellStyle name="Heading 2 2 3 4 2 2 20 2" xfId="39337"/>
    <cellStyle name="Heading 2 2 3 4 2 2 21" xfId="39338"/>
    <cellStyle name="Heading 2 2 3 4 2 2 21 2" xfId="39339"/>
    <cellStyle name="Heading 2 2 3 4 2 2 22" xfId="39340"/>
    <cellStyle name="Heading 2 2 3 4 2 2 3" xfId="39341"/>
    <cellStyle name="Heading 2 2 3 4 2 2 3 2" xfId="39342"/>
    <cellStyle name="Heading 2 2 3 4 2 2 3 2 2" xfId="39343"/>
    <cellStyle name="Heading 2 2 3 4 2 2 3 2 2 2" xfId="39344"/>
    <cellStyle name="Heading 2 2 3 4 2 2 3 2 3" xfId="39345"/>
    <cellStyle name="Heading 2 2 3 4 2 2 3 3" xfId="39346"/>
    <cellStyle name="Heading 2 2 3 4 2 2 3 3 2" xfId="39347"/>
    <cellStyle name="Heading 2 2 3 4 2 2 3 3 2 2" xfId="39348"/>
    <cellStyle name="Heading 2 2 3 4 2 2 3 3 3" xfId="39349"/>
    <cellStyle name="Heading 2 2 3 4 2 2 3 4" xfId="39350"/>
    <cellStyle name="Heading 2 2 3 4 2 2 3 4 2" xfId="39351"/>
    <cellStyle name="Heading 2 2 3 4 2 2 3 4 2 2" xfId="39352"/>
    <cellStyle name="Heading 2 2 3 4 2 2 3 4 3" xfId="39353"/>
    <cellStyle name="Heading 2 2 3 4 2 2 3 5" xfId="39354"/>
    <cellStyle name="Heading 2 2 3 4 2 2 3 5 2" xfId="39355"/>
    <cellStyle name="Heading 2 2 3 4 2 2 3 5 2 2" xfId="39356"/>
    <cellStyle name="Heading 2 2 3 4 2 2 3 5 3" xfId="39357"/>
    <cellStyle name="Heading 2 2 3 4 2 2 3 6" xfId="39358"/>
    <cellStyle name="Heading 2 2 3 4 2 2 3 6 2" xfId="39359"/>
    <cellStyle name="Heading 2 2 3 4 2 2 3 6 2 2" xfId="39360"/>
    <cellStyle name="Heading 2 2 3 4 2 2 3 6 3" xfId="39361"/>
    <cellStyle name="Heading 2 2 3 4 2 2 3 7" xfId="39362"/>
    <cellStyle name="Heading 2 2 3 4 2 2 3 7 2" xfId="39363"/>
    <cellStyle name="Heading 2 2 3 4 2 2 3 7 2 2" xfId="39364"/>
    <cellStyle name="Heading 2 2 3 4 2 2 3 7 3" xfId="39365"/>
    <cellStyle name="Heading 2 2 3 4 2 2 3 8" xfId="39366"/>
    <cellStyle name="Heading 2 2 3 4 2 2 3 8 2" xfId="39367"/>
    <cellStyle name="Heading 2 2 3 4 2 2 3 9" xfId="39368"/>
    <cellStyle name="Heading 2 2 3 4 2 2 4" xfId="39369"/>
    <cellStyle name="Heading 2 2 3 4 2 2 4 2" xfId="39370"/>
    <cellStyle name="Heading 2 2 3 4 2 2 4 2 2" xfId="39371"/>
    <cellStyle name="Heading 2 2 3 4 2 2 4 2 2 2" xfId="39372"/>
    <cellStyle name="Heading 2 2 3 4 2 2 4 2 3" xfId="39373"/>
    <cellStyle name="Heading 2 2 3 4 2 2 4 3" xfId="39374"/>
    <cellStyle name="Heading 2 2 3 4 2 2 4 3 2" xfId="39375"/>
    <cellStyle name="Heading 2 2 3 4 2 2 4 3 2 2" xfId="39376"/>
    <cellStyle name="Heading 2 2 3 4 2 2 4 3 3" xfId="39377"/>
    <cellStyle name="Heading 2 2 3 4 2 2 4 4" xfId="39378"/>
    <cellStyle name="Heading 2 2 3 4 2 2 4 4 2" xfId="39379"/>
    <cellStyle name="Heading 2 2 3 4 2 2 4 4 2 2" xfId="39380"/>
    <cellStyle name="Heading 2 2 3 4 2 2 4 4 3" xfId="39381"/>
    <cellStyle name="Heading 2 2 3 4 2 2 4 5" xfId="39382"/>
    <cellStyle name="Heading 2 2 3 4 2 2 4 5 2" xfId="39383"/>
    <cellStyle name="Heading 2 2 3 4 2 2 4 5 2 2" xfId="39384"/>
    <cellStyle name="Heading 2 2 3 4 2 2 4 5 3" xfId="39385"/>
    <cellStyle name="Heading 2 2 3 4 2 2 4 6" xfId="39386"/>
    <cellStyle name="Heading 2 2 3 4 2 2 4 6 2" xfId="39387"/>
    <cellStyle name="Heading 2 2 3 4 2 2 4 6 2 2" xfId="39388"/>
    <cellStyle name="Heading 2 2 3 4 2 2 4 6 3" xfId="39389"/>
    <cellStyle name="Heading 2 2 3 4 2 2 4 7" xfId="39390"/>
    <cellStyle name="Heading 2 2 3 4 2 2 4 7 2" xfId="39391"/>
    <cellStyle name="Heading 2 2 3 4 2 2 4 7 2 2" xfId="39392"/>
    <cellStyle name="Heading 2 2 3 4 2 2 4 7 3" xfId="39393"/>
    <cellStyle name="Heading 2 2 3 4 2 2 4 8" xfId="39394"/>
    <cellStyle name="Heading 2 2 3 4 2 2 4 8 2" xfId="39395"/>
    <cellStyle name="Heading 2 2 3 4 2 2 4 9" xfId="39396"/>
    <cellStyle name="Heading 2 2 3 4 2 2 5" xfId="39397"/>
    <cellStyle name="Heading 2 2 3 4 2 2 5 2" xfId="39398"/>
    <cellStyle name="Heading 2 2 3 4 2 2 5 2 2" xfId="39399"/>
    <cellStyle name="Heading 2 2 3 4 2 2 5 2 2 2" xfId="39400"/>
    <cellStyle name="Heading 2 2 3 4 2 2 5 2 3" xfId="39401"/>
    <cellStyle name="Heading 2 2 3 4 2 2 5 3" xfId="39402"/>
    <cellStyle name="Heading 2 2 3 4 2 2 5 3 2" xfId="39403"/>
    <cellStyle name="Heading 2 2 3 4 2 2 5 3 2 2" xfId="39404"/>
    <cellStyle name="Heading 2 2 3 4 2 2 5 3 3" xfId="39405"/>
    <cellStyle name="Heading 2 2 3 4 2 2 5 4" xfId="39406"/>
    <cellStyle name="Heading 2 2 3 4 2 2 5 4 2" xfId="39407"/>
    <cellStyle name="Heading 2 2 3 4 2 2 5 4 2 2" xfId="39408"/>
    <cellStyle name="Heading 2 2 3 4 2 2 5 4 3" xfId="39409"/>
    <cellStyle name="Heading 2 2 3 4 2 2 5 5" xfId="39410"/>
    <cellStyle name="Heading 2 2 3 4 2 2 5 5 2" xfId="39411"/>
    <cellStyle name="Heading 2 2 3 4 2 2 5 5 2 2" xfId="39412"/>
    <cellStyle name="Heading 2 2 3 4 2 2 5 5 3" xfId="39413"/>
    <cellStyle name="Heading 2 2 3 4 2 2 5 6" xfId="39414"/>
    <cellStyle name="Heading 2 2 3 4 2 2 5 6 2" xfId="39415"/>
    <cellStyle name="Heading 2 2 3 4 2 2 5 6 2 2" xfId="39416"/>
    <cellStyle name="Heading 2 2 3 4 2 2 5 6 3" xfId="39417"/>
    <cellStyle name="Heading 2 2 3 4 2 2 5 7" xfId="39418"/>
    <cellStyle name="Heading 2 2 3 4 2 2 5 7 2" xfId="39419"/>
    <cellStyle name="Heading 2 2 3 4 2 2 5 7 2 2" xfId="39420"/>
    <cellStyle name="Heading 2 2 3 4 2 2 5 7 3" xfId="39421"/>
    <cellStyle name="Heading 2 2 3 4 2 2 5 8" xfId="39422"/>
    <cellStyle name="Heading 2 2 3 4 2 2 5 8 2" xfId="39423"/>
    <cellStyle name="Heading 2 2 3 4 2 2 5 9" xfId="39424"/>
    <cellStyle name="Heading 2 2 3 4 2 2 6" xfId="39425"/>
    <cellStyle name="Heading 2 2 3 4 2 2 6 2" xfId="39426"/>
    <cellStyle name="Heading 2 2 3 4 2 2 6 2 2" xfId="39427"/>
    <cellStyle name="Heading 2 2 3 4 2 2 6 2 2 2" xfId="39428"/>
    <cellStyle name="Heading 2 2 3 4 2 2 6 2 3" xfId="39429"/>
    <cellStyle name="Heading 2 2 3 4 2 2 6 3" xfId="39430"/>
    <cellStyle name="Heading 2 2 3 4 2 2 6 3 2" xfId="39431"/>
    <cellStyle name="Heading 2 2 3 4 2 2 6 3 2 2" xfId="39432"/>
    <cellStyle name="Heading 2 2 3 4 2 2 6 3 3" xfId="39433"/>
    <cellStyle name="Heading 2 2 3 4 2 2 6 4" xfId="39434"/>
    <cellStyle name="Heading 2 2 3 4 2 2 6 4 2" xfId="39435"/>
    <cellStyle name="Heading 2 2 3 4 2 2 6 4 2 2" xfId="39436"/>
    <cellStyle name="Heading 2 2 3 4 2 2 6 4 3" xfId="39437"/>
    <cellStyle name="Heading 2 2 3 4 2 2 6 5" xfId="39438"/>
    <cellStyle name="Heading 2 2 3 4 2 2 6 5 2" xfId="39439"/>
    <cellStyle name="Heading 2 2 3 4 2 2 6 5 2 2" xfId="39440"/>
    <cellStyle name="Heading 2 2 3 4 2 2 6 5 3" xfId="39441"/>
    <cellStyle name="Heading 2 2 3 4 2 2 6 6" xfId="39442"/>
    <cellStyle name="Heading 2 2 3 4 2 2 6 6 2" xfId="39443"/>
    <cellStyle name="Heading 2 2 3 4 2 2 6 6 2 2" xfId="39444"/>
    <cellStyle name="Heading 2 2 3 4 2 2 6 6 3" xfId="39445"/>
    <cellStyle name="Heading 2 2 3 4 2 2 6 7" xfId="39446"/>
    <cellStyle name="Heading 2 2 3 4 2 2 6 7 2" xfId="39447"/>
    <cellStyle name="Heading 2 2 3 4 2 2 6 7 2 2" xfId="39448"/>
    <cellStyle name="Heading 2 2 3 4 2 2 6 7 3" xfId="39449"/>
    <cellStyle name="Heading 2 2 3 4 2 2 6 8" xfId="39450"/>
    <cellStyle name="Heading 2 2 3 4 2 2 6 8 2" xfId="39451"/>
    <cellStyle name="Heading 2 2 3 4 2 2 6 9" xfId="39452"/>
    <cellStyle name="Heading 2 2 3 4 2 2 7" xfId="39453"/>
    <cellStyle name="Heading 2 2 3 4 2 2 7 2" xfId="39454"/>
    <cellStyle name="Heading 2 2 3 4 2 2 7 2 2" xfId="39455"/>
    <cellStyle name="Heading 2 2 3 4 2 2 7 2 2 2" xfId="39456"/>
    <cellStyle name="Heading 2 2 3 4 2 2 7 2 3" xfId="39457"/>
    <cellStyle name="Heading 2 2 3 4 2 2 7 3" xfId="39458"/>
    <cellStyle name="Heading 2 2 3 4 2 2 7 3 2" xfId="39459"/>
    <cellStyle name="Heading 2 2 3 4 2 2 7 3 2 2" xfId="39460"/>
    <cellStyle name="Heading 2 2 3 4 2 2 7 3 3" xfId="39461"/>
    <cellStyle name="Heading 2 2 3 4 2 2 7 4" xfId="39462"/>
    <cellStyle name="Heading 2 2 3 4 2 2 7 4 2" xfId="39463"/>
    <cellStyle name="Heading 2 2 3 4 2 2 7 4 2 2" xfId="39464"/>
    <cellStyle name="Heading 2 2 3 4 2 2 7 4 3" xfId="39465"/>
    <cellStyle name="Heading 2 2 3 4 2 2 7 5" xfId="39466"/>
    <cellStyle name="Heading 2 2 3 4 2 2 7 5 2" xfId="39467"/>
    <cellStyle name="Heading 2 2 3 4 2 2 7 5 2 2" xfId="39468"/>
    <cellStyle name="Heading 2 2 3 4 2 2 7 5 3" xfId="39469"/>
    <cellStyle name="Heading 2 2 3 4 2 2 7 6" xfId="39470"/>
    <cellStyle name="Heading 2 2 3 4 2 2 7 6 2" xfId="39471"/>
    <cellStyle name="Heading 2 2 3 4 2 2 7 6 2 2" xfId="39472"/>
    <cellStyle name="Heading 2 2 3 4 2 2 7 6 3" xfId="39473"/>
    <cellStyle name="Heading 2 2 3 4 2 2 7 7" xfId="39474"/>
    <cellStyle name="Heading 2 2 3 4 2 2 7 7 2" xfId="39475"/>
    <cellStyle name="Heading 2 2 3 4 2 2 7 7 2 2" xfId="39476"/>
    <cellStyle name="Heading 2 2 3 4 2 2 7 7 3" xfId="39477"/>
    <cellStyle name="Heading 2 2 3 4 2 2 7 8" xfId="39478"/>
    <cellStyle name="Heading 2 2 3 4 2 2 7 8 2" xfId="39479"/>
    <cellStyle name="Heading 2 2 3 4 2 2 7 9" xfId="39480"/>
    <cellStyle name="Heading 2 2 3 4 2 2 8" xfId="39481"/>
    <cellStyle name="Heading 2 2 3 4 2 2 8 2" xfId="39482"/>
    <cellStyle name="Heading 2 2 3 4 2 2 8 2 2" xfId="39483"/>
    <cellStyle name="Heading 2 2 3 4 2 2 8 2 2 2" xfId="39484"/>
    <cellStyle name="Heading 2 2 3 4 2 2 8 2 3" xfId="39485"/>
    <cellStyle name="Heading 2 2 3 4 2 2 8 3" xfId="39486"/>
    <cellStyle name="Heading 2 2 3 4 2 2 8 3 2" xfId="39487"/>
    <cellStyle name="Heading 2 2 3 4 2 2 8 3 2 2" xfId="39488"/>
    <cellStyle name="Heading 2 2 3 4 2 2 8 3 3" xfId="39489"/>
    <cellStyle name="Heading 2 2 3 4 2 2 8 4" xfId="39490"/>
    <cellStyle name="Heading 2 2 3 4 2 2 8 4 2" xfId="39491"/>
    <cellStyle name="Heading 2 2 3 4 2 2 8 4 2 2" xfId="39492"/>
    <cellStyle name="Heading 2 2 3 4 2 2 8 4 3" xfId="39493"/>
    <cellStyle name="Heading 2 2 3 4 2 2 8 5" xfId="39494"/>
    <cellStyle name="Heading 2 2 3 4 2 2 8 5 2" xfId="39495"/>
    <cellStyle name="Heading 2 2 3 4 2 2 8 5 2 2" xfId="39496"/>
    <cellStyle name="Heading 2 2 3 4 2 2 8 5 3" xfId="39497"/>
    <cellStyle name="Heading 2 2 3 4 2 2 8 6" xfId="39498"/>
    <cellStyle name="Heading 2 2 3 4 2 2 8 6 2" xfId="39499"/>
    <cellStyle name="Heading 2 2 3 4 2 2 8 6 2 2" xfId="39500"/>
    <cellStyle name="Heading 2 2 3 4 2 2 8 6 3" xfId="39501"/>
    <cellStyle name="Heading 2 2 3 4 2 2 8 7" xfId="39502"/>
    <cellStyle name="Heading 2 2 3 4 2 2 8 7 2" xfId="39503"/>
    <cellStyle name="Heading 2 2 3 4 2 2 8 7 2 2" xfId="39504"/>
    <cellStyle name="Heading 2 2 3 4 2 2 8 7 3" xfId="39505"/>
    <cellStyle name="Heading 2 2 3 4 2 2 8 8" xfId="39506"/>
    <cellStyle name="Heading 2 2 3 4 2 2 8 8 2" xfId="39507"/>
    <cellStyle name="Heading 2 2 3 4 2 2 8 9" xfId="39508"/>
    <cellStyle name="Heading 2 2 3 4 2 2 9" xfId="39509"/>
    <cellStyle name="Heading 2 2 3 4 2 2 9 2" xfId="39510"/>
    <cellStyle name="Heading 2 2 3 4 2 2 9 2 2" xfId="39511"/>
    <cellStyle name="Heading 2 2 3 4 2 2 9 3" xfId="39512"/>
    <cellStyle name="Heading 2 2 3 4 2 20" xfId="39513"/>
    <cellStyle name="Heading 2 2 3 4 2 20 2" xfId="39514"/>
    <cellStyle name="Heading 2 2 3 4 2 21" xfId="39515"/>
    <cellStyle name="Heading 2 2 3 4 2 21 2" xfId="39516"/>
    <cellStyle name="Heading 2 2 3 4 2 22" xfId="39517"/>
    <cellStyle name="Heading 2 2 3 4 2 22 2" xfId="39518"/>
    <cellStyle name="Heading 2 2 3 4 2 23" xfId="39519"/>
    <cellStyle name="Heading 2 2 3 4 2 3" xfId="39520"/>
    <cellStyle name="Heading 2 2 3 4 2 3 2" xfId="39521"/>
    <cellStyle name="Heading 2 2 3 4 2 3 2 2" xfId="39522"/>
    <cellStyle name="Heading 2 2 3 4 2 3 2 2 2" xfId="39523"/>
    <cellStyle name="Heading 2 2 3 4 2 3 2 3" xfId="39524"/>
    <cellStyle name="Heading 2 2 3 4 2 3 3" xfId="39525"/>
    <cellStyle name="Heading 2 2 3 4 2 3 3 2" xfId="39526"/>
    <cellStyle name="Heading 2 2 3 4 2 3 3 2 2" xfId="39527"/>
    <cellStyle name="Heading 2 2 3 4 2 3 3 3" xfId="39528"/>
    <cellStyle name="Heading 2 2 3 4 2 3 4" xfId="39529"/>
    <cellStyle name="Heading 2 2 3 4 2 3 4 2" xfId="39530"/>
    <cellStyle name="Heading 2 2 3 4 2 3 4 2 2" xfId="39531"/>
    <cellStyle name="Heading 2 2 3 4 2 3 4 3" xfId="39532"/>
    <cellStyle name="Heading 2 2 3 4 2 3 5" xfId="39533"/>
    <cellStyle name="Heading 2 2 3 4 2 3 5 2" xfId="39534"/>
    <cellStyle name="Heading 2 2 3 4 2 3 5 2 2" xfId="39535"/>
    <cellStyle name="Heading 2 2 3 4 2 3 5 3" xfId="39536"/>
    <cellStyle name="Heading 2 2 3 4 2 3 6" xfId="39537"/>
    <cellStyle name="Heading 2 2 3 4 2 3 6 2" xfId="39538"/>
    <cellStyle name="Heading 2 2 3 4 2 3 6 2 2" xfId="39539"/>
    <cellStyle name="Heading 2 2 3 4 2 3 6 3" xfId="39540"/>
    <cellStyle name="Heading 2 2 3 4 2 3 7" xfId="39541"/>
    <cellStyle name="Heading 2 2 3 4 2 3 7 2" xfId="39542"/>
    <cellStyle name="Heading 2 2 3 4 2 3 7 2 2" xfId="39543"/>
    <cellStyle name="Heading 2 2 3 4 2 3 7 3" xfId="39544"/>
    <cellStyle name="Heading 2 2 3 4 2 3 8" xfId="39545"/>
    <cellStyle name="Heading 2 2 3 4 2 3 8 2" xfId="39546"/>
    <cellStyle name="Heading 2 2 3 4 2 3 9" xfId="39547"/>
    <cellStyle name="Heading 2 2 3 4 2 4" xfId="39548"/>
    <cellStyle name="Heading 2 2 3 4 2 4 2" xfId="39549"/>
    <cellStyle name="Heading 2 2 3 4 2 4 2 2" xfId="39550"/>
    <cellStyle name="Heading 2 2 3 4 2 4 2 2 2" xfId="39551"/>
    <cellStyle name="Heading 2 2 3 4 2 4 2 3" xfId="39552"/>
    <cellStyle name="Heading 2 2 3 4 2 4 3" xfId="39553"/>
    <cellStyle name="Heading 2 2 3 4 2 4 3 2" xfId="39554"/>
    <cellStyle name="Heading 2 2 3 4 2 4 3 2 2" xfId="39555"/>
    <cellStyle name="Heading 2 2 3 4 2 4 3 3" xfId="39556"/>
    <cellStyle name="Heading 2 2 3 4 2 4 4" xfId="39557"/>
    <cellStyle name="Heading 2 2 3 4 2 4 4 2" xfId="39558"/>
    <cellStyle name="Heading 2 2 3 4 2 4 4 2 2" xfId="39559"/>
    <cellStyle name="Heading 2 2 3 4 2 4 4 3" xfId="39560"/>
    <cellStyle name="Heading 2 2 3 4 2 4 5" xfId="39561"/>
    <cellStyle name="Heading 2 2 3 4 2 4 5 2" xfId="39562"/>
    <cellStyle name="Heading 2 2 3 4 2 4 5 2 2" xfId="39563"/>
    <cellStyle name="Heading 2 2 3 4 2 4 5 3" xfId="39564"/>
    <cellStyle name="Heading 2 2 3 4 2 4 6" xfId="39565"/>
    <cellStyle name="Heading 2 2 3 4 2 4 6 2" xfId="39566"/>
    <cellStyle name="Heading 2 2 3 4 2 4 6 2 2" xfId="39567"/>
    <cellStyle name="Heading 2 2 3 4 2 4 6 3" xfId="39568"/>
    <cellStyle name="Heading 2 2 3 4 2 4 7" xfId="39569"/>
    <cellStyle name="Heading 2 2 3 4 2 4 7 2" xfId="39570"/>
    <cellStyle name="Heading 2 2 3 4 2 4 7 2 2" xfId="39571"/>
    <cellStyle name="Heading 2 2 3 4 2 4 7 3" xfId="39572"/>
    <cellStyle name="Heading 2 2 3 4 2 4 8" xfId="39573"/>
    <cellStyle name="Heading 2 2 3 4 2 4 8 2" xfId="39574"/>
    <cellStyle name="Heading 2 2 3 4 2 4 9" xfId="39575"/>
    <cellStyle name="Heading 2 2 3 4 2 5" xfId="39576"/>
    <cellStyle name="Heading 2 2 3 4 2 5 2" xfId="39577"/>
    <cellStyle name="Heading 2 2 3 4 2 5 2 2" xfId="39578"/>
    <cellStyle name="Heading 2 2 3 4 2 5 2 2 2" xfId="39579"/>
    <cellStyle name="Heading 2 2 3 4 2 5 2 3" xfId="39580"/>
    <cellStyle name="Heading 2 2 3 4 2 5 3" xfId="39581"/>
    <cellStyle name="Heading 2 2 3 4 2 5 3 2" xfId="39582"/>
    <cellStyle name="Heading 2 2 3 4 2 5 3 2 2" xfId="39583"/>
    <cellStyle name="Heading 2 2 3 4 2 5 3 3" xfId="39584"/>
    <cellStyle name="Heading 2 2 3 4 2 5 4" xfId="39585"/>
    <cellStyle name="Heading 2 2 3 4 2 5 4 2" xfId="39586"/>
    <cellStyle name="Heading 2 2 3 4 2 5 4 2 2" xfId="39587"/>
    <cellStyle name="Heading 2 2 3 4 2 5 4 3" xfId="39588"/>
    <cellStyle name="Heading 2 2 3 4 2 5 5" xfId="39589"/>
    <cellStyle name="Heading 2 2 3 4 2 5 5 2" xfId="39590"/>
    <cellStyle name="Heading 2 2 3 4 2 5 5 2 2" xfId="39591"/>
    <cellStyle name="Heading 2 2 3 4 2 5 5 3" xfId="39592"/>
    <cellStyle name="Heading 2 2 3 4 2 5 6" xfId="39593"/>
    <cellStyle name="Heading 2 2 3 4 2 5 6 2" xfId="39594"/>
    <cellStyle name="Heading 2 2 3 4 2 5 6 2 2" xfId="39595"/>
    <cellStyle name="Heading 2 2 3 4 2 5 6 3" xfId="39596"/>
    <cellStyle name="Heading 2 2 3 4 2 5 7" xfId="39597"/>
    <cellStyle name="Heading 2 2 3 4 2 5 7 2" xfId="39598"/>
    <cellStyle name="Heading 2 2 3 4 2 5 7 2 2" xfId="39599"/>
    <cellStyle name="Heading 2 2 3 4 2 5 7 3" xfId="39600"/>
    <cellStyle name="Heading 2 2 3 4 2 5 8" xfId="39601"/>
    <cellStyle name="Heading 2 2 3 4 2 5 8 2" xfId="39602"/>
    <cellStyle name="Heading 2 2 3 4 2 5 9" xfId="39603"/>
    <cellStyle name="Heading 2 2 3 4 2 6" xfId="39604"/>
    <cellStyle name="Heading 2 2 3 4 2 6 2" xfId="39605"/>
    <cellStyle name="Heading 2 2 3 4 2 6 2 2" xfId="39606"/>
    <cellStyle name="Heading 2 2 3 4 2 6 2 2 2" xfId="39607"/>
    <cellStyle name="Heading 2 2 3 4 2 6 2 3" xfId="39608"/>
    <cellStyle name="Heading 2 2 3 4 2 6 3" xfId="39609"/>
    <cellStyle name="Heading 2 2 3 4 2 6 3 2" xfId="39610"/>
    <cellStyle name="Heading 2 2 3 4 2 6 3 2 2" xfId="39611"/>
    <cellStyle name="Heading 2 2 3 4 2 6 3 3" xfId="39612"/>
    <cellStyle name="Heading 2 2 3 4 2 6 4" xfId="39613"/>
    <cellStyle name="Heading 2 2 3 4 2 6 4 2" xfId="39614"/>
    <cellStyle name="Heading 2 2 3 4 2 6 4 2 2" xfId="39615"/>
    <cellStyle name="Heading 2 2 3 4 2 6 4 3" xfId="39616"/>
    <cellStyle name="Heading 2 2 3 4 2 6 5" xfId="39617"/>
    <cellStyle name="Heading 2 2 3 4 2 6 5 2" xfId="39618"/>
    <cellStyle name="Heading 2 2 3 4 2 6 5 2 2" xfId="39619"/>
    <cellStyle name="Heading 2 2 3 4 2 6 5 3" xfId="39620"/>
    <cellStyle name="Heading 2 2 3 4 2 6 6" xfId="39621"/>
    <cellStyle name="Heading 2 2 3 4 2 6 6 2" xfId="39622"/>
    <cellStyle name="Heading 2 2 3 4 2 6 6 2 2" xfId="39623"/>
    <cellStyle name="Heading 2 2 3 4 2 6 6 3" xfId="39624"/>
    <cellStyle name="Heading 2 2 3 4 2 6 7" xfId="39625"/>
    <cellStyle name="Heading 2 2 3 4 2 6 7 2" xfId="39626"/>
    <cellStyle name="Heading 2 2 3 4 2 6 7 2 2" xfId="39627"/>
    <cellStyle name="Heading 2 2 3 4 2 6 7 3" xfId="39628"/>
    <cellStyle name="Heading 2 2 3 4 2 6 8" xfId="39629"/>
    <cellStyle name="Heading 2 2 3 4 2 6 8 2" xfId="39630"/>
    <cellStyle name="Heading 2 2 3 4 2 6 9" xfId="39631"/>
    <cellStyle name="Heading 2 2 3 4 2 7" xfId="39632"/>
    <cellStyle name="Heading 2 2 3 4 2 7 2" xfId="39633"/>
    <cellStyle name="Heading 2 2 3 4 2 7 2 2" xfId="39634"/>
    <cellStyle name="Heading 2 2 3 4 2 7 2 2 2" xfId="39635"/>
    <cellStyle name="Heading 2 2 3 4 2 7 2 3" xfId="39636"/>
    <cellStyle name="Heading 2 2 3 4 2 7 3" xfId="39637"/>
    <cellStyle name="Heading 2 2 3 4 2 7 3 2" xfId="39638"/>
    <cellStyle name="Heading 2 2 3 4 2 7 3 2 2" xfId="39639"/>
    <cellStyle name="Heading 2 2 3 4 2 7 3 3" xfId="39640"/>
    <cellStyle name="Heading 2 2 3 4 2 7 4" xfId="39641"/>
    <cellStyle name="Heading 2 2 3 4 2 7 4 2" xfId="39642"/>
    <cellStyle name="Heading 2 2 3 4 2 7 4 2 2" xfId="39643"/>
    <cellStyle name="Heading 2 2 3 4 2 7 4 3" xfId="39644"/>
    <cellStyle name="Heading 2 2 3 4 2 7 5" xfId="39645"/>
    <cellStyle name="Heading 2 2 3 4 2 7 5 2" xfId="39646"/>
    <cellStyle name="Heading 2 2 3 4 2 7 5 2 2" xfId="39647"/>
    <cellStyle name="Heading 2 2 3 4 2 7 5 3" xfId="39648"/>
    <cellStyle name="Heading 2 2 3 4 2 7 6" xfId="39649"/>
    <cellStyle name="Heading 2 2 3 4 2 7 6 2" xfId="39650"/>
    <cellStyle name="Heading 2 2 3 4 2 7 6 2 2" xfId="39651"/>
    <cellStyle name="Heading 2 2 3 4 2 7 6 3" xfId="39652"/>
    <cellStyle name="Heading 2 2 3 4 2 7 7" xfId="39653"/>
    <cellStyle name="Heading 2 2 3 4 2 7 7 2" xfId="39654"/>
    <cellStyle name="Heading 2 2 3 4 2 7 7 2 2" xfId="39655"/>
    <cellStyle name="Heading 2 2 3 4 2 7 7 3" xfId="39656"/>
    <cellStyle name="Heading 2 2 3 4 2 7 8" xfId="39657"/>
    <cellStyle name="Heading 2 2 3 4 2 7 8 2" xfId="39658"/>
    <cellStyle name="Heading 2 2 3 4 2 7 9" xfId="39659"/>
    <cellStyle name="Heading 2 2 3 4 2 8" xfId="39660"/>
    <cellStyle name="Heading 2 2 3 4 2 8 2" xfId="39661"/>
    <cellStyle name="Heading 2 2 3 4 2 8 2 2" xfId="39662"/>
    <cellStyle name="Heading 2 2 3 4 2 8 2 2 2" xfId="39663"/>
    <cellStyle name="Heading 2 2 3 4 2 8 2 3" xfId="39664"/>
    <cellStyle name="Heading 2 2 3 4 2 8 3" xfId="39665"/>
    <cellStyle name="Heading 2 2 3 4 2 8 3 2" xfId="39666"/>
    <cellStyle name="Heading 2 2 3 4 2 8 3 2 2" xfId="39667"/>
    <cellStyle name="Heading 2 2 3 4 2 8 3 3" xfId="39668"/>
    <cellStyle name="Heading 2 2 3 4 2 8 4" xfId="39669"/>
    <cellStyle name="Heading 2 2 3 4 2 8 4 2" xfId="39670"/>
    <cellStyle name="Heading 2 2 3 4 2 8 4 2 2" xfId="39671"/>
    <cellStyle name="Heading 2 2 3 4 2 8 4 3" xfId="39672"/>
    <cellStyle name="Heading 2 2 3 4 2 8 5" xfId="39673"/>
    <cellStyle name="Heading 2 2 3 4 2 8 5 2" xfId="39674"/>
    <cellStyle name="Heading 2 2 3 4 2 8 5 2 2" xfId="39675"/>
    <cellStyle name="Heading 2 2 3 4 2 8 5 3" xfId="39676"/>
    <cellStyle name="Heading 2 2 3 4 2 8 6" xfId="39677"/>
    <cellStyle name="Heading 2 2 3 4 2 8 6 2" xfId="39678"/>
    <cellStyle name="Heading 2 2 3 4 2 8 6 2 2" xfId="39679"/>
    <cellStyle name="Heading 2 2 3 4 2 8 6 3" xfId="39680"/>
    <cellStyle name="Heading 2 2 3 4 2 8 7" xfId="39681"/>
    <cellStyle name="Heading 2 2 3 4 2 8 7 2" xfId="39682"/>
    <cellStyle name="Heading 2 2 3 4 2 8 7 2 2" xfId="39683"/>
    <cellStyle name="Heading 2 2 3 4 2 8 7 3" xfId="39684"/>
    <cellStyle name="Heading 2 2 3 4 2 8 8" xfId="39685"/>
    <cellStyle name="Heading 2 2 3 4 2 8 8 2" xfId="39686"/>
    <cellStyle name="Heading 2 2 3 4 2 8 9" xfId="39687"/>
    <cellStyle name="Heading 2 2 3 4 2 9" xfId="39688"/>
    <cellStyle name="Heading 2 2 3 4 2 9 2" xfId="39689"/>
    <cellStyle name="Heading 2 2 3 4 2 9 2 2" xfId="39690"/>
    <cellStyle name="Heading 2 2 3 4 2 9 2 2 2" xfId="39691"/>
    <cellStyle name="Heading 2 2 3 4 2 9 2 3" xfId="39692"/>
    <cellStyle name="Heading 2 2 3 4 2 9 3" xfId="39693"/>
    <cellStyle name="Heading 2 2 3 4 2 9 3 2" xfId="39694"/>
    <cellStyle name="Heading 2 2 3 4 2 9 3 2 2" xfId="39695"/>
    <cellStyle name="Heading 2 2 3 4 2 9 3 3" xfId="39696"/>
    <cellStyle name="Heading 2 2 3 4 2 9 4" xfId="39697"/>
    <cellStyle name="Heading 2 2 3 4 2 9 4 2" xfId="39698"/>
    <cellStyle name="Heading 2 2 3 4 2 9 4 2 2" xfId="39699"/>
    <cellStyle name="Heading 2 2 3 4 2 9 4 3" xfId="39700"/>
    <cellStyle name="Heading 2 2 3 4 2 9 5" xfId="39701"/>
    <cellStyle name="Heading 2 2 3 4 2 9 5 2" xfId="39702"/>
    <cellStyle name="Heading 2 2 3 4 2 9 5 2 2" xfId="39703"/>
    <cellStyle name="Heading 2 2 3 4 2 9 5 3" xfId="39704"/>
    <cellStyle name="Heading 2 2 3 4 2 9 6" xfId="39705"/>
    <cellStyle name="Heading 2 2 3 4 2 9 6 2" xfId="39706"/>
    <cellStyle name="Heading 2 2 3 4 2 9 6 2 2" xfId="39707"/>
    <cellStyle name="Heading 2 2 3 4 2 9 6 3" xfId="39708"/>
    <cellStyle name="Heading 2 2 3 4 2 9 7" xfId="39709"/>
    <cellStyle name="Heading 2 2 3 4 2 9 7 2" xfId="39710"/>
    <cellStyle name="Heading 2 2 3 4 2 9 7 2 2" xfId="39711"/>
    <cellStyle name="Heading 2 2 3 4 2 9 7 3" xfId="39712"/>
    <cellStyle name="Heading 2 2 3 4 2 9 8" xfId="39713"/>
    <cellStyle name="Heading 2 2 3 4 2 9 8 2" xfId="39714"/>
    <cellStyle name="Heading 2 2 3 4 2 9 9" xfId="39715"/>
    <cellStyle name="Heading 2 2 3 4 3" xfId="39716"/>
    <cellStyle name="Heading 2 2 3 4 3 10" xfId="39717"/>
    <cellStyle name="Heading 2 2 3 4 3 10 2" xfId="39718"/>
    <cellStyle name="Heading 2 2 3 4 3 10 2 2" xfId="39719"/>
    <cellStyle name="Heading 2 2 3 4 3 10 3" xfId="39720"/>
    <cellStyle name="Heading 2 2 3 4 3 11" xfId="39721"/>
    <cellStyle name="Heading 2 2 3 4 3 11 2" xfId="39722"/>
    <cellStyle name="Heading 2 2 3 4 3 11 2 2" xfId="39723"/>
    <cellStyle name="Heading 2 2 3 4 3 11 3" xfId="39724"/>
    <cellStyle name="Heading 2 2 3 4 3 12" xfId="39725"/>
    <cellStyle name="Heading 2 2 3 4 3 12 2" xfId="39726"/>
    <cellStyle name="Heading 2 2 3 4 3 12 2 2" xfId="39727"/>
    <cellStyle name="Heading 2 2 3 4 3 12 3" xfId="39728"/>
    <cellStyle name="Heading 2 2 3 4 3 13" xfId="39729"/>
    <cellStyle name="Heading 2 2 3 4 3 13 2" xfId="39730"/>
    <cellStyle name="Heading 2 2 3 4 3 13 2 2" xfId="39731"/>
    <cellStyle name="Heading 2 2 3 4 3 13 3" xfId="39732"/>
    <cellStyle name="Heading 2 2 3 4 3 14" xfId="39733"/>
    <cellStyle name="Heading 2 2 3 4 3 14 2" xfId="39734"/>
    <cellStyle name="Heading 2 2 3 4 3 14 2 2" xfId="39735"/>
    <cellStyle name="Heading 2 2 3 4 3 14 3" xfId="39736"/>
    <cellStyle name="Heading 2 2 3 4 3 15" xfId="39737"/>
    <cellStyle name="Heading 2 2 3 4 3 15 2" xfId="39738"/>
    <cellStyle name="Heading 2 2 3 4 3 15 2 2" xfId="39739"/>
    <cellStyle name="Heading 2 2 3 4 3 15 3" xfId="39740"/>
    <cellStyle name="Heading 2 2 3 4 3 16" xfId="39741"/>
    <cellStyle name="Heading 2 2 3 4 3 16 2" xfId="39742"/>
    <cellStyle name="Heading 2 2 3 4 3 16 2 2" xfId="39743"/>
    <cellStyle name="Heading 2 2 3 4 3 16 3" xfId="39744"/>
    <cellStyle name="Heading 2 2 3 4 3 17" xfId="39745"/>
    <cellStyle name="Heading 2 2 3 4 3 17 2" xfId="39746"/>
    <cellStyle name="Heading 2 2 3 4 3 17 2 2" xfId="39747"/>
    <cellStyle name="Heading 2 2 3 4 3 17 3" xfId="39748"/>
    <cellStyle name="Heading 2 2 3 4 3 18" xfId="39749"/>
    <cellStyle name="Heading 2 2 3 4 3 18 2" xfId="39750"/>
    <cellStyle name="Heading 2 2 3 4 3 18 2 2" xfId="39751"/>
    <cellStyle name="Heading 2 2 3 4 3 18 3" xfId="39752"/>
    <cellStyle name="Heading 2 2 3 4 3 19" xfId="39753"/>
    <cellStyle name="Heading 2 2 3 4 3 19 2" xfId="39754"/>
    <cellStyle name="Heading 2 2 3 4 3 2" xfId="39755"/>
    <cellStyle name="Heading 2 2 3 4 3 2 2" xfId="39756"/>
    <cellStyle name="Heading 2 2 3 4 3 2 2 2" xfId="39757"/>
    <cellStyle name="Heading 2 2 3 4 3 2 2 2 2" xfId="39758"/>
    <cellStyle name="Heading 2 2 3 4 3 2 2 3" xfId="39759"/>
    <cellStyle name="Heading 2 2 3 4 3 2 3" xfId="39760"/>
    <cellStyle name="Heading 2 2 3 4 3 2 3 2" xfId="39761"/>
    <cellStyle name="Heading 2 2 3 4 3 2 3 2 2" xfId="39762"/>
    <cellStyle name="Heading 2 2 3 4 3 2 3 3" xfId="39763"/>
    <cellStyle name="Heading 2 2 3 4 3 2 4" xfId="39764"/>
    <cellStyle name="Heading 2 2 3 4 3 2 4 2" xfId="39765"/>
    <cellStyle name="Heading 2 2 3 4 3 2 4 2 2" xfId="39766"/>
    <cellStyle name="Heading 2 2 3 4 3 2 4 3" xfId="39767"/>
    <cellStyle name="Heading 2 2 3 4 3 2 5" xfId="39768"/>
    <cellStyle name="Heading 2 2 3 4 3 2 5 2" xfId="39769"/>
    <cellStyle name="Heading 2 2 3 4 3 2 5 2 2" xfId="39770"/>
    <cellStyle name="Heading 2 2 3 4 3 2 5 3" xfId="39771"/>
    <cellStyle name="Heading 2 2 3 4 3 2 6" xfId="39772"/>
    <cellStyle name="Heading 2 2 3 4 3 2 6 2" xfId="39773"/>
    <cellStyle name="Heading 2 2 3 4 3 2 6 2 2" xfId="39774"/>
    <cellStyle name="Heading 2 2 3 4 3 2 6 3" xfId="39775"/>
    <cellStyle name="Heading 2 2 3 4 3 2 7" xfId="39776"/>
    <cellStyle name="Heading 2 2 3 4 3 2 7 2" xfId="39777"/>
    <cellStyle name="Heading 2 2 3 4 3 2 7 2 2" xfId="39778"/>
    <cellStyle name="Heading 2 2 3 4 3 2 7 3" xfId="39779"/>
    <cellStyle name="Heading 2 2 3 4 3 2 8" xfId="39780"/>
    <cellStyle name="Heading 2 2 3 4 3 2 8 2" xfId="39781"/>
    <cellStyle name="Heading 2 2 3 4 3 2 9" xfId="39782"/>
    <cellStyle name="Heading 2 2 3 4 3 20" xfId="39783"/>
    <cellStyle name="Heading 2 2 3 4 3 20 2" xfId="39784"/>
    <cellStyle name="Heading 2 2 3 4 3 21" xfId="39785"/>
    <cellStyle name="Heading 2 2 3 4 3 21 2" xfId="39786"/>
    <cellStyle name="Heading 2 2 3 4 3 22" xfId="39787"/>
    <cellStyle name="Heading 2 2 3 4 3 3" xfId="39788"/>
    <cellStyle name="Heading 2 2 3 4 3 3 2" xfId="39789"/>
    <cellStyle name="Heading 2 2 3 4 3 3 2 2" xfId="39790"/>
    <cellStyle name="Heading 2 2 3 4 3 3 2 2 2" xfId="39791"/>
    <cellStyle name="Heading 2 2 3 4 3 3 2 3" xfId="39792"/>
    <cellStyle name="Heading 2 2 3 4 3 3 3" xfId="39793"/>
    <cellStyle name="Heading 2 2 3 4 3 3 3 2" xfId="39794"/>
    <cellStyle name="Heading 2 2 3 4 3 3 3 2 2" xfId="39795"/>
    <cellStyle name="Heading 2 2 3 4 3 3 3 3" xfId="39796"/>
    <cellStyle name="Heading 2 2 3 4 3 3 4" xfId="39797"/>
    <cellStyle name="Heading 2 2 3 4 3 3 4 2" xfId="39798"/>
    <cellStyle name="Heading 2 2 3 4 3 3 4 2 2" xfId="39799"/>
    <cellStyle name="Heading 2 2 3 4 3 3 4 3" xfId="39800"/>
    <cellStyle name="Heading 2 2 3 4 3 3 5" xfId="39801"/>
    <cellStyle name="Heading 2 2 3 4 3 3 5 2" xfId="39802"/>
    <cellStyle name="Heading 2 2 3 4 3 3 5 2 2" xfId="39803"/>
    <cellStyle name="Heading 2 2 3 4 3 3 5 3" xfId="39804"/>
    <cellStyle name="Heading 2 2 3 4 3 3 6" xfId="39805"/>
    <cellStyle name="Heading 2 2 3 4 3 3 6 2" xfId="39806"/>
    <cellStyle name="Heading 2 2 3 4 3 3 6 2 2" xfId="39807"/>
    <cellStyle name="Heading 2 2 3 4 3 3 6 3" xfId="39808"/>
    <cellStyle name="Heading 2 2 3 4 3 3 7" xfId="39809"/>
    <cellStyle name="Heading 2 2 3 4 3 3 7 2" xfId="39810"/>
    <cellStyle name="Heading 2 2 3 4 3 3 7 2 2" xfId="39811"/>
    <cellStyle name="Heading 2 2 3 4 3 3 7 3" xfId="39812"/>
    <cellStyle name="Heading 2 2 3 4 3 3 8" xfId="39813"/>
    <cellStyle name="Heading 2 2 3 4 3 3 8 2" xfId="39814"/>
    <cellStyle name="Heading 2 2 3 4 3 3 9" xfId="39815"/>
    <cellStyle name="Heading 2 2 3 4 3 4" xfId="39816"/>
    <cellStyle name="Heading 2 2 3 4 3 4 2" xfId="39817"/>
    <cellStyle name="Heading 2 2 3 4 3 4 2 2" xfId="39818"/>
    <cellStyle name="Heading 2 2 3 4 3 4 2 2 2" xfId="39819"/>
    <cellStyle name="Heading 2 2 3 4 3 4 2 3" xfId="39820"/>
    <cellStyle name="Heading 2 2 3 4 3 4 3" xfId="39821"/>
    <cellStyle name="Heading 2 2 3 4 3 4 3 2" xfId="39822"/>
    <cellStyle name="Heading 2 2 3 4 3 4 3 2 2" xfId="39823"/>
    <cellStyle name="Heading 2 2 3 4 3 4 3 3" xfId="39824"/>
    <cellStyle name="Heading 2 2 3 4 3 4 4" xfId="39825"/>
    <cellStyle name="Heading 2 2 3 4 3 4 4 2" xfId="39826"/>
    <cellStyle name="Heading 2 2 3 4 3 4 4 2 2" xfId="39827"/>
    <cellStyle name="Heading 2 2 3 4 3 4 4 3" xfId="39828"/>
    <cellStyle name="Heading 2 2 3 4 3 4 5" xfId="39829"/>
    <cellStyle name="Heading 2 2 3 4 3 4 5 2" xfId="39830"/>
    <cellStyle name="Heading 2 2 3 4 3 4 5 2 2" xfId="39831"/>
    <cellStyle name="Heading 2 2 3 4 3 4 5 3" xfId="39832"/>
    <cellStyle name="Heading 2 2 3 4 3 4 6" xfId="39833"/>
    <cellStyle name="Heading 2 2 3 4 3 4 6 2" xfId="39834"/>
    <cellStyle name="Heading 2 2 3 4 3 4 6 2 2" xfId="39835"/>
    <cellStyle name="Heading 2 2 3 4 3 4 6 3" xfId="39836"/>
    <cellStyle name="Heading 2 2 3 4 3 4 7" xfId="39837"/>
    <cellStyle name="Heading 2 2 3 4 3 4 7 2" xfId="39838"/>
    <cellStyle name="Heading 2 2 3 4 3 4 7 2 2" xfId="39839"/>
    <cellStyle name="Heading 2 2 3 4 3 4 7 3" xfId="39840"/>
    <cellStyle name="Heading 2 2 3 4 3 4 8" xfId="39841"/>
    <cellStyle name="Heading 2 2 3 4 3 4 8 2" xfId="39842"/>
    <cellStyle name="Heading 2 2 3 4 3 4 9" xfId="39843"/>
    <cellStyle name="Heading 2 2 3 4 3 5" xfId="39844"/>
    <cellStyle name="Heading 2 2 3 4 3 5 2" xfId="39845"/>
    <cellStyle name="Heading 2 2 3 4 3 5 2 2" xfId="39846"/>
    <cellStyle name="Heading 2 2 3 4 3 5 2 2 2" xfId="39847"/>
    <cellStyle name="Heading 2 2 3 4 3 5 2 3" xfId="39848"/>
    <cellStyle name="Heading 2 2 3 4 3 5 3" xfId="39849"/>
    <cellStyle name="Heading 2 2 3 4 3 5 3 2" xfId="39850"/>
    <cellStyle name="Heading 2 2 3 4 3 5 3 2 2" xfId="39851"/>
    <cellStyle name="Heading 2 2 3 4 3 5 3 3" xfId="39852"/>
    <cellStyle name="Heading 2 2 3 4 3 5 4" xfId="39853"/>
    <cellStyle name="Heading 2 2 3 4 3 5 4 2" xfId="39854"/>
    <cellStyle name="Heading 2 2 3 4 3 5 4 2 2" xfId="39855"/>
    <cellStyle name="Heading 2 2 3 4 3 5 4 3" xfId="39856"/>
    <cellStyle name="Heading 2 2 3 4 3 5 5" xfId="39857"/>
    <cellStyle name="Heading 2 2 3 4 3 5 5 2" xfId="39858"/>
    <cellStyle name="Heading 2 2 3 4 3 5 5 2 2" xfId="39859"/>
    <cellStyle name="Heading 2 2 3 4 3 5 5 3" xfId="39860"/>
    <cellStyle name="Heading 2 2 3 4 3 5 6" xfId="39861"/>
    <cellStyle name="Heading 2 2 3 4 3 5 6 2" xfId="39862"/>
    <cellStyle name="Heading 2 2 3 4 3 5 6 2 2" xfId="39863"/>
    <cellStyle name="Heading 2 2 3 4 3 5 6 3" xfId="39864"/>
    <cellStyle name="Heading 2 2 3 4 3 5 7" xfId="39865"/>
    <cellStyle name="Heading 2 2 3 4 3 5 7 2" xfId="39866"/>
    <cellStyle name="Heading 2 2 3 4 3 5 7 2 2" xfId="39867"/>
    <cellStyle name="Heading 2 2 3 4 3 5 7 3" xfId="39868"/>
    <cellStyle name="Heading 2 2 3 4 3 5 8" xfId="39869"/>
    <cellStyle name="Heading 2 2 3 4 3 5 8 2" xfId="39870"/>
    <cellStyle name="Heading 2 2 3 4 3 5 9" xfId="39871"/>
    <cellStyle name="Heading 2 2 3 4 3 6" xfId="39872"/>
    <cellStyle name="Heading 2 2 3 4 3 6 2" xfId="39873"/>
    <cellStyle name="Heading 2 2 3 4 3 6 2 2" xfId="39874"/>
    <cellStyle name="Heading 2 2 3 4 3 6 2 2 2" xfId="39875"/>
    <cellStyle name="Heading 2 2 3 4 3 6 2 3" xfId="39876"/>
    <cellStyle name="Heading 2 2 3 4 3 6 3" xfId="39877"/>
    <cellStyle name="Heading 2 2 3 4 3 6 3 2" xfId="39878"/>
    <cellStyle name="Heading 2 2 3 4 3 6 3 2 2" xfId="39879"/>
    <cellStyle name="Heading 2 2 3 4 3 6 3 3" xfId="39880"/>
    <cellStyle name="Heading 2 2 3 4 3 6 4" xfId="39881"/>
    <cellStyle name="Heading 2 2 3 4 3 6 4 2" xfId="39882"/>
    <cellStyle name="Heading 2 2 3 4 3 6 4 2 2" xfId="39883"/>
    <cellStyle name="Heading 2 2 3 4 3 6 4 3" xfId="39884"/>
    <cellStyle name="Heading 2 2 3 4 3 6 5" xfId="39885"/>
    <cellStyle name="Heading 2 2 3 4 3 6 5 2" xfId="39886"/>
    <cellStyle name="Heading 2 2 3 4 3 6 5 2 2" xfId="39887"/>
    <cellStyle name="Heading 2 2 3 4 3 6 5 3" xfId="39888"/>
    <cellStyle name="Heading 2 2 3 4 3 6 6" xfId="39889"/>
    <cellStyle name="Heading 2 2 3 4 3 6 6 2" xfId="39890"/>
    <cellStyle name="Heading 2 2 3 4 3 6 6 2 2" xfId="39891"/>
    <cellStyle name="Heading 2 2 3 4 3 6 6 3" xfId="39892"/>
    <cellStyle name="Heading 2 2 3 4 3 6 7" xfId="39893"/>
    <cellStyle name="Heading 2 2 3 4 3 6 7 2" xfId="39894"/>
    <cellStyle name="Heading 2 2 3 4 3 6 7 2 2" xfId="39895"/>
    <cellStyle name="Heading 2 2 3 4 3 6 7 3" xfId="39896"/>
    <cellStyle name="Heading 2 2 3 4 3 6 8" xfId="39897"/>
    <cellStyle name="Heading 2 2 3 4 3 6 8 2" xfId="39898"/>
    <cellStyle name="Heading 2 2 3 4 3 6 9" xfId="39899"/>
    <cellStyle name="Heading 2 2 3 4 3 7" xfId="39900"/>
    <cellStyle name="Heading 2 2 3 4 3 7 2" xfId="39901"/>
    <cellStyle name="Heading 2 2 3 4 3 7 2 2" xfId="39902"/>
    <cellStyle name="Heading 2 2 3 4 3 7 2 2 2" xfId="39903"/>
    <cellStyle name="Heading 2 2 3 4 3 7 2 3" xfId="39904"/>
    <cellStyle name="Heading 2 2 3 4 3 7 3" xfId="39905"/>
    <cellStyle name="Heading 2 2 3 4 3 7 3 2" xfId="39906"/>
    <cellStyle name="Heading 2 2 3 4 3 7 3 2 2" xfId="39907"/>
    <cellStyle name="Heading 2 2 3 4 3 7 3 3" xfId="39908"/>
    <cellStyle name="Heading 2 2 3 4 3 7 4" xfId="39909"/>
    <cellStyle name="Heading 2 2 3 4 3 7 4 2" xfId="39910"/>
    <cellStyle name="Heading 2 2 3 4 3 7 4 2 2" xfId="39911"/>
    <cellStyle name="Heading 2 2 3 4 3 7 4 3" xfId="39912"/>
    <cellStyle name="Heading 2 2 3 4 3 7 5" xfId="39913"/>
    <cellStyle name="Heading 2 2 3 4 3 7 5 2" xfId="39914"/>
    <cellStyle name="Heading 2 2 3 4 3 7 5 2 2" xfId="39915"/>
    <cellStyle name="Heading 2 2 3 4 3 7 5 3" xfId="39916"/>
    <cellStyle name="Heading 2 2 3 4 3 7 6" xfId="39917"/>
    <cellStyle name="Heading 2 2 3 4 3 7 6 2" xfId="39918"/>
    <cellStyle name="Heading 2 2 3 4 3 7 6 2 2" xfId="39919"/>
    <cellStyle name="Heading 2 2 3 4 3 7 6 3" xfId="39920"/>
    <cellStyle name="Heading 2 2 3 4 3 7 7" xfId="39921"/>
    <cellStyle name="Heading 2 2 3 4 3 7 7 2" xfId="39922"/>
    <cellStyle name="Heading 2 2 3 4 3 7 7 2 2" xfId="39923"/>
    <cellStyle name="Heading 2 2 3 4 3 7 7 3" xfId="39924"/>
    <cellStyle name="Heading 2 2 3 4 3 7 8" xfId="39925"/>
    <cellStyle name="Heading 2 2 3 4 3 7 8 2" xfId="39926"/>
    <cellStyle name="Heading 2 2 3 4 3 7 9" xfId="39927"/>
    <cellStyle name="Heading 2 2 3 4 3 8" xfId="39928"/>
    <cellStyle name="Heading 2 2 3 4 3 8 2" xfId="39929"/>
    <cellStyle name="Heading 2 2 3 4 3 8 2 2" xfId="39930"/>
    <cellStyle name="Heading 2 2 3 4 3 8 2 2 2" xfId="39931"/>
    <cellStyle name="Heading 2 2 3 4 3 8 2 3" xfId="39932"/>
    <cellStyle name="Heading 2 2 3 4 3 8 3" xfId="39933"/>
    <cellStyle name="Heading 2 2 3 4 3 8 3 2" xfId="39934"/>
    <cellStyle name="Heading 2 2 3 4 3 8 3 2 2" xfId="39935"/>
    <cellStyle name="Heading 2 2 3 4 3 8 3 3" xfId="39936"/>
    <cellStyle name="Heading 2 2 3 4 3 8 4" xfId="39937"/>
    <cellStyle name="Heading 2 2 3 4 3 8 4 2" xfId="39938"/>
    <cellStyle name="Heading 2 2 3 4 3 8 4 2 2" xfId="39939"/>
    <cellStyle name="Heading 2 2 3 4 3 8 4 3" xfId="39940"/>
    <cellStyle name="Heading 2 2 3 4 3 8 5" xfId="39941"/>
    <cellStyle name="Heading 2 2 3 4 3 8 5 2" xfId="39942"/>
    <cellStyle name="Heading 2 2 3 4 3 8 5 2 2" xfId="39943"/>
    <cellStyle name="Heading 2 2 3 4 3 8 5 3" xfId="39944"/>
    <cellStyle name="Heading 2 2 3 4 3 8 6" xfId="39945"/>
    <cellStyle name="Heading 2 2 3 4 3 8 6 2" xfId="39946"/>
    <cellStyle name="Heading 2 2 3 4 3 8 6 2 2" xfId="39947"/>
    <cellStyle name="Heading 2 2 3 4 3 8 6 3" xfId="39948"/>
    <cellStyle name="Heading 2 2 3 4 3 8 7" xfId="39949"/>
    <cellStyle name="Heading 2 2 3 4 3 8 7 2" xfId="39950"/>
    <cellStyle name="Heading 2 2 3 4 3 8 7 2 2" xfId="39951"/>
    <cellStyle name="Heading 2 2 3 4 3 8 7 3" xfId="39952"/>
    <cellStyle name="Heading 2 2 3 4 3 8 8" xfId="39953"/>
    <cellStyle name="Heading 2 2 3 4 3 8 8 2" xfId="39954"/>
    <cellStyle name="Heading 2 2 3 4 3 8 9" xfId="39955"/>
    <cellStyle name="Heading 2 2 3 4 3 9" xfId="39956"/>
    <cellStyle name="Heading 2 2 3 4 3 9 2" xfId="39957"/>
    <cellStyle name="Heading 2 2 3 4 3 9 2 2" xfId="39958"/>
    <cellStyle name="Heading 2 2 3 4 3 9 3" xfId="39959"/>
    <cellStyle name="Heading 2 2 3 4 4" xfId="39960"/>
    <cellStyle name="Heading 2 2 3 4 4 2" xfId="39961"/>
    <cellStyle name="Heading 2 2 3 4 4 2 2" xfId="39962"/>
    <cellStyle name="Heading 2 2 3 4 4 3" xfId="39963"/>
    <cellStyle name="Heading 2 2 3 4 5" xfId="39964"/>
    <cellStyle name="Heading 2 2 3 4 5 2" xfId="39965"/>
    <cellStyle name="Heading 2 2 3 4 6" xfId="39966"/>
    <cellStyle name="Heading 2 2 3 5" xfId="39967"/>
    <cellStyle name="Heading 2 2 3 5 2" xfId="39968"/>
    <cellStyle name="Heading 2 2 3 5 2 10" xfId="39969"/>
    <cellStyle name="Heading 2 2 3 5 2 10 2" xfId="39970"/>
    <cellStyle name="Heading 2 2 3 5 2 10 2 2" xfId="39971"/>
    <cellStyle name="Heading 2 2 3 5 2 10 3" xfId="39972"/>
    <cellStyle name="Heading 2 2 3 5 2 11" xfId="39973"/>
    <cellStyle name="Heading 2 2 3 5 2 11 2" xfId="39974"/>
    <cellStyle name="Heading 2 2 3 5 2 11 2 2" xfId="39975"/>
    <cellStyle name="Heading 2 2 3 5 2 11 3" xfId="39976"/>
    <cellStyle name="Heading 2 2 3 5 2 12" xfId="39977"/>
    <cellStyle name="Heading 2 2 3 5 2 12 2" xfId="39978"/>
    <cellStyle name="Heading 2 2 3 5 2 12 2 2" xfId="39979"/>
    <cellStyle name="Heading 2 2 3 5 2 12 3" xfId="39980"/>
    <cellStyle name="Heading 2 2 3 5 2 13" xfId="39981"/>
    <cellStyle name="Heading 2 2 3 5 2 13 2" xfId="39982"/>
    <cellStyle name="Heading 2 2 3 5 2 13 2 2" xfId="39983"/>
    <cellStyle name="Heading 2 2 3 5 2 13 3" xfId="39984"/>
    <cellStyle name="Heading 2 2 3 5 2 14" xfId="39985"/>
    <cellStyle name="Heading 2 2 3 5 2 14 2" xfId="39986"/>
    <cellStyle name="Heading 2 2 3 5 2 14 2 2" xfId="39987"/>
    <cellStyle name="Heading 2 2 3 5 2 14 3" xfId="39988"/>
    <cellStyle name="Heading 2 2 3 5 2 15" xfId="39989"/>
    <cellStyle name="Heading 2 2 3 5 2 15 2" xfId="39990"/>
    <cellStyle name="Heading 2 2 3 5 2 15 2 2" xfId="39991"/>
    <cellStyle name="Heading 2 2 3 5 2 15 3" xfId="39992"/>
    <cellStyle name="Heading 2 2 3 5 2 16" xfId="39993"/>
    <cellStyle name="Heading 2 2 3 5 2 16 2" xfId="39994"/>
    <cellStyle name="Heading 2 2 3 5 2 16 2 2" xfId="39995"/>
    <cellStyle name="Heading 2 2 3 5 2 16 3" xfId="39996"/>
    <cellStyle name="Heading 2 2 3 5 2 17" xfId="39997"/>
    <cellStyle name="Heading 2 2 3 5 2 17 2" xfId="39998"/>
    <cellStyle name="Heading 2 2 3 5 2 17 2 2" xfId="39999"/>
    <cellStyle name="Heading 2 2 3 5 2 17 3" xfId="40000"/>
    <cellStyle name="Heading 2 2 3 5 2 18" xfId="40001"/>
    <cellStyle name="Heading 2 2 3 5 2 18 2" xfId="40002"/>
    <cellStyle name="Heading 2 2 3 5 2 18 2 2" xfId="40003"/>
    <cellStyle name="Heading 2 2 3 5 2 18 3" xfId="40004"/>
    <cellStyle name="Heading 2 2 3 5 2 19" xfId="40005"/>
    <cellStyle name="Heading 2 2 3 5 2 19 2" xfId="40006"/>
    <cellStyle name="Heading 2 2 3 5 2 19 2 2" xfId="40007"/>
    <cellStyle name="Heading 2 2 3 5 2 19 3" xfId="40008"/>
    <cellStyle name="Heading 2 2 3 5 2 2" xfId="40009"/>
    <cellStyle name="Heading 2 2 3 5 2 2 10" xfId="40010"/>
    <cellStyle name="Heading 2 2 3 5 2 2 10 2" xfId="40011"/>
    <cellStyle name="Heading 2 2 3 5 2 2 10 2 2" xfId="40012"/>
    <cellStyle name="Heading 2 2 3 5 2 2 10 3" xfId="40013"/>
    <cellStyle name="Heading 2 2 3 5 2 2 11" xfId="40014"/>
    <cellStyle name="Heading 2 2 3 5 2 2 11 2" xfId="40015"/>
    <cellStyle name="Heading 2 2 3 5 2 2 11 2 2" xfId="40016"/>
    <cellStyle name="Heading 2 2 3 5 2 2 11 3" xfId="40017"/>
    <cellStyle name="Heading 2 2 3 5 2 2 12" xfId="40018"/>
    <cellStyle name="Heading 2 2 3 5 2 2 12 2" xfId="40019"/>
    <cellStyle name="Heading 2 2 3 5 2 2 12 2 2" xfId="40020"/>
    <cellStyle name="Heading 2 2 3 5 2 2 12 3" xfId="40021"/>
    <cellStyle name="Heading 2 2 3 5 2 2 13" xfId="40022"/>
    <cellStyle name="Heading 2 2 3 5 2 2 13 2" xfId="40023"/>
    <cellStyle name="Heading 2 2 3 5 2 2 13 2 2" xfId="40024"/>
    <cellStyle name="Heading 2 2 3 5 2 2 13 3" xfId="40025"/>
    <cellStyle name="Heading 2 2 3 5 2 2 14" xfId="40026"/>
    <cellStyle name="Heading 2 2 3 5 2 2 14 2" xfId="40027"/>
    <cellStyle name="Heading 2 2 3 5 2 2 14 2 2" xfId="40028"/>
    <cellStyle name="Heading 2 2 3 5 2 2 14 3" xfId="40029"/>
    <cellStyle name="Heading 2 2 3 5 2 2 15" xfId="40030"/>
    <cellStyle name="Heading 2 2 3 5 2 2 15 2" xfId="40031"/>
    <cellStyle name="Heading 2 2 3 5 2 2 15 2 2" xfId="40032"/>
    <cellStyle name="Heading 2 2 3 5 2 2 15 3" xfId="40033"/>
    <cellStyle name="Heading 2 2 3 5 2 2 16" xfId="40034"/>
    <cellStyle name="Heading 2 2 3 5 2 2 16 2" xfId="40035"/>
    <cellStyle name="Heading 2 2 3 5 2 2 16 2 2" xfId="40036"/>
    <cellStyle name="Heading 2 2 3 5 2 2 16 3" xfId="40037"/>
    <cellStyle name="Heading 2 2 3 5 2 2 17" xfId="40038"/>
    <cellStyle name="Heading 2 2 3 5 2 2 17 2" xfId="40039"/>
    <cellStyle name="Heading 2 2 3 5 2 2 17 2 2" xfId="40040"/>
    <cellStyle name="Heading 2 2 3 5 2 2 17 3" xfId="40041"/>
    <cellStyle name="Heading 2 2 3 5 2 2 18" xfId="40042"/>
    <cellStyle name="Heading 2 2 3 5 2 2 18 2" xfId="40043"/>
    <cellStyle name="Heading 2 2 3 5 2 2 18 2 2" xfId="40044"/>
    <cellStyle name="Heading 2 2 3 5 2 2 18 3" xfId="40045"/>
    <cellStyle name="Heading 2 2 3 5 2 2 19" xfId="40046"/>
    <cellStyle name="Heading 2 2 3 5 2 2 19 2" xfId="40047"/>
    <cellStyle name="Heading 2 2 3 5 2 2 2" xfId="40048"/>
    <cellStyle name="Heading 2 2 3 5 2 2 2 2" xfId="40049"/>
    <cellStyle name="Heading 2 2 3 5 2 2 2 2 2" xfId="40050"/>
    <cellStyle name="Heading 2 2 3 5 2 2 2 2 2 2" xfId="40051"/>
    <cellStyle name="Heading 2 2 3 5 2 2 2 2 3" xfId="40052"/>
    <cellStyle name="Heading 2 2 3 5 2 2 2 3" xfId="40053"/>
    <cellStyle name="Heading 2 2 3 5 2 2 2 3 2" xfId="40054"/>
    <cellStyle name="Heading 2 2 3 5 2 2 2 3 2 2" xfId="40055"/>
    <cellStyle name="Heading 2 2 3 5 2 2 2 3 3" xfId="40056"/>
    <cellStyle name="Heading 2 2 3 5 2 2 2 4" xfId="40057"/>
    <cellStyle name="Heading 2 2 3 5 2 2 2 4 2" xfId="40058"/>
    <cellStyle name="Heading 2 2 3 5 2 2 2 4 2 2" xfId="40059"/>
    <cellStyle name="Heading 2 2 3 5 2 2 2 4 3" xfId="40060"/>
    <cellStyle name="Heading 2 2 3 5 2 2 2 5" xfId="40061"/>
    <cellStyle name="Heading 2 2 3 5 2 2 2 5 2" xfId="40062"/>
    <cellStyle name="Heading 2 2 3 5 2 2 2 5 2 2" xfId="40063"/>
    <cellStyle name="Heading 2 2 3 5 2 2 2 5 3" xfId="40064"/>
    <cellStyle name="Heading 2 2 3 5 2 2 2 6" xfId="40065"/>
    <cellStyle name="Heading 2 2 3 5 2 2 2 6 2" xfId="40066"/>
    <cellStyle name="Heading 2 2 3 5 2 2 2 6 2 2" xfId="40067"/>
    <cellStyle name="Heading 2 2 3 5 2 2 2 6 3" xfId="40068"/>
    <cellStyle name="Heading 2 2 3 5 2 2 2 7" xfId="40069"/>
    <cellStyle name="Heading 2 2 3 5 2 2 2 7 2" xfId="40070"/>
    <cellStyle name="Heading 2 2 3 5 2 2 2 7 2 2" xfId="40071"/>
    <cellStyle name="Heading 2 2 3 5 2 2 2 7 3" xfId="40072"/>
    <cellStyle name="Heading 2 2 3 5 2 2 2 8" xfId="40073"/>
    <cellStyle name="Heading 2 2 3 5 2 2 2 8 2" xfId="40074"/>
    <cellStyle name="Heading 2 2 3 5 2 2 2 9" xfId="40075"/>
    <cellStyle name="Heading 2 2 3 5 2 2 20" xfId="40076"/>
    <cellStyle name="Heading 2 2 3 5 2 2 20 2" xfId="40077"/>
    <cellStyle name="Heading 2 2 3 5 2 2 21" xfId="40078"/>
    <cellStyle name="Heading 2 2 3 5 2 2 21 2" xfId="40079"/>
    <cellStyle name="Heading 2 2 3 5 2 2 22" xfId="40080"/>
    <cellStyle name="Heading 2 2 3 5 2 2 3" xfId="40081"/>
    <cellStyle name="Heading 2 2 3 5 2 2 3 2" xfId="40082"/>
    <cellStyle name="Heading 2 2 3 5 2 2 3 2 2" xfId="40083"/>
    <cellStyle name="Heading 2 2 3 5 2 2 3 2 2 2" xfId="40084"/>
    <cellStyle name="Heading 2 2 3 5 2 2 3 2 3" xfId="40085"/>
    <cellStyle name="Heading 2 2 3 5 2 2 3 3" xfId="40086"/>
    <cellStyle name="Heading 2 2 3 5 2 2 3 3 2" xfId="40087"/>
    <cellStyle name="Heading 2 2 3 5 2 2 3 3 2 2" xfId="40088"/>
    <cellStyle name="Heading 2 2 3 5 2 2 3 3 3" xfId="40089"/>
    <cellStyle name="Heading 2 2 3 5 2 2 3 4" xfId="40090"/>
    <cellStyle name="Heading 2 2 3 5 2 2 3 4 2" xfId="40091"/>
    <cellStyle name="Heading 2 2 3 5 2 2 3 4 2 2" xfId="40092"/>
    <cellStyle name="Heading 2 2 3 5 2 2 3 4 3" xfId="40093"/>
    <cellStyle name="Heading 2 2 3 5 2 2 3 5" xfId="40094"/>
    <cellStyle name="Heading 2 2 3 5 2 2 3 5 2" xfId="40095"/>
    <cellStyle name="Heading 2 2 3 5 2 2 3 5 2 2" xfId="40096"/>
    <cellStyle name="Heading 2 2 3 5 2 2 3 5 3" xfId="40097"/>
    <cellStyle name="Heading 2 2 3 5 2 2 3 6" xfId="40098"/>
    <cellStyle name="Heading 2 2 3 5 2 2 3 6 2" xfId="40099"/>
    <cellStyle name="Heading 2 2 3 5 2 2 3 6 2 2" xfId="40100"/>
    <cellStyle name="Heading 2 2 3 5 2 2 3 6 3" xfId="40101"/>
    <cellStyle name="Heading 2 2 3 5 2 2 3 7" xfId="40102"/>
    <cellStyle name="Heading 2 2 3 5 2 2 3 7 2" xfId="40103"/>
    <cellStyle name="Heading 2 2 3 5 2 2 3 7 2 2" xfId="40104"/>
    <cellStyle name="Heading 2 2 3 5 2 2 3 7 3" xfId="40105"/>
    <cellStyle name="Heading 2 2 3 5 2 2 3 8" xfId="40106"/>
    <cellStyle name="Heading 2 2 3 5 2 2 3 8 2" xfId="40107"/>
    <cellStyle name="Heading 2 2 3 5 2 2 3 9" xfId="40108"/>
    <cellStyle name="Heading 2 2 3 5 2 2 4" xfId="40109"/>
    <cellStyle name="Heading 2 2 3 5 2 2 4 2" xfId="40110"/>
    <cellStyle name="Heading 2 2 3 5 2 2 4 2 2" xfId="40111"/>
    <cellStyle name="Heading 2 2 3 5 2 2 4 2 2 2" xfId="40112"/>
    <cellStyle name="Heading 2 2 3 5 2 2 4 2 3" xfId="40113"/>
    <cellStyle name="Heading 2 2 3 5 2 2 4 3" xfId="40114"/>
    <cellStyle name="Heading 2 2 3 5 2 2 4 3 2" xfId="40115"/>
    <cellStyle name="Heading 2 2 3 5 2 2 4 3 2 2" xfId="40116"/>
    <cellStyle name="Heading 2 2 3 5 2 2 4 3 3" xfId="40117"/>
    <cellStyle name="Heading 2 2 3 5 2 2 4 4" xfId="40118"/>
    <cellStyle name="Heading 2 2 3 5 2 2 4 4 2" xfId="40119"/>
    <cellStyle name="Heading 2 2 3 5 2 2 4 4 2 2" xfId="40120"/>
    <cellStyle name="Heading 2 2 3 5 2 2 4 4 3" xfId="40121"/>
    <cellStyle name="Heading 2 2 3 5 2 2 4 5" xfId="40122"/>
    <cellStyle name="Heading 2 2 3 5 2 2 4 5 2" xfId="40123"/>
    <cellStyle name="Heading 2 2 3 5 2 2 4 5 2 2" xfId="40124"/>
    <cellStyle name="Heading 2 2 3 5 2 2 4 5 3" xfId="40125"/>
    <cellStyle name="Heading 2 2 3 5 2 2 4 6" xfId="40126"/>
    <cellStyle name="Heading 2 2 3 5 2 2 4 6 2" xfId="40127"/>
    <cellStyle name="Heading 2 2 3 5 2 2 4 6 2 2" xfId="40128"/>
    <cellStyle name="Heading 2 2 3 5 2 2 4 6 3" xfId="40129"/>
    <cellStyle name="Heading 2 2 3 5 2 2 4 7" xfId="40130"/>
    <cellStyle name="Heading 2 2 3 5 2 2 4 7 2" xfId="40131"/>
    <cellStyle name="Heading 2 2 3 5 2 2 4 7 2 2" xfId="40132"/>
    <cellStyle name="Heading 2 2 3 5 2 2 4 7 3" xfId="40133"/>
    <cellStyle name="Heading 2 2 3 5 2 2 4 8" xfId="40134"/>
    <cellStyle name="Heading 2 2 3 5 2 2 4 8 2" xfId="40135"/>
    <cellStyle name="Heading 2 2 3 5 2 2 4 9" xfId="40136"/>
    <cellStyle name="Heading 2 2 3 5 2 2 5" xfId="40137"/>
    <cellStyle name="Heading 2 2 3 5 2 2 5 2" xfId="40138"/>
    <cellStyle name="Heading 2 2 3 5 2 2 5 2 2" xfId="40139"/>
    <cellStyle name="Heading 2 2 3 5 2 2 5 2 2 2" xfId="40140"/>
    <cellStyle name="Heading 2 2 3 5 2 2 5 2 3" xfId="40141"/>
    <cellStyle name="Heading 2 2 3 5 2 2 5 3" xfId="40142"/>
    <cellStyle name="Heading 2 2 3 5 2 2 5 3 2" xfId="40143"/>
    <cellStyle name="Heading 2 2 3 5 2 2 5 3 2 2" xfId="40144"/>
    <cellStyle name="Heading 2 2 3 5 2 2 5 3 3" xfId="40145"/>
    <cellStyle name="Heading 2 2 3 5 2 2 5 4" xfId="40146"/>
    <cellStyle name="Heading 2 2 3 5 2 2 5 4 2" xfId="40147"/>
    <cellStyle name="Heading 2 2 3 5 2 2 5 4 2 2" xfId="40148"/>
    <cellStyle name="Heading 2 2 3 5 2 2 5 4 3" xfId="40149"/>
    <cellStyle name="Heading 2 2 3 5 2 2 5 5" xfId="40150"/>
    <cellStyle name="Heading 2 2 3 5 2 2 5 5 2" xfId="40151"/>
    <cellStyle name="Heading 2 2 3 5 2 2 5 5 2 2" xfId="40152"/>
    <cellStyle name="Heading 2 2 3 5 2 2 5 5 3" xfId="40153"/>
    <cellStyle name="Heading 2 2 3 5 2 2 5 6" xfId="40154"/>
    <cellStyle name="Heading 2 2 3 5 2 2 5 6 2" xfId="40155"/>
    <cellStyle name="Heading 2 2 3 5 2 2 5 6 2 2" xfId="40156"/>
    <cellStyle name="Heading 2 2 3 5 2 2 5 6 3" xfId="40157"/>
    <cellStyle name="Heading 2 2 3 5 2 2 5 7" xfId="40158"/>
    <cellStyle name="Heading 2 2 3 5 2 2 5 7 2" xfId="40159"/>
    <cellStyle name="Heading 2 2 3 5 2 2 5 7 2 2" xfId="40160"/>
    <cellStyle name="Heading 2 2 3 5 2 2 5 7 3" xfId="40161"/>
    <cellStyle name="Heading 2 2 3 5 2 2 5 8" xfId="40162"/>
    <cellStyle name="Heading 2 2 3 5 2 2 5 8 2" xfId="40163"/>
    <cellStyle name="Heading 2 2 3 5 2 2 5 9" xfId="40164"/>
    <cellStyle name="Heading 2 2 3 5 2 2 6" xfId="40165"/>
    <cellStyle name="Heading 2 2 3 5 2 2 6 2" xfId="40166"/>
    <cellStyle name="Heading 2 2 3 5 2 2 6 2 2" xfId="40167"/>
    <cellStyle name="Heading 2 2 3 5 2 2 6 2 2 2" xfId="40168"/>
    <cellStyle name="Heading 2 2 3 5 2 2 6 2 3" xfId="40169"/>
    <cellStyle name="Heading 2 2 3 5 2 2 6 3" xfId="40170"/>
    <cellStyle name="Heading 2 2 3 5 2 2 6 3 2" xfId="40171"/>
    <cellStyle name="Heading 2 2 3 5 2 2 6 3 2 2" xfId="40172"/>
    <cellStyle name="Heading 2 2 3 5 2 2 6 3 3" xfId="40173"/>
    <cellStyle name="Heading 2 2 3 5 2 2 6 4" xfId="40174"/>
    <cellStyle name="Heading 2 2 3 5 2 2 6 4 2" xfId="40175"/>
    <cellStyle name="Heading 2 2 3 5 2 2 6 4 2 2" xfId="40176"/>
    <cellStyle name="Heading 2 2 3 5 2 2 6 4 3" xfId="40177"/>
    <cellStyle name="Heading 2 2 3 5 2 2 6 5" xfId="40178"/>
    <cellStyle name="Heading 2 2 3 5 2 2 6 5 2" xfId="40179"/>
    <cellStyle name="Heading 2 2 3 5 2 2 6 5 2 2" xfId="40180"/>
    <cellStyle name="Heading 2 2 3 5 2 2 6 5 3" xfId="40181"/>
    <cellStyle name="Heading 2 2 3 5 2 2 6 6" xfId="40182"/>
    <cellStyle name="Heading 2 2 3 5 2 2 6 6 2" xfId="40183"/>
    <cellStyle name="Heading 2 2 3 5 2 2 6 6 2 2" xfId="40184"/>
    <cellStyle name="Heading 2 2 3 5 2 2 6 6 3" xfId="40185"/>
    <cellStyle name="Heading 2 2 3 5 2 2 6 7" xfId="40186"/>
    <cellStyle name="Heading 2 2 3 5 2 2 6 7 2" xfId="40187"/>
    <cellStyle name="Heading 2 2 3 5 2 2 6 7 2 2" xfId="40188"/>
    <cellStyle name="Heading 2 2 3 5 2 2 6 7 3" xfId="40189"/>
    <cellStyle name="Heading 2 2 3 5 2 2 6 8" xfId="40190"/>
    <cellStyle name="Heading 2 2 3 5 2 2 6 8 2" xfId="40191"/>
    <cellStyle name="Heading 2 2 3 5 2 2 6 9" xfId="40192"/>
    <cellStyle name="Heading 2 2 3 5 2 2 7" xfId="40193"/>
    <cellStyle name="Heading 2 2 3 5 2 2 7 2" xfId="40194"/>
    <cellStyle name="Heading 2 2 3 5 2 2 7 2 2" xfId="40195"/>
    <cellStyle name="Heading 2 2 3 5 2 2 7 2 2 2" xfId="40196"/>
    <cellStyle name="Heading 2 2 3 5 2 2 7 2 3" xfId="40197"/>
    <cellStyle name="Heading 2 2 3 5 2 2 7 3" xfId="40198"/>
    <cellStyle name="Heading 2 2 3 5 2 2 7 3 2" xfId="40199"/>
    <cellStyle name="Heading 2 2 3 5 2 2 7 3 2 2" xfId="40200"/>
    <cellStyle name="Heading 2 2 3 5 2 2 7 3 3" xfId="40201"/>
    <cellStyle name="Heading 2 2 3 5 2 2 7 4" xfId="40202"/>
    <cellStyle name="Heading 2 2 3 5 2 2 7 4 2" xfId="40203"/>
    <cellStyle name="Heading 2 2 3 5 2 2 7 4 2 2" xfId="40204"/>
    <cellStyle name="Heading 2 2 3 5 2 2 7 4 3" xfId="40205"/>
    <cellStyle name="Heading 2 2 3 5 2 2 7 5" xfId="40206"/>
    <cellStyle name="Heading 2 2 3 5 2 2 7 5 2" xfId="40207"/>
    <cellStyle name="Heading 2 2 3 5 2 2 7 5 2 2" xfId="40208"/>
    <cellStyle name="Heading 2 2 3 5 2 2 7 5 3" xfId="40209"/>
    <cellStyle name="Heading 2 2 3 5 2 2 7 6" xfId="40210"/>
    <cellStyle name="Heading 2 2 3 5 2 2 7 6 2" xfId="40211"/>
    <cellStyle name="Heading 2 2 3 5 2 2 7 6 2 2" xfId="40212"/>
    <cellStyle name="Heading 2 2 3 5 2 2 7 6 3" xfId="40213"/>
    <cellStyle name="Heading 2 2 3 5 2 2 7 7" xfId="40214"/>
    <cellStyle name="Heading 2 2 3 5 2 2 7 7 2" xfId="40215"/>
    <cellStyle name="Heading 2 2 3 5 2 2 7 7 2 2" xfId="40216"/>
    <cellStyle name="Heading 2 2 3 5 2 2 7 7 3" xfId="40217"/>
    <cellStyle name="Heading 2 2 3 5 2 2 7 8" xfId="40218"/>
    <cellStyle name="Heading 2 2 3 5 2 2 7 8 2" xfId="40219"/>
    <cellStyle name="Heading 2 2 3 5 2 2 7 9" xfId="40220"/>
    <cellStyle name="Heading 2 2 3 5 2 2 8" xfId="40221"/>
    <cellStyle name="Heading 2 2 3 5 2 2 8 2" xfId="40222"/>
    <cellStyle name="Heading 2 2 3 5 2 2 8 2 2" xfId="40223"/>
    <cellStyle name="Heading 2 2 3 5 2 2 8 2 2 2" xfId="40224"/>
    <cellStyle name="Heading 2 2 3 5 2 2 8 2 3" xfId="40225"/>
    <cellStyle name="Heading 2 2 3 5 2 2 8 3" xfId="40226"/>
    <cellStyle name="Heading 2 2 3 5 2 2 8 3 2" xfId="40227"/>
    <cellStyle name="Heading 2 2 3 5 2 2 8 3 2 2" xfId="40228"/>
    <cellStyle name="Heading 2 2 3 5 2 2 8 3 3" xfId="40229"/>
    <cellStyle name="Heading 2 2 3 5 2 2 8 4" xfId="40230"/>
    <cellStyle name="Heading 2 2 3 5 2 2 8 4 2" xfId="40231"/>
    <cellStyle name="Heading 2 2 3 5 2 2 8 4 2 2" xfId="40232"/>
    <cellStyle name="Heading 2 2 3 5 2 2 8 4 3" xfId="40233"/>
    <cellStyle name="Heading 2 2 3 5 2 2 8 5" xfId="40234"/>
    <cellStyle name="Heading 2 2 3 5 2 2 8 5 2" xfId="40235"/>
    <cellStyle name="Heading 2 2 3 5 2 2 8 5 2 2" xfId="40236"/>
    <cellStyle name="Heading 2 2 3 5 2 2 8 5 3" xfId="40237"/>
    <cellStyle name="Heading 2 2 3 5 2 2 8 6" xfId="40238"/>
    <cellStyle name="Heading 2 2 3 5 2 2 8 6 2" xfId="40239"/>
    <cellStyle name="Heading 2 2 3 5 2 2 8 6 2 2" xfId="40240"/>
    <cellStyle name="Heading 2 2 3 5 2 2 8 6 3" xfId="40241"/>
    <cellStyle name="Heading 2 2 3 5 2 2 8 7" xfId="40242"/>
    <cellStyle name="Heading 2 2 3 5 2 2 8 7 2" xfId="40243"/>
    <cellStyle name="Heading 2 2 3 5 2 2 8 7 2 2" xfId="40244"/>
    <cellStyle name="Heading 2 2 3 5 2 2 8 7 3" xfId="40245"/>
    <cellStyle name="Heading 2 2 3 5 2 2 8 8" xfId="40246"/>
    <cellStyle name="Heading 2 2 3 5 2 2 8 8 2" xfId="40247"/>
    <cellStyle name="Heading 2 2 3 5 2 2 8 9" xfId="40248"/>
    <cellStyle name="Heading 2 2 3 5 2 2 9" xfId="40249"/>
    <cellStyle name="Heading 2 2 3 5 2 2 9 2" xfId="40250"/>
    <cellStyle name="Heading 2 2 3 5 2 2 9 2 2" xfId="40251"/>
    <cellStyle name="Heading 2 2 3 5 2 2 9 3" xfId="40252"/>
    <cellStyle name="Heading 2 2 3 5 2 20" xfId="40253"/>
    <cellStyle name="Heading 2 2 3 5 2 20 2" xfId="40254"/>
    <cellStyle name="Heading 2 2 3 5 2 21" xfId="40255"/>
    <cellStyle name="Heading 2 2 3 5 2 21 2" xfId="40256"/>
    <cellStyle name="Heading 2 2 3 5 2 22" xfId="40257"/>
    <cellStyle name="Heading 2 2 3 5 2 22 2" xfId="40258"/>
    <cellStyle name="Heading 2 2 3 5 2 23" xfId="40259"/>
    <cellStyle name="Heading 2 2 3 5 2 3" xfId="40260"/>
    <cellStyle name="Heading 2 2 3 5 2 3 2" xfId="40261"/>
    <cellStyle name="Heading 2 2 3 5 2 3 2 2" xfId="40262"/>
    <cellStyle name="Heading 2 2 3 5 2 3 2 2 2" xfId="40263"/>
    <cellStyle name="Heading 2 2 3 5 2 3 2 3" xfId="40264"/>
    <cellStyle name="Heading 2 2 3 5 2 3 3" xfId="40265"/>
    <cellStyle name="Heading 2 2 3 5 2 3 3 2" xfId="40266"/>
    <cellStyle name="Heading 2 2 3 5 2 3 3 2 2" xfId="40267"/>
    <cellStyle name="Heading 2 2 3 5 2 3 3 3" xfId="40268"/>
    <cellStyle name="Heading 2 2 3 5 2 3 4" xfId="40269"/>
    <cellStyle name="Heading 2 2 3 5 2 3 4 2" xfId="40270"/>
    <cellStyle name="Heading 2 2 3 5 2 3 4 2 2" xfId="40271"/>
    <cellStyle name="Heading 2 2 3 5 2 3 4 3" xfId="40272"/>
    <cellStyle name="Heading 2 2 3 5 2 3 5" xfId="40273"/>
    <cellStyle name="Heading 2 2 3 5 2 3 5 2" xfId="40274"/>
    <cellStyle name="Heading 2 2 3 5 2 3 5 2 2" xfId="40275"/>
    <cellStyle name="Heading 2 2 3 5 2 3 5 3" xfId="40276"/>
    <cellStyle name="Heading 2 2 3 5 2 3 6" xfId="40277"/>
    <cellStyle name="Heading 2 2 3 5 2 3 6 2" xfId="40278"/>
    <cellStyle name="Heading 2 2 3 5 2 3 6 2 2" xfId="40279"/>
    <cellStyle name="Heading 2 2 3 5 2 3 6 3" xfId="40280"/>
    <cellStyle name="Heading 2 2 3 5 2 3 7" xfId="40281"/>
    <cellStyle name="Heading 2 2 3 5 2 3 7 2" xfId="40282"/>
    <cellStyle name="Heading 2 2 3 5 2 3 7 2 2" xfId="40283"/>
    <cellStyle name="Heading 2 2 3 5 2 3 7 3" xfId="40284"/>
    <cellStyle name="Heading 2 2 3 5 2 3 8" xfId="40285"/>
    <cellStyle name="Heading 2 2 3 5 2 3 8 2" xfId="40286"/>
    <cellStyle name="Heading 2 2 3 5 2 3 9" xfId="40287"/>
    <cellStyle name="Heading 2 2 3 5 2 4" xfId="40288"/>
    <cellStyle name="Heading 2 2 3 5 2 4 2" xfId="40289"/>
    <cellStyle name="Heading 2 2 3 5 2 4 2 2" xfId="40290"/>
    <cellStyle name="Heading 2 2 3 5 2 4 2 2 2" xfId="40291"/>
    <cellStyle name="Heading 2 2 3 5 2 4 2 3" xfId="40292"/>
    <cellStyle name="Heading 2 2 3 5 2 4 3" xfId="40293"/>
    <cellStyle name="Heading 2 2 3 5 2 4 3 2" xfId="40294"/>
    <cellStyle name="Heading 2 2 3 5 2 4 3 2 2" xfId="40295"/>
    <cellStyle name="Heading 2 2 3 5 2 4 3 3" xfId="40296"/>
    <cellStyle name="Heading 2 2 3 5 2 4 4" xfId="40297"/>
    <cellStyle name="Heading 2 2 3 5 2 4 4 2" xfId="40298"/>
    <cellStyle name="Heading 2 2 3 5 2 4 4 2 2" xfId="40299"/>
    <cellStyle name="Heading 2 2 3 5 2 4 4 3" xfId="40300"/>
    <cellStyle name="Heading 2 2 3 5 2 4 5" xfId="40301"/>
    <cellStyle name="Heading 2 2 3 5 2 4 5 2" xfId="40302"/>
    <cellStyle name="Heading 2 2 3 5 2 4 5 2 2" xfId="40303"/>
    <cellStyle name="Heading 2 2 3 5 2 4 5 3" xfId="40304"/>
    <cellStyle name="Heading 2 2 3 5 2 4 6" xfId="40305"/>
    <cellStyle name="Heading 2 2 3 5 2 4 6 2" xfId="40306"/>
    <cellStyle name="Heading 2 2 3 5 2 4 6 2 2" xfId="40307"/>
    <cellStyle name="Heading 2 2 3 5 2 4 6 3" xfId="40308"/>
    <cellStyle name="Heading 2 2 3 5 2 4 7" xfId="40309"/>
    <cellStyle name="Heading 2 2 3 5 2 4 7 2" xfId="40310"/>
    <cellStyle name="Heading 2 2 3 5 2 4 7 2 2" xfId="40311"/>
    <cellStyle name="Heading 2 2 3 5 2 4 7 3" xfId="40312"/>
    <cellStyle name="Heading 2 2 3 5 2 4 8" xfId="40313"/>
    <cellStyle name="Heading 2 2 3 5 2 4 8 2" xfId="40314"/>
    <cellStyle name="Heading 2 2 3 5 2 4 9" xfId="40315"/>
    <cellStyle name="Heading 2 2 3 5 2 5" xfId="40316"/>
    <cellStyle name="Heading 2 2 3 5 2 5 2" xfId="40317"/>
    <cellStyle name="Heading 2 2 3 5 2 5 2 2" xfId="40318"/>
    <cellStyle name="Heading 2 2 3 5 2 5 2 2 2" xfId="40319"/>
    <cellStyle name="Heading 2 2 3 5 2 5 2 3" xfId="40320"/>
    <cellStyle name="Heading 2 2 3 5 2 5 3" xfId="40321"/>
    <cellStyle name="Heading 2 2 3 5 2 5 3 2" xfId="40322"/>
    <cellStyle name="Heading 2 2 3 5 2 5 3 2 2" xfId="40323"/>
    <cellStyle name="Heading 2 2 3 5 2 5 3 3" xfId="40324"/>
    <cellStyle name="Heading 2 2 3 5 2 5 4" xfId="40325"/>
    <cellStyle name="Heading 2 2 3 5 2 5 4 2" xfId="40326"/>
    <cellStyle name="Heading 2 2 3 5 2 5 4 2 2" xfId="40327"/>
    <cellStyle name="Heading 2 2 3 5 2 5 4 3" xfId="40328"/>
    <cellStyle name="Heading 2 2 3 5 2 5 5" xfId="40329"/>
    <cellStyle name="Heading 2 2 3 5 2 5 5 2" xfId="40330"/>
    <cellStyle name="Heading 2 2 3 5 2 5 5 2 2" xfId="40331"/>
    <cellStyle name="Heading 2 2 3 5 2 5 5 3" xfId="40332"/>
    <cellStyle name="Heading 2 2 3 5 2 5 6" xfId="40333"/>
    <cellStyle name="Heading 2 2 3 5 2 5 6 2" xfId="40334"/>
    <cellStyle name="Heading 2 2 3 5 2 5 6 2 2" xfId="40335"/>
    <cellStyle name="Heading 2 2 3 5 2 5 6 3" xfId="40336"/>
    <cellStyle name="Heading 2 2 3 5 2 5 7" xfId="40337"/>
    <cellStyle name="Heading 2 2 3 5 2 5 7 2" xfId="40338"/>
    <cellStyle name="Heading 2 2 3 5 2 5 7 2 2" xfId="40339"/>
    <cellStyle name="Heading 2 2 3 5 2 5 7 3" xfId="40340"/>
    <cellStyle name="Heading 2 2 3 5 2 5 8" xfId="40341"/>
    <cellStyle name="Heading 2 2 3 5 2 5 8 2" xfId="40342"/>
    <cellStyle name="Heading 2 2 3 5 2 5 9" xfId="40343"/>
    <cellStyle name="Heading 2 2 3 5 2 6" xfId="40344"/>
    <cellStyle name="Heading 2 2 3 5 2 6 2" xfId="40345"/>
    <cellStyle name="Heading 2 2 3 5 2 6 2 2" xfId="40346"/>
    <cellStyle name="Heading 2 2 3 5 2 6 2 2 2" xfId="40347"/>
    <cellStyle name="Heading 2 2 3 5 2 6 2 3" xfId="40348"/>
    <cellStyle name="Heading 2 2 3 5 2 6 3" xfId="40349"/>
    <cellStyle name="Heading 2 2 3 5 2 6 3 2" xfId="40350"/>
    <cellStyle name="Heading 2 2 3 5 2 6 3 2 2" xfId="40351"/>
    <cellStyle name="Heading 2 2 3 5 2 6 3 3" xfId="40352"/>
    <cellStyle name="Heading 2 2 3 5 2 6 4" xfId="40353"/>
    <cellStyle name="Heading 2 2 3 5 2 6 4 2" xfId="40354"/>
    <cellStyle name="Heading 2 2 3 5 2 6 4 2 2" xfId="40355"/>
    <cellStyle name="Heading 2 2 3 5 2 6 4 3" xfId="40356"/>
    <cellStyle name="Heading 2 2 3 5 2 6 5" xfId="40357"/>
    <cellStyle name="Heading 2 2 3 5 2 6 5 2" xfId="40358"/>
    <cellStyle name="Heading 2 2 3 5 2 6 5 2 2" xfId="40359"/>
    <cellStyle name="Heading 2 2 3 5 2 6 5 3" xfId="40360"/>
    <cellStyle name="Heading 2 2 3 5 2 6 6" xfId="40361"/>
    <cellStyle name="Heading 2 2 3 5 2 6 6 2" xfId="40362"/>
    <cellStyle name="Heading 2 2 3 5 2 6 6 2 2" xfId="40363"/>
    <cellStyle name="Heading 2 2 3 5 2 6 6 3" xfId="40364"/>
    <cellStyle name="Heading 2 2 3 5 2 6 7" xfId="40365"/>
    <cellStyle name="Heading 2 2 3 5 2 6 7 2" xfId="40366"/>
    <cellStyle name="Heading 2 2 3 5 2 6 7 2 2" xfId="40367"/>
    <cellStyle name="Heading 2 2 3 5 2 6 7 3" xfId="40368"/>
    <cellStyle name="Heading 2 2 3 5 2 6 8" xfId="40369"/>
    <cellStyle name="Heading 2 2 3 5 2 6 8 2" xfId="40370"/>
    <cellStyle name="Heading 2 2 3 5 2 6 9" xfId="40371"/>
    <cellStyle name="Heading 2 2 3 5 2 7" xfId="40372"/>
    <cellStyle name="Heading 2 2 3 5 2 7 2" xfId="40373"/>
    <cellStyle name="Heading 2 2 3 5 2 7 2 2" xfId="40374"/>
    <cellStyle name="Heading 2 2 3 5 2 7 2 2 2" xfId="40375"/>
    <cellStyle name="Heading 2 2 3 5 2 7 2 3" xfId="40376"/>
    <cellStyle name="Heading 2 2 3 5 2 7 3" xfId="40377"/>
    <cellStyle name="Heading 2 2 3 5 2 7 3 2" xfId="40378"/>
    <cellStyle name="Heading 2 2 3 5 2 7 3 2 2" xfId="40379"/>
    <cellStyle name="Heading 2 2 3 5 2 7 3 3" xfId="40380"/>
    <cellStyle name="Heading 2 2 3 5 2 7 4" xfId="40381"/>
    <cellStyle name="Heading 2 2 3 5 2 7 4 2" xfId="40382"/>
    <cellStyle name="Heading 2 2 3 5 2 7 4 2 2" xfId="40383"/>
    <cellStyle name="Heading 2 2 3 5 2 7 4 3" xfId="40384"/>
    <cellStyle name="Heading 2 2 3 5 2 7 5" xfId="40385"/>
    <cellStyle name="Heading 2 2 3 5 2 7 5 2" xfId="40386"/>
    <cellStyle name="Heading 2 2 3 5 2 7 5 2 2" xfId="40387"/>
    <cellStyle name="Heading 2 2 3 5 2 7 5 3" xfId="40388"/>
    <cellStyle name="Heading 2 2 3 5 2 7 6" xfId="40389"/>
    <cellStyle name="Heading 2 2 3 5 2 7 6 2" xfId="40390"/>
    <cellStyle name="Heading 2 2 3 5 2 7 6 2 2" xfId="40391"/>
    <cellStyle name="Heading 2 2 3 5 2 7 6 3" xfId="40392"/>
    <cellStyle name="Heading 2 2 3 5 2 7 7" xfId="40393"/>
    <cellStyle name="Heading 2 2 3 5 2 7 7 2" xfId="40394"/>
    <cellStyle name="Heading 2 2 3 5 2 7 7 2 2" xfId="40395"/>
    <cellStyle name="Heading 2 2 3 5 2 7 7 3" xfId="40396"/>
    <cellStyle name="Heading 2 2 3 5 2 7 8" xfId="40397"/>
    <cellStyle name="Heading 2 2 3 5 2 7 8 2" xfId="40398"/>
    <cellStyle name="Heading 2 2 3 5 2 7 9" xfId="40399"/>
    <cellStyle name="Heading 2 2 3 5 2 8" xfId="40400"/>
    <cellStyle name="Heading 2 2 3 5 2 8 2" xfId="40401"/>
    <cellStyle name="Heading 2 2 3 5 2 8 2 2" xfId="40402"/>
    <cellStyle name="Heading 2 2 3 5 2 8 2 2 2" xfId="40403"/>
    <cellStyle name="Heading 2 2 3 5 2 8 2 3" xfId="40404"/>
    <cellStyle name="Heading 2 2 3 5 2 8 3" xfId="40405"/>
    <cellStyle name="Heading 2 2 3 5 2 8 3 2" xfId="40406"/>
    <cellStyle name="Heading 2 2 3 5 2 8 3 2 2" xfId="40407"/>
    <cellStyle name="Heading 2 2 3 5 2 8 3 3" xfId="40408"/>
    <cellStyle name="Heading 2 2 3 5 2 8 4" xfId="40409"/>
    <cellStyle name="Heading 2 2 3 5 2 8 4 2" xfId="40410"/>
    <cellStyle name="Heading 2 2 3 5 2 8 4 2 2" xfId="40411"/>
    <cellStyle name="Heading 2 2 3 5 2 8 4 3" xfId="40412"/>
    <cellStyle name="Heading 2 2 3 5 2 8 5" xfId="40413"/>
    <cellStyle name="Heading 2 2 3 5 2 8 5 2" xfId="40414"/>
    <cellStyle name="Heading 2 2 3 5 2 8 5 2 2" xfId="40415"/>
    <cellStyle name="Heading 2 2 3 5 2 8 5 3" xfId="40416"/>
    <cellStyle name="Heading 2 2 3 5 2 8 6" xfId="40417"/>
    <cellStyle name="Heading 2 2 3 5 2 8 6 2" xfId="40418"/>
    <cellStyle name="Heading 2 2 3 5 2 8 6 2 2" xfId="40419"/>
    <cellStyle name="Heading 2 2 3 5 2 8 6 3" xfId="40420"/>
    <cellStyle name="Heading 2 2 3 5 2 8 7" xfId="40421"/>
    <cellStyle name="Heading 2 2 3 5 2 8 7 2" xfId="40422"/>
    <cellStyle name="Heading 2 2 3 5 2 8 7 2 2" xfId="40423"/>
    <cellStyle name="Heading 2 2 3 5 2 8 7 3" xfId="40424"/>
    <cellStyle name="Heading 2 2 3 5 2 8 8" xfId="40425"/>
    <cellStyle name="Heading 2 2 3 5 2 8 8 2" xfId="40426"/>
    <cellStyle name="Heading 2 2 3 5 2 8 9" xfId="40427"/>
    <cellStyle name="Heading 2 2 3 5 2 9" xfId="40428"/>
    <cellStyle name="Heading 2 2 3 5 2 9 2" xfId="40429"/>
    <cellStyle name="Heading 2 2 3 5 2 9 2 2" xfId="40430"/>
    <cellStyle name="Heading 2 2 3 5 2 9 2 2 2" xfId="40431"/>
    <cellStyle name="Heading 2 2 3 5 2 9 2 3" xfId="40432"/>
    <cellStyle name="Heading 2 2 3 5 2 9 3" xfId="40433"/>
    <cellStyle name="Heading 2 2 3 5 2 9 3 2" xfId="40434"/>
    <cellStyle name="Heading 2 2 3 5 2 9 3 2 2" xfId="40435"/>
    <cellStyle name="Heading 2 2 3 5 2 9 3 3" xfId="40436"/>
    <cellStyle name="Heading 2 2 3 5 2 9 4" xfId="40437"/>
    <cellStyle name="Heading 2 2 3 5 2 9 4 2" xfId="40438"/>
    <cellStyle name="Heading 2 2 3 5 2 9 4 2 2" xfId="40439"/>
    <cellStyle name="Heading 2 2 3 5 2 9 4 3" xfId="40440"/>
    <cellStyle name="Heading 2 2 3 5 2 9 5" xfId="40441"/>
    <cellStyle name="Heading 2 2 3 5 2 9 5 2" xfId="40442"/>
    <cellStyle name="Heading 2 2 3 5 2 9 5 2 2" xfId="40443"/>
    <cellStyle name="Heading 2 2 3 5 2 9 5 3" xfId="40444"/>
    <cellStyle name="Heading 2 2 3 5 2 9 6" xfId="40445"/>
    <cellStyle name="Heading 2 2 3 5 2 9 6 2" xfId="40446"/>
    <cellStyle name="Heading 2 2 3 5 2 9 6 2 2" xfId="40447"/>
    <cellStyle name="Heading 2 2 3 5 2 9 6 3" xfId="40448"/>
    <cellStyle name="Heading 2 2 3 5 2 9 7" xfId="40449"/>
    <cellStyle name="Heading 2 2 3 5 2 9 7 2" xfId="40450"/>
    <cellStyle name="Heading 2 2 3 5 2 9 7 2 2" xfId="40451"/>
    <cellStyle name="Heading 2 2 3 5 2 9 7 3" xfId="40452"/>
    <cellStyle name="Heading 2 2 3 5 2 9 8" xfId="40453"/>
    <cellStyle name="Heading 2 2 3 5 2 9 8 2" xfId="40454"/>
    <cellStyle name="Heading 2 2 3 5 2 9 9" xfId="40455"/>
    <cellStyle name="Heading 2 2 3 5 3" xfId="40456"/>
    <cellStyle name="Heading 2 2 3 5 3 10" xfId="40457"/>
    <cellStyle name="Heading 2 2 3 5 3 10 2" xfId="40458"/>
    <cellStyle name="Heading 2 2 3 5 3 10 2 2" xfId="40459"/>
    <cellStyle name="Heading 2 2 3 5 3 10 3" xfId="40460"/>
    <cellStyle name="Heading 2 2 3 5 3 11" xfId="40461"/>
    <cellStyle name="Heading 2 2 3 5 3 11 2" xfId="40462"/>
    <cellStyle name="Heading 2 2 3 5 3 11 2 2" xfId="40463"/>
    <cellStyle name="Heading 2 2 3 5 3 11 3" xfId="40464"/>
    <cellStyle name="Heading 2 2 3 5 3 12" xfId="40465"/>
    <cellStyle name="Heading 2 2 3 5 3 12 2" xfId="40466"/>
    <cellStyle name="Heading 2 2 3 5 3 12 2 2" xfId="40467"/>
    <cellStyle name="Heading 2 2 3 5 3 12 3" xfId="40468"/>
    <cellStyle name="Heading 2 2 3 5 3 13" xfId="40469"/>
    <cellStyle name="Heading 2 2 3 5 3 13 2" xfId="40470"/>
    <cellStyle name="Heading 2 2 3 5 3 13 2 2" xfId="40471"/>
    <cellStyle name="Heading 2 2 3 5 3 13 3" xfId="40472"/>
    <cellStyle name="Heading 2 2 3 5 3 14" xfId="40473"/>
    <cellStyle name="Heading 2 2 3 5 3 14 2" xfId="40474"/>
    <cellStyle name="Heading 2 2 3 5 3 14 2 2" xfId="40475"/>
    <cellStyle name="Heading 2 2 3 5 3 14 3" xfId="40476"/>
    <cellStyle name="Heading 2 2 3 5 3 15" xfId="40477"/>
    <cellStyle name="Heading 2 2 3 5 3 15 2" xfId="40478"/>
    <cellStyle name="Heading 2 2 3 5 3 15 2 2" xfId="40479"/>
    <cellStyle name="Heading 2 2 3 5 3 15 3" xfId="40480"/>
    <cellStyle name="Heading 2 2 3 5 3 16" xfId="40481"/>
    <cellStyle name="Heading 2 2 3 5 3 16 2" xfId="40482"/>
    <cellStyle name="Heading 2 2 3 5 3 16 2 2" xfId="40483"/>
    <cellStyle name="Heading 2 2 3 5 3 16 3" xfId="40484"/>
    <cellStyle name="Heading 2 2 3 5 3 17" xfId="40485"/>
    <cellStyle name="Heading 2 2 3 5 3 17 2" xfId="40486"/>
    <cellStyle name="Heading 2 2 3 5 3 17 2 2" xfId="40487"/>
    <cellStyle name="Heading 2 2 3 5 3 17 3" xfId="40488"/>
    <cellStyle name="Heading 2 2 3 5 3 18" xfId="40489"/>
    <cellStyle name="Heading 2 2 3 5 3 18 2" xfId="40490"/>
    <cellStyle name="Heading 2 2 3 5 3 18 2 2" xfId="40491"/>
    <cellStyle name="Heading 2 2 3 5 3 18 3" xfId="40492"/>
    <cellStyle name="Heading 2 2 3 5 3 19" xfId="40493"/>
    <cellStyle name="Heading 2 2 3 5 3 19 2" xfId="40494"/>
    <cellStyle name="Heading 2 2 3 5 3 2" xfId="40495"/>
    <cellStyle name="Heading 2 2 3 5 3 2 2" xfId="40496"/>
    <cellStyle name="Heading 2 2 3 5 3 2 2 2" xfId="40497"/>
    <cellStyle name="Heading 2 2 3 5 3 2 2 2 2" xfId="40498"/>
    <cellStyle name="Heading 2 2 3 5 3 2 2 3" xfId="40499"/>
    <cellStyle name="Heading 2 2 3 5 3 2 3" xfId="40500"/>
    <cellStyle name="Heading 2 2 3 5 3 2 3 2" xfId="40501"/>
    <cellStyle name="Heading 2 2 3 5 3 2 3 2 2" xfId="40502"/>
    <cellStyle name="Heading 2 2 3 5 3 2 3 3" xfId="40503"/>
    <cellStyle name="Heading 2 2 3 5 3 2 4" xfId="40504"/>
    <cellStyle name="Heading 2 2 3 5 3 2 4 2" xfId="40505"/>
    <cellStyle name="Heading 2 2 3 5 3 2 4 2 2" xfId="40506"/>
    <cellStyle name="Heading 2 2 3 5 3 2 4 3" xfId="40507"/>
    <cellStyle name="Heading 2 2 3 5 3 2 5" xfId="40508"/>
    <cellStyle name="Heading 2 2 3 5 3 2 5 2" xfId="40509"/>
    <cellStyle name="Heading 2 2 3 5 3 2 5 2 2" xfId="40510"/>
    <cellStyle name="Heading 2 2 3 5 3 2 5 3" xfId="40511"/>
    <cellStyle name="Heading 2 2 3 5 3 2 6" xfId="40512"/>
    <cellStyle name="Heading 2 2 3 5 3 2 6 2" xfId="40513"/>
    <cellStyle name="Heading 2 2 3 5 3 2 6 2 2" xfId="40514"/>
    <cellStyle name="Heading 2 2 3 5 3 2 6 3" xfId="40515"/>
    <cellStyle name="Heading 2 2 3 5 3 2 7" xfId="40516"/>
    <cellStyle name="Heading 2 2 3 5 3 2 7 2" xfId="40517"/>
    <cellStyle name="Heading 2 2 3 5 3 2 7 2 2" xfId="40518"/>
    <cellStyle name="Heading 2 2 3 5 3 2 7 3" xfId="40519"/>
    <cellStyle name="Heading 2 2 3 5 3 2 8" xfId="40520"/>
    <cellStyle name="Heading 2 2 3 5 3 2 8 2" xfId="40521"/>
    <cellStyle name="Heading 2 2 3 5 3 2 9" xfId="40522"/>
    <cellStyle name="Heading 2 2 3 5 3 20" xfId="40523"/>
    <cellStyle name="Heading 2 2 3 5 3 20 2" xfId="40524"/>
    <cellStyle name="Heading 2 2 3 5 3 21" xfId="40525"/>
    <cellStyle name="Heading 2 2 3 5 3 21 2" xfId="40526"/>
    <cellStyle name="Heading 2 2 3 5 3 22" xfId="40527"/>
    <cellStyle name="Heading 2 2 3 5 3 3" xfId="40528"/>
    <cellStyle name="Heading 2 2 3 5 3 3 2" xfId="40529"/>
    <cellStyle name="Heading 2 2 3 5 3 3 2 2" xfId="40530"/>
    <cellStyle name="Heading 2 2 3 5 3 3 2 2 2" xfId="40531"/>
    <cellStyle name="Heading 2 2 3 5 3 3 2 3" xfId="40532"/>
    <cellStyle name="Heading 2 2 3 5 3 3 3" xfId="40533"/>
    <cellStyle name="Heading 2 2 3 5 3 3 3 2" xfId="40534"/>
    <cellStyle name="Heading 2 2 3 5 3 3 3 2 2" xfId="40535"/>
    <cellStyle name="Heading 2 2 3 5 3 3 3 3" xfId="40536"/>
    <cellStyle name="Heading 2 2 3 5 3 3 4" xfId="40537"/>
    <cellStyle name="Heading 2 2 3 5 3 3 4 2" xfId="40538"/>
    <cellStyle name="Heading 2 2 3 5 3 3 4 2 2" xfId="40539"/>
    <cellStyle name="Heading 2 2 3 5 3 3 4 3" xfId="40540"/>
    <cellStyle name="Heading 2 2 3 5 3 3 5" xfId="40541"/>
    <cellStyle name="Heading 2 2 3 5 3 3 5 2" xfId="40542"/>
    <cellStyle name="Heading 2 2 3 5 3 3 5 2 2" xfId="40543"/>
    <cellStyle name="Heading 2 2 3 5 3 3 5 3" xfId="40544"/>
    <cellStyle name="Heading 2 2 3 5 3 3 6" xfId="40545"/>
    <cellStyle name="Heading 2 2 3 5 3 3 6 2" xfId="40546"/>
    <cellStyle name="Heading 2 2 3 5 3 3 6 2 2" xfId="40547"/>
    <cellStyle name="Heading 2 2 3 5 3 3 6 3" xfId="40548"/>
    <cellStyle name="Heading 2 2 3 5 3 3 7" xfId="40549"/>
    <cellStyle name="Heading 2 2 3 5 3 3 7 2" xfId="40550"/>
    <cellStyle name="Heading 2 2 3 5 3 3 7 2 2" xfId="40551"/>
    <cellStyle name="Heading 2 2 3 5 3 3 7 3" xfId="40552"/>
    <cellStyle name="Heading 2 2 3 5 3 3 8" xfId="40553"/>
    <cellStyle name="Heading 2 2 3 5 3 3 8 2" xfId="40554"/>
    <cellStyle name="Heading 2 2 3 5 3 3 9" xfId="40555"/>
    <cellStyle name="Heading 2 2 3 5 3 4" xfId="40556"/>
    <cellStyle name="Heading 2 2 3 5 3 4 2" xfId="40557"/>
    <cellStyle name="Heading 2 2 3 5 3 4 2 2" xfId="40558"/>
    <cellStyle name="Heading 2 2 3 5 3 4 2 2 2" xfId="40559"/>
    <cellStyle name="Heading 2 2 3 5 3 4 2 3" xfId="40560"/>
    <cellStyle name="Heading 2 2 3 5 3 4 3" xfId="40561"/>
    <cellStyle name="Heading 2 2 3 5 3 4 3 2" xfId="40562"/>
    <cellStyle name="Heading 2 2 3 5 3 4 3 2 2" xfId="40563"/>
    <cellStyle name="Heading 2 2 3 5 3 4 3 3" xfId="40564"/>
    <cellStyle name="Heading 2 2 3 5 3 4 4" xfId="40565"/>
    <cellStyle name="Heading 2 2 3 5 3 4 4 2" xfId="40566"/>
    <cellStyle name="Heading 2 2 3 5 3 4 4 2 2" xfId="40567"/>
    <cellStyle name="Heading 2 2 3 5 3 4 4 3" xfId="40568"/>
    <cellStyle name="Heading 2 2 3 5 3 4 5" xfId="40569"/>
    <cellStyle name="Heading 2 2 3 5 3 4 5 2" xfId="40570"/>
    <cellStyle name="Heading 2 2 3 5 3 4 5 2 2" xfId="40571"/>
    <cellStyle name="Heading 2 2 3 5 3 4 5 3" xfId="40572"/>
    <cellStyle name="Heading 2 2 3 5 3 4 6" xfId="40573"/>
    <cellStyle name="Heading 2 2 3 5 3 4 6 2" xfId="40574"/>
    <cellStyle name="Heading 2 2 3 5 3 4 6 2 2" xfId="40575"/>
    <cellStyle name="Heading 2 2 3 5 3 4 6 3" xfId="40576"/>
    <cellStyle name="Heading 2 2 3 5 3 4 7" xfId="40577"/>
    <cellStyle name="Heading 2 2 3 5 3 4 7 2" xfId="40578"/>
    <cellStyle name="Heading 2 2 3 5 3 4 7 2 2" xfId="40579"/>
    <cellStyle name="Heading 2 2 3 5 3 4 7 3" xfId="40580"/>
    <cellStyle name="Heading 2 2 3 5 3 4 8" xfId="40581"/>
    <cellStyle name="Heading 2 2 3 5 3 4 8 2" xfId="40582"/>
    <cellStyle name="Heading 2 2 3 5 3 4 9" xfId="40583"/>
    <cellStyle name="Heading 2 2 3 5 3 5" xfId="40584"/>
    <cellStyle name="Heading 2 2 3 5 3 5 2" xfId="40585"/>
    <cellStyle name="Heading 2 2 3 5 3 5 2 2" xfId="40586"/>
    <cellStyle name="Heading 2 2 3 5 3 5 2 2 2" xfId="40587"/>
    <cellStyle name="Heading 2 2 3 5 3 5 2 3" xfId="40588"/>
    <cellStyle name="Heading 2 2 3 5 3 5 3" xfId="40589"/>
    <cellStyle name="Heading 2 2 3 5 3 5 3 2" xfId="40590"/>
    <cellStyle name="Heading 2 2 3 5 3 5 3 2 2" xfId="40591"/>
    <cellStyle name="Heading 2 2 3 5 3 5 3 3" xfId="40592"/>
    <cellStyle name="Heading 2 2 3 5 3 5 4" xfId="40593"/>
    <cellStyle name="Heading 2 2 3 5 3 5 4 2" xfId="40594"/>
    <cellStyle name="Heading 2 2 3 5 3 5 4 2 2" xfId="40595"/>
    <cellStyle name="Heading 2 2 3 5 3 5 4 3" xfId="40596"/>
    <cellStyle name="Heading 2 2 3 5 3 5 5" xfId="40597"/>
    <cellStyle name="Heading 2 2 3 5 3 5 5 2" xfId="40598"/>
    <cellStyle name="Heading 2 2 3 5 3 5 5 2 2" xfId="40599"/>
    <cellStyle name="Heading 2 2 3 5 3 5 5 3" xfId="40600"/>
    <cellStyle name="Heading 2 2 3 5 3 5 6" xfId="40601"/>
    <cellStyle name="Heading 2 2 3 5 3 5 6 2" xfId="40602"/>
    <cellStyle name="Heading 2 2 3 5 3 5 6 2 2" xfId="40603"/>
    <cellStyle name="Heading 2 2 3 5 3 5 6 3" xfId="40604"/>
    <cellStyle name="Heading 2 2 3 5 3 5 7" xfId="40605"/>
    <cellStyle name="Heading 2 2 3 5 3 5 7 2" xfId="40606"/>
    <cellStyle name="Heading 2 2 3 5 3 5 7 2 2" xfId="40607"/>
    <cellStyle name="Heading 2 2 3 5 3 5 7 3" xfId="40608"/>
    <cellStyle name="Heading 2 2 3 5 3 5 8" xfId="40609"/>
    <cellStyle name="Heading 2 2 3 5 3 5 8 2" xfId="40610"/>
    <cellStyle name="Heading 2 2 3 5 3 5 9" xfId="40611"/>
    <cellStyle name="Heading 2 2 3 5 3 6" xfId="40612"/>
    <cellStyle name="Heading 2 2 3 5 3 6 2" xfId="40613"/>
    <cellStyle name="Heading 2 2 3 5 3 6 2 2" xfId="40614"/>
    <cellStyle name="Heading 2 2 3 5 3 6 2 2 2" xfId="40615"/>
    <cellStyle name="Heading 2 2 3 5 3 6 2 3" xfId="40616"/>
    <cellStyle name="Heading 2 2 3 5 3 6 3" xfId="40617"/>
    <cellStyle name="Heading 2 2 3 5 3 6 3 2" xfId="40618"/>
    <cellStyle name="Heading 2 2 3 5 3 6 3 2 2" xfId="40619"/>
    <cellStyle name="Heading 2 2 3 5 3 6 3 3" xfId="40620"/>
    <cellStyle name="Heading 2 2 3 5 3 6 4" xfId="40621"/>
    <cellStyle name="Heading 2 2 3 5 3 6 4 2" xfId="40622"/>
    <cellStyle name="Heading 2 2 3 5 3 6 4 2 2" xfId="40623"/>
    <cellStyle name="Heading 2 2 3 5 3 6 4 3" xfId="40624"/>
    <cellStyle name="Heading 2 2 3 5 3 6 5" xfId="40625"/>
    <cellStyle name="Heading 2 2 3 5 3 6 5 2" xfId="40626"/>
    <cellStyle name="Heading 2 2 3 5 3 6 5 2 2" xfId="40627"/>
    <cellStyle name="Heading 2 2 3 5 3 6 5 3" xfId="40628"/>
    <cellStyle name="Heading 2 2 3 5 3 6 6" xfId="40629"/>
    <cellStyle name="Heading 2 2 3 5 3 6 6 2" xfId="40630"/>
    <cellStyle name="Heading 2 2 3 5 3 6 6 2 2" xfId="40631"/>
    <cellStyle name="Heading 2 2 3 5 3 6 6 3" xfId="40632"/>
    <cellStyle name="Heading 2 2 3 5 3 6 7" xfId="40633"/>
    <cellStyle name="Heading 2 2 3 5 3 6 7 2" xfId="40634"/>
    <cellStyle name="Heading 2 2 3 5 3 6 7 2 2" xfId="40635"/>
    <cellStyle name="Heading 2 2 3 5 3 6 7 3" xfId="40636"/>
    <cellStyle name="Heading 2 2 3 5 3 6 8" xfId="40637"/>
    <cellStyle name="Heading 2 2 3 5 3 6 8 2" xfId="40638"/>
    <cellStyle name="Heading 2 2 3 5 3 6 9" xfId="40639"/>
    <cellStyle name="Heading 2 2 3 5 3 7" xfId="40640"/>
    <cellStyle name="Heading 2 2 3 5 3 7 2" xfId="40641"/>
    <cellStyle name="Heading 2 2 3 5 3 7 2 2" xfId="40642"/>
    <cellStyle name="Heading 2 2 3 5 3 7 2 2 2" xfId="40643"/>
    <cellStyle name="Heading 2 2 3 5 3 7 2 3" xfId="40644"/>
    <cellStyle name="Heading 2 2 3 5 3 7 3" xfId="40645"/>
    <cellStyle name="Heading 2 2 3 5 3 7 3 2" xfId="40646"/>
    <cellStyle name="Heading 2 2 3 5 3 7 3 2 2" xfId="40647"/>
    <cellStyle name="Heading 2 2 3 5 3 7 3 3" xfId="40648"/>
    <cellStyle name="Heading 2 2 3 5 3 7 4" xfId="40649"/>
    <cellStyle name="Heading 2 2 3 5 3 7 4 2" xfId="40650"/>
    <cellStyle name="Heading 2 2 3 5 3 7 4 2 2" xfId="40651"/>
    <cellStyle name="Heading 2 2 3 5 3 7 4 3" xfId="40652"/>
    <cellStyle name="Heading 2 2 3 5 3 7 5" xfId="40653"/>
    <cellStyle name="Heading 2 2 3 5 3 7 5 2" xfId="40654"/>
    <cellStyle name="Heading 2 2 3 5 3 7 5 2 2" xfId="40655"/>
    <cellStyle name="Heading 2 2 3 5 3 7 5 3" xfId="40656"/>
    <cellStyle name="Heading 2 2 3 5 3 7 6" xfId="40657"/>
    <cellStyle name="Heading 2 2 3 5 3 7 6 2" xfId="40658"/>
    <cellStyle name="Heading 2 2 3 5 3 7 6 2 2" xfId="40659"/>
    <cellStyle name="Heading 2 2 3 5 3 7 6 3" xfId="40660"/>
    <cellStyle name="Heading 2 2 3 5 3 7 7" xfId="40661"/>
    <cellStyle name="Heading 2 2 3 5 3 7 7 2" xfId="40662"/>
    <cellStyle name="Heading 2 2 3 5 3 7 7 2 2" xfId="40663"/>
    <cellStyle name="Heading 2 2 3 5 3 7 7 3" xfId="40664"/>
    <cellStyle name="Heading 2 2 3 5 3 7 8" xfId="40665"/>
    <cellStyle name="Heading 2 2 3 5 3 7 8 2" xfId="40666"/>
    <cellStyle name="Heading 2 2 3 5 3 7 9" xfId="40667"/>
    <cellStyle name="Heading 2 2 3 5 3 8" xfId="40668"/>
    <cellStyle name="Heading 2 2 3 5 3 8 2" xfId="40669"/>
    <cellStyle name="Heading 2 2 3 5 3 8 2 2" xfId="40670"/>
    <cellStyle name="Heading 2 2 3 5 3 8 2 2 2" xfId="40671"/>
    <cellStyle name="Heading 2 2 3 5 3 8 2 3" xfId="40672"/>
    <cellStyle name="Heading 2 2 3 5 3 8 3" xfId="40673"/>
    <cellStyle name="Heading 2 2 3 5 3 8 3 2" xfId="40674"/>
    <cellStyle name="Heading 2 2 3 5 3 8 3 2 2" xfId="40675"/>
    <cellStyle name="Heading 2 2 3 5 3 8 3 3" xfId="40676"/>
    <cellStyle name="Heading 2 2 3 5 3 8 4" xfId="40677"/>
    <cellStyle name="Heading 2 2 3 5 3 8 4 2" xfId="40678"/>
    <cellStyle name="Heading 2 2 3 5 3 8 4 2 2" xfId="40679"/>
    <cellStyle name="Heading 2 2 3 5 3 8 4 3" xfId="40680"/>
    <cellStyle name="Heading 2 2 3 5 3 8 5" xfId="40681"/>
    <cellStyle name="Heading 2 2 3 5 3 8 5 2" xfId="40682"/>
    <cellStyle name="Heading 2 2 3 5 3 8 5 2 2" xfId="40683"/>
    <cellStyle name="Heading 2 2 3 5 3 8 5 3" xfId="40684"/>
    <cellStyle name="Heading 2 2 3 5 3 8 6" xfId="40685"/>
    <cellStyle name="Heading 2 2 3 5 3 8 6 2" xfId="40686"/>
    <cellStyle name="Heading 2 2 3 5 3 8 6 2 2" xfId="40687"/>
    <cellStyle name="Heading 2 2 3 5 3 8 6 3" xfId="40688"/>
    <cellStyle name="Heading 2 2 3 5 3 8 7" xfId="40689"/>
    <cellStyle name="Heading 2 2 3 5 3 8 7 2" xfId="40690"/>
    <cellStyle name="Heading 2 2 3 5 3 8 7 2 2" xfId="40691"/>
    <cellStyle name="Heading 2 2 3 5 3 8 7 3" xfId="40692"/>
    <cellStyle name="Heading 2 2 3 5 3 8 8" xfId="40693"/>
    <cellStyle name="Heading 2 2 3 5 3 8 8 2" xfId="40694"/>
    <cellStyle name="Heading 2 2 3 5 3 8 9" xfId="40695"/>
    <cellStyle name="Heading 2 2 3 5 3 9" xfId="40696"/>
    <cellStyle name="Heading 2 2 3 5 3 9 2" xfId="40697"/>
    <cellStyle name="Heading 2 2 3 5 3 9 2 2" xfId="40698"/>
    <cellStyle name="Heading 2 2 3 5 3 9 3" xfId="40699"/>
    <cellStyle name="Heading 2 2 3 5 4" xfId="40700"/>
    <cellStyle name="Heading 2 2 3 5 4 2" xfId="40701"/>
    <cellStyle name="Heading 2 2 3 5 4 2 2" xfId="40702"/>
    <cellStyle name="Heading 2 2 3 5 4 3" xfId="40703"/>
    <cellStyle name="Heading 2 2 3 5 5" xfId="40704"/>
    <cellStyle name="Heading 2 2 3 5 5 2" xfId="40705"/>
    <cellStyle name="Heading 2 2 3 5 6" xfId="40706"/>
    <cellStyle name="Heading 2 2 3 6" xfId="40707"/>
    <cellStyle name="Heading 2 2 3 6 2" xfId="40708"/>
    <cellStyle name="Heading 2 2 3 6 2 10" xfId="40709"/>
    <cellStyle name="Heading 2 2 3 6 2 10 2" xfId="40710"/>
    <cellStyle name="Heading 2 2 3 6 2 10 2 2" xfId="40711"/>
    <cellStyle name="Heading 2 2 3 6 2 10 3" xfId="40712"/>
    <cellStyle name="Heading 2 2 3 6 2 11" xfId="40713"/>
    <cellStyle name="Heading 2 2 3 6 2 11 2" xfId="40714"/>
    <cellStyle name="Heading 2 2 3 6 2 11 2 2" xfId="40715"/>
    <cellStyle name="Heading 2 2 3 6 2 11 3" xfId="40716"/>
    <cellStyle name="Heading 2 2 3 6 2 12" xfId="40717"/>
    <cellStyle name="Heading 2 2 3 6 2 12 2" xfId="40718"/>
    <cellStyle name="Heading 2 2 3 6 2 12 2 2" xfId="40719"/>
    <cellStyle name="Heading 2 2 3 6 2 12 3" xfId="40720"/>
    <cellStyle name="Heading 2 2 3 6 2 13" xfId="40721"/>
    <cellStyle name="Heading 2 2 3 6 2 13 2" xfId="40722"/>
    <cellStyle name="Heading 2 2 3 6 2 13 2 2" xfId="40723"/>
    <cellStyle name="Heading 2 2 3 6 2 13 3" xfId="40724"/>
    <cellStyle name="Heading 2 2 3 6 2 14" xfId="40725"/>
    <cellStyle name="Heading 2 2 3 6 2 14 2" xfId="40726"/>
    <cellStyle name="Heading 2 2 3 6 2 14 2 2" xfId="40727"/>
    <cellStyle name="Heading 2 2 3 6 2 14 3" xfId="40728"/>
    <cellStyle name="Heading 2 2 3 6 2 15" xfId="40729"/>
    <cellStyle name="Heading 2 2 3 6 2 15 2" xfId="40730"/>
    <cellStyle name="Heading 2 2 3 6 2 15 2 2" xfId="40731"/>
    <cellStyle name="Heading 2 2 3 6 2 15 3" xfId="40732"/>
    <cellStyle name="Heading 2 2 3 6 2 16" xfId="40733"/>
    <cellStyle name="Heading 2 2 3 6 2 16 2" xfId="40734"/>
    <cellStyle name="Heading 2 2 3 6 2 16 2 2" xfId="40735"/>
    <cellStyle name="Heading 2 2 3 6 2 16 3" xfId="40736"/>
    <cellStyle name="Heading 2 2 3 6 2 17" xfId="40737"/>
    <cellStyle name="Heading 2 2 3 6 2 17 2" xfId="40738"/>
    <cellStyle name="Heading 2 2 3 6 2 17 2 2" xfId="40739"/>
    <cellStyle name="Heading 2 2 3 6 2 17 3" xfId="40740"/>
    <cellStyle name="Heading 2 2 3 6 2 18" xfId="40741"/>
    <cellStyle name="Heading 2 2 3 6 2 18 2" xfId="40742"/>
    <cellStyle name="Heading 2 2 3 6 2 18 2 2" xfId="40743"/>
    <cellStyle name="Heading 2 2 3 6 2 18 3" xfId="40744"/>
    <cellStyle name="Heading 2 2 3 6 2 19" xfId="40745"/>
    <cellStyle name="Heading 2 2 3 6 2 19 2" xfId="40746"/>
    <cellStyle name="Heading 2 2 3 6 2 19 2 2" xfId="40747"/>
    <cellStyle name="Heading 2 2 3 6 2 19 3" xfId="40748"/>
    <cellStyle name="Heading 2 2 3 6 2 2" xfId="40749"/>
    <cellStyle name="Heading 2 2 3 6 2 2 10" xfId="40750"/>
    <cellStyle name="Heading 2 2 3 6 2 2 10 2" xfId="40751"/>
    <cellStyle name="Heading 2 2 3 6 2 2 10 2 2" xfId="40752"/>
    <cellStyle name="Heading 2 2 3 6 2 2 10 3" xfId="40753"/>
    <cellStyle name="Heading 2 2 3 6 2 2 11" xfId="40754"/>
    <cellStyle name="Heading 2 2 3 6 2 2 11 2" xfId="40755"/>
    <cellStyle name="Heading 2 2 3 6 2 2 11 2 2" xfId="40756"/>
    <cellStyle name="Heading 2 2 3 6 2 2 11 3" xfId="40757"/>
    <cellStyle name="Heading 2 2 3 6 2 2 12" xfId="40758"/>
    <cellStyle name="Heading 2 2 3 6 2 2 12 2" xfId="40759"/>
    <cellStyle name="Heading 2 2 3 6 2 2 12 2 2" xfId="40760"/>
    <cellStyle name="Heading 2 2 3 6 2 2 12 3" xfId="40761"/>
    <cellStyle name="Heading 2 2 3 6 2 2 13" xfId="40762"/>
    <cellStyle name="Heading 2 2 3 6 2 2 13 2" xfId="40763"/>
    <cellStyle name="Heading 2 2 3 6 2 2 13 2 2" xfId="40764"/>
    <cellStyle name="Heading 2 2 3 6 2 2 13 3" xfId="40765"/>
    <cellStyle name="Heading 2 2 3 6 2 2 14" xfId="40766"/>
    <cellStyle name="Heading 2 2 3 6 2 2 14 2" xfId="40767"/>
    <cellStyle name="Heading 2 2 3 6 2 2 14 2 2" xfId="40768"/>
    <cellStyle name="Heading 2 2 3 6 2 2 14 3" xfId="40769"/>
    <cellStyle name="Heading 2 2 3 6 2 2 15" xfId="40770"/>
    <cellStyle name="Heading 2 2 3 6 2 2 15 2" xfId="40771"/>
    <cellStyle name="Heading 2 2 3 6 2 2 15 2 2" xfId="40772"/>
    <cellStyle name="Heading 2 2 3 6 2 2 15 3" xfId="40773"/>
    <cellStyle name="Heading 2 2 3 6 2 2 16" xfId="40774"/>
    <cellStyle name="Heading 2 2 3 6 2 2 16 2" xfId="40775"/>
    <cellStyle name="Heading 2 2 3 6 2 2 16 2 2" xfId="40776"/>
    <cellStyle name="Heading 2 2 3 6 2 2 16 3" xfId="40777"/>
    <cellStyle name="Heading 2 2 3 6 2 2 17" xfId="40778"/>
    <cellStyle name="Heading 2 2 3 6 2 2 17 2" xfId="40779"/>
    <cellStyle name="Heading 2 2 3 6 2 2 17 2 2" xfId="40780"/>
    <cellStyle name="Heading 2 2 3 6 2 2 17 3" xfId="40781"/>
    <cellStyle name="Heading 2 2 3 6 2 2 18" xfId="40782"/>
    <cellStyle name="Heading 2 2 3 6 2 2 18 2" xfId="40783"/>
    <cellStyle name="Heading 2 2 3 6 2 2 18 2 2" xfId="40784"/>
    <cellStyle name="Heading 2 2 3 6 2 2 18 3" xfId="40785"/>
    <cellStyle name="Heading 2 2 3 6 2 2 19" xfId="40786"/>
    <cellStyle name="Heading 2 2 3 6 2 2 19 2" xfId="40787"/>
    <cellStyle name="Heading 2 2 3 6 2 2 2" xfId="40788"/>
    <cellStyle name="Heading 2 2 3 6 2 2 2 2" xfId="40789"/>
    <cellStyle name="Heading 2 2 3 6 2 2 2 2 2" xfId="40790"/>
    <cellStyle name="Heading 2 2 3 6 2 2 2 2 2 2" xfId="40791"/>
    <cellStyle name="Heading 2 2 3 6 2 2 2 2 3" xfId="40792"/>
    <cellStyle name="Heading 2 2 3 6 2 2 2 3" xfId="40793"/>
    <cellStyle name="Heading 2 2 3 6 2 2 2 3 2" xfId="40794"/>
    <cellStyle name="Heading 2 2 3 6 2 2 2 3 2 2" xfId="40795"/>
    <cellStyle name="Heading 2 2 3 6 2 2 2 3 3" xfId="40796"/>
    <cellStyle name="Heading 2 2 3 6 2 2 2 4" xfId="40797"/>
    <cellStyle name="Heading 2 2 3 6 2 2 2 4 2" xfId="40798"/>
    <cellStyle name="Heading 2 2 3 6 2 2 2 4 2 2" xfId="40799"/>
    <cellStyle name="Heading 2 2 3 6 2 2 2 4 3" xfId="40800"/>
    <cellStyle name="Heading 2 2 3 6 2 2 2 5" xfId="40801"/>
    <cellStyle name="Heading 2 2 3 6 2 2 2 5 2" xfId="40802"/>
    <cellStyle name="Heading 2 2 3 6 2 2 2 5 2 2" xfId="40803"/>
    <cellStyle name="Heading 2 2 3 6 2 2 2 5 3" xfId="40804"/>
    <cellStyle name="Heading 2 2 3 6 2 2 2 6" xfId="40805"/>
    <cellStyle name="Heading 2 2 3 6 2 2 2 6 2" xfId="40806"/>
    <cellStyle name="Heading 2 2 3 6 2 2 2 6 2 2" xfId="40807"/>
    <cellStyle name="Heading 2 2 3 6 2 2 2 6 3" xfId="40808"/>
    <cellStyle name="Heading 2 2 3 6 2 2 2 7" xfId="40809"/>
    <cellStyle name="Heading 2 2 3 6 2 2 2 7 2" xfId="40810"/>
    <cellStyle name="Heading 2 2 3 6 2 2 2 7 2 2" xfId="40811"/>
    <cellStyle name="Heading 2 2 3 6 2 2 2 7 3" xfId="40812"/>
    <cellStyle name="Heading 2 2 3 6 2 2 2 8" xfId="40813"/>
    <cellStyle name="Heading 2 2 3 6 2 2 2 8 2" xfId="40814"/>
    <cellStyle name="Heading 2 2 3 6 2 2 2 9" xfId="40815"/>
    <cellStyle name="Heading 2 2 3 6 2 2 20" xfId="40816"/>
    <cellStyle name="Heading 2 2 3 6 2 2 20 2" xfId="40817"/>
    <cellStyle name="Heading 2 2 3 6 2 2 21" xfId="40818"/>
    <cellStyle name="Heading 2 2 3 6 2 2 21 2" xfId="40819"/>
    <cellStyle name="Heading 2 2 3 6 2 2 22" xfId="40820"/>
    <cellStyle name="Heading 2 2 3 6 2 2 3" xfId="40821"/>
    <cellStyle name="Heading 2 2 3 6 2 2 3 2" xfId="40822"/>
    <cellStyle name="Heading 2 2 3 6 2 2 3 2 2" xfId="40823"/>
    <cellStyle name="Heading 2 2 3 6 2 2 3 2 2 2" xfId="40824"/>
    <cellStyle name="Heading 2 2 3 6 2 2 3 2 3" xfId="40825"/>
    <cellStyle name="Heading 2 2 3 6 2 2 3 3" xfId="40826"/>
    <cellStyle name="Heading 2 2 3 6 2 2 3 3 2" xfId="40827"/>
    <cellStyle name="Heading 2 2 3 6 2 2 3 3 2 2" xfId="40828"/>
    <cellStyle name="Heading 2 2 3 6 2 2 3 3 3" xfId="40829"/>
    <cellStyle name="Heading 2 2 3 6 2 2 3 4" xfId="40830"/>
    <cellStyle name="Heading 2 2 3 6 2 2 3 4 2" xfId="40831"/>
    <cellStyle name="Heading 2 2 3 6 2 2 3 4 2 2" xfId="40832"/>
    <cellStyle name="Heading 2 2 3 6 2 2 3 4 3" xfId="40833"/>
    <cellStyle name="Heading 2 2 3 6 2 2 3 5" xfId="40834"/>
    <cellStyle name="Heading 2 2 3 6 2 2 3 5 2" xfId="40835"/>
    <cellStyle name="Heading 2 2 3 6 2 2 3 5 2 2" xfId="40836"/>
    <cellStyle name="Heading 2 2 3 6 2 2 3 5 3" xfId="40837"/>
    <cellStyle name="Heading 2 2 3 6 2 2 3 6" xfId="40838"/>
    <cellStyle name="Heading 2 2 3 6 2 2 3 6 2" xfId="40839"/>
    <cellStyle name="Heading 2 2 3 6 2 2 3 6 2 2" xfId="40840"/>
    <cellStyle name="Heading 2 2 3 6 2 2 3 6 3" xfId="40841"/>
    <cellStyle name="Heading 2 2 3 6 2 2 3 7" xfId="40842"/>
    <cellStyle name="Heading 2 2 3 6 2 2 3 7 2" xfId="40843"/>
    <cellStyle name="Heading 2 2 3 6 2 2 3 7 2 2" xfId="40844"/>
    <cellStyle name="Heading 2 2 3 6 2 2 3 7 3" xfId="40845"/>
    <cellStyle name="Heading 2 2 3 6 2 2 3 8" xfId="40846"/>
    <cellStyle name="Heading 2 2 3 6 2 2 3 8 2" xfId="40847"/>
    <cellStyle name="Heading 2 2 3 6 2 2 3 9" xfId="40848"/>
    <cellStyle name="Heading 2 2 3 6 2 2 4" xfId="40849"/>
    <cellStyle name="Heading 2 2 3 6 2 2 4 2" xfId="40850"/>
    <cellStyle name="Heading 2 2 3 6 2 2 4 2 2" xfId="40851"/>
    <cellStyle name="Heading 2 2 3 6 2 2 4 2 2 2" xfId="40852"/>
    <cellStyle name="Heading 2 2 3 6 2 2 4 2 3" xfId="40853"/>
    <cellStyle name="Heading 2 2 3 6 2 2 4 3" xfId="40854"/>
    <cellStyle name="Heading 2 2 3 6 2 2 4 3 2" xfId="40855"/>
    <cellStyle name="Heading 2 2 3 6 2 2 4 3 2 2" xfId="40856"/>
    <cellStyle name="Heading 2 2 3 6 2 2 4 3 3" xfId="40857"/>
    <cellStyle name="Heading 2 2 3 6 2 2 4 4" xfId="40858"/>
    <cellStyle name="Heading 2 2 3 6 2 2 4 4 2" xfId="40859"/>
    <cellStyle name="Heading 2 2 3 6 2 2 4 4 2 2" xfId="40860"/>
    <cellStyle name="Heading 2 2 3 6 2 2 4 4 3" xfId="40861"/>
    <cellStyle name="Heading 2 2 3 6 2 2 4 5" xfId="40862"/>
    <cellStyle name="Heading 2 2 3 6 2 2 4 5 2" xfId="40863"/>
    <cellStyle name="Heading 2 2 3 6 2 2 4 5 2 2" xfId="40864"/>
    <cellStyle name="Heading 2 2 3 6 2 2 4 5 3" xfId="40865"/>
    <cellStyle name="Heading 2 2 3 6 2 2 4 6" xfId="40866"/>
    <cellStyle name="Heading 2 2 3 6 2 2 4 6 2" xfId="40867"/>
    <cellStyle name="Heading 2 2 3 6 2 2 4 6 2 2" xfId="40868"/>
    <cellStyle name="Heading 2 2 3 6 2 2 4 6 3" xfId="40869"/>
    <cellStyle name="Heading 2 2 3 6 2 2 4 7" xfId="40870"/>
    <cellStyle name="Heading 2 2 3 6 2 2 4 7 2" xfId="40871"/>
    <cellStyle name="Heading 2 2 3 6 2 2 4 7 2 2" xfId="40872"/>
    <cellStyle name="Heading 2 2 3 6 2 2 4 7 3" xfId="40873"/>
    <cellStyle name="Heading 2 2 3 6 2 2 4 8" xfId="40874"/>
    <cellStyle name="Heading 2 2 3 6 2 2 4 8 2" xfId="40875"/>
    <cellStyle name="Heading 2 2 3 6 2 2 4 9" xfId="40876"/>
    <cellStyle name="Heading 2 2 3 6 2 2 5" xfId="40877"/>
    <cellStyle name="Heading 2 2 3 6 2 2 5 2" xfId="40878"/>
    <cellStyle name="Heading 2 2 3 6 2 2 5 2 2" xfId="40879"/>
    <cellStyle name="Heading 2 2 3 6 2 2 5 2 2 2" xfId="40880"/>
    <cellStyle name="Heading 2 2 3 6 2 2 5 2 3" xfId="40881"/>
    <cellStyle name="Heading 2 2 3 6 2 2 5 3" xfId="40882"/>
    <cellStyle name="Heading 2 2 3 6 2 2 5 3 2" xfId="40883"/>
    <cellStyle name="Heading 2 2 3 6 2 2 5 3 2 2" xfId="40884"/>
    <cellStyle name="Heading 2 2 3 6 2 2 5 3 3" xfId="40885"/>
    <cellStyle name="Heading 2 2 3 6 2 2 5 4" xfId="40886"/>
    <cellStyle name="Heading 2 2 3 6 2 2 5 4 2" xfId="40887"/>
    <cellStyle name="Heading 2 2 3 6 2 2 5 4 2 2" xfId="40888"/>
    <cellStyle name="Heading 2 2 3 6 2 2 5 4 3" xfId="40889"/>
    <cellStyle name="Heading 2 2 3 6 2 2 5 5" xfId="40890"/>
    <cellStyle name="Heading 2 2 3 6 2 2 5 5 2" xfId="40891"/>
    <cellStyle name="Heading 2 2 3 6 2 2 5 5 2 2" xfId="40892"/>
    <cellStyle name="Heading 2 2 3 6 2 2 5 5 3" xfId="40893"/>
    <cellStyle name="Heading 2 2 3 6 2 2 5 6" xfId="40894"/>
    <cellStyle name="Heading 2 2 3 6 2 2 5 6 2" xfId="40895"/>
    <cellStyle name="Heading 2 2 3 6 2 2 5 6 2 2" xfId="40896"/>
    <cellStyle name="Heading 2 2 3 6 2 2 5 6 3" xfId="40897"/>
    <cellStyle name="Heading 2 2 3 6 2 2 5 7" xfId="40898"/>
    <cellStyle name="Heading 2 2 3 6 2 2 5 7 2" xfId="40899"/>
    <cellStyle name="Heading 2 2 3 6 2 2 5 7 2 2" xfId="40900"/>
    <cellStyle name="Heading 2 2 3 6 2 2 5 7 3" xfId="40901"/>
    <cellStyle name="Heading 2 2 3 6 2 2 5 8" xfId="40902"/>
    <cellStyle name="Heading 2 2 3 6 2 2 5 8 2" xfId="40903"/>
    <cellStyle name="Heading 2 2 3 6 2 2 5 9" xfId="40904"/>
    <cellStyle name="Heading 2 2 3 6 2 2 6" xfId="40905"/>
    <cellStyle name="Heading 2 2 3 6 2 2 6 2" xfId="40906"/>
    <cellStyle name="Heading 2 2 3 6 2 2 6 2 2" xfId="40907"/>
    <cellStyle name="Heading 2 2 3 6 2 2 6 2 2 2" xfId="40908"/>
    <cellStyle name="Heading 2 2 3 6 2 2 6 2 3" xfId="40909"/>
    <cellStyle name="Heading 2 2 3 6 2 2 6 3" xfId="40910"/>
    <cellStyle name="Heading 2 2 3 6 2 2 6 3 2" xfId="40911"/>
    <cellStyle name="Heading 2 2 3 6 2 2 6 3 2 2" xfId="40912"/>
    <cellStyle name="Heading 2 2 3 6 2 2 6 3 3" xfId="40913"/>
    <cellStyle name="Heading 2 2 3 6 2 2 6 4" xfId="40914"/>
    <cellStyle name="Heading 2 2 3 6 2 2 6 4 2" xfId="40915"/>
    <cellStyle name="Heading 2 2 3 6 2 2 6 4 2 2" xfId="40916"/>
    <cellStyle name="Heading 2 2 3 6 2 2 6 4 3" xfId="40917"/>
    <cellStyle name="Heading 2 2 3 6 2 2 6 5" xfId="40918"/>
    <cellStyle name="Heading 2 2 3 6 2 2 6 5 2" xfId="40919"/>
    <cellStyle name="Heading 2 2 3 6 2 2 6 5 2 2" xfId="40920"/>
    <cellStyle name="Heading 2 2 3 6 2 2 6 5 3" xfId="40921"/>
    <cellStyle name="Heading 2 2 3 6 2 2 6 6" xfId="40922"/>
    <cellStyle name="Heading 2 2 3 6 2 2 6 6 2" xfId="40923"/>
    <cellStyle name="Heading 2 2 3 6 2 2 6 6 2 2" xfId="40924"/>
    <cellStyle name="Heading 2 2 3 6 2 2 6 6 3" xfId="40925"/>
    <cellStyle name="Heading 2 2 3 6 2 2 6 7" xfId="40926"/>
    <cellStyle name="Heading 2 2 3 6 2 2 6 7 2" xfId="40927"/>
    <cellStyle name="Heading 2 2 3 6 2 2 6 7 2 2" xfId="40928"/>
    <cellStyle name="Heading 2 2 3 6 2 2 6 7 3" xfId="40929"/>
    <cellStyle name="Heading 2 2 3 6 2 2 6 8" xfId="40930"/>
    <cellStyle name="Heading 2 2 3 6 2 2 6 8 2" xfId="40931"/>
    <cellStyle name="Heading 2 2 3 6 2 2 6 9" xfId="40932"/>
    <cellStyle name="Heading 2 2 3 6 2 2 7" xfId="40933"/>
    <cellStyle name="Heading 2 2 3 6 2 2 7 2" xfId="40934"/>
    <cellStyle name="Heading 2 2 3 6 2 2 7 2 2" xfId="40935"/>
    <cellStyle name="Heading 2 2 3 6 2 2 7 2 2 2" xfId="40936"/>
    <cellStyle name="Heading 2 2 3 6 2 2 7 2 3" xfId="40937"/>
    <cellStyle name="Heading 2 2 3 6 2 2 7 3" xfId="40938"/>
    <cellStyle name="Heading 2 2 3 6 2 2 7 3 2" xfId="40939"/>
    <cellStyle name="Heading 2 2 3 6 2 2 7 3 2 2" xfId="40940"/>
    <cellStyle name="Heading 2 2 3 6 2 2 7 3 3" xfId="40941"/>
    <cellStyle name="Heading 2 2 3 6 2 2 7 4" xfId="40942"/>
    <cellStyle name="Heading 2 2 3 6 2 2 7 4 2" xfId="40943"/>
    <cellStyle name="Heading 2 2 3 6 2 2 7 4 2 2" xfId="40944"/>
    <cellStyle name="Heading 2 2 3 6 2 2 7 4 3" xfId="40945"/>
    <cellStyle name="Heading 2 2 3 6 2 2 7 5" xfId="40946"/>
    <cellStyle name="Heading 2 2 3 6 2 2 7 5 2" xfId="40947"/>
    <cellStyle name="Heading 2 2 3 6 2 2 7 5 2 2" xfId="40948"/>
    <cellStyle name="Heading 2 2 3 6 2 2 7 5 3" xfId="40949"/>
    <cellStyle name="Heading 2 2 3 6 2 2 7 6" xfId="40950"/>
    <cellStyle name="Heading 2 2 3 6 2 2 7 6 2" xfId="40951"/>
    <cellStyle name="Heading 2 2 3 6 2 2 7 6 2 2" xfId="40952"/>
    <cellStyle name="Heading 2 2 3 6 2 2 7 6 3" xfId="40953"/>
    <cellStyle name="Heading 2 2 3 6 2 2 7 7" xfId="40954"/>
    <cellStyle name="Heading 2 2 3 6 2 2 7 7 2" xfId="40955"/>
    <cellStyle name="Heading 2 2 3 6 2 2 7 7 2 2" xfId="40956"/>
    <cellStyle name="Heading 2 2 3 6 2 2 7 7 3" xfId="40957"/>
    <cellStyle name="Heading 2 2 3 6 2 2 7 8" xfId="40958"/>
    <cellStyle name="Heading 2 2 3 6 2 2 7 8 2" xfId="40959"/>
    <cellStyle name="Heading 2 2 3 6 2 2 7 9" xfId="40960"/>
    <cellStyle name="Heading 2 2 3 6 2 2 8" xfId="40961"/>
    <cellStyle name="Heading 2 2 3 6 2 2 8 2" xfId="40962"/>
    <cellStyle name="Heading 2 2 3 6 2 2 8 2 2" xfId="40963"/>
    <cellStyle name="Heading 2 2 3 6 2 2 8 2 2 2" xfId="40964"/>
    <cellStyle name="Heading 2 2 3 6 2 2 8 2 3" xfId="40965"/>
    <cellStyle name="Heading 2 2 3 6 2 2 8 3" xfId="40966"/>
    <cellStyle name="Heading 2 2 3 6 2 2 8 3 2" xfId="40967"/>
    <cellStyle name="Heading 2 2 3 6 2 2 8 3 2 2" xfId="40968"/>
    <cellStyle name="Heading 2 2 3 6 2 2 8 3 3" xfId="40969"/>
    <cellStyle name="Heading 2 2 3 6 2 2 8 4" xfId="40970"/>
    <cellStyle name="Heading 2 2 3 6 2 2 8 4 2" xfId="40971"/>
    <cellStyle name="Heading 2 2 3 6 2 2 8 4 2 2" xfId="40972"/>
    <cellStyle name="Heading 2 2 3 6 2 2 8 4 3" xfId="40973"/>
    <cellStyle name="Heading 2 2 3 6 2 2 8 5" xfId="40974"/>
    <cellStyle name="Heading 2 2 3 6 2 2 8 5 2" xfId="40975"/>
    <cellStyle name="Heading 2 2 3 6 2 2 8 5 2 2" xfId="40976"/>
    <cellStyle name="Heading 2 2 3 6 2 2 8 5 3" xfId="40977"/>
    <cellStyle name="Heading 2 2 3 6 2 2 8 6" xfId="40978"/>
    <cellStyle name="Heading 2 2 3 6 2 2 8 6 2" xfId="40979"/>
    <cellStyle name="Heading 2 2 3 6 2 2 8 6 2 2" xfId="40980"/>
    <cellStyle name="Heading 2 2 3 6 2 2 8 6 3" xfId="40981"/>
    <cellStyle name="Heading 2 2 3 6 2 2 8 7" xfId="40982"/>
    <cellStyle name="Heading 2 2 3 6 2 2 8 7 2" xfId="40983"/>
    <cellStyle name="Heading 2 2 3 6 2 2 8 7 2 2" xfId="40984"/>
    <cellStyle name="Heading 2 2 3 6 2 2 8 7 3" xfId="40985"/>
    <cellStyle name="Heading 2 2 3 6 2 2 8 8" xfId="40986"/>
    <cellStyle name="Heading 2 2 3 6 2 2 8 8 2" xfId="40987"/>
    <cellStyle name="Heading 2 2 3 6 2 2 8 9" xfId="40988"/>
    <cellStyle name="Heading 2 2 3 6 2 2 9" xfId="40989"/>
    <cellStyle name="Heading 2 2 3 6 2 2 9 2" xfId="40990"/>
    <cellStyle name="Heading 2 2 3 6 2 2 9 2 2" xfId="40991"/>
    <cellStyle name="Heading 2 2 3 6 2 2 9 3" xfId="40992"/>
    <cellStyle name="Heading 2 2 3 6 2 20" xfId="40993"/>
    <cellStyle name="Heading 2 2 3 6 2 20 2" xfId="40994"/>
    <cellStyle name="Heading 2 2 3 6 2 21" xfId="40995"/>
    <cellStyle name="Heading 2 2 3 6 2 21 2" xfId="40996"/>
    <cellStyle name="Heading 2 2 3 6 2 22" xfId="40997"/>
    <cellStyle name="Heading 2 2 3 6 2 22 2" xfId="40998"/>
    <cellStyle name="Heading 2 2 3 6 2 23" xfId="40999"/>
    <cellStyle name="Heading 2 2 3 6 2 3" xfId="41000"/>
    <cellStyle name="Heading 2 2 3 6 2 3 2" xfId="41001"/>
    <cellStyle name="Heading 2 2 3 6 2 3 2 2" xfId="41002"/>
    <cellStyle name="Heading 2 2 3 6 2 3 2 2 2" xfId="41003"/>
    <cellStyle name="Heading 2 2 3 6 2 3 2 3" xfId="41004"/>
    <cellStyle name="Heading 2 2 3 6 2 3 3" xfId="41005"/>
    <cellStyle name="Heading 2 2 3 6 2 3 3 2" xfId="41006"/>
    <cellStyle name="Heading 2 2 3 6 2 3 3 2 2" xfId="41007"/>
    <cellStyle name="Heading 2 2 3 6 2 3 3 3" xfId="41008"/>
    <cellStyle name="Heading 2 2 3 6 2 3 4" xfId="41009"/>
    <cellStyle name="Heading 2 2 3 6 2 3 4 2" xfId="41010"/>
    <cellStyle name="Heading 2 2 3 6 2 3 4 2 2" xfId="41011"/>
    <cellStyle name="Heading 2 2 3 6 2 3 4 3" xfId="41012"/>
    <cellStyle name="Heading 2 2 3 6 2 3 5" xfId="41013"/>
    <cellStyle name="Heading 2 2 3 6 2 3 5 2" xfId="41014"/>
    <cellStyle name="Heading 2 2 3 6 2 3 5 2 2" xfId="41015"/>
    <cellStyle name="Heading 2 2 3 6 2 3 5 3" xfId="41016"/>
    <cellStyle name="Heading 2 2 3 6 2 3 6" xfId="41017"/>
    <cellStyle name="Heading 2 2 3 6 2 3 6 2" xfId="41018"/>
    <cellStyle name="Heading 2 2 3 6 2 3 6 2 2" xfId="41019"/>
    <cellStyle name="Heading 2 2 3 6 2 3 6 3" xfId="41020"/>
    <cellStyle name="Heading 2 2 3 6 2 3 7" xfId="41021"/>
    <cellStyle name="Heading 2 2 3 6 2 3 7 2" xfId="41022"/>
    <cellStyle name="Heading 2 2 3 6 2 3 7 2 2" xfId="41023"/>
    <cellStyle name="Heading 2 2 3 6 2 3 7 3" xfId="41024"/>
    <cellStyle name="Heading 2 2 3 6 2 3 8" xfId="41025"/>
    <cellStyle name="Heading 2 2 3 6 2 3 8 2" xfId="41026"/>
    <cellStyle name="Heading 2 2 3 6 2 3 9" xfId="41027"/>
    <cellStyle name="Heading 2 2 3 6 2 4" xfId="41028"/>
    <cellStyle name="Heading 2 2 3 6 2 4 2" xfId="41029"/>
    <cellStyle name="Heading 2 2 3 6 2 4 2 2" xfId="41030"/>
    <cellStyle name="Heading 2 2 3 6 2 4 2 2 2" xfId="41031"/>
    <cellStyle name="Heading 2 2 3 6 2 4 2 3" xfId="41032"/>
    <cellStyle name="Heading 2 2 3 6 2 4 3" xfId="41033"/>
    <cellStyle name="Heading 2 2 3 6 2 4 3 2" xfId="41034"/>
    <cellStyle name="Heading 2 2 3 6 2 4 3 2 2" xfId="41035"/>
    <cellStyle name="Heading 2 2 3 6 2 4 3 3" xfId="41036"/>
    <cellStyle name="Heading 2 2 3 6 2 4 4" xfId="41037"/>
    <cellStyle name="Heading 2 2 3 6 2 4 4 2" xfId="41038"/>
    <cellStyle name="Heading 2 2 3 6 2 4 4 2 2" xfId="41039"/>
    <cellStyle name="Heading 2 2 3 6 2 4 4 3" xfId="41040"/>
    <cellStyle name="Heading 2 2 3 6 2 4 5" xfId="41041"/>
    <cellStyle name="Heading 2 2 3 6 2 4 5 2" xfId="41042"/>
    <cellStyle name="Heading 2 2 3 6 2 4 5 2 2" xfId="41043"/>
    <cellStyle name="Heading 2 2 3 6 2 4 5 3" xfId="41044"/>
    <cellStyle name="Heading 2 2 3 6 2 4 6" xfId="41045"/>
    <cellStyle name="Heading 2 2 3 6 2 4 6 2" xfId="41046"/>
    <cellStyle name="Heading 2 2 3 6 2 4 6 2 2" xfId="41047"/>
    <cellStyle name="Heading 2 2 3 6 2 4 6 3" xfId="41048"/>
    <cellStyle name="Heading 2 2 3 6 2 4 7" xfId="41049"/>
    <cellStyle name="Heading 2 2 3 6 2 4 7 2" xfId="41050"/>
    <cellStyle name="Heading 2 2 3 6 2 4 7 2 2" xfId="41051"/>
    <cellStyle name="Heading 2 2 3 6 2 4 7 3" xfId="41052"/>
    <cellStyle name="Heading 2 2 3 6 2 4 8" xfId="41053"/>
    <cellStyle name="Heading 2 2 3 6 2 4 8 2" xfId="41054"/>
    <cellStyle name="Heading 2 2 3 6 2 4 9" xfId="41055"/>
    <cellStyle name="Heading 2 2 3 6 2 5" xfId="41056"/>
    <cellStyle name="Heading 2 2 3 6 2 5 2" xfId="41057"/>
    <cellStyle name="Heading 2 2 3 6 2 5 2 2" xfId="41058"/>
    <cellStyle name="Heading 2 2 3 6 2 5 2 2 2" xfId="41059"/>
    <cellStyle name="Heading 2 2 3 6 2 5 2 3" xfId="41060"/>
    <cellStyle name="Heading 2 2 3 6 2 5 3" xfId="41061"/>
    <cellStyle name="Heading 2 2 3 6 2 5 3 2" xfId="41062"/>
    <cellStyle name="Heading 2 2 3 6 2 5 3 2 2" xfId="41063"/>
    <cellStyle name="Heading 2 2 3 6 2 5 3 3" xfId="41064"/>
    <cellStyle name="Heading 2 2 3 6 2 5 4" xfId="41065"/>
    <cellStyle name="Heading 2 2 3 6 2 5 4 2" xfId="41066"/>
    <cellStyle name="Heading 2 2 3 6 2 5 4 2 2" xfId="41067"/>
    <cellStyle name="Heading 2 2 3 6 2 5 4 3" xfId="41068"/>
    <cellStyle name="Heading 2 2 3 6 2 5 5" xfId="41069"/>
    <cellStyle name="Heading 2 2 3 6 2 5 5 2" xfId="41070"/>
    <cellStyle name="Heading 2 2 3 6 2 5 5 2 2" xfId="41071"/>
    <cellStyle name="Heading 2 2 3 6 2 5 5 3" xfId="41072"/>
    <cellStyle name="Heading 2 2 3 6 2 5 6" xfId="41073"/>
    <cellStyle name="Heading 2 2 3 6 2 5 6 2" xfId="41074"/>
    <cellStyle name="Heading 2 2 3 6 2 5 6 2 2" xfId="41075"/>
    <cellStyle name="Heading 2 2 3 6 2 5 6 3" xfId="41076"/>
    <cellStyle name="Heading 2 2 3 6 2 5 7" xfId="41077"/>
    <cellStyle name="Heading 2 2 3 6 2 5 7 2" xfId="41078"/>
    <cellStyle name="Heading 2 2 3 6 2 5 7 2 2" xfId="41079"/>
    <cellStyle name="Heading 2 2 3 6 2 5 7 3" xfId="41080"/>
    <cellStyle name="Heading 2 2 3 6 2 5 8" xfId="41081"/>
    <cellStyle name="Heading 2 2 3 6 2 5 8 2" xfId="41082"/>
    <cellStyle name="Heading 2 2 3 6 2 5 9" xfId="41083"/>
    <cellStyle name="Heading 2 2 3 6 2 6" xfId="41084"/>
    <cellStyle name="Heading 2 2 3 6 2 6 2" xfId="41085"/>
    <cellStyle name="Heading 2 2 3 6 2 6 2 2" xfId="41086"/>
    <cellStyle name="Heading 2 2 3 6 2 6 2 2 2" xfId="41087"/>
    <cellStyle name="Heading 2 2 3 6 2 6 2 3" xfId="41088"/>
    <cellStyle name="Heading 2 2 3 6 2 6 3" xfId="41089"/>
    <cellStyle name="Heading 2 2 3 6 2 6 3 2" xfId="41090"/>
    <cellStyle name="Heading 2 2 3 6 2 6 3 2 2" xfId="41091"/>
    <cellStyle name="Heading 2 2 3 6 2 6 3 3" xfId="41092"/>
    <cellStyle name="Heading 2 2 3 6 2 6 4" xfId="41093"/>
    <cellStyle name="Heading 2 2 3 6 2 6 4 2" xfId="41094"/>
    <cellStyle name="Heading 2 2 3 6 2 6 4 2 2" xfId="41095"/>
    <cellStyle name="Heading 2 2 3 6 2 6 4 3" xfId="41096"/>
    <cellStyle name="Heading 2 2 3 6 2 6 5" xfId="41097"/>
    <cellStyle name="Heading 2 2 3 6 2 6 5 2" xfId="41098"/>
    <cellStyle name="Heading 2 2 3 6 2 6 5 2 2" xfId="41099"/>
    <cellStyle name="Heading 2 2 3 6 2 6 5 3" xfId="41100"/>
    <cellStyle name="Heading 2 2 3 6 2 6 6" xfId="41101"/>
    <cellStyle name="Heading 2 2 3 6 2 6 6 2" xfId="41102"/>
    <cellStyle name="Heading 2 2 3 6 2 6 6 2 2" xfId="41103"/>
    <cellStyle name="Heading 2 2 3 6 2 6 6 3" xfId="41104"/>
    <cellStyle name="Heading 2 2 3 6 2 6 7" xfId="41105"/>
    <cellStyle name="Heading 2 2 3 6 2 6 7 2" xfId="41106"/>
    <cellStyle name="Heading 2 2 3 6 2 6 7 2 2" xfId="41107"/>
    <cellStyle name="Heading 2 2 3 6 2 6 7 3" xfId="41108"/>
    <cellStyle name="Heading 2 2 3 6 2 6 8" xfId="41109"/>
    <cellStyle name="Heading 2 2 3 6 2 6 8 2" xfId="41110"/>
    <cellStyle name="Heading 2 2 3 6 2 6 9" xfId="41111"/>
    <cellStyle name="Heading 2 2 3 6 2 7" xfId="41112"/>
    <cellStyle name="Heading 2 2 3 6 2 7 2" xfId="41113"/>
    <cellStyle name="Heading 2 2 3 6 2 7 2 2" xfId="41114"/>
    <cellStyle name="Heading 2 2 3 6 2 7 2 2 2" xfId="41115"/>
    <cellStyle name="Heading 2 2 3 6 2 7 2 3" xfId="41116"/>
    <cellStyle name="Heading 2 2 3 6 2 7 3" xfId="41117"/>
    <cellStyle name="Heading 2 2 3 6 2 7 3 2" xfId="41118"/>
    <cellStyle name="Heading 2 2 3 6 2 7 3 2 2" xfId="41119"/>
    <cellStyle name="Heading 2 2 3 6 2 7 3 3" xfId="41120"/>
    <cellStyle name="Heading 2 2 3 6 2 7 4" xfId="41121"/>
    <cellStyle name="Heading 2 2 3 6 2 7 4 2" xfId="41122"/>
    <cellStyle name="Heading 2 2 3 6 2 7 4 2 2" xfId="41123"/>
    <cellStyle name="Heading 2 2 3 6 2 7 4 3" xfId="41124"/>
    <cellStyle name="Heading 2 2 3 6 2 7 5" xfId="41125"/>
    <cellStyle name="Heading 2 2 3 6 2 7 5 2" xfId="41126"/>
    <cellStyle name="Heading 2 2 3 6 2 7 5 2 2" xfId="41127"/>
    <cellStyle name="Heading 2 2 3 6 2 7 5 3" xfId="41128"/>
    <cellStyle name="Heading 2 2 3 6 2 7 6" xfId="41129"/>
    <cellStyle name="Heading 2 2 3 6 2 7 6 2" xfId="41130"/>
    <cellStyle name="Heading 2 2 3 6 2 7 6 2 2" xfId="41131"/>
    <cellStyle name="Heading 2 2 3 6 2 7 6 3" xfId="41132"/>
    <cellStyle name="Heading 2 2 3 6 2 7 7" xfId="41133"/>
    <cellStyle name="Heading 2 2 3 6 2 7 7 2" xfId="41134"/>
    <cellStyle name="Heading 2 2 3 6 2 7 7 2 2" xfId="41135"/>
    <cellStyle name="Heading 2 2 3 6 2 7 7 3" xfId="41136"/>
    <cellStyle name="Heading 2 2 3 6 2 7 8" xfId="41137"/>
    <cellStyle name="Heading 2 2 3 6 2 7 8 2" xfId="41138"/>
    <cellStyle name="Heading 2 2 3 6 2 7 9" xfId="41139"/>
    <cellStyle name="Heading 2 2 3 6 2 8" xfId="41140"/>
    <cellStyle name="Heading 2 2 3 6 2 8 2" xfId="41141"/>
    <cellStyle name="Heading 2 2 3 6 2 8 2 2" xfId="41142"/>
    <cellStyle name="Heading 2 2 3 6 2 8 2 2 2" xfId="41143"/>
    <cellStyle name="Heading 2 2 3 6 2 8 2 3" xfId="41144"/>
    <cellStyle name="Heading 2 2 3 6 2 8 3" xfId="41145"/>
    <cellStyle name="Heading 2 2 3 6 2 8 3 2" xfId="41146"/>
    <cellStyle name="Heading 2 2 3 6 2 8 3 2 2" xfId="41147"/>
    <cellStyle name="Heading 2 2 3 6 2 8 3 3" xfId="41148"/>
    <cellStyle name="Heading 2 2 3 6 2 8 4" xfId="41149"/>
    <cellStyle name="Heading 2 2 3 6 2 8 4 2" xfId="41150"/>
    <cellStyle name="Heading 2 2 3 6 2 8 4 2 2" xfId="41151"/>
    <cellStyle name="Heading 2 2 3 6 2 8 4 3" xfId="41152"/>
    <cellStyle name="Heading 2 2 3 6 2 8 5" xfId="41153"/>
    <cellStyle name="Heading 2 2 3 6 2 8 5 2" xfId="41154"/>
    <cellStyle name="Heading 2 2 3 6 2 8 5 2 2" xfId="41155"/>
    <cellStyle name="Heading 2 2 3 6 2 8 5 3" xfId="41156"/>
    <cellStyle name="Heading 2 2 3 6 2 8 6" xfId="41157"/>
    <cellStyle name="Heading 2 2 3 6 2 8 6 2" xfId="41158"/>
    <cellStyle name="Heading 2 2 3 6 2 8 6 2 2" xfId="41159"/>
    <cellStyle name="Heading 2 2 3 6 2 8 6 3" xfId="41160"/>
    <cellStyle name="Heading 2 2 3 6 2 8 7" xfId="41161"/>
    <cellStyle name="Heading 2 2 3 6 2 8 7 2" xfId="41162"/>
    <cellStyle name="Heading 2 2 3 6 2 8 7 2 2" xfId="41163"/>
    <cellStyle name="Heading 2 2 3 6 2 8 7 3" xfId="41164"/>
    <cellStyle name="Heading 2 2 3 6 2 8 8" xfId="41165"/>
    <cellStyle name="Heading 2 2 3 6 2 8 8 2" xfId="41166"/>
    <cellStyle name="Heading 2 2 3 6 2 8 9" xfId="41167"/>
    <cellStyle name="Heading 2 2 3 6 2 9" xfId="41168"/>
    <cellStyle name="Heading 2 2 3 6 2 9 2" xfId="41169"/>
    <cellStyle name="Heading 2 2 3 6 2 9 2 2" xfId="41170"/>
    <cellStyle name="Heading 2 2 3 6 2 9 2 2 2" xfId="41171"/>
    <cellStyle name="Heading 2 2 3 6 2 9 2 3" xfId="41172"/>
    <cellStyle name="Heading 2 2 3 6 2 9 3" xfId="41173"/>
    <cellStyle name="Heading 2 2 3 6 2 9 3 2" xfId="41174"/>
    <cellStyle name="Heading 2 2 3 6 2 9 3 2 2" xfId="41175"/>
    <cellStyle name="Heading 2 2 3 6 2 9 3 3" xfId="41176"/>
    <cellStyle name="Heading 2 2 3 6 2 9 4" xfId="41177"/>
    <cellStyle name="Heading 2 2 3 6 2 9 4 2" xfId="41178"/>
    <cellStyle name="Heading 2 2 3 6 2 9 4 2 2" xfId="41179"/>
    <cellStyle name="Heading 2 2 3 6 2 9 4 3" xfId="41180"/>
    <cellStyle name="Heading 2 2 3 6 2 9 5" xfId="41181"/>
    <cellStyle name="Heading 2 2 3 6 2 9 5 2" xfId="41182"/>
    <cellStyle name="Heading 2 2 3 6 2 9 5 2 2" xfId="41183"/>
    <cellStyle name="Heading 2 2 3 6 2 9 5 3" xfId="41184"/>
    <cellStyle name="Heading 2 2 3 6 2 9 6" xfId="41185"/>
    <cellStyle name="Heading 2 2 3 6 2 9 6 2" xfId="41186"/>
    <cellStyle name="Heading 2 2 3 6 2 9 6 2 2" xfId="41187"/>
    <cellStyle name="Heading 2 2 3 6 2 9 6 3" xfId="41188"/>
    <cellStyle name="Heading 2 2 3 6 2 9 7" xfId="41189"/>
    <cellStyle name="Heading 2 2 3 6 2 9 7 2" xfId="41190"/>
    <cellStyle name="Heading 2 2 3 6 2 9 7 2 2" xfId="41191"/>
    <cellStyle name="Heading 2 2 3 6 2 9 7 3" xfId="41192"/>
    <cellStyle name="Heading 2 2 3 6 2 9 8" xfId="41193"/>
    <cellStyle name="Heading 2 2 3 6 2 9 8 2" xfId="41194"/>
    <cellStyle name="Heading 2 2 3 6 2 9 9" xfId="41195"/>
    <cellStyle name="Heading 2 2 3 6 3" xfId="41196"/>
    <cellStyle name="Heading 2 2 3 6 3 10" xfId="41197"/>
    <cellStyle name="Heading 2 2 3 6 3 10 2" xfId="41198"/>
    <cellStyle name="Heading 2 2 3 6 3 10 2 2" xfId="41199"/>
    <cellStyle name="Heading 2 2 3 6 3 10 3" xfId="41200"/>
    <cellStyle name="Heading 2 2 3 6 3 11" xfId="41201"/>
    <cellStyle name="Heading 2 2 3 6 3 11 2" xfId="41202"/>
    <cellStyle name="Heading 2 2 3 6 3 11 2 2" xfId="41203"/>
    <cellStyle name="Heading 2 2 3 6 3 11 3" xfId="41204"/>
    <cellStyle name="Heading 2 2 3 6 3 12" xfId="41205"/>
    <cellStyle name="Heading 2 2 3 6 3 12 2" xfId="41206"/>
    <cellStyle name="Heading 2 2 3 6 3 12 2 2" xfId="41207"/>
    <cellStyle name="Heading 2 2 3 6 3 12 3" xfId="41208"/>
    <cellStyle name="Heading 2 2 3 6 3 13" xfId="41209"/>
    <cellStyle name="Heading 2 2 3 6 3 13 2" xfId="41210"/>
    <cellStyle name="Heading 2 2 3 6 3 13 2 2" xfId="41211"/>
    <cellStyle name="Heading 2 2 3 6 3 13 3" xfId="41212"/>
    <cellStyle name="Heading 2 2 3 6 3 14" xfId="41213"/>
    <cellStyle name="Heading 2 2 3 6 3 14 2" xfId="41214"/>
    <cellStyle name="Heading 2 2 3 6 3 14 2 2" xfId="41215"/>
    <cellStyle name="Heading 2 2 3 6 3 14 3" xfId="41216"/>
    <cellStyle name="Heading 2 2 3 6 3 15" xfId="41217"/>
    <cellStyle name="Heading 2 2 3 6 3 15 2" xfId="41218"/>
    <cellStyle name="Heading 2 2 3 6 3 15 2 2" xfId="41219"/>
    <cellStyle name="Heading 2 2 3 6 3 15 3" xfId="41220"/>
    <cellStyle name="Heading 2 2 3 6 3 16" xfId="41221"/>
    <cellStyle name="Heading 2 2 3 6 3 16 2" xfId="41222"/>
    <cellStyle name="Heading 2 2 3 6 3 16 2 2" xfId="41223"/>
    <cellStyle name="Heading 2 2 3 6 3 16 3" xfId="41224"/>
    <cellStyle name="Heading 2 2 3 6 3 17" xfId="41225"/>
    <cellStyle name="Heading 2 2 3 6 3 17 2" xfId="41226"/>
    <cellStyle name="Heading 2 2 3 6 3 17 2 2" xfId="41227"/>
    <cellStyle name="Heading 2 2 3 6 3 17 3" xfId="41228"/>
    <cellStyle name="Heading 2 2 3 6 3 18" xfId="41229"/>
    <cellStyle name="Heading 2 2 3 6 3 18 2" xfId="41230"/>
    <cellStyle name="Heading 2 2 3 6 3 18 2 2" xfId="41231"/>
    <cellStyle name="Heading 2 2 3 6 3 18 3" xfId="41232"/>
    <cellStyle name="Heading 2 2 3 6 3 19" xfId="41233"/>
    <cellStyle name="Heading 2 2 3 6 3 19 2" xfId="41234"/>
    <cellStyle name="Heading 2 2 3 6 3 2" xfId="41235"/>
    <cellStyle name="Heading 2 2 3 6 3 2 2" xfId="41236"/>
    <cellStyle name="Heading 2 2 3 6 3 2 2 2" xfId="41237"/>
    <cellStyle name="Heading 2 2 3 6 3 2 2 2 2" xfId="41238"/>
    <cellStyle name="Heading 2 2 3 6 3 2 2 3" xfId="41239"/>
    <cellStyle name="Heading 2 2 3 6 3 2 3" xfId="41240"/>
    <cellStyle name="Heading 2 2 3 6 3 2 3 2" xfId="41241"/>
    <cellStyle name="Heading 2 2 3 6 3 2 3 2 2" xfId="41242"/>
    <cellStyle name="Heading 2 2 3 6 3 2 3 3" xfId="41243"/>
    <cellStyle name="Heading 2 2 3 6 3 2 4" xfId="41244"/>
    <cellStyle name="Heading 2 2 3 6 3 2 4 2" xfId="41245"/>
    <cellStyle name="Heading 2 2 3 6 3 2 4 2 2" xfId="41246"/>
    <cellStyle name="Heading 2 2 3 6 3 2 4 3" xfId="41247"/>
    <cellStyle name="Heading 2 2 3 6 3 2 5" xfId="41248"/>
    <cellStyle name="Heading 2 2 3 6 3 2 5 2" xfId="41249"/>
    <cellStyle name="Heading 2 2 3 6 3 2 5 2 2" xfId="41250"/>
    <cellStyle name="Heading 2 2 3 6 3 2 5 3" xfId="41251"/>
    <cellStyle name="Heading 2 2 3 6 3 2 6" xfId="41252"/>
    <cellStyle name="Heading 2 2 3 6 3 2 6 2" xfId="41253"/>
    <cellStyle name="Heading 2 2 3 6 3 2 6 2 2" xfId="41254"/>
    <cellStyle name="Heading 2 2 3 6 3 2 6 3" xfId="41255"/>
    <cellStyle name="Heading 2 2 3 6 3 2 7" xfId="41256"/>
    <cellStyle name="Heading 2 2 3 6 3 2 7 2" xfId="41257"/>
    <cellStyle name="Heading 2 2 3 6 3 2 7 2 2" xfId="41258"/>
    <cellStyle name="Heading 2 2 3 6 3 2 7 3" xfId="41259"/>
    <cellStyle name="Heading 2 2 3 6 3 2 8" xfId="41260"/>
    <cellStyle name="Heading 2 2 3 6 3 2 8 2" xfId="41261"/>
    <cellStyle name="Heading 2 2 3 6 3 2 9" xfId="41262"/>
    <cellStyle name="Heading 2 2 3 6 3 20" xfId="41263"/>
    <cellStyle name="Heading 2 2 3 6 3 20 2" xfId="41264"/>
    <cellStyle name="Heading 2 2 3 6 3 21" xfId="41265"/>
    <cellStyle name="Heading 2 2 3 6 3 21 2" xfId="41266"/>
    <cellStyle name="Heading 2 2 3 6 3 22" xfId="41267"/>
    <cellStyle name="Heading 2 2 3 6 3 3" xfId="41268"/>
    <cellStyle name="Heading 2 2 3 6 3 3 2" xfId="41269"/>
    <cellStyle name="Heading 2 2 3 6 3 3 2 2" xfId="41270"/>
    <cellStyle name="Heading 2 2 3 6 3 3 2 2 2" xfId="41271"/>
    <cellStyle name="Heading 2 2 3 6 3 3 2 3" xfId="41272"/>
    <cellStyle name="Heading 2 2 3 6 3 3 3" xfId="41273"/>
    <cellStyle name="Heading 2 2 3 6 3 3 3 2" xfId="41274"/>
    <cellStyle name="Heading 2 2 3 6 3 3 3 2 2" xfId="41275"/>
    <cellStyle name="Heading 2 2 3 6 3 3 3 3" xfId="41276"/>
    <cellStyle name="Heading 2 2 3 6 3 3 4" xfId="41277"/>
    <cellStyle name="Heading 2 2 3 6 3 3 4 2" xfId="41278"/>
    <cellStyle name="Heading 2 2 3 6 3 3 4 2 2" xfId="41279"/>
    <cellStyle name="Heading 2 2 3 6 3 3 4 3" xfId="41280"/>
    <cellStyle name="Heading 2 2 3 6 3 3 5" xfId="41281"/>
    <cellStyle name="Heading 2 2 3 6 3 3 5 2" xfId="41282"/>
    <cellStyle name="Heading 2 2 3 6 3 3 5 2 2" xfId="41283"/>
    <cellStyle name="Heading 2 2 3 6 3 3 5 3" xfId="41284"/>
    <cellStyle name="Heading 2 2 3 6 3 3 6" xfId="41285"/>
    <cellStyle name="Heading 2 2 3 6 3 3 6 2" xfId="41286"/>
    <cellStyle name="Heading 2 2 3 6 3 3 6 2 2" xfId="41287"/>
    <cellStyle name="Heading 2 2 3 6 3 3 6 3" xfId="41288"/>
    <cellStyle name="Heading 2 2 3 6 3 3 7" xfId="41289"/>
    <cellStyle name="Heading 2 2 3 6 3 3 7 2" xfId="41290"/>
    <cellStyle name="Heading 2 2 3 6 3 3 7 2 2" xfId="41291"/>
    <cellStyle name="Heading 2 2 3 6 3 3 7 3" xfId="41292"/>
    <cellStyle name="Heading 2 2 3 6 3 3 8" xfId="41293"/>
    <cellStyle name="Heading 2 2 3 6 3 3 8 2" xfId="41294"/>
    <cellStyle name="Heading 2 2 3 6 3 3 9" xfId="41295"/>
    <cellStyle name="Heading 2 2 3 6 3 4" xfId="41296"/>
    <cellStyle name="Heading 2 2 3 6 3 4 2" xfId="41297"/>
    <cellStyle name="Heading 2 2 3 6 3 4 2 2" xfId="41298"/>
    <cellStyle name="Heading 2 2 3 6 3 4 2 2 2" xfId="41299"/>
    <cellStyle name="Heading 2 2 3 6 3 4 2 3" xfId="41300"/>
    <cellStyle name="Heading 2 2 3 6 3 4 3" xfId="41301"/>
    <cellStyle name="Heading 2 2 3 6 3 4 3 2" xfId="41302"/>
    <cellStyle name="Heading 2 2 3 6 3 4 3 2 2" xfId="41303"/>
    <cellStyle name="Heading 2 2 3 6 3 4 3 3" xfId="41304"/>
    <cellStyle name="Heading 2 2 3 6 3 4 4" xfId="41305"/>
    <cellStyle name="Heading 2 2 3 6 3 4 4 2" xfId="41306"/>
    <cellStyle name="Heading 2 2 3 6 3 4 4 2 2" xfId="41307"/>
    <cellStyle name="Heading 2 2 3 6 3 4 4 3" xfId="41308"/>
    <cellStyle name="Heading 2 2 3 6 3 4 5" xfId="41309"/>
    <cellStyle name="Heading 2 2 3 6 3 4 5 2" xfId="41310"/>
    <cellStyle name="Heading 2 2 3 6 3 4 5 2 2" xfId="41311"/>
    <cellStyle name="Heading 2 2 3 6 3 4 5 3" xfId="41312"/>
    <cellStyle name="Heading 2 2 3 6 3 4 6" xfId="41313"/>
    <cellStyle name="Heading 2 2 3 6 3 4 6 2" xfId="41314"/>
    <cellStyle name="Heading 2 2 3 6 3 4 6 2 2" xfId="41315"/>
    <cellStyle name="Heading 2 2 3 6 3 4 6 3" xfId="41316"/>
    <cellStyle name="Heading 2 2 3 6 3 4 7" xfId="41317"/>
    <cellStyle name="Heading 2 2 3 6 3 4 7 2" xfId="41318"/>
    <cellStyle name="Heading 2 2 3 6 3 4 7 2 2" xfId="41319"/>
    <cellStyle name="Heading 2 2 3 6 3 4 7 3" xfId="41320"/>
    <cellStyle name="Heading 2 2 3 6 3 4 8" xfId="41321"/>
    <cellStyle name="Heading 2 2 3 6 3 4 8 2" xfId="41322"/>
    <cellStyle name="Heading 2 2 3 6 3 4 9" xfId="41323"/>
    <cellStyle name="Heading 2 2 3 6 3 5" xfId="41324"/>
    <cellStyle name="Heading 2 2 3 6 3 5 2" xfId="41325"/>
    <cellStyle name="Heading 2 2 3 6 3 5 2 2" xfId="41326"/>
    <cellStyle name="Heading 2 2 3 6 3 5 2 2 2" xfId="41327"/>
    <cellStyle name="Heading 2 2 3 6 3 5 2 3" xfId="41328"/>
    <cellStyle name="Heading 2 2 3 6 3 5 3" xfId="41329"/>
    <cellStyle name="Heading 2 2 3 6 3 5 3 2" xfId="41330"/>
    <cellStyle name="Heading 2 2 3 6 3 5 3 2 2" xfId="41331"/>
    <cellStyle name="Heading 2 2 3 6 3 5 3 3" xfId="41332"/>
    <cellStyle name="Heading 2 2 3 6 3 5 4" xfId="41333"/>
    <cellStyle name="Heading 2 2 3 6 3 5 4 2" xfId="41334"/>
    <cellStyle name="Heading 2 2 3 6 3 5 4 2 2" xfId="41335"/>
    <cellStyle name="Heading 2 2 3 6 3 5 4 3" xfId="41336"/>
    <cellStyle name="Heading 2 2 3 6 3 5 5" xfId="41337"/>
    <cellStyle name="Heading 2 2 3 6 3 5 5 2" xfId="41338"/>
    <cellStyle name="Heading 2 2 3 6 3 5 5 2 2" xfId="41339"/>
    <cellStyle name="Heading 2 2 3 6 3 5 5 3" xfId="41340"/>
    <cellStyle name="Heading 2 2 3 6 3 5 6" xfId="41341"/>
    <cellStyle name="Heading 2 2 3 6 3 5 6 2" xfId="41342"/>
    <cellStyle name="Heading 2 2 3 6 3 5 6 2 2" xfId="41343"/>
    <cellStyle name="Heading 2 2 3 6 3 5 6 3" xfId="41344"/>
    <cellStyle name="Heading 2 2 3 6 3 5 7" xfId="41345"/>
    <cellStyle name="Heading 2 2 3 6 3 5 7 2" xfId="41346"/>
    <cellStyle name="Heading 2 2 3 6 3 5 7 2 2" xfId="41347"/>
    <cellStyle name="Heading 2 2 3 6 3 5 7 3" xfId="41348"/>
    <cellStyle name="Heading 2 2 3 6 3 5 8" xfId="41349"/>
    <cellStyle name="Heading 2 2 3 6 3 5 8 2" xfId="41350"/>
    <cellStyle name="Heading 2 2 3 6 3 5 9" xfId="41351"/>
    <cellStyle name="Heading 2 2 3 6 3 6" xfId="41352"/>
    <cellStyle name="Heading 2 2 3 6 3 6 2" xfId="41353"/>
    <cellStyle name="Heading 2 2 3 6 3 6 2 2" xfId="41354"/>
    <cellStyle name="Heading 2 2 3 6 3 6 2 2 2" xfId="41355"/>
    <cellStyle name="Heading 2 2 3 6 3 6 2 3" xfId="41356"/>
    <cellStyle name="Heading 2 2 3 6 3 6 3" xfId="41357"/>
    <cellStyle name="Heading 2 2 3 6 3 6 3 2" xfId="41358"/>
    <cellStyle name="Heading 2 2 3 6 3 6 3 2 2" xfId="41359"/>
    <cellStyle name="Heading 2 2 3 6 3 6 3 3" xfId="41360"/>
    <cellStyle name="Heading 2 2 3 6 3 6 4" xfId="41361"/>
    <cellStyle name="Heading 2 2 3 6 3 6 4 2" xfId="41362"/>
    <cellStyle name="Heading 2 2 3 6 3 6 4 2 2" xfId="41363"/>
    <cellStyle name="Heading 2 2 3 6 3 6 4 3" xfId="41364"/>
    <cellStyle name="Heading 2 2 3 6 3 6 5" xfId="41365"/>
    <cellStyle name="Heading 2 2 3 6 3 6 5 2" xfId="41366"/>
    <cellStyle name="Heading 2 2 3 6 3 6 5 2 2" xfId="41367"/>
    <cellStyle name="Heading 2 2 3 6 3 6 5 3" xfId="41368"/>
    <cellStyle name="Heading 2 2 3 6 3 6 6" xfId="41369"/>
    <cellStyle name="Heading 2 2 3 6 3 6 6 2" xfId="41370"/>
    <cellStyle name="Heading 2 2 3 6 3 6 6 2 2" xfId="41371"/>
    <cellStyle name="Heading 2 2 3 6 3 6 6 3" xfId="41372"/>
    <cellStyle name="Heading 2 2 3 6 3 6 7" xfId="41373"/>
    <cellStyle name="Heading 2 2 3 6 3 6 7 2" xfId="41374"/>
    <cellStyle name="Heading 2 2 3 6 3 6 7 2 2" xfId="41375"/>
    <cellStyle name="Heading 2 2 3 6 3 6 7 3" xfId="41376"/>
    <cellStyle name="Heading 2 2 3 6 3 6 8" xfId="41377"/>
    <cellStyle name="Heading 2 2 3 6 3 6 8 2" xfId="41378"/>
    <cellStyle name="Heading 2 2 3 6 3 6 9" xfId="41379"/>
    <cellStyle name="Heading 2 2 3 6 3 7" xfId="41380"/>
    <cellStyle name="Heading 2 2 3 6 3 7 2" xfId="41381"/>
    <cellStyle name="Heading 2 2 3 6 3 7 2 2" xfId="41382"/>
    <cellStyle name="Heading 2 2 3 6 3 7 2 2 2" xfId="41383"/>
    <cellStyle name="Heading 2 2 3 6 3 7 2 3" xfId="41384"/>
    <cellStyle name="Heading 2 2 3 6 3 7 3" xfId="41385"/>
    <cellStyle name="Heading 2 2 3 6 3 7 3 2" xfId="41386"/>
    <cellStyle name="Heading 2 2 3 6 3 7 3 2 2" xfId="41387"/>
    <cellStyle name="Heading 2 2 3 6 3 7 3 3" xfId="41388"/>
    <cellStyle name="Heading 2 2 3 6 3 7 4" xfId="41389"/>
    <cellStyle name="Heading 2 2 3 6 3 7 4 2" xfId="41390"/>
    <cellStyle name="Heading 2 2 3 6 3 7 4 2 2" xfId="41391"/>
    <cellStyle name="Heading 2 2 3 6 3 7 4 3" xfId="41392"/>
    <cellStyle name="Heading 2 2 3 6 3 7 5" xfId="41393"/>
    <cellStyle name="Heading 2 2 3 6 3 7 5 2" xfId="41394"/>
    <cellStyle name="Heading 2 2 3 6 3 7 5 2 2" xfId="41395"/>
    <cellStyle name="Heading 2 2 3 6 3 7 5 3" xfId="41396"/>
    <cellStyle name="Heading 2 2 3 6 3 7 6" xfId="41397"/>
    <cellStyle name="Heading 2 2 3 6 3 7 6 2" xfId="41398"/>
    <cellStyle name="Heading 2 2 3 6 3 7 6 2 2" xfId="41399"/>
    <cellStyle name="Heading 2 2 3 6 3 7 6 3" xfId="41400"/>
    <cellStyle name="Heading 2 2 3 6 3 7 7" xfId="41401"/>
    <cellStyle name="Heading 2 2 3 6 3 7 7 2" xfId="41402"/>
    <cellStyle name="Heading 2 2 3 6 3 7 7 2 2" xfId="41403"/>
    <cellStyle name="Heading 2 2 3 6 3 7 7 3" xfId="41404"/>
    <cellStyle name="Heading 2 2 3 6 3 7 8" xfId="41405"/>
    <cellStyle name="Heading 2 2 3 6 3 7 8 2" xfId="41406"/>
    <cellStyle name="Heading 2 2 3 6 3 7 9" xfId="41407"/>
    <cellStyle name="Heading 2 2 3 6 3 8" xfId="41408"/>
    <cellStyle name="Heading 2 2 3 6 3 8 2" xfId="41409"/>
    <cellStyle name="Heading 2 2 3 6 3 8 2 2" xfId="41410"/>
    <cellStyle name="Heading 2 2 3 6 3 8 2 2 2" xfId="41411"/>
    <cellStyle name="Heading 2 2 3 6 3 8 2 3" xfId="41412"/>
    <cellStyle name="Heading 2 2 3 6 3 8 3" xfId="41413"/>
    <cellStyle name="Heading 2 2 3 6 3 8 3 2" xfId="41414"/>
    <cellStyle name="Heading 2 2 3 6 3 8 3 2 2" xfId="41415"/>
    <cellStyle name="Heading 2 2 3 6 3 8 3 3" xfId="41416"/>
    <cellStyle name="Heading 2 2 3 6 3 8 4" xfId="41417"/>
    <cellStyle name="Heading 2 2 3 6 3 8 4 2" xfId="41418"/>
    <cellStyle name="Heading 2 2 3 6 3 8 4 2 2" xfId="41419"/>
    <cellStyle name="Heading 2 2 3 6 3 8 4 3" xfId="41420"/>
    <cellStyle name="Heading 2 2 3 6 3 8 5" xfId="41421"/>
    <cellStyle name="Heading 2 2 3 6 3 8 5 2" xfId="41422"/>
    <cellStyle name="Heading 2 2 3 6 3 8 5 2 2" xfId="41423"/>
    <cellStyle name="Heading 2 2 3 6 3 8 5 3" xfId="41424"/>
    <cellStyle name="Heading 2 2 3 6 3 8 6" xfId="41425"/>
    <cellStyle name="Heading 2 2 3 6 3 8 6 2" xfId="41426"/>
    <cellStyle name="Heading 2 2 3 6 3 8 6 2 2" xfId="41427"/>
    <cellStyle name="Heading 2 2 3 6 3 8 6 3" xfId="41428"/>
    <cellStyle name="Heading 2 2 3 6 3 8 7" xfId="41429"/>
    <cellStyle name="Heading 2 2 3 6 3 8 7 2" xfId="41430"/>
    <cellStyle name="Heading 2 2 3 6 3 8 7 2 2" xfId="41431"/>
    <cellStyle name="Heading 2 2 3 6 3 8 7 3" xfId="41432"/>
    <cellStyle name="Heading 2 2 3 6 3 8 8" xfId="41433"/>
    <cellStyle name="Heading 2 2 3 6 3 8 8 2" xfId="41434"/>
    <cellStyle name="Heading 2 2 3 6 3 8 9" xfId="41435"/>
    <cellStyle name="Heading 2 2 3 6 3 9" xfId="41436"/>
    <cellStyle name="Heading 2 2 3 6 3 9 2" xfId="41437"/>
    <cellStyle name="Heading 2 2 3 6 3 9 2 2" xfId="41438"/>
    <cellStyle name="Heading 2 2 3 6 3 9 3" xfId="41439"/>
    <cellStyle name="Heading 2 2 3 6 4" xfId="41440"/>
    <cellStyle name="Heading 2 2 3 6 4 2" xfId="41441"/>
    <cellStyle name="Heading 2 2 3 6 4 2 2" xfId="41442"/>
    <cellStyle name="Heading 2 2 3 6 4 3" xfId="41443"/>
    <cellStyle name="Heading 2 2 3 6 5" xfId="41444"/>
    <cellStyle name="Heading 2 2 3 6 5 2" xfId="41445"/>
    <cellStyle name="Heading 2 2 3 6 6" xfId="41446"/>
    <cellStyle name="Heading 2 2 3 7" xfId="41447"/>
    <cellStyle name="Heading 2 2 3 7 2" xfId="41448"/>
    <cellStyle name="Heading 2 2 3 7 2 10" xfId="41449"/>
    <cellStyle name="Heading 2 2 3 7 2 10 2" xfId="41450"/>
    <cellStyle name="Heading 2 2 3 7 2 10 2 2" xfId="41451"/>
    <cellStyle name="Heading 2 2 3 7 2 10 3" xfId="41452"/>
    <cellStyle name="Heading 2 2 3 7 2 11" xfId="41453"/>
    <cellStyle name="Heading 2 2 3 7 2 11 2" xfId="41454"/>
    <cellStyle name="Heading 2 2 3 7 2 11 2 2" xfId="41455"/>
    <cellStyle name="Heading 2 2 3 7 2 11 3" xfId="41456"/>
    <cellStyle name="Heading 2 2 3 7 2 12" xfId="41457"/>
    <cellStyle name="Heading 2 2 3 7 2 12 2" xfId="41458"/>
    <cellStyle name="Heading 2 2 3 7 2 12 2 2" xfId="41459"/>
    <cellStyle name="Heading 2 2 3 7 2 12 3" xfId="41460"/>
    <cellStyle name="Heading 2 2 3 7 2 13" xfId="41461"/>
    <cellStyle name="Heading 2 2 3 7 2 13 2" xfId="41462"/>
    <cellStyle name="Heading 2 2 3 7 2 13 2 2" xfId="41463"/>
    <cellStyle name="Heading 2 2 3 7 2 13 3" xfId="41464"/>
    <cellStyle name="Heading 2 2 3 7 2 14" xfId="41465"/>
    <cellStyle name="Heading 2 2 3 7 2 14 2" xfId="41466"/>
    <cellStyle name="Heading 2 2 3 7 2 14 2 2" xfId="41467"/>
    <cellStyle name="Heading 2 2 3 7 2 14 3" xfId="41468"/>
    <cellStyle name="Heading 2 2 3 7 2 15" xfId="41469"/>
    <cellStyle name="Heading 2 2 3 7 2 15 2" xfId="41470"/>
    <cellStyle name="Heading 2 2 3 7 2 15 2 2" xfId="41471"/>
    <cellStyle name="Heading 2 2 3 7 2 15 3" xfId="41472"/>
    <cellStyle name="Heading 2 2 3 7 2 16" xfId="41473"/>
    <cellStyle name="Heading 2 2 3 7 2 16 2" xfId="41474"/>
    <cellStyle name="Heading 2 2 3 7 2 16 2 2" xfId="41475"/>
    <cellStyle name="Heading 2 2 3 7 2 16 3" xfId="41476"/>
    <cellStyle name="Heading 2 2 3 7 2 17" xfId="41477"/>
    <cellStyle name="Heading 2 2 3 7 2 17 2" xfId="41478"/>
    <cellStyle name="Heading 2 2 3 7 2 17 2 2" xfId="41479"/>
    <cellStyle name="Heading 2 2 3 7 2 17 3" xfId="41480"/>
    <cellStyle name="Heading 2 2 3 7 2 18" xfId="41481"/>
    <cellStyle name="Heading 2 2 3 7 2 18 2" xfId="41482"/>
    <cellStyle name="Heading 2 2 3 7 2 18 2 2" xfId="41483"/>
    <cellStyle name="Heading 2 2 3 7 2 18 3" xfId="41484"/>
    <cellStyle name="Heading 2 2 3 7 2 19" xfId="41485"/>
    <cellStyle name="Heading 2 2 3 7 2 19 2" xfId="41486"/>
    <cellStyle name="Heading 2 2 3 7 2 19 2 2" xfId="41487"/>
    <cellStyle name="Heading 2 2 3 7 2 19 3" xfId="41488"/>
    <cellStyle name="Heading 2 2 3 7 2 2" xfId="41489"/>
    <cellStyle name="Heading 2 2 3 7 2 2 10" xfId="41490"/>
    <cellStyle name="Heading 2 2 3 7 2 2 10 2" xfId="41491"/>
    <cellStyle name="Heading 2 2 3 7 2 2 10 2 2" xfId="41492"/>
    <cellStyle name="Heading 2 2 3 7 2 2 10 3" xfId="41493"/>
    <cellStyle name="Heading 2 2 3 7 2 2 11" xfId="41494"/>
    <cellStyle name="Heading 2 2 3 7 2 2 11 2" xfId="41495"/>
    <cellStyle name="Heading 2 2 3 7 2 2 11 2 2" xfId="41496"/>
    <cellStyle name="Heading 2 2 3 7 2 2 11 3" xfId="41497"/>
    <cellStyle name="Heading 2 2 3 7 2 2 12" xfId="41498"/>
    <cellStyle name="Heading 2 2 3 7 2 2 12 2" xfId="41499"/>
    <cellStyle name="Heading 2 2 3 7 2 2 12 2 2" xfId="41500"/>
    <cellStyle name="Heading 2 2 3 7 2 2 12 3" xfId="41501"/>
    <cellStyle name="Heading 2 2 3 7 2 2 13" xfId="41502"/>
    <cellStyle name="Heading 2 2 3 7 2 2 13 2" xfId="41503"/>
    <cellStyle name="Heading 2 2 3 7 2 2 13 2 2" xfId="41504"/>
    <cellStyle name="Heading 2 2 3 7 2 2 13 3" xfId="41505"/>
    <cellStyle name="Heading 2 2 3 7 2 2 14" xfId="41506"/>
    <cellStyle name="Heading 2 2 3 7 2 2 14 2" xfId="41507"/>
    <cellStyle name="Heading 2 2 3 7 2 2 14 2 2" xfId="41508"/>
    <cellStyle name="Heading 2 2 3 7 2 2 14 3" xfId="41509"/>
    <cellStyle name="Heading 2 2 3 7 2 2 15" xfId="41510"/>
    <cellStyle name="Heading 2 2 3 7 2 2 15 2" xfId="41511"/>
    <cellStyle name="Heading 2 2 3 7 2 2 15 2 2" xfId="41512"/>
    <cellStyle name="Heading 2 2 3 7 2 2 15 3" xfId="41513"/>
    <cellStyle name="Heading 2 2 3 7 2 2 16" xfId="41514"/>
    <cellStyle name="Heading 2 2 3 7 2 2 16 2" xfId="41515"/>
    <cellStyle name="Heading 2 2 3 7 2 2 16 2 2" xfId="41516"/>
    <cellStyle name="Heading 2 2 3 7 2 2 16 3" xfId="41517"/>
    <cellStyle name="Heading 2 2 3 7 2 2 17" xfId="41518"/>
    <cellStyle name="Heading 2 2 3 7 2 2 17 2" xfId="41519"/>
    <cellStyle name="Heading 2 2 3 7 2 2 17 2 2" xfId="41520"/>
    <cellStyle name="Heading 2 2 3 7 2 2 17 3" xfId="41521"/>
    <cellStyle name="Heading 2 2 3 7 2 2 18" xfId="41522"/>
    <cellStyle name="Heading 2 2 3 7 2 2 18 2" xfId="41523"/>
    <cellStyle name="Heading 2 2 3 7 2 2 18 2 2" xfId="41524"/>
    <cellStyle name="Heading 2 2 3 7 2 2 18 3" xfId="41525"/>
    <cellStyle name="Heading 2 2 3 7 2 2 19" xfId="41526"/>
    <cellStyle name="Heading 2 2 3 7 2 2 19 2" xfId="41527"/>
    <cellStyle name="Heading 2 2 3 7 2 2 2" xfId="41528"/>
    <cellStyle name="Heading 2 2 3 7 2 2 2 2" xfId="41529"/>
    <cellStyle name="Heading 2 2 3 7 2 2 2 2 2" xfId="41530"/>
    <cellStyle name="Heading 2 2 3 7 2 2 2 2 2 2" xfId="41531"/>
    <cellStyle name="Heading 2 2 3 7 2 2 2 2 3" xfId="41532"/>
    <cellStyle name="Heading 2 2 3 7 2 2 2 3" xfId="41533"/>
    <cellStyle name="Heading 2 2 3 7 2 2 2 3 2" xfId="41534"/>
    <cellStyle name="Heading 2 2 3 7 2 2 2 3 2 2" xfId="41535"/>
    <cellStyle name="Heading 2 2 3 7 2 2 2 3 3" xfId="41536"/>
    <cellStyle name="Heading 2 2 3 7 2 2 2 4" xfId="41537"/>
    <cellStyle name="Heading 2 2 3 7 2 2 2 4 2" xfId="41538"/>
    <cellStyle name="Heading 2 2 3 7 2 2 2 4 2 2" xfId="41539"/>
    <cellStyle name="Heading 2 2 3 7 2 2 2 4 3" xfId="41540"/>
    <cellStyle name="Heading 2 2 3 7 2 2 2 5" xfId="41541"/>
    <cellStyle name="Heading 2 2 3 7 2 2 2 5 2" xfId="41542"/>
    <cellStyle name="Heading 2 2 3 7 2 2 2 5 2 2" xfId="41543"/>
    <cellStyle name="Heading 2 2 3 7 2 2 2 5 3" xfId="41544"/>
    <cellStyle name="Heading 2 2 3 7 2 2 2 6" xfId="41545"/>
    <cellStyle name="Heading 2 2 3 7 2 2 2 6 2" xfId="41546"/>
    <cellStyle name="Heading 2 2 3 7 2 2 2 6 2 2" xfId="41547"/>
    <cellStyle name="Heading 2 2 3 7 2 2 2 6 3" xfId="41548"/>
    <cellStyle name="Heading 2 2 3 7 2 2 2 7" xfId="41549"/>
    <cellStyle name="Heading 2 2 3 7 2 2 2 7 2" xfId="41550"/>
    <cellStyle name="Heading 2 2 3 7 2 2 2 7 2 2" xfId="41551"/>
    <cellStyle name="Heading 2 2 3 7 2 2 2 7 3" xfId="41552"/>
    <cellStyle name="Heading 2 2 3 7 2 2 2 8" xfId="41553"/>
    <cellStyle name="Heading 2 2 3 7 2 2 2 8 2" xfId="41554"/>
    <cellStyle name="Heading 2 2 3 7 2 2 2 9" xfId="41555"/>
    <cellStyle name="Heading 2 2 3 7 2 2 20" xfId="41556"/>
    <cellStyle name="Heading 2 2 3 7 2 2 20 2" xfId="41557"/>
    <cellStyle name="Heading 2 2 3 7 2 2 21" xfId="41558"/>
    <cellStyle name="Heading 2 2 3 7 2 2 21 2" xfId="41559"/>
    <cellStyle name="Heading 2 2 3 7 2 2 22" xfId="41560"/>
    <cellStyle name="Heading 2 2 3 7 2 2 3" xfId="41561"/>
    <cellStyle name="Heading 2 2 3 7 2 2 3 2" xfId="41562"/>
    <cellStyle name="Heading 2 2 3 7 2 2 3 2 2" xfId="41563"/>
    <cellStyle name="Heading 2 2 3 7 2 2 3 2 2 2" xfId="41564"/>
    <cellStyle name="Heading 2 2 3 7 2 2 3 2 3" xfId="41565"/>
    <cellStyle name="Heading 2 2 3 7 2 2 3 3" xfId="41566"/>
    <cellStyle name="Heading 2 2 3 7 2 2 3 3 2" xfId="41567"/>
    <cellStyle name="Heading 2 2 3 7 2 2 3 3 2 2" xfId="41568"/>
    <cellStyle name="Heading 2 2 3 7 2 2 3 3 3" xfId="41569"/>
    <cellStyle name="Heading 2 2 3 7 2 2 3 4" xfId="41570"/>
    <cellStyle name="Heading 2 2 3 7 2 2 3 4 2" xfId="41571"/>
    <cellStyle name="Heading 2 2 3 7 2 2 3 4 2 2" xfId="41572"/>
    <cellStyle name="Heading 2 2 3 7 2 2 3 4 3" xfId="41573"/>
    <cellStyle name="Heading 2 2 3 7 2 2 3 5" xfId="41574"/>
    <cellStyle name="Heading 2 2 3 7 2 2 3 5 2" xfId="41575"/>
    <cellStyle name="Heading 2 2 3 7 2 2 3 5 2 2" xfId="41576"/>
    <cellStyle name="Heading 2 2 3 7 2 2 3 5 3" xfId="41577"/>
    <cellStyle name="Heading 2 2 3 7 2 2 3 6" xfId="41578"/>
    <cellStyle name="Heading 2 2 3 7 2 2 3 6 2" xfId="41579"/>
    <cellStyle name="Heading 2 2 3 7 2 2 3 6 2 2" xfId="41580"/>
    <cellStyle name="Heading 2 2 3 7 2 2 3 6 3" xfId="41581"/>
    <cellStyle name="Heading 2 2 3 7 2 2 3 7" xfId="41582"/>
    <cellStyle name="Heading 2 2 3 7 2 2 3 7 2" xfId="41583"/>
    <cellStyle name="Heading 2 2 3 7 2 2 3 7 2 2" xfId="41584"/>
    <cellStyle name="Heading 2 2 3 7 2 2 3 7 3" xfId="41585"/>
    <cellStyle name="Heading 2 2 3 7 2 2 3 8" xfId="41586"/>
    <cellStyle name="Heading 2 2 3 7 2 2 3 8 2" xfId="41587"/>
    <cellStyle name="Heading 2 2 3 7 2 2 3 9" xfId="41588"/>
    <cellStyle name="Heading 2 2 3 7 2 2 4" xfId="41589"/>
    <cellStyle name="Heading 2 2 3 7 2 2 4 2" xfId="41590"/>
    <cellStyle name="Heading 2 2 3 7 2 2 4 2 2" xfId="41591"/>
    <cellStyle name="Heading 2 2 3 7 2 2 4 2 2 2" xfId="41592"/>
    <cellStyle name="Heading 2 2 3 7 2 2 4 2 3" xfId="41593"/>
    <cellStyle name="Heading 2 2 3 7 2 2 4 3" xfId="41594"/>
    <cellStyle name="Heading 2 2 3 7 2 2 4 3 2" xfId="41595"/>
    <cellStyle name="Heading 2 2 3 7 2 2 4 3 2 2" xfId="41596"/>
    <cellStyle name="Heading 2 2 3 7 2 2 4 3 3" xfId="41597"/>
    <cellStyle name="Heading 2 2 3 7 2 2 4 4" xfId="41598"/>
    <cellStyle name="Heading 2 2 3 7 2 2 4 4 2" xfId="41599"/>
    <cellStyle name="Heading 2 2 3 7 2 2 4 4 2 2" xfId="41600"/>
    <cellStyle name="Heading 2 2 3 7 2 2 4 4 3" xfId="41601"/>
    <cellStyle name="Heading 2 2 3 7 2 2 4 5" xfId="41602"/>
    <cellStyle name="Heading 2 2 3 7 2 2 4 5 2" xfId="41603"/>
    <cellStyle name="Heading 2 2 3 7 2 2 4 5 2 2" xfId="41604"/>
    <cellStyle name="Heading 2 2 3 7 2 2 4 5 3" xfId="41605"/>
    <cellStyle name="Heading 2 2 3 7 2 2 4 6" xfId="41606"/>
    <cellStyle name="Heading 2 2 3 7 2 2 4 6 2" xfId="41607"/>
    <cellStyle name="Heading 2 2 3 7 2 2 4 6 2 2" xfId="41608"/>
    <cellStyle name="Heading 2 2 3 7 2 2 4 6 3" xfId="41609"/>
    <cellStyle name="Heading 2 2 3 7 2 2 4 7" xfId="41610"/>
    <cellStyle name="Heading 2 2 3 7 2 2 4 7 2" xfId="41611"/>
    <cellStyle name="Heading 2 2 3 7 2 2 4 7 2 2" xfId="41612"/>
    <cellStyle name="Heading 2 2 3 7 2 2 4 7 3" xfId="41613"/>
    <cellStyle name="Heading 2 2 3 7 2 2 4 8" xfId="41614"/>
    <cellStyle name="Heading 2 2 3 7 2 2 4 8 2" xfId="41615"/>
    <cellStyle name="Heading 2 2 3 7 2 2 4 9" xfId="41616"/>
    <cellStyle name="Heading 2 2 3 7 2 2 5" xfId="41617"/>
    <cellStyle name="Heading 2 2 3 7 2 2 5 2" xfId="41618"/>
    <cellStyle name="Heading 2 2 3 7 2 2 5 2 2" xfId="41619"/>
    <cellStyle name="Heading 2 2 3 7 2 2 5 2 2 2" xfId="41620"/>
    <cellStyle name="Heading 2 2 3 7 2 2 5 2 3" xfId="41621"/>
    <cellStyle name="Heading 2 2 3 7 2 2 5 3" xfId="41622"/>
    <cellStyle name="Heading 2 2 3 7 2 2 5 3 2" xfId="41623"/>
    <cellStyle name="Heading 2 2 3 7 2 2 5 3 2 2" xfId="41624"/>
    <cellStyle name="Heading 2 2 3 7 2 2 5 3 3" xfId="41625"/>
    <cellStyle name="Heading 2 2 3 7 2 2 5 4" xfId="41626"/>
    <cellStyle name="Heading 2 2 3 7 2 2 5 4 2" xfId="41627"/>
    <cellStyle name="Heading 2 2 3 7 2 2 5 4 2 2" xfId="41628"/>
    <cellStyle name="Heading 2 2 3 7 2 2 5 4 3" xfId="41629"/>
    <cellStyle name="Heading 2 2 3 7 2 2 5 5" xfId="41630"/>
    <cellStyle name="Heading 2 2 3 7 2 2 5 5 2" xfId="41631"/>
    <cellStyle name="Heading 2 2 3 7 2 2 5 5 2 2" xfId="41632"/>
    <cellStyle name="Heading 2 2 3 7 2 2 5 5 3" xfId="41633"/>
    <cellStyle name="Heading 2 2 3 7 2 2 5 6" xfId="41634"/>
    <cellStyle name="Heading 2 2 3 7 2 2 5 6 2" xfId="41635"/>
    <cellStyle name="Heading 2 2 3 7 2 2 5 6 2 2" xfId="41636"/>
    <cellStyle name="Heading 2 2 3 7 2 2 5 6 3" xfId="41637"/>
    <cellStyle name="Heading 2 2 3 7 2 2 5 7" xfId="41638"/>
    <cellStyle name="Heading 2 2 3 7 2 2 5 7 2" xfId="41639"/>
    <cellStyle name="Heading 2 2 3 7 2 2 5 7 2 2" xfId="41640"/>
    <cellStyle name="Heading 2 2 3 7 2 2 5 7 3" xfId="41641"/>
    <cellStyle name="Heading 2 2 3 7 2 2 5 8" xfId="41642"/>
    <cellStyle name="Heading 2 2 3 7 2 2 5 8 2" xfId="41643"/>
    <cellStyle name="Heading 2 2 3 7 2 2 5 9" xfId="41644"/>
    <cellStyle name="Heading 2 2 3 7 2 2 6" xfId="41645"/>
    <cellStyle name="Heading 2 2 3 7 2 2 6 2" xfId="41646"/>
    <cellStyle name="Heading 2 2 3 7 2 2 6 2 2" xfId="41647"/>
    <cellStyle name="Heading 2 2 3 7 2 2 6 2 2 2" xfId="41648"/>
    <cellStyle name="Heading 2 2 3 7 2 2 6 2 3" xfId="41649"/>
    <cellStyle name="Heading 2 2 3 7 2 2 6 3" xfId="41650"/>
    <cellStyle name="Heading 2 2 3 7 2 2 6 3 2" xfId="41651"/>
    <cellStyle name="Heading 2 2 3 7 2 2 6 3 2 2" xfId="41652"/>
    <cellStyle name="Heading 2 2 3 7 2 2 6 3 3" xfId="41653"/>
    <cellStyle name="Heading 2 2 3 7 2 2 6 4" xfId="41654"/>
    <cellStyle name="Heading 2 2 3 7 2 2 6 4 2" xfId="41655"/>
    <cellStyle name="Heading 2 2 3 7 2 2 6 4 2 2" xfId="41656"/>
    <cellStyle name="Heading 2 2 3 7 2 2 6 4 3" xfId="41657"/>
    <cellStyle name="Heading 2 2 3 7 2 2 6 5" xfId="41658"/>
    <cellStyle name="Heading 2 2 3 7 2 2 6 5 2" xfId="41659"/>
    <cellStyle name="Heading 2 2 3 7 2 2 6 5 2 2" xfId="41660"/>
    <cellStyle name="Heading 2 2 3 7 2 2 6 5 3" xfId="41661"/>
    <cellStyle name="Heading 2 2 3 7 2 2 6 6" xfId="41662"/>
    <cellStyle name="Heading 2 2 3 7 2 2 6 6 2" xfId="41663"/>
    <cellStyle name="Heading 2 2 3 7 2 2 6 6 2 2" xfId="41664"/>
    <cellStyle name="Heading 2 2 3 7 2 2 6 6 3" xfId="41665"/>
    <cellStyle name="Heading 2 2 3 7 2 2 6 7" xfId="41666"/>
    <cellStyle name="Heading 2 2 3 7 2 2 6 7 2" xfId="41667"/>
    <cellStyle name="Heading 2 2 3 7 2 2 6 7 2 2" xfId="41668"/>
    <cellStyle name="Heading 2 2 3 7 2 2 6 7 3" xfId="41669"/>
    <cellStyle name="Heading 2 2 3 7 2 2 6 8" xfId="41670"/>
    <cellStyle name="Heading 2 2 3 7 2 2 6 8 2" xfId="41671"/>
    <cellStyle name="Heading 2 2 3 7 2 2 6 9" xfId="41672"/>
    <cellStyle name="Heading 2 2 3 7 2 2 7" xfId="41673"/>
    <cellStyle name="Heading 2 2 3 7 2 2 7 2" xfId="41674"/>
    <cellStyle name="Heading 2 2 3 7 2 2 7 2 2" xfId="41675"/>
    <cellStyle name="Heading 2 2 3 7 2 2 7 2 2 2" xfId="41676"/>
    <cellStyle name="Heading 2 2 3 7 2 2 7 2 3" xfId="41677"/>
    <cellStyle name="Heading 2 2 3 7 2 2 7 3" xfId="41678"/>
    <cellStyle name="Heading 2 2 3 7 2 2 7 3 2" xfId="41679"/>
    <cellStyle name="Heading 2 2 3 7 2 2 7 3 2 2" xfId="41680"/>
    <cellStyle name="Heading 2 2 3 7 2 2 7 3 3" xfId="41681"/>
    <cellStyle name="Heading 2 2 3 7 2 2 7 4" xfId="41682"/>
    <cellStyle name="Heading 2 2 3 7 2 2 7 4 2" xfId="41683"/>
    <cellStyle name="Heading 2 2 3 7 2 2 7 4 2 2" xfId="41684"/>
    <cellStyle name="Heading 2 2 3 7 2 2 7 4 3" xfId="41685"/>
    <cellStyle name="Heading 2 2 3 7 2 2 7 5" xfId="41686"/>
    <cellStyle name="Heading 2 2 3 7 2 2 7 5 2" xfId="41687"/>
    <cellStyle name="Heading 2 2 3 7 2 2 7 5 2 2" xfId="41688"/>
    <cellStyle name="Heading 2 2 3 7 2 2 7 5 3" xfId="41689"/>
    <cellStyle name="Heading 2 2 3 7 2 2 7 6" xfId="41690"/>
    <cellStyle name="Heading 2 2 3 7 2 2 7 6 2" xfId="41691"/>
    <cellStyle name="Heading 2 2 3 7 2 2 7 6 2 2" xfId="41692"/>
    <cellStyle name="Heading 2 2 3 7 2 2 7 6 3" xfId="41693"/>
    <cellStyle name="Heading 2 2 3 7 2 2 7 7" xfId="41694"/>
    <cellStyle name="Heading 2 2 3 7 2 2 7 7 2" xfId="41695"/>
    <cellStyle name="Heading 2 2 3 7 2 2 7 7 2 2" xfId="41696"/>
    <cellStyle name="Heading 2 2 3 7 2 2 7 7 3" xfId="41697"/>
    <cellStyle name="Heading 2 2 3 7 2 2 7 8" xfId="41698"/>
    <cellStyle name="Heading 2 2 3 7 2 2 7 8 2" xfId="41699"/>
    <cellStyle name="Heading 2 2 3 7 2 2 7 9" xfId="41700"/>
    <cellStyle name="Heading 2 2 3 7 2 2 8" xfId="41701"/>
    <cellStyle name="Heading 2 2 3 7 2 2 8 2" xfId="41702"/>
    <cellStyle name="Heading 2 2 3 7 2 2 8 2 2" xfId="41703"/>
    <cellStyle name="Heading 2 2 3 7 2 2 8 2 2 2" xfId="41704"/>
    <cellStyle name="Heading 2 2 3 7 2 2 8 2 3" xfId="41705"/>
    <cellStyle name="Heading 2 2 3 7 2 2 8 3" xfId="41706"/>
    <cellStyle name="Heading 2 2 3 7 2 2 8 3 2" xfId="41707"/>
    <cellStyle name="Heading 2 2 3 7 2 2 8 3 2 2" xfId="41708"/>
    <cellStyle name="Heading 2 2 3 7 2 2 8 3 3" xfId="41709"/>
    <cellStyle name="Heading 2 2 3 7 2 2 8 4" xfId="41710"/>
    <cellStyle name="Heading 2 2 3 7 2 2 8 4 2" xfId="41711"/>
    <cellStyle name="Heading 2 2 3 7 2 2 8 4 2 2" xfId="41712"/>
    <cellStyle name="Heading 2 2 3 7 2 2 8 4 3" xfId="41713"/>
    <cellStyle name="Heading 2 2 3 7 2 2 8 5" xfId="41714"/>
    <cellStyle name="Heading 2 2 3 7 2 2 8 5 2" xfId="41715"/>
    <cellStyle name="Heading 2 2 3 7 2 2 8 5 2 2" xfId="41716"/>
    <cellStyle name="Heading 2 2 3 7 2 2 8 5 3" xfId="41717"/>
    <cellStyle name="Heading 2 2 3 7 2 2 8 6" xfId="41718"/>
    <cellStyle name="Heading 2 2 3 7 2 2 8 6 2" xfId="41719"/>
    <cellStyle name="Heading 2 2 3 7 2 2 8 6 2 2" xfId="41720"/>
    <cellStyle name="Heading 2 2 3 7 2 2 8 6 3" xfId="41721"/>
    <cellStyle name="Heading 2 2 3 7 2 2 8 7" xfId="41722"/>
    <cellStyle name="Heading 2 2 3 7 2 2 8 7 2" xfId="41723"/>
    <cellStyle name="Heading 2 2 3 7 2 2 8 7 2 2" xfId="41724"/>
    <cellStyle name="Heading 2 2 3 7 2 2 8 7 3" xfId="41725"/>
    <cellStyle name="Heading 2 2 3 7 2 2 8 8" xfId="41726"/>
    <cellStyle name="Heading 2 2 3 7 2 2 8 8 2" xfId="41727"/>
    <cellStyle name="Heading 2 2 3 7 2 2 8 9" xfId="41728"/>
    <cellStyle name="Heading 2 2 3 7 2 2 9" xfId="41729"/>
    <cellStyle name="Heading 2 2 3 7 2 2 9 2" xfId="41730"/>
    <cellStyle name="Heading 2 2 3 7 2 2 9 2 2" xfId="41731"/>
    <cellStyle name="Heading 2 2 3 7 2 2 9 3" xfId="41732"/>
    <cellStyle name="Heading 2 2 3 7 2 20" xfId="41733"/>
    <cellStyle name="Heading 2 2 3 7 2 20 2" xfId="41734"/>
    <cellStyle name="Heading 2 2 3 7 2 21" xfId="41735"/>
    <cellStyle name="Heading 2 2 3 7 2 21 2" xfId="41736"/>
    <cellStyle name="Heading 2 2 3 7 2 22" xfId="41737"/>
    <cellStyle name="Heading 2 2 3 7 2 22 2" xfId="41738"/>
    <cellStyle name="Heading 2 2 3 7 2 23" xfId="41739"/>
    <cellStyle name="Heading 2 2 3 7 2 3" xfId="41740"/>
    <cellStyle name="Heading 2 2 3 7 2 3 2" xfId="41741"/>
    <cellStyle name="Heading 2 2 3 7 2 3 2 2" xfId="41742"/>
    <cellStyle name="Heading 2 2 3 7 2 3 2 2 2" xfId="41743"/>
    <cellStyle name="Heading 2 2 3 7 2 3 2 3" xfId="41744"/>
    <cellStyle name="Heading 2 2 3 7 2 3 3" xfId="41745"/>
    <cellStyle name="Heading 2 2 3 7 2 3 3 2" xfId="41746"/>
    <cellStyle name="Heading 2 2 3 7 2 3 3 2 2" xfId="41747"/>
    <cellStyle name="Heading 2 2 3 7 2 3 3 3" xfId="41748"/>
    <cellStyle name="Heading 2 2 3 7 2 3 4" xfId="41749"/>
    <cellStyle name="Heading 2 2 3 7 2 3 4 2" xfId="41750"/>
    <cellStyle name="Heading 2 2 3 7 2 3 4 2 2" xfId="41751"/>
    <cellStyle name="Heading 2 2 3 7 2 3 4 3" xfId="41752"/>
    <cellStyle name="Heading 2 2 3 7 2 3 5" xfId="41753"/>
    <cellStyle name="Heading 2 2 3 7 2 3 5 2" xfId="41754"/>
    <cellStyle name="Heading 2 2 3 7 2 3 5 2 2" xfId="41755"/>
    <cellStyle name="Heading 2 2 3 7 2 3 5 3" xfId="41756"/>
    <cellStyle name="Heading 2 2 3 7 2 3 6" xfId="41757"/>
    <cellStyle name="Heading 2 2 3 7 2 3 6 2" xfId="41758"/>
    <cellStyle name="Heading 2 2 3 7 2 3 6 2 2" xfId="41759"/>
    <cellStyle name="Heading 2 2 3 7 2 3 6 3" xfId="41760"/>
    <cellStyle name="Heading 2 2 3 7 2 3 7" xfId="41761"/>
    <cellStyle name="Heading 2 2 3 7 2 3 7 2" xfId="41762"/>
    <cellStyle name="Heading 2 2 3 7 2 3 7 2 2" xfId="41763"/>
    <cellStyle name="Heading 2 2 3 7 2 3 7 3" xfId="41764"/>
    <cellStyle name="Heading 2 2 3 7 2 3 8" xfId="41765"/>
    <cellStyle name="Heading 2 2 3 7 2 3 8 2" xfId="41766"/>
    <cellStyle name="Heading 2 2 3 7 2 3 9" xfId="41767"/>
    <cellStyle name="Heading 2 2 3 7 2 4" xfId="41768"/>
    <cellStyle name="Heading 2 2 3 7 2 4 2" xfId="41769"/>
    <cellStyle name="Heading 2 2 3 7 2 4 2 2" xfId="41770"/>
    <cellStyle name="Heading 2 2 3 7 2 4 2 2 2" xfId="41771"/>
    <cellStyle name="Heading 2 2 3 7 2 4 2 3" xfId="41772"/>
    <cellStyle name="Heading 2 2 3 7 2 4 3" xfId="41773"/>
    <cellStyle name="Heading 2 2 3 7 2 4 3 2" xfId="41774"/>
    <cellStyle name="Heading 2 2 3 7 2 4 3 2 2" xfId="41775"/>
    <cellStyle name="Heading 2 2 3 7 2 4 3 3" xfId="41776"/>
    <cellStyle name="Heading 2 2 3 7 2 4 4" xfId="41777"/>
    <cellStyle name="Heading 2 2 3 7 2 4 4 2" xfId="41778"/>
    <cellStyle name="Heading 2 2 3 7 2 4 4 2 2" xfId="41779"/>
    <cellStyle name="Heading 2 2 3 7 2 4 4 3" xfId="41780"/>
    <cellStyle name="Heading 2 2 3 7 2 4 5" xfId="41781"/>
    <cellStyle name="Heading 2 2 3 7 2 4 5 2" xfId="41782"/>
    <cellStyle name="Heading 2 2 3 7 2 4 5 2 2" xfId="41783"/>
    <cellStyle name="Heading 2 2 3 7 2 4 5 3" xfId="41784"/>
    <cellStyle name="Heading 2 2 3 7 2 4 6" xfId="41785"/>
    <cellStyle name="Heading 2 2 3 7 2 4 6 2" xfId="41786"/>
    <cellStyle name="Heading 2 2 3 7 2 4 6 2 2" xfId="41787"/>
    <cellStyle name="Heading 2 2 3 7 2 4 6 3" xfId="41788"/>
    <cellStyle name="Heading 2 2 3 7 2 4 7" xfId="41789"/>
    <cellStyle name="Heading 2 2 3 7 2 4 7 2" xfId="41790"/>
    <cellStyle name="Heading 2 2 3 7 2 4 7 2 2" xfId="41791"/>
    <cellStyle name="Heading 2 2 3 7 2 4 7 3" xfId="41792"/>
    <cellStyle name="Heading 2 2 3 7 2 4 8" xfId="41793"/>
    <cellStyle name="Heading 2 2 3 7 2 4 8 2" xfId="41794"/>
    <cellStyle name="Heading 2 2 3 7 2 4 9" xfId="41795"/>
    <cellStyle name="Heading 2 2 3 7 2 5" xfId="41796"/>
    <cellStyle name="Heading 2 2 3 7 2 5 2" xfId="41797"/>
    <cellStyle name="Heading 2 2 3 7 2 5 2 2" xfId="41798"/>
    <cellStyle name="Heading 2 2 3 7 2 5 2 2 2" xfId="41799"/>
    <cellStyle name="Heading 2 2 3 7 2 5 2 3" xfId="41800"/>
    <cellStyle name="Heading 2 2 3 7 2 5 3" xfId="41801"/>
    <cellStyle name="Heading 2 2 3 7 2 5 3 2" xfId="41802"/>
    <cellStyle name="Heading 2 2 3 7 2 5 3 2 2" xfId="41803"/>
    <cellStyle name="Heading 2 2 3 7 2 5 3 3" xfId="41804"/>
    <cellStyle name="Heading 2 2 3 7 2 5 4" xfId="41805"/>
    <cellStyle name="Heading 2 2 3 7 2 5 4 2" xfId="41806"/>
    <cellStyle name="Heading 2 2 3 7 2 5 4 2 2" xfId="41807"/>
    <cellStyle name="Heading 2 2 3 7 2 5 4 3" xfId="41808"/>
    <cellStyle name="Heading 2 2 3 7 2 5 5" xfId="41809"/>
    <cellStyle name="Heading 2 2 3 7 2 5 5 2" xfId="41810"/>
    <cellStyle name="Heading 2 2 3 7 2 5 5 2 2" xfId="41811"/>
    <cellStyle name="Heading 2 2 3 7 2 5 5 3" xfId="41812"/>
    <cellStyle name="Heading 2 2 3 7 2 5 6" xfId="41813"/>
    <cellStyle name="Heading 2 2 3 7 2 5 6 2" xfId="41814"/>
    <cellStyle name="Heading 2 2 3 7 2 5 6 2 2" xfId="41815"/>
    <cellStyle name="Heading 2 2 3 7 2 5 6 3" xfId="41816"/>
    <cellStyle name="Heading 2 2 3 7 2 5 7" xfId="41817"/>
    <cellStyle name="Heading 2 2 3 7 2 5 7 2" xfId="41818"/>
    <cellStyle name="Heading 2 2 3 7 2 5 7 2 2" xfId="41819"/>
    <cellStyle name="Heading 2 2 3 7 2 5 7 3" xfId="41820"/>
    <cellStyle name="Heading 2 2 3 7 2 5 8" xfId="41821"/>
    <cellStyle name="Heading 2 2 3 7 2 5 8 2" xfId="41822"/>
    <cellStyle name="Heading 2 2 3 7 2 5 9" xfId="41823"/>
    <cellStyle name="Heading 2 2 3 7 2 6" xfId="41824"/>
    <cellStyle name="Heading 2 2 3 7 2 6 2" xfId="41825"/>
    <cellStyle name="Heading 2 2 3 7 2 6 2 2" xfId="41826"/>
    <cellStyle name="Heading 2 2 3 7 2 6 2 2 2" xfId="41827"/>
    <cellStyle name="Heading 2 2 3 7 2 6 2 3" xfId="41828"/>
    <cellStyle name="Heading 2 2 3 7 2 6 3" xfId="41829"/>
    <cellStyle name="Heading 2 2 3 7 2 6 3 2" xfId="41830"/>
    <cellStyle name="Heading 2 2 3 7 2 6 3 2 2" xfId="41831"/>
    <cellStyle name="Heading 2 2 3 7 2 6 3 3" xfId="41832"/>
    <cellStyle name="Heading 2 2 3 7 2 6 4" xfId="41833"/>
    <cellStyle name="Heading 2 2 3 7 2 6 4 2" xfId="41834"/>
    <cellStyle name="Heading 2 2 3 7 2 6 4 2 2" xfId="41835"/>
    <cellStyle name="Heading 2 2 3 7 2 6 4 3" xfId="41836"/>
    <cellStyle name="Heading 2 2 3 7 2 6 5" xfId="41837"/>
    <cellStyle name="Heading 2 2 3 7 2 6 5 2" xfId="41838"/>
    <cellStyle name="Heading 2 2 3 7 2 6 5 2 2" xfId="41839"/>
    <cellStyle name="Heading 2 2 3 7 2 6 5 3" xfId="41840"/>
    <cellStyle name="Heading 2 2 3 7 2 6 6" xfId="41841"/>
    <cellStyle name="Heading 2 2 3 7 2 6 6 2" xfId="41842"/>
    <cellStyle name="Heading 2 2 3 7 2 6 6 2 2" xfId="41843"/>
    <cellStyle name="Heading 2 2 3 7 2 6 6 3" xfId="41844"/>
    <cellStyle name="Heading 2 2 3 7 2 6 7" xfId="41845"/>
    <cellStyle name="Heading 2 2 3 7 2 6 7 2" xfId="41846"/>
    <cellStyle name="Heading 2 2 3 7 2 6 7 2 2" xfId="41847"/>
    <cellStyle name="Heading 2 2 3 7 2 6 7 3" xfId="41848"/>
    <cellStyle name="Heading 2 2 3 7 2 6 8" xfId="41849"/>
    <cellStyle name="Heading 2 2 3 7 2 6 8 2" xfId="41850"/>
    <cellStyle name="Heading 2 2 3 7 2 6 9" xfId="41851"/>
    <cellStyle name="Heading 2 2 3 7 2 7" xfId="41852"/>
    <cellStyle name="Heading 2 2 3 7 2 7 2" xfId="41853"/>
    <cellStyle name="Heading 2 2 3 7 2 7 2 2" xfId="41854"/>
    <cellStyle name="Heading 2 2 3 7 2 7 2 2 2" xfId="41855"/>
    <cellStyle name="Heading 2 2 3 7 2 7 2 3" xfId="41856"/>
    <cellStyle name="Heading 2 2 3 7 2 7 3" xfId="41857"/>
    <cellStyle name="Heading 2 2 3 7 2 7 3 2" xfId="41858"/>
    <cellStyle name="Heading 2 2 3 7 2 7 3 2 2" xfId="41859"/>
    <cellStyle name="Heading 2 2 3 7 2 7 3 3" xfId="41860"/>
    <cellStyle name="Heading 2 2 3 7 2 7 4" xfId="41861"/>
    <cellStyle name="Heading 2 2 3 7 2 7 4 2" xfId="41862"/>
    <cellStyle name="Heading 2 2 3 7 2 7 4 2 2" xfId="41863"/>
    <cellStyle name="Heading 2 2 3 7 2 7 4 3" xfId="41864"/>
    <cellStyle name="Heading 2 2 3 7 2 7 5" xfId="41865"/>
    <cellStyle name="Heading 2 2 3 7 2 7 5 2" xfId="41866"/>
    <cellStyle name="Heading 2 2 3 7 2 7 5 2 2" xfId="41867"/>
    <cellStyle name="Heading 2 2 3 7 2 7 5 3" xfId="41868"/>
    <cellStyle name="Heading 2 2 3 7 2 7 6" xfId="41869"/>
    <cellStyle name="Heading 2 2 3 7 2 7 6 2" xfId="41870"/>
    <cellStyle name="Heading 2 2 3 7 2 7 6 2 2" xfId="41871"/>
    <cellStyle name="Heading 2 2 3 7 2 7 6 3" xfId="41872"/>
    <cellStyle name="Heading 2 2 3 7 2 7 7" xfId="41873"/>
    <cellStyle name="Heading 2 2 3 7 2 7 7 2" xfId="41874"/>
    <cellStyle name="Heading 2 2 3 7 2 7 7 2 2" xfId="41875"/>
    <cellStyle name="Heading 2 2 3 7 2 7 7 3" xfId="41876"/>
    <cellStyle name="Heading 2 2 3 7 2 7 8" xfId="41877"/>
    <cellStyle name="Heading 2 2 3 7 2 7 8 2" xfId="41878"/>
    <cellStyle name="Heading 2 2 3 7 2 7 9" xfId="41879"/>
    <cellStyle name="Heading 2 2 3 7 2 8" xfId="41880"/>
    <cellStyle name="Heading 2 2 3 7 2 8 2" xfId="41881"/>
    <cellStyle name="Heading 2 2 3 7 2 8 2 2" xfId="41882"/>
    <cellStyle name="Heading 2 2 3 7 2 8 2 2 2" xfId="41883"/>
    <cellStyle name="Heading 2 2 3 7 2 8 2 3" xfId="41884"/>
    <cellStyle name="Heading 2 2 3 7 2 8 3" xfId="41885"/>
    <cellStyle name="Heading 2 2 3 7 2 8 3 2" xfId="41886"/>
    <cellStyle name="Heading 2 2 3 7 2 8 3 2 2" xfId="41887"/>
    <cellStyle name="Heading 2 2 3 7 2 8 3 3" xfId="41888"/>
    <cellStyle name="Heading 2 2 3 7 2 8 4" xfId="41889"/>
    <cellStyle name="Heading 2 2 3 7 2 8 4 2" xfId="41890"/>
    <cellStyle name="Heading 2 2 3 7 2 8 4 2 2" xfId="41891"/>
    <cellStyle name="Heading 2 2 3 7 2 8 4 3" xfId="41892"/>
    <cellStyle name="Heading 2 2 3 7 2 8 5" xfId="41893"/>
    <cellStyle name="Heading 2 2 3 7 2 8 5 2" xfId="41894"/>
    <cellStyle name="Heading 2 2 3 7 2 8 5 2 2" xfId="41895"/>
    <cellStyle name="Heading 2 2 3 7 2 8 5 3" xfId="41896"/>
    <cellStyle name="Heading 2 2 3 7 2 8 6" xfId="41897"/>
    <cellStyle name="Heading 2 2 3 7 2 8 6 2" xfId="41898"/>
    <cellStyle name="Heading 2 2 3 7 2 8 6 2 2" xfId="41899"/>
    <cellStyle name="Heading 2 2 3 7 2 8 6 3" xfId="41900"/>
    <cellStyle name="Heading 2 2 3 7 2 8 7" xfId="41901"/>
    <cellStyle name="Heading 2 2 3 7 2 8 7 2" xfId="41902"/>
    <cellStyle name="Heading 2 2 3 7 2 8 7 2 2" xfId="41903"/>
    <cellStyle name="Heading 2 2 3 7 2 8 7 3" xfId="41904"/>
    <cellStyle name="Heading 2 2 3 7 2 8 8" xfId="41905"/>
    <cellStyle name="Heading 2 2 3 7 2 8 8 2" xfId="41906"/>
    <cellStyle name="Heading 2 2 3 7 2 8 9" xfId="41907"/>
    <cellStyle name="Heading 2 2 3 7 2 9" xfId="41908"/>
    <cellStyle name="Heading 2 2 3 7 2 9 2" xfId="41909"/>
    <cellStyle name="Heading 2 2 3 7 2 9 2 2" xfId="41910"/>
    <cellStyle name="Heading 2 2 3 7 2 9 2 2 2" xfId="41911"/>
    <cellStyle name="Heading 2 2 3 7 2 9 2 3" xfId="41912"/>
    <cellStyle name="Heading 2 2 3 7 2 9 3" xfId="41913"/>
    <cellStyle name="Heading 2 2 3 7 2 9 3 2" xfId="41914"/>
    <cellStyle name="Heading 2 2 3 7 2 9 3 2 2" xfId="41915"/>
    <cellStyle name="Heading 2 2 3 7 2 9 3 3" xfId="41916"/>
    <cellStyle name="Heading 2 2 3 7 2 9 4" xfId="41917"/>
    <cellStyle name="Heading 2 2 3 7 2 9 4 2" xfId="41918"/>
    <cellStyle name="Heading 2 2 3 7 2 9 4 2 2" xfId="41919"/>
    <cellStyle name="Heading 2 2 3 7 2 9 4 3" xfId="41920"/>
    <cellStyle name="Heading 2 2 3 7 2 9 5" xfId="41921"/>
    <cellStyle name="Heading 2 2 3 7 2 9 5 2" xfId="41922"/>
    <cellStyle name="Heading 2 2 3 7 2 9 5 2 2" xfId="41923"/>
    <cellStyle name="Heading 2 2 3 7 2 9 5 3" xfId="41924"/>
    <cellStyle name="Heading 2 2 3 7 2 9 6" xfId="41925"/>
    <cellStyle name="Heading 2 2 3 7 2 9 6 2" xfId="41926"/>
    <cellStyle name="Heading 2 2 3 7 2 9 6 2 2" xfId="41927"/>
    <cellStyle name="Heading 2 2 3 7 2 9 6 3" xfId="41928"/>
    <cellStyle name="Heading 2 2 3 7 2 9 7" xfId="41929"/>
    <cellStyle name="Heading 2 2 3 7 2 9 7 2" xfId="41930"/>
    <cellStyle name="Heading 2 2 3 7 2 9 7 2 2" xfId="41931"/>
    <cellStyle name="Heading 2 2 3 7 2 9 7 3" xfId="41932"/>
    <cellStyle name="Heading 2 2 3 7 2 9 8" xfId="41933"/>
    <cellStyle name="Heading 2 2 3 7 2 9 8 2" xfId="41934"/>
    <cellStyle name="Heading 2 2 3 7 2 9 9" xfId="41935"/>
    <cellStyle name="Heading 2 2 3 7 3" xfId="41936"/>
    <cellStyle name="Heading 2 2 3 7 3 10" xfId="41937"/>
    <cellStyle name="Heading 2 2 3 7 3 10 2" xfId="41938"/>
    <cellStyle name="Heading 2 2 3 7 3 10 2 2" xfId="41939"/>
    <cellStyle name="Heading 2 2 3 7 3 10 3" xfId="41940"/>
    <cellStyle name="Heading 2 2 3 7 3 11" xfId="41941"/>
    <cellStyle name="Heading 2 2 3 7 3 11 2" xfId="41942"/>
    <cellStyle name="Heading 2 2 3 7 3 11 2 2" xfId="41943"/>
    <cellStyle name="Heading 2 2 3 7 3 11 3" xfId="41944"/>
    <cellStyle name="Heading 2 2 3 7 3 12" xfId="41945"/>
    <cellStyle name="Heading 2 2 3 7 3 12 2" xfId="41946"/>
    <cellStyle name="Heading 2 2 3 7 3 12 2 2" xfId="41947"/>
    <cellStyle name="Heading 2 2 3 7 3 12 3" xfId="41948"/>
    <cellStyle name="Heading 2 2 3 7 3 13" xfId="41949"/>
    <cellStyle name="Heading 2 2 3 7 3 13 2" xfId="41950"/>
    <cellStyle name="Heading 2 2 3 7 3 13 2 2" xfId="41951"/>
    <cellStyle name="Heading 2 2 3 7 3 13 3" xfId="41952"/>
    <cellStyle name="Heading 2 2 3 7 3 14" xfId="41953"/>
    <cellStyle name="Heading 2 2 3 7 3 14 2" xfId="41954"/>
    <cellStyle name="Heading 2 2 3 7 3 14 2 2" xfId="41955"/>
    <cellStyle name="Heading 2 2 3 7 3 14 3" xfId="41956"/>
    <cellStyle name="Heading 2 2 3 7 3 15" xfId="41957"/>
    <cellStyle name="Heading 2 2 3 7 3 15 2" xfId="41958"/>
    <cellStyle name="Heading 2 2 3 7 3 15 2 2" xfId="41959"/>
    <cellStyle name="Heading 2 2 3 7 3 15 3" xfId="41960"/>
    <cellStyle name="Heading 2 2 3 7 3 16" xfId="41961"/>
    <cellStyle name="Heading 2 2 3 7 3 16 2" xfId="41962"/>
    <cellStyle name="Heading 2 2 3 7 3 16 2 2" xfId="41963"/>
    <cellStyle name="Heading 2 2 3 7 3 16 3" xfId="41964"/>
    <cellStyle name="Heading 2 2 3 7 3 17" xfId="41965"/>
    <cellStyle name="Heading 2 2 3 7 3 17 2" xfId="41966"/>
    <cellStyle name="Heading 2 2 3 7 3 17 2 2" xfId="41967"/>
    <cellStyle name="Heading 2 2 3 7 3 17 3" xfId="41968"/>
    <cellStyle name="Heading 2 2 3 7 3 18" xfId="41969"/>
    <cellStyle name="Heading 2 2 3 7 3 18 2" xfId="41970"/>
    <cellStyle name="Heading 2 2 3 7 3 18 2 2" xfId="41971"/>
    <cellStyle name="Heading 2 2 3 7 3 18 3" xfId="41972"/>
    <cellStyle name="Heading 2 2 3 7 3 19" xfId="41973"/>
    <cellStyle name="Heading 2 2 3 7 3 19 2" xfId="41974"/>
    <cellStyle name="Heading 2 2 3 7 3 2" xfId="41975"/>
    <cellStyle name="Heading 2 2 3 7 3 2 2" xfId="41976"/>
    <cellStyle name="Heading 2 2 3 7 3 2 2 2" xfId="41977"/>
    <cellStyle name="Heading 2 2 3 7 3 2 2 2 2" xfId="41978"/>
    <cellStyle name="Heading 2 2 3 7 3 2 2 3" xfId="41979"/>
    <cellStyle name="Heading 2 2 3 7 3 2 3" xfId="41980"/>
    <cellStyle name="Heading 2 2 3 7 3 2 3 2" xfId="41981"/>
    <cellStyle name="Heading 2 2 3 7 3 2 3 2 2" xfId="41982"/>
    <cellStyle name="Heading 2 2 3 7 3 2 3 3" xfId="41983"/>
    <cellStyle name="Heading 2 2 3 7 3 2 4" xfId="41984"/>
    <cellStyle name="Heading 2 2 3 7 3 2 4 2" xfId="41985"/>
    <cellStyle name="Heading 2 2 3 7 3 2 4 2 2" xfId="41986"/>
    <cellStyle name="Heading 2 2 3 7 3 2 4 3" xfId="41987"/>
    <cellStyle name="Heading 2 2 3 7 3 2 5" xfId="41988"/>
    <cellStyle name="Heading 2 2 3 7 3 2 5 2" xfId="41989"/>
    <cellStyle name="Heading 2 2 3 7 3 2 5 2 2" xfId="41990"/>
    <cellStyle name="Heading 2 2 3 7 3 2 5 3" xfId="41991"/>
    <cellStyle name="Heading 2 2 3 7 3 2 6" xfId="41992"/>
    <cellStyle name="Heading 2 2 3 7 3 2 6 2" xfId="41993"/>
    <cellStyle name="Heading 2 2 3 7 3 2 6 2 2" xfId="41994"/>
    <cellStyle name="Heading 2 2 3 7 3 2 6 3" xfId="41995"/>
    <cellStyle name="Heading 2 2 3 7 3 2 7" xfId="41996"/>
    <cellStyle name="Heading 2 2 3 7 3 2 7 2" xfId="41997"/>
    <cellStyle name="Heading 2 2 3 7 3 2 7 2 2" xfId="41998"/>
    <cellStyle name="Heading 2 2 3 7 3 2 7 3" xfId="41999"/>
    <cellStyle name="Heading 2 2 3 7 3 2 8" xfId="42000"/>
    <cellStyle name="Heading 2 2 3 7 3 2 8 2" xfId="42001"/>
    <cellStyle name="Heading 2 2 3 7 3 2 9" xfId="42002"/>
    <cellStyle name="Heading 2 2 3 7 3 20" xfId="42003"/>
    <cellStyle name="Heading 2 2 3 7 3 20 2" xfId="42004"/>
    <cellStyle name="Heading 2 2 3 7 3 21" xfId="42005"/>
    <cellStyle name="Heading 2 2 3 7 3 21 2" xfId="42006"/>
    <cellStyle name="Heading 2 2 3 7 3 22" xfId="42007"/>
    <cellStyle name="Heading 2 2 3 7 3 3" xfId="42008"/>
    <cellStyle name="Heading 2 2 3 7 3 3 2" xfId="42009"/>
    <cellStyle name="Heading 2 2 3 7 3 3 2 2" xfId="42010"/>
    <cellStyle name="Heading 2 2 3 7 3 3 2 2 2" xfId="42011"/>
    <cellStyle name="Heading 2 2 3 7 3 3 2 3" xfId="42012"/>
    <cellStyle name="Heading 2 2 3 7 3 3 3" xfId="42013"/>
    <cellStyle name="Heading 2 2 3 7 3 3 3 2" xfId="42014"/>
    <cellStyle name="Heading 2 2 3 7 3 3 3 2 2" xfId="42015"/>
    <cellStyle name="Heading 2 2 3 7 3 3 3 3" xfId="42016"/>
    <cellStyle name="Heading 2 2 3 7 3 3 4" xfId="42017"/>
    <cellStyle name="Heading 2 2 3 7 3 3 4 2" xfId="42018"/>
    <cellStyle name="Heading 2 2 3 7 3 3 4 2 2" xfId="42019"/>
    <cellStyle name="Heading 2 2 3 7 3 3 4 3" xfId="42020"/>
    <cellStyle name="Heading 2 2 3 7 3 3 5" xfId="42021"/>
    <cellStyle name="Heading 2 2 3 7 3 3 5 2" xfId="42022"/>
    <cellStyle name="Heading 2 2 3 7 3 3 5 2 2" xfId="42023"/>
    <cellStyle name="Heading 2 2 3 7 3 3 5 3" xfId="42024"/>
    <cellStyle name="Heading 2 2 3 7 3 3 6" xfId="42025"/>
    <cellStyle name="Heading 2 2 3 7 3 3 6 2" xfId="42026"/>
    <cellStyle name="Heading 2 2 3 7 3 3 6 2 2" xfId="42027"/>
    <cellStyle name="Heading 2 2 3 7 3 3 6 3" xfId="42028"/>
    <cellStyle name="Heading 2 2 3 7 3 3 7" xfId="42029"/>
    <cellStyle name="Heading 2 2 3 7 3 3 7 2" xfId="42030"/>
    <cellStyle name="Heading 2 2 3 7 3 3 7 2 2" xfId="42031"/>
    <cellStyle name="Heading 2 2 3 7 3 3 7 3" xfId="42032"/>
    <cellStyle name="Heading 2 2 3 7 3 3 8" xfId="42033"/>
    <cellStyle name="Heading 2 2 3 7 3 3 8 2" xfId="42034"/>
    <cellStyle name="Heading 2 2 3 7 3 3 9" xfId="42035"/>
    <cellStyle name="Heading 2 2 3 7 3 4" xfId="42036"/>
    <cellStyle name="Heading 2 2 3 7 3 4 2" xfId="42037"/>
    <cellStyle name="Heading 2 2 3 7 3 4 2 2" xfId="42038"/>
    <cellStyle name="Heading 2 2 3 7 3 4 2 2 2" xfId="42039"/>
    <cellStyle name="Heading 2 2 3 7 3 4 2 3" xfId="42040"/>
    <cellStyle name="Heading 2 2 3 7 3 4 3" xfId="42041"/>
    <cellStyle name="Heading 2 2 3 7 3 4 3 2" xfId="42042"/>
    <cellStyle name="Heading 2 2 3 7 3 4 3 2 2" xfId="42043"/>
    <cellStyle name="Heading 2 2 3 7 3 4 3 3" xfId="42044"/>
    <cellStyle name="Heading 2 2 3 7 3 4 4" xfId="42045"/>
    <cellStyle name="Heading 2 2 3 7 3 4 4 2" xfId="42046"/>
    <cellStyle name="Heading 2 2 3 7 3 4 4 2 2" xfId="42047"/>
    <cellStyle name="Heading 2 2 3 7 3 4 4 3" xfId="42048"/>
    <cellStyle name="Heading 2 2 3 7 3 4 5" xfId="42049"/>
    <cellStyle name="Heading 2 2 3 7 3 4 5 2" xfId="42050"/>
    <cellStyle name="Heading 2 2 3 7 3 4 5 2 2" xfId="42051"/>
    <cellStyle name="Heading 2 2 3 7 3 4 5 3" xfId="42052"/>
    <cellStyle name="Heading 2 2 3 7 3 4 6" xfId="42053"/>
    <cellStyle name="Heading 2 2 3 7 3 4 6 2" xfId="42054"/>
    <cellStyle name="Heading 2 2 3 7 3 4 6 2 2" xfId="42055"/>
    <cellStyle name="Heading 2 2 3 7 3 4 6 3" xfId="42056"/>
    <cellStyle name="Heading 2 2 3 7 3 4 7" xfId="42057"/>
    <cellStyle name="Heading 2 2 3 7 3 4 7 2" xfId="42058"/>
    <cellStyle name="Heading 2 2 3 7 3 4 7 2 2" xfId="42059"/>
    <cellStyle name="Heading 2 2 3 7 3 4 7 3" xfId="42060"/>
    <cellStyle name="Heading 2 2 3 7 3 4 8" xfId="42061"/>
    <cellStyle name="Heading 2 2 3 7 3 4 8 2" xfId="42062"/>
    <cellStyle name="Heading 2 2 3 7 3 4 9" xfId="42063"/>
    <cellStyle name="Heading 2 2 3 7 3 5" xfId="42064"/>
    <cellStyle name="Heading 2 2 3 7 3 5 2" xfId="42065"/>
    <cellStyle name="Heading 2 2 3 7 3 5 2 2" xfId="42066"/>
    <cellStyle name="Heading 2 2 3 7 3 5 2 2 2" xfId="42067"/>
    <cellStyle name="Heading 2 2 3 7 3 5 2 3" xfId="42068"/>
    <cellStyle name="Heading 2 2 3 7 3 5 3" xfId="42069"/>
    <cellStyle name="Heading 2 2 3 7 3 5 3 2" xfId="42070"/>
    <cellStyle name="Heading 2 2 3 7 3 5 3 2 2" xfId="42071"/>
    <cellStyle name="Heading 2 2 3 7 3 5 3 3" xfId="42072"/>
    <cellStyle name="Heading 2 2 3 7 3 5 4" xfId="42073"/>
    <cellStyle name="Heading 2 2 3 7 3 5 4 2" xfId="42074"/>
    <cellStyle name="Heading 2 2 3 7 3 5 4 2 2" xfId="42075"/>
    <cellStyle name="Heading 2 2 3 7 3 5 4 3" xfId="42076"/>
    <cellStyle name="Heading 2 2 3 7 3 5 5" xfId="42077"/>
    <cellStyle name="Heading 2 2 3 7 3 5 5 2" xfId="42078"/>
    <cellStyle name="Heading 2 2 3 7 3 5 5 2 2" xfId="42079"/>
    <cellStyle name="Heading 2 2 3 7 3 5 5 3" xfId="42080"/>
    <cellStyle name="Heading 2 2 3 7 3 5 6" xfId="42081"/>
    <cellStyle name="Heading 2 2 3 7 3 5 6 2" xfId="42082"/>
    <cellStyle name="Heading 2 2 3 7 3 5 6 2 2" xfId="42083"/>
    <cellStyle name="Heading 2 2 3 7 3 5 6 3" xfId="42084"/>
    <cellStyle name="Heading 2 2 3 7 3 5 7" xfId="42085"/>
    <cellStyle name="Heading 2 2 3 7 3 5 7 2" xfId="42086"/>
    <cellStyle name="Heading 2 2 3 7 3 5 7 2 2" xfId="42087"/>
    <cellStyle name="Heading 2 2 3 7 3 5 7 3" xfId="42088"/>
    <cellStyle name="Heading 2 2 3 7 3 5 8" xfId="42089"/>
    <cellStyle name="Heading 2 2 3 7 3 5 8 2" xfId="42090"/>
    <cellStyle name="Heading 2 2 3 7 3 5 9" xfId="42091"/>
    <cellStyle name="Heading 2 2 3 7 3 6" xfId="42092"/>
    <cellStyle name="Heading 2 2 3 7 3 6 2" xfId="42093"/>
    <cellStyle name="Heading 2 2 3 7 3 6 2 2" xfId="42094"/>
    <cellStyle name="Heading 2 2 3 7 3 6 2 2 2" xfId="42095"/>
    <cellStyle name="Heading 2 2 3 7 3 6 2 3" xfId="42096"/>
    <cellStyle name="Heading 2 2 3 7 3 6 3" xfId="42097"/>
    <cellStyle name="Heading 2 2 3 7 3 6 3 2" xfId="42098"/>
    <cellStyle name="Heading 2 2 3 7 3 6 3 2 2" xfId="42099"/>
    <cellStyle name="Heading 2 2 3 7 3 6 3 3" xfId="42100"/>
    <cellStyle name="Heading 2 2 3 7 3 6 4" xfId="42101"/>
    <cellStyle name="Heading 2 2 3 7 3 6 4 2" xfId="42102"/>
    <cellStyle name="Heading 2 2 3 7 3 6 4 2 2" xfId="42103"/>
    <cellStyle name="Heading 2 2 3 7 3 6 4 3" xfId="42104"/>
    <cellStyle name="Heading 2 2 3 7 3 6 5" xfId="42105"/>
    <cellStyle name="Heading 2 2 3 7 3 6 5 2" xfId="42106"/>
    <cellStyle name="Heading 2 2 3 7 3 6 5 2 2" xfId="42107"/>
    <cellStyle name="Heading 2 2 3 7 3 6 5 3" xfId="42108"/>
    <cellStyle name="Heading 2 2 3 7 3 6 6" xfId="42109"/>
    <cellStyle name="Heading 2 2 3 7 3 6 6 2" xfId="42110"/>
    <cellStyle name="Heading 2 2 3 7 3 6 6 2 2" xfId="42111"/>
    <cellStyle name="Heading 2 2 3 7 3 6 6 3" xfId="42112"/>
    <cellStyle name="Heading 2 2 3 7 3 6 7" xfId="42113"/>
    <cellStyle name="Heading 2 2 3 7 3 6 7 2" xfId="42114"/>
    <cellStyle name="Heading 2 2 3 7 3 6 7 2 2" xfId="42115"/>
    <cellStyle name="Heading 2 2 3 7 3 6 7 3" xfId="42116"/>
    <cellStyle name="Heading 2 2 3 7 3 6 8" xfId="42117"/>
    <cellStyle name="Heading 2 2 3 7 3 6 8 2" xfId="42118"/>
    <cellStyle name="Heading 2 2 3 7 3 6 9" xfId="42119"/>
    <cellStyle name="Heading 2 2 3 7 3 7" xfId="42120"/>
    <cellStyle name="Heading 2 2 3 7 3 7 2" xfId="42121"/>
    <cellStyle name="Heading 2 2 3 7 3 7 2 2" xfId="42122"/>
    <cellStyle name="Heading 2 2 3 7 3 7 2 2 2" xfId="42123"/>
    <cellStyle name="Heading 2 2 3 7 3 7 2 3" xfId="42124"/>
    <cellStyle name="Heading 2 2 3 7 3 7 3" xfId="42125"/>
    <cellStyle name="Heading 2 2 3 7 3 7 3 2" xfId="42126"/>
    <cellStyle name="Heading 2 2 3 7 3 7 3 2 2" xfId="42127"/>
    <cellStyle name="Heading 2 2 3 7 3 7 3 3" xfId="42128"/>
    <cellStyle name="Heading 2 2 3 7 3 7 4" xfId="42129"/>
    <cellStyle name="Heading 2 2 3 7 3 7 4 2" xfId="42130"/>
    <cellStyle name="Heading 2 2 3 7 3 7 4 2 2" xfId="42131"/>
    <cellStyle name="Heading 2 2 3 7 3 7 4 3" xfId="42132"/>
    <cellStyle name="Heading 2 2 3 7 3 7 5" xfId="42133"/>
    <cellStyle name="Heading 2 2 3 7 3 7 5 2" xfId="42134"/>
    <cellStyle name="Heading 2 2 3 7 3 7 5 2 2" xfId="42135"/>
    <cellStyle name="Heading 2 2 3 7 3 7 5 3" xfId="42136"/>
    <cellStyle name="Heading 2 2 3 7 3 7 6" xfId="42137"/>
    <cellStyle name="Heading 2 2 3 7 3 7 6 2" xfId="42138"/>
    <cellStyle name="Heading 2 2 3 7 3 7 6 2 2" xfId="42139"/>
    <cellStyle name="Heading 2 2 3 7 3 7 6 3" xfId="42140"/>
    <cellStyle name="Heading 2 2 3 7 3 7 7" xfId="42141"/>
    <cellStyle name="Heading 2 2 3 7 3 7 7 2" xfId="42142"/>
    <cellStyle name="Heading 2 2 3 7 3 7 7 2 2" xfId="42143"/>
    <cellStyle name="Heading 2 2 3 7 3 7 7 3" xfId="42144"/>
    <cellStyle name="Heading 2 2 3 7 3 7 8" xfId="42145"/>
    <cellStyle name="Heading 2 2 3 7 3 7 8 2" xfId="42146"/>
    <cellStyle name="Heading 2 2 3 7 3 7 9" xfId="42147"/>
    <cellStyle name="Heading 2 2 3 7 3 8" xfId="42148"/>
    <cellStyle name="Heading 2 2 3 7 3 8 2" xfId="42149"/>
    <cellStyle name="Heading 2 2 3 7 3 8 2 2" xfId="42150"/>
    <cellStyle name="Heading 2 2 3 7 3 8 2 2 2" xfId="42151"/>
    <cellStyle name="Heading 2 2 3 7 3 8 2 3" xfId="42152"/>
    <cellStyle name="Heading 2 2 3 7 3 8 3" xfId="42153"/>
    <cellStyle name="Heading 2 2 3 7 3 8 3 2" xfId="42154"/>
    <cellStyle name="Heading 2 2 3 7 3 8 3 2 2" xfId="42155"/>
    <cellStyle name="Heading 2 2 3 7 3 8 3 3" xfId="42156"/>
    <cellStyle name="Heading 2 2 3 7 3 8 4" xfId="42157"/>
    <cellStyle name="Heading 2 2 3 7 3 8 4 2" xfId="42158"/>
    <cellStyle name="Heading 2 2 3 7 3 8 4 2 2" xfId="42159"/>
    <cellStyle name="Heading 2 2 3 7 3 8 4 3" xfId="42160"/>
    <cellStyle name="Heading 2 2 3 7 3 8 5" xfId="42161"/>
    <cellStyle name="Heading 2 2 3 7 3 8 5 2" xfId="42162"/>
    <cellStyle name="Heading 2 2 3 7 3 8 5 2 2" xfId="42163"/>
    <cellStyle name="Heading 2 2 3 7 3 8 5 3" xfId="42164"/>
    <cellStyle name="Heading 2 2 3 7 3 8 6" xfId="42165"/>
    <cellStyle name="Heading 2 2 3 7 3 8 6 2" xfId="42166"/>
    <cellStyle name="Heading 2 2 3 7 3 8 6 2 2" xfId="42167"/>
    <cellStyle name="Heading 2 2 3 7 3 8 6 3" xfId="42168"/>
    <cellStyle name="Heading 2 2 3 7 3 8 7" xfId="42169"/>
    <cellStyle name="Heading 2 2 3 7 3 8 7 2" xfId="42170"/>
    <cellStyle name="Heading 2 2 3 7 3 8 7 2 2" xfId="42171"/>
    <cellStyle name="Heading 2 2 3 7 3 8 7 3" xfId="42172"/>
    <cellStyle name="Heading 2 2 3 7 3 8 8" xfId="42173"/>
    <cellStyle name="Heading 2 2 3 7 3 8 8 2" xfId="42174"/>
    <cellStyle name="Heading 2 2 3 7 3 8 9" xfId="42175"/>
    <cellStyle name="Heading 2 2 3 7 3 9" xfId="42176"/>
    <cellStyle name="Heading 2 2 3 7 3 9 2" xfId="42177"/>
    <cellStyle name="Heading 2 2 3 7 3 9 2 2" xfId="42178"/>
    <cellStyle name="Heading 2 2 3 7 3 9 3" xfId="42179"/>
    <cellStyle name="Heading 2 2 3 7 4" xfId="42180"/>
    <cellStyle name="Heading 2 2 3 7 4 2" xfId="42181"/>
    <cellStyle name="Heading 2 2 3 7 4 2 2" xfId="42182"/>
    <cellStyle name="Heading 2 2 3 7 4 3" xfId="42183"/>
    <cellStyle name="Heading 2 2 3 7 5" xfId="42184"/>
    <cellStyle name="Heading 2 2 3 7 5 2" xfId="42185"/>
    <cellStyle name="Heading 2 2 3 7 6" xfId="42186"/>
    <cellStyle name="Heading 2 2 3 8" xfId="42187"/>
    <cellStyle name="Heading 2 2 3 8 10" xfId="42188"/>
    <cellStyle name="Heading 2 2 3 8 10 2" xfId="42189"/>
    <cellStyle name="Heading 2 2 3 8 10 2 2" xfId="42190"/>
    <cellStyle name="Heading 2 2 3 8 10 3" xfId="42191"/>
    <cellStyle name="Heading 2 2 3 8 11" xfId="42192"/>
    <cellStyle name="Heading 2 2 3 8 11 2" xfId="42193"/>
    <cellStyle name="Heading 2 2 3 8 11 2 2" xfId="42194"/>
    <cellStyle name="Heading 2 2 3 8 11 3" xfId="42195"/>
    <cellStyle name="Heading 2 2 3 8 12" xfId="42196"/>
    <cellStyle name="Heading 2 2 3 8 12 2" xfId="42197"/>
    <cellStyle name="Heading 2 2 3 8 12 2 2" xfId="42198"/>
    <cellStyle name="Heading 2 2 3 8 12 3" xfId="42199"/>
    <cellStyle name="Heading 2 2 3 8 13" xfId="42200"/>
    <cellStyle name="Heading 2 2 3 8 13 2" xfId="42201"/>
    <cellStyle name="Heading 2 2 3 8 13 2 2" xfId="42202"/>
    <cellStyle name="Heading 2 2 3 8 13 3" xfId="42203"/>
    <cellStyle name="Heading 2 2 3 8 14" xfId="42204"/>
    <cellStyle name="Heading 2 2 3 8 14 2" xfId="42205"/>
    <cellStyle name="Heading 2 2 3 8 14 2 2" xfId="42206"/>
    <cellStyle name="Heading 2 2 3 8 14 3" xfId="42207"/>
    <cellStyle name="Heading 2 2 3 8 15" xfId="42208"/>
    <cellStyle name="Heading 2 2 3 8 15 2" xfId="42209"/>
    <cellStyle name="Heading 2 2 3 8 15 2 2" xfId="42210"/>
    <cellStyle name="Heading 2 2 3 8 15 3" xfId="42211"/>
    <cellStyle name="Heading 2 2 3 8 16" xfId="42212"/>
    <cellStyle name="Heading 2 2 3 8 16 2" xfId="42213"/>
    <cellStyle name="Heading 2 2 3 8 16 2 2" xfId="42214"/>
    <cellStyle name="Heading 2 2 3 8 16 3" xfId="42215"/>
    <cellStyle name="Heading 2 2 3 8 17" xfId="42216"/>
    <cellStyle name="Heading 2 2 3 8 17 2" xfId="42217"/>
    <cellStyle name="Heading 2 2 3 8 17 2 2" xfId="42218"/>
    <cellStyle name="Heading 2 2 3 8 17 3" xfId="42219"/>
    <cellStyle name="Heading 2 2 3 8 18" xfId="42220"/>
    <cellStyle name="Heading 2 2 3 8 18 2" xfId="42221"/>
    <cellStyle name="Heading 2 2 3 8 18 2 2" xfId="42222"/>
    <cellStyle name="Heading 2 2 3 8 18 3" xfId="42223"/>
    <cellStyle name="Heading 2 2 3 8 19" xfId="42224"/>
    <cellStyle name="Heading 2 2 3 8 19 2" xfId="42225"/>
    <cellStyle name="Heading 2 2 3 8 19 2 2" xfId="42226"/>
    <cellStyle name="Heading 2 2 3 8 19 3" xfId="42227"/>
    <cellStyle name="Heading 2 2 3 8 2" xfId="42228"/>
    <cellStyle name="Heading 2 2 3 8 2 10" xfId="42229"/>
    <cellStyle name="Heading 2 2 3 8 2 10 2" xfId="42230"/>
    <cellStyle name="Heading 2 2 3 8 2 10 2 2" xfId="42231"/>
    <cellStyle name="Heading 2 2 3 8 2 10 3" xfId="42232"/>
    <cellStyle name="Heading 2 2 3 8 2 11" xfId="42233"/>
    <cellStyle name="Heading 2 2 3 8 2 11 2" xfId="42234"/>
    <cellStyle name="Heading 2 2 3 8 2 11 2 2" xfId="42235"/>
    <cellStyle name="Heading 2 2 3 8 2 11 3" xfId="42236"/>
    <cellStyle name="Heading 2 2 3 8 2 12" xfId="42237"/>
    <cellStyle name="Heading 2 2 3 8 2 12 2" xfId="42238"/>
    <cellStyle name="Heading 2 2 3 8 2 12 2 2" xfId="42239"/>
    <cellStyle name="Heading 2 2 3 8 2 12 3" xfId="42240"/>
    <cellStyle name="Heading 2 2 3 8 2 13" xfId="42241"/>
    <cellStyle name="Heading 2 2 3 8 2 13 2" xfId="42242"/>
    <cellStyle name="Heading 2 2 3 8 2 13 2 2" xfId="42243"/>
    <cellStyle name="Heading 2 2 3 8 2 13 3" xfId="42244"/>
    <cellStyle name="Heading 2 2 3 8 2 14" xfId="42245"/>
    <cellStyle name="Heading 2 2 3 8 2 14 2" xfId="42246"/>
    <cellStyle name="Heading 2 2 3 8 2 14 2 2" xfId="42247"/>
    <cellStyle name="Heading 2 2 3 8 2 14 3" xfId="42248"/>
    <cellStyle name="Heading 2 2 3 8 2 15" xfId="42249"/>
    <cellStyle name="Heading 2 2 3 8 2 15 2" xfId="42250"/>
    <cellStyle name="Heading 2 2 3 8 2 15 2 2" xfId="42251"/>
    <cellStyle name="Heading 2 2 3 8 2 15 3" xfId="42252"/>
    <cellStyle name="Heading 2 2 3 8 2 16" xfId="42253"/>
    <cellStyle name="Heading 2 2 3 8 2 16 2" xfId="42254"/>
    <cellStyle name="Heading 2 2 3 8 2 16 2 2" xfId="42255"/>
    <cellStyle name="Heading 2 2 3 8 2 16 3" xfId="42256"/>
    <cellStyle name="Heading 2 2 3 8 2 17" xfId="42257"/>
    <cellStyle name="Heading 2 2 3 8 2 17 2" xfId="42258"/>
    <cellStyle name="Heading 2 2 3 8 2 17 2 2" xfId="42259"/>
    <cellStyle name="Heading 2 2 3 8 2 17 3" xfId="42260"/>
    <cellStyle name="Heading 2 2 3 8 2 18" xfId="42261"/>
    <cellStyle name="Heading 2 2 3 8 2 18 2" xfId="42262"/>
    <cellStyle name="Heading 2 2 3 8 2 18 2 2" xfId="42263"/>
    <cellStyle name="Heading 2 2 3 8 2 18 3" xfId="42264"/>
    <cellStyle name="Heading 2 2 3 8 2 19" xfId="42265"/>
    <cellStyle name="Heading 2 2 3 8 2 19 2" xfId="42266"/>
    <cellStyle name="Heading 2 2 3 8 2 2" xfId="42267"/>
    <cellStyle name="Heading 2 2 3 8 2 2 2" xfId="42268"/>
    <cellStyle name="Heading 2 2 3 8 2 2 2 2" xfId="42269"/>
    <cellStyle name="Heading 2 2 3 8 2 2 2 2 2" xfId="42270"/>
    <cellStyle name="Heading 2 2 3 8 2 2 2 3" xfId="42271"/>
    <cellStyle name="Heading 2 2 3 8 2 2 3" xfId="42272"/>
    <cellStyle name="Heading 2 2 3 8 2 2 3 2" xfId="42273"/>
    <cellStyle name="Heading 2 2 3 8 2 2 3 2 2" xfId="42274"/>
    <cellStyle name="Heading 2 2 3 8 2 2 3 3" xfId="42275"/>
    <cellStyle name="Heading 2 2 3 8 2 2 4" xfId="42276"/>
    <cellStyle name="Heading 2 2 3 8 2 2 4 2" xfId="42277"/>
    <cellStyle name="Heading 2 2 3 8 2 2 4 2 2" xfId="42278"/>
    <cellStyle name="Heading 2 2 3 8 2 2 4 3" xfId="42279"/>
    <cellStyle name="Heading 2 2 3 8 2 2 5" xfId="42280"/>
    <cellStyle name="Heading 2 2 3 8 2 2 5 2" xfId="42281"/>
    <cellStyle name="Heading 2 2 3 8 2 2 5 2 2" xfId="42282"/>
    <cellStyle name="Heading 2 2 3 8 2 2 5 3" xfId="42283"/>
    <cellStyle name="Heading 2 2 3 8 2 2 6" xfId="42284"/>
    <cellStyle name="Heading 2 2 3 8 2 2 6 2" xfId="42285"/>
    <cellStyle name="Heading 2 2 3 8 2 2 6 2 2" xfId="42286"/>
    <cellStyle name="Heading 2 2 3 8 2 2 6 3" xfId="42287"/>
    <cellStyle name="Heading 2 2 3 8 2 2 7" xfId="42288"/>
    <cellStyle name="Heading 2 2 3 8 2 2 7 2" xfId="42289"/>
    <cellStyle name="Heading 2 2 3 8 2 2 7 2 2" xfId="42290"/>
    <cellStyle name="Heading 2 2 3 8 2 2 7 3" xfId="42291"/>
    <cellStyle name="Heading 2 2 3 8 2 2 8" xfId="42292"/>
    <cellStyle name="Heading 2 2 3 8 2 2 8 2" xfId="42293"/>
    <cellStyle name="Heading 2 2 3 8 2 2 9" xfId="42294"/>
    <cellStyle name="Heading 2 2 3 8 2 20" xfId="42295"/>
    <cellStyle name="Heading 2 2 3 8 2 20 2" xfId="42296"/>
    <cellStyle name="Heading 2 2 3 8 2 21" xfId="42297"/>
    <cellStyle name="Heading 2 2 3 8 2 21 2" xfId="42298"/>
    <cellStyle name="Heading 2 2 3 8 2 22" xfId="42299"/>
    <cellStyle name="Heading 2 2 3 8 2 3" xfId="42300"/>
    <cellStyle name="Heading 2 2 3 8 2 3 2" xfId="42301"/>
    <cellStyle name="Heading 2 2 3 8 2 3 2 2" xfId="42302"/>
    <cellStyle name="Heading 2 2 3 8 2 3 2 2 2" xfId="42303"/>
    <cellStyle name="Heading 2 2 3 8 2 3 2 3" xfId="42304"/>
    <cellStyle name="Heading 2 2 3 8 2 3 3" xfId="42305"/>
    <cellStyle name="Heading 2 2 3 8 2 3 3 2" xfId="42306"/>
    <cellStyle name="Heading 2 2 3 8 2 3 3 2 2" xfId="42307"/>
    <cellStyle name="Heading 2 2 3 8 2 3 3 3" xfId="42308"/>
    <cellStyle name="Heading 2 2 3 8 2 3 4" xfId="42309"/>
    <cellStyle name="Heading 2 2 3 8 2 3 4 2" xfId="42310"/>
    <cellStyle name="Heading 2 2 3 8 2 3 4 2 2" xfId="42311"/>
    <cellStyle name="Heading 2 2 3 8 2 3 4 3" xfId="42312"/>
    <cellStyle name="Heading 2 2 3 8 2 3 5" xfId="42313"/>
    <cellStyle name="Heading 2 2 3 8 2 3 5 2" xfId="42314"/>
    <cellStyle name="Heading 2 2 3 8 2 3 5 2 2" xfId="42315"/>
    <cellStyle name="Heading 2 2 3 8 2 3 5 3" xfId="42316"/>
    <cellStyle name="Heading 2 2 3 8 2 3 6" xfId="42317"/>
    <cellStyle name="Heading 2 2 3 8 2 3 6 2" xfId="42318"/>
    <cellStyle name="Heading 2 2 3 8 2 3 6 2 2" xfId="42319"/>
    <cellStyle name="Heading 2 2 3 8 2 3 6 3" xfId="42320"/>
    <cellStyle name="Heading 2 2 3 8 2 3 7" xfId="42321"/>
    <cellStyle name="Heading 2 2 3 8 2 3 7 2" xfId="42322"/>
    <cellStyle name="Heading 2 2 3 8 2 3 7 2 2" xfId="42323"/>
    <cellStyle name="Heading 2 2 3 8 2 3 7 3" xfId="42324"/>
    <cellStyle name="Heading 2 2 3 8 2 3 8" xfId="42325"/>
    <cellStyle name="Heading 2 2 3 8 2 3 8 2" xfId="42326"/>
    <cellStyle name="Heading 2 2 3 8 2 3 9" xfId="42327"/>
    <cellStyle name="Heading 2 2 3 8 2 4" xfId="42328"/>
    <cellStyle name="Heading 2 2 3 8 2 4 2" xfId="42329"/>
    <cellStyle name="Heading 2 2 3 8 2 4 2 2" xfId="42330"/>
    <cellStyle name="Heading 2 2 3 8 2 4 2 2 2" xfId="42331"/>
    <cellStyle name="Heading 2 2 3 8 2 4 2 3" xfId="42332"/>
    <cellStyle name="Heading 2 2 3 8 2 4 3" xfId="42333"/>
    <cellStyle name="Heading 2 2 3 8 2 4 3 2" xfId="42334"/>
    <cellStyle name="Heading 2 2 3 8 2 4 3 2 2" xfId="42335"/>
    <cellStyle name="Heading 2 2 3 8 2 4 3 3" xfId="42336"/>
    <cellStyle name="Heading 2 2 3 8 2 4 4" xfId="42337"/>
    <cellStyle name="Heading 2 2 3 8 2 4 4 2" xfId="42338"/>
    <cellStyle name="Heading 2 2 3 8 2 4 4 2 2" xfId="42339"/>
    <cellStyle name="Heading 2 2 3 8 2 4 4 3" xfId="42340"/>
    <cellStyle name="Heading 2 2 3 8 2 4 5" xfId="42341"/>
    <cellStyle name="Heading 2 2 3 8 2 4 5 2" xfId="42342"/>
    <cellStyle name="Heading 2 2 3 8 2 4 5 2 2" xfId="42343"/>
    <cellStyle name="Heading 2 2 3 8 2 4 5 3" xfId="42344"/>
    <cellStyle name="Heading 2 2 3 8 2 4 6" xfId="42345"/>
    <cellStyle name="Heading 2 2 3 8 2 4 6 2" xfId="42346"/>
    <cellStyle name="Heading 2 2 3 8 2 4 6 2 2" xfId="42347"/>
    <cellStyle name="Heading 2 2 3 8 2 4 6 3" xfId="42348"/>
    <cellStyle name="Heading 2 2 3 8 2 4 7" xfId="42349"/>
    <cellStyle name="Heading 2 2 3 8 2 4 7 2" xfId="42350"/>
    <cellStyle name="Heading 2 2 3 8 2 4 7 2 2" xfId="42351"/>
    <cellStyle name="Heading 2 2 3 8 2 4 7 3" xfId="42352"/>
    <cellStyle name="Heading 2 2 3 8 2 4 8" xfId="42353"/>
    <cellStyle name="Heading 2 2 3 8 2 4 8 2" xfId="42354"/>
    <cellStyle name="Heading 2 2 3 8 2 4 9" xfId="42355"/>
    <cellStyle name="Heading 2 2 3 8 2 5" xfId="42356"/>
    <cellStyle name="Heading 2 2 3 8 2 5 2" xfId="42357"/>
    <cellStyle name="Heading 2 2 3 8 2 5 2 2" xfId="42358"/>
    <cellStyle name="Heading 2 2 3 8 2 5 2 2 2" xfId="42359"/>
    <cellStyle name="Heading 2 2 3 8 2 5 2 3" xfId="42360"/>
    <cellStyle name="Heading 2 2 3 8 2 5 3" xfId="42361"/>
    <cellStyle name="Heading 2 2 3 8 2 5 3 2" xfId="42362"/>
    <cellStyle name="Heading 2 2 3 8 2 5 3 2 2" xfId="42363"/>
    <cellStyle name="Heading 2 2 3 8 2 5 3 3" xfId="42364"/>
    <cellStyle name="Heading 2 2 3 8 2 5 4" xfId="42365"/>
    <cellStyle name="Heading 2 2 3 8 2 5 4 2" xfId="42366"/>
    <cellStyle name="Heading 2 2 3 8 2 5 4 2 2" xfId="42367"/>
    <cellStyle name="Heading 2 2 3 8 2 5 4 3" xfId="42368"/>
    <cellStyle name="Heading 2 2 3 8 2 5 5" xfId="42369"/>
    <cellStyle name="Heading 2 2 3 8 2 5 5 2" xfId="42370"/>
    <cellStyle name="Heading 2 2 3 8 2 5 5 2 2" xfId="42371"/>
    <cellStyle name="Heading 2 2 3 8 2 5 5 3" xfId="42372"/>
    <cellStyle name="Heading 2 2 3 8 2 5 6" xfId="42373"/>
    <cellStyle name="Heading 2 2 3 8 2 5 6 2" xfId="42374"/>
    <cellStyle name="Heading 2 2 3 8 2 5 6 2 2" xfId="42375"/>
    <cellStyle name="Heading 2 2 3 8 2 5 6 3" xfId="42376"/>
    <cellStyle name="Heading 2 2 3 8 2 5 7" xfId="42377"/>
    <cellStyle name="Heading 2 2 3 8 2 5 7 2" xfId="42378"/>
    <cellStyle name="Heading 2 2 3 8 2 5 7 2 2" xfId="42379"/>
    <cellStyle name="Heading 2 2 3 8 2 5 7 3" xfId="42380"/>
    <cellStyle name="Heading 2 2 3 8 2 5 8" xfId="42381"/>
    <cellStyle name="Heading 2 2 3 8 2 5 8 2" xfId="42382"/>
    <cellStyle name="Heading 2 2 3 8 2 5 9" xfId="42383"/>
    <cellStyle name="Heading 2 2 3 8 2 6" xfId="42384"/>
    <cellStyle name="Heading 2 2 3 8 2 6 2" xfId="42385"/>
    <cellStyle name="Heading 2 2 3 8 2 6 2 2" xfId="42386"/>
    <cellStyle name="Heading 2 2 3 8 2 6 2 2 2" xfId="42387"/>
    <cellStyle name="Heading 2 2 3 8 2 6 2 3" xfId="42388"/>
    <cellStyle name="Heading 2 2 3 8 2 6 3" xfId="42389"/>
    <cellStyle name="Heading 2 2 3 8 2 6 3 2" xfId="42390"/>
    <cellStyle name="Heading 2 2 3 8 2 6 3 2 2" xfId="42391"/>
    <cellStyle name="Heading 2 2 3 8 2 6 3 3" xfId="42392"/>
    <cellStyle name="Heading 2 2 3 8 2 6 4" xfId="42393"/>
    <cellStyle name="Heading 2 2 3 8 2 6 4 2" xfId="42394"/>
    <cellStyle name="Heading 2 2 3 8 2 6 4 2 2" xfId="42395"/>
    <cellStyle name="Heading 2 2 3 8 2 6 4 3" xfId="42396"/>
    <cellStyle name="Heading 2 2 3 8 2 6 5" xfId="42397"/>
    <cellStyle name="Heading 2 2 3 8 2 6 5 2" xfId="42398"/>
    <cellStyle name="Heading 2 2 3 8 2 6 5 2 2" xfId="42399"/>
    <cellStyle name="Heading 2 2 3 8 2 6 5 3" xfId="42400"/>
    <cellStyle name="Heading 2 2 3 8 2 6 6" xfId="42401"/>
    <cellStyle name="Heading 2 2 3 8 2 6 6 2" xfId="42402"/>
    <cellStyle name="Heading 2 2 3 8 2 6 6 2 2" xfId="42403"/>
    <cellStyle name="Heading 2 2 3 8 2 6 6 3" xfId="42404"/>
    <cellStyle name="Heading 2 2 3 8 2 6 7" xfId="42405"/>
    <cellStyle name="Heading 2 2 3 8 2 6 7 2" xfId="42406"/>
    <cellStyle name="Heading 2 2 3 8 2 6 7 2 2" xfId="42407"/>
    <cellStyle name="Heading 2 2 3 8 2 6 7 3" xfId="42408"/>
    <cellStyle name="Heading 2 2 3 8 2 6 8" xfId="42409"/>
    <cellStyle name="Heading 2 2 3 8 2 6 8 2" xfId="42410"/>
    <cellStyle name="Heading 2 2 3 8 2 6 9" xfId="42411"/>
    <cellStyle name="Heading 2 2 3 8 2 7" xfId="42412"/>
    <cellStyle name="Heading 2 2 3 8 2 7 2" xfId="42413"/>
    <cellStyle name="Heading 2 2 3 8 2 7 2 2" xfId="42414"/>
    <cellStyle name="Heading 2 2 3 8 2 7 2 2 2" xfId="42415"/>
    <cellStyle name="Heading 2 2 3 8 2 7 2 3" xfId="42416"/>
    <cellStyle name="Heading 2 2 3 8 2 7 3" xfId="42417"/>
    <cellStyle name="Heading 2 2 3 8 2 7 3 2" xfId="42418"/>
    <cellStyle name="Heading 2 2 3 8 2 7 3 2 2" xfId="42419"/>
    <cellStyle name="Heading 2 2 3 8 2 7 3 3" xfId="42420"/>
    <cellStyle name="Heading 2 2 3 8 2 7 4" xfId="42421"/>
    <cellStyle name="Heading 2 2 3 8 2 7 4 2" xfId="42422"/>
    <cellStyle name="Heading 2 2 3 8 2 7 4 2 2" xfId="42423"/>
    <cellStyle name="Heading 2 2 3 8 2 7 4 3" xfId="42424"/>
    <cellStyle name="Heading 2 2 3 8 2 7 5" xfId="42425"/>
    <cellStyle name="Heading 2 2 3 8 2 7 5 2" xfId="42426"/>
    <cellStyle name="Heading 2 2 3 8 2 7 5 2 2" xfId="42427"/>
    <cellStyle name="Heading 2 2 3 8 2 7 5 3" xfId="42428"/>
    <cellStyle name="Heading 2 2 3 8 2 7 6" xfId="42429"/>
    <cellStyle name="Heading 2 2 3 8 2 7 6 2" xfId="42430"/>
    <cellStyle name="Heading 2 2 3 8 2 7 6 2 2" xfId="42431"/>
    <cellStyle name="Heading 2 2 3 8 2 7 6 3" xfId="42432"/>
    <cellStyle name="Heading 2 2 3 8 2 7 7" xfId="42433"/>
    <cellStyle name="Heading 2 2 3 8 2 7 7 2" xfId="42434"/>
    <cellStyle name="Heading 2 2 3 8 2 7 7 2 2" xfId="42435"/>
    <cellStyle name="Heading 2 2 3 8 2 7 7 3" xfId="42436"/>
    <cellStyle name="Heading 2 2 3 8 2 7 8" xfId="42437"/>
    <cellStyle name="Heading 2 2 3 8 2 7 8 2" xfId="42438"/>
    <cellStyle name="Heading 2 2 3 8 2 7 9" xfId="42439"/>
    <cellStyle name="Heading 2 2 3 8 2 8" xfId="42440"/>
    <cellStyle name="Heading 2 2 3 8 2 8 2" xfId="42441"/>
    <cellStyle name="Heading 2 2 3 8 2 8 2 2" xfId="42442"/>
    <cellStyle name="Heading 2 2 3 8 2 8 2 2 2" xfId="42443"/>
    <cellStyle name="Heading 2 2 3 8 2 8 2 3" xfId="42444"/>
    <cellStyle name="Heading 2 2 3 8 2 8 3" xfId="42445"/>
    <cellStyle name="Heading 2 2 3 8 2 8 3 2" xfId="42446"/>
    <cellStyle name="Heading 2 2 3 8 2 8 3 2 2" xfId="42447"/>
    <cellStyle name="Heading 2 2 3 8 2 8 3 3" xfId="42448"/>
    <cellStyle name="Heading 2 2 3 8 2 8 4" xfId="42449"/>
    <cellStyle name="Heading 2 2 3 8 2 8 4 2" xfId="42450"/>
    <cellStyle name="Heading 2 2 3 8 2 8 4 2 2" xfId="42451"/>
    <cellStyle name="Heading 2 2 3 8 2 8 4 3" xfId="42452"/>
    <cellStyle name="Heading 2 2 3 8 2 8 5" xfId="42453"/>
    <cellStyle name="Heading 2 2 3 8 2 8 5 2" xfId="42454"/>
    <cellStyle name="Heading 2 2 3 8 2 8 5 2 2" xfId="42455"/>
    <cellStyle name="Heading 2 2 3 8 2 8 5 3" xfId="42456"/>
    <cellStyle name="Heading 2 2 3 8 2 8 6" xfId="42457"/>
    <cellStyle name="Heading 2 2 3 8 2 8 6 2" xfId="42458"/>
    <cellStyle name="Heading 2 2 3 8 2 8 6 2 2" xfId="42459"/>
    <cellStyle name="Heading 2 2 3 8 2 8 6 3" xfId="42460"/>
    <cellStyle name="Heading 2 2 3 8 2 8 7" xfId="42461"/>
    <cellStyle name="Heading 2 2 3 8 2 8 7 2" xfId="42462"/>
    <cellStyle name="Heading 2 2 3 8 2 8 7 2 2" xfId="42463"/>
    <cellStyle name="Heading 2 2 3 8 2 8 7 3" xfId="42464"/>
    <cellStyle name="Heading 2 2 3 8 2 8 8" xfId="42465"/>
    <cellStyle name="Heading 2 2 3 8 2 8 8 2" xfId="42466"/>
    <cellStyle name="Heading 2 2 3 8 2 8 9" xfId="42467"/>
    <cellStyle name="Heading 2 2 3 8 2 9" xfId="42468"/>
    <cellStyle name="Heading 2 2 3 8 2 9 2" xfId="42469"/>
    <cellStyle name="Heading 2 2 3 8 2 9 2 2" xfId="42470"/>
    <cellStyle name="Heading 2 2 3 8 2 9 3" xfId="42471"/>
    <cellStyle name="Heading 2 2 3 8 20" xfId="42472"/>
    <cellStyle name="Heading 2 2 3 8 20 2" xfId="42473"/>
    <cellStyle name="Heading 2 2 3 8 21" xfId="42474"/>
    <cellStyle name="Heading 2 2 3 8 21 2" xfId="42475"/>
    <cellStyle name="Heading 2 2 3 8 22" xfId="42476"/>
    <cellStyle name="Heading 2 2 3 8 22 2" xfId="42477"/>
    <cellStyle name="Heading 2 2 3 8 23" xfId="42478"/>
    <cellStyle name="Heading 2 2 3 8 3" xfId="42479"/>
    <cellStyle name="Heading 2 2 3 8 3 2" xfId="42480"/>
    <cellStyle name="Heading 2 2 3 8 3 2 2" xfId="42481"/>
    <cellStyle name="Heading 2 2 3 8 3 2 2 2" xfId="42482"/>
    <cellStyle name="Heading 2 2 3 8 3 2 3" xfId="42483"/>
    <cellStyle name="Heading 2 2 3 8 3 3" xfId="42484"/>
    <cellStyle name="Heading 2 2 3 8 3 3 2" xfId="42485"/>
    <cellStyle name="Heading 2 2 3 8 3 3 2 2" xfId="42486"/>
    <cellStyle name="Heading 2 2 3 8 3 3 3" xfId="42487"/>
    <cellStyle name="Heading 2 2 3 8 3 4" xfId="42488"/>
    <cellStyle name="Heading 2 2 3 8 3 4 2" xfId="42489"/>
    <cellStyle name="Heading 2 2 3 8 3 4 2 2" xfId="42490"/>
    <cellStyle name="Heading 2 2 3 8 3 4 3" xfId="42491"/>
    <cellStyle name="Heading 2 2 3 8 3 5" xfId="42492"/>
    <cellStyle name="Heading 2 2 3 8 3 5 2" xfId="42493"/>
    <cellStyle name="Heading 2 2 3 8 3 5 2 2" xfId="42494"/>
    <cellStyle name="Heading 2 2 3 8 3 5 3" xfId="42495"/>
    <cellStyle name="Heading 2 2 3 8 3 6" xfId="42496"/>
    <cellStyle name="Heading 2 2 3 8 3 6 2" xfId="42497"/>
    <cellStyle name="Heading 2 2 3 8 3 6 2 2" xfId="42498"/>
    <cellStyle name="Heading 2 2 3 8 3 6 3" xfId="42499"/>
    <cellStyle name="Heading 2 2 3 8 3 7" xfId="42500"/>
    <cellStyle name="Heading 2 2 3 8 3 7 2" xfId="42501"/>
    <cellStyle name="Heading 2 2 3 8 3 7 2 2" xfId="42502"/>
    <cellStyle name="Heading 2 2 3 8 3 7 3" xfId="42503"/>
    <cellStyle name="Heading 2 2 3 8 3 8" xfId="42504"/>
    <cellStyle name="Heading 2 2 3 8 3 8 2" xfId="42505"/>
    <cellStyle name="Heading 2 2 3 8 3 9" xfId="42506"/>
    <cellStyle name="Heading 2 2 3 8 4" xfId="42507"/>
    <cellStyle name="Heading 2 2 3 8 4 2" xfId="42508"/>
    <cellStyle name="Heading 2 2 3 8 4 2 2" xfId="42509"/>
    <cellStyle name="Heading 2 2 3 8 4 2 2 2" xfId="42510"/>
    <cellStyle name="Heading 2 2 3 8 4 2 3" xfId="42511"/>
    <cellStyle name="Heading 2 2 3 8 4 3" xfId="42512"/>
    <cellStyle name="Heading 2 2 3 8 4 3 2" xfId="42513"/>
    <cellStyle name="Heading 2 2 3 8 4 3 2 2" xfId="42514"/>
    <cellStyle name="Heading 2 2 3 8 4 3 3" xfId="42515"/>
    <cellStyle name="Heading 2 2 3 8 4 4" xfId="42516"/>
    <cellStyle name="Heading 2 2 3 8 4 4 2" xfId="42517"/>
    <cellStyle name="Heading 2 2 3 8 4 4 2 2" xfId="42518"/>
    <cellStyle name="Heading 2 2 3 8 4 4 3" xfId="42519"/>
    <cellStyle name="Heading 2 2 3 8 4 5" xfId="42520"/>
    <cellStyle name="Heading 2 2 3 8 4 5 2" xfId="42521"/>
    <cellStyle name="Heading 2 2 3 8 4 5 2 2" xfId="42522"/>
    <cellStyle name="Heading 2 2 3 8 4 5 3" xfId="42523"/>
    <cellStyle name="Heading 2 2 3 8 4 6" xfId="42524"/>
    <cellStyle name="Heading 2 2 3 8 4 6 2" xfId="42525"/>
    <cellStyle name="Heading 2 2 3 8 4 6 2 2" xfId="42526"/>
    <cellStyle name="Heading 2 2 3 8 4 6 3" xfId="42527"/>
    <cellStyle name="Heading 2 2 3 8 4 7" xfId="42528"/>
    <cellStyle name="Heading 2 2 3 8 4 7 2" xfId="42529"/>
    <cellStyle name="Heading 2 2 3 8 4 7 2 2" xfId="42530"/>
    <cellStyle name="Heading 2 2 3 8 4 7 3" xfId="42531"/>
    <cellStyle name="Heading 2 2 3 8 4 8" xfId="42532"/>
    <cellStyle name="Heading 2 2 3 8 4 8 2" xfId="42533"/>
    <cellStyle name="Heading 2 2 3 8 4 9" xfId="42534"/>
    <cellStyle name="Heading 2 2 3 8 5" xfId="42535"/>
    <cellStyle name="Heading 2 2 3 8 5 2" xfId="42536"/>
    <cellStyle name="Heading 2 2 3 8 5 2 2" xfId="42537"/>
    <cellStyle name="Heading 2 2 3 8 5 2 2 2" xfId="42538"/>
    <cellStyle name="Heading 2 2 3 8 5 2 3" xfId="42539"/>
    <cellStyle name="Heading 2 2 3 8 5 3" xfId="42540"/>
    <cellStyle name="Heading 2 2 3 8 5 3 2" xfId="42541"/>
    <cellStyle name="Heading 2 2 3 8 5 3 2 2" xfId="42542"/>
    <cellStyle name="Heading 2 2 3 8 5 3 3" xfId="42543"/>
    <cellStyle name="Heading 2 2 3 8 5 4" xfId="42544"/>
    <cellStyle name="Heading 2 2 3 8 5 4 2" xfId="42545"/>
    <cellStyle name="Heading 2 2 3 8 5 4 2 2" xfId="42546"/>
    <cellStyle name="Heading 2 2 3 8 5 4 3" xfId="42547"/>
    <cellStyle name="Heading 2 2 3 8 5 5" xfId="42548"/>
    <cellStyle name="Heading 2 2 3 8 5 5 2" xfId="42549"/>
    <cellStyle name="Heading 2 2 3 8 5 5 2 2" xfId="42550"/>
    <cellStyle name="Heading 2 2 3 8 5 5 3" xfId="42551"/>
    <cellStyle name="Heading 2 2 3 8 5 6" xfId="42552"/>
    <cellStyle name="Heading 2 2 3 8 5 6 2" xfId="42553"/>
    <cellStyle name="Heading 2 2 3 8 5 6 2 2" xfId="42554"/>
    <cellStyle name="Heading 2 2 3 8 5 6 3" xfId="42555"/>
    <cellStyle name="Heading 2 2 3 8 5 7" xfId="42556"/>
    <cellStyle name="Heading 2 2 3 8 5 7 2" xfId="42557"/>
    <cellStyle name="Heading 2 2 3 8 5 7 2 2" xfId="42558"/>
    <cellStyle name="Heading 2 2 3 8 5 7 3" xfId="42559"/>
    <cellStyle name="Heading 2 2 3 8 5 8" xfId="42560"/>
    <cellStyle name="Heading 2 2 3 8 5 8 2" xfId="42561"/>
    <cellStyle name="Heading 2 2 3 8 5 9" xfId="42562"/>
    <cellStyle name="Heading 2 2 3 8 6" xfId="42563"/>
    <cellStyle name="Heading 2 2 3 8 6 2" xfId="42564"/>
    <cellStyle name="Heading 2 2 3 8 6 2 2" xfId="42565"/>
    <cellStyle name="Heading 2 2 3 8 6 2 2 2" xfId="42566"/>
    <cellStyle name="Heading 2 2 3 8 6 2 3" xfId="42567"/>
    <cellStyle name="Heading 2 2 3 8 6 3" xfId="42568"/>
    <cellStyle name="Heading 2 2 3 8 6 3 2" xfId="42569"/>
    <cellStyle name="Heading 2 2 3 8 6 3 2 2" xfId="42570"/>
    <cellStyle name="Heading 2 2 3 8 6 3 3" xfId="42571"/>
    <cellStyle name="Heading 2 2 3 8 6 4" xfId="42572"/>
    <cellStyle name="Heading 2 2 3 8 6 4 2" xfId="42573"/>
    <cellStyle name="Heading 2 2 3 8 6 4 2 2" xfId="42574"/>
    <cellStyle name="Heading 2 2 3 8 6 4 3" xfId="42575"/>
    <cellStyle name="Heading 2 2 3 8 6 5" xfId="42576"/>
    <cellStyle name="Heading 2 2 3 8 6 5 2" xfId="42577"/>
    <cellStyle name="Heading 2 2 3 8 6 5 2 2" xfId="42578"/>
    <cellStyle name="Heading 2 2 3 8 6 5 3" xfId="42579"/>
    <cellStyle name="Heading 2 2 3 8 6 6" xfId="42580"/>
    <cellStyle name="Heading 2 2 3 8 6 6 2" xfId="42581"/>
    <cellStyle name="Heading 2 2 3 8 6 6 2 2" xfId="42582"/>
    <cellStyle name="Heading 2 2 3 8 6 6 3" xfId="42583"/>
    <cellStyle name="Heading 2 2 3 8 6 7" xfId="42584"/>
    <cellStyle name="Heading 2 2 3 8 6 7 2" xfId="42585"/>
    <cellStyle name="Heading 2 2 3 8 6 7 2 2" xfId="42586"/>
    <cellStyle name="Heading 2 2 3 8 6 7 3" xfId="42587"/>
    <cellStyle name="Heading 2 2 3 8 6 8" xfId="42588"/>
    <cellStyle name="Heading 2 2 3 8 6 8 2" xfId="42589"/>
    <cellStyle name="Heading 2 2 3 8 6 9" xfId="42590"/>
    <cellStyle name="Heading 2 2 3 8 7" xfId="42591"/>
    <cellStyle name="Heading 2 2 3 8 7 2" xfId="42592"/>
    <cellStyle name="Heading 2 2 3 8 7 2 2" xfId="42593"/>
    <cellStyle name="Heading 2 2 3 8 7 2 2 2" xfId="42594"/>
    <cellStyle name="Heading 2 2 3 8 7 2 3" xfId="42595"/>
    <cellStyle name="Heading 2 2 3 8 7 3" xfId="42596"/>
    <cellStyle name="Heading 2 2 3 8 7 3 2" xfId="42597"/>
    <cellStyle name="Heading 2 2 3 8 7 3 2 2" xfId="42598"/>
    <cellStyle name="Heading 2 2 3 8 7 3 3" xfId="42599"/>
    <cellStyle name="Heading 2 2 3 8 7 4" xfId="42600"/>
    <cellStyle name="Heading 2 2 3 8 7 4 2" xfId="42601"/>
    <cellStyle name="Heading 2 2 3 8 7 4 2 2" xfId="42602"/>
    <cellStyle name="Heading 2 2 3 8 7 4 3" xfId="42603"/>
    <cellStyle name="Heading 2 2 3 8 7 5" xfId="42604"/>
    <cellStyle name="Heading 2 2 3 8 7 5 2" xfId="42605"/>
    <cellStyle name="Heading 2 2 3 8 7 5 2 2" xfId="42606"/>
    <cellStyle name="Heading 2 2 3 8 7 5 3" xfId="42607"/>
    <cellStyle name="Heading 2 2 3 8 7 6" xfId="42608"/>
    <cellStyle name="Heading 2 2 3 8 7 6 2" xfId="42609"/>
    <cellStyle name="Heading 2 2 3 8 7 6 2 2" xfId="42610"/>
    <cellStyle name="Heading 2 2 3 8 7 6 3" xfId="42611"/>
    <cellStyle name="Heading 2 2 3 8 7 7" xfId="42612"/>
    <cellStyle name="Heading 2 2 3 8 7 7 2" xfId="42613"/>
    <cellStyle name="Heading 2 2 3 8 7 7 2 2" xfId="42614"/>
    <cellStyle name="Heading 2 2 3 8 7 7 3" xfId="42615"/>
    <cellStyle name="Heading 2 2 3 8 7 8" xfId="42616"/>
    <cellStyle name="Heading 2 2 3 8 7 8 2" xfId="42617"/>
    <cellStyle name="Heading 2 2 3 8 7 9" xfId="42618"/>
    <cellStyle name="Heading 2 2 3 8 8" xfId="42619"/>
    <cellStyle name="Heading 2 2 3 8 8 2" xfId="42620"/>
    <cellStyle name="Heading 2 2 3 8 8 2 2" xfId="42621"/>
    <cellStyle name="Heading 2 2 3 8 8 2 2 2" xfId="42622"/>
    <cellStyle name="Heading 2 2 3 8 8 2 3" xfId="42623"/>
    <cellStyle name="Heading 2 2 3 8 8 3" xfId="42624"/>
    <cellStyle name="Heading 2 2 3 8 8 3 2" xfId="42625"/>
    <cellStyle name="Heading 2 2 3 8 8 3 2 2" xfId="42626"/>
    <cellStyle name="Heading 2 2 3 8 8 3 3" xfId="42627"/>
    <cellStyle name="Heading 2 2 3 8 8 4" xfId="42628"/>
    <cellStyle name="Heading 2 2 3 8 8 4 2" xfId="42629"/>
    <cellStyle name="Heading 2 2 3 8 8 4 2 2" xfId="42630"/>
    <cellStyle name="Heading 2 2 3 8 8 4 3" xfId="42631"/>
    <cellStyle name="Heading 2 2 3 8 8 5" xfId="42632"/>
    <cellStyle name="Heading 2 2 3 8 8 5 2" xfId="42633"/>
    <cellStyle name="Heading 2 2 3 8 8 5 2 2" xfId="42634"/>
    <cellStyle name="Heading 2 2 3 8 8 5 3" xfId="42635"/>
    <cellStyle name="Heading 2 2 3 8 8 6" xfId="42636"/>
    <cellStyle name="Heading 2 2 3 8 8 6 2" xfId="42637"/>
    <cellStyle name="Heading 2 2 3 8 8 6 2 2" xfId="42638"/>
    <cellStyle name="Heading 2 2 3 8 8 6 3" xfId="42639"/>
    <cellStyle name="Heading 2 2 3 8 8 7" xfId="42640"/>
    <cellStyle name="Heading 2 2 3 8 8 7 2" xfId="42641"/>
    <cellStyle name="Heading 2 2 3 8 8 7 2 2" xfId="42642"/>
    <cellStyle name="Heading 2 2 3 8 8 7 3" xfId="42643"/>
    <cellStyle name="Heading 2 2 3 8 8 8" xfId="42644"/>
    <cellStyle name="Heading 2 2 3 8 8 8 2" xfId="42645"/>
    <cellStyle name="Heading 2 2 3 8 8 9" xfId="42646"/>
    <cellStyle name="Heading 2 2 3 8 9" xfId="42647"/>
    <cellStyle name="Heading 2 2 3 8 9 2" xfId="42648"/>
    <cellStyle name="Heading 2 2 3 8 9 2 2" xfId="42649"/>
    <cellStyle name="Heading 2 2 3 8 9 2 2 2" xfId="42650"/>
    <cellStyle name="Heading 2 2 3 8 9 2 3" xfId="42651"/>
    <cellStyle name="Heading 2 2 3 8 9 3" xfId="42652"/>
    <cellStyle name="Heading 2 2 3 8 9 3 2" xfId="42653"/>
    <cellStyle name="Heading 2 2 3 8 9 3 2 2" xfId="42654"/>
    <cellStyle name="Heading 2 2 3 8 9 3 3" xfId="42655"/>
    <cellStyle name="Heading 2 2 3 8 9 4" xfId="42656"/>
    <cellStyle name="Heading 2 2 3 8 9 4 2" xfId="42657"/>
    <cellStyle name="Heading 2 2 3 8 9 4 2 2" xfId="42658"/>
    <cellStyle name="Heading 2 2 3 8 9 4 3" xfId="42659"/>
    <cellStyle name="Heading 2 2 3 8 9 5" xfId="42660"/>
    <cellStyle name="Heading 2 2 3 8 9 5 2" xfId="42661"/>
    <cellStyle name="Heading 2 2 3 8 9 5 2 2" xfId="42662"/>
    <cellStyle name="Heading 2 2 3 8 9 5 3" xfId="42663"/>
    <cellStyle name="Heading 2 2 3 8 9 6" xfId="42664"/>
    <cellStyle name="Heading 2 2 3 8 9 6 2" xfId="42665"/>
    <cellStyle name="Heading 2 2 3 8 9 6 2 2" xfId="42666"/>
    <cellStyle name="Heading 2 2 3 8 9 6 3" xfId="42667"/>
    <cellStyle name="Heading 2 2 3 8 9 7" xfId="42668"/>
    <cellStyle name="Heading 2 2 3 8 9 7 2" xfId="42669"/>
    <cellStyle name="Heading 2 2 3 8 9 7 2 2" xfId="42670"/>
    <cellStyle name="Heading 2 2 3 8 9 7 3" xfId="42671"/>
    <cellStyle name="Heading 2 2 3 8 9 8" xfId="42672"/>
    <cellStyle name="Heading 2 2 3 8 9 8 2" xfId="42673"/>
    <cellStyle name="Heading 2 2 3 8 9 9" xfId="42674"/>
    <cellStyle name="Heading 2 2 3 9" xfId="42675"/>
    <cellStyle name="Heading 2 2 3 9 2" xfId="42676"/>
    <cellStyle name="Heading 2 2 3 9 2 2" xfId="42677"/>
    <cellStyle name="Heading 2 2 3 9 3" xfId="42678"/>
    <cellStyle name="Heading 2 2 3 9 3 2" xfId="42679"/>
    <cellStyle name="Heading 2 2 3 9 4" xfId="42680"/>
    <cellStyle name="Heading 2 2 3 9 4 2" xfId="42681"/>
    <cellStyle name="Heading 2 2 3 9 5" xfId="42682"/>
    <cellStyle name="Heading 2 2 4" xfId="42683"/>
    <cellStyle name="Heading 2 2 4 2" xfId="42684"/>
    <cellStyle name="Heading 2 2 4 3" xfId="42685"/>
    <cellStyle name="Heading 2 2 4 3 10" xfId="42686"/>
    <cellStyle name="Heading 2 2 4 3 10 2" xfId="42687"/>
    <cellStyle name="Heading 2 2 4 3 10 2 2" xfId="42688"/>
    <cellStyle name="Heading 2 2 4 3 10 3" xfId="42689"/>
    <cellStyle name="Heading 2 2 4 3 11" xfId="42690"/>
    <cellStyle name="Heading 2 2 4 3 11 2" xfId="42691"/>
    <cellStyle name="Heading 2 2 4 3 11 2 2" xfId="42692"/>
    <cellStyle name="Heading 2 2 4 3 11 3" xfId="42693"/>
    <cellStyle name="Heading 2 2 4 3 12" xfId="42694"/>
    <cellStyle name="Heading 2 2 4 3 12 2" xfId="42695"/>
    <cellStyle name="Heading 2 2 4 3 12 2 2" xfId="42696"/>
    <cellStyle name="Heading 2 2 4 3 12 3" xfId="42697"/>
    <cellStyle name="Heading 2 2 4 3 13" xfId="42698"/>
    <cellStyle name="Heading 2 2 4 3 13 2" xfId="42699"/>
    <cellStyle name="Heading 2 2 4 3 13 2 2" xfId="42700"/>
    <cellStyle name="Heading 2 2 4 3 13 3" xfId="42701"/>
    <cellStyle name="Heading 2 2 4 3 14" xfId="42702"/>
    <cellStyle name="Heading 2 2 4 3 14 2" xfId="42703"/>
    <cellStyle name="Heading 2 2 4 3 14 2 2" xfId="42704"/>
    <cellStyle name="Heading 2 2 4 3 14 3" xfId="42705"/>
    <cellStyle name="Heading 2 2 4 3 15" xfId="42706"/>
    <cellStyle name="Heading 2 2 4 3 15 2" xfId="42707"/>
    <cellStyle name="Heading 2 2 4 3 15 2 2" xfId="42708"/>
    <cellStyle name="Heading 2 2 4 3 15 3" xfId="42709"/>
    <cellStyle name="Heading 2 2 4 3 16" xfId="42710"/>
    <cellStyle name="Heading 2 2 4 3 16 2" xfId="42711"/>
    <cellStyle name="Heading 2 2 4 3 16 2 2" xfId="42712"/>
    <cellStyle name="Heading 2 2 4 3 16 3" xfId="42713"/>
    <cellStyle name="Heading 2 2 4 3 17" xfId="42714"/>
    <cellStyle name="Heading 2 2 4 3 17 2" xfId="42715"/>
    <cellStyle name="Heading 2 2 4 3 17 2 2" xfId="42716"/>
    <cellStyle name="Heading 2 2 4 3 17 3" xfId="42717"/>
    <cellStyle name="Heading 2 2 4 3 18" xfId="42718"/>
    <cellStyle name="Heading 2 2 4 3 18 2" xfId="42719"/>
    <cellStyle name="Heading 2 2 4 3 18 2 2" xfId="42720"/>
    <cellStyle name="Heading 2 2 4 3 18 3" xfId="42721"/>
    <cellStyle name="Heading 2 2 4 3 19" xfId="42722"/>
    <cellStyle name="Heading 2 2 4 3 19 2" xfId="42723"/>
    <cellStyle name="Heading 2 2 4 3 19 2 2" xfId="42724"/>
    <cellStyle name="Heading 2 2 4 3 19 3" xfId="42725"/>
    <cellStyle name="Heading 2 2 4 3 2" xfId="42726"/>
    <cellStyle name="Heading 2 2 4 3 2 10" xfId="42727"/>
    <cellStyle name="Heading 2 2 4 3 2 10 2" xfId="42728"/>
    <cellStyle name="Heading 2 2 4 3 2 10 2 2" xfId="42729"/>
    <cellStyle name="Heading 2 2 4 3 2 10 3" xfId="42730"/>
    <cellStyle name="Heading 2 2 4 3 2 11" xfId="42731"/>
    <cellStyle name="Heading 2 2 4 3 2 11 2" xfId="42732"/>
    <cellStyle name="Heading 2 2 4 3 2 11 2 2" xfId="42733"/>
    <cellStyle name="Heading 2 2 4 3 2 11 3" xfId="42734"/>
    <cellStyle name="Heading 2 2 4 3 2 12" xfId="42735"/>
    <cellStyle name="Heading 2 2 4 3 2 12 2" xfId="42736"/>
    <cellStyle name="Heading 2 2 4 3 2 12 2 2" xfId="42737"/>
    <cellStyle name="Heading 2 2 4 3 2 12 3" xfId="42738"/>
    <cellStyle name="Heading 2 2 4 3 2 13" xfId="42739"/>
    <cellStyle name="Heading 2 2 4 3 2 13 2" xfId="42740"/>
    <cellStyle name="Heading 2 2 4 3 2 13 2 2" xfId="42741"/>
    <cellStyle name="Heading 2 2 4 3 2 13 3" xfId="42742"/>
    <cellStyle name="Heading 2 2 4 3 2 14" xfId="42743"/>
    <cellStyle name="Heading 2 2 4 3 2 14 2" xfId="42744"/>
    <cellStyle name="Heading 2 2 4 3 2 14 2 2" xfId="42745"/>
    <cellStyle name="Heading 2 2 4 3 2 14 3" xfId="42746"/>
    <cellStyle name="Heading 2 2 4 3 2 15" xfId="42747"/>
    <cellStyle name="Heading 2 2 4 3 2 15 2" xfId="42748"/>
    <cellStyle name="Heading 2 2 4 3 2 15 2 2" xfId="42749"/>
    <cellStyle name="Heading 2 2 4 3 2 15 3" xfId="42750"/>
    <cellStyle name="Heading 2 2 4 3 2 16" xfId="42751"/>
    <cellStyle name="Heading 2 2 4 3 2 16 2" xfId="42752"/>
    <cellStyle name="Heading 2 2 4 3 2 16 2 2" xfId="42753"/>
    <cellStyle name="Heading 2 2 4 3 2 16 3" xfId="42754"/>
    <cellStyle name="Heading 2 2 4 3 2 17" xfId="42755"/>
    <cellStyle name="Heading 2 2 4 3 2 17 2" xfId="42756"/>
    <cellStyle name="Heading 2 2 4 3 2 17 2 2" xfId="42757"/>
    <cellStyle name="Heading 2 2 4 3 2 17 3" xfId="42758"/>
    <cellStyle name="Heading 2 2 4 3 2 18" xfId="42759"/>
    <cellStyle name="Heading 2 2 4 3 2 18 2" xfId="42760"/>
    <cellStyle name="Heading 2 2 4 3 2 18 2 2" xfId="42761"/>
    <cellStyle name="Heading 2 2 4 3 2 18 3" xfId="42762"/>
    <cellStyle name="Heading 2 2 4 3 2 19" xfId="42763"/>
    <cellStyle name="Heading 2 2 4 3 2 19 2" xfId="42764"/>
    <cellStyle name="Heading 2 2 4 3 2 2" xfId="42765"/>
    <cellStyle name="Heading 2 2 4 3 2 2 2" xfId="42766"/>
    <cellStyle name="Heading 2 2 4 3 2 2 2 2" xfId="42767"/>
    <cellStyle name="Heading 2 2 4 3 2 2 2 2 2" xfId="42768"/>
    <cellStyle name="Heading 2 2 4 3 2 2 2 3" xfId="42769"/>
    <cellStyle name="Heading 2 2 4 3 2 2 3" xfId="42770"/>
    <cellStyle name="Heading 2 2 4 3 2 2 3 2" xfId="42771"/>
    <cellStyle name="Heading 2 2 4 3 2 2 3 2 2" xfId="42772"/>
    <cellStyle name="Heading 2 2 4 3 2 2 3 3" xfId="42773"/>
    <cellStyle name="Heading 2 2 4 3 2 2 4" xfId="42774"/>
    <cellStyle name="Heading 2 2 4 3 2 2 4 2" xfId="42775"/>
    <cellStyle name="Heading 2 2 4 3 2 2 4 2 2" xfId="42776"/>
    <cellStyle name="Heading 2 2 4 3 2 2 4 3" xfId="42777"/>
    <cellStyle name="Heading 2 2 4 3 2 2 5" xfId="42778"/>
    <cellStyle name="Heading 2 2 4 3 2 2 5 2" xfId="42779"/>
    <cellStyle name="Heading 2 2 4 3 2 2 5 2 2" xfId="42780"/>
    <cellStyle name="Heading 2 2 4 3 2 2 5 3" xfId="42781"/>
    <cellStyle name="Heading 2 2 4 3 2 2 6" xfId="42782"/>
    <cellStyle name="Heading 2 2 4 3 2 2 6 2" xfId="42783"/>
    <cellStyle name="Heading 2 2 4 3 2 2 6 2 2" xfId="42784"/>
    <cellStyle name="Heading 2 2 4 3 2 2 6 3" xfId="42785"/>
    <cellStyle name="Heading 2 2 4 3 2 2 7" xfId="42786"/>
    <cellStyle name="Heading 2 2 4 3 2 2 7 2" xfId="42787"/>
    <cellStyle name="Heading 2 2 4 3 2 2 7 2 2" xfId="42788"/>
    <cellStyle name="Heading 2 2 4 3 2 2 7 3" xfId="42789"/>
    <cellStyle name="Heading 2 2 4 3 2 2 8" xfId="42790"/>
    <cellStyle name="Heading 2 2 4 3 2 2 8 2" xfId="42791"/>
    <cellStyle name="Heading 2 2 4 3 2 2 9" xfId="42792"/>
    <cellStyle name="Heading 2 2 4 3 2 20" xfId="42793"/>
    <cellStyle name="Heading 2 2 4 3 2 20 2" xfId="42794"/>
    <cellStyle name="Heading 2 2 4 3 2 21" xfId="42795"/>
    <cellStyle name="Heading 2 2 4 3 2 21 2" xfId="42796"/>
    <cellStyle name="Heading 2 2 4 3 2 22" xfId="42797"/>
    <cellStyle name="Heading 2 2 4 3 2 3" xfId="42798"/>
    <cellStyle name="Heading 2 2 4 3 2 3 2" xfId="42799"/>
    <cellStyle name="Heading 2 2 4 3 2 3 2 2" xfId="42800"/>
    <cellStyle name="Heading 2 2 4 3 2 3 2 2 2" xfId="42801"/>
    <cellStyle name="Heading 2 2 4 3 2 3 2 3" xfId="42802"/>
    <cellStyle name="Heading 2 2 4 3 2 3 3" xfId="42803"/>
    <cellStyle name="Heading 2 2 4 3 2 3 3 2" xfId="42804"/>
    <cellStyle name="Heading 2 2 4 3 2 3 3 2 2" xfId="42805"/>
    <cellStyle name="Heading 2 2 4 3 2 3 3 3" xfId="42806"/>
    <cellStyle name="Heading 2 2 4 3 2 3 4" xfId="42807"/>
    <cellStyle name="Heading 2 2 4 3 2 3 4 2" xfId="42808"/>
    <cellStyle name="Heading 2 2 4 3 2 3 4 2 2" xfId="42809"/>
    <cellStyle name="Heading 2 2 4 3 2 3 4 3" xfId="42810"/>
    <cellStyle name="Heading 2 2 4 3 2 3 5" xfId="42811"/>
    <cellStyle name="Heading 2 2 4 3 2 3 5 2" xfId="42812"/>
    <cellStyle name="Heading 2 2 4 3 2 3 5 2 2" xfId="42813"/>
    <cellStyle name="Heading 2 2 4 3 2 3 5 3" xfId="42814"/>
    <cellStyle name="Heading 2 2 4 3 2 3 6" xfId="42815"/>
    <cellStyle name="Heading 2 2 4 3 2 3 6 2" xfId="42816"/>
    <cellStyle name="Heading 2 2 4 3 2 3 6 2 2" xfId="42817"/>
    <cellStyle name="Heading 2 2 4 3 2 3 6 3" xfId="42818"/>
    <cellStyle name="Heading 2 2 4 3 2 3 7" xfId="42819"/>
    <cellStyle name="Heading 2 2 4 3 2 3 7 2" xfId="42820"/>
    <cellStyle name="Heading 2 2 4 3 2 3 7 2 2" xfId="42821"/>
    <cellStyle name="Heading 2 2 4 3 2 3 7 3" xfId="42822"/>
    <cellStyle name="Heading 2 2 4 3 2 3 8" xfId="42823"/>
    <cellStyle name="Heading 2 2 4 3 2 3 8 2" xfId="42824"/>
    <cellStyle name="Heading 2 2 4 3 2 3 9" xfId="42825"/>
    <cellStyle name="Heading 2 2 4 3 2 4" xfId="42826"/>
    <cellStyle name="Heading 2 2 4 3 2 4 2" xfId="42827"/>
    <cellStyle name="Heading 2 2 4 3 2 4 2 2" xfId="42828"/>
    <cellStyle name="Heading 2 2 4 3 2 4 2 2 2" xfId="42829"/>
    <cellStyle name="Heading 2 2 4 3 2 4 2 3" xfId="42830"/>
    <cellStyle name="Heading 2 2 4 3 2 4 3" xfId="42831"/>
    <cellStyle name="Heading 2 2 4 3 2 4 3 2" xfId="42832"/>
    <cellStyle name="Heading 2 2 4 3 2 4 3 2 2" xfId="42833"/>
    <cellStyle name="Heading 2 2 4 3 2 4 3 3" xfId="42834"/>
    <cellStyle name="Heading 2 2 4 3 2 4 4" xfId="42835"/>
    <cellStyle name="Heading 2 2 4 3 2 4 4 2" xfId="42836"/>
    <cellStyle name="Heading 2 2 4 3 2 4 4 2 2" xfId="42837"/>
    <cellStyle name="Heading 2 2 4 3 2 4 4 3" xfId="42838"/>
    <cellStyle name="Heading 2 2 4 3 2 4 5" xfId="42839"/>
    <cellStyle name="Heading 2 2 4 3 2 4 5 2" xfId="42840"/>
    <cellStyle name="Heading 2 2 4 3 2 4 5 2 2" xfId="42841"/>
    <cellStyle name="Heading 2 2 4 3 2 4 5 3" xfId="42842"/>
    <cellStyle name="Heading 2 2 4 3 2 4 6" xfId="42843"/>
    <cellStyle name="Heading 2 2 4 3 2 4 6 2" xfId="42844"/>
    <cellStyle name="Heading 2 2 4 3 2 4 6 2 2" xfId="42845"/>
    <cellStyle name="Heading 2 2 4 3 2 4 6 3" xfId="42846"/>
    <cellStyle name="Heading 2 2 4 3 2 4 7" xfId="42847"/>
    <cellStyle name="Heading 2 2 4 3 2 4 7 2" xfId="42848"/>
    <cellStyle name="Heading 2 2 4 3 2 4 7 2 2" xfId="42849"/>
    <cellStyle name="Heading 2 2 4 3 2 4 7 3" xfId="42850"/>
    <cellStyle name="Heading 2 2 4 3 2 4 8" xfId="42851"/>
    <cellStyle name="Heading 2 2 4 3 2 4 8 2" xfId="42852"/>
    <cellStyle name="Heading 2 2 4 3 2 4 9" xfId="42853"/>
    <cellStyle name="Heading 2 2 4 3 2 5" xfId="42854"/>
    <cellStyle name="Heading 2 2 4 3 2 5 2" xfId="42855"/>
    <cellStyle name="Heading 2 2 4 3 2 5 2 2" xfId="42856"/>
    <cellStyle name="Heading 2 2 4 3 2 5 2 2 2" xfId="42857"/>
    <cellStyle name="Heading 2 2 4 3 2 5 2 3" xfId="42858"/>
    <cellStyle name="Heading 2 2 4 3 2 5 3" xfId="42859"/>
    <cellStyle name="Heading 2 2 4 3 2 5 3 2" xfId="42860"/>
    <cellStyle name="Heading 2 2 4 3 2 5 3 2 2" xfId="42861"/>
    <cellStyle name="Heading 2 2 4 3 2 5 3 3" xfId="42862"/>
    <cellStyle name="Heading 2 2 4 3 2 5 4" xfId="42863"/>
    <cellStyle name="Heading 2 2 4 3 2 5 4 2" xfId="42864"/>
    <cellStyle name="Heading 2 2 4 3 2 5 4 2 2" xfId="42865"/>
    <cellStyle name="Heading 2 2 4 3 2 5 4 3" xfId="42866"/>
    <cellStyle name="Heading 2 2 4 3 2 5 5" xfId="42867"/>
    <cellStyle name="Heading 2 2 4 3 2 5 5 2" xfId="42868"/>
    <cellStyle name="Heading 2 2 4 3 2 5 5 2 2" xfId="42869"/>
    <cellStyle name="Heading 2 2 4 3 2 5 5 3" xfId="42870"/>
    <cellStyle name="Heading 2 2 4 3 2 5 6" xfId="42871"/>
    <cellStyle name="Heading 2 2 4 3 2 5 6 2" xfId="42872"/>
    <cellStyle name="Heading 2 2 4 3 2 5 6 2 2" xfId="42873"/>
    <cellStyle name="Heading 2 2 4 3 2 5 6 3" xfId="42874"/>
    <cellStyle name="Heading 2 2 4 3 2 5 7" xfId="42875"/>
    <cellStyle name="Heading 2 2 4 3 2 5 7 2" xfId="42876"/>
    <cellStyle name="Heading 2 2 4 3 2 5 7 2 2" xfId="42877"/>
    <cellStyle name="Heading 2 2 4 3 2 5 7 3" xfId="42878"/>
    <cellStyle name="Heading 2 2 4 3 2 5 8" xfId="42879"/>
    <cellStyle name="Heading 2 2 4 3 2 5 8 2" xfId="42880"/>
    <cellStyle name="Heading 2 2 4 3 2 5 9" xfId="42881"/>
    <cellStyle name="Heading 2 2 4 3 2 6" xfId="42882"/>
    <cellStyle name="Heading 2 2 4 3 2 6 2" xfId="42883"/>
    <cellStyle name="Heading 2 2 4 3 2 6 2 2" xfId="42884"/>
    <cellStyle name="Heading 2 2 4 3 2 6 2 2 2" xfId="42885"/>
    <cellStyle name="Heading 2 2 4 3 2 6 2 3" xfId="42886"/>
    <cellStyle name="Heading 2 2 4 3 2 6 3" xfId="42887"/>
    <cellStyle name="Heading 2 2 4 3 2 6 3 2" xfId="42888"/>
    <cellStyle name="Heading 2 2 4 3 2 6 3 2 2" xfId="42889"/>
    <cellStyle name="Heading 2 2 4 3 2 6 3 3" xfId="42890"/>
    <cellStyle name="Heading 2 2 4 3 2 6 4" xfId="42891"/>
    <cellStyle name="Heading 2 2 4 3 2 6 4 2" xfId="42892"/>
    <cellStyle name="Heading 2 2 4 3 2 6 4 2 2" xfId="42893"/>
    <cellStyle name="Heading 2 2 4 3 2 6 4 3" xfId="42894"/>
    <cellStyle name="Heading 2 2 4 3 2 6 5" xfId="42895"/>
    <cellStyle name="Heading 2 2 4 3 2 6 5 2" xfId="42896"/>
    <cellStyle name="Heading 2 2 4 3 2 6 5 2 2" xfId="42897"/>
    <cellStyle name="Heading 2 2 4 3 2 6 5 3" xfId="42898"/>
    <cellStyle name="Heading 2 2 4 3 2 6 6" xfId="42899"/>
    <cellStyle name="Heading 2 2 4 3 2 6 6 2" xfId="42900"/>
    <cellStyle name="Heading 2 2 4 3 2 6 6 2 2" xfId="42901"/>
    <cellStyle name="Heading 2 2 4 3 2 6 6 3" xfId="42902"/>
    <cellStyle name="Heading 2 2 4 3 2 6 7" xfId="42903"/>
    <cellStyle name="Heading 2 2 4 3 2 6 7 2" xfId="42904"/>
    <cellStyle name="Heading 2 2 4 3 2 6 7 2 2" xfId="42905"/>
    <cellStyle name="Heading 2 2 4 3 2 6 7 3" xfId="42906"/>
    <cellStyle name="Heading 2 2 4 3 2 6 8" xfId="42907"/>
    <cellStyle name="Heading 2 2 4 3 2 6 8 2" xfId="42908"/>
    <cellStyle name="Heading 2 2 4 3 2 6 9" xfId="42909"/>
    <cellStyle name="Heading 2 2 4 3 2 7" xfId="42910"/>
    <cellStyle name="Heading 2 2 4 3 2 7 2" xfId="42911"/>
    <cellStyle name="Heading 2 2 4 3 2 7 2 2" xfId="42912"/>
    <cellStyle name="Heading 2 2 4 3 2 7 2 2 2" xfId="42913"/>
    <cellStyle name="Heading 2 2 4 3 2 7 2 3" xfId="42914"/>
    <cellStyle name="Heading 2 2 4 3 2 7 3" xfId="42915"/>
    <cellStyle name="Heading 2 2 4 3 2 7 3 2" xfId="42916"/>
    <cellStyle name="Heading 2 2 4 3 2 7 3 2 2" xfId="42917"/>
    <cellStyle name="Heading 2 2 4 3 2 7 3 3" xfId="42918"/>
    <cellStyle name="Heading 2 2 4 3 2 7 4" xfId="42919"/>
    <cellStyle name="Heading 2 2 4 3 2 7 4 2" xfId="42920"/>
    <cellStyle name="Heading 2 2 4 3 2 7 4 2 2" xfId="42921"/>
    <cellStyle name="Heading 2 2 4 3 2 7 4 3" xfId="42922"/>
    <cellStyle name="Heading 2 2 4 3 2 7 5" xfId="42923"/>
    <cellStyle name="Heading 2 2 4 3 2 7 5 2" xfId="42924"/>
    <cellStyle name="Heading 2 2 4 3 2 7 5 2 2" xfId="42925"/>
    <cellStyle name="Heading 2 2 4 3 2 7 5 3" xfId="42926"/>
    <cellStyle name="Heading 2 2 4 3 2 7 6" xfId="42927"/>
    <cellStyle name="Heading 2 2 4 3 2 7 6 2" xfId="42928"/>
    <cellStyle name="Heading 2 2 4 3 2 7 6 2 2" xfId="42929"/>
    <cellStyle name="Heading 2 2 4 3 2 7 6 3" xfId="42930"/>
    <cellStyle name="Heading 2 2 4 3 2 7 7" xfId="42931"/>
    <cellStyle name="Heading 2 2 4 3 2 7 7 2" xfId="42932"/>
    <cellStyle name="Heading 2 2 4 3 2 7 7 2 2" xfId="42933"/>
    <cellStyle name="Heading 2 2 4 3 2 7 7 3" xfId="42934"/>
    <cellStyle name="Heading 2 2 4 3 2 7 8" xfId="42935"/>
    <cellStyle name="Heading 2 2 4 3 2 7 8 2" xfId="42936"/>
    <cellStyle name="Heading 2 2 4 3 2 7 9" xfId="42937"/>
    <cellStyle name="Heading 2 2 4 3 2 8" xfId="42938"/>
    <cellStyle name="Heading 2 2 4 3 2 8 2" xfId="42939"/>
    <cellStyle name="Heading 2 2 4 3 2 8 2 2" xfId="42940"/>
    <cellStyle name="Heading 2 2 4 3 2 8 2 2 2" xfId="42941"/>
    <cellStyle name="Heading 2 2 4 3 2 8 2 3" xfId="42942"/>
    <cellStyle name="Heading 2 2 4 3 2 8 3" xfId="42943"/>
    <cellStyle name="Heading 2 2 4 3 2 8 3 2" xfId="42944"/>
    <cellStyle name="Heading 2 2 4 3 2 8 3 2 2" xfId="42945"/>
    <cellStyle name="Heading 2 2 4 3 2 8 3 3" xfId="42946"/>
    <cellStyle name="Heading 2 2 4 3 2 8 4" xfId="42947"/>
    <cellStyle name="Heading 2 2 4 3 2 8 4 2" xfId="42948"/>
    <cellStyle name="Heading 2 2 4 3 2 8 4 2 2" xfId="42949"/>
    <cellStyle name="Heading 2 2 4 3 2 8 4 3" xfId="42950"/>
    <cellStyle name="Heading 2 2 4 3 2 8 5" xfId="42951"/>
    <cellStyle name="Heading 2 2 4 3 2 8 5 2" xfId="42952"/>
    <cellStyle name="Heading 2 2 4 3 2 8 5 2 2" xfId="42953"/>
    <cellStyle name="Heading 2 2 4 3 2 8 5 3" xfId="42954"/>
    <cellStyle name="Heading 2 2 4 3 2 8 6" xfId="42955"/>
    <cellStyle name="Heading 2 2 4 3 2 8 6 2" xfId="42956"/>
    <cellStyle name="Heading 2 2 4 3 2 8 6 2 2" xfId="42957"/>
    <cellStyle name="Heading 2 2 4 3 2 8 6 3" xfId="42958"/>
    <cellStyle name="Heading 2 2 4 3 2 8 7" xfId="42959"/>
    <cellStyle name="Heading 2 2 4 3 2 8 7 2" xfId="42960"/>
    <cellStyle name="Heading 2 2 4 3 2 8 7 2 2" xfId="42961"/>
    <cellStyle name="Heading 2 2 4 3 2 8 7 3" xfId="42962"/>
    <cellStyle name="Heading 2 2 4 3 2 8 8" xfId="42963"/>
    <cellStyle name="Heading 2 2 4 3 2 8 8 2" xfId="42964"/>
    <cellStyle name="Heading 2 2 4 3 2 8 9" xfId="42965"/>
    <cellStyle name="Heading 2 2 4 3 2 9" xfId="42966"/>
    <cellStyle name="Heading 2 2 4 3 2 9 2" xfId="42967"/>
    <cellStyle name="Heading 2 2 4 3 2 9 2 2" xfId="42968"/>
    <cellStyle name="Heading 2 2 4 3 2 9 3" xfId="42969"/>
    <cellStyle name="Heading 2 2 4 3 20" xfId="42970"/>
    <cellStyle name="Heading 2 2 4 3 20 2" xfId="42971"/>
    <cellStyle name="Heading 2 2 4 3 21" xfId="42972"/>
    <cellStyle name="Heading 2 2 4 3 21 2" xfId="42973"/>
    <cellStyle name="Heading 2 2 4 3 22" xfId="42974"/>
    <cellStyle name="Heading 2 2 4 3 22 2" xfId="42975"/>
    <cellStyle name="Heading 2 2 4 3 23" xfId="42976"/>
    <cellStyle name="Heading 2 2 4 3 3" xfId="42977"/>
    <cellStyle name="Heading 2 2 4 3 3 2" xfId="42978"/>
    <cellStyle name="Heading 2 2 4 3 3 2 2" xfId="42979"/>
    <cellStyle name="Heading 2 2 4 3 3 2 2 2" xfId="42980"/>
    <cellStyle name="Heading 2 2 4 3 3 2 3" xfId="42981"/>
    <cellStyle name="Heading 2 2 4 3 3 3" xfId="42982"/>
    <cellStyle name="Heading 2 2 4 3 3 3 2" xfId="42983"/>
    <cellStyle name="Heading 2 2 4 3 3 3 2 2" xfId="42984"/>
    <cellStyle name="Heading 2 2 4 3 3 3 3" xfId="42985"/>
    <cellStyle name="Heading 2 2 4 3 3 4" xfId="42986"/>
    <cellStyle name="Heading 2 2 4 3 3 4 2" xfId="42987"/>
    <cellStyle name="Heading 2 2 4 3 3 4 2 2" xfId="42988"/>
    <cellStyle name="Heading 2 2 4 3 3 4 3" xfId="42989"/>
    <cellStyle name="Heading 2 2 4 3 3 5" xfId="42990"/>
    <cellStyle name="Heading 2 2 4 3 3 5 2" xfId="42991"/>
    <cellStyle name="Heading 2 2 4 3 3 5 2 2" xfId="42992"/>
    <cellStyle name="Heading 2 2 4 3 3 5 3" xfId="42993"/>
    <cellStyle name="Heading 2 2 4 3 3 6" xfId="42994"/>
    <cellStyle name="Heading 2 2 4 3 3 6 2" xfId="42995"/>
    <cellStyle name="Heading 2 2 4 3 3 6 2 2" xfId="42996"/>
    <cellStyle name="Heading 2 2 4 3 3 6 3" xfId="42997"/>
    <cellStyle name="Heading 2 2 4 3 3 7" xfId="42998"/>
    <cellStyle name="Heading 2 2 4 3 3 7 2" xfId="42999"/>
    <cellStyle name="Heading 2 2 4 3 3 7 2 2" xfId="43000"/>
    <cellStyle name="Heading 2 2 4 3 3 7 3" xfId="43001"/>
    <cellStyle name="Heading 2 2 4 3 3 8" xfId="43002"/>
    <cellStyle name="Heading 2 2 4 3 3 8 2" xfId="43003"/>
    <cellStyle name="Heading 2 2 4 3 3 9" xfId="43004"/>
    <cellStyle name="Heading 2 2 4 3 4" xfId="43005"/>
    <cellStyle name="Heading 2 2 4 3 4 2" xfId="43006"/>
    <cellStyle name="Heading 2 2 4 3 4 2 2" xfId="43007"/>
    <cellStyle name="Heading 2 2 4 3 4 2 2 2" xfId="43008"/>
    <cellStyle name="Heading 2 2 4 3 4 2 3" xfId="43009"/>
    <cellStyle name="Heading 2 2 4 3 4 3" xfId="43010"/>
    <cellStyle name="Heading 2 2 4 3 4 3 2" xfId="43011"/>
    <cellStyle name="Heading 2 2 4 3 4 3 2 2" xfId="43012"/>
    <cellStyle name="Heading 2 2 4 3 4 3 3" xfId="43013"/>
    <cellStyle name="Heading 2 2 4 3 4 4" xfId="43014"/>
    <cellStyle name="Heading 2 2 4 3 4 4 2" xfId="43015"/>
    <cellStyle name="Heading 2 2 4 3 4 4 2 2" xfId="43016"/>
    <cellStyle name="Heading 2 2 4 3 4 4 3" xfId="43017"/>
    <cellStyle name="Heading 2 2 4 3 4 5" xfId="43018"/>
    <cellStyle name="Heading 2 2 4 3 4 5 2" xfId="43019"/>
    <cellStyle name="Heading 2 2 4 3 4 5 2 2" xfId="43020"/>
    <cellStyle name="Heading 2 2 4 3 4 5 3" xfId="43021"/>
    <cellStyle name="Heading 2 2 4 3 4 6" xfId="43022"/>
    <cellStyle name="Heading 2 2 4 3 4 6 2" xfId="43023"/>
    <cellStyle name="Heading 2 2 4 3 4 6 2 2" xfId="43024"/>
    <cellStyle name="Heading 2 2 4 3 4 6 3" xfId="43025"/>
    <cellStyle name="Heading 2 2 4 3 4 7" xfId="43026"/>
    <cellStyle name="Heading 2 2 4 3 4 7 2" xfId="43027"/>
    <cellStyle name="Heading 2 2 4 3 4 7 2 2" xfId="43028"/>
    <cellStyle name="Heading 2 2 4 3 4 7 3" xfId="43029"/>
    <cellStyle name="Heading 2 2 4 3 4 8" xfId="43030"/>
    <cellStyle name="Heading 2 2 4 3 4 8 2" xfId="43031"/>
    <cellStyle name="Heading 2 2 4 3 4 9" xfId="43032"/>
    <cellStyle name="Heading 2 2 4 3 5" xfId="43033"/>
    <cellStyle name="Heading 2 2 4 3 5 2" xfId="43034"/>
    <cellStyle name="Heading 2 2 4 3 5 2 2" xfId="43035"/>
    <cellStyle name="Heading 2 2 4 3 5 2 2 2" xfId="43036"/>
    <cellStyle name="Heading 2 2 4 3 5 2 3" xfId="43037"/>
    <cellStyle name="Heading 2 2 4 3 5 3" xfId="43038"/>
    <cellStyle name="Heading 2 2 4 3 5 3 2" xfId="43039"/>
    <cellStyle name="Heading 2 2 4 3 5 3 2 2" xfId="43040"/>
    <cellStyle name="Heading 2 2 4 3 5 3 3" xfId="43041"/>
    <cellStyle name="Heading 2 2 4 3 5 4" xfId="43042"/>
    <cellStyle name="Heading 2 2 4 3 5 4 2" xfId="43043"/>
    <cellStyle name="Heading 2 2 4 3 5 4 2 2" xfId="43044"/>
    <cellStyle name="Heading 2 2 4 3 5 4 3" xfId="43045"/>
    <cellStyle name="Heading 2 2 4 3 5 5" xfId="43046"/>
    <cellStyle name="Heading 2 2 4 3 5 5 2" xfId="43047"/>
    <cellStyle name="Heading 2 2 4 3 5 5 2 2" xfId="43048"/>
    <cellStyle name="Heading 2 2 4 3 5 5 3" xfId="43049"/>
    <cellStyle name="Heading 2 2 4 3 5 6" xfId="43050"/>
    <cellStyle name="Heading 2 2 4 3 5 6 2" xfId="43051"/>
    <cellStyle name="Heading 2 2 4 3 5 6 2 2" xfId="43052"/>
    <cellStyle name="Heading 2 2 4 3 5 6 3" xfId="43053"/>
    <cellStyle name="Heading 2 2 4 3 5 7" xfId="43054"/>
    <cellStyle name="Heading 2 2 4 3 5 7 2" xfId="43055"/>
    <cellStyle name="Heading 2 2 4 3 5 7 2 2" xfId="43056"/>
    <cellStyle name="Heading 2 2 4 3 5 7 3" xfId="43057"/>
    <cellStyle name="Heading 2 2 4 3 5 8" xfId="43058"/>
    <cellStyle name="Heading 2 2 4 3 5 8 2" xfId="43059"/>
    <cellStyle name="Heading 2 2 4 3 5 9" xfId="43060"/>
    <cellStyle name="Heading 2 2 4 3 6" xfId="43061"/>
    <cellStyle name="Heading 2 2 4 3 6 2" xfId="43062"/>
    <cellStyle name="Heading 2 2 4 3 6 2 2" xfId="43063"/>
    <cellStyle name="Heading 2 2 4 3 6 2 2 2" xfId="43064"/>
    <cellStyle name="Heading 2 2 4 3 6 2 3" xfId="43065"/>
    <cellStyle name="Heading 2 2 4 3 6 3" xfId="43066"/>
    <cellStyle name="Heading 2 2 4 3 6 3 2" xfId="43067"/>
    <cellStyle name="Heading 2 2 4 3 6 3 2 2" xfId="43068"/>
    <cellStyle name="Heading 2 2 4 3 6 3 3" xfId="43069"/>
    <cellStyle name="Heading 2 2 4 3 6 4" xfId="43070"/>
    <cellStyle name="Heading 2 2 4 3 6 4 2" xfId="43071"/>
    <cellStyle name="Heading 2 2 4 3 6 4 2 2" xfId="43072"/>
    <cellStyle name="Heading 2 2 4 3 6 4 3" xfId="43073"/>
    <cellStyle name="Heading 2 2 4 3 6 5" xfId="43074"/>
    <cellStyle name="Heading 2 2 4 3 6 5 2" xfId="43075"/>
    <cellStyle name="Heading 2 2 4 3 6 5 2 2" xfId="43076"/>
    <cellStyle name="Heading 2 2 4 3 6 5 3" xfId="43077"/>
    <cellStyle name="Heading 2 2 4 3 6 6" xfId="43078"/>
    <cellStyle name="Heading 2 2 4 3 6 6 2" xfId="43079"/>
    <cellStyle name="Heading 2 2 4 3 6 6 2 2" xfId="43080"/>
    <cellStyle name="Heading 2 2 4 3 6 6 3" xfId="43081"/>
    <cellStyle name="Heading 2 2 4 3 6 7" xfId="43082"/>
    <cellStyle name="Heading 2 2 4 3 6 7 2" xfId="43083"/>
    <cellStyle name="Heading 2 2 4 3 6 7 2 2" xfId="43084"/>
    <cellStyle name="Heading 2 2 4 3 6 7 3" xfId="43085"/>
    <cellStyle name="Heading 2 2 4 3 6 8" xfId="43086"/>
    <cellStyle name="Heading 2 2 4 3 6 8 2" xfId="43087"/>
    <cellStyle name="Heading 2 2 4 3 6 9" xfId="43088"/>
    <cellStyle name="Heading 2 2 4 3 7" xfId="43089"/>
    <cellStyle name="Heading 2 2 4 3 7 2" xfId="43090"/>
    <cellStyle name="Heading 2 2 4 3 7 2 2" xfId="43091"/>
    <cellStyle name="Heading 2 2 4 3 7 2 2 2" xfId="43092"/>
    <cellStyle name="Heading 2 2 4 3 7 2 3" xfId="43093"/>
    <cellStyle name="Heading 2 2 4 3 7 3" xfId="43094"/>
    <cellStyle name="Heading 2 2 4 3 7 3 2" xfId="43095"/>
    <cellStyle name="Heading 2 2 4 3 7 3 2 2" xfId="43096"/>
    <cellStyle name="Heading 2 2 4 3 7 3 3" xfId="43097"/>
    <cellStyle name="Heading 2 2 4 3 7 4" xfId="43098"/>
    <cellStyle name="Heading 2 2 4 3 7 4 2" xfId="43099"/>
    <cellStyle name="Heading 2 2 4 3 7 4 2 2" xfId="43100"/>
    <cellStyle name="Heading 2 2 4 3 7 4 3" xfId="43101"/>
    <cellStyle name="Heading 2 2 4 3 7 5" xfId="43102"/>
    <cellStyle name="Heading 2 2 4 3 7 5 2" xfId="43103"/>
    <cellStyle name="Heading 2 2 4 3 7 5 2 2" xfId="43104"/>
    <cellStyle name="Heading 2 2 4 3 7 5 3" xfId="43105"/>
    <cellStyle name="Heading 2 2 4 3 7 6" xfId="43106"/>
    <cellStyle name="Heading 2 2 4 3 7 6 2" xfId="43107"/>
    <cellStyle name="Heading 2 2 4 3 7 6 2 2" xfId="43108"/>
    <cellStyle name="Heading 2 2 4 3 7 6 3" xfId="43109"/>
    <cellStyle name="Heading 2 2 4 3 7 7" xfId="43110"/>
    <cellStyle name="Heading 2 2 4 3 7 7 2" xfId="43111"/>
    <cellStyle name="Heading 2 2 4 3 7 7 2 2" xfId="43112"/>
    <cellStyle name="Heading 2 2 4 3 7 7 3" xfId="43113"/>
    <cellStyle name="Heading 2 2 4 3 7 8" xfId="43114"/>
    <cellStyle name="Heading 2 2 4 3 7 8 2" xfId="43115"/>
    <cellStyle name="Heading 2 2 4 3 7 9" xfId="43116"/>
    <cellStyle name="Heading 2 2 4 3 8" xfId="43117"/>
    <cellStyle name="Heading 2 2 4 3 8 2" xfId="43118"/>
    <cellStyle name="Heading 2 2 4 3 8 2 2" xfId="43119"/>
    <cellStyle name="Heading 2 2 4 3 8 2 2 2" xfId="43120"/>
    <cellStyle name="Heading 2 2 4 3 8 2 3" xfId="43121"/>
    <cellStyle name="Heading 2 2 4 3 8 3" xfId="43122"/>
    <cellStyle name="Heading 2 2 4 3 8 3 2" xfId="43123"/>
    <cellStyle name="Heading 2 2 4 3 8 3 2 2" xfId="43124"/>
    <cellStyle name="Heading 2 2 4 3 8 3 3" xfId="43125"/>
    <cellStyle name="Heading 2 2 4 3 8 4" xfId="43126"/>
    <cellStyle name="Heading 2 2 4 3 8 4 2" xfId="43127"/>
    <cellStyle name="Heading 2 2 4 3 8 4 2 2" xfId="43128"/>
    <cellStyle name="Heading 2 2 4 3 8 4 3" xfId="43129"/>
    <cellStyle name="Heading 2 2 4 3 8 5" xfId="43130"/>
    <cellStyle name="Heading 2 2 4 3 8 5 2" xfId="43131"/>
    <cellStyle name="Heading 2 2 4 3 8 5 2 2" xfId="43132"/>
    <cellStyle name="Heading 2 2 4 3 8 5 3" xfId="43133"/>
    <cellStyle name="Heading 2 2 4 3 8 6" xfId="43134"/>
    <cellStyle name="Heading 2 2 4 3 8 6 2" xfId="43135"/>
    <cellStyle name="Heading 2 2 4 3 8 6 2 2" xfId="43136"/>
    <cellStyle name="Heading 2 2 4 3 8 6 3" xfId="43137"/>
    <cellStyle name="Heading 2 2 4 3 8 7" xfId="43138"/>
    <cellStyle name="Heading 2 2 4 3 8 7 2" xfId="43139"/>
    <cellStyle name="Heading 2 2 4 3 8 7 2 2" xfId="43140"/>
    <cellStyle name="Heading 2 2 4 3 8 7 3" xfId="43141"/>
    <cellStyle name="Heading 2 2 4 3 8 8" xfId="43142"/>
    <cellStyle name="Heading 2 2 4 3 8 8 2" xfId="43143"/>
    <cellStyle name="Heading 2 2 4 3 8 9" xfId="43144"/>
    <cellStyle name="Heading 2 2 4 3 9" xfId="43145"/>
    <cellStyle name="Heading 2 2 4 3 9 2" xfId="43146"/>
    <cellStyle name="Heading 2 2 4 3 9 2 2" xfId="43147"/>
    <cellStyle name="Heading 2 2 4 3 9 2 2 2" xfId="43148"/>
    <cellStyle name="Heading 2 2 4 3 9 2 3" xfId="43149"/>
    <cellStyle name="Heading 2 2 4 3 9 3" xfId="43150"/>
    <cellStyle name="Heading 2 2 4 3 9 3 2" xfId="43151"/>
    <cellStyle name="Heading 2 2 4 3 9 3 2 2" xfId="43152"/>
    <cellStyle name="Heading 2 2 4 3 9 3 3" xfId="43153"/>
    <cellStyle name="Heading 2 2 4 3 9 4" xfId="43154"/>
    <cellStyle name="Heading 2 2 4 3 9 4 2" xfId="43155"/>
    <cellStyle name="Heading 2 2 4 3 9 4 2 2" xfId="43156"/>
    <cellStyle name="Heading 2 2 4 3 9 4 3" xfId="43157"/>
    <cellStyle name="Heading 2 2 4 3 9 5" xfId="43158"/>
    <cellStyle name="Heading 2 2 4 3 9 5 2" xfId="43159"/>
    <cellStyle name="Heading 2 2 4 3 9 5 2 2" xfId="43160"/>
    <cellStyle name="Heading 2 2 4 3 9 5 3" xfId="43161"/>
    <cellStyle name="Heading 2 2 4 3 9 6" xfId="43162"/>
    <cellStyle name="Heading 2 2 4 3 9 6 2" xfId="43163"/>
    <cellStyle name="Heading 2 2 4 3 9 6 2 2" xfId="43164"/>
    <cellStyle name="Heading 2 2 4 3 9 6 3" xfId="43165"/>
    <cellStyle name="Heading 2 2 4 3 9 7" xfId="43166"/>
    <cellStyle name="Heading 2 2 4 3 9 7 2" xfId="43167"/>
    <cellStyle name="Heading 2 2 4 3 9 7 2 2" xfId="43168"/>
    <cellStyle name="Heading 2 2 4 3 9 7 3" xfId="43169"/>
    <cellStyle name="Heading 2 2 4 3 9 8" xfId="43170"/>
    <cellStyle name="Heading 2 2 4 3 9 8 2" xfId="43171"/>
    <cellStyle name="Heading 2 2 4 3 9 9" xfId="43172"/>
    <cellStyle name="Heading 2 2 4 4" xfId="43173"/>
    <cellStyle name="Heading 2 2 4 4 10" xfId="43174"/>
    <cellStyle name="Heading 2 2 4 4 10 2" xfId="43175"/>
    <cellStyle name="Heading 2 2 4 4 10 2 2" xfId="43176"/>
    <cellStyle name="Heading 2 2 4 4 10 3" xfId="43177"/>
    <cellStyle name="Heading 2 2 4 4 11" xfId="43178"/>
    <cellStyle name="Heading 2 2 4 4 11 2" xfId="43179"/>
    <cellStyle name="Heading 2 2 4 4 11 2 2" xfId="43180"/>
    <cellStyle name="Heading 2 2 4 4 11 3" xfId="43181"/>
    <cellStyle name="Heading 2 2 4 4 12" xfId="43182"/>
    <cellStyle name="Heading 2 2 4 4 12 2" xfId="43183"/>
    <cellStyle name="Heading 2 2 4 4 12 2 2" xfId="43184"/>
    <cellStyle name="Heading 2 2 4 4 12 3" xfId="43185"/>
    <cellStyle name="Heading 2 2 4 4 13" xfId="43186"/>
    <cellStyle name="Heading 2 2 4 4 13 2" xfId="43187"/>
    <cellStyle name="Heading 2 2 4 4 13 2 2" xfId="43188"/>
    <cellStyle name="Heading 2 2 4 4 13 3" xfId="43189"/>
    <cellStyle name="Heading 2 2 4 4 14" xfId="43190"/>
    <cellStyle name="Heading 2 2 4 4 14 2" xfId="43191"/>
    <cellStyle name="Heading 2 2 4 4 14 2 2" xfId="43192"/>
    <cellStyle name="Heading 2 2 4 4 14 3" xfId="43193"/>
    <cellStyle name="Heading 2 2 4 4 15" xfId="43194"/>
    <cellStyle name="Heading 2 2 4 4 15 2" xfId="43195"/>
    <cellStyle name="Heading 2 2 4 4 15 2 2" xfId="43196"/>
    <cellStyle name="Heading 2 2 4 4 15 3" xfId="43197"/>
    <cellStyle name="Heading 2 2 4 4 16" xfId="43198"/>
    <cellStyle name="Heading 2 2 4 4 16 2" xfId="43199"/>
    <cellStyle name="Heading 2 2 4 4 16 2 2" xfId="43200"/>
    <cellStyle name="Heading 2 2 4 4 16 3" xfId="43201"/>
    <cellStyle name="Heading 2 2 4 4 17" xfId="43202"/>
    <cellStyle name="Heading 2 2 4 4 17 2" xfId="43203"/>
    <cellStyle name="Heading 2 2 4 4 17 2 2" xfId="43204"/>
    <cellStyle name="Heading 2 2 4 4 17 3" xfId="43205"/>
    <cellStyle name="Heading 2 2 4 4 18" xfId="43206"/>
    <cellStyle name="Heading 2 2 4 4 18 2" xfId="43207"/>
    <cellStyle name="Heading 2 2 4 4 18 2 2" xfId="43208"/>
    <cellStyle name="Heading 2 2 4 4 18 3" xfId="43209"/>
    <cellStyle name="Heading 2 2 4 4 19" xfId="43210"/>
    <cellStyle name="Heading 2 2 4 4 19 2" xfId="43211"/>
    <cellStyle name="Heading 2 2 4 4 2" xfId="43212"/>
    <cellStyle name="Heading 2 2 4 4 2 2" xfId="43213"/>
    <cellStyle name="Heading 2 2 4 4 2 2 2" xfId="43214"/>
    <cellStyle name="Heading 2 2 4 4 2 2 2 2" xfId="43215"/>
    <cellStyle name="Heading 2 2 4 4 2 2 3" xfId="43216"/>
    <cellStyle name="Heading 2 2 4 4 2 3" xfId="43217"/>
    <cellStyle name="Heading 2 2 4 4 2 3 2" xfId="43218"/>
    <cellStyle name="Heading 2 2 4 4 2 3 2 2" xfId="43219"/>
    <cellStyle name="Heading 2 2 4 4 2 3 3" xfId="43220"/>
    <cellStyle name="Heading 2 2 4 4 2 4" xfId="43221"/>
    <cellStyle name="Heading 2 2 4 4 2 4 2" xfId="43222"/>
    <cellStyle name="Heading 2 2 4 4 2 4 2 2" xfId="43223"/>
    <cellStyle name="Heading 2 2 4 4 2 4 3" xfId="43224"/>
    <cellStyle name="Heading 2 2 4 4 2 5" xfId="43225"/>
    <cellStyle name="Heading 2 2 4 4 2 5 2" xfId="43226"/>
    <cellStyle name="Heading 2 2 4 4 2 5 2 2" xfId="43227"/>
    <cellStyle name="Heading 2 2 4 4 2 5 3" xfId="43228"/>
    <cellStyle name="Heading 2 2 4 4 2 6" xfId="43229"/>
    <cellStyle name="Heading 2 2 4 4 2 6 2" xfId="43230"/>
    <cellStyle name="Heading 2 2 4 4 2 6 2 2" xfId="43231"/>
    <cellStyle name="Heading 2 2 4 4 2 6 3" xfId="43232"/>
    <cellStyle name="Heading 2 2 4 4 2 7" xfId="43233"/>
    <cellStyle name="Heading 2 2 4 4 2 7 2" xfId="43234"/>
    <cellStyle name="Heading 2 2 4 4 2 7 2 2" xfId="43235"/>
    <cellStyle name="Heading 2 2 4 4 2 7 3" xfId="43236"/>
    <cellStyle name="Heading 2 2 4 4 2 8" xfId="43237"/>
    <cellStyle name="Heading 2 2 4 4 2 8 2" xfId="43238"/>
    <cellStyle name="Heading 2 2 4 4 2 9" xfId="43239"/>
    <cellStyle name="Heading 2 2 4 4 20" xfId="43240"/>
    <cellStyle name="Heading 2 2 4 4 20 2" xfId="43241"/>
    <cellStyle name="Heading 2 2 4 4 21" xfId="43242"/>
    <cellStyle name="Heading 2 2 4 4 21 2" xfId="43243"/>
    <cellStyle name="Heading 2 2 4 4 22" xfId="43244"/>
    <cellStyle name="Heading 2 2 4 4 3" xfId="43245"/>
    <cellStyle name="Heading 2 2 4 4 3 2" xfId="43246"/>
    <cellStyle name="Heading 2 2 4 4 3 2 2" xfId="43247"/>
    <cellStyle name="Heading 2 2 4 4 3 2 2 2" xfId="43248"/>
    <cellStyle name="Heading 2 2 4 4 3 2 3" xfId="43249"/>
    <cellStyle name="Heading 2 2 4 4 3 3" xfId="43250"/>
    <cellStyle name="Heading 2 2 4 4 3 3 2" xfId="43251"/>
    <cellStyle name="Heading 2 2 4 4 3 3 2 2" xfId="43252"/>
    <cellStyle name="Heading 2 2 4 4 3 3 3" xfId="43253"/>
    <cellStyle name="Heading 2 2 4 4 3 4" xfId="43254"/>
    <cellStyle name="Heading 2 2 4 4 3 4 2" xfId="43255"/>
    <cellStyle name="Heading 2 2 4 4 3 4 2 2" xfId="43256"/>
    <cellStyle name="Heading 2 2 4 4 3 4 3" xfId="43257"/>
    <cellStyle name="Heading 2 2 4 4 3 5" xfId="43258"/>
    <cellStyle name="Heading 2 2 4 4 3 5 2" xfId="43259"/>
    <cellStyle name="Heading 2 2 4 4 3 5 2 2" xfId="43260"/>
    <cellStyle name="Heading 2 2 4 4 3 5 3" xfId="43261"/>
    <cellStyle name="Heading 2 2 4 4 3 6" xfId="43262"/>
    <cellStyle name="Heading 2 2 4 4 3 6 2" xfId="43263"/>
    <cellStyle name="Heading 2 2 4 4 3 6 2 2" xfId="43264"/>
    <cellStyle name="Heading 2 2 4 4 3 6 3" xfId="43265"/>
    <cellStyle name="Heading 2 2 4 4 3 7" xfId="43266"/>
    <cellStyle name="Heading 2 2 4 4 3 7 2" xfId="43267"/>
    <cellStyle name="Heading 2 2 4 4 3 7 2 2" xfId="43268"/>
    <cellStyle name="Heading 2 2 4 4 3 7 3" xfId="43269"/>
    <cellStyle name="Heading 2 2 4 4 3 8" xfId="43270"/>
    <cellStyle name="Heading 2 2 4 4 3 8 2" xfId="43271"/>
    <cellStyle name="Heading 2 2 4 4 3 9" xfId="43272"/>
    <cellStyle name="Heading 2 2 4 4 4" xfId="43273"/>
    <cellStyle name="Heading 2 2 4 4 4 2" xfId="43274"/>
    <cellStyle name="Heading 2 2 4 4 4 2 2" xfId="43275"/>
    <cellStyle name="Heading 2 2 4 4 4 2 2 2" xfId="43276"/>
    <cellStyle name="Heading 2 2 4 4 4 2 3" xfId="43277"/>
    <cellStyle name="Heading 2 2 4 4 4 3" xfId="43278"/>
    <cellStyle name="Heading 2 2 4 4 4 3 2" xfId="43279"/>
    <cellStyle name="Heading 2 2 4 4 4 3 2 2" xfId="43280"/>
    <cellStyle name="Heading 2 2 4 4 4 3 3" xfId="43281"/>
    <cellStyle name="Heading 2 2 4 4 4 4" xfId="43282"/>
    <cellStyle name="Heading 2 2 4 4 4 4 2" xfId="43283"/>
    <cellStyle name="Heading 2 2 4 4 4 4 2 2" xfId="43284"/>
    <cellStyle name="Heading 2 2 4 4 4 4 3" xfId="43285"/>
    <cellStyle name="Heading 2 2 4 4 4 5" xfId="43286"/>
    <cellStyle name="Heading 2 2 4 4 4 5 2" xfId="43287"/>
    <cellStyle name="Heading 2 2 4 4 4 5 2 2" xfId="43288"/>
    <cellStyle name="Heading 2 2 4 4 4 5 3" xfId="43289"/>
    <cellStyle name="Heading 2 2 4 4 4 6" xfId="43290"/>
    <cellStyle name="Heading 2 2 4 4 4 6 2" xfId="43291"/>
    <cellStyle name="Heading 2 2 4 4 4 6 2 2" xfId="43292"/>
    <cellStyle name="Heading 2 2 4 4 4 6 3" xfId="43293"/>
    <cellStyle name="Heading 2 2 4 4 4 7" xfId="43294"/>
    <cellStyle name="Heading 2 2 4 4 4 7 2" xfId="43295"/>
    <cellStyle name="Heading 2 2 4 4 4 7 2 2" xfId="43296"/>
    <cellStyle name="Heading 2 2 4 4 4 7 3" xfId="43297"/>
    <cellStyle name="Heading 2 2 4 4 4 8" xfId="43298"/>
    <cellStyle name="Heading 2 2 4 4 4 8 2" xfId="43299"/>
    <cellStyle name="Heading 2 2 4 4 4 9" xfId="43300"/>
    <cellStyle name="Heading 2 2 4 4 5" xfId="43301"/>
    <cellStyle name="Heading 2 2 4 4 5 2" xfId="43302"/>
    <cellStyle name="Heading 2 2 4 4 5 2 2" xfId="43303"/>
    <cellStyle name="Heading 2 2 4 4 5 2 2 2" xfId="43304"/>
    <cellStyle name="Heading 2 2 4 4 5 2 3" xfId="43305"/>
    <cellStyle name="Heading 2 2 4 4 5 3" xfId="43306"/>
    <cellStyle name="Heading 2 2 4 4 5 3 2" xfId="43307"/>
    <cellStyle name="Heading 2 2 4 4 5 3 2 2" xfId="43308"/>
    <cellStyle name="Heading 2 2 4 4 5 3 3" xfId="43309"/>
    <cellStyle name="Heading 2 2 4 4 5 4" xfId="43310"/>
    <cellStyle name="Heading 2 2 4 4 5 4 2" xfId="43311"/>
    <cellStyle name="Heading 2 2 4 4 5 4 2 2" xfId="43312"/>
    <cellStyle name="Heading 2 2 4 4 5 4 3" xfId="43313"/>
    <cellStyle name="Heading 2 2 4 4 5 5" xfId="43314"/>
    <cellStyle name="Heading 2 2 4 4 5 5 2" xfId="43315"/>
    <cellStyle name="Heading 2 2 4 4 5 5 2 2" xfId="43316"/>
    <cellStyle name="Heading 2 2 4 4 5 5 3" xfId="43317"/>
    <cellStyle name="Heading 2 2 4 4 5 6" xfId="43318"/>
    <cellStyle name="Heading 2 2 4 4 5 6 2" xfId="43319"/>
    <cellStyle name="Heading 2 2 4 4 5 6 2 2" xfId="43320"/>
    <cellStyle name="Heading 2 2 4 4 5 6 3" xfId="43321"/>
    <cellStyle name="Heading 2 2 4 4 5 7" xfId="43322"/>
    <cellStyle name="Heading 2 2 4 4 5 7 2" xfId="43323"/>
    <cellStyle name="Heading 2 2 4 4 5 7 2 2" xfId="43324"/>
    <cellStyle name="Heading 2 2 4 4 5 7 3" xfId="43325"/>
    <cellStyle name="Heading 2 2 4 4 5 8" xfId="43326"/>
    <cellStyle name="Heading 2 2 4 4 5 8 2" xfId="43327"/>
    <cellStyle name="Heading 2 2 4 4 5 9" xfId="43328"/>
    <cellStyle name="Heading 2 2 4 4 6" xfId="43329"/>
    <cellStyle name="Heading 2 2 4 4 6 2" xfId="43330"/>
    <cellStyle name="Heading 2 2 4 4 6 2 2" xfId="43331"/>
    <cellStyle name="Heading 2 2 4 4 6 2 2 2" xfId="43332"/>
    <cellStyle name="Heading 2 2 4 4 6 2 3" xfId="43333"/>
    <cellStyle name="Heading 2 2 4 4 6 3" xfId="43334"/>
    <cellStyle name="Heading 2 2 4 4 6 3 2" xfId="43335"/>
    <cellStyle name="Heading 2 2 4 4 6 3 2 2" xfId="43336"/>
    <cellStyle name="Heading 2 2 4 4 6 3 3" xfId="43337"/>
    <cellStyle name="Heading 2 2 4 4 6 4" xfId="43338"/>
    <cellStyle name="Heading 2 2 4 4 6 4 2" xfId="43339"/>
    <cellStyle name="Heading 2 2 4 4 6 4 2 2" xfId="43340"/>
    <cellStyle name="Heading 2 2 4 4 6 4 3" xfId="43341"/>
    <cellStyle name="Heading 2 2 4 4 6 5" xfId="43342"/>
    <cellStyle name="Heading 2 2 4 4 6 5 2" xfId="43343"/>
    <cellStyle name="Heading 2 2 4 4 6 5 2 2" xfId="43344"/>
    <cellStyle name="Heading 2 2 4 4 6 5 3" xfId="43345"/>
    <cellStyle name="Heading 2 2 4 4 6 6" xfId="43346"/>
    <cellStyle name="Heading 2 2 4 4 6 6 2" xfId="43347"/>
    <cellStyle name="Heading 2 2 4 4 6 6 2 2" xfId="43348"/>
    <cellStyle name="Heading 2 2 4 4 6 6 3" xfId="43349"/>
    <cellStyle name="Heading 2 2 4 4 6 7" xfId="43350"/>
    <cellStyle name="Heading 2 2 4 4 6 7 2" xfId="43351"/>
    <cellStyle name="Heading 2 2 4 4 6 7 2 2" xfId="43352"/>
    <cellStyle name="Heading 2 2 4 4 6 7 3" xfId="43353"/>
    <cellStyle name="Heading 2 2 4 4 6 8" xfId="43354"/>
    <cellStyle name="Heading 2 2 4 4 6 8 2" xfId="43355"/>
    <cellStyle name="Heading 2 2 4 4 6 9" xfId="43356"/>
    <cellStyle name="Heading 2 2 4 4 7" xfId="43357"/>
    <cellStyle name="Heading 2 2 4 4 7 2" xfId="43358"/>
    <cellStyle name="Heading 2 2 4 4 7 2 2" xfId="43359"/>
    <cellStyle name="Heading 2 2 4 4 7 2 2 2" xfId="43360"/>
    <cellStyle name="Heading 2 2 4 4 7 2 3" xfId="43361"/>
    <cellStyle name="Heading 2 2 4 4 7 3" xfId="43362"/>
    <cellStyle name="Heading 2 2 4 4 7 3 2" xfId="43363"/>
    <cellStyle name="Heading 2 2 4 4 7 3 2 2" xfId="43364"/>
    <cellStyle name="Heading 2 2 4 4 7 3 3" xfId="43365"/>
    <cellStyle name="Heading 2 2 4 4 7 4" xfId="43366"/>
    <cellStyle name="Heading 2 2 4 4 7 4 2" xfId="43367"/>
    <cellStyle name="Heading 2 2 4 4 7 4 2 2" xfId="43368"/>
    <cellStyle name="Heading 2 2 4 4 7 4 3" xfId="43369"/>
    <cellStyle name="Heading 2 2 4 4 7 5" xfId="43370"/>
    <cellStyle name="Heading 2 2 4 4 7 5 2" xfId="43371"/>
    <cellStyle name="Heading 2 2 4 4 7 5 2 2" xfId="43372"/>
    <cellStyle name="Heading 2 2 4 4 7 5 3" xfId="43373"/>
    <cellStyle name="Heading 2 2 4 4 7 6" xfId="43374"/>
    <cellStyle name="Heading 2 2 4 4 7 6 2" xfId="43375"/>
    <cellStyle name="Heading 2 2 4 4 7 6 2 2" xfId="43376"/>
    <cellStyle name="Heading 2 2 4 4 7 6 3" xfId="43377"/>
    <cellStyle name="Heading 2 2 4 4 7 7" xfId="43378"/>
    <cellStyle name="Heading 2 2 4 4 7 7 2" xfId="43379"/>
    <cellStyle name="Heading 2 2 4 4 7 7 2 2" xfId="43380"/>
    <cellStyle name="Heading 2 2 4 4 7 7 3" xfId="43381"/>
    <cellStyle name="Heading 2 2 4 4 7 8" xfId="43382"/>
    <cellStyle name="Heading 2 2 4 4 7 8 2" xfId="43383"/>
    <cellStyle name="Heading 2 2 4 4 7 9" xfId="43384"/>
    <cellStyle name="Heading 2 2 4 4 8" xfId="43385"/>
    <cellStyle name="Heading 2 2 4 4 8 2" xfId="43386"/>
    <cellStyle name="Heading 2 2 4 4 8 2 2" xfId="43387"/>
    <cellStyle name="Heading 2 2 4 4 8 2 2 2" xfId="43388"/>
    <cellStyle name="Heading 2 2 4 4 8 2 3" xfId="43389"/>
    <cellStyle name="Heading 2 2 4 4 8 3" xfId="43390"/>
    <cellStyle name="Heading 2 2 4 4 8 3 2" xfId="43391"/>
    <cellStyle name="Heading 2 2 4 4 8 3 2 2" xfId="43392"/>
    <cellStyle name="Heading 2 2 4 4 8 3 3" xfId="43393"/>
    <cellStyle name="Heading 2 2 4 4 8 4" xfId="43394"/>
    <cellStyle name="Heading 2 2 4 4 8 4 2" xfId="43395"/>
    <cellStyle name="Heading 2 2 4 4 8 4 2 2" xfId="43396"/>
    <cellStyle name="Heading 2 2 4 4 8 4 3" xfId="43397"/>
    <cellStyle name="Heading 2 2 4 4 8 5" xfId="43398"/>
    <cellStyle name="Heading 2 2 4 4 8 5 2" xfId="43399"/>
    <cellStyle name="Heading 2 2 4 4 8 5 2 2" xfId="43400"/>
    <cellStyle name="Heading 2 2 4 4 8 5 3" xfId="43401"/>
    <cellStyle name="Heading 2 2 4 4 8 6" xfId="43402"/>
    <cellStyle name="Heading 2 2 4 4 8 6 2" xfId="43403"/>
    <cellStyle name="Heading 2 2 4 4 8 6 2 2" xfId="43404"/>
    <cellStyle name="Heading 2 2 4 4 8 6 3" xfId="43405"/>
    <cellStyle name="Heading 2 2 4 4 8 7" xfId="43406"/>
    <cellStyle name="Heading 2 2 4 4 8 7 2" xfId="43407"/>
    <cellStyle name="Heading 2 2 4 4 8 7 2 2" xfId="43408"/>
    <cellStyle name="Heading 2 2 4 4 8 7 3" xfId="43409"/>
    <cellStyle name="Heading 2 2 4 4 8 8" xfId="43410"/>
    <cellStyle name="Heading 2 2 4 4 8 8 2" xfId="43411"/>
    <cellStyle name="Heading 2 2 4 4 8 9" xfId="43412"/>
    <cellStyle name="Heading 2 2 4 4 9" xfId="43413"/>
    <cellStyle name="Heading 2 2 4 4 9 2" xfId="43414"/>
    <cellStyle name="Heading 2 2 4 4 9 2 2" xfId="43415"/>
    <cellStyle name="Heading 2 2 4 4 9 3" xfId="43416"/>
    <cellStyle name="Heading 2 2 4 5" xfId="43417"/>
    <cellStyle name="Heading 2 2 4 5 2" xfId="43418"/>
    <cellStyle name="Heading 2 2 4 5 2 2" xfId="43419"/>
    <cellStyle name="Heading 2 2 4 5 3" xfId="43420"/>
    <cellStyle name="Heading 2 2 4 6" xfId="43421"/>
    <cellStyle name="Heading 2 2 4 6 2" xfId="43422"/>
    <cellStyle name="Heading 2 2 4 7" xfId="43423"/>
    <cellStyle name="Heading 2 2 5" xfId="43424"/>
    <cellStyle name="Heading 2 2 5 2" xfId="43425"/>
    <cellStyle name="Heading 2 2 5 2 10" xfId="43426"/>
    <cellStyle name="Heading 2 2 5 2 10 2" xfId="43427"/>
    <cellStyle name="Heading 2 2 5 2 10 2 2" xfId="43428"/>
    <cellStyle name="Heading 2 2 5 2 10 3" xfId="43429"/>
    <cellStyle name="Heading 2 2 5 2 11" xfId="43430"/>
    <cellStyle name="Heading 2 2 5 2 11 2" xfId="43431"/>
    <cellStyle name="Heading 2 2 5 2 11 2 2" xfId="43432"/>
    <cellStyle name="Heading 2 2 5 2 11 3" xfId="43433"/>
    <cellStyle name="Heading 2 2 5 2 12" xfId="43434"/>
    <cellStyle name="Heading 2 2 5 2 12 2" xfId="43435"/>
    <cellStyle name="Heading 2 2 5 2 12 2 2" xfId="43436"/>
    <cellStyle name="Heading 2 2 5 2 12 3" xfId="43437"/>
    <cellStyle name="Heading 2 2 5 2 13" xfId="43438"/>
    <cellStyle name="Heading 2 2 5 2 13 2" xfId="43439"/>
    <cellStyle name="Heading 2 2 5 2 13 2 2" xfId="43440"/>
    <cellStyle name="Heading 2 2 5 2 13 3" xfId="43441"/>
    <cellStyle name="Heading 2 2 5 2 14" xfId="43442"/>
    <cellStyle name="Heading 2 2 5 2 14 2" xfId="43443"/>
    <cellStyle name="Heading 2 2 5 2 14 2 2" xfId="43444"/>
    <cellStyle name="Heading 2 2 5 2 14 3" xfId="43445"/>
    <cellStyle name="Heading 2 2 5 2 15" xfId="43446"/>
    <cellStyle name="Heading 2 2 5 2 15 2" xfId="43447"/>
    <cellStyle name="Heading 2 2 5 2 15 2 2" xfId="43448"/>
    <cellStyle name="Heading 2 2 5 2 15 3" xfId="43449"/>
    <cellStyle name="Heading 2 2 5 2 16" xfId="43450"/>
    <cellStyle name="Heading 2 2 5 2 16 2" xfId="43451"/>
    <cellStyle name="Heading 2 2 5 2 16 2 2" xfId="43452"/>
    <cellStyle name="Heading 2 2 5 2 16 3" xfId="43453"/>
    <cellStyle name="Heading 2 2 5 2 17" xfId="43454"/>
    <cellStyle name="Heading 2 2 5 2 17 2" xfId="43455"/>
    <cellStyle name="Heading 2 2 5 2 17 2 2" xfId="43456"/>
    <cellStyle name="Heading 2 2 5 2 17 3" xfId="43457"/>
    <cellStyle name="Heading 2 2 5 2 18" xfId="43458"/>
    <cellStyle name="Heading 2 2 5 2 18 2" xfId="43459"/>
    <cellStyle name="Heading 2 2 5 2 18 2 2" xfId="43460"/>
    <cellStyle name="Heading 2 2 5 2 18 3" xfId="43461"/>
    <cellStyle name="Heading 2 2 5 2 19" xfId="43462"/>
    <cellStyle name="Heading 2 2 5 2 19 2" xfId="43463"/>
    <cellStyle name="Heading 2 2 5 2 19 2 2" xfId="43464"/>
    <cellStyle name="Heading 2 2 5 2 19 3" xfId="43465"/>
    <cellStyle name="Heading 2 2 5 2 2" xfId="43466"/>
    <cellStyle name="Heading 2 2 5 2 2 10" xfId="43467"/>
    <cellStyle name="Heading 2 2 5 2 2 10 2" xfId="43468"/>
    <cellStyle name="Heading 2 2 5 2 2 10 2 2" xfId="43469"/>
    <cellStyle name="Heading 2 2 5 2 2 10 3" xfId="43470"/>
    <cellStyle name="Heading 2 2 5 2 2 11" xfId="43471"/>
    <cellStyle name="Heading 2 2 5 2 2 11 2" xfId="43472"/>
    <cellStyle name="Heading 2 2 5 2 2 11 2 2" xfId="43473"/>
    <cellStyle name="Heading 2 2 5 2 2 11 3" xfId="43474"/>
    <cellStyle name="Heading 2 2 5 2 2 12" xfId="43475"/>
    <cellStyle name="Heading 2 2 5 2 2 12 2" xfId="43476"/>
    <cellStyle name="Heading 2 2 5 2 2 12 2 2" xfId="43477"/>
    <cellStyle name="Heading 2 2 5 2 2 12 3" xfId="43478"/>
    <cellStyle name="Heading 2 2 5 2 2 13" xfId="43479"/>
    <cellStyle name="Heading 2 2 5 2 2 13 2" xfId="43480"/>
    <cellStyle name="Heading 2 2 5 2 2 13 2 2" xfId="43481"/>
    <cellStyle name="Heading 2 2 5 2 2 13 3" xfId="43482"/>
    <cellStyle name="Heading 2 2 5 2 2 14" xfId="43483"/>
    <cellStyle name="Heading 2 2 5 2 2 14 2" xfId="43484"/>
    <cellStyle name="Heading 2 2 5 2 2 14 2 2" xfId="43485"/>
    <cellStyle name="Heading 2 2 5 2 2 14 3" xfId="43486"/>
    <cellStyle name="Heading 2 2 5 2 2 15" xfId="43487"/>
    <cellStyle name="Heading 2 2 5 2 2 15 2" xfId="43488"/>
    <cellStyle name="Heading 2 2 5 2 2 15 2 2" xfId="43489"/>
    <cellStyle name="Heading 2 2 5 2 2 15 3" xfId="43490"/>
    <cellStyle name="Heading 2 2 5 2 2 16" xfId="43491"/>
    <cellStyle name="Heading 2 2 5 2 2 16 2" xfId="43492"/>
    <cellStyle name="Heading 2 2 5 2 2 16 2 2" xfId="43493"/>
    <cellStyle name="Heading 2 2 5 2 2 16 3" xfId="43494"/>
    <cellStyle name="Heading 2 2 5 2 2 17" xfId="43495"/>
    <cellStyle name="Heading 2 2 5 2 2 17 2" xfId="43496"/>
    <cellStyle name="Heading 2 2 5 2 2 17 2 2" xfId="43497"/>
    <cellStyle name="Heading 2 2 5 2 2 17 3" xfId="43498"/>
    <cellStyle name="Heading 2 2 5 2 2 18" xfId="43499"/>
    <cellStyle name="Heading 2 2 5 2 2 18 2" xfId="43500"/>
    <cellStyle name="Heading 2 2 5 2 2 18 2 2" xfId="43501"/>
    <cellStyle name="Heading 2 2 5 2 2 18 3" xfId="43502"/>
    <cellStyle name="Heading 2 2 5 2 2 19" xfId="43503"/>
    <cellStyle name="Heading 2 2 5 2 2 19 2" xfId="43504"/>
    <cellStyle name="Heading 2 2 5 2 2 2" xfId="43505"/>
    <cellStyle name="Heading 2 2 5 2 2 2 2" xfId="43506"/>
    <cellStyle name="Heading 2 2 5 2 2 2 2 2" xfId="43507"/>
    <cellStyle name="Heading 2 2 5 2 2 2 2 2 2" xfId="43508"/>
    <cellStyle name="Heading 2 2 5 2 2 2 2 3" xfId="43509"/>
    <cellStyle name="Heading 2 2 5 2 2 2 3" xfId="43510"/>
    <cellStyle name="Heading 2 2 5 2 2 2 3 2" xfId="43511"/>
    <cellStyle name="Heading 2 2 5 2 2 2 3 2 2" xfId="43512"/>
    <cellStyle name="Heading 2 2 5 2 2 2 3 3" xfId="43513"/>
    <cellStyle name="Heading 2 2 5 2 2 2 4" xfId="43514"/>
    <cellStyle name="Heading 2 2 5 2 2 2 4 2" xfId="43515"/>
    <cellStyle name="Heading 2 2 5 2 2 2 4 2 2" xfId="43516"/>
    <cellStyle name="Heading 2 2 5 2 2 2 4 3" xfId="43517"/>
    <cellStyle name="Heading 2 2 5 2 2 2 5" xfId="43518"/>
    <cellStyle name="Heading 2 2 5 2 2 2 5 2" xfId="43519"/>
    <cellStyle name="Heading 2 2 5 2 2 2 5 2 2" xfId="43520"/>
    <cellStyle name="Heading 2 2 5 2 2 2 5 3" xfId="43521"/>
    <cellStyle name="Heading 2 2 5 2 2 2 6" xfId="43522"/>
    <cellStyle name="Heading 2 2 5 2 2 2 6 2" xfId="43523"/>
    <cellStyle name="Heading 2 2 5 2 2 2 6 2 2" xfId="43524"/>
    <cellStyle name="Heading 2 2 5 2 2 2 6 3" xfId="43525"/>
    <cellStyle name="Heading 2 2 5 2 2 2 7" xfId="43526"/>
    <cellStyle name="Heading 2 2 5 2 2 2 7 2" xfId="43527"/>
    <cellStyle name="Heading 2 2 5 2 2 2 7 2 2" xfId="43528"/>
    <cellStyle name="Heading 2 2 5 2 2 2 7 3" xfId="43529"/>
    <cellStyle name="Heading 2 2 5 2 2 2 8" xfId="43530"/>
    <cellStyle name="Heading 2 2 5 2 2 2 8 2" xfId="43531"/>
    <cellStyle name="Heading 2 2 5 2 2 2 9" xfId="43532"/>
    <cellStyle name="Heading 2 2 5 2 2 20" xfId="43533"/>
    <cellStyle name="Heading 2 2 5 2 2 20 2" xfId="43534"/>
    <cellStyle name="Heading 2 2 5 2 2 21" xfId="43535"/>
    <cellStyle name="Heading 2 2 5 2 2 21 2" xfId="43536"/>
    <cellStyle name="Heading 2 2 5 2 2 22" xfId="43537"/>
    <cellStyle name="Heading 2 2 5 2 2 3" xfId="43538"/>
    <cellStyle name="Heading 2 2 5 2 2 3 2" xfId="43539"/>
    <cellStyle name="Heading 2 2 5 2 2 3 2 2" xfId="43540"/>
    <cellStyle name="Heading 2 2 5 2 2 3 2 2 2" xfId="43541"/>
    <cellStyle name="Heading 2 2 5 2 2 3 2 3" xfId="43542"/>
    <cellStyle name="Heading 2 2 5 2 2 3 3" xfId="43543"/>
    <cellStyle name="Heading 2 2 5 2 2 3 3 2" xfId="43544"/>
    <cellStyle name="Heading 2 2 5 2 2 3 3 2 2" xfId="43545"/>
    <cellStyle name="Heading 2 2 5 2 2 3 3 3" xfId="43546"/>
    <cellStyle name="Heading 2 2 5 2 2 3 4" xfId="43547"/>
    <cellStyle name="Heading 2 2 5 2 2 3 4 2" xfId="43548"/>
    <cellStyle name="Heading 2 2 5 2 2 3 4 2 2" xfId="43549"/>
    <cellStyle name="Heading 2 2 5 2 2 3 4 3" xfId="43550"/>
    <cellStyle name="Heading 2 2 5 2 2 3 5" xfId="43551"/>
    <cellStyle name="Heading 2 2 5 2 2 3 5 2" xfId="43552"/>
    <cellStyle name="Heading 2 2 5 2 2 3 5 2 2" xfId="43553"/>
    <cellStyle name="Heading 2 2 5 2 2 3 5 3" xfId="43554"/>
    <cellStyle name="Heading 2 2 5 2 2 3 6" xfId="43555"/>
    <cellStyle name="Heading 2 2 5 2 2 3 6 2" xfId="43556"/>
    <cellStyle name="Heading 2 2 5 2 2 3 6 2 2" xfId="43557"/>
    <cellStyle name="Heading 2 2 5 2 2 3 6 3" xfId="43558"/>
    <cellStyle name="Heading 2 2 5 2 2 3 7" xfId="43559"/>
    <cellStyle name="Heading 2 2 5 2 2 3 7 2" xfId="43560"/>
    <cellStyle name="Heading 2 2 5 2 2 3 7 2 2" xfId="43561"/>
    <cellStyle name="Heading 2 2 5 2 2 3 7 3" xfId="43562"/>
    <cellStyle name="Heading 2 2 5 2 2 3 8" xfId="43563"/>
    <cellStyle name="Heading 2 2 5 2 2 3 8 2" xfId="43564"/>
    <cellStyle name="Heading 2 2 5 2 2 3 9" xfId="43565"/>
    <cellStyle name="Heading 2 2 5 2 2 4" xfId="43566"/>
    <cellStyle name="Heading 2 2 5 2 2 4 2" xfId="43567"/>
    <cellStyle name="Heading 2 2 5 2 2 4 2 2" xfId="43568"/>
    <cellStyle name="Heading 2 2 5 2 2 4 2 2 2" xfId="43569"/>
    <cellStyle name="Heading 2 2 5 2 2 4 2 3" xfId="43570"/>
    <cellStyle name="Heading 2 2 5 2 2 4 3" xfId="43571"/>
    <cellStyle name="Heading 2 2 5 2 2 4 3 2" xfId="43572"/>
    <cellStyle name="Heading 2 2 5 2 2 4 3 2 2" xfId="43573"/>
    <cellStyle name="Heading 2 2 5 2 2 4 3 3" xfId="43574"/>
    <cellStyle name="Heading 2 2 5 2 2 4 4" xfId="43575"/>
    <cellStyle name="Heading 2 2 5 2 2 4 4 2" xfId="43576"/>
    <cellStyle name="Heading 2 2 5 2 2 4 4 2 2" xfId="43577"/>
    <cellStyle name="Heading 2 2 5 2 2 4 4 3" xfId="43578"/>
    <cellStyle name="Heading 2 2 5 2 2 4 5" xfId="43579"/>
    <cellStyle name="Heading 2 2 5 2 2 4 5 2" xfId="43580"/>
    <cellStyle name="Heading 2 2 5 2 2 4 5 2 2" xfId="43581"/>
    <cellStyle name="Heading 2 2 5 2 2 4 5 3" xfId="43582"/>
    <cellStyle name="Heading 2 2 5 2 2 4 6" xfId="43583"/>
    <cellStyle name="Heading 2 2 5 2 2 4 6 2" xfId="43584"/>
    <cellStyle name="Heading 2 2 5 2 2 4 6 2 2" xfId="43585"/>
    <cellStyle name="Heading 2 2 5 2 2 4 6 3" xfId="43586"/>
    <cellStyle name="Heading 2 2 5 2 2 4 7" xfId="43587"/>
    <cellStyle name="Heading 2 2 5 2 2 4 7 2" xfId="43588"/>
    <cellStyle name="Heading 2 2 5 2 2 4 7 2 2" xfId="43589"/>
    <cellStyle name="Heading 2 2 5 2 2 4 7 3" xfId="43590"/>
    <cellStyle name="Heading 2 2 5 2 2 4 8" xfId="43591"/>
    <cellStyle name="Heading 2 2 5 2 2 4 8 2" xfId="43592"/>
    <cellStyle name="Heading 2 2 5 2 2 4 9" xfId="43593"/>
    <cellStyle name="Heading 2 2 5 2 2 5" xfId="43594"/>
    <cellStyle name="Heading 2 2 5 2 2 5 2" xfId="43595"/>
    <cellStyle name="Heading 2 2 5 2 2 5 2 2" xfId="43596"/>
    <cellStyle name="Heading 2 2 5 2 2 5 2 2 2" xfId="43597"/>
    <cellStyle name="Heading 2 2 5 2 2 5 2 3" xfId="43598"/>
    <cellStyle name="Heading 2 2 5 2 2 5 3" xfId="43599"/>
    <cellStyle name="Heading 2 2 5 2 2 5 3 2" xfId="43600"/>
    <cellStyle name="Heading 2 2 5 2 2 5 3 2 2" xfId="43601"/>
    <cellStyle name="Heading 2 2 5 2 2 5 3 3" xfId="43602"/>
    <cellStyle name="Heading 2 2 5 2 2 5 4" xfId="43603"/>
    <cellStyle name="Heading 2 2 5 2 2 5 4 2" xfId="43604"/>
    <cellStyle name="Heading 2 2 5 2 2 5 4 2 2" xfId="43605"/>
    <cellStyle name="Heading 2 2 5 2 2 5 4 3" xfId="43606"/>
    <cellStyle name="Heading 2 2 5 2 2 5 5" xfId="43607"/>
    <cellStyle name="Heading 2 2 5 2 2 5 5 2" xfId="43608"/>
    <cellStyle name="Heading 2 2 5 2 2 5 5 2 2" xfId="43609"/>
    <cellStyle name="Heading 2 2 5 2 2 5 5 3" xfId="43610"/>
    <cellStyle name="Heading 2 2 5 2 2 5 6" xfId="43611"/>
    <cellStyle name="Heading 2 2 5 2 2 5 6 2" xfId="43612"/>
    <cellStyle name="Heading 2 2 5 2 2 5 6 2 2" xfId="43613"/>
    <cellStyle name="Heading 2 2 5 2 2 5 6 3" xfId="43614"/>
    <cellStyle name="Heading 2 2 5 2 2 5 7" xfId="43615"/>
    <cellStyle name="Heading 2 2 5 2 2 5 7 2" xfId="43616"/>
    <cellStyle name="Heading 2 2 5 2 2 5 7 2 2" xfId="43617"/>
    <cellStyle name="Heading 2 2 5 2 2 5 7 3" xfId="43618"/>
    <cellStyle name="Heading 2 2 5 2 2 5 8" xfId="43619"/>
    <cellStyle name="Heading 2 2 5 2 2 5 8 2" xfId="43620"/>
    <cellStyle name="Heading 2 2 5 2 2 5 9" xfId="43621"/>
    <cellStyle name="Heading 2 2 5 2 2 6" xfId="43622"/>
    <cellStyle name="Heading 2 2 5 2 2 6 2" xfId="43623"/>
    <cellStyle name="Heading 2 2 5 2 2 6 2 2" xfId="43624"/>
    <cellStyle name="Heading 2 2 5 2 2 6 2 2 2" xfId="43625"/>
    <cellStyle name="Heading 2 2 5 2 2 6 2 3" xfId="43626"/>
    <cellStyle name="Heading 2 2 5 2 2 6 3" xfId="43627"/>
    <cellStyle name="Heading 2 2 5 2 2 6 3 2" xfId="43628"/>
    <cellStyle name="Heading 2 2 5 2 2 6 3 2 2" xfId="43629"/>
    <cellStyle name="Heading 2 2 5 2 2 6 3 3" xfId="43630"/>
    <cellStyle name="Heading 2 2 5 2 2 6 4" xfId="43631"/>
    <cellStyle name="Heading 2 2 5 2 2 6 4 2" xfId="43632"/>
    <cellStyle name="Heading 2 2 5 2 2 6 4 2 2" xfId="43633"/>
    <cellStyle name="Heading 2 2 5 2 2 6 4 3" xfId="43634"/>
    <cellStyle name="Heading 2 2 5 2 2 6 5" xfId="43635"/>
    <cellStyle name="Heading 2 2 5 2 2 6 5 2" xfId="43636"/>
    <cellStyle name="Heading 2 2 5 2 2 6 5 2 2" xfId="43637"/>
    <cellStyle name="Heading 2 2 5 2 2 6 5 3" xfId="43638"/>
    <cellStyle name="Heading 2 2 5 2 2 6 6" xfId="43639"/>
    <cellStyle name="Heading 2 2 5 2 2 6 6 2" xfId="43640"/>
    <cellStyle name="Heading 2 2 5 2 2 6 6 2 2" xfId="43641"/>
    <cellStyle name="Heading 2 2 5 2 2 6 6 3" xfId="43642"/>
    <cellStyle name="Heading 2 2 5 2 2 6 7" xfId="43643"/>
    <cellStyle name="Heading 2 2 5 2 2 6 7 2" xfId="43644"/>
    <cellStyle name="Heading 2 2 5 2 2 6 7 2 2" xfId="43645"/>
    <cellStyle name="Heading 2 2 5 2 2 6 7 3" xfId="43646"/>
    <cellStyle name="Heading 2 2 5 2 2 6 8" xfId="43647"/>
    <cellStyle name="Heading 2 2 5 2 2 6 8 2" xfId="43648"/>
    <cellStyle name="Heading 2 2 5 2 2 6 9" xfId="43649"/>
    <cellStyle name="Heading 2 2 5 2 2 7" xfId="43650"/>
    <cellStyle name="Heading 2 2 5 2 2 7 2" xfId="43651"/>
    <cellStyle name="Heading 2 2 5 2 2 7 2 2" xfId="43652"/>
    <cellStyle name="Heading 2 2 5 2 2 7 2 2 2" xfId="43653"/>
    <cellStyle name="Heading 2 2 5 2 2 7 2 3" xfId="43654"/>
    <cellStyle name="Heading 2 2 5 2 2 7 3" xfId="43655"/>
    <cellStyle name="Heading 2 2 5 2 2 7 3 2" xfId="43656"/>
    <cellStyle name="Heading 2 2 5 2 2 7 3 2 2" xfId="43657"/>
    <cellStyle name="Heading 2 2 5 2 2 7 3 3" xfId="43658"/>
    <cellStyle name="Heading 2 2 5 2 2 7 4" xfId="43659"/>
    <cellStyle name="Heading 2 2 5 2 2 7 4 2" xfId="43660"/>
    <cellStyle name="Heading 2 2 5 2 2 7 4 2 2" xfId="43661"/>
    <cellStyle name="Heading 2 2 5 2 2 7 4 3" xfId="43662"/>
    <cellStyle name="Heading 2 2 5 2 2 7 5" xfId="43663"/>
    <cellStyle name="Heading 2 2 5 2 2 7 5 2" xfId="43664"/>
    <cellStyle name="Heading 2 2 5 2 2 7 5 2 2" xfId="43665"/>
    <cellStyle name="Heading 2 2 5 2 2 7 5 3" xfId="43666"/>
    <cellStyle name="Heading 2 2 5 2 2 7 6" xfId="43667"/>
    <cellStyle name="Heading 2 2 5 2 2 7 6 2" xfId="43668"/>
    <cellStyle name="Heading 2 2 5 2 2 7 6 2 2" xfId="43669"/>
    <cellStyle name="Heading 2 2 5 2 2 7 6 3" xfId="43670"/>
    <cellStyle name="Heading 2 2 5 2 2 7 7" xfId="43671"/>
    <cellStyle name="Heading 2 2 5 2 2 7 7 2" xfId="43672"/>
    <cellStyle name="Heading 2 2 5 2 2 7 7 2 2" xfId="43673"/>
    <cellStyle name="Heading 2 2 5 2 2 7 7 3" xfId="43674"/>
    <cellStyle name="Heading 2 2 5 2 2 7 8" xfId="43675"/>
    <cellStyle name="Heading 2 2 5 2 2 7 8 2" xfId="43676"/>
    <cellStyle name="Heading 2 2 5 2 2 7 9" xfId="43677"/>
    <cellStyle name="Heading 2 2 5 2 2 8" xfId="43678"/>
    <cellStyle name="Heading 2 2 5 2 2 8 2" xfId="43679"/>
    <cellStyle name="Heading 2 2 5 2 2 8 2 2" xfId="43680"/>
    <cellStyle name="Heading 2 2 5 2 2 8 2 2 2" xfId="43681"/>
    <cellStyle name="Heading 2 2 5 2 2 8 2 3" xfId="43682"/>
    <cellStyle name="Heading 2 2 5 2 2 8 3" xfId="43683"/>
    <cellStyle name="Heading 2 2 5 2 2 8 3 2" xfId="43684"/>
    <cellStyle name="Heading 2 2 5 2 2 8 3 2 2" xfId="43685"/>
    <cellStyle name="Heading 2 2 5 2 2 8 3 3" xfId="43686"/>
    <cellStyle name="Heading 2 2 5 2 2 8 4" xfId="43687"/>
    <cellStyle name="Heading 2 2 5 2 2 8 4 2" xfId="43688"/>
    <cellStyle name="Heading 2 2 5 2 2 8 4 2 2" xfId="43689"/>
    <cellStyle name="Heading 2 2 5 2 2 8 4 3" xfId="43690"/>
    <cellStyle name="Heading 2 2 5 2 2 8 5" xfId="43691"/>
    <cellStyle name="Heading 2 2 5 2 2 8 5 2" xfId="43692"/>
    <cellStyle name="Heading 2 2 5 2 2 8 5 2 2" xfId="43693"/>
    <cellStyle name="Heading 2 2 5 2 2 8 5 3" xfId="43694"/>
    <cellStyle name="Heading 2 2 5 2 2 8 6" xfId="43695"/>
    <cellStyle name="Heading 2 2 5 2 2 8 6 2" xfId="43696"/>
    <cellStyle name="Heading 2 2 5 2 2 8 6 2 2" xfId="43697"/>
    <cellStyle name="Heading 2 2 5 2 2 8 6 3" xfId="43698"/>
    <cellStyle name="Heading 2 2 5 2 2 8 7" xfId="43699"/>
    <cellStyle name="Heading 2 2 5 2 2 8 7 2" xfId="43700"/>
    <cellStyle name="Heading 2 2 5 2 2 8 7 2 2" xfId="43701"/>
    <cellStyle name="Heading 2 2 5 2 2 8 7 3" xfId="43702"/>
    <cellStyle name="Heading 2 2 5 2 2 8 8" xfId="43703"/>
    <cellStyle name="Heading 2 2 5 2 2 8 8 2" xfId="43704"/>
    <cellStyle name="Heading 2 2 5 2 2 8 9" xfId="43705"/>
    <cellStyle name="Heading 2 2 5 2 2 9" xfId="43706"/>
    <cellStyle name="Heading 2 2 5 2 2 9 2" xfId="43707"/>
    <cellStyle name="Heading 2 2 5 2 2 9 2 2" xfId="43708"/>
    <cellStyle name="Heading 2 2 5 2 2 9 3" xfId="43709"/>
    <cellStyle name="Heading 2 2 5 2 20" xfId="43710"/>
    <cellStyle name="Heading 2 2 5 2 20 2" xfId="43711"/>
    <cellStyle name="Heading 2 2 5 2 21" xfId="43712"/>
    <cellStyle name="Heading 2 2 5 2 21 2" xfId="43713"/>
    <cellStyle name="Heading 2 2 5 2 22" xfId="43714"/>
    <cellStyle name="Heading 2 2 5 2 22 2" xfId="43715"/>
    <cellStyle name="Heading 2 2 5 2 23" xfId="43716"/>
    <cellStyle name="Heading 2 2 5 2 3" xfId="43717"/>
    <cellStyle name="Heading 2 2 5 2 3 2" xfId="43718"/>
    <cellStyle name="Heading 2 2 5 2 3 2 2" xfId="43719"/>
    <cellStyle name="Heading 2 2 5 2 3 2 2 2" xfId="43720"/>
    <cellStyle name="Heading 2 2 5 2 3 2 3" xfId="43721"/>
    <cellStyle name="Heading 2 2 5 2 3 3" xfId="43722"/>
    <cellStyle name="Heading 2 2 5 2 3 3 2" xfId="43723"/>
    <cellStyle name="Heading 2 2 5 2 3 3 2 2" xfId="43724"/>
    <cellStyle name="Heading 2 2 5 2 3 3 3" xfId="43725"/>
    <cellStyle name="Heading 2 2 5 2 3 4" xfId="43726"/>
    <cellStyle name="Heading 2 2 5 2 3 4 2" xfId="43727"/>
    <cellStyle name="Heading 2 2 5 2 3 4 2 2" xfId="43728"/>
    <cellStyle name="Heading 2 2 5 2 3 4 3" xfId="43729"/>
    <cellStyle name="Heading 2 2 5 2 3 5" xfId="43730"/>
    <cellStyle name="Heading 2 2 5 2 3 5 2" xfId="43731"/>
    <cellStyle name="Heading 2 2 5 2 3 5 2 2" xfId="43732"/>
    <cellStyle name="Heading 2 2 5 2 3 5 3" xfId="43733"/>
    <cellStyle name="Heading 2 2 5 2 3 6" xfId="43734"/>
    <cellStyle name="Heading 2 2 5 2 3 6 2" xfId="43735"/>
    <cellStyle name="Heading 2 2 5 2 3 6 2 2" xfId="43736"/>
    <cellStyle name="Heading 2 2 5 2 3 6 3" xfId="43737"/>
    <cellStyle name="Heading 2 2 5 2 3 7" xfId="43738"/>
    <cellStyle name="Heading 2 2 5 2 3 7 2" xfId="43739"/>
    <cellStyle name="Heading 2 2 5 2 3 7 2 2" xfId="43740"/>
    <cellStyle name="Heading 2 2 5 2 3 7 3" xfId="43741"/>
    <cellStyle name="Heading 2 2 5 2 3 8" xfId="43742"/>
    <cellStyle name="Heading 2 2 5 2 3 8 2" xfId="43743"/>
    <cellStyle name="Heading 2 2 5 2 3 9" xfId="43744"/>
    <cellStyle name="Heading 2 2 5 2 4" xfId="43745"/>
    <cellStyle name="Heading 2 2 5 2 4 2" xfId="43746"/>
    <cellStyle name="Heading 2 2 5 2 4 2 2" xfId="43747"/>
    <cellStyle name="Heading 2 2 5 2 4 2 2 2" xfId="43748"/>
    <cellStyle name="Heading 2 2 5 2 4 2 3" xfId="43749"/>
    <cellStyle name="Heading 2 2 5 2 4 3" xfId="43750"/>
    <cellStyle name="Heading 2 2 5 2 4 3 2" xfId="43751"/>
    <cellStyle name="Heading 2 2 5 2 4 3 2 2" xfId="43752"/>
    <cellStyle name="Heading 2 2 5 2 4 3 3" xfId="43753"/>
    <cellStyle name="Heading 2 2 5 2 4 4" xfId="43754"/>
    <cellStyle name="Heading 2 2 5 2 4 4 2" xfId="43755"/>
    <cellStyle name="Heading 2 2 5 2 4 4 2 2" xfId="43756"/>
    <cellStyle name="Heading 2 2 5 2 4 4 3" xfId="43757"/>
    <cellStyle name="Heading 2 2 5 2 4 5" xfId="43758"/>
    <cellStyle name="Heading 2 2 5 2 4 5 2" xfId="43759"/>
    <cellStyle name="Heading 2 2 5 2 4 5 2 2" xfId="43760"/>
    <cellStyle name="Heading 2 2 5 2 4 5 3" xfId="43761"/>
    <cellStyle name="Heading 2 2 5 2 4 6" xfId="43762"/>
    <cellStyle name="Heading 2 2 5 2 4 6 2" xfId="43763"/>
    <cellStyle name="Heading 2 2 5 2 4 6 2 2" xfId="43764"/>
    <cellStyle name="Heading 2 2 5 2 4 6 3" xfId="43765"/>
    <cellStyle name="Heading 2 2 5 2 4 7" xfId="43766"/>
    <cellStyle name="Heading 2 2 5 2 4 7 2" xfId="43767"/>
    <cellStyle name="Heading 2 2 5 2 4 7 2 2" xfId="43768"/>
    <cellStyle name="Heading 2 2 5 2 4 7 3" xfId="43769"/>
    <cellStyle name="Heading 2 2 5 2 4 8" xfId="43770"/>
    <cellStyle name="Heading 2 2 5 2 4 8 2" xfId="43771"/>
    <cellStyle name="Heading 2 2 5 2 4 9" xfId="43772"/>
    <cellStyle name="Heading 2 2 5 2 5" xfId="43773"/>
    <cellStyle name="Heading 2 2 5 2 5 2" xfId="43774"/>
    <cellStyle name="Heading 2 2 5 2 5 2 2" xfId="43775"/>
    <cellStyle name="Heading 2 2 5 2 5 2 2 2" xfId="43776"/>
    <cellStyle name="Heading 2 2 5 2 5 2 3" xfId="43777"/>
    <cellStyle name="Heading 2 2 5 2 5 3" xfId="43778"/>
    <cellStyle name="Heading 2 2 5 2 5 3 2" xfId="43779"/>
    <cellStyle name="Heading 2 2 5 2 5 3 2 2" xfId="43780"/>
    <cellStyle name="Heading 2 2 5 2 5 3 3" xfId="43781"/>
    <cellStyle name="Heading 2 2 5 2 5 4" xfId="43782"/>
    <cellStyle name="Heading 2 2 5 2 5 4 2" xfId="43783"/>
    <cellStyle name="Heading 2 2 5 2 5 4 2 2" xfId="43784"/>
    <cellStyle name="Heading 2 2 5 2 5 4 3" xfId="43785"/>
    <cellStyle name="Heading 2 2 5 2 5 5" xfId="43786"/>
    <cellStyle name="Heading 2 2 5 2 5 5 2" xfId="43787"/>
    <cellStyle name="Heading 2 2 5 2 5 5 2 2" xfId="43788"/>
    <cellStyle name="Heading 2 2 5 2 5 5 3" xfId="43789"/>
    <cellStyle name="Heading 2 2 5 2 5 6" xfId="43790"/>
    <cellStyle name="Heading 2 2 5 2 5 6 2" xfId="43791"/>
    <cellStyle name="Heading 2 2 5 2 5 6 2 2" xfId="43792"/>
    <cellStyle name="Heading 2 2 5 2 5 6 3" xfId="43793"/>
    <cellStyle name="Heading 2 2 5 2 5 7" xfId="43794"/>
    <cellStyle name="Heading 2 2 5 2 5 7 2" xfId="43795"/>
    <cellStyle name="Heading 2 2 5 2 5 7 2 2" xfId="43796"/>
    <cellStyle name="Heading 2 2 5 2 5 7 3" xfId="43797"/>
    <cellStyle name="Heading 2 2 5 2 5 8" xfId="43798"/>
    <cellStyle name="Heading 2 2 5 2 5 8 2" xfId="43799"/>
    <cellStyle name="Heading 2 2 5 2 5 9" xfId="43800"/>
    <cellStyle name="Heading 2 2 5 2 6" xfId="43801"/>
    <cellStyle name="Heading 2 2 5 2 6 2" xfId="43802"/>
    <cellStyle name="Heading 2 2 5 2 6 2 2" xfId="43803"/>
    <cellStyle name="Heading 2 2 5 2 6 2 2 2" xfId="43804"/>
    <cellStyle name="Heading 2 2 5 2 6 2 3" xfId="43805"/>
    <cellStyle name="Heading 2 2 5 2 6 3" xfId="43806"/>
    <cellStyle name="Heading 2 2 5 2 6 3 2" xfId="43807"/>
    <cellStyle name="Heading 2 2 5 2 6 3 2 2" xfId="43808"/>
    <cellStyle name="Heading 2 2 5 2 6 3 3" xfId="43809"/>
    <cellStyle name="Heading 2 2 5 2 6 4" xfId="43810"/>
    <cellStyle name="Heading 2 2 5 2 6 4 2" xfId="43811"/>
    <cellStyle name="Heading 2 2 5 2 6 4 2 2" xfId="43812"/>
    <cellStyle name="Heading 2 2 5 2 6 4 3" xfId="43813"/>
    <cellStyle name="Heading 2 2 5 2 6 5" xfId="43814"/>
    <cellStyle name="Heading 2 2 5 2 6 5 2" xfId="43815"/>
    <cellStyle name="Heading 2 2 5 2 6 5 2 2" xfId="43816"/>
    <cellStyle name="Heading 2 2 5 2 6 5 3" xfId="43817"/>
    <cellStyle name="Heading 2 2 5 2 6 6" xfId="43818"/>
    <cellStyle name="Heading 2 2 5 2 6 6 2" xfId="43819"/>
    <cellStyle name="Heading 2 2 5 2 6 6 2 2" xfId="43820"/>
    <cellStyle name="Heading 2 2 5 2 6 6 3" xfId="43821"/>
    <cellStyle name="Heading 2 2 5 2 6 7" xfId="43822"/>
    <cellStyle name="Heading 2 2 5 2 6 7 2" xfId="43823"/>
    <cellStyle name="Heading 2 2 5 2 6 7 2 2" xfId="43824"/>
    <cellStyle name="Heading 2 2 5 2 6 7 3" xfId="43825"/>
    <cellStyle name="Heading 2 2 5 2 6 8" xfId="43826"/>
    <cellStyle name="Heading 2 2 5 2 6 8 2" xfId="43827"/>
    <cellStyle name="Heading 2 2 5 2 6 9" xfId="43828"/>
    <cellStyle name="Heading 2 2 5 2 7" xfId="43829"/>
    <cellStyle name="Heading 2 2 5 2 7 2" xfId="43830"/>
    <cellStyle name="Heading 2 2 5 2 7 2 2" xfId="43831"/>
    <cellStyle name="Heading 2 2 5 2 7 2 2 2" xfId="43832"/>
    <cellStyle name="Heading 2 2 5 2 7 2 3" xfId="43833"/>
    <cellStyle name="Heading 2 2 5 2 7 3" xfId="43834"/>
    <cellStyle name="Heading 2 2 5 2 7 3 2" xfId="43835"/>
    <cellStyle name="Heading 2 2 5 2 7 3 2 2" xfId="43836"/>
    <cellStyle name="Heading 2 2 5 2 7 3 3" xfId="43837"/>
    <cellStyle name="Heading 2 2 5 2 7 4" xfId="43838"/>
    <cellStyle name="Heading 2 2 5 2 7 4 2" xfId="43839"/>
    <cellStyle name="Heading 2 2 5 2 7 4 2 2" xfId="43840"/>
    <cellStyle name="Heading 2 2 5 2 7 4 3" xfId="43841"/>
    <cellStyle name="Heading 2 2 5 2 7 5" xfId="43842"/>
    <cellStyle name="Heading 2 2 5 2 7 5 2" xfId="43843"/>
    <cellStyle name="Heading 2 2 5 2 7 5 2 2" xfId="43844"/>
    <cellStyle name="Heading 2 2 5 2 7 5 3" xfId="43845"/>
    <cellStyle name="Heading 2 2 5 2 7 6" xfId="43846"/>
    <cellStyle name="Heading 2 2 5 2 7 6 2" xfId="43847"/>
    <cellStyle name="Heading 2 2 5 2 7 6 2 2" xfId="43848"/>
    <cellStyle name="Heading 2 2 5 2 7 6 3" xfId="43849"/>
    <cellStyle name="Heading 2 2 5 2 7 7" xfId="43850"/>
    <cellStyle name="Heading 2 2 5 2 7 7 2" xfId="43851"/>
    <cellStyle name="Heading 2 2 5 2 7 7 2 2" xfId="43852"/>
    <cellStyle name="Heading 2 2 5 2 7 7 3" xfId="43853"/>
    <cellStyle name="Heading 2 2 5 2 7 8" xfId="43854"/>
    <cellStyle name="Heading 2 2 5 2 7 8 2" xfId="43855"/>
    <cellStyle name="Heading 2 2 5 2 7 9" xfId="43856"/>
    <cellStyle name="Heading 2 2 5 2 8" xfId="43857"/>
    <cellStyle name="Heading 2 2 5 2 8 2" xfId="43858"/>
    <cellStyle name="Heading 2 2 5 2 8 2 2" xfId="43859"/>
    <cellStyle name="Heading 2 2 5 2 8 2 2 2" xfId="43860"/>
    <cellStyle name="Heading 2 2 5 2 8 2 3" xfId="43861"/>
    <cellStyle name="Heading 2 2 5 2 8 3" xfId="43862"/>
    <cellStyle name="Heading 2 2 5 2 8 3 2" xfId="43863"/>
    <cellStyle name="Heading 2 2 5 2 8 3 2 2" xfId="43864"/>
    <cellStyle name="Heading 2 2 5 2 8 3 3" xfId="43865"/>
    <cellStyle name="Heading 2 2 5 2 8 4" xfId="43866"/>
    <cellStyle name="Heading 2 2 5 2 8 4 2" xfId="43867"/>
    <cellStyle name="Heading 2 2 5 2 8 4 2 2" xfId="43868"/>
    <cellStyle name="Heading 2 2 5 2 8 4 3" xfId="43869"/>
    <cellStyle name="Heading 2 2 5 2 8 5" xfId="43870"/>
    <cellStyle name="Heading 2 2 5 2 8 5 2" xfId="43871"/>
    <cellStyle name="Heading 2 2 5 2 8 5 2 2" xfId="43872"/>
    <cellStyle name="Heading 2 2 5 2 8 5 3" xfId="43873"/>
    <cellStyle name="Heading 2 2 5 2 8 6" xfId="43874"/>
    <cellStyle name="Heading 2 2 5 2 8 6 2" xfId="43875"/>
    <cellStyle name="Heading 2 2 5 2 8 6 2 2" xfId="43876"/>
    <cellStyle name="Heading 2 2 5 2 8 6 3" xfId="43877"/>
    <cellStyle name="Heading 2 2 5 2 8 7" xfId="43878"/>
    <cellStyle name="Heading 2 2 5 2 8 7 2" xfId="43879"/>
    <cellStyle name="Heading 2 2 5 2 8 7 2 2" xfId="43880"/>
    <cellStyle name="Heading 2 2 5 2 8 7 3" xfId="43881"/>
    <cellStyle name="Heading 2 2 5 2 8 8" xfId="43882"/>
    <cellStyle name="Heading 2 2 5 2 8 8 2" xfId="43883"/>
    <cellStyle name="Heading 2 2 5 2 8 9" xfId="43884"/>
    <cellStyle name="Heading 2 2 5 2 9" xfId="43885"/>
    <cellStyle name="Heading 2 2 5 2 9 2" xfId="43886"/>
    <cellStyle name="Heading 2 2 5 2 9 2 2" xfId="43887"/>
    <cellStyle name="Heading 2 2 5 2 9 2 2 2" xfId="43888"/>
    <cellStyle name="Heading 2 2 5 2 9 2 3" xfId="43889"/>
    <cellStyle name="Heading 2 2 5 2 9 3" xfId="43890"/>
    <cellStyle name="Heading 2 2 5 2 9 3 2" xfId="43891"/>
    <cellStyle name="Heading 2 2 5 2 9 3 2 2" xfId="43892"/>
    <cellStyle name="Heading 2 2 5 2 9 3 3" xfId="43893"/>
    <cellStyle name="Heading 2 2 5 2 9 4" xfId="43894"/>
    <cellStyle name="Heading 2 2 5 2 9 4 2" xfId="43895"/>
    <cellStyle name="Heading 2 2 5 2 9 4 2 2" xfId="43896"/>
    <cellStyle name="Heading 2 2 5 2 9 4 3" xfId="43897"/>
    <cellStyle name="Heading 2 2 5 2 9 5" xfId="43898"/>
    <cellStyle name="Heading 2 2 5 2 9 5 2" xfId="43899"/>
    <cellStyle name="Heading 2 2 5 2 9 5 2 2" xfId="43900"/>
    <cellStyle name="Heading 2 2 5 2 9 5 3" xfId="43901"/>
    <cellStyle name="Heading 2 2 5 2 9 6" xfId="43902"/>
    <cellStyle name="Heading 2 2 5 2 9 6 2" xfId="43903"/>
    <cellStyle name="Heading 2 2 5 2 9 6 2 2" xfId="43904"/>
    <cellStyle name="Heading 2 2 5 2 9 6 3" xfId="43905"/>
    <cellStyle name="Heading 2 2 5 2 9 7" xfId="43906"/>
    <cellStyle name="Heading 2 2 5 2 9 7 2" xfId="43907"/>
    <cellStyle name="Heading 2 2 5 2 9 7 2 2" xfId="43908"/>
    <cellStyle name="Heading 2 2 5 2 9 7 3" xfId="43909"/>
    <cellStyle name="Heading 2 2 5 2 9 8" xfId="43910"/>
    <cellStyle name="Heading 2 2 5 2 9 8 2" xfId="43911"/>
    <cellStyle name="Heading 2 2 5 2 9 9" xfId="43912"/>
    <cellStyle name="Heading 2 2 5 3" xfId="43913"/>
    <cellStyle name="Heading 2 2 5 3 10" xfId="43914"/>
    <cellStyle name="Heading 2 2 5 3 10 2" xfId="43915"/>
    <cellStyle name="Heading 2 2 5 3 10 2 2" xfId="43916"/>
    <cellStyle name="Heading 2 2 5 3 10 3" xfId="43917"/>
    <cellStyle name="Heading 2 2 5 3 11" xfId="43918"/>
    <cellStyle name="Heading 2 2 5 3 11 2" xfId="43919"/>
    <cellStyle name="Heading 2 2 5 3 11 2 2" xfId="43920"/>
    <cellStyle name="Heading 2 2 5 3 11 3" xfId="43921"/>
    <cellStyle name="Heading 2 2 5 3 12" xfId="43922"/>
    <cellStyle name="Heading 2 2 5 3 12 2" xfId="43923"/>
    <cellStyle name="Heading 2 2 5 3 12 2 2" xfId="43924"/>
    <cellStyle name="Heading 2 2 5 3 12 3" xfId="43925"/>
    <cellStyle name="Heading 2 2 5 3 13" xfId="43926"/>
    <cellStyle name="Heading 2 2 5 3 13 2" xfId="43927"/>
    <cellStyle name="Heading 2 2 5 3 13 2 2" xfId="43928"/>
    <cellStyle name="Heading 2 2 5 3 13 3" xfId="43929"/>
    <cellStyle name="Heading 2 2 5 3 14" xfId="43930"/>
    <cellStyle name="Heading 2 2 5 3 14 2" xfId="43931"/>
    <cellStyle name="Heading 2 2 5 3 14 2 2" xfId="43932"/>
    <cellStyle name="Heading 2 2 5 3 14 3" xfId="43933"/>
    <cellStyle name="Heading 2 2 5 3 15" xfId="43934"/>
    <cellStyle name="Heading 2 2 5 3 15 2" xfId="43935"/>
    <cellStyle name="Heading 2 2 5 3 15 2 2" xfId="43936"/>
    <cellStyle name="Heading 2 2 5 3 15 3" xfId="43937"/>
    <cellStyle name="Heading 2 2 5 3 16" xfId="43938"/>
    <cellStyle name="Heading 2 2 5 3 16 2" xfId="43939"/>
    <cellStyle name="Heading 2 2 5 3 16 2 2" xfId="43940"/>
    <cellStyle name="Heading 2 2 5 3 16 3" xfId="43941"/>
    <cellStyle name="Heading 2 2 5 3 17" xfId="43942"/>
    <cellStyle name="Heading 2 2 5 3 17 2" xfId="43943"/>
    <cellStyle name="Heading 2 2 5 3 17 2 2" xfId="43944"/>
    <cellStyle name="Heading 2 2 5 3 17 3" xfId="43945"/>
    <cellStyle name="Heading 2 2 5 3 18" xfId="43946"/>
    <cellStyle name="Heading 2 2 5 3 18 2" xfId="43947"/>
    <cellStyle name="Heading 2 2 5 3 18 2 2" xfId="43948"/>
    <cellStyle name="Heading 2 2 5 3 18 3" xfId="43949"/>
    <cellStyle name="Heading 2 2 5 3 19" xfId="43950"/>
    <cellStyle name="Heading 2 2 5 3 19 2" xfId="43951"/>
    <cellStyle name="Heading 2 2 5 3 2" xfId="43952"/>
    <cellStyle name="Heading 2 2 5 3 2 2" xfId="43953"/>
    <cellStyle name="Heading 2 2 5 3 2 2 2" xfId="43954"/>
    <cellStyle name="Heading 2 2 5 3 2 2 2 2" xfId="43955"/>
    <cellStyle name="Heading 2 2 5 3 2 2 3" xfId="43956"/>
    <cellStyle name="Heading 2 2 5 3 2 3" xfId="43957"/>
    <cellStyle name="Heading 2 2 5 3 2 3 2" xfId="43958"/>
    <cellStyle name="Heading 2 2 5 3 2 3 2 2" xfId="43959"/>
    <cellStyle name="Heading 2 2 5 3 2 3 3" xfId="43960"/>
    <cellStyle name="Heading 2 2 5 3 2 4" xfId="43961"/>
    <cellStyle name="Heading 2 2 5 3 2 4 2" xfId="43962"/>
    <cellStyle name="Heading 2 2 5 3 2 4 2 2" xfId="43963"/>
    <cellStyle name="Heading 2 2 5 3 2 4 3" xfId="43964"/>
    <cellStyle name="Heading 2 2 5 3 2 5" xfId="43965"/>
    <cellStyle name="Heading 2 2 5 3 2 5 2" xfId="43966"/>
    <cellStyle name="Heading 2 2 5 3 2 5 2 2" xfId="43967"/>
    <cellStyle name="Heading 2 2 5 3 2 5 3" xfId="43968"/>
    <cellStyle name="Heading 2 2 5 3 2 6" xfId="43969"/>
    <cellStyle name="Heading 2 2 5 3 2 6 2" xfId="43970"/>
    <cellStyle name="Heading 2 2 5 3 2 6 2 2" xfId="43971"/>
    <cellStyle name="Heading 2 2 5 3 2 6 3" xfId="43972"/>
    <cellStyle name="Heading 2 2 5 3 2 7" xfId="43973"/>
    <cellStyle name="Heading 2 2 5 3 2 7 2" xfId="43974"/>
    <cellStyle name="Heading 2 2 5 3 2 7 2 2" xfId="43975"/>
    <cellStyle name="Heading 2 2 5 3 2 7 3" xfId="43976"/>
    <cellStyle name="Heading 2 2 5 3 2 8" xfId="43977"/>
    <cellStyle name="Heading 2 2 5 3 2 8 2" xfId="43978"/>
    <cellStyle name="Heading 2 2 5 3 2 9" xfId="43979"/>
    <cellStyle name="Heading 2 2 5 3 20" xfId="43980"/>
    <cellStyle name="Heading 2 2 5 3 20 2" xfId="43981"/>
    <cellStyle name="Heading 2 2 5 3 21" xfId="43982"/>
    <cellStyle name="Heading 2 2 5 3 21 2" xfId="43983"/>
    <cellStyle name="Heading 2 2 5 3 22" xfId="43984"/>
    <cellStyle name="Heading 2 2 5 3 3" xfId="43985"/>
    <cellStyle name="Heading 2 2 5 3 3 2" xfId="43986"/>
    <cellStyle name="Heading 2 2 5 3 3 2 2" xfId="43987"/>
    <cellStyle name="Heading 2 2 5 3 3 2 2 2" xfId="43988"/>
    <cellStyle name="Heading 2 2 5 3 3 2 3" xfId="43989"/>
    <cellStyle name="Heading 2 2 5 3 3 3" xfId="43990"/>
    <cellStyle name="Heading 2 2 5 3 3 3 2" xfId="43991"/>
    <cellStyle name="Heading 2 2 5 3 3 3 2 2" xfId="43992"/>
    <cellStyle name="Heading 2 2 5 3 3 3 3" xfId="43993"/>
    <cellStyle name="Heading 2 2 5 3 3 4" xfId="43994"/>
    <cellStyle name="Heading 2 2 5 3 3 4 2" xfId="43995"/>
    <cellStyle name="Heading 2 2 5 3 3 4 2 2" xfId="43996"/>
    <cellStyle name="Heading 2 2 5 3 3 4 3" xfId="43997"/>
    <cellStyle name="Heading 2 2 5 3 3 5" xfId="43998"/>
    <cellStyle name="Heading 2 2 5 3 3 5 2" xfId="43999"/>
    <cellStyle name="Heading 2 2 5 3 3 5 2 2" xfId="44000"/>
    <cellStyle name="Heading 2 2 5 3 3 5 3" xfId="44001"/>
    <cellStyle name="Heading 2 2 5 3 3 6" xfId="44002"/>
    <cellStyle name="Heading 2 2 5 3 3 6 2" xfId="44003"/>
    <cellStyle name="Heading 2 2 5 3 3 6 2 2" xfId="44004"/>
    <cellStyle name="Heading 2 2 5 3 3 6 3" xfId="44005"/>
    <cellStyle name="Heading 2 2 5 3 3 7" xfId="44006"/>
    <cellStyle name="Heading 2 2 5 3 3 7 2" xfId="44007"/>
    <cellStyle name="Heading 2 2 5 3 3 7 2 2" xfId="44008"/>
    <cellStyle name="Heading 2 2 5 3 3 7 3" xfId="44009"/>
    <cellStyle name="Heading 2 2 5 3 3 8" xfId="44010"/>
    <cellStyle name="Heading 2 2 5 3 3 8 2" xfId="44011"/>
    <cellStyle name="Heading 2 2 5 3 3 9" xfId="44012"/>
    <cellStyle name="Heading 2 2 5 3 4" xfId="44013"/>
    <cellStyle name="Heading 2 2 5 3 4 2" xfId="44014"/>
    <cellStyle name="Heading 2 2 5 3 4 2 2" xfId="44015"/>
    <cellStyle name="Heading 2 2 5 3 4 2 2 2" xfId="44016"/>
    <cellStyle name="Heading 2 2 5 3 4 2 3" xfId="44017"/>
    <cellStyle name="Heading 2 2 5 3 4 3" xfId="44018"/>
    <cellStyle name="Heading 2 2 5 3 4 3 2" xfId="44019"/>
    <cellStyle name="Heading 2 2 5 3 4 3 2 2" xfId="44020"/>
    <cellStyle name="Heading 2 2 5 3 4 3 3" xfId="44021"/>
    <cellStyle name="Heading 2 2 5 3 4 4" xfId="44022"/>
    <cellStyle name="Heading 2 2 5 3 4 4 2" xfId="44023"/>
    <cellStyle name="Heading 2 2 5 3 4 4 2 2" xfId="44024"/>
    <cellStyle name="Heading 2 2 5 3 4 4 3" xfId="44025"/>
    <cellStyle name="Heading 2 2 5 3 4 5" xfId="44026"/>
    <cellStyle name="Heading 2 2 5 3 4 5 2" xfId="44027"/>
    <cellStyle name="Heading 2 2 5 3 4 5 2 2" xfId="44028"/>
    <cellStyle name="Heading 2 2 5 3 4 5 3" xfId="44029"/>
    <cellStyle name="Heading 2 2 5 3 4 6" xfId="44030"/>
    <cellStyle name="Heading 2 2 5 3 4 6 2" xfId="44031"/>
    <cellStyle name="Heading 2 2 5 3 4 6 2 2" xfId="44032"/>
    <cellStyle name="Heading 2 2 5 3 4 6 3" xfId="44033"/>
    <cellStyle name="Heading 2 2 5 3 4 7" xfId="44034"/>
    <cellStyle name="Heading 2 2 5 3 4 7 2" xfId="44035"/>
    <cellStyle name="Heading 2 2 5 3 4 7 2 2" xfId="44036"/>
    <cellStyle name="Heading 2 2 5 3 4 7 3" xfId="44037"/>
    <cellStyle name="Heading 2 2 5 3 4 8" xfId="44038"/>
    <cellStyle name="Heading 2 2 5 3 4 8 2" xfId="44039"/>
    <cellStyle name="Heading 2 2 5 3 4 9" xfId="44040"/>
    <cellStyle name="Heading 2 2 5 3 5" xfId="44041"/>
    <cellStyle name="Heading 2 2 5 3 5 2" xfId="44042"/>
    <cellStyle name="Heading 2 2 5 3 5 2 2" xfId="44043"/>
    <cellStyle name="Heading 2 2 5 3 5 2 2 2" xfId="44044"/>
    <cellStyle name="Heading 2 2 5 3 5 2 3" xfId="44045"/>
    <cellStyle name="Heading 2 2 5 3 5 3" xfId="44046"/>
    <cellStyle name="Heading 2 2 5 3 5 3 2" xfId="44047"/>
    <cellStyle name="Heading 2 2 5 3 5 3 2 2" xfId="44048"/>
    <cellStyle name="Heading 2 2 5 3 5 3 3" xfId="44049"/>
    <cellStyle name="Heading 2 2 5 3 5 4" xfId="44050"/>
    <cellStyle name="Heading 2 2 5 3 5 4 2" xfId="44051"/>
    <cellStyle name="Heading 2 2 5 3 5 4 2 2" xfId="44052"/>
    <cellStyle name="Heading 2 2 5 3 5 4 3" xfId="44053"/>
    <cellStyle name="Heading 2 2 5 3 5 5" xfId="44054"/>
    <cellStyle name="Heading 2 2 5 3 5 5 2" xfId="44055"/>
    <cellStyle name="Heading 2 2 5 3 5 5 2 2" xfId="44056"/>
    <cellStyle name="Heading 2 2 5 3 5 5 3" xfId="44057"/>
    <cellStyle name="Heading 2 2 5 3 5 6" xfId="44058"/>
    <cellStyle name="Heading 2 2 5 3 5 6 2" xfId="44059"/>
    <cellStyle name="Heading 2 2 5 3 5 6 2 2" xfId="44060"/>
    <cellStyle name="Heading 2 2 5 3 5 6 3" xfId="44061"/>
    <cellStyle name="Heading 2 2 5 3 5 7" xfId="44062"/>
    <cellStyle name="Heading 2 2 5 3 5 7 2" xfId="44063"/>
    <cellStyle name="Heading 2 2 5 3 5 7 2 2" xfId="44064"/>
    <cellStyle name="Heading 2 2 5 3 5 7 3" xfId="44065"/>
    <cellStyle name="Heading 2 2 5 3 5 8" xfId="44066"/>
    <cellStyle name="Heading 2 2 5 3 5 8 2" xfId="44067"/>
    <cellStyle name="Heading 2 2 5 3 5 9" xfId="44068"/>
    <cellStyle name="Heading 2 2 5 3 6" xfId="44069"/>
    <cellStyle name="Heading 2 2 5 3 6 2" xfId="44070"/>
    <cellStyle name="Heading 2 2 5 3 6 2 2" xfId="44071"/>
    <cellStyle name="Heading 2 2 5 3 6 2 2 2" xfId="44072"/>
    <cellStyle name="Heading 2 2 5 3 6 2 3" xfId="44073"/>
    <cellStyle name="Heading 2 2 5 3 6 3" xfId="44074"/>
    <cellStyle name="Heading 2 2 5 3 6 3 2" xfId="44075"/>
    <cellStyle name="Heading 2 2 5 3 6 3 2 2" xfId="44076"/>
    <cellStyle name="Heading 2 2 5 3 6 3 3" xfId="44077"/>
    <cellStyle name="Heading 2 2 5 3 6 4" xfId="44078"/>
    <cellStyle name="Heading 2 2 5 3 6 4 2" xfId="44079"/>
    <cellStyle name="Heading 2 2 5 3 6 4 2 2" xfId="44080"/>
    <cellStyle name="Heading 2 2 5 3 6 4 3" xfId="44081"/>
    <cellStyle name="Heading 2 2 5 3 6 5" xfId="44082"/>
    <cellStyle name="Heading 2 2 5 3 6 5 2" xfId="44083"/>
    <cellStyle name="Heading 2 2 5 3 6 5 2 2" xfId="44084"/>
    <cellStyle name="Heading 2 2 5 3 6 5 3" xfId="44085"/>
    <cellStyle name="Heading 2 2 5 3 6 6" xfId="44086"/>
    <cellStyle name="Heading 2 2 5 3 6 6 2" xfId="44087"/>
    <cellStyle name="Heading 2 2 5 3 6 6 2 2" xfId="44088"/>
    <cellStyle name="Heading 2 2 5 3 6 6 3" xfId="44089"/>
    <cellStyle name="Heading 2 2 5 3 6 7" xfId="44090"/>
    <cellStyle name="Heading 2 2 5 3 6 7 2" xfId="44091"/>
    <cellStyle name="Heading 2 2 5 3 6 7 2 2" xfId="44092"/>
    <cellStyle name="Heading 2 2 5 3 6 7 3" xfId="44093"/>
    <cellStyle name="Heading 2 2 5 3 6 8" xfId="44094"/>
    <cellStyle name="Heading 2 2 5 3 6 8 2" xfId="44095"/>
    <cellStyle name="Heading 2 2 5 3 6 9" xfId="44096"/>
    <cellStyle name="Heading 2 2 5 3 7" xfId="44097"/>
    <cellStyle name="Heading 2 2 5 3 7 2" xfId="44098"/>
    <cellStyle name="Heading 2 2 5 3 7 2 2" xfId="44099"/>
    <cellStyle name="Heading 2 2 5 3 7 2 2 2" xfId="44100"/>
    <cellStyle name="Heading 2 2 5 3 7 2 3" xfId="44101"/>
    <cellStyle name="Heading 2 2 5 3 7 3" xfId="44102"/>
    <cellStyle name="Heading 2 2 5 3 7 3 2" xfId="44103"/>
    <cellStyle name="Heading 2 2 5 3 7 3 2 2" xfId="44104"/>
    <cellStyle name="Heading 2 2 5 3 7 3 3" xfId="44105"/>
    <cellStyle name="Heading 2 2 5 3 7 4" xfId="44106"/>
    <cellStyle name="Heading 2 2 5 3 7 4 2" xfId="44107"/>
    <cellStyle name="Heading 2 2 5 3 7 4 2 2" xfId="44108"/>
    <cellStyle name="Heading 2 2 5 3 7 4 3" xfId="44109"/>
    <cellStyle name="Heading 2 2 5 3 7 5" xfId="44110"/>
    <cellStyle name="Heading 2 2 5 3 7 5 2" xfId="44111"/>
    <cellStyle name="Heading 2 2 5 3 7 5 2 2" xfId="44112"/>
    <cellStyle name="Heading 2 2 5 3 7 5 3" xfId="44113"/>
    <cellStyle name="Heading 2 2 5 3 7 6" xfId="44114"/>
    <cellStyle name="Heading 2 2 5 3 7 6 2" xfId="44115"/>
    <cellStyle name="Heading 2 2 5 3 7 6 2 2" xfId="44116"/>
    <cellStyle name="Heading 2 2 5 3 7 6 3" xfId="44117"/>
    <cellStyle name="Heading 2 2 5 3 7 7" xfId="44118"/>
    <cellStyle name="Heading 2 2 5 3 7 7 2" xfId="44119"/>
    <cellStyle name="Heading 2 2 5 3 7 7 2 2" xfId="44120"/>
    <cellStyle name="Heading 2 2 5 3 7 7 3" xfId="44121"/>
    <cellStyle name="Heading 2 2 5 3 7 8" xfId="44122"/>
    <cellStyle name="Heading 2 2 5 3 7 8 2" xfId="44123"/>
    <cellStyle name="Heading 2 2 5 3 7 9" xfId="44124"/>
    <cellStyle name="Heading 2 2 5 3 8" xfId="44125"/>
    <cellStyle name="Heading 2 2 5 3 8 2" xfId="44126"/>
    <cellStyle name="Heading 2 2 5 3 8 2 2" xfId="44127"/>
    <cellStyle name="Heading 2 2 5 3 8 2 2 2" xfId="44128"/>
    <cellStyle name="Heading 2 2 5 3 8 2 3" xfId="44129"/>
    <cellStyle name="Heading 2 2 5 3 8 3" xfId="44130"/>
    <cellStyle name="Heading 2 2 5 3 8 3 2" xfId="44131"/>
    <cellStyle name="Heading 2 2 5 3 8 3 2 2" xfId="44132"/>
    <cellStyle name="Heading 2 2 5 3 8 3 3" xfId="44133"/>
    <cellStyle name="Heading 2 2 5 3 8 4" xfId="44134"/>
    <cellStyle name="Heading 2 2 5 3 8 4 2" xfId="44135"/>
    <cellStyle name="Heading 2 2 5 3 8 4 2 2" xfId="44136"/>
    <cellStyle name="Heading 2 2 5 3 8 4 3" xfId="44137"/>
    <cellStyle name="Heading 2 2 5 3 8 5" xfId="44138"/>
    <cellStyle name="Heading 2 2 5 3 8 5 2" xfId="44139"/>
    <cellStyle name="Heading 2 2 5 3 8 5 2 2" xfId="44140"/>
    <cellStyle name="Heading 2 2 5 3 8 5 3" xfId="44141"/>
    <cellStyle name="Heading 2 2 5 3 8 6" xfId="44142"/>
    <cellStyle name="Heading 2 2 5 3 8 6 2" xfId="44143"/>
    <cellStyle name="Heading 2 2 5 3 8 6 2 2" xfId="44144"/>
    <cellStyle name="Heading 2 2 5 3 8 6 3" xfId="44145"/>
    <cellStyle name="Heading 2 2 5 3 8 7" xfId="44146"/>
    <cellStyle name="Heading 2 2 5 3 8 7 2" xfId="44147"/>
    <cellStyle name="Heading 2 2 5 3 8 7 2 2" xfId="44148"/>
    <cellStyle name="Heading 2 2 5 3 8 7 3" xfId="44149"/>
    <cellStyle name="Heading 2 2 5 3 8 8" xfId="44150"/>
    <cellStyle name="Heading 2 2 5 3 8 8 2" xfId="44151"/>
    <cellStyle name="Heading 2 2 5 3 8 9" xfId="44152"/>
    <cellStyle name="Heading 2 2 5 3 9" xfId="44153"/>
    <cellStyle name="Heading 2 2 5 3 9 2" xfId="44154"/>
    <cellStyle name="Heading 2 2 5 3 9 2 2" xfId="44155"/>
    <cellStyle name="Heading 2 2 5 3 9 3" xfId="44156"/>
    <cellStyle name="Heading 2 2 5 4" xfId="44157"/>
    <cellStyle name="Heading 2 2 5 4 2" xfId="44158"/>
    <cellStyle name="Heading 2 2 5 4 2 2" xfId="44159"/>
    <cellStyle name="Heading 2 2 5 4 3" xfId="44160"/>
    <cellStyle name="Heading 2 2 5 5" xfId="44161"/>
    <cellStyle name="Heading 2 2 5 5 2" xfId="44162"/>
    <cellStyle name="Heading 2 2 5 6" xfId="44163"/>
    <cellStyle name="Heading 2 2 6" xfId="44164"/>
    <cellStyle name="Heading 2 2 6 2" xfId="44165"/>
    <cellStyle name="Heading 2 2 6 2 10" xfId="44166"/>
    <cellStyle name="Heading 2 2 6 2 10 2" xfId="44167"/>
    <cellStyle name="Heading 2 2 6 2 10 2 2" xfId="44168"/>
    <cellStyle name="Heading 2 2 6 2 10 3" xfId="44169"/>
    <cellStyle name="Heading 2 2 6 2 11" xfId="44170"/>
    <cellStyle name="Heading 2 2 6 2 11 2" xfId="44171"/>
    <cellStyle name="Heading 2 2 6 2 11 2 2" xfId="44172"/>
    <cellStyle name="Heading 2 2 6 2 11 3" xfId="44173"/>
    <cellStyle name="Heading 2 2 6 2 12" xfId="44174"/>
    <cellStyle name="Heading 2 2 6 2 12 2" xfId="44175"/>
    <cellStyle name="Heading 2 2 6 2 12 2 2" xfId="44176"/>
    <cellStyle name="Heading 2 2 6 2 12 3" xfId="44177"/>
    <cellStyle name="Heading 2 2 6 2 13" xfId="44178"/>
    <cellStyle name="Heading 2 2 6 2 13 2" xfId="44179"/>
    <cellStyle name="Heading 2 2 6 2 13 2 2" xfId="44180"/>
    <cellStyle name="Heading 2 2 6 2 13 3" xfId="44181"/>
    <cellStyle name="Heading 2 2 6 2 14" xfId="44182"/>
    <cellStyle name="Heading 2 2 6 2 14 2" xfId="44183"/>
    <cellStyle name="Heading 2 2 6 2 14 2 2" xfId="44184"/>
    <cellStyle name="Heading 2 2 6 2 14 3" xfId="44185"/>
    <cellStyle name="Heading 2 2 6 2 15" xfId="44186"/>
    <cellStyle name="Heading 2 2 6 2 15 2" xfId="44187"/>
    <cellStyle name="Heading 2 2 6 2 15 2 2" xfId="44188"/>
    <cellStyle name="Heading 2 2 6 2 15 3" xfId="44189"/>
    <cellStyle name="Heading 2 2 6 2 16" xfId="44190"/>
    <cellStyle name="Heading 2 2 6 2 16 2" xfId="44191"/>
    <cellStyle name="Heading 2 2 6 2 16 2 2" xfId="44192"/>
    <cellStyle name="Heading 2 2 6 2 16 3" xfId="44193"/>
    <cellStyle name="Heading 2 2 6 2 17" xfId="44194"/>
    <cellStyle name="Heading 2 2 6 2 17 2" xfId="44195"/>
    <cellStyle name="Heading 2 2 6 2 17 2 2" xfId="44196"/>
    <cellStyle name="Heading 2 2 6 2 17 3" xfId="44197"/>
    <cellStyle name="Heading 2 2 6 2 18" xfId="44198"/>
    <cellStyle name="Heading 2 2 6 2 18 2" xfId="44199"/>
    <cellStyle name="Heading 2 2 6 2 18 2 2" xfId="44200"/>
    <cellStyle name="Heading 2 2 6 2 18 3" xfId="44201"/>
    <cellStyle name="Heading 2 2 6 2 19" xfId="44202"/>
    <cellStyle name="Heading 2 2 6 2 19 2" xfId="44203"/>
    <cellStyle name="Heading 2 2 6 2 19 2 2" xfId="44204"/>
    <cellStyle name="Heading 2 2 6 2 19 3" xfId="44205"/>
    <cellStyle name="Heading 2 2 6 2 2" xfId="44206"/>
    <cellStyle name="Heading 2 2 6 2 2 10" xfId="44207"/>
    <cellStyle name="Heading 2 2 6 2 2 10 2" xfId="44208"/>
    <cellStyle name="Heading 2 2 6 2 2 10 2 2" xfId="44209"/>
    <cellStyle name="Heading 2 2 6 2 2 10 3" xfId="44210"/>
    <cellStyle name="Heading 2 2 6 2 2 11" xfId="44211"/>
    <cellStyle name="Heading 2 2 6 2 2 11 2" xfId="44212"/>
    <cellStyle name="Heading 2 2 6 2 2 11 2 2" xfId="44213"/>
    <cellStyle name="Heading 2 2 6 2 2 11 3" xfId="44214"/>
    <cellStyle name="Heading 2 2 6 2 2 12" xfId="44215"/>
    <cellStyle name="Heading 2 2 6 2 2 12 2" xfId="44216"/>
    <cellStyle name="Heading 2 2 6 2 2 12 2 2" xfId="44217"/>
    <cellStyle name="Heading 2 2 6 2 2 12 3" xfId="44218"/>
    <cellStyle name="Heading 2 2 6 2 2 13" xfId="44219"/>
    <cellStyle name="Heading 2 2 6 2 2 13 2" xfId="44220"/>
    <cellStyle name="Heading 2 2 6 2 2 13 2 2" xfId="44221"/>
    <cellStyle name="Heading 2 2 6 2 2 13 3" xfId="44222"/>
    <cellStyle name="Heading 2 2 6 2 2 14" xfId="44223"/>
    <cellStyle name="Heading 2 2 6 2 2 14 2" xfId="44224"/>
    <cellStyle name="Heading 2 2 6 2 2 14 2 2" xfId="44225"/>
    <cellStyle name="Heading 2 2 6 2 2 14 3" xfId="44226"/>
    <cellStyle name="Heading 2 2 6 2 2 15" xfId="44227"/>
    <cellStyle name="Heading 2 2 6 2 2 15 2" xfId="44228"/>
    <cellStyle name="Heading 2 2 6 2 2 15 2 2" xfId="44229"/>
    <cellStyle name="Heading 2 2 6 2 2 15 3" xfId="44230"/>
    <cellStyle name="Heading 2 2 6 2 2 16" xfId="44231"/>
    <cellStyle name="Heading 2 2 6 2 2 16 2" xfId="44232"/>
    <cellStyle name="Heading 2 2 6 2 2 16 2 2" xfId="44233"/>
    <cellStyle name="Heading 2 2 6 2 2 16 3" xfId="44234"/>
    <cellStyle name="Heading 2 2 6 2 2 17" xfId="44235"/>
    <cellStyle name="Heading 2 2 6 2 2 17 2" xfId="44236"/>
    <cellStyle name="Heading 2 2 6 2 2 17 2 2" xfId="44237"/>
    <cellStyle name="Heading 2 2 6 2 2 17 3" xfId="44238"/>
    <cellStyle name="Heading 2 2 6 2 2 18" xfId="44239"/>
    <cellStyle name="Heading 2 2 6 2 2 18 2" xfId="44240"/>
    <cellStyle name="Heading 2 2 6 2 2 18 2 2" xfId="44241"/>
    <cellStyle name="Heading 2 2 6 2 2 18 3" xfId="44242"/>
    <cellStyle name="Heading 2 2 6 2 2 19" xfId="44243"/>
    <cellStyle name="Heading 2 2 6 2 2 19 2" xfId="44244"/>
    <cellStyle name="Heading 2 2 6 2 2 2" xfId="44245"/>
    <cellStyle name="Heading 2 2 6 2 2 2 2" xfId="44246"/>
    <cellStyle name="Heading 2 2 6 2 2 2 2 2" xfId="44247"/>
    <cellStyle name="Heading 2 2 6 2 2 2 2 2 2" xfId="44248"/>
    <cellStyle name="Heading 2 2 6 2 2 2 2 3" xfId="44249"/>
    <cellStyle name="Heading 2 2 6 2 2 2 3" xfId="44250"/>
    <cellStyle name="Heading 2 2 6 2 2 2 3 2" xfId="44251"/>
    <cellStyle name="Heading 2 2 6 2 2 2 3 2 2" xfId="44252"/>
    <cellStyle name="Heading 2 2 6 2 2 2 3 3" xfId="44253"/>
    <cellStyle name="Heading 2 2 6 2 2 2 4" xfId="44254"/>
    <cellStyle name="Heading 2 2 6 2 2 2 4 2" xfId="44255"/>
    <cellStyle name="Heading 2 2 6 2 2 2 4 2 2" xfId="44256"/>
    <cellStyle name="Heading 2 2 6 2 2 2 4 3" xfId="44257"/>
    <cellStyle name="Heading 2 2 6 2 2 2 5" xfId="44258"/>
    <cellStyle name="Heading 2 2 6 2 2 2 5 2" xfId="44259"/>
    <cellStyle name="Heading 2 2 6 2 2 2 5 2 2" xfId="44260"/>
    <cellStyle name="Heading 2 2 6 2 2 2 5 3" xfId="44261"/>
    <cellStyle name="Heading 2 2 6 2 2 2 6" xfId="44262"/>
    <cellStyle name="Heading 2 2 6 2 2 2 6 2" xfId="44263"/>
    <cellStyle name="Heading 2 2 6 2 2 2 6 2 2" xfId="44264"/>
    <cellStyle name="Heading 2 2 6 2 2 2 6 3" xfId="44265"/>
    <cellStyle name="Heading 2 2 6 2 2 2 7" xfId="44266"/>
    <cellStyle name="Heading 2 2 6 2 2 2 7 2" xfId="44267"/>
    <cellStyle name="Heading 2 2 6 2 2 2 7 2 2" xfId="44268"/>
    <cellStyle name="Heading 2 2 6 2 2 2 7 3" xfId="44269"/>
    <cellStyle name="Heading 2 2 6 2 2 2 8" xfId="44270"/>
    <cellStyle name="Heading 2 2 6 2 2 2 8 2" xfId="44271"/>
    <cellStyle name="Heading 2 2 6 2 2 2 9" xfId="44272"/>
    <cellStyle name="Heading 2 2 6 2 2 20" xfId="44273"/>
    <cellStyle name="Heading 2 2 6 2 2 20 2" xfId="44274"/>
    <cellStyle name="Heading 2 2 6 2 2 21" xfId="44275"/>
    <cellStyle name="Heading 2 2 6 2 2 21 2" xfId="44276"/>
    <cellStyle name="Heading 2 2 6 2 2 22" xfId="44277"/>
    <cellStyle name="Heading 2 2 6 2 2 3" xfId="44278"/>
    <cellStyle name="Heading 2 2 6 2 2 3 2" xfId="44279"/>
    <cellStyle name="Heading 2 2 6 2 2 3 2 2" xfId="44280"/>
    <cellStyle name="Heading 2 2 6 2 2 3 2 2 2" xfId="44281"/>
    <cellStyle name="Heading 2 2 6 2 2 3 2 3" xfId="44282"/>
    <cellStyle name="Heading 2 2 6 2 2 3 3" xfId="44283"/>
    <cellStyle name="Heading 2 2 6 2 2 3 3 2" xfId="44284"/>
    <cellStyle name="Heading 2 2 6 2 2 3 3 2 2" xfId="44285"/>
    <cellStyle name="Heading 2 2 6 2 2 3 3 3" xfId="44286"/>
    <cellStyle name="Heading 2 2 6 2 2 3 4" xfId="44287"/>
    <cellStyle name="Heading 2 2 6 2 2 3 4 2" xfId="44288"/>
    <cellStyle name="Heading 2 2 6 2 2 3 4 2 2" xfId="44289"/>
    <cellStyle name="Heading 2 2 6 2 2 3 4 3" xfId="44290"/>
    <cellStyle name="Heading 2 2 6 2 2 3 5" xfId="44291"/>
    <cellStyle name="Heading 2 2 6 2 2 3 5 2" xfId="44292"/>
    <cellStyle name="Heading 2 2 6 2 2 3 5 2 2" xfId="44293"/>
    <cellStyle name="Heading 2 2 6 2 2 3 5 3" xfId="44294"/>
    <cellStyle name="Heading 2 2 6 2 2 3 6" xfId="44295"/>
    <cellStyle name="Heading 2 2 6 2 2 3 6 2" xfId="44296"/>
    <cellStyle name="Heading 2 2 6 2 2 3 6 2 2" xfId="44297"/>
    <cellStyle name="Heading 2 2 6 2 2 3 6 3" xfId="44298"/>
    <cellStyle name="Heading 2 2 6 2 2 3 7" xfId="44299"/>
    <cellStyle name="Heading 2 2 6 2 2 3 7 2" xfId="44300"/>
    <cellStyle name="Heading 2 2 6 2 2 3 7 2 2" xfId="44301"/>
    <cellStyle name="Heading 2 2 6 2 2 3 7 3" xfId="44302"/>
    <cellStyle name="Heading 2 2 6 2 2 3 8" xfId="44303"/>
    <cellStyle name="Heading 2 2 6 2 2 3 8 2" xfId="44304"/>
    <cellStyle name="Heading 2 2 6 2 2 3 9" xfId="44305"/>
    <cellStyle name="Heading 2 2 6 2 2 4" xfId="44306"/>
    <cellStyle name="Heading 2 2 6 2 2 4 2" xfId="44307"/>
    <cellStyle name="Heading 2 2 6 2 2 4 2 2" xfId="44308"/>
    <cellStyle name="Heading 2 2 6 2 2 4 2 2 2" xfId="44309"/>
    <cellStyle name="Heading 2 2 6 2 2 4 2 3" xfId="44310"/>
    <cellStyle name="Heading 2 2 6 2 2 4 3" xfId="44311"/>
    <cellStyle name="Heading 2 2 6 2 2 4 3 2" xfId="44312"/>
    <cellStyle name="Heading 2 2 6 2 2 4 3 2 2" xfId="44313"/>
    <cellStyle name="Heading 2 2 6 2 2 4 3 3" xfId="44314"/>
    <cellStyle name="Heading 2 2 6 2 2 4 4" xfId="44315"/>
    <cellStyle name="Heading 2 2 6 2 2 4 4 2" xfId="44316"/>
    <cellStyle name="Heading 2 2 6 2 2 4 4 2 2" xfId="44317"/>
    <cellStyle name="Heading 2 2 6 2 2 4 4 3" xfId="44318"/>
    <cellStyle name="Heading 2 2 6 2 2 4 5" xfId="44319"/>
    <cellStyle name="Heading 2 2 6 2 2 4 5 2" xfId="44320"/>
    <cellStyle name="Heading 2 2 6 2 2 4 5 2 2" xfId="44321"/>
    <cellStyle name="Heading 2 2 6 2 2 4 5 3" xfId="44322"/>
    <cellStyle name="Heading 2 2 6 2 2 4 6" xfId="44323"/>
    <cellStyle name="Heading 2 2 6 2 2 4 6 2" xfId="44324"/>
    <cellStyle name="Heading 2 2 6 2 2 4 6 2 2" xfId="44325"/>
    <cellStyle name="Heading 2 2 6 2 2 4 6 3" xfId="44326"/>
    <cellStyle name="Heading 2 2 6 2 2 4 7" xfId="44327"/>
    <cellStyle name="Heading 2 2 6 2 2 4 7 2" xfId="44328"/>
    <cellStyle name="Heading 2 2 6 2 2 4 7 2 2" xfId="44329"/>
    <cellStyle name="Heading 2 2 6 2 2 4 7 3" xfId="44330"/>
    <cellStyle name="Heading 2 2 6 2 2 4 8" xfId="44331"/>
    <cellStyle name="Heading 2 2 6 2 2 4 8 2" xfId="44332"/>
    <cellStyle name="Heading 2 2 6 2 2 4 9" xfId="44333"/>
    <cellStyle name="Heading 2 2 6 2 2 5" xfId="44334"/>
    <cellStyle name="Heading 2 2 6 2 2 5 2" xfId="44335"/>
    <cellStyle name="Heading 2 2 6 2 2 5 2 2" xfId="44336"/>
    <cellStyle name="Heading 2 2 6 2 2 5 2 2 2" xfId="44337"/>
    <cellStyle name="Heading 2 2 6 2 2 5 2 3" xfId="44338"/>
    <cellStyle name="Heading 2 2 6 2 2 5 3" xfId="44339"/>
    <cellStyle name="Heading 2 2 6 2 2 5 3 2" xfId="44340"/>
    <cellStyle name="Heading 2 2 6 2 2 5 3 2 2" xfId="44341"/>
    <cellStyle name="Heading 2 2 6 2 2 5 3 3" xfId="44342"/>
    <cellStyle name="Heading 2 2 6 2 2 5 4" xfId="44343"/>
    <cellStyle name="Heading 2 2 6 2 2 5 4 2" xfId="44344"/>
    <cellStyle name="Heading 2 2 6 2 2 5 4 2 2" xfId="44345"/>
    <cellStyle name="Heading 2 2 6 2 2 5 4 3" xfId="44346"/>
    <cellStyle name="Heading 2 2 6 2 2 5 5" xfId="44347"/>
    <cellStyle name="Heading 2 2 6 2 2 5 5 2" xfId="44348"/>
    <cellStyle name="Heading 2 2 6 2 2 5 5 2 2" xfId="44349"/>
    <cellStyle name="Heading 2 2 6 2 2 5 5 3" xfId="44350"/>
    <cellStyle name="Heading 2 2 6 2 2 5 6" xfId="44351"/>
    <cellStyle name="Heading 2 2 6 2 2 5 6 2" xfId="44352"/>
    <cellStyle name="Heading 2 2 6 2 2 5 6 2 2" xfId="44353"/>
    <cellStyle name="Heading 2 2 6 2 2 5 6 3" xfId="44354"/>
    <cellStyle name="Heading 2 2 6 2 2 5 7" xfId="44355"/>
    <cellStyle name="Heading 2 2 6 2 2 5 7 2" xfId="44356"/>
    <cellStyle name="Heading 2 2 6 2 2 5 7 2 2" xfId="44357"/>
    <cellStyle name="Heading 2 2 6 2 2 5 7 3" xfId="44358"/>
    <cellStyle name="Heading 2 2 6 2 2 5 8" xfId="44359"/>
    <cellStyle name="Heading 2 2 6 2 2 5 8 2" xfId="44360"/>
    <cellStyle name="Heading 2 2 6 2 2 5 9" xfId="44361"/>
    <cellStyle name="Heading 2 2 6 2 2 6" xfId="44362"/>
    <cellStyle name="Heading 2 2 6 2 2 6 2" xfId="44363"/>
    <cellStyle name="Heading 2 2 6 2 2 6 2 2" xfId="44364"/>
    <cellStyle name="Heading 2 2 6 2 2 6 2 2 2" xfId="44365"/>
    <cellStyle name="Heading 2 2 6 2 2 6 2 3" xfId="44366"/>
    <cellStyle name="Heading 2 2 6 2 2 6 3" xfId="44367"/>
    <cellStyle name="Heading 2 2 6 2 2 6 3 2" xfId="44368"/>
    <cellStyle name="Heading 2 2 6 2 2 6 3 2 2" xfId="44369"/>
    <cellStyle name="Heading 2 2 6 2 2 6 3 3" xfId="44370"/>
    <cellStyle name="Heading 2 2 6 2 2 6 4" xfId="44371"/>
    <cellStyle name="Heading 2 2 6 2 2 6 4 2" xfId="44372"/>
    <cellStyle name="Heading 2 2 6 2 2 6 4 2 2" xfId="44373"/>
    <cellStyle name="Heading 2 2 6 2 2 6 4 3" xfId="44374"/>
    <cellStyle name="Heading 2 2 6 2 2 6 5" xfId="44375"/>
    <cellStyle name="Heading 2 2 6 2 2 6 5 2" xfId="44376"/>
    <cellStyle name="Heading 2 2 6 2 2 6 5 2 2" xfId="44377"/>
    <cellStyle name="Heading 2 2 6 2 2 6 5 3" xfId="44378"/>
    <cellStyle name="Heading 2 2 6 2 2 6 6" xfId="44379"/>
    <cellStyle name="Heading 2 2 6 2 2 6 6 2" xfId="44380"/>
    <cellStyle name="Heading 2 2 6 2 2 6 6 2 2" xfId="44381"/>
    <cellStyle name="Heading 2 2 6 2 2 6 6 3" xfId="44382"/>
    <cellStyle name="Heading 2 2 6 2 2 6 7" xfId="44383"/>
    <cellStyle name="Heading 2 2 6 2 2 6 7 2" xfId="44384"/>
    <cellStyle name="Heading 2 2 6 2 2 6 7 2 2" xfId="44385"/>
    <cellStyle name="Heading 2 2 6 2 2 6 7 3" xfId="44386"/>
    <cellStyle name="Heading 2 2 6 2 2 6 8" xfId="44387"/>
    <cellStyle name="Heading 2 2 6 2 2 6 8 2" xfId="44388"/>
    <cellStyle name="Heading 2 2 6 2 2 6 9" xfId="44389"/>
    <cellStyle name="Heading 2 2 6 2 2 7" xfId="44390"/>
    <cellStyle name="Heading 2 2 6 2 2 7 2" xfId="44391"/>
    <cellStyle name="Heading 2 2 6 2 2 7 2 2" xfId="44392"/>
    <cellStyle name="Heading 2 2 6 2 2 7 2 2 2" xfId="44393"/>
    <cellStyle name="Heading 2 2 6 2 2 7 2 3" xfId="44394"/>
    <cellStyle name="Heading 2 2 6 2 2 7 3" xfId="44395"/>
    <cellStyle name="Heading 2 2 6 2 2 7 3 2" xfId="44396"/>
    <cellStyle name="Heading 2 2 6 2 2 7 3 2 2" xfId="44397"/>
    <cellStyle name="Heading 2 2 6 2 2 7 3 3" xfId="44398"/>
    <cellStyle name="Heading 2 2 6 2 2 7 4" xfId="44399"/>
    <cellStyle name="Heading 2 2 6 2 2 7 4 2" xfId="44400"/>
    <cellStyle name="Heading 2 2 6 2 2 7 4 2 2" xfId="44401"/>
    <cellStyle name="Heading 2 2 6 2 2 7 4 3" xfId="44402"/>
    <cellStyle name="Heading 2 2 6 2 2 7 5" xfId="44403"/>
    <cellStyle name="Heading 2 2 6 2 2 7 5 2" xfId="44404"/>
    <cellStyle name="Heading 2 2 6 2 2 7 5 2 2" xfId="44405"/>
    <cellStyle name="Heading 2 2 6 2 2 7 5 3" xfId="44406"/>
    <cellStyle name="Heading 2 2 6 2 2 7 6" xfId="44407"/>
    <cellStyle name="Heading 2 2 6 2 2 7 6 2" xfId="44408"/>
    <cellStyle name="Heading 2 2 6 2 2 7 6 2 2" xfId="44409"/>
    <cellStyle name="Heading 2 2 6 2 2 7 6 3" xfId="44410"/>
    <cellStyle name="Heading 2 2 6 2 2 7 7" xfId="44411"/>
    <cellStyle name="Heading 2 2 6 2 2 7 7 2" xfId="44412"/>
    <cellStyle name="Heading 2 2 6 2 2 7 7 2 2" xfId="44413"/>
    <cellStyle name="Heading 2 2 6 2 2 7 7 3" xfId="44414"/>
    <cellStyle name="Heading 2 2 6 2 2 7 8" xfId="44415"/>
    <cellStyle name="Heading 2 2 6 2 2 7 8 2" xfId="44416"/>
    <cellStyle name="Heading 2 2 6 2 2 7 9" xfId="44417"/>
    <cellStyle name="Heading 2 2 6 2 2 8" xfId="44418"/>
    <cellStyle name="Heading 2 2 6 2 2 8 2" xfId="44419"/>
    <cellStyle name="Heading 2 2 6 2 2 8 2 2" xfId="44420"/>
    <cellStyle name="Heading 2 2 6 2 2 8 2 2 2" xfId="44421"/>
    <cellStyle name="Heading 2 2 6 2 2 8 2 3" xfId="44422"/>
    <cellStyle name="Heading 2 2 6 2 2 8 3" xfId="44423"/>
    <cellStyle name="Heading 2 2 6 2 2 8 3 2" xfId="44424"/>
    <cellStyle name="Heading 2 2 6 2 2 8 3 2 2" xfId="44425"/>
    <cellStyle name="Heading 2 2 6 2 2 8 3 3" xfId="44426"/>
    <cellStyle name="Heading 2 2 6 2 2 8 4" xfId="44427"/>
    <cellStyle name="Heading 2 2 6 2 2 8 4 2" xfId="44428"/>
    <cellStyle name="Heading 2 2 6 2 2 8 4 2 2" xfId="44429"/>
    <cellStyle name="Heading 2 2 6 2 2 8 4 3" xfId="44430"/>
    <cellStyle name="Heading 2 2 6 2 2 8 5" xfId="44431"/>
    <cellStyle name="Heading 2 2 6 2 2 8 5 2" xfId="44432"/>
    <cellStyle name="Heading 2 2 6 2 2 8 5 2 2" xfId="44433"/>
    <cellStyle name="Heading 2 2 6 2 2 8 5 3" xfId="44434"/>
    <cellStyle name="Heading 2 2 6 2 2 8 6" xfId="44435"/>
    <cellStyle name="Heading 2 2 6 2 2 8 6 2" xfId="44436"/>
    <cellStyle name="Heading 2 2 6 2 2 8 6 2 2" xfId="44437"/>
    <cellStyle name="Heading 2 2 6 2 2 8 6 3" xfId="44438"/>
    <cellStyle name="Heading 2 2 6 2 2 8 7" xfId="44439"/>
    <cellStyle name="Heading 2 2 6 2 2 8 7 2" xfId="44440"/>
    <cellStyle name="Heading 2 2 6 2 2 8 7 2 2" xfId="44441"/>
    <cellStyle name="Heading 2 2 6 2 2 8 7 3" xfId="44442"/>
    <cellStyle name="Heading 2 2 6 2 2 8 8" xfId="44443"/>
    <cellStyle name="Heading 2 2 6 2 2 8 8 2" xfId="44444"/>
    <cellStyle name="Heading 2 2 6 2 2 8 9" xfId="44445"/>
    <cellStyle name="Heading 2 2 6 2 2 9" xfId="44446"/>
    <cellStyle name="Heading 2 2 6 2 2 9 2" xfId="44447"/>
    <cellStyle name="Heading 2 2 6 2 2 9 2 2" xfId="44448"/>
    <cellStyle name="Heading 2 2 6 2 2 9 3" xfId="44449"/>
    <cellStyle name="Heading 2 2 6 2 20" xfId="44450"/>
    <cellStyle name="Heading 2 2 6 2 20 2" xfId="44451"/>
    <cellStyle name="Heading 2 2 6 2 21" xfId="44452"/>
    <cellStyle name="Heading 2 2 6 2 21 2" xfId="44453"/>
    <cellStyle name="Heading 2 2 6 2 22" xfId="44454"/>
    <cellStyle name="Heading 2 2 6 2 22 2" xfId="44455"/>
    <cellStyle name="Heading 2 2 6 2 23" xfId="44456"/>
    <cellStyle name="Heading 2 2 6 2 3" xfId="44457"/>
    <cellStyle name="Heading 2 2 6 2 3 2" xfId="44458"/>
    <cellStyle name="Heading 2 2 6 2 3 2 2" xfId="44459"/>
    <cellStyle name="Heading 2 2 6 2 3 2 2 2" xfId="44460"/>
    <cellStyle name="Heading 2 2 6 2 3 2 3" xfId="44461"/>
    <cellStyle name="Heading 2 2 6 2 3 3" xfId="44462"/>
    <cellStyle name="Heading 2 2 6 2 3 3 2" xfId="44463"/>
    <cellStyle name="Heading 2 2 6 2 3 3 2 2" xfId="44464"/>
    <cellStyle name="Heading 2 2 6 2 3 3 3" xfId="44465"/>
    <cellStyle name="Heading 2 2 6 2 3 4" xfId="44466"/>
    <cellStyle name="Heading 2 2 6 2 3 4 2" xfId="44467"/>
    <cellStyle name="Heading 2 2 6 2 3 4 2 2" xfId="44468"/>
    <cellStyle name="Heading 2 2 6 2 3 4 3" xfId="44469"/>
    <cellStyle name="Heading 2 2 6 2 3 5" xfId="44470"/>
    <cellStyle name="Heading 2 2 6 2 3 5 2" xfId="44471"/>
    <cellStyle name="Heading 2 2 6 2 3 5 2 2" xfId="44472"/>
    <cellStyle name="Heading 2 2 6 2 3 5 3" xfId="44473"/>
    <cellStyle name="Heading 2 2 6 2 3 6" xfId="44474"/>
    <cellStyle name="Heading 2 2 6 2 3 6 2" xfId="44475"/>
    <cellStyle name="Heading 2 2 6 2 3 6 2 2" xfId="44476"/>
    <cellStyle name="Heading 2 2 6 2 3 6 3" xfId="44477"/>
    <cellStyle name="Heading 2 2 6 2 3 7" xfId="44478"/>
    <cellStyle name="Heading 2 2 6 2 3 7 2" xfId="44479"/>
    <cellStyle name="Heading 2 2 6 2 3 7 2 2" xfId="44480"/>
    <cellStyle name="Heading 2 2 6 2 3 7 3" xfId="44481"/>
    <cellStyle name="Heading 2 2 6 2 3 8" xfId="44482"/>
    <cellStyle name="Heading 2 2 6 2 3 8 2" xfId="44483"/>
    <cellStyle name="Heading 2 2 6 2 3 9" xfId="44484"/>
    <cellStyle name="Heading 2 2 6 2 4" xfId="44485"/>
    <cellStyle name="Heading 2 2 6 2 4 2" xfId="44486"/>
    <cellStyle name="Heading 2 2 6 2 4 2 2" xfId="44487"/>
    <cellStyle name="Heading 2 2 6 2 4 2 2 2" xfId="44488"/>
    <cellStyle name="Heading 2 2 6 2 4 2 3" xfId="44489"/>
    <cellStyle name="Heading 2 2 6 2 4 3" xfId="44490"/>
    <cellStyle name="Heading 2 2 6 2 4 3 2" xfId="44491"/>
    <cellStyle name="Heading 2 2 6 2 4 3 2 2" xfId="44492"/>
    <cellStyle name="Heading 2 2 6 2 4 3 3" xfId="44493"/>
    <cellStyle name="Heading 2 2 6 2 4 4" xfId="44494"/>
    <cellStyle name="Heading 2 2 6 2 4 4 2" xfId="44495"/>
    <cellStyle name="Heading 2 2 6 2 4 4 2 2" xfId="44496"/>
    <cellStyle name="Heading 2 2 6 2 4 4 3" xfId="44497"/>
    <cellStyle name="Heading 2 2 6 2 4 5" xfId="44498"/>
    <cellStyle name="Heading 2 2 6 2 4 5 2" xfId="44499"/>
    <cellStyle name="Heading 2 2 6 2 4 5 2 2" xfId="44500"/>
    <cellStyle name="Heading 2 2 6 2 4 5 3" xfId="44501"/>
    <cellStyle name="Heading 2 2 6 2 4 6" xfId="44502"/>
    <cellStyle name="Heading 2 2 6 2 4 6 2" xfId="44503"/>
    <cellStyle name="Heading 2 2 6 2 4 6 2 2" xfId="44504"/>
    <cellStyle name="Heading 2 2 6 2 4 6 3" xfId="44505"/>
    <cellStyle name="Heading 2 2 6 2 4 7" xfId="44506"/>
    <cellStyle name="Heading 2 2 6 2 4 7 2" xfId="44507"/>
    <cellStyle name="Heading 2 2 6 2 4 7 2 2" xfId="44508"/>
    <cellStyle name="Heading 2 2 6 2 4 7 3" xfId="44509"/>
    <cellStyle name="Heading 2 2 6 2 4 8" xfId="44510"/>
    <cellStyle name="Heading 2 2 6 2 4 8 2" xfId="44511"/>
    <cellStyle name="Heading 2 2 6 2 4 9" xfId="44512"/>
    <cellStyle name="Heading 2 2 6 2 5" xfId="44513"/>
    <cellStyle name="Heading 2 2 6 2 5 2" xfId="44514"/>
    <cellStyle name="Heading 2 2 6 2 5 2 2" xfId="44515"/>
    <cellStyle name="Heading 2 2 6 2 5 2 2 2" xfId="44516"/>
    <cellStyle name="Heading 2 2 6 2 5 2 3" xfId="44517"/>
    <cellStyle name="Heading 2 2 6 2 5 3" xfId="44518"/>
    <cellStyle name="Heading 2 2 6 2 5 3 2" xfId="44519"/>
    <cellStyle name="Heading 2 2 6 2 5 3 2 2" xfId="44520"/>
    <cellStyle name="Heading 2 2 6 2 5 3 3" xfId="44521"/>
    <cellStyle name="Heading 2 2 6 2 5 4" xfId="44522"/>
    <cellStyle name="Heading 2 2 6 2 5 4 2" xfId="44523"/>
    <cellStyle name="Heading 2 2 6 2 5 4 2 2" xfId="44524"/>
    <cellStyle name="Heading 2 2 6 2 5 4 3" xfId="44525"/>
    <cellStyle name="Heading 2 2 6 2 5 5" xfId="44526"/>
    <cellStyle name="Heading 2 2 6 2 5 5 2" xfId="44527"/>
    <cellStyle name="Heading 2 2 6 2 5 5 2 2" xfId="44528"/>
    <cellStyle name="Heading 2 2 6 2 5 5 3" xfId="44529"/>
    <cellStyle name="Heading 2 2 6 2 5 6" xfId="44530"/>
    <cellStyle name="Heading 2 2 6 2 5 6 2" xfId="44531"/>
    <cellStyle name="Heading 2 2 6 2 5 6 2 2" xfId="44532"/>
    <cellStyle name="Heading 2 2 6 2 5 6 3" xfId="44533"/>
    <cellStyle name="Heading 2 2 6 2 5 7" xfId="44534"/>
    <cellStyle name="Heading 2 2 6 2 5 7 2" xfId="44535"/>
    <cellStyle name="Heading 2 2 6 2 5 7 2 2" xfId="44536"/>
    <cellStyle name="Heading 2 2 6 2 5 7 3" xfId="44537"/>
    <cellStyle name="Heading 2 2 6 2 5 8" xfId="44538"/>
    <cellStyle name="Heading 2 2 6 2 5 8 2" xfId="44539"/>
    <cellStyle name="Heading 2 2 6 2 5 9" xfId="44540"/>
    <cellStyle name="Heading 2 2 6 2 6" xfId="44541"/>
    <cellStyle name="Heading 2 2 6 2 6 2" xfId="44542"/>
    <cellStyle name="Heading 2 2 6 2 6 2 2" xfId="44543"/>
    <cellStyle name="Heading 2 2 6 2 6 2 2 2" xfId="44544"/>
    <cellStyle name="Heading 2 2 6 2 6 2 3" xfId="44545"/>
    <cellStyle name="Heading 2 2 6 2 6 3" xfId="44546"/>
    <cellStyle name="Heading 2 2 6 2 6 3 2" xfId="44547"/>
    <cellStyle name="Heading 2 2 6 2 6 3 2 2" xfId="44548"/>
    <cellStyle name="Heading 2 2 6 2 6 3 3" xfId="44549"/>
    <cellStyle name="Heading 2 2 6 2 6 4" xfId="44550"/>
    <cellStyle name="Heading 2 2 6 2 6 4 2" xfId="44551"/>
    <cellStyle name="Heading 2 2 6 2 6 4 2 2" xfId="44552"/>
    <cellStyle name="Heading 2 2 6 2 6 4 3" xfId="44553"/>
    <cellStyle name="Heading 2 2 6 2 6 5" xfId="44554"/>
    <cellStyle name="Heading 2 2 6 2 6 5 2" xfId="44555"/>
    <cellStyle name="Heading 2 2 6 2 6 5 2 2" xfId="44556"/>
    <cellStyle name="Heading 2 2 6 2 6 5 3" xfId="44557"/>
    <cellStyle name="Heading 2 2 6 2 6 6" xfId="44558"/>
    <cellStyle name="Heading 2 2 6 2 6 6 2" xfId="44559"/>
    <cellStyle name="Heading 2 2 6 2 6 6 2 2" xfId="44560"/>
    <cellStyle name="Heading 2 2 6 2 6 6 3" xfId="44561"/>
    <cellStyle name="Heading 2 2 6 2 6 7" xfId="44562"/>
    <cellStyle name="Heading 2 2 6 2 6 7 2" xfId="44563"/>
    <cellStyle name="Heading 2 2 6 2 6 7 2 2" xfId="44564"/>
    <cellStyle name="Heading 2 2 6 2 6 7 3" xfId="44565"/>
    <cellStyle name="Heading 2 2 6 2 6 8" xfId="44566"/>
    <cellStyle name="Heading 2 2 6 2 6 8 2" xfId="44567"/>
    <cellStyle name="Heading 2 2 6 2 6 9" xfId="44568"/>
    <cellStyle name="Heading 2 2 6 2 7" xfId="44569"/>
    <cellStyle name="Heading 2 2 6 2 7 2" xfId="44570"/>
    <cellStyle name="Heading 2 2 6 2 7 2 2" xfId="44571"/>
    <cellStyle name="Heading 2 2 6 2 7 2 2 2" xfId="44572"/>
    <cellStyle name="Heading 2 2 6 2 7 2 3" xfId="44573"/>
    <cellStyle name="Heading 2 2 6 2 7 3" xfId="44574"/>
    <cellStyle name="Heading 2 2 6 2 7 3 2" xfId="44575"/>
    <cellStyle name="Heading 2 2 6 2 7 3 2 2" xfId="44576"/>
    <cellStyle name="Heading 2 2 6 2 7 3 3" xfId="44577"/>
    <cellStyle name="Heading 2 2 6 2 7 4" xfId="44578"/>
    <cellStyle name="Heading 2 2 6 2 7 4 2" xfId="44579"/>
    <cellStyle name="Heading 2 2 6 2 7 4 2 2" xfId="44580"/>
    <cellStyle name="Heading 2 2 6 2 7 4 3" xfId="44581"/>
    <cellStyle name="Heading 2 2 6 2 7 5" xfId="44582"/>
    <cellStyle name="Heading 2 2 6 2 7 5 2" xfId="44583"/>
    <cellStyle name="Heading 2 2 6 2 7 5 2 2" xfId="44584"/>
    <cellStyle name="Heading 2 2 6 2 7 5 3" xfId="44585"/>
    <cellStyle name="Heading 2 2 6 2 7 6" xfId="44586"/>
    <cellStyle name="Heading 2 2 6 2 7 6 2" xfId="44587"/>
    <cellStyle name="Heading 2 2 6 2 7 6 2 2" xfId="44588"/>
    <cellStyle name="Heading 2 2 6 2 7 6 3" xfId="44589"/>
    <cellStyle name="Heading 2 2 6 2 7 7" xfId="44590"/>
    <cellStyle name="Heading 2 2 6 2 7 7 2" xfId="44591"/>
    <cellStyle name="Heading 2 2 6 2 7 7 2 2" xfId="44592"/>
    <cellStyle name="Heading 2 2 6 2 7 7 3" xfId="44593"/>
    <cellStyle name="Heading 2 2 6 2 7 8" xfId="44594"/>
    <cellStyle name="Heading 2 2 6 2 7 8 2" xfId="44595"/>
    <cellStyle name="Heading 2 2 6 2 7 9" xfId="44596"/>
    <cellStyle name="Heading 2 2 6 2 8" xfId="44597"/>
    <cellStyle name="Heading 2 2 6 2 8 2" xfId="44598"/>
    <cellStyle name="Heading 2 2 6 2 8 2 2" xfId="44599"/>
    <cellStyle name="Heading 2 2 6 2 8 2 2 2" xfId="44600"/>
    <cellStyle name="Heading 2 2 6 2 8 2 3" xfId="44601"/>
    <cellStyle name="Heading 2 2 6 2 8 3" xfId="44602"/>
    <cellStyle name="Heading 2 2 6 2 8 3 2" xfId="44603"/>
    <cellStyle name="Heading 2 2 6 2 8 3 2 2" xfId="44604"/>
    <cellStyle name="Heading 2 2 6 2 8 3 3" xfId="44605"/>
    <cellStyle name="Heading 2 2 6 2 8 4" xfId="44606"/>
    <cellStyle name="Heading 2 2 6 2 8 4 2" xfId="44607"/>
    <cellStyle name="Heading 2 2 6 2 8 4 2 2" xfId="44608"/>
    <cellStyle name="Heading 2 2 6 2 8 4 3" xfId="44609"/>
    <cellStyle name="Heading 2 2 6 2 8 5" xfId="44610"/>
    <cellStyle name="Heading 2 2 6 2 8 5 2" xfId="44611"/>
    <cellStyle name="Heading 2 2 6 2 8 5 2 2" xfId="44612"/>
    <cellStyle name="Heading 2 2 6 2 8 5 3" xfId="44613"/>
    <cellStyle name="Heading 2 2 6 2 8 6" xfId="44614"/>
    <cellStyle name="Heading 2 2 6 2 8 6 2" xfId="44615"/>
    <cellStyle name="Heading 2 2 6 2 8 6 2 2" xfId="44616"/>
    <cellStyle name="Heading 2 2 6 2 8 6 3" xfId="44617"/>
    <cellStyle name="Heading 2 2 6 2 8 7" xfId="44618"/>
    <cellStyle name="Heading 2 2 6 2 8 7 2" xfId="44619"/>
    <cellStyle name="Heading 2 2 6 2 8 7 2 2" xfId="44620"/>
    <cellStyle name="Heading 2 2 6 2 8 7 3" xfId="44621"/>
    <cellStyle name="Heading 2 2 6 2 8 8" xfId="44622"/>
    <cellStyle name="Heading 2 2 6 2 8 8 2" xfId="44623"/>
    <cellStyle name="Heading 2 2 6 2 8 9" xfId="44624"/>
    <cellStyle name="Heading 2 2 6 2 9" xfId="44625"/>
    <cellStyle name="Heading 2 2 6 2 9 2" xfId="44626"/>
    <cellStyle name="Heading 2 2 6 2 9 2 2" xfId="44627"/>
    <cellStyle name="Heading 2 2 6 2 9 2 2 2" xfId="44628"/>
    <cellStyle name="Heading 2 2 6 2 9 2 3" xfId="44629"/>
    <cellStyle name="Heading 2 2 6 2 9 3" xfId="44630"/>
    <cellStyle name="Heading 2 2 6 2 9 3 2" xfId="44631"/>
    <cellStyle name="Heading 2 2 6 2 9 3 2 2" xfId="44632"/>
    <cellStyle name="Heading 2 2 6 2 9 3 3" xfId="44633"/>
    <cellStyle name="Heading 2 2 6 2 9 4" xfId="44634"/>
    <cellStyle name="Heading 2 2 6 2 9 4 2" xfId="44635"/>
    <cellStyle name="Heading 2 2 6 2 9 4 2 2" xfId="44636"/>
    <cellStyle name="Heading 2 2 6 2 9 4 3" xfId="44637"/>
    <cellStyle name="Heading 2 2 6 2 9 5" xfId="44638"/>
    <cellStyle name="Heading 2 2 6 2 9 5 2" xfId="44639"/>
    <cellStyle name="Heading 2 2 6 2 9 5 2 2" xfId="44640"/>
    <cellStyle name="Heading 2 2 6 2 9 5 3" xfId="44641"/>
    <cellStyle name="Heading 2 2 6 2 9 6" xfId="44642"/>
    <cellStyle name="Heading 2 2 6 2 9 6 2" xfId="44643"/>
    <cellStyle name="Heading 2 2 6 2 9 6 2 2" xfId="44644"/>
    <cellStyle name="Heading 2 2 6 2 9 6 3" xfId="44645"/>
    <cellStyle name="Heading 2 2 6 2 9 7" xfId="44646"/>
    <cellStyle name="Heading 2 2 6 2 9 7 2" xfId="44647"/>
    <cellStyle name="Heading 2 2 6 2 9 7 2 2" xfId="44648"/>
    <cellStyle name="Heading 2 2 6 2 9 7 3" xfId="44649"/>
    <cellStyle name="Heading 2 2 6 2 9 8" xfId="44650"/>
    <cellStyle name="Heading 2 2 6 2 9 8 2" xfId="44651"/>
    <cellStyle name="Heading 2 2 6 2 9 9" xfId="44652"/>
    <cellStyle name="Heading 2 2 6 3" xfId="44653"/>
    <cellStyle name="Heading 2 2 6 3 10" xfId="44654"/>
    <cellStyle name="Heading 2 2 6 3 10 2" xfId="44655"/>
    <cellStyle name="Heading 2 2 6 3 10 2 2" xfId="44656"/>
    <cellStyle name="Heading 2 2 6 3 10 3" xfId="44657"/>
    <cellStyle name="Heading 2 2 6 3 11" xfId="44658"/>
    <cellStyle name="Heading 2 2 6 3 11 2" xfId="44659"/>
    <cellStyle name="Heading 2 2 6 3 11 2 2" xfId="44660"/>
    <cellStyle name="Heading 2 2 6 3 11 3" xfId="44661"/>
    <cellStyle name="Heading 2 2 6 3 12" xfId="44662"/>
    <cellStyle name="Heading 2 2 6 3 12 2" xfId="44663"/>
    <cellStyle name="Heading 2 2 6 3 12 2 2" xfId="44664"/>
    <cellStyle name="Heading 2 2 6 3 12 3" xfId="44665"/>
    <cellStyle name="Heading 2 2 6 3 13" xfId="44666"/>
    <cellStyle name="Heading 2 2 6 3 13 2" xfId="44667"/>
    <cellStyle name="Heading 2 2 6 3 13 2 2" xfId="44668"/>
    <cellStyle name="Heading 2 2 6 3 13 3" xfId="44669"/>
    <cellStyle name="Heading 2 2 6 3 14" xfId="44670"/>
    <cellStyle name="Heading 2 2 6 3 14 2" xfId="44671"/>
    <cellStyle name="Heading 2 2 6 3 14 2 2" xfId="44672"/>
    <cellStyle name="Heading 2 2 6 3 14 3" xfId="44673"/>
    <cellStyle name="Heading 2 2 6 3 15" xfId="44674"/>
    <cellStyle name="Heading 2 2 6 3 15 2" xfId="44675"/>
    <cellStyle name="Heading 2 2 6 3 15 2 2" xfId="44676"/>
    <cellStyle name="Heading 2 2 6 3 15 3" xfId="44677"/>
    <cellStyle name="Heading 2 2 6 3 16" xfId="44678"/>
    <cellStyle name="Heading 2 2 6 3 16 2" xfId="44679"/>
    <cellStyle name="Heading 2 2 6 3 16 2 2" xfId="44680"/>
    <cellStyle name="Heading 2 2 6 3 16 3" xfId="44681"/>
    <cellStyle name="Heading 2 2 6 3 17" xfId="44682"/>
    <cellStyle name="Heading 2 2 6 3 17 2" xfId="44683"/>
    <cellStyle name="Heading 2 2 6 3 17 2 2" xfId="44684"/>
    <cellStyle name="Heading 2 2 6 3 17 3" xfId="44685"/>
    <cellStyle name="Heading 2 2 6 3 18" xfId="44686"/>
    <cellStyle name="Heading 2 2 6 3 18 2" xfId="44687"/>
    <cellStyle name="Heading 2 2 6 3 18 2 2" xfId="44688"/>
    <cellStyle name="Heading 2 2 6 3 18 3" xfId="44689"/>
    <cellStyle name="Heading 2 2 6 3 19" xfId="44690"/>
    <cellStyle name="Heading 2 2 6 3 19 2" xfId="44691"/>
    <cellStyle name="Heading 2 2 6 3 2" xfId="44692"/>
    <cellStyle name="Heading 2 2 6 3 2 2" xfId="44693"/>
    <cellStyle name="Heading 2 2 6 3 2 2 2" xfId="44694"/>
    <cellStyle name="Heading 2 2 6 3 2 2 2 2" xfId="44695"/>
    <cellStyle name="Heading 2 2 6 3 2 2 3" xfId="44696"/>
    <cellStyle name="Heading 2 2 6 3 2 3" xfId="44697"/>
    <cellStyle name="Heading 2 2 6 3 2 3 2" xfId="44698"/>
    <cellStyle name="Heading 2 2 6 3 2 3 2 2" xfId="44699"/>
    <cellStyle name="Heading 2 2 6 3 2 3 3" xfId="44700"/>
    <cellStyle name="Heading 2 2 6 3 2 4" xfId="44701"/>
    <cellStyle name="Heading 2 2 6 3 2 4 2" xfId="44702"/>
    <cellStyle name="Heading 2 2 6 3 2 4 2 2" xfId="44703"/>
    <cellStyle name="Heading 2 2 6 3 2 4 3" xfId="44704"/>
    <cellStyle name="Heading 2 2 6 3 2 5" xfId="44705"/>
    <cellStyle name="Heading 2 2 6 3 2 5 2" xfId="44706"/>
    <cellStyle name="Heading 2 2 6 3 2 5 2 2" xfId="44707"/>
    <cellStyle name="Heading 2 2 6 3 2 5 3" xfId="44708"/>
    <cellStyle name="Heading 2 2 6 3 2 6" xfId="44709"/>
    <cellStyle name="Heading 2 2 6 3 2 6 2" xfId="44710"/>
    <cellStyle name="Heading 2 2 6 3 2 6 2 2" xfId="44711"/>
    <cellStyle name="Heading 2 2 6 3 2 6 3" xfId="44712"/>
    <cellStyle name="Heading 2 2 6 3 2 7" xfId="44713"/>
    <cellStyle name="Heading 2 2 6 3 2 7 2" xfId="44714"/>
    <cellStyle name="Heading 2 2 6 3 2 7 2 2" xfId="44715"/>
    <cellStyle name="Heading 2 2 6 3 2 7 3" xfId="44716"/>
    <cellStyle name="Heading 2 2 6 3 2 8" xfId="44717"/>
    <cellStyle name="Heading 2 2 6 3 2 8 2" xfId="44718"/>
    <cellStyle name="Heading 2 2 6 3 2 9" xfId="44719"/>
    <cellStyle name="Heading 2 2 6 3 20" xfId="44720"/>
    <cellStyle name="Heading 2 2 6 3 20 2" xfId="44721"/>
    <cellStyle name="Heading 2 2 6 3 21" xfId="44722"/>
    <cellStyle name="Heading 2 2 6 3 21 2" xfId="44723"/>
    <cellStyle name="Heading 2 2 6 3 22" xfId="44724"/>
    <cellStyle name="Heading 2 2 6 3 3" xfId="44725"/>
    <cellStyle name="Heading 2 2 6 3 3 2" xfId="44726"/>
    <cellStyle name="Heading 2 2 6 3 3 2 2" xfId="44727"/>
    <cellStyle name="Heading 2 2 6 3 3 2 2 2" xfId="44728"/>
    <cellStyle name="Heading 2 2 6 3 3 2 3" xfId="44729"/>
    <cellStyle name="Heading 2 2 6 3 3 3" xfId="44730"/>
    <cellStyle name="Heading 2 2 6 3 3 3 2" xfId="44731"/>
    <cellStyle name="Heading 2 2 6 3 3 3 2 2" xfId="44732"/>
    <cellStyle name="Heading 2 2 6 3 3 3 3" xfId="44733"/>
    <cellStyle name="Heading 2 2 6 3 3 4" xfId="44734"/>
    <cellStyle name="Heading 2 2 6 3 3 4 2" xfId="44735"/>
    <cellStyle name="Heading 2 2 6 3 3 4 2 2" xfId="44736"/>
    <cellStyle name="Heading 2 2 6 3 3 4 3" xfId="44737"/>
    <cellStyle name="Heading 2 2 6 3 3 5" xfId="44738"/>
    <cellStyle name="Heading 2 2 6 3 3 5 2" xfId="44739"/>
    <cellStyle name="Heading 2 2 6 3 3 5 2 2" xfId="44740"/>
    <cellStyle name="Heading 2 2 6 3 3 5 3" xfId="44741"/>
    <cellStyle name="Heading 2 2 6 3 3 6" xfId="44742"/>
    <cellStyle name="Heading 2 2 6 3 3 6 2" xfId="44743"/>
    <cellStyle name="Heading 2 2 6 3 3 6 2 2" xfId="44744"/>
    <cellStyle name="Heading 2 2 6 3 3 6 3" xfId="44745"/>
    <cellStyle name="Heading 2 2 6 3 3 7" xfId="44746"/>
    <cellStyle name="Heading 2 2 6 3 3 7 2" xfId="44747"/>
    <cellStyle name="Heading 2 2 6 3 3 7 2 2" xfId="44748"/>
    <cellStyle name="Heading 2 2 6 3 3 7 3" xfId="44749"/>
    <cellStyle name="Heading 2 2 6 3 3 8" xfId="44750"/>
    <cellStyle name="Heading 2 2 6 3 3 8 2" xfId="44751"/>
    <cellStyle name="Heading 2 2 6 3 3 9" xfId="44752"/>
    <cellStyle name="Heading 2 2 6 3 4" xfId="44753"/>
    <cellStyle name="Heading 2 2 6 3 4 2" xfId="44754"/>
    <cellStyle name="Heading 2 2 6 3 4 2 2" xfId="44755"/>
    <cellStyle name="Heading 2 2 6 3 4 2 2 2" xfId="44756"/>
    <cellStyle name="Heading 2 2 6 3 4 2 3" xfId="44757"/>
    <cellStyle name="Heading 2 2 6 3 4 3" xfId="44758"/>
    <cellStyle name="Heading 2 2 6 3 4 3 2" xfId="44759"/>
    <cellStyle name="Heading 2 2 6 3 4 3 2 2" xfId="44760"/>
    <cellStyle name="Heading 2 2 6 3 4 3 3" xfId="44761"/>
    <cellStyle name="Heading 2 2 6 3 4 4" xfId="44762"/>
    <cellStyle name="Heading 2 2 6 3 4 4 2" xfId="44763"/>
    <cellStyle name="Heading 2 2 6 3 4 4 2 2" xfId="44764"/>
    <cellStyle name="Heading 2 2 6 3 4 4 3" xfId="44765"/>
    <cellStyle name="Heading 2 2 6 3 4 5" xfId="44766"/>
    <cellStyle name="Heading 2 2 6 3 4 5 2" xfId="44767"/>
    <cellStyle name="Heading 2 2 6 3 4 5 2 2" xfId="44768"/>
    <cellStyle name="Heading 2 2 6 3 4 5 3" xfId="44769"/>
    <cellStyle name="Heading 2 2 6 3 4 6" xfId="44770"/>
    <cellStyle name="Heading 2 2 6 3 4 6 2" xfId="44771"/>
    <cellStyle name="Heading 2 2 6 3 4 6 2 2" xfId="44772"/>
    <cellStyle name="Heading 2 2 6 3 4 6 3" xfId="44773"/>
    <cellStyle name="Heading 2 2 6 3 4 7" xfId="44774"/>
    <cellStyle name="Heading 2 2 6 3 4 7 2" xfId="44775"/>
    <cellStyle name="Heading 2 2 6 3 4 7 2 2" xfId="44776"/>
    <cellStyle name="Heading 2 2 6 3 4 7 3" xfId="44777"/>
    <cellStyle name="Heading 2 2 6 3 4 8" xfId="44778"/>
    <cellStyle name="Heading 2 2 6 3 4 8 2" xfId="44779"/>
    <cellStyle name="Heading 2 2 6 3 4 9" xfId="44780"/>
    <cellStyle name="Heading 2 2 6 3 5" xfId="44781"/>
    <cellStyle name="Heading 2 2 6 3 5 2" xfId="44782"/>
    <cellStyle name="Heading 2 2 6 3 5 2 2" xfId="44783"/>
    <cellStyle name="Heading 2 2 6 3 5 2 2 2" xfId="44784"/>
    <cellStyle name="Heading 2 2 6 3 5 2 3" xfId="44785"/>
    <cellStyle name="Heading 2 2 6 3 5 3" xfId="44786"/>
    <cellStyle name="Heading 2 2 6 3 5 3 2" xfId="44787"/>
    <cellStyle name="Heading 2 2 6 3 5 3 2 2" xfId="44788"/>
    <cellStyle name="Heading 2 2 6 3 5 3 3" xfId="44789"/>
    <cellStyle name="Heading 2 2 6 3 5 4" xfId="44790"/>
    <cellStyle name="Heading 2 2 6 3 5 4 2" xfId="44791"/>
    <cellStyle name="Heading 2 2 6 3 5 4 2 2" xfId="44792"/>
    <cellStyle name="Heading 2 2 6 3 5 4 3" xfId="44793"/>
    <cellStyle name="Heading 2 2 6 3 5 5" xfId="44794"/>
    <cellStyle name="Heading 2 2 6 3 5 5 2" xfId="44795"/>
    <cellStyle name="Heading 2 2 6 3 5 5 2 2" xfId="44796"/>
    <cellStyle name="Heading 2 2 6 3 5 5 3" xfId="44797"/>
    <cellStyle name="Heading 2 2 6 3 5 6" xfId="44798"/>
    <cellStyle name="Heading 2 2 6 3 5 6 2" xfId="44799"/>
    <cellStyle name="Heading 2 2 6 3 5 6 2 2" xfId="44800"/>
    <cellStyle name="Heading 2 2 6 3 5 6 3" xfId="44801"/>
    <cellStyle name="Heading 2 2 6 3 5 7" xfId="44802"/>
    <cellStyle name="Heading 2 2 6 3 5 7 2" xfId="44803"/>
    <cellStyle name="Heading 2 2 6 3 5 7 2 2" xfId="44804"/>
    <cellStyle name="Heading 2 2 6 3 5 7 3" xfId="44805"/>
    <cellStyle name="Heading 2 2 6 3 5 8" xfId="44806"/>
    <cellStyle name="Heading 2 2 6 3 5 8 2" xfId="44807"/>
    <cellStyle name="Heading 2 2 6 3 5 9" xfId="44808"/>
    <cellStyle name="Heading 2 2 6 3 6" xfId="44809"/>
    <cellStyle name="Heading 2 2 6 3 6 2" xfId="44810"/>
    <cellStyle name="Heading 2 2 6 3 6 2 2" xfId="44811"/>
    <cellStyle name="Heading 2 2 6 3 6 2 2 2" xfId="44812"/>
    <cellStyle name="Heading 2 2 6 3 6 2 3" xfId="44813"/>
    <cellStyle name="Heading 2 2 6 3 6 3" xfId="44814"/>
    <cellStyle name="Heading 2 2 6 3 6 3 2" xfId="44815"/>
    <cellStyle name="Heading 2 2 6 3 6 3 2 2" xfId="44816"/>
    <cellStyle name="Heading 2 2 6 3 6 3 3" xfId="44817"/>
    <cellStyle name="Heading 2 2 6 3 6 4" xfId="44818"/>
    <cellStyle name="Heading 2 2 6 3 6 4 2" xfId="44819"/>
    <cellStyle name="Heading 2 2 6 3 6 4 2 2" xfId="44820"/>
    <cellStyle name="Heading 2 2 6 3 6 4 3" xfId="44821"/>
    <cellStyle name="Heading 2 2 6 3 6 5" xfId="44822"/>
    <cellStyle name="Heading 2 2 6 3 6 5 2" xfId="44823"/>
    <cellStyle name="Heading 2 2 6 3 6 5 2 2" xfId="44824"/>
    <cellStyle name="Heading 2 2 6 3 6 5 3" xfId="44825"/>
    <cellStyle name="Heading 2 2 6 3 6 6" xfId="44826"/>
    <cellStyle name="Heading 2 2 6 3 6 6 2" xfId="44827"/>
    <cellStyle name="Heading 2 2 6 3 6 6 2 2" xfId="44828"/>
    <cellStyle name="Heading 2 2 6 3 6 6 3" xfId="44829"/>
    <cellStyle name="Heading 2 2 6 3 6 7" xfId="44830"/>
    <cellStyle name="Heading 2 2 6 3 6 7 2" xfId="44831"/>
    <cellStyle name="Heading 2 2 6 3 6 7 2 2" xfId="44832"/>
    <cellStyle name="Heading 2 2 6 3 6 7 3" xfId="44833"/>
    <cellStyle name="Heading 2 2 6 3 6 8" xfId="44834"/>
    <cellStyle name="Heading 2 2 6 3 6 8 2" xfId="44835"/>
    <cellStyle name="Heading 2 2 6 3 6 9" xfId="44836"/>
    <cellStyle name="Heading 2 2 6 3 7" xfId="44837"/>
    <cellStyle name="Heading 2 2 6 3 7 2" xfId="44838"/>
    <cellStyle name="Heading 2 2 6 3 7 2 2" xfId="44839"/>
    <cellStyle name="Heading 2 2 6 3 7 2 2 2" xfId="44840"/>
    <cellStyle name="Heading 2 2 6 3 7 2 3" xfId="44841"/>
    <cellStyle name="Heading 2 2 6 3 7 3" xfId="44842"/>
    <cellStyle name="Heading 2 2 6 3 7 3 2" xfId="44843"/>
    <cellStyle name="Heading 2 2 6 3 7 3 2 2" xfId="44844"/>
    <cellStyle name="Heading 2 2 6 3 7 3 3" xfId="44845"/>
    <cellStyle name="Heading 2 2 6 3 7 4" xfId="44846"/>
    <cellStyle name="Heading 2 2 6 3 7 4 2" xfId="44847"/>
    <cellStyle name="Heading 2 2 6 3 7 4 2 2" xfId="44848"/>
    <cellStyle name="Heading 2 2 6 3 7 4 3" xfId="44849"/>
    <cellStyle name="Heading 2 2 6 3 7 5" xfId="44850"/>
    <cellStyle name="Heading 2 2 6 3 7 5 2" xfId="44851"/>
    <cellStyle name="Heading 2 2 6 3 7 5 2 2" xfId="44852"/>
    <cellStyle name="Heading 2 2 6 3 7 5 3" xfId="44853"/>
    <cellStyle name="Heading 2 2 6 3 7 6" xfId="44854"/>
    <cellStyle name="Heading 2 2 6 3 7 6 2" xfId="44855"/>
    <cellStyle name="Heading 2 2 6 3 7 6 2 2" xfId="44856"/>
    <cellStyle name="Heading 2 2 6 3 7 6 3" xfId="44857"/>
    <cellStyle name="Heading 2 2 6 3 7 7" xfId="44858"/>
    <cellStyle name="Heading 2 2 6 3 7 7 2" xfId="44859"/>
    <cellStyle name="Heading 2 2 6 3 7 7 2 2" xfId="44860"/>
    <cellStyle name="Heading 2 2 6 3 7 7 3" xfId="44861"/>
    <cellStyle name="Heading 2 2 6 3 7 8" xfId="44862"/>
    <cellStyle name="Heading 2 2 6 3 7 8 2" xfId="44863"/>
    <cellStyle name="Heading 2 2 6 3 7 9" xfId="44864"/>
    <cellStyle name="Heading 2 2 6 3 8" xfId="44865"/>
    <cellStyle name="Heading 2 2 6 3 8 2" xfId="44866"/>
    <cellStyle name="Heading 2 2 6 3 8 2 2" xfId="44867"/>
    <cellStyle name="Heading 2 2 6 3 8 2 2 2" xfId="44868"/>
    <cellStyle name="Heading 2 2 6 3 8 2 3" xfId="44869"/>
    <cellStyle name="Heading 2 2 6 3 8 3" xfId="44870"/>
    <cellStyle name="Heading 2 2 6 3 8 3 2" xfId="44871"/>
    <cellStyle name="Heading 2 2 6 3 8 3 2 2" xfId="44872"/>
    <cellStyle name="Heading 2 2 6 3 8 3 3" xfId="44873"/>
    <cellStyle name="Heading 2 2 6 3 8 4" xfId="44874"/>
    <cellStyle name="Heading 2 2 6 3 8 4 2" xfId="44875"/>
    <cellStyle name="Heading 2 2 6 3 8 4 2 2" xfId="44876"/>
    <cellStyle name="Heading 2 2 6 3 8 4 3" xfId="44877"/>
    <cellStyle name="Heading 2 2 6 3 8 5" xfId="44878"/>
    <cellStyle name="Heading 2 2 6 3 8 5 2" xfId="44879"/>
    <cellStyle name="Heading 2 2 6 3 8 5 2 2" xfId="44880"/>
    <cellStyle name="Heading 2 2 6 3 8 5 3" xfId="44881"/>
    <cellStyle name="Heading 2 2 6 3 8 6" xfId="44882"/>
    <cellStyle name="Heading 2 2 6 3 8 6 2" xfId="44883"/>
    <cellStyle name="Heading 2 2 6 3 8 6 2 2" xfId="44884"/>
    <cellStyle name="Heading 2 2 6 3 8 6 3" xfId="44885"/>
    <cellStyle name="Heading 2 2 6 3 8 7" xfId="44886"/>
    <cellStyle name="Heading 2 2 6 3 8 7 2" xfId="44887"/>
    <cellStyle name="Heading 2 2 6 3 8 7 2 2" xfId="44888"/>
    <cellStyle name="Heading 2 2 6 3 8 7 3" xfId="44889"/>
    <cellStyle name="Heading 2 2 6 3 8 8" xfId="44890"/>
    <cellStyle name="Heading 2 2 6 3 8 8 2" xfId="44891"/>
    <cellStyle name="Heading 2 2 6 3 8 9" xfId="44892"/>
    <cellStyle name="Heading 2 2 6 3 9" xfId="44893"/>
    <cellStyle name="Heading 2 2 6 3 9 2" xfId="44894"/>
    <cellStyle name="Heading 2 2 6 3 9 2 2" xfId="44895"/>
    <cellStyle name="Heading 2 2 6 3 9 3" xfId="44896"/>
    <cellStyle name="Heading 2 2 6 4" xfId="44897"/>
    <cellStyle name="Heading 2 2 6 4 2" xfId="44898"/>
    <cellStyle name="Heading 2 2 6 4 2 2" xfId="44899"/>
    <cellStyle name="Heading 2 2 6 4 3" xfId="44900"/>
    <cellStyle name="Heading 2 2 6 5" xfId="44901"/>
    <cellStyle name="Heading 2 2 6 5 2" xfId="44902"/>
    <cellStyle name="Heading 2 2 6 6" xfId="44903"/>
    <cellStyle name="Heading 2 2 7" xfId="44904"/>
    <cellStyle name="Heading 2 2 7 2" xfId="44905"/>
    <cellStyle name="Heading 2 2 7 2 10" xfId="44906"/>
    <cellStyle name="Heading 2 2 7 2 10 2" xfId="44907"/>
    <cellStyle name="Heading 2 2 7 2 10 2 2" xfId="44908"/>
    <cellStyle name="Heading 2 2 7 2 10 3" xfId="44909"/>
    <cellStyle name="Heading 2 2 7 2 11" xfId="44910"/>
    <cellStyle name="Heading 2 2 7 2 11 2" xfId="44911"/>
    <cellStyle name="Heading 2 2 7 2 11 2 2" xfId="44912"/>
    <cellStyle name="Heading 2 2 7 2 11 3" xfId="44913"/>
    <cellStyle name="Heading 2 2 7 2 12" xfId="44914"/>
    <cellStyle name="Heading 2 2 7 2 12 2" xfId="44915"/>
    <cellStyle name="Heading 2 2 7 2 12 2 2" xfId="44916"/>
    <cellStyle name="Heading 2 2 7 2 12 3" xfId="44917"/>
    <cellStyle name="Heading 2 2 7 2 13" xfId="44918"/>
    <cellStyle name="Heading 2 2 7 2 13 2" xfId="44919"/>
    <cellStyle name="Heading 2 2 7 2 13 2 2" xfId="44920"/>
    <cellStyle name="Heading 2 2 7 2 13 3" xfId="44921"/>
    <cellStyle name="Heading 2 2 7 2 14" xfId="44922"/>
    <cellStyle name="Heading 2 2 7 2 14 2" xfId="44923"/>
    <cellStyle name="Heading 2 2 7 2 14 2 2" xfId="44924"/>
    <cellStyle name="Heading 2 2 7 2 14 3" xfId="44925"/>
    <cellStyle name="Heading 2 2 7 2 15" xfId="44926"/>
    <cellStyle name="Heading 2 2 7 2 15 2" xfId="44927"/>
    <cellStyle name="Heading 2 2 7 2 15 2 2" xfId="44928"/>
    <cellStyle name="Heading 2 2 7 2 15 3" xfId="44929"/>
    <cellStyle name="Heading 2 2 7 2 16" xfId="44930"/>
    <cellStyle name="Heading 2 2 7 2 16 2" xfId="44931"/>
    <cellStyle name="Heading 2 2 7 2 16 2 2" xfId="44932"/>
    <cellStyle name="Heading 2 2 7 2 16 3" xfId="44933"/>
    <cellStyle name="Heading 2 2 7 2 17" xfId="44934"/>
    <cellStyle name="Heading 2 2 7 2 17 2" xfId="44935"/>
    <cellStyle name="Heading 2 2 7 2 17 2 2" xfId="44936"/>
    <cellStyle name="Heading 2 2 7 2 17 3" xfId="44937"/>
    <cellStyle name="Heading 2 2 7 2 18" xfId="44938"/>
    <cellStyle name="Heading 2 2 7 2 18 2" xfId="44939"/>
    <cellStyle name="Heading 2 2 7 2 18 2 2" xfId="44940"/>
    <cellStyle name="Heading 2 2 7 2 18 3" xfId="44941"/>
    <cellStyle name="Heading 2 2 7 2 19" xfId="44942"/>
    <cellStyle name="Heading 2 2 7 2 19 2" xfId="44943"/>
    <cellStyle name="Heading 2 2 7 2 19 2 2" xfId="44944"/>
    <cellStyle name="Heading 2 2 7 2 19 3" xfId="44945"/>
    <cellStyle name="Heading 2 2 7 2 2" xfId="44946"/>
    <cellStyle name="Heading 2 2 7 2 2 10" xfId="44947"/>
    <cellStyle name="Heading 2 2 7 2 2 10 2" xfId="44948"/>
    <cellStyle name="Heading 2 2 7 2 2 10 2 2" xfId="44949"/>
    <cellStyle name="Heading 2 2 7 2 2 10 3" xfId="44950"/>
    <cellStyle name="Heading 2 2 7 2 2 11" xfId="44951"/>
    <cellStyle name="Heading 2 2 7 2 2 11 2" xfId="44952"/>
    <cellStyle name="Heading 2 2 7 2 2 11 2 2" xfId="44953"/>
    <cellStyle name="Heading 2 2 7 2 2 11 3" xfId="44954"/>
    <cellStyle name="Heading 2 2 7 2 2 12" xfId="44955"/>
    <cellStyle name="Heading 2 2 7 2 2 12 2" xfId="44956"/>
    <cellStyle name="Heading 2 2 7 2 2 12 2 2" xfId="44957"/>
    <cellStyle name="Heading 2 2 7 2 2 12 3" xfId="44958"/>
    <cellStyle name="Heading 2 2 7 2 2 13" xfId="44959"/>
    <cellStyle name="Heading 2 2 7 2 2 13 2" xfId="44960"/>
    <cellStyle name="Heading 2 2 7 2 2 13 2 2" xfId="44961"/>
    <cellStyle name="Heading 2 2 7 2 2 13 3" xfId="44962"/>
    <cellStyle name="Heading 2 2 7 2 2 14" xfId="44963"/>
    <cellStyle name="Heading 2 2 7 2 2 14 2" xfId="44964"/>
    <cellStyle name="Heading 2 2 7 2 2 14 2 2" xfId="44965"/>
    <cellStyle name="Heading 2 2 7 2 2 14 3" xfId="44966"/>
    <cellStyle name="Heading 2 2 7 2 2 15" xfId="44967"/>
    <cellStyle name="Heading 2 2 7 2 2 15 2" xfId="44968"/>
    <cellStyle name="Heading 2 2 7 2 2 15 2 2" xfId="44969"/>
    <cellStyle name="Heading 2 2 7 2 2 15 3" xfId="44970"/>
    <cellStyle name="Heading 2 2 7 2 2 16" xfId="44971"/>
    <cellStyle name="Heading 2 2 7 2 2 16 2" xfId="44972"/>
    <cellStyle name="Heading 2 2 7 2 2 16 2 2" xfId="44973"/>
    <cellStyle name="Heading 2 2 7 2 2 16 3" xfId="44974"/>
    <cellStyle name="Heading 2 2 7 2 2 17" xfId="44975"/>
    <cellStyle name="Heading 2 2 7 2 2 17 2" xfId="44976"/>
    <cellStyle name="Heading 2 2 7 2 2 17 2 2" xfId="44977"/>
    <cellStyle name="Heading 2 2 7 2 2 17 3" xfId="44978"/>
    <cellStyle name="Heading 2 2 7 2 2 18" xfId="44979"/>
    <cellStyle name="Heading 2 2 7 2 2 18 2" xfId="44980"/>
    <cellStyle name="Heading 2 2 7 2 2 18 2 2" xfId="44981"/>
    <cellStyle name="Heading 2 2 7 2 2 18 3" xfId="44982"/>
    <cellStyle name="Heading 2 2 7 2 2 19" xfId="44983"/>
    <cellStyle name="Heading 2 2 7 2 2 19 2" xfId="44984"/>
    <cellStyle name="Heading 2 2 7 2 2 2" xfId="44985"/>
    <cellStyle name="Heading 2 2 7 2 2 2 2" xfId="44986"/>
    <cellStyle name="Heading 2 2 7 2 2 2 2 2" xfId="44987"/>
    <cellStyle name="Heading 2 2 7 2 2 2 2 2 2" xfId="44988"/>
    <cellStyle name="Heading 2 2 7 2 2 2 2 3" xfId="44989"/>
    <cellStyle name="Heading 2 2 7 2 2 2 3" xfId="44990"/>
    <cellStyle name="Heading 2 2 7 2 2 2 3 2" xfId="44991"/>
    <cellStyle name="Heading 2 2 7 2 2 2 3 2 2" xfId="44992"/>
    <cellStyle name="Heading 2 2 7 2 2 2 3 3" xfId="44993"/>
    <cellStyle name="Heading 2 2 7 2 2 2 4" xfId="44994"/>
    <cellStyle name="Heading 2 2 7 2 2 2 4 2" xfId="44995"/>
    <cellStyle name="Heading 2 2 7 2 2 2 4 2 2" xfId="44996"/>
    <cellStyle name="Heading 2 2 7 2 2 2 4 3" xfId="44997"/>
    <cellStyle name="Heading 2 2 7 2 2 2 5" xfId="44998"/>
    <cellStyle name="Heading 2 2 7 2 2 2 5 2" xfId="44999"/>
    <cellStyle name="Heading 2 2 7 2 2 2 5 2 2" xfId="45000"/>
    <cellStyle name="Heading 2 2 7 2 2 2 5 3" xfId="45001"/>
    <cellStyle name="Heading 2 2 7 2 2 2 6" xfId="45002"/>
    <cellStyle name="Heading 2 2 7 2 2 2 6 2" xfId="45003"/>
    <cellStyle name="Heading 2 2 7 2 2 2 6 2 2" xfId="45004"/>
    <cellStyle name="Heading 2 2 7 2 2 2 6 3" xfId="45005"/>
    <cellStyle name="Heading 2 2 7 2 2 2 7" xfId="45006"/>
    <cellStyle name="Heading 2 2 7 2 2 2 7 2" xfId="45007"/>
    <cellStyle name="Heading 2 2 7 2 2 2 7 2 2" xfId="45008"/>
    <cellStyle name="Heading 2 2 7 2 2 2 7 3" xfId="45009"/>
    <cellStyle name="Heading 2 2 7 2 2 2 8" xfId="45010"/>
    <cellStyle name="Heading 2 2 7 2 2 2 8 2" xfId="45011"/>
    <cellStyle name="Heading 2 2 7 2 2 2 9" xfId="45012"/>
    <cellStyle name="Heading 2 2 7 2 2 20" xfId="45013"/>
    <cellStyle name="Heading 2 2 7 2 2 20 2" xfId="45014"/>
    <cellStyle name="Heading 2 2 7 2 2 21" xfId="45015"/>
    <cellStyle name="Heading 2 2 7 2 2 21 2" xfId="45016"/>
    <cellStyle name="Heading 2 2 7 2 2 22" xfId="45017"/>
    <cellStyle name="Heading 2 2 7 2 2 3" xfId="45018"/>
    <cellStyle name="Heading 2 2 7 2 2 3 2" xfId="45019"/>
    <cellStyle name="Heading 2 2 7 2 2 3 2 2" xfId="45020"/>
    <cellStyle name="Heading 2 2 7 2 2 3 2 2 2" xfId="45021"/>
    <cellStyle name="Heading 2 2 7 2 2 3 2 3" xfId="45022"/>
    <cellStyle name="Heading 2 2 7 2 2 3 3" xfId="45023"/>
    <cellStyle name="Heading 2 2 7 2 2 3 3 2" xfId="45024"/>
    <cellStyle name="Heading 2 2 7 2 2 3 3 2 2" xfId="45025"/>
    <cellStyle name="Heading 2 2 7 2 2 3 3 3" xfId="45026"/>
    <cellStyle name="Heading 2 2 7 2 2 3 4" xfId="45027"/>
    <cellStyle name="Heading 2 2 7 2 2 3 4 2" xfId="45028"/>
    <cellStyle name="Heading 2 2 7 2 2 3 4 2 2" xfId="45029"/>
    <cellStyle name="Heading 2 2 7 2 2 3 4 3" xfId="45030"/>
    <cellStyle name="Heading 2 2 7 2 2 3 5" xfId="45031"/>
    <cellStyle name="Heading 2 2 7 2 2 3 5 2" xfId="45032"/>
    <cellStyle name="Heading 2 2 7 2 2 3 5 2 2" xfId="45033"/>
    <cellStyle name="Heading 2 2 7 2 2 3 5 3" xfId="45034"/>
    <cellStyle name="Heading 2 2 7 2 2 3 6" xfId="45035"/>
    <cellStyle name="Heading 2 2 7 2 2 3 6 2" xfId="45036"/>
    <cellStyle name="Heading 2 2 7 2 2 3 6 2 2" xfId="45037"/>
    <cellStyle name="Heading 2 2 7 2 2 3 6 3" xfId="45038"/>
    <cellStyle name="Heading 2 2 7 2 2 3 7" xfId="45039"/>
    <cellStyle name="Heading 2 2 7 2 2 3 7 2" xfId="45040"/>
    <cellStyle name="Heading 2 2 7 2 2 3 7 2 2" xfId="45041"/>
    <cellStyle name="Heading 2 2 7 2 2 3 7 3" xfId="45042"/>
    <cellStyle name="Heading 2 2 7 2 2 3 8" xfId="45043"/>
    <cellStyle name="Heading 2 2 7 2 2 3 8 2" xfId="45044"/>
    <cellStyle name="Heading 2 2 7 2 2 3 9" xfId="45045"/>
    <cellStyle name="Heading 2 2 7 2 2 4" xfId="45046"/>
    <cellStyle name="Heading 2 2 7 2 2 4 2" xfId="45047"/>
    <cellStyle name="Heading 2 2 7 2 2 4 2 2" xfId="45048"/>
    <cellStyle name="Heading 2 2 7 2 2 4 2 2 2" xfId="45049"/>
    <cellStyle name="Heading 2 2 7 2 2 4 2 3" xfId="45050"/>
    <cellStyle name="Heading 2 2 7 2 2 4 3" xfId="45051"/>
    <cellStyle name="Heading 2 2 7 2 2 4 3 2" xfId="45052"/>
    <cellStyle name="Heading 2 2 7 2 2 4 3 2 2" xfId="45053"/>
    <cellStyle name="Heading 2 2 7 2 2 4 3 3" xfId="45054"/>
    <cellStyle name="Heading 2 2 7 2 2 4 4" xfId="45055"/>
    <cellStyle name="Heading 2 2 7 2 2 4 4 2" xfId="45056"/>
    <cellStyle name="Heading 2 2 7 2 2 4 4 2 2" xfId="45057"/>
    <cellStyle name="Heading 2 2 7 2 2 4 4 3" xfId="45058"/>
    <cellStyle name="Heading 2 2 7 2 2 4 5" xfId="45059"/>
    <cellStyle name="Heading 2 2 7 2 2 4 5 2" xfId="45060"/>
    <cellStyle name="Heading 2 2 7 2 2 4 5 2 2" xfId="45061"/>
    <cellStyle name="Heading 2 2 7 2 2 4 5 3" xfId="45062"/>
    <cellStyle name="Heading 2 2 7 2 2 4 6" xfId="45063"/>
    <cellStyle name="Heading 2 2 7 2 2 4 6 2" xfId="45064"/>
    <cellStyle name="Heading 2 2 7 2 2 4 6 2 2" xfId="45065"/>
    <cellStyle name="Heading 2 2 7 2 2 4 6 3" xfId="45066"/>
    <cellStyle name="Heading 2 2 7 2 2 4 7" xfId="45067"/>
    <cellStyle name="Heading 2 2 7 2 2 4 7 2" xfId="45068"/>
    <cellStyle name="Heading 2 2 7 2 2 4 7 2 2" xfId="45069"/>
    <cellStyle name="Heading 2 2 7 2 2 4 7 3" xfId="45070"/>
    <cellStyle name="Heading 2 2 7 2 2 4 8" xfId="45071"/>
    <cellStyle name="Heading 2 2 7 2 2 4 8 2" xfId="45072"/>
    <cellStyle name="Heading 2 2 7 2 2 4 9" xfId="45073"/>
    <cellStyle name="Heading 2 2 7 2 2 5" xfId="45074"/>
    <cellStyle name="Heading 2 2 7 2 2 5 2" xfId="45075"/>
    <cellStyle name="Heading 2 2 7 2 2 5 2 2" xfId="45076"/>
    <cellStyle name="Heading 2 2 7 2 2 5 2 2 2" xfId="45077"/>
    <cellStyle name="Heading 2 2 7 2 2 5 2 3" xfId="45078"/>
    <cellStyle name="Heading 2 2 7 2 2 5 3" xfId="45079"/>
    <cellStyle name="Heading 2 2 7 2 2 5 3 2" xfId="45080"/>
    <cellStyle name="Heading 2 2 7 2 2 5 3 2 2" xfId="45081"/>
    <cellStyle name="Heading 2 2 7 2 2 5 3 3" xfId="45082"/>
    <cellStyle name="Heading 2 2 7 2 2 5 4" xfId="45083"/>
    <cellStyle name="Heading 2 2 7 2 2 5 4 2" xfId="45084"/>
    <cellStyle name="Heading 2 2 7 2 2 5 4 2 2" xfId="45085"/>
    <cellStyle name="Heading 2 2 7 2 2 5 4 3" xfId="45086"/>
    <cellStyle name="Heading 2 2 7 2 2 5 5" xfId="45087"/>
    <cellStyle name="Heading 2 2 7 2 2 5 5 2" xfId="45088"/>
    <cellStyle name="Heading 2 2 7 2 2 5 5 2 2" xfId="45089"/>
    <cellStyle name="Heading 2 2 7 2 2 5 5 3" xfId="45090"/>
    <cellStyle name="Heading 2 2 7 2 2 5 6" xfId="45091"/>
    <cellStyle name="Heading 2 2 7 2 2 5 6 2" xfId="45092"/>
    <cellStyle name="Heading 2 2 7 2 2 5 6 2 2" xfId="45093"/>
    <cellStyle name="Heading 2 2 7 2 2 5 6 3" xfId="45094"/>
    <cellStyle name="Heading 2 2 7 2 2 5 7" xfId="45095"/>
    <cellStyle name="Heading 2 2 7 2 2 5 7 2" xfId="45096"/>
    <cellStyle name="Heading 2 2 7 2 2 5 7 2 2" xfId="45097"/>
    <cellStyle name="Heading 2 2 7 2 2 5 7 3" xfId="45098"/>
    <cellStyle name="Heading 2 2 7 2 2 5 8" xfId="45099"/>
    <cellStyle name="Heading 2 2 7 2 2 5 8 2" xfId="45100"/>
    <cellStyle name="Heading 2 2 7 2 2 5 9" xfId="45101"/>
    <cellStyle name="Heading 2 2 7 2 2 6" xfId="45102"/>
    <cellStyle name="Heading 2 2 7 2 2 6 2" xfId="45103"/>
    <cellStyle name="Heading 2 2 7 2 2 6 2 2" xfId="45104"/>
    <cellStyle name="Heading 2 2 7 2 2 6 2 2 2" xfId="45105"/>
    <cellStyle name="Heading 2 2 7 2 2 6 2 3" xfId="45106"/>
    <cellStyle name="Heading 2 2 7 2 2 6 3" xfId="45107"/>
    <cellStyle name="Heading 2 2 7 2 2 6 3 2" xfId="45108"/>
    <cellStyle name="Heading 2 2 7 2 2 6 3 2 2" xfId="45109"/>
    <cellStyle name="Heading 2 2 7 2 2 6 3 3" xfId="45110"/>
    <cellStyle name="Heading 2 2 7 2 2 6 4" xfId="45111"/>
    <cellStyle name="Heading 2 2 7 2 2 6 4 2" xfId="45112"/>
    <cellStyle name="Heading 2 2 7 2 2 6 4 2 2" xfId="45113"/>
    <cellStyle name="Heading 2 2 7 2 2 6 4 3" xfId="45114"/>
    <cellStyle name="Heading 2 2 7 2 2 6 5" xfId="45115"/>
    <cellStyle name="Heading 2 2 7 2 2 6 5 2" xfId="45116"/>
    <cellStyle name="Heading 2 2 7 2 2 6 5 2 2" xfId="45117"/>
    <cellStyle name="Heading 2 2 7 2 2 6 5 3" xfId="45118"/>
    <cellStyle name="Heading 2 2 7 2 2 6 6" xfId="45119"/>
    <cellStyle name="Heading 2 2 7 2 2 6 6 2" xfId="45120"/>
    <cellStyle name="Heading 2 2 7 2 2 6 6 2 2" xfId="45121"/>
    <cellStyle name="Heading 2 2 7 2 2 6 6 3" xfId="45122"/>
    <cellStyle name="Heading 2 2 7 2 2 6 7" xfId="45123"/>
    <cellStyle name="Heading 2 2 7 2 2 6 7 2" xfId="45124"/>
    <cellStyle name="Heading 2 2 7 2 2 6 7 2 2" xfId="45125"/>
    <cellStyle name="Heading 2 2 7 2 2 6 7 3" xfId="45126"/>
    <cellStyle name="Heading 2 2 7 2 2 6 8" xfId="45127"/>
    <cellStyle name="Heading 2 2 7 2 2 6 8 2" xfId="45128"/>
    <cellStyle name="Heading 2 2 7 2 2 6 9" xfId="45129"/>
    <cellStyle name="Heading 2 2 7 2 2 7" xfId="45130"/>
    <cellStyle name="Heading 2 2 7 2 2 7 2" xfId="45131"/>
    <cellStyle name="Heading 2 2 7 2 2 7 2 2" xfId="45132"/>
    <cellStyle name="Heading 2 2 7 2 2 7 2 2 2" xfId="45133"/>
    <cellStyle name="Heading 2 2 7 2 2 7 2 3" xfId="45134"/>
    <cellStyle name="Heading 2 2 7 2 2 7 3" xfId="45135"/>
    <cellStyle name="Heading 2 2 7 2 2 7 3 2" xfId="45136"/>
    <cellStyle name="Heading 2 2 7 2 2 7 3 2 2" xfId="45137"/>
    <cellStyle name="Heading 2 2 7 2 2 7 3 3" xfId="45138"/>
    <cellStyle name="Heading 2 2 7 2 2 7 4" xfId="45139"/>
    <cellStyle name="Heading 2 2 7 2 2 7 4 2" xfId="45140"/>
    <cellStyle name="Heading 2 2 7 2 2 7 4 2 2" xfId="45141"/>
    <cellStyle name="Heading 2 2 7 2 2 7 4 3" xfId="45142"/>
    <cellStyle name="Heading 2 2 7 2 2 7 5" xfId="45143"/>
    <cellStyle name="Heading 2 2 7 2 2 7 5 2" xfId="45144"/>
    <cellStyle name="Heading 2 2 7 2 2 7 5 2 2" xfId="45145"/>
    <cellStyle name="Heading 2 2 7 2 2 7 5 3" xfId="45146"/>
    <cellStyle name="Heading 2 2 7 2 2 7 6" xfId="45147"/>
    <cellStyle name="Heading 2 2 7 2 2 7 6 2" xfId="45148"/>
    <cellStyle name="Heading 2 2 7 2 2 7 6 2 2" xfId="45149"/>
    <cellStyle name="Heading 2 2 7 2 2 7 6 3" xfId="45150"/>
    <cellStyle name="Heading 2 2 7 2 2 7 7" xfId="45151"/>
    <cellStyle name="Heading 2 2 7 2 2 7 7 2" xfId="45152"/>
    <cellStyle name="Heading 2 2 7 2 2 7 7 2 2" xfId="45153"/>
    <cellStyle name="Heading 2 2 7 2 2 7 7 3" xfId="45154"/>
    <cellStyle name="Heading 2 2 7 2 2 7 8" xfId="45155"/>
    <cellStyle name="Heading 2 2 7 2 2 7 8 2" xfId="45156"/>
    <cellStyle name="Heading 2 2 7 2 2 7 9" xfId="45157"/>
    <cellStyle name="Heading 2 2 7 2 2 8" xfId="45158"/>
    <cellStyle name="Heading 2 2 7 2 2 8 2" xfId="45159"/>
    <cellStyle name="Heading 2 2 7 2 2 8 2 2" xfId="45160"/>
    <cellStyle name="Heading 2 2 7 2 2 8 2 2 2" xfId="45161"/>
    <cellStyle name="Heading 2 2 7 2 2 8 2 3" xfId="45162"/>
    <cellStyle name="Heading 2 2 7 2 2 8 3" xfId="45163"/>
    <cellStyle name="Heading 2 2 7 2 2 8 3 2" xfId="45164"/>
    <cellStyle name="Heading 2 2 7 2 2 8 3 2 2" xfId="45165"/>
    <cellStyle name="Heading 2 2 7 2 2 8 3 3" xfId="45166"/>
    <cellStyle name="Heading 2 2 7 2 2 8 4" xfId="45167"/>
    <cellStyle name="Heading 2 2 7 2 2 8 4 2" xfId="45168"/>
    <cellStyle name="Heading 2 2 7 2 2 8 4 2 2" xfId="45169"/>
    <cellStyle name="Heading 2 2 7 2 2 8 4 3" xfId="45170"/>
    <cellStyle name="Heading 2 2 7 2 2 8 5" xfId="45171"/>
    <cellStyle name="Heading 2 2 7 2 2 8 5 2" xfId="45172"/>
    <cellStyle name="Heading 2 2 7 2 2 8 5 2 2" xfId="45173"/>
    <cellStyle name="Heading 2 2 7 2 2 8 5 3" xfId="45174"/>
    <cellStyle name="Heading 2 2 7 2 2 8 6" xfId="45175"/>
    <cellStyle name="Heading 2 2 7 2 2 8 6 2" xfId="45176"/>
    <cellStyle name="Heading 2 2 7 2 2 8 6 2 2" xfId="45177"/>
    <cellStyle name="Heading 2 2 7 2 2 8 6 3" xfId="45178"/>
    <cellStyle name="Heading 2 2 7 2 2 8 7" xfId="45179"/>
    <cellStyle name="Heading 2 2 7 2 2 8 7 2" xfId="45180"/>
    <cellStyle name="Heading 2 2 7 2 2 8 7 2 2" xfId="45181"/>
    <cellStyle name="Heading 2 2 7 2 2 8 7 3" xfId="45182"/>
    <cellStyle name="Heading 2 2 7 2 2 8 8" xfId="45183"/>
    <cellStyle name="Heading 2 2 7 2 2 8 8 2" xfId="45184"/>
    <cellStyle name="Heading 2 2 7 2 2 8 9" xfId="45185"/>
    <cellStyle name="Heading 2 2 7 2 2 9" xfId="45186"/>
    <cellStyle name="Heading 2 2 7 2 2 9 2" xfId="45187"/>
    <cellStyle name="Heading 2 2 7 2 2 9 2 2" xfId="45188"/>
    <cellStyle name="Heading 2 2 7 2 2 9 3" xfId="45189"/>
    <cellStyle name="Heading 2 2 7 2 20" xfId="45190"/>
    <cellStyle name="Heading 2 2 7 2 20 2" xfId="45191"/>
    <cellStyle name="Heading 2 2 7 2 21" xfId="45192"/>
    <cellStyle name="Heading 2 2 7 2 21 2" xfId="45193"/>
    <cellStyle name="Heading 2 2 7 2 22" xfId="45194"/>
    <cellStyle name="Heading 2 2 7 2 22 2" xfId="45195"/>
    <cellStyle name="Heading 2 2 7 2 23" xfId="45196"/>
    <cellStyle name="Heading 2 2 7 2 3" xfId="45197"/>
    <cellStyle name="Heading 2 2 7 2 3 2" xfId="45198"/>
    <cellStyle name="Heading 2 2 7 2 3 2 2" xfId="45199"/>
    <cellStyle name="Heading 2 2 7 2 3 2 2 2" xfId="45200"/>
    <cellStyle name="Heading 2 2 7 2 3 2 3" xfId="45201"/>
    <cellStyle name="Heading 2 2 7 2 3 3" xfId="45202"/>
    <cellStyle name="Heading 2 2 7 2 3 3 2" xfId="45203"/>
    <cellStyle name="Heading 2 2 7 2 3 3 2 2" xfId="45204"/>
    <cellStyle name="Heading 2 2 7 2 3 3 3" xfId="45205"/>
    <cellStyle name="Heading 2 2 7 2 3 4" xfId="45206"/>
    <cellStyle name="Heading 2 2 7 2 3 4 2" xfId="45207"/>
    <cellStyle name="Heading 2 2 7 2 3 4 2 2" xfId="45208"/>
    <cellStyle name="Heading 2 2 7 2 3 4 3" xfId="45209"/>
    <cellStyle name="Heading 2 2 7 2 3 5" xfId="45210"/>
    <cellStyle name="Heading 2 2 7 2 3 5 2" xfId="45211"/>
    <cellStyle name="Heading 2 2 7 2 3 5 2 2" xfId="45212"/>
    <cellStyle name="Heading 2 2 7 2 3 5 3" xfId="45213"/>
    <cellStyle name="Heading 2 2 7 2 3 6" xfId="45214"/>
    <cellStyle name="Heading 2 2 7 2 3 6 2" xfId="45215"/>
    <cellStyle name="Heading 2 2 7 2 3 6 2 2" xfId="45216"/>
    <cellStyle name="Heading 2 2 7 2 3 6 3" xfId="45217"/>
    <cellStyle name="Heading 2 2 7 2 3 7" xfId="45218"/>
    <cellStyle name="Heading 2 2 7 2 3 7 2" xfId="45219"/>
    <cellStyle name="Heading 2 2 7 2 3 7 2 2" xfId="45220"/>
    <cellStyle name="Heading 2 2 7 2 3 7 3" xfId="45221"/>
    <cellStyle name="Heading 2 2 7 2 3 8" xfId="45222"/>
    <cellStyle name="Heading 2 2 7 2 3 8 2" xfId="45223"/>
    <cellStyle name="Heading 2 2 7 2 3 9" xfId="45224"/>
    <cellStyle name="Heading 2 2 7 2 4" xfId="45225"/>
    <cellStyle name="Heading 2 2 7 2 4 2" xfId="45226"/>
    <cellStyle name="Heading 2 2 7 2 4 2 2" xfId="45227"/>
    <cellStyle name="Heading 2 2 7 2 4 2 2 2" xfId="45228"/>
    <cellStyle name="Heading 2 2 7 2 4 2 3" xfId="45229"/>
    <cellStyle name="Heading 2 2 7 2 4 3" xfId="45230"/>
    <cellStyle name="Heading 2 2 7 2 4 3 2" xfId="45231"/>
    <cellStyle name="Heading 2 2 7 2 4 3 2 2" xfId="45232"/>
    <cellStyle name="Heading 2 2 7 2 4 3 3" xfId="45233"/>
    <cellStyle name="Heading 2 2 7 2 4 4" xfId="45234"/>
    <cellStyle name="Heading 2 2 7 2 4 4 2" xfId="45235"/>
    <cellStyle name="Heading 2 2 7 2 4 4 2 2" xfId="45236"/>
    <cellStyle name="Heading 2 2 7 2 4 4 3" xfId="45237"/>
    <cellStyle name="Heading 2 2 7 2 4 5" xfId="45238"/>
    <cellStyle name="Heading 2 2 7 2 4 5 2" xfId="45239"/>
    <cellStyle name="Heading 2 2 7 2 4 5 2 2" xfId="45240"/>
    <cellStyle name="Heading 2 2 7 2 4 5 3" xfId="45241"/>
    <cellStyle name="Heading 2 2 7 2 4 6" xfId="45242"/>
    <cellStyle name="Heading 2 2 7 2 4 6 2" xfId="45243"/>
    <cellStyle name="Heading 2 2 7 2 4 6 2 2" xfId="45244"/>
    <cellStyle name="Heading 2 2 7 2 4 6 3" xfId="45245"/>
    <cellStyle name="Heading 2 2 7 2 4 7" xfId="45246"/>
    <cellStyle name="Heading 2 2 7 2 4 7 2" xfId="45247"/>
    <cellStyle name="Heading 2 2 7 2 4 7 2 2" xfId="45248"/>
    <cellStyle name="Heading 2 2 7 2 4 7 3" xfId="45249"/>
    <cellStyle name="Heading 2 2 7 2 4 8" xfId="45250"/>
    <cellStyle name="Heading 2 2 7 2 4 8 2" xfId="45251"/>
    <cellStyle name="Heading 2 2 7 2 4 9" xfId="45252"/>
    <cellStyle name="Heading 2 2 7 2 5" xfId="45253"/>
    <cellStyle name="Heading 2 2 7 2 5 2" xfId="45254"/>
    <cellStyle name="Heading 2 2 7 2 5 2 2" xfId="45255"/>
    <cellStyle name="Heading 2 2 7 2 5 2 2 2" xfId="45256"/>
    <cellStyle name="Heading 2 2 7 2 5 2 3" xfId="45257"/>
    <cellStyle name="Heading 2 2 7 2 5 3" xfId="45258"/>
    <cellStyle name="Heading 2 2 7 2 5 3 2" xfId="45259"/>
    <cellStyle name="Heading 2 2 7 2 5 3 2 2" xfId="45260"/>
    <cellStyle name="Heading 2 2 7 2 5 3 3" xfId="45261"/>
    <cellStyle name="Heading 2 2 7 2 5 4" xfId="45262"/>
    <cellStyle name="Heading 2 2 7 2 5 4 2" xfId="45263"/>
    <cellStyle name="Heading 2 2 7 2 5 4 2 2" xfId="45264"/>
    <cellStyle name="Heading 2 2 7 2 5 4 3" xfId="45265"/>
    <cellStyle name="Heading 2 2 7 2 5 5" xfId="45266"/>
    <cellStyle name="Heading 2 2 7 2 5 5 2" xfId="45267"/>
    <cellStyle name="Heading 2 2 7 2 5 5 2 2" xfId="45268"/>
    <cellStyle name="Heading 2 2 7 2 5 5 3" xfId="45269"/>
    <cellStyle name="Heading 2 2 7 2 5 6" xfId="45270"/>
    <cellStyle name="Heading 2 2 7 2 5 6 2" xfId="45271"/>
    <cellStyle name="Heading 2 2 7 2 5 6 2 2" xfId="45272"/>
    <cellStyle name="Heading 2 2 7 2 5 6 3" xfId="45273"/>
    <cellStyle name="Heading 2 2 7 2 5 7" xfId="45274"/>
    <cellStyle name="Heading 2 2 7 2 5 7 2" xfId="45275"/>
    <cellStyle name="Heading 2 2 7 2 5 7 2 2" xfId="45276"/>
    <cellStyle name="Heading 2 2 7 2 5 7 3" xfId="45277"/>
    <cellStyle name="Heading 2 2 7 2 5 8" xfId="45278"/>
    <cellStyle name="Heading 2 2 7 2 5 8 2" xfId="45279"/>
    <cellStyle name="Heading 2 2 7 2 5 9" xfId="45280"/>
    <cellStyle name="Heading 2 2 7 2 6" xfId="45281"/>
    <cellStyle name="Heading 2 2 7 2 6 2" xfId="45282"/>
    <cellStyle name="Heading 2 2 7 2 6 2 2" xfId="45283"/>
    <cellStyle name="Heading 2 2 7 2 6 2 2 2" xfId="45284"/>
    <cellStyle name="Heading 2 2 7 2 6 2 3" xfId="45285"/>
    <cellStyle name="Heading 2 2 7 2 6 3" xfId="45286"/>
    <cellStyle name="Heading 2 2 7 2 6 3 2" xfId="45287"/>
    <cellStyle name="Heading 2 2 7 2 6 3 2 2" xfId="45288"/>
    <cellStyle name="Heading 2 2 7 2 6 3 3" xfId="45289"/>
    <cellStyle name="Heading 2 2 7 2 6 4" xfId="45290"/>
    <cellStyle name="Heading 2 2 7 2 6 4 2" xfId="45291"/>
    <cellStyle name="Heading 2 2 7 2 6 4 2 2" xfId="45292"/>
    <cellStyle name="Heading 2 2 7 2 6 4 3" xfId="45293"/>
    <cellStyle name="Heading 2 2 7 2 6 5" xfId="45294"/>
    <cellStyle name="Heading 2 2 7 2 6 5 2" xfId="45295"/>
    <cellStyle name="Heading 2 2 7 2 6 5 2 2" xfId="45296"/>
    <cellStyle name="Heading 2 2 7 2 6 5 3" xfId="45297"/>
    <cellStyle name="Heading 2 2 7 2 6 6" xfId="45298"/>
    <cellStyle name="Heading 2 2 7 2 6 6 2" xfId="45299"/>
    <cellStyle name="Heading 2 2 7 2 6 6 2 2" xfId="45300"/>
    <cellStyle name="Heading 2 2 7 2 6 6 3" xfId="45301"/>
    <cellStyle name="Heading 2 2 7 2 6 7" xfId="45302"/>
    <cellStyle name="Heading 2 2 7 2 6 7 2" xfId="45303"/>
    <cellStyle name="Heading 2 2 7 2 6 7 2 2" xfId="45304"/>
    <cellStyle name="Heading 2 2 7 2 6 7 3" xfId="45305"/>
    <cellStyle name="Heading 2 2 7 2 6 8" xfId="45306"/>
    <cellStyle name="Heading 2 2 7 2 6 8 2" xfId="45307"/>
    <cellStyle name="Heading 2 2 7 2 6 9" xfId="45308"/>
    <cellStyle name="Heading 2 2 7 2 7" xfId="45309"/>
    <cellStyle name="Heading 2 2 7 2 7 2" xfId="45310"/>
    <cellStyle name="Heading 2 2 7 2 7 2 2" xfId="45311"/>
    <cellStyle name="Heading 2 2 7 2 7 2 2 2" xfId="45312"/>
    <cellStyle name="Heading 2 2 7 2 7 2 3" xfId="45313"/>
    <cellStyle name="Heading 2 2 7 2 7 3" xfId="45314"/>
    <cellStyle name="Heading 2 2 7 2 7 3 2" xfId="45315"/>
    <cellStyle name="Heading 2 2 7 2 7 3 2 2" xfId="45316"/>
    <cellStyle name="Heading 2 2 7 2 7 3 3" xfId="45317"/>
    <cellStyle name="Heading 2 2 7 2 7 4" xfId="45318"/>
    <cellStyle name="Heading 2 2 7 2 7 4 2" xfId="45319"/>
    <cellStyle name="Heading 2 2 7 2 7 4 2 2" xfId="45320"/>
    <cellStyle name="Heading 2 2 7 2 7 4 3" xfId="45321"/>
    <cellStyle name="Heading 2 2 7 2 7 5" xfId="45322"/>
    <cellStyle name="Heading 2 2 7 2 7 5 2" xfId="45323"/>
    <cellStyle name="Heading 2 2 7 2 7 5 2 2" xfId="45324"/>
    <cellStyle name="Heading 2 2 7 2 7 5 3" xfId="45325"/>
    <cellStyle name="Heading 2 2 7 2 7 6" xfId="45326"/>
    <cellStyle name="Heading 2 2 7 2 7 6 2" xfId="45327"/>
    <cellStyle name="Heading 2 2 7 2 7 6 2 2" xfId="45328"/>
    <cellStyle name="Heading 2 2 7 2 7 6 3" xfId="45329"/>
    <cellStyle name="Heading 2 2 7 2 7 7" xfId="45330"/>
    <cellStyle name="Heading 2 2 7 2 7 7 2" xfId="45331"/>
    <cellStyle name="Heading 2 2 7 2 7 7 2 2" xfId="45332"/>
    <cellStyle name="Heading 2 2 7 2 7 7 3" xfId="45333"/>
    <cellStyle name="Heading 2 2 7 2 7 8" xfId="45334"/>
    <cellStyle name="Heading 2 2 7 2 7 8 2" xfId="45335"/>
    <cellStyle name="Heading 2 2 7 2 7 9" xfId="45336"/>
    <cellStyle name="Heading 2 2 7 2 8" xfId="45337"/>
    <cellStyle name="Heading 2 2 7 2 8 2" xfId="45338"/>
    <cellStyle name="Heading 2 2 7 2 8 2 2" xfId="45339"/>
    <cellStyle name="Heading 2 2 7 2 8 2 2 2" xfId="45340"/>
    <cellStyle name="Heading 2 2 7 2 8 2 3" xfId="45341"/>
    <cellStyle name="Heading 2 2 7 2 8 3" xfId="45342"/>
    <cellStyle name="Heading 2 2 7 2 8 3 2" xfId="45343"/>
    <cellStyle name="Heading 2 2 7 2 8 3 2 2" xfId="45344"/>
    <cellStyle name="Heading 2 2 7 2 8 3 3" xfId="45345"/>
    <cellStyle name="Heading 2 2 7 2 8 4" xfId="45346"/>
    <cellStyle name="Heading 2 2 7 2 8 4 2" xfId="45347"/>
    <cellStyle name="Heading 2 2 7 2 8 4 2 2" xfId="45348"/>
    <cellStyle name="Heading 2 2 7 2 8 4 3" xfId="45349"/>
    <cellStyle name="Heading 2 2 7 2 8 5" xfId="45350"/>
    <cellStyle name="Heading 2 2 7 2 8 5 2" xfId="45351"/>
    <cellStyle name="Heading 2 2 7 2 8 5 2 2" xfId="45352"/>
    <cellStyle name="Heading 2 2 7 2 8 5 3" xfId="45353"/>
    <cellStyle name="Heading 2 2 7 2 8 6" xfId="45354"/>
    <cellStyle name="Heading 2 2 7 2 8 6 2" xfId="45355"/>
    <cellStyle name="Heading 2 2 7 2 8 6 2 2" xfId="45356"/>
    <cellStyle name="Heading 2 2 7 2 8 6 3" xfId="45357"/>
    <cellStyle name="Heading 2 2 7 2 8 7" xfId="45358"/>
    <cellStyle name="Heading 2 2 7 2 8 7 2" xfId="45359"/>
    <cellStyle name="Heading 2 2 7 2 8 7 2 2" xfId="45360"/>
    <cellStyle name="Heading 2 2 7 2 8 7 3" xfId="45361"/>
    <cellStyle name="Heading 2 2 7 2 8 8" xfId="45362"/>
    <cellStyle name="Heading 2 2 7 2 8 8 2" xfId="45363"/>
    <cellStyle name="Heading 2 2 7 2 8 9" xfId="45364"/>
    <cellStyle name="Heading 2 2 7 2 9" xfId="45365"/>
    <cellStyle name="Heading 2 2 7 2 9 2" xfId="45366"/>
    <cellStyle name="Heading 2 2 7 2 9 2 2" xfId="45367"/>
    <cellStyle name="Heading 2 2 7 2 9 2 2 2" xfId="45368"/>
    <cellStyle name="Heading 2 2 7 2 9 2 3" xfId="45369"/>
    <cellStyle name="Heading 2 2 7 2 9 3" xfId="45370"/>
    <cellStyle name="Heading 2 2 7 2 9 3 2" xfId="45371"/>
    <cellStyle name="Heading 2 2 7 2 9 3 2 2" xfId="45372"/>
    <cellStyle name="Heading 2 2 7 2 9 3 3" xfId="45373"/>
    <cellStyle name="Heading 2 2 7 2 9 4" xfId="45374"/>
    <cellStyle name="Heading 2 2 7 2 9 4 2" xfId="45375"/>
    <cellStyle name="Heading 2 2 7 2 9 4 2 2" xfId="45376"/>
    <cellStyle name="Heading 2 2 7 2 9 4 3" xfId="45377"/>
    <cellStyle name="Heading 2 2 7 2 9 5" xfId="45378"/>
    <cellStyle name="Heading 2 2 7 2 9 5 2" xfId="45379"/>
    <cellStyle name="Heading 2 2 7 2 9 5 2 2" xfId="45380"/>
    <cellStyle name="Heading 2 2 7 2 9 5 3" xfId="45381"/>
    <cellStyle name="Heading 2 2 7 2 9 6" xfId="45382"/>
    <cellStyle name="Heading 2 2 7 2 9 6 2" xfId="45383"/>
    <cellStyle name="Heading 2 2 7 2 9 6 2 2" xfId="45384"/>
    <cellStyle name="Heading 2 2 7 2 9 6 3" xfId="45385"/>
    <cellStyle name="Heading 2 2 7 2 9 7" xfId="45386"/>
    <cellStyle name="Heading 2 2 7 2 9 7 2" xfId="45387"/>
    <cellStyle name="Heading 2 2 7 2 9 7 2 2" xfId="45388"/>
    <cellStyle name="Heading 2 2 7 2 9 7 3" xfId="45389"/>
    <cellStyle name="Heading 2 2 7 2 9 8" xfId="45390"/>
    <cellStyle name="Heading 2 2 7 2 9 8 2" xfId="45391"/>
    <cellStyle name="Heading 2 2 7 2 9 9" xfId="45392"/>
    <cellStyle name="Heading 2 2 7 3" xfId="45393"/>
    <cellStyle name="Heading 2 2 7 3 10" xfId="45394"/>
    <cellStyle name="Heading 2 2 7 3 10 2" xfId="45395"/>
    <cellStyle name="Heading 2 2 7 3 10 2 2" xfId="45396"/>
    <cellStyle name="Heading 2 2 7 3 10 3" xfId="45397"/>
    <cellStyle name="Heading 2 2 7 3 11" xfId="45398"/>
    <cellStyle name="Heading 2 2 7 3 11 2" xfId="45399"/>
    <cellStyle name="Heading 2 2 7 3 11 2 2" xfId="45400"/>
    <cellStyle name="Heading 2 2 7 3 11 3" xfId="45401"/>
    <cellStyle name="Heading 2 2 7 3 12" xfId="45402"/>
    <cellStyle name="Heading 2 2 7 3 12 2" xfId="45403"/>
    <cellStyle name="Heading 2 2 7 3 12 2 2" xfId="45404"/>
    <cellStyle name="Heading 2 2 7 3 12 3" xfId="45405"/>
    <cellStyle name="Heading 2 2 7 3 13" xfId="45406"/>
    <cellStyle name="Heading 2 2 7 3 13 2" xfId="45407"/>
    <cellStyle name="Heading 2 2 7 3 13 2 2" xfId="45408"/>
    <cellStyle name="Heading 2 2 7 3 13 3" xfId="45409"/>
    <cellStyle name="Heading 2 2 7 3 14" xfId="45410"/>
    <cellStyle name="Heading 2 2 7 3 14 2" xfId="45411"/>
    <cellStyle name="Heading 2 2 7 3 14 2 2" xfId="45412"/>
    <cellStyle name="Heading 2 2 7 3 14 3" xfId="45413"/>
    <cellStyle name="Heading 2 2 7 3 15" xfId="45414"/>
    <cellStyle name="Heading 2 2 7 3 15 2" xfId="45415"/>
    <cellStyle name="Heading 2 2 7 3 15 2 2" xfId="45416"/>
    <cellStyle name="Heading 2 2 7 3 15 3" xfId="45417"/>
    <cellStyle name="Heading 2 2 7 3 16" xfId="45418"/>
    <cellStyle name="Heading 2 2 7 3 16 2" xfId="45419"/>
    <cellStyle name="Heading 2 2 7 3 16 2 2" xfId="45420"/>
    <cellStyle name="Heading 2 2 7 3 16 3" xfId="45421"/>
    <cellStyle name="Heading 2 2 7 3 17" xfId="45422"/>
    <cellStyle name="Heading 2 2 7 3 17 2" xfId="45423"/>
    <cellStyle name="Heading 2 2 7 3 17 2 2" xfId="45424"/>
    <cellStyle name="Heading 2 2 7 3 17 3" xfId="45425"/>
    <cellStyle name="Heading 2 2 7 3 18" xfId="45426"/>
    <cellStyle name="Heading 2 2 7 3 18 2" xfId="45427"/>
    <cellStyle name="Heading 2 2 7 3 18 2 2" xfId="45428"/>
    <cellStyle name="Heading 2 2 7 3 18 3" xfId="45429"/>
    <cellStyle name="Heading 2 2 7 3 19" xfId="45430"/>
    <cellStyle name="Heading 2 2 7 3 19 2" xfId="45431"/>
    <cellStyle name="Heading 2 2 7 3 2" xfId="45432"/>
    <cellStyle name="Heading 2 2 7 3 2 2" xfId="45433"/>
    <cellStyle name="Heading 2 2 7 3 2 2 2" xfId="45434"/>
    <cellStyle name="Heading 2 2 7 3 2 2 2 2" xfId="45435"/>
    <cellStyle name="Heading 2 2 7 3 2 2 3" xfId="45436"/>
    <cellStyle name="Heading 2 2 7 3 2 3" xfId="45437"/>
    <cellStyle name="Heading 2 2 7 3 2 3 2" xfId="45438"/>
    <cellStyle name="Heading 2 2 7 3 2 3 2 2" xfId="45439"/>
    <cellStyle name="Heading 2 2 7 3 2 3 3" xfId="45440"/>
    <cellStyle name="Heading 2 2 7 3 2 4" xfId="45441"/>
    <cellStyle name="Heading 2 2 7 3 2 4 2" xfId="45442"/>
    <cellStyle name="Heading 2 2 7 3 2 4 2 2" xfId="45443"/>
    <cellStyle name="Heading 2 2 7 3 2 4 3" xfId="45444"/>
    <cellStyle name="Heading 2 2 7 3 2 5" xfId="45445"/>
    <cellStyle name="Heading 2 2 7 3 2 5 2" xfId="45446"/>
    <cellStyle name="Heading 2 2 7 3 2 5 2 2" xfId="45447"/>
    <cellStyle name="Heading 2 2 7 3 2 5 3" xfId="45448"/>
    <cellStyle name="Heading 2 2 7 3 2 6" xfId="45449"/>
    <cellStyle name="Heading 2 2 7 3 2 6 2" xfId="45450"/>
    <cellStyle name="Heading 2 2 7 3 2 6 2 2" xfId="45451"/>
    <cellStyle name="Heading 2 2 7 3 2 6 3" xfId="45452"/>
    <cellStyle name="Heading 2 2 7 3 2 7" xfId="45453"/>
    <cellStyle name="Heading 2 2 7 3 2 7 2" xfId="45454"/>
    <cellStyle name="Heading 2 2 7 3 2 7 2 2" xfId="45455"/>
    <cellStyle name="Heading 2 2 7 3 2 7 3" xfId="45456"/>
    <cellStyle name="Heading 2 2 7 3 2 8" xfId="45457"/>
    <cellStyle name="Heading 2 2 7 3 2 8 2" xfId="45458"/>
    <cellStyle name="Heading 2 2 7 3 2 9" xfId="45459"/>
    <cellStyle name="Heading 2 2 7 3 20" xfId="45460"/>
    <cellStyle name="Heading 2 2 7 3 20 2" xfId="45461"/>
    <cellStyle name="Heading 2 2 7 3 21" xfId="45462"/>
    <cellStyle name="Heading 2 2 7 3 21 2" xfId="45463"/>
    <cellStyle name="Heading 2 2 7 3 22" xfId="45464"/>
    <cellStyle name="Heading 2 2 7 3 3" xfId="45465"/>
    <cellStyle name="Heading 2 2 7 3 3 2" xfId="45466"/>
    <cellStyle name="Heading 2 2 7 3 3 2 2" xfId="45467"/>
    <cellStyle name="Heading 2 2 7 3 3 2 2 2" xfId="45468"/>
    <cellStyle name="Heading 2 2 7 3 3 2 3" xfId="45469"/>
    <cellStyle name="Heading 2 2 7 3 3 3" xfId="45470"/>
    <cellStyle name="Heading 2 2 7 3 3 3 2" xfId="45471"/>
    <cellStyle name="Heading 2 2 7 3 3 3 2 2" xfId="45472"/>
    <cellStyle name="Heading 2 2 7 3 3 3 3" xfId="45473"/>
    <cellStyle name="Heading 2 2 7 3 3 4" xfId="45474"/>
    <cellStyle name="Heading 2 2 7 3 3 4 2" xfId="45475"/>
    <cellStyle name="Heading 2 2 7 3 3 4 2 2" xfId="45476"/>
    <cellStyle name="Heading 2 2 7 3 3 4 3" xfId="45477"/>
    <cellStyle name="Heading 2 2 7 3 3 5" xfId="45478"/>
    <cellStyle name="Heading 2 2 7 3 3 5 2" xfId="45479"/>
    <cellStyle name="Heading 2 2 7 3 3 5 2 2" xfId="45480"/>
    <cellStyle name="Heading 2 2 7 3 3 5 3" xfId="45481"/>
    <cellStyle name="Heading 2 2 7 3 3 6" xfId="45482"/>
    <cellStyle name="Heading 2 2 7 3 3 6 2" xfId="45483"/>
    <cellStyle name="Heading 2 2 7 3 3 6 2 2" xfId="45484"/>
    <cellStyle name="Heading 2 2 7 3 3 6 3" xfId="45485"/>
    <cellStyle name="Heading 2 2 7 3 3 7" xfId="45486"/>
    <cellStyle name="Heading 2 2 7 3 3 7 2" xfId="45487"/>
    <cellStyle name="Heading 2 2 7 3 3 7 2 2" xfId="45488"/>
    <cellStyle name="Heading 2 2 7 3 3 7 3" xfId="45489"/>
    <cellStyle name="Heading 2 2 7 3 3 8" xfId="45490"/>
    <cellStyle name="Heading 2 2 7 3 3 8 2" xfId="45491"/>
    <cellStyle name="Heading 2 2 7 3 3 9" xfId="45492"/>
    <cellStyle name="Heading 2 2 7 3 4" xfId="45493"/>
    <cellStyle name="Heading 2 2 7 3 4 2" xfId="45494"/>
    <cellStyle name="Heading 2 2 7 3 4 2 2" xfId="45495"/>
    <cellStyle name="Heading 2 2 7 3 4 2 2 2" xfId="45496"/>
    <cellStyle name="Heading 2 2 7 3 4 2 3" xfId="45497"/>
    <cellStyle name="Heading 2 2 7 3 4 3" xfId="45498"/>
    <cellStyle name="Heading 2 2 7 3 4 3 2" xfId="45499"/>
    <cellStyle name="Heading 2 2 7 3 4 3 2 2" xfId="45500"/>
    <cellStyle name="Heading 2 2 7 3 4 3 3" xfId="45501"/>
    <cellStyle name="Heading 2 2 7 3 4 4" xfId="45502"/>
    <cellStyle name="Heading 2 2 7 3 4 4 2" xfId="45503"/>
    <cellStyle name="Heading 2 2 7 3 4 4 2 2" xfId="45504"/>
    <cellStyle name="Heading 2 2 7 3 4 4 3" xfId="45505"/>
    <cellStyle name="Heading 2 2 7 3 4 5" xfId="45506"/>
    <cellStyle name="Heading 2 2 7 3 4 5 2" xfId="45507"/>
    <cellStyle name="Heading 2 2 7 3 4 5 2 2" xfId="45508"/>
    <cellStyle name="Heading 2 2 7 3 4 5 3" xfId="45509"/>
    <cellStyle name="Heading 2 2 7 3 4 6" xfId="45510"/>
    <cellStyle name="Heading 2 2 7 3 4 6 2" xfId="45511"/>
    <cellStyle name="Heading 2 2 7 3 4 6 2 2" xfId="45512"/>
    <cellStyle name="Heading 2 2 7 3 4 6 3" xfId="45513"/>
    <cellStyle name="Heading 2 2 7 3 4 7" xfId="45514"/>
    <cellStyle name="Heading 2 2 7 3 4 7 2" xfId="45515"/>
    <cellStyle name="Heading 2 2 7 3 4 7 2 2" xfId="45516"/>
    <cellStyle name="Heading 2 2 7 3 4 7 3" xfId="45517"/>
    <cellStyle name="Heading 2 2 7 3 4 8" xfId="45518"/>
    <cellStyle name="Heading 2 2 7 3 4 8 2" xfId="45519"/>
    <cellStyle name="Heading 2 2 7 3 4 9" xfId="45520"/>
    <cellStyle name="Heading 2 2 7 3 5" xfId="45521"/>
    <cellStyle name="Heading 2 2 7 3 5 2" xfId="45522"/>
    <cellStyle name="Heading 2 2 7 3 5 2 2" xfId="45523"/>
    <cellStyle name="Heading 2 2 7 3 5 2 2 2" xfId="45524"/>
    <cellStyle name="Heading 2 2 7 3 5 2 3" xfId="45525"/>
    <cellStyle name="Heading 2 2 7 3 5 3" xfId="45526"/>
    <cellStyle name="Heading 2 2 7 3 5 3 2" xfId="45527"/>
    <cellStyle name="Heading 2 2 7 3 5 3 2 2" xfId="45528"/>
    <cellStyle name="Heading 2 2 7 3 5 3 3" xfId="45529"/>
    <cellStyle name="Heading 2 2 7 3 5 4" xfId="45530"/>
    <cellStyle name="Heading 2 2 7 3 5 4 2" xfId="45531"/>
    <cellStyle name="Heading 2 2 7 3 5 4 2 2" xfId="45532"/>
    <cellStyle name="Heading 2 2 7 3 5 4 3" xfId="45533"/>
    <cellStyle name="Heading 2 2 7 3 5 5" xfId="45534"/>
    <cellStyle name="Heading 2 2 7 3 5 5 2" xfId="45535"/>
    <cellStyle name="Heading 2 2 7 3 5 5 2 2" xfId="45536"/>
    <cellStyle name="Heading 2 2 7 3 5 5 3" xfId="45537"/>
    <cellStyle name="Heading 2 2 7 3 5 6" xfId="45538"/>
    <cellStyle name="Heading 2 2 7 3 5 6 2" xfId="45539"/>
    <cellStyle name="Heading 2 2 7 3 5 6 2 2" xfId="45540"/>
    <cellStyle name="Heading 2 2 7 3 5 6 3" xfId="45541"/>
    <cellStyle name="Heading 2 2 7 3 5 7" xfId="45542"/>
    <cellStyle name="Heading 2 2 7 3 5 7 2" xfId="45543"/>
    <cellStyle name="Heading 2 2 7 3 5 7 2 2" xfId="45544"/>
    <cellStyle name="Heading 2 2 7 3 5 7 3" xfId="45545"/>
    <cellStyle name="Heading 2 2 7 3 5 8" xfId="45546"/>
    <cellStyle name="Heading 2 2 7 3 5 8 2" xfId="45547"/>
    <cellStyle name="Heading 2 2 7 3 5 9" xfId="45548"/>
    <cellStyle name="Heading 2 2 7 3 6" xfId="45549"/>
    <cellStyle name="Heading 2 2 7 3 6 2" xfId="45550"/>
    <cellStyle name="Heading 2 2 7 3 6 2 2" xfId="45551"/>
    <cellStyle name="Heading 2 2 7 3 6 2 2 2" xfId="45552"/>
    <cellStyle name="Heading 2 2 7 3 6 2 3" xfId="45553"/>
    <cellStyle name="Heading 2 2 7 3 6 3" xfId="45554"/>
    <cellStyle name="Heading 2 2 7 3 6 3 2" xfId="45555"/>
    <cellStyle name="Heading 2 2 7 3 6 3 2 2" xfId="45556"/>
    <cellStyle name="Heading 2 2 7 3 6 3 3" xfId="45557"/>
    <cellStyle name="Heading 2 2 7 3 6 4" xfId="45558"/>
    <cellStyle name="Heading 2 2 7 3 6 4 2" xfId="45559"/>
    <cellStyle name="Heading 2 2 7 3 6 4 2 2" xfId="45560"/>
    <cellStyle name="Heading 2 2 7 3 6 4 3" xfId="45561"/>
    <cellStyle name="Heading 2 2 7 3 6 5" xfId="45562"/>
    <cellStyle name="Heading 2 2 7 3 6 5 2" xfId="45563"/>
    <cellStyle name="Heading 2 2 7 3 6 5 2 2" xfId="45564"/>
    <cellStyle name="Heading 2 2 7 3 6 5 3" xfId="45565"/>
    <cellStyle name="Heading 2 2 7 3 6 6" xfId="45566"/>
    <cellStyle name="Heading 2 2 7 3 6 6 2" xfId="45567"/>
    <cellStyle name="Heading 2 2 7 3 6 6 2 2" xfId="45568"/>
    <cellStyle name="Heading 2 2 7 3 6 6 3" xfId="45569"/>
    <cellStyle name="Heading 2 2 7 3 6 7" xfId="45570"/>
    <cellStyle name="Heading 2 2 7 3 6 7 2" xfId="45571"/>
    <cellStyle name="Heading 2 2 7 3 6 7 2 2" xfId="45572"/>
    <cellStyle name="Heading 2 2 7 3 6 7 3" xfId="45573"/>
    <cellStyle name="Heading 2 2 7 3 6 8" xfId="45574"/>
    <cellStyle name="Heading 2 2 7 3 6 8 2" xfId="45575"/>
    <cellStyle name="Heading 2 2 7 3 6 9" xfId="45576"/>
    <cellStyle name="Heading 2 2 7 3 7" xfId="45577"/>
    <cellStyle name="Heading 2 2 7 3 7 2" xfId="45578"/>
    <cellStyle name="Heading 2 2 7 3 7 2 2" xfId="45579"/>
    <cellStyle name="Heading 2 2 7 3 7 2 2 2" xfId="45580"/>
    <cellStyle name="Heading 2 2 7 3 7 2 3" xfId="45581"/>
    <cellStyle name="Heading 2 2 7 3 7 3" xfId="45582"/>
    <cellStyle name="Heading 2 2 7 3 7 3 2" xfId="45583"/>
    <cellStyle name="Heading 2 2 7 3 7 3 2 2" xfId="45584"/>
    <cellStyle name="Heading 2 2 7 3 7 3 3" xfId="45585"/>
    <cellStyle name="Heading 2 2 7 3 7 4" xfId="45586"/>
    <cellStyle name="Heading 2 2 7 3 7 4 2" xfId="45587"/>
    <cellStyle name="Heading 2 2 7 3 7 4 2 2" xfId="45588"/>
    <cellStyle name="Heading 2 2 7 3 7 4 3" xfId="45589"/>
    <cellStyle name="Heading 2 2 7 3 7 5" xfId="45590"/>
    <cellStyle name="Heading 2 2 7 3 7 5 2" xfId="45591"/>
    <cellStyle name="Heading 2 2 7 3 7 5 2 2" xfId="45592"/>
    <cellStyle name="Heading 2 2 7 3 7 5 3" xfId="45593"/>
    <cellStyle name="Heading 2 2 7 3 7 6" xfId="45594"/>
    <cellStyle name="Heading 2 2 7 3 7 6 2" xfId="45595"/>
    <cellStyle name="Heading 2 2 7 3 7 6 2 2" xfId="45596"/>
    <cellStyle name="Heading 2 2 7 3 7 6 3" xfId="45597"/>
    <cellStyle name="Heading 2 2 7 3 7 7" xfId="45598"/>
    <cellStyle name="Heading 2 2 7 3 7 7 2" xfId="45599"/>
    <cellStyle name="Heading 2 2 7 3 7 7 2 2" xfId="45600"/>
    <cellStyle name="Heading 2 2 7 3 7 7 3" xfId="45601"/>
    <cellStyle name="Heading 2 2 7 3 7 8" xfId="45602"/>
    <cellStyle name="Heading 2 2 7 3 7 8 2" xfId="45603"/>
    <cellStyle name="Heading 2 2 7 3 7 9" xfId="45604"/>
    <cellStyle name="Heading 2 2 7 3 8" xfId="45605"/>
    <cellStyle name="Heading 2 2 7 3 8 2" xfId="45606"/>
    <cellStyle name="Heading 2 2 7 3 8 2 2" xfId="45607"/>
    <cellStyle name="Heading 2 2 7 3 8 2 2 2" xfId="45608"/>
    <cellStyle name="Heading 2 2 7 3 8 2 3" xfId="45609"/>
    <cellStyle name="Heading 2 2 7 3 8 3" xfId="45610"/>
    <cellStyle name="Heading 2 2 7 3 8 3 2" xfId="45611"/>
    <cellStyle name="Heading 2 2 7 3 8 3 2 2" xfId="45612"/>
    <cellStyle name="Heading 2 2 7 3 8 3 3" xfId="45613"/>
    <cellStyle name="Heading 2 2 7 3 8 4" xfId="45614"/>
    <cellStyle name="Heading 2 2 7 3 8 4 2" xfId="45615"/>
    <cellStyle name="Heading 2 2 7 3 8 4 2 2" xfId="45616"/>
    <cellStyle name="Heading 2 2 7 3 8 4 3" xfId="45617"/>
    <cellStyle name="Heading 2 2 7 3 8 5" xfId="45618"/>
    <cellStyle name="Heading 2 2 7 3 8 5 2" xfId="45619"/>
    <cellStyle name="Heading 2 2 7 3 8 5 2 2" xfId="45620"/>
    <cellStyle name="Heading 2 2 7 3 8 5 3" xfId="45621"/>
    <cellStyle name="Heading 2 2 7 3 8 6" xfId="45622"/>
    <cellStyle name="Heading 2 2 7 3 8 6 2" xfId="45623"/>
    <cellStyle name="Heading 2 2 7 3 8 6 2 2" xfId="45624"/>
    <cellStyle name="Heading 2 2 7 3 8 6 3" xfId="45625"/>
    <cellStyle name="Heading 2 2 7 3 8 7" xfId="45626"/>
    <cellStyle name="Heading 2 2 7 3 8 7 2" xfId="45627"/>
    <cellStyle name="Heading 2 2 7 3 8 7 2 2" xfId="45628"/>
    <cellStyle name="Heading 2 2 7 3 8 7 3" xfId="45629"/>
    <cellStyle name="Heading 2 2 7 3 8 8" xfId="45630"/>
    <cellStyle name="Heading 2 2 7 3 8 8 2" xfId="45631"/>
    <cellStyle name="Heading 2 2 7 3 8 9" xfId="45632"/>
    <cellStyle name="Heading 2 2 7 3 9" xfId="45633"/>
    <cellStyle name="Heading 2 2 7 3 9 2" xfId="45634"/>
    <cellStyle name="Heading 2 2 7 3 9 2 2" xfId="45635"/>
    <cellStyle name="Heading 2 2 7 3 9 3" xfId="45636"/>
    <cellStyle name="Heading 2 2 7 4" xfId="45637"/>
    <cellStyle name="Heading 2 2 7 4 2" xfId="45638"/>
    <cellStyle name="Heading 2 2 7 4 2 2" xfId="45639"/>
    <cellStyle name="Heading 2 2 7 4 3" xfId="45640"/>
    <cellStyle name="Heading 2 2 7 5" xfId="45641"/>
    <cellStyle name="Heading 2 2 7 5 2" xfId="45642"/>
    <cellStyle name="Heading 2 2 7 6" xfId="45643"/>
    <cellStyle name="Heading 2 2 8" xfId="45644"/>
    <cellStyle name="Heading 2 2 8 2" xfId="45645"/>
    <cellStyle name="Heading 2 2 8 2 10" xfId="45646"/>
    <cellStyle name="Heading 2 2 8 2 10 2" xfId="45647"/>
    <cellStyle name="Heading 2 2 8 2 10 2 2" xfId="45648"/>
    <cellStyle name="Heading 2 2 8 2 10 3" xfId="45649"/>
    <cellStyle name="Heading 2 2 8 2 11" xfId="45650"/>
    <cellStyle name="Heading 2 2 8 2 11 2" xfId="45651"/>
    <cellStyle name="Heading 2 2 8 2 11 2 2" xfId="45652"/>
    <cellStyle name="Heading 2 2 8 2 11 3" xfId="45653"/>
    <cellStyle name="Heading 2 2 8 2 12" xfId="45654"/>
    <cellStyle name="Heading 2 2 8 2 12 2" xfId="45655"/>
    <cellStyle name="Heading 2 2 8 2 12 2 2" xfId="45656"/>
    <cellStyle name="Heading 2 2 8 2 12 3" xfId="45657"/>
    <cellStyle name="Heading 2 2 8 2 13" xfId="45658"/>
    <cellStyle name="Heading 2 2 8 2 13 2" xfId="45659"/>
    <cellStyle name="Heading 2 2 8 2 13 2 2" xfId="45660"/>
    <cellStyle name="Heading 2 2 8 2 13 3" xfId="45661"/>
    <cellStyle name="Heading 2 2 8 2 14" xfId="45662"/>
    <cellStyle name="Heading 2 2 8 2 14 2" xfId="45663"/>
    <cellStyle name="Heading 2 2 8 2 14 2 2" xfId="45664"/>
    <cellStyle name="Heading 2 2 8 2 14 3" xfId="45665"/>
    <cellStyle name="Heading 2 2 8 2 15" xfId="45666"/>
    <cellStyle name="Heading 2 2 8 2 15 2" xfId="45667"/>
    <cellStyle name="Heading 2 2 8 2 15 2 2" xfId="45668"/>
    <cellStyle name="Heading 2 2 8 2 15 3" xfId="45669"/>
    <cellStyle name="Heading 2 2 8 2 16" xfId="45670"/>
    <cellStyle name="Heading 2 2 8 2 16 2" xfId="45671"/>
    <cellStyle name="Heading 2 2 8 2 16 2 2" xfId="45672"/>
    <cellStyle name="Heading 2 2 8 2 16 3" xfId="45673"/>
    <cellStyle name="Heading 2 2 8 2 17" xfId="45674"/>
    <cellStyle name="Heading 2 2 8 2 17 2" xfId="45675"/>
    <cellStyle name="Heading 2 2 8 2 17 2 2" xfId="45676"/>
    <cellStyle name="Heading 2 2 8 2 17 3" xfId="45677"/>
    <cellStyle name="Heading 2 2 8 2 18" xfId="45678"/>
    <cellStyle name="Heading 2 2 8 2 18 2" xfId="45679"/>
    <cellStyle name="Heading 2 2 8 2 18 2 2" xfId="45680"/>
    <cellStyle name="Heading 2 2 8 2 18 3" xfId="45681"/>
    <cellStyle name="Heading 2 2 8 2 19" xfId="45682"/>
    <cellStyle name="Heading 2 2 8 2 19 2" xfId="45683"/>
    <cellStyle name="Heading 2 2 8 2 19 2 2" xfId="45684"/>
    <cellStyle name="Heading 2 2 8 2 19 3" xfId="45685"/>
    <cellStyle name="Heading 2 2 8 2 2" xfId="45686"/>
    <cellStyle name="Heading 2 2 8 2 2 10" xfId="45687"/>
    <cellStyle name="Heading 2 2 8 2 2 10 2" xfId="45688"/>
    <cellStyle name="Heading 2 2 8 2 2 10 2 2" xfId="45689"/>
    <cellStyle name="Heading 2 2 8 2 2 10 3" xfId="45690"/>
    <cellStyle name="Heading 2 2 8 2 2 11" xfId="45691"/>
    <cellStyle name="Heading 2 2 8 2 2 11 2" xfId="45692"/>
    <cellStyle name="Heading 2 2 8 2 2 11 2 2" xfId="45693"/>
    <cellStyle name="Heading 2 2 8 2 2 11 3" xfId="45694"/>
    <cellStyle name="Heading 2 2 8 2 2 12" xfId="45695"/>
    <cellStyle name="Heading 2 2 8 2 2 12 2" xfId="45696"/>
    <cellStyle name="Heading 2 2 8 2 2 12 2 2" xfId="45697"/>
    <cellStyle name="Heading 2 2 8 2 2 12 3" xfId="45698"/>
    <cellStyle name="Heading 2 2 8 2 2 13" xfId="45699"/>
    <cellStyle name="Heading 2 2 8 2 2 13 2" xfId="45700"/>
    <cellStyle name="Heading 2 2 8 2 2 13 2 2" xfId="45701"/>
    <cellStyle name="Heading 2 2 8 2 2 13 3" xfId="45702"/>
    <cellStyle name="Heading 2 2 8 2 2 14" xfId="45703"/>
    <cellStyle name="Heading 2 2 8 2 2 14 2" xfId="45704"/>
    <cellStyle name="Heading 2 2 8 2 2 14 2 2" xfId="45705"/>
    <cellStyle name="Heading 2 2 8 2 2 14 3" xfId="45706"/>
    <cellStyle name="Heading 2 2 8 2 2 15" xfId="45707"/>
    <cellStyle name="Heading 2 2 8 2 2 15 2" xfId="45708"/>
    <cellStyle name="Heading 2 2 8 2 2 15 2 2" xfId="45709"/>
    <cellStyle name="Heading 2 2 8 2 2 15 3" xfId="45710"/>
    <cellStyle name="Heading 2 2 8 2 2 16" xfId="45711"/>
    <cellStyle name="Heading 2 2 8 2 2 16 2" xfId="45712"/>
    <cellStyle name="Heading 2 2 8 2 2 16 2 2" xfId="45713"/>
    <cellStyle name="Heading 2 2 8 2 2 16 3" xfId="45714"/>
    <cellStyle name="Heading 2 2 8 2 2 17" xfId="45715"/>
    <cellStyle name="Heading 2 2 8 2 2 17 2" xfId="45716"/>
    <cellStyle name="Heading 2 2 8 2 2 17 2 2" xfId="45717"/>
    <cellStyle name="Heading 2 2 8 2 2 17 3" xfId="45718"/>
    <cellStyle name="Heading 2 2 8 2 2 18" xfId="45719"/>
    <cellStyle name="Heading 2 2 8 2 2 18 2" xfId="45720"/>
    <cellStyle name="Heading 2 2 8 2 2 18 2 2" xfId="45721"/>
    <cellStyle name="Heading 2 2 8 2 2 18 3" xfId="45722"/>
    <cellStyle name="Heading 2 2 8 2 2 19" xfId="45723"/>
    <cellStyle name="Heading 2 2 8 2 2 19 2" xfId="45724"/>
    <cellStyle name="Heading 2 2 8 2 2 2" xfId="45725"/>
    <cellStyle name="Heading 2 2 8 2 2 2 2" xfId="45726"/>
    <cellStyle name="Heading 2 2 8 2 2 2 2 2" xfId="45727"/>
    <cellStyle name="Heading 2 2 8 2 2 2 2 2 2" xfId="45728"/>
    <cellStyle name="Heading 2 2 8 2 2 2 2 3" xfId="45729"/>
    <cellStyle name="Heading 2 2 8 2 2 2 3" xfId="45730"/>
    <cellStyle name="Heading 2 2 8 2 2 2 3 2" xfId="45731"/>
    <cellStyle name="Heading 2 2 8 2 2 2 3 2 2" xfId="45732"/>
    <cellStyle name="Heading 2 2 8 2 2 2 3 3" xfId="45733"/>
    <cellStyle name="Heading 2 2 8 2 2 2 4" xfId="45734"/>
    <cellStyle name="Heading 2 2 8 2 2 2 4 2" xfId="45735"/>
    <cellStyle name="Heading 2 2 8 2 2 2 4 2 2" xfId="45736"/>
    <cellStyle name="Heading 2 2 8 2 2 2 4 3" xfId="45737"/>
    <cellStyle name="Heading 2 2 8 2 2 2 5" xfId="45738"/>
    <cellStyle name="Heading 2 2 8 2 2 2 5 2" xfId="45739"/>
    <cellStyle name="Heading 2 2 8 2 2 2 5 2 2" xfId="45740"/>
    <cellStyle name="Heading 2 2 8 2 2 2 5 3" xfId="45741"/>
    <cellStyle name="Heading 2 2 8 2 2 2 6" xfId="45742"/>
    <cellStyle name="Heading 2 2 8 2 2 2 6 2" xfId="45743"/>
    <cellStyle name="Heading 2 2 8 2 2 2 6 2 2" xfId="45744"/>
    <cellStyle name="Heading 2 2 8 2 2 2 6 3" xfId="45745"/>
    <cellStyle name="Heading 2 2 8 2 2 2 7" xfId="45746"/>
    <cellStyle name="Heading 2 2 8 2 2 2 7 2" xfId="45747"/>
    <cellStyle name="Heading 2 2 8 2 2 2 7 2 2" xfId="45748"/>
    <cellStyle name="Heading 2 2 8 2 2 2 7 3" xfId="45749"/>
    <cellStyle name="Heading 2 2 8 2 2 2 8" xfId="45750"/>
    <cellStyle name="Heading 2 2 8 2 2 2 8 2" xfId="45751"/>
    <cellStyle name="Heading 2 2 8 2 2 2 9" xfId="45752"/>
    <cellStyle name="Heading 2 2 8 2 2 20" xfId="45753"/>
    <cellStyle name="Heading 2 2 8 2 2 20 2" xfId="45754"/>
    <cellStyle name="Heading 2 2 8 2 2 21" xfId="45755"/>
    <cellStyle name="Heading 2 2 8 2 2 21 2" xfId="45756"/>
    <cellStyle name="Heading 2 2 8 2 2 22" xfId="45757"/>
    <cellStyle name="Heading 2 2 8 2 2 3" xfId="45758"/>
    <cellStyle name="Heading 2 2 8 2 2 3 2" xfId="45759"/>
    <cellStyle name="Heading 2 2 8 2 2 3 2 2" xfId="45760"/>
    <cellStyle name="Heading 2 2 8 2 2 3 2 2 2" xfId="45761"/>
    <cellStyle name="Heading 2 2 8 2 2 3 2 3" xfId="45762"/>
    <cellStyle name="Heading 2 2 8 2 2 3 3" xfId="45763"/>
    <cellStyle name="Heading 2 2 8 2 2 3 3 2" xfId="45764"/>
    <cellStyle name="Heading 2 2 8 2 2 3 3 2 2" xfId="45765"/>
    <cellStyle name="Heading 2 2 8 2 2 3 3 3" xfId="45766"/>
    <cellStyle name="Heading 2 2 8 2 2 3 4" xfId="45767"/>
    <cellStyle name="Heading 2 2 8 2 2 3 4 2" xfId="45768"/>
    <cellStyle name="Heading 2 2 8 2 2 3 4 2 2" xfId="45769"/>
    <cellStyle name="Heading 2 2 8 2 2 3 4 3" xfId="45770"/>
    <cellStyle name="Heading 2 2 8 2 2 3 5" xfId="45771"/>
    <cellStyle name="Heading 2 2 8 2 2 3 5 2" xfId="45772"/>
    <cellStyle name="Heading 2 2 8 2 2 3 5 2 2" xfId="45773"/>
    <cellStyle name="Heading 2 2 8 2 2 3 5 3" xfId="45774"/>
    <cellStyle name="Heading 2 2 8 2 2 3 6" xfId="45775"/>
    <cellStyle name="Heading 2 2 8 2 2 3 6 2" xfId="45776"/>
    <cellStyle name="Heading 2 2 8 2 2 3 6 2 2" xfId="45777"/>
    <cellStyle name="Heading 2 2 8 2 2 3 6 3" xfId="45778"/>
    <cellStyle name="Heading 2 2 8 2 2 3 7" xfId="45779"/>
    <cellStyle name="Heading 2 2 8 2 2 3 7 2" xfId="45780"/>
    <cellStyle name="Heading 2 2 8 2 2 3 7 2 2" xfId="45781"/>
    <cellStyle name="Heading 2 2 8 2 2 3 7 3" xfId="45782"/>
    <cellStyle name="Heading 2 2 8 2 2 3 8" xfId="45783"/>
    <cellStyle name="Heading 2 2 8 2 2 3 8 2" xfId="45784"/>
    <cellStyle name="Heading 2 2 8 2 2 3 9" xfId="45785"/>
    <cellStyle name="Heading 2 2 8 2 2 4" xfId="45786"/>
    <cellStyle name="Heading 2 2 8 2 2 4 2" xfId="45787"/>
    <cellStyle name="Heading 2 2 8 2 2 4 2 2" xfId="45788"/>
    <cellStyle name="Heading 2 2 8 2 2 4 2 2 2" xfId="45789"/>
    <cellStyle name="Heading 2 2 8 2 2 4 2 3" xfId="45790"/>
    <cellStyle name="Heading 2 2 8 2 2 4 3" xfId="45791"/>
    <cellStyle name="Heading 2 2 8 2 2 4 3 2" xfId="45792"/>
    <cellStyle name="Heading 2 2 8 2 2 4 3 2 2" xfId="45793"/>
    <cellStyle name="Heading 2 2 8 2 2 4 3 3" xfId="45794"/>
    <cellStyle name="Heading 2 2 8 2 2 4 4" xfId="45795"/>
    <cellStyle name="Heading 2 2 8 2 2 4 4 2" xfId="45796"/>
    <cellStyle name="Heading 2 2 8 2 2 4 4 2 2" xfId="45797"/>
    <cellStyle name="Heading 2 2 8 2 2 4 4 3" xfId="45798"/>
    <cellStyle name="Heading 2 2 8 2 2 4 5" xfId="45799"/>
    <cellStyle name="Heading 2 2 8 2 2 4 5 2" xfId="45800"/>
    <cellStyle name="Heading 2 2 8 2 2 4 5 2 2" xfId="45801"/>
    <cellStyle name="Heading 2 2 8 2 2 4 5 3" xfId="45802"/>
    <cellStyle name="Heading 2 2 8 2 2 4 6" xfId="45803"/>
    <cellStyle name="Heading 2 2 8 2 2 4 6 2" xfId="45804"/>
    <cellStyle name="Heading 2 2 8 2 2 4 6 2 2" xfId="45805"/>
    <cellStyle name="Heading 2 2 8 2 2 4 6 3" xfId="45806"/>
    <cellStyle name="Heading 2 2 8 2 2 4 7" xfId="45807"/>
    <cellStyle name="Heading 2 2 8 2 2 4 7 2" xfId="45808"/>
    <cellStyle name="Heading 2 2 8 2 2 4 7 2 2" xfId="45809"/>
    <cellStyle name="Heading 2 2 8 2 2 4 7 3" xfId="45810"/>
    <cellStyle name="Heading 2 2 8 2 2 4 8" xfId="45811"/>
    <cellStyle name="Heading 2 2 8 2 2 4 8 2" xfId="45812"/>
    <cellStyle name="Heading 2 2 8 2 2 4 9" xfId="45813"/>
    <cellStyle name="Heading 2 2 8 2 2 5" xfId="45814"/>
    <cellStyle name="Heading 2 2 8 2 2 5 2" xfId="45815"/>
    <cellStyle name="Heading 2 2 8 2 2 5 2 2" xfId="45816"/>
    <cellStyle name="Heading 2 2 8 2 2 5 2 2 2" xfId="45817"/>
    <cellStyle name="Heading 2 2 8 2 2 5 2 3" xfId="45818"/>
    <cellStyle name="Heading 2 2 8 2 2 5 3" xfId="45819"/>
    <cellStyle name="Heading 2 2 8 2 2 5 3 2" xfId="45820"/>
    <cellStyle name="Heading 2 2 8 2 2 5 3 2 2" xfId="45821"/>
    <cellStyle name="Heading 2 2 8 2 2 5 3 3" xfId="45822"/>
    <cellStyle name="Heading 2 2 8 2 2 5 4" xfId="45823"/>
    <cellStyle name="Heading 2 2 8 2 2 5 4 2" xfId="45824"/>
    <cellStyle name="Heading 2 2 8 2 2 5 4 2 2" xfId="45825"/>
    <cellStyle name="Heading 2 2 8 2 2 5 4 3" xfId="45826"/>
    <cellStyle name="Heading 2 2 8 2 2 5 5" xfId="45827"/>
    <cellStyle name="Heading 2 2 8 2 2 5 5 2" xfId="45828"/>
    <cellStyle name="Heading 2 2 8 2 2 5 5 2 2" xfId="45829"/>
    <cellStyle name="Heading 2 2 8 2 2 5 5 3" xfId="45830"/>
    <cellStyle name="Heading 2 2 8 2 2 5 6" xfId="45831"/>
    <cellStyle name="Heading 2 2 8 2 2 5 6 2" xfId="45832"/>
    <cellStyle name="Heading 2 2 8 2 2 5 6 2 2" xfId="45833"/>
    <cellStyle name="Heading 2 2 8 2 2 5 6 3" xfId="45834"/>
    <cellStyle name="Heading 2 2 8 2 2 5 7" xfId="45835"/>
    <cellStyle name="Heading 2 2 8 2 2 5 7 2" xfId="45836"/>
    <cellStyle name="Heading 2 2 8 2 2 5 7 2 2" xfId="45837"/>
    <cellStyle name="Heading 2 2 8 2 2 5 7 3" xfId="45838"/>
    <cellStyle name="Heading 2 2 8 2 2 5 8" xfId="45839"/>
    <cellStyle name="Heading 2 2 8 2 2 5 8 2" xfId="45840"/>
    <cellStyle name="Heading 2 2 8 2 2 5 9" xfId="45841"/>
    <cellStyle name="Heading 2 2 8 2 2 6" xfId="45842"/>
    <cellStyle name="Heading 2 2 8 2 2 6 2" xfId="45843"/>
    <cellStyle name="Heading 2 2 8 2 2 6 2 2" xfId="45844"/>
    <cellStyle name="Heading 2 2 8 2 2 6 2 2 2" xfId="45845"/>
    <cellStyle name="Heading 2 2 8 2 2 6 2 3" xfId="45846"/>
    <cellStyle name="Heading 2 2 8 2 2 6 3" xfId="45847"/>
    <cellStyle name="Heading 2 2 8 2 2 6 3 2" xfId="45848"/>
    <cellStyle name="Heading 2 2 8 2 2 6 3 2 2" xfId="45849"/>
    <cellStyle name="Heading 2 2 8 2 2 6 3 3" xfId="45850"/>
    <cellStyle name="Heading 2 2 8 2 2 6 4" xfId="45851"/>
    <cellStyle name="Heading 2 2 8 2 2 6 4 2" xfId="45852"/>
    <cellStyle name="Heading 2 2 8 2 2 6 4 2 2" xfId="45853"/>
    <cellStyle name="Heading 2 2 8 2 2 6 4 3" xfId="45854"/>
    <cellStyle name="Heading 2 2 8 2 2 6 5" xfId="45855"/>
    <cellStyle name="Heading 2 2 8 2 2 6 5 2" xfId="45856"/>
    <cellStyle name="Heading 2 2 8 2 2 6 5 2 2" xfId="45857"/>
    <cellStyle name="Heading 2 2 8 2 2 6 5 3" xfId="45858"/>
    <cellStyle name="Heading 2 2 8 2 2 6 6" xfId="45859"/>
    <cellStyle name="Heading 2 2 8 2 2 6 6 2" xfId="45860"/>
    <cellStyle name="Heading 2 2 8 2 2 6 6 2 2" xfId="45861"/>
    <cellStyle name="Heading 2 2 8 2 2 6 6 3" xfId="45862"/>
    <cellStyle name="Heading 2 2 8 2 2 6 7" xfId="45863"/>
    <cellStyle name="Heading 2 2 8 2 2 6 7 2" xfId="45864"/>
    <cellStyle name="Heading 2 2 8 2 2 6 7 2 2" xfId="45865"/>
    <cellStyle name="Heading 2 2 8 2 2 6 7 3" xfId="45866"/>
    <cellStyle name="Heading 2 2 8 2 2 6 8" xfId="45867"/>
    <cellStyle name="Heading 2 2 8 2 2 6 8 2" xfId="45868"/>
    <cellStyle name="Heading 2 2 8 2 2 6 9" xfId="45869"/>
    <cellStyle name="Heading 2 2 8 2 2 7" xfId="45870"/>
    <cellStyle name="Heading 2 2 8 2 2 7 2" xfId="45871"/>
    <cellStyle name="Heading 2 2 8 2 2 7 2 2" xfId="45872"/>
    <cellStyle name="Heading 2 2 8 2 2 7 2 2 2" xfId="45873"/>
    <cellStyle name="Heading 2 2 8 2 2 7 2 3" xfId="45874"/>
    <cellStyle name="Heading 2 2 8 2 2 7 3" xfId="45875"/>
    <cellStyle name="Heading 2 2 8 2 2 7 3 2" xfId="45876"/>
    <cellStyle name="Heading 2 2 8 2 2 7 3 2 2" xfId="45877"/>
    <cellStyle name="Heading 2 2 8 2 2 7 3 3" xfId="45878"/>
    <cellStyle name="Heading 2 2 8 2 2 7 4" xfId="45879"/>
    <cellStyle name="Heading 2 2 8 2 2 7 4 2" xfId="45880"/>
    <cellStyle name="Heading 2 2 8 2 2 7 4 2 2" xfId="45881"/>
    <cellStyle name="Heading 2 2 8 2 2 7 4 3" xfId="45882"/>
    <cellStyle name="Heading 2 2 8 2 2 7 5" xfId="45883"/>
    <cellStyle name="Heading 2 2 8 2 2 7 5 2" xfId="45884"/>
    <cellStyle name="Heading 2 2 8 2 2 7 5 2 2" xfId="45885"/>
    <cellStyle name="Heading 2 2 8 2 2 7 5 3" xfId="45886"/>
    <cellStyle name="Heading 2 2 8 2 2 7 6" xfId="45887"/>
    <cellStyle name="Heading 2 2 8 2 2 7 6 2" xfId="45888"/>
    <cellStyle name="Heading 2 2 8 2 2 7 6 2 2" xfId="45889"/>
    <cellStyle name="Heading 2 2 8 2 2 7 6 3" xfId="45890"/>
    <cellStyle name="Heading 2 2 8 2 2 7 7" xfId="45891"/>
    <cellStyle name="Heading 2 2 8 2 2 7 7 2" xfId="45892"/>
    <cellStyle name="Heading 2 2 8 2 2 7 7 2 2" xfId="45893"/>
    <cellStyle name="Heading 2 2 8 2 2 7 7 3" xfId="45894"/>
    <cellStyle name="Heading 2 2 8 2 2 7 8" xfId="45895"/>
    <cellStyle name="Heading 2 2 8 2 2 7 8 2" xfId="45896"/>
    <cellStyle name="Heading 2 2 8 2 2 7 9" xfId="45897"/>
    <cellStyle name="Heading 2 2 8 2 2 8" xfId="45898"/>
    <cellStyle name="Heading 2 2 8 2 2 8 2" xfId="45899"/>
    <cellStyle name="Heading 2 2 8 2 2 8 2 2" xfId="45900"/>
    <cellStyle name="Heading 2 2 8 2 2 8 2 2 2" xfId="45901"/>
    <cellStyle name="Heading 2 2 8 2 2 8 2 3" xfId="45902"/>
    <cellStyle name="Heading 2 2 8 2 2 8 3" xfId="45903"/>
    <cellStyle name="Heading 2 2 8 2 2 8 3 2" xfId="45904"/>
    <cellStyle name="Heading 2 2 8 2 2 8 3 2 2" xfId="45905"/>
    <cellStyle name="Heading 2 2 8 2 2 8 3 3" xfId="45906"/>
    <cellStyle name="Heading 2 2 8 2 2 8 4" xfId="45907"/>
    <cellStyle name="Heading 2 2 8 2 2 8 4 2" xfId="45908"/>
    <cellStyle name="Heading 2 2 8 2 2 8 4 2 2" xfId="45909"/>
    <cellStyle name="Heading 2 2 8 2 2 8 4 3" xfId="45910"/>
    <cellStyle name="Heading 2 2 8 2 2 8 5" xfId="45911"/>
    <cellStyle name="Heading 2 2 8 2 2 8 5 2" xfId="45912"/>
    <cellStyle name="Heading 2 2 8 2 2 8 5 2 2" xfId="45913"/>
    <cellStyle name="Heading 2 2 8 2 2 8 5 3" xfId="45914"/>
    <cellStyle name="Heading 2 2 8 2 2 8 6" xfId="45915"/>
    <cellStyle name="Heading 2 2 8 2 2 8 6 2" xfId="45916"/>
    <cellStyle name="Heading 2 2 8 2 2 8 6 2 2" xfId="45917"/>
    <cellStyle name="Heading 2 2 8 2 2 8 6 3" xfId="45918"/>
    <cellStyle name="Heading 2 2 8 2 2 8 7" xfId="45919"/>
    <cellStyle name="Heading 2 2 8 2 2 8 7 2" xfId="45920"/>
    <cellStyle name="Heading 2 2 8 2 2 8 7 2 2" xfId="45921"/>
    <cellStyle name="Heading 2 2 8 2 2 8 7 3" xfId="45922"/>
    <cellStyle name="Heading 2 2 8 2 2 8 8" xfId="45923"/>
    <cellStyle name="Heading 2 2 8 2 2 8 8 2" xfId="45924"/>
    <cellStyle name="Heading 2 2 8 2 2 8 9" xfId="45925"/>
    <cellStyle name="Heading 2 2 8 2 2 9" xfId="45926"/>
    <cellStyle name="Heading 2 2 8 2 2 9 2" xfId="45927"/>
    <cellStyle name="Heading 2 2 8 2 2 9 2 2" xfId="45928"/>
    <cellStyle name="Heading 2 2 8 2 2 9 3" xfId="45929"/>
    <cellStyle name="Heading 2 2 8 2 20" xfId="45930"/>
    <cellStyle name="Heading 2 2 8 2 20 2" xfId="45931"/>
    <cellStyle name="Heading 2 2 8 2 21" xfId="45932"/>
    <cellStyle name="Heading 2 2 8 2 21 2" xfId="45933"/>
    <cellStyle name="Heading 2 2 8 2 22" xfId="45934"/>
    <cellStyle name="Heading 2 2 8 2 22 2" xfId="45935"/>
    <cellStyle name="Heading 2 2 8 2 23" xfId="45936"/>
    <cellStyle name="Heading 2 2 8 2 3" xfId="45937"/>
    <cellStyle name="Heading 2 2 8 2 3 2" xfId="45938"/>
    <cellStyle name="Heading 2 2 8 2 3 2 2" xfId="45939"/>
    <cellStyle name="Heading 2 2 8 2 3 2 2 2" xfId="45940"/>
    <cellStyle name="Heading 2 2 8 2 3 2 3" xfId="45941"/>
    <cellStyle name="Heading 2 2 8 2 3 3" xfId="45942"/>
    <cellStyle name="Heading 2 2 8 2 3 3 2" xfId="45943"/>
    <cellStyle name="Heading 2 2 8 2 3 3 2 2" xfId="45944"/>
    <cellStyle name="Heading 2 2 8 2 3 3 3" xfId="45945"/>
    <cellStyle name="Heading 2 2 8 2 3 4" xfId="45946"/>
    <cellStyle name="Heading 2 2 8 2 3 4 2" xfId="45947"/>
    <cellStyle name="Heading 2 2 8 2 3 4 2 2" xfId="45948"/>
    <cellStyle name="Heading 2 2 8 2 3 4 3" xfId="45949"/>
    <cellStyle name="Heading 2 2 8 2 3 5" xfId="45950"/>
    <cellStyle name="Heading 2 2 8 2 3 5 2" xfId="45951"/>
    <cellStyle name="Heading 2 2 8 2 3 5 2 2" xfId="45952"/>
    <cellStyle name="Heading 2 2 8 2 3 5 3" xfId="45953"/>
    <cellStyle name="Heading 2 2 8 2 3 6" xfId="45954"/>
    <cellStyle name="Heading 2 2 8 2 3 6 2" xfId="45955"/>
    <cellStyle name="Heading 2 2 8 2 3 6 2 2" xfId="45956"/>
    <cellStyle name="Heading 2 2 8 2 3 6 3" xfId="45957"/>
    <cellStyle name="Heading 2 2 8 2 3 7" xfId="45958"/>
    <cellStyle name="Heading 2 2 8 2 3 7 2" xfId="45959"/>
    <cellStyle name="Heading 2 2 8 2 3 7 2 2" xfId="45960"/>
    <cellStyle name="Heading 2 2 8 2 3 7 3" xfId="45961"/>
    <cellStyle name="Heading 2 2 8 2 3 8" xfId="45962"/>
    <cellStyle name="Heading 2 2 8 2 3 8 2" xfId="45963"/>
    <cellStyle name="Heading 2 2 8 2 3 9" xfId="45964"/>
    <cellStyle name="Heading 2 2 8 2 4" xfId="45965"/>
    <cellStyle name="Heading 2 2 8 2 4 2" xfId="45966"/>
    <cellStyle name="Heading 2 2 8 2 4 2 2" xfId="45967"/>
    <cellStyle name="Heading 2 2 8 2 4 2 2 2" xfId="45968"/>
    <cellStyle name="Heading 2 2 8 2 4 2 3" xfId="45969"/>
    <cellStyle name="Heading 2 2 8 2 4 3" xfId="45970"/>
    <cellStyle name="Heading 2 2 8 2 4 3 2" xfId="45971"/>
    <cellStyle name="Heading 2 2 8 2 4 3 2 2" xfId="45972"/>
    <cellStyle name="Heading 2 2 8 2 4 3 3" xfId="45973"/>
    <cellStyle name="Heading 2 2 8 2 4 4" xfId="45974"/>
    <cellStyle name="Heading 2 2 8 2 4 4 2" xfId="45975"/>
    <cellStyle name="Heading 2 2 8 2 4 4 2 2" xfId="45976"/>
    <cellStyle name="Heading 2 2 8 2 4 4 3" xfId="45977"/>
    <cellStyle name="Heading 2 2 8 2 4 5" xfId="45978"/>
    <cellStyle name="Heading 2 2 8 2 4 5 2" xfId="45979"/>
    <cellStyle name="Heading 2 2 8 2 4 5 2 2" xfId="45980"/>
    <cellStyle name="Heading 2 2 8 2 4 5 3" xfId="45981"/>
    <cellStyle name="Heading 2 2 8 2 4 6" xfId="45982"/>
    <cellStyle name="Heading 2 2 8 2 4 6 2" xfId="45983"/>
    <cellStyle name="Heading 2 2 8 2 4 6 2 2" xfId="45984"/>
    <cellStyle name="Heading 2 2 8 2 4 6 3" xfId="45985"/>
    <cellStyle name="Heading 2 2 8 2 4 7" xfId="45986"/>
    <cellStyle name="Heading 2 2 8 2 4 7 2" xfId="45987"/>
    <cellStyle name="Heading 2 2 8 2 4 7 2 2" xfId="45988"/>
    <cellStyle name="Heading 2 2 8 2 4 7 3" xfId="45989"/>
    <cellStyle name="Heading 2 2 8 2 4 8" xfId="45990"/>
    <cellStyle name="Heading 2 2 8 2 4 8 2" xfId="45991"/>
    <cellStyle name="Heading 2 2 8 2 4 9" xfId="45992"/>
    <cellStyle name="Heading 2 2 8 2 5" xfId="45993"/>
    <cellStyle name="Heading 2 2 8 2 5 2" xfId="45994"/>
    <cellStyle name="Heading 2 2 8 2 5 2 2" xfId="45995"/>
    <cellStyle name="Heading 2 2 8 2 5 2 2 2" xfId="45996"/>
    <cellStyle name="Heading 2 2 8 2 5 2 3" xfId="45997"/>
    <cellStyle name="Heading 2 2 8 2 5 3" xfId="45998"/>
    <cellStyle name="Heading 2 2 8 2 5 3 2" xfId="45999"/>
    <cellStyle name="Heading 2 2 8 2 5 3 2 2" xfId="46000"/>
    <cellStyle name="Heading 2 2 8 2 5 3 3" xfId="46001"/>
    <cellStyle name="Heading 2 2 8 2 5 4" xfId="46002"/>
    <cellStyle name="Heading 2 2 8 2 5 4 2" xfId="46003"/>
    <cellStyle name="Heading 2 2 8 2 5 4 2 2" xfId="46004"/>
    <cellStyle name="Heading 2 2 8 2 5 4 3" xfId="46005"/>
    <cellStyle name="Heading 2 2 8 2 5 5" xfId="46006"/>
    <cellStyle name="Heading 2 2 8 2 5 5 2" xfId="46007"/>
    <cellStyle name="Heading 2 2 8 2 5 5 2 2" xfId="46008"/>
    <cellStyle name="Heading 2 2 8 2 5 5 3" xfId="46009"/>
    <cellStyle name="Heading 2 2 8 2 5 6" xfId="46010"/>
    <cellStyle name="Heading 2 2 8 2 5 6 2" xfId="46011"/>
    <cellStyle name="Heading 2 2 8 2 5 6 2 2" xfId="46012"/>
    <cellStyle name="Heading 2 2 8 2 5 6 3" xfId="46013"/>
    <cellStyle name="Heading 2 2 8 2 5 7" xfId="46014"/>
    <cellStyle name="Heading 2 2 8 2 5 7 2" xfId="46015"/>
    <cellStyle name="Heading 2 2 8 2 5 7 2 2" xfId="46016"/>
    <cellStyle name="Heading 2 2 8 2 5 7 3" xfId="46017"/>
    <cellStyle name="Heading 2 2 8 2 5 8" xfId="46018"/>
    <cellStyle name="Heading 2 2 8 2 5 8 2" xfId="46019"/>
    <cellStyle name="Heading 2 2 8 2 5 9" xfId="46020"/>
    <cellStyle name="Heading 2 2 8 2 6" xfId="46021"/>
    <cellStyle name="Heading 2 2 8 2 6 2" xfId="46022"/>
    <cellStyle name="Heading 2 2 8 2 6 2 2" xfId="46023"/>
    <cellStyle name="Heading 2 2 8 2 6 2 2 2" xfId="46024"/>
    <cellStyle name="Heading 2 2 8 2 6 2 3" xfId="46025"/>
    <cellStyle name="Heading 2 2 8 2 6 3" xfId="46026"/>
    <cellStyle name="Heading 2 2 8 2 6 3 2" xfId="46027"/>
    <cellStyle name="Heading 2 2 8 2 6 3 2 2" xfId="46028"/>
    <cellStyle name="Heading 2 2 8 2 6 3 3" xfId="46029"/>
    <cellStyle name="Heading 2 2 8 2 6 4" xfId="46030"/>
    <cellStyle name="Heading 2 2 8 2 6 4 2" xfId="46031"/>
    <cellStyle name="Heading 2 2 8 2 6 4 2 2" xfId="46032"/>
    <cellStyle name="Heading 2 2 8 2 6 4 3" xfId="46033"/>
    <cellStyle name="Heading 2 2 8 2 6 5" xfId="46034"/>
    <cellStyle name="Heading 2 2 8 2 6 5 2" xfId="46035"/>
    <cellStyle name="Heading 2 2 8 2 6 5 2 2" xfId="46036"/>
    <cellStyle name="Heading 2 2 8 2 6 5 3" xfId="46037"/>
    <cellStyle name="Heading 2 2 8 2 6 6" xfId="46038"/>
    <cellStyle name="Heading 2 2 8 2 6 6 2" xfId="46039"/>
    <cellStyle name="Heading 2 2 8 2 6 6 2 2" xfId="46040"/>
    <cellStyle name="Heading 2 2 8 2 6 6 3" xfId="46041"/>
    <cellStyle name="Heading 2 2 8 2 6 7" xfId="46042"/>
    <cellStyle name="Heading 2 2 8 2 6 7 2" xfId="46043"/>
    <cellStyle name="Heading 2 2 8 2 6 7 2 2" xfId="46044"/>
    <cellStyle name="Heading 2 2 8 2 6 7 3" xfId="46045"/>
    <cellStyle name="Heading 2 2 8 2 6 8" xfId="46046"/>
    <cellStyle name="Heading 2 2 8 2 6 8 2" xfId="46047"/>
    <cellStyle name="Heading 2 2 8 2 6 9" xfId="46048"/>
    <cellStyle name="Heading 2 2 8 2 7" xfId="46049"/>
    <cellStyle name="Heading 2 2 8 2 7 2" xfId="46050"/>
    <cellStyle name="Heading 2 2 8 2 7 2 2" xfId="46051"/>
    <cellStyle name="Heading 2 2 8 2 7 2 2 2" xfId="46052"/>
    <cellStyle name="Heading 2 2 8 2 7 2 3" xfId="46053"/>
    <cellStyle name="Heading 2 2 8 2 7 3" xfId="46054"/>
    <cellStyle name="Heading 2 2 8 2 7 3 2" xfId="46055"/>
    <cellStyle name="Heading 2 2 8 2 7 3 2 2" xfId="46056"/>
    <cellStyle name="Heading 2 2 8 2 7 3 3" xfId="46057"/>
    <cellStyle name="Heading 2 2 8 2 7 4" xfId="46058"/>
    <cellStyle name="Heading 2 2 8 2 7 4 2" xfId="46059"/>
    <cellStyle name="Heading 2 2 8 2 7 4 2 2" xfId="46060"/>
    <cellStyle name="Heading 2 2 8 2 7 4 3" xfId="46061"/>
    <cellStyle name="Heading 2 2 8 2 7 5" xfId="46062"/>
    <cellStyle name="Heading 2 2 8 2 7 5 2" xfId="46063"/>
    <cellStyle name="Heading 2 2 8 2 7 5 2 2" xfId="46064"/>
    <cellStyle name="Heading 2 2 8 2 7 5 3" xfId="46065"/>
    <cellStyle name="Heading 2 2 8 2 7 6" xfId="46066"/>
    <cellStyle name="Heading 2 2 8 2 7 6 2" xfId="46067"/>
    <cellStyle name="Heading 2 2 8 2 7 6 2 2" xfId="46068"/>
    <cellStyle name="Heading 2 2 8 2 7 6 3" xfId="46069"/>
    <cellStyle name="Heading 2 2 8 2 7 7" xfId="46070"/>
    <cellStyle name="Heading 2 2 8 2 7 7 2" xfId="46071"/>
    <cellStyle name="Heading 2 2 8 2 7 7 2 2" xfId="46072"/>
    <cellStyle name="Heading 2 2 8 2 7 7 3" xfId="46073"/>
    <cellStyle name="Heading 2 2 8 2 7 8" xfId="46074"/>
    <cellStyle name="Heading 2 2 8 2 7 8 2" xfId="46075"/>
    <cellStyle name="Heading 2 2 8 2 7 9" xfId="46076"/>
    <cellStyle name="Heading 2 2 8 2 8" xfId="46077"/>
    <cellStyle name="Heading 2 2 8 2 8 2" xfId="46078"/>
    <cellStyle name="Heading 2 2 8 2 8 2 2" xfId="46079"/>
    <cellStyle name="Heading 2 2 8 2 8 2 2 2" xfId="46080"/>
    <cellStyle name="Heading 2 2 8 2 8 2 3" xfId="46081"/>
    <cellStyle name="Heading 2 2 8 2 8 3" xfId="46082"/>
    <cellStyle name="Heading 2 2 8 2 8 3 2" xfId="46083"/>
    <cellStyle name="Heading 2 2 8 2 8 3 2 2" xfId="46084"/>
    <cellStyle name="Heading 2 2 8 2 8 3 3" xfId="46085"/>
    <cellStyle name="Heading 2 2 8 2 8 4" xfId="46086"/>
    <cellStyle name="Heading 2 2 8 2 8 4 2" xfId="46087"/>
    <cellStyle name="Heading 2 2 8 2 8 4 2 2" xfId="46088"/>
    <cellStyle name="Heading 2 2 8 2 8 4 3" xfId="46089"/>
    <cellStyle name="Heading 2 2 8 2 8 5" xfId="46090"/>
    <cellStyle name="Heading 2 2 8 2 8 5 2" xfId="46091"/>
    <cellStyle name="Heading 2 2 8 2 8 5 2 2" xfId="46092"/>
    <cellStyle name="Heading 2 2 8 2 8 5 3" xfId="46093"/>
    <cellStyle name="Heading 2 2 8 2 8 6" xfId="46094"/>
    <cellStyle name="Heading 2 2 8 2 8 6 2" xfId="46095"/>
    <cellStyle name="Heading 2 2 8 2 8 6 2 2" xfId="46096"/>
    <cellStyle name="Heading 2 2 8 2 8 6 3" xfId="46097"/>
    <cellStyle name="Heading 2 2 8 2 8 7" xfId="46098"/>
    <cellStyle name="Heading 2 2 8 2 8 7 2" xfId="46099"/>
    <cellStyle name="Heading 2 2 8 2 8 7 2 2" xfId="46100"/>
    <cellStyle name="Heading 2 2 8 2 8 7 3" xfId="46101"/>
    <cellStyle name="Heading 2 2 8 2 8 8" xfId="46102"/>
    <cellStyle name="Heading 2 2 8 2 8 8 2" xfId="46103"/>
    <cellStyle name="Heading 2 2 8 2 8 9" xfId="46104"/>
    <cellStyle name="Heading 2 2 8 2 9" xfId="46105"/>
    <cellStyle name="Heading 2 2 8 2 9 2" xfId="46106"/>
    <cellStyle name="Heading 2 2 8 2 9 2 2" xfId="46107"/>
    <cellStyle name="Heading 2 2 8 2 9 2 2 2" xfId="46108"/>
    <cellStyle name="Heading 2 2 8 2 9 2 3" xfId="46109"/>
    <cellStyle name="Heading 2 2 8 2 9 3" xfId="46110"/>
    <cellStyle name="Heading 2 2 8 2 9 3 2" xfId="46111"/>
    <cellStyle name="Heading 2 2 8 2 9 3 2 2" xfId="46112"/>
    <cellStyle name="Heading 2 2 8 2 9 3 3" xfId="46113"/>
    <cellStyle name="Heading 2 2 8 2 9 4" xfId="46114"/>
    <cellStyle name="Heading 2 2 8 2 9 4 2" xfId="46115"/>
    <cellStyle name="Heading 2 2 8 2 9 4 2 2" xfId="46116"/>
    <cellStyle name="Heading 2 2 8 2 9 4 3" xfId="46117"/>
    <cellStyle name="Heading 2 2 8 2 9 5" xfId="46118"/>
    <cellStyle name="Heading 2 2 8 2 9 5 2" xfId="46119"/>
    <cellStyle name="Heading 2 2 8 2 9 5 2 2" xfId="46120"/>
    <cellStyle name="Heading 2 2 8 2 9 5 3" xfId="46121"/>
    <cellStyle name="Heading 2 2 8 2 9 6" xfId="46122"/>
    <cellStyle name="Heading 2 2 8 2 9 6 2" xfId="46123"/>
    <cellStyle name="Heading 2 2 8 2 9 6 2 2" xfId="46124"/>
    <cellStyle name="Heading 2 2 8 2 9 6 3" xfId="46125"/>
    <cellStyle name="Heading 2 2 8 2 9 7" xfId="46126"/>
    <cellStyle name="Heading 2 2 8 2 9 7 2" xfId="46127"/>
    <cellStyle name="Heading 2 2 8 2 9 7 2 2" xfId="46128"/>
    <cellStyle name="Heading 2 2 8 2 9 7 3" xfId="46129"/>
    <cellStyle name="Heading 2 2 8 2 9 8" xfId="46130"/>
    <cellStyle name="Heading 2 2 8 2 9 8 2" xfId="46131"/>
    <cellStyle name="Heading 2 2 8 2 9 9" xfId="46132"/>
    <cellStyle name="Heading 2 2 8 3" xfId="46133"/>
    <cellStyle name="Heading 2 2 8 3 10" xfId="46134"/>
    <cellStyle name="Heading 2 2 8 3 10 2" xfId="46135"/>
    <cellStyle name="Heading 2 2 8 3 10 2 2" xfId="46136"/>
    <cellStyle name="Heading 2 2 8 3 10 3" xfId="46137"/>
    <cellStyle name="Heading 2 2 8 3 11" xfId="46138"/>
    <cellStyle name="Heading 2 2 8 3 11 2" xfId="46139"/>
    <cellStyle name="Heading 2 2 8 3 11 2 2" xfId="46140"/>
    <cellStyle name="Heading 2 2 8 3 11 3" xfId="46141"/>
    <cellStyle name="Heading 2 2 8 3 12" xfId="46142"/>
    <cellStyle name="Heading 2 2 8 3 12 2" xfId="46143"/>
    <cellStyle name="Heading 2 2 8 3 12 2 2" xfId="46144"/>
    <cellStyle name="Heading 2 2 8 3 12 3" xfId="46145"/>
    <cellStyle name="Heading 2 2 8 3 13" xfId="46146"/>
    <cellStyle name="Heading 2 2 8 3 13 2" xfId="46147"/>
    <cellStyle name="Heading 2 2 8 3 13 2 2" xfId="46148"/>
    <cellStyle name="Heading 2 2 8 3 13 3" xfId="46149"/>
    <cellStyle name="Heading 2 2 8 3 14" xfId="46150"/>
    <cellStyle name="Heading 2 2 8 3 14 2" xfId="46151"/>
    <cellStyle name="Heading 2 2 8 3 14 2 2" xfId="46152"/>
    <cellStyle name="Heading 2 2 8 3 14 3" xfId="46153"/>
    <cellStyle name="Heading 2 2 8 3 15" xfId="46154"/>
    <cellStyle name="Heading 2 2 8 3 15 2" xfId="46155"/>
    <cellStyle name="Heading 2 2 8 3 15 2 2" xfId="46156"/>
    <cellStyle name="Heading 2 2 8 3 15 3" xfId="46157"/>
    <cellStyle name="Heading 2 2 8 3 16" xfId="46158"/>
    <cellStyle name="Heading 2 2 8 3 16 2" xfId="46159"/>
    <cellStyle name="Heading 2 2 8 3 16 2 2" xfId="46160"/>
    <cellStyle name="Heading 2 2 8 3 16 3" xfId="46161"/>
    <cellStyle name="Heading 2 2 8 3 17" xfId="46162"/>
    <cellStyle name="Heading 2 2 8 3 17 2" xfId="46163"/>
    <cellStyle name="Heading 2 2 8 3 17 2 2" xfId="46164"/>
    <cellStyle name="Heading 2 2 8 3 17 3" xfId="46165"/>
    <cellStyle name="Heading 2 2 8 3 18" xfId="46166"/>
    <cellStyle name="Heading 2 2 8 3 18 2" xfId="46167"/>
    <cellStyle name="Heading 2 2 8 3 18 2 2" xfId="46168"/>
    <cellStyle name="Heading 2 2 8 3 18 3" xfId="46169"/>
    <cellStyle name="Heading 2 2 8 3 19" xfId="46170"/>
    <cellStyle name="Heading 2 2 8 3 19 2" xfId="46171"/>
    <cellStyle name="Heading 2 2 8 3 2" xfId="46172"/>
    <cellStyle name="Heading 2 2 8 3 2 2" xfId="46173"/>
    <cellStyle name="Heading 2 2 8 3 2 2 2" xfId="46174"/>
    <cellStyle name="Heading 2 2 8 3 2 2 2 2" xfId="46175"/>
    <cellStyle name="Heading 2 2 8 3 2 2 3" xfId="46176"/>
    <cellStyle name="Heading 2 2 8 3 2 3" xfId="46177"/>
    <cellStyle name="Heading 2 2 8 3 2 3 2" xfId="46178"/>
    <cellStyle name="Heading 2 2 8 3 2 3 2 2" xfId="46179"/>
    <cellStyle name="Heading 2 2 8 3 2 3 3" xfId="46180"/>
    <cellStyle name="Heading 2 2 8 3 2 4" xfId="46181"/>
    <cellStyle name="Heading 2 2 8 3 2 4 2" xfId="46182"/>
    <cellStyle name="Heading 2 2 8 3 2 4 2 2" xfId="46183"/>
    <cellStyle name="Heading 2 2 8 3 2 4 3" xfId="46184"/>
    <cellStyle name="Heading 2 2 8 3 2 5" xfId="46185"/>
    <cellStyle name="Heading 2 2 8 3 2 5 2" xfId="46186"/>
    <cellStyle name="Heading 2 2 8 3 2 5 2 2" xfId="46187"/>
    <cellStyle name="Heading 2 2 8 3 2 5 3" xfId="46188"/>
    <cellStyle name="Heading 2 2 8 3 2 6" xfId="46189"/>
    <cellStyle name="Heading 2 2 8 3 2 6 2" xfId="46190"/>
    <cellStyle name="Heading 2 2 8 3 2 6 2 2" xfId="46191"/>
    <cellStyle name="Heading 2 2 8 3 2 6 3" xfId="46192"/>
    <cellStyle name="Heading 2 2 8 3 2 7" xfId="46193"/>
    <cellStyle name="Heading 2 2 8 3 2 7 2" xfId="46194"/>
    <cellStyle name="Heading 2 2 8 3 2 7 2 2" xfId="46195"/>
    <cellStyle name="Heading 2 2 8 3 2 7 3" xfId="46196"/>
    <cellStyle name="Heading 2 2 8 3 2 8" xfId="46197"/>
    <cellStyle name="Heading 2 2 8 3 2 8 2" xfId="46198"/>
    <cellStyle name="Heading 2 2 8 3 2 9" xfId="46199"/>
    <cellStyle name="Heading 2 2 8 3 20" xfId="46200"/>
    <cellStyle name="Heading 2 2 8 3 20 2" xfId="46201"/>
    <cellStyle name="Heading 2 2 8 3 21" xfId="46202"/>
    <cellStyle name="Heading 2 2 8 3 21 2" xfId="46203"/>
    <cellStyle name="Heading 2 2 8 3 22" xfId="46204"/>
    <cellStyle name="Heading 2 2 8 3 3" xfId="46205"/>
    <cellStyle name="Heading 2 2 8 3 3 2" xfId="46206"/>
    <cellStyle name="Heading 2 2 8 3 3 2 2" xfId="46207"/>
    <cellStyle name="Heading 2 2 8 3 3 2 2 2" xfId="46208"/>
    <cellStyle name="Heading 2 2 8 3 3 2 3" xfId="46209"/>
    <cellStyle name="Heading 2 2 8 3 3 3" xfId="46210"/>
    <cellStyle name="Heading 2 2 8 3 3 3 2" xfId="46211"/>
    <cellStyle name="Heading 2 2 8 3 3 3 2 2" xfId="46212"/>
    <cellStyle name="Heading 2 2 8 3 3 3 3" xfId="46213"/>
    <cellStyle name="Heading 2 2 8 3 3 4" xfId="46214"/>
    <cellStyle name="Heading 2 2 8 3 3 4 2" xfId="46215"/>
    <cellStyle name="Heading 2 2 8 3 3 4 2 2" xfId="46216"/>
    <cellStyle name="Heading 2 2 8 3 3 4 3" xfId="46217"/>
    <cellStyle name="Heading 2 2 8 3 3 5" xfId="46218"/>
    <cellStyle name="Heading 2 2 8 3 3 5 2" xfId="46219"/>
    <cellStyle name="Heading 2 2 8 3 3 5 2 2" xfId="46220"/>
    <cellStyle name="Heading 2 2 8 3 3 5 3" xfId="46221"/>
    <cellStyle name="Heading 2 2 8 3 3 6" xfId="46222"/>
    <cellStyle name="Heading 2 2 8 3 3 6 2" xfId="46223"/>
    <cellStyle name="Heading 2 2 8 3 3 6 2 2" xfId="46224"/>
    <cellStyle name="Heading 2 2 8 3 3 6 3" xfId="46225"/>
    <cellStyle name="Heading 2 2 8 3 3 7" xfId="46226"/>
    <cellStyle name="Heading 2 2 8 3 3 7 2" xfId="46227"/>
    <cellStyle name="Heading 2 2 8 3 3 7 2 2" xfId="46228"/>
    <cellStyle name="Heading 2 2 8 3 3 7 3" xfId="46229"/>
    <cellStyle name="Heading 2 2 8 3 3 8" xfId="46230"/>
    <cellStyle name="Heading 2 2 8 3 3 8 2" xfId="46231"/>
    <cellStyle name="Heading 2 2 8 3 3 9" xfId="46232"/>
    <cellStyle name="Heading 2 2 8 3 4" xfId="46233"/>
    <cellStyle name="Heading 2 2 8 3 4 2" xfId="46234"/>
    <cellStyle name="Heading 2 2 8 3 4 2 2" xfId="46235"/>
    <cellStyle name="Heading 2 2 8 3 4 2 2 2" xfId="46236"/>
    <cellStyle name="Heading 2 2 8 3 4 2 3" xfId="46237"/>
    <cellStyle name="Heading 2 2 8 3 4 3" xfId="46238"/>
    <cellStyle name="Heading 2 2 8 3 4 3 2" xfId="46239"/>
    <cellStyle name="Heading 2 2 8 3 4 3 2 2" xfId="46240"/>
    <cellStyle name="Heading 2 2 8 3 4 3 3" xfId="46241"/>
    <cellStyle name="Heading 2 2 8 3 4 4" xfId="46242"/>
    <cellStyle name="Heading 2 2 8 3 4 4 2" xfId="46243"/>
    <cellStyle name="Heading 2 2 8 3 4 4 2 2" xfId="46244"/>
    <cellStyle name="Heading 2 2 8 3 4 4 3" xfId="46245"/>
    <cellStyle name="Heading 2 2 8 3 4 5" xfId="46246"/>
    <cellStyle name="Heading 2 2 8 3 4 5 2" xfId="46247"/>
    <cellStyle name="Heading 2 2 8 3 4 5 2 2" xfId="46248"/>
    <cellStyle name="Heading 2 2 8 3 4 5 3" xfId="46249"/>
    <cellStyle name="Heading 2 2 8 3 4 6" xfId="46250"/>
    <cellStyle name="Heading 2 2 8 3 4 6 2" xfId="46251"/>
    <cellStyle name="Heading 2 2 8 3 4 6 2 2" xfId="46252"/>
    <cellStyle name="Heading 2 2 8 3 4 6 3" xfId="46253"/>
    <cellStyle name="Heading 2 2 8 3 4 7" xfId="46254"/>
    <cellStyle name="Heading 2 2 8 3 4 7 2" xfId="46255"/>
    <cellStyle name="Heading 2 2 8 3 4 7 2 2" xfId="46256"/>
    <cellStyle name="Heading 2 2 8 3 4 7 3" xfId="46257"/>
    <cellStyle name="Heading 2 2 8 3 4 8" xfId="46258"/>
    <cellStyle name="Heading 2 2 8 3 4 8 2" xfId="46259"/>
    <cellStyle name="Heading 2 2 8 3 4 9" xfId="46260"/>
    <cellStyle name="Heading 2 2 8 3 5" xfId="46261"/>
    <cellStyle name="Heading 2 2 8 3 5 2" xfId="46262"/>
    <cellStyle name="Heading 2 2 8 3 5 2 2" xfId="46263"/>
    <cellStyle name="Heading 2 2 8 3 5 2 2 2" xfId="46264"/>
    <cellStyle name="Heading 2 2 8 3 5 2 3" xfId="46265"/>
    <cellStyle name="Heading 2 2 8 3 5 3" xfId="46266"/>
    <cellStyle name="Heading 2 2 8 3 5 3 2" xfId="46267"/>
    <cellStyle name="Heading 2 2 8 3 5 3 2 2" xfId="46268"/>
    <cellStyle name="Heading 2 2 8 3 5 3 3" xfId="46269"/>
    <cellStyle name="Heading 2 2 8 3 5 4" xfId="46270"/>
    <cellStyle name="Heading 2 2 8 3 5 4 2" xfId="46271"/>
    <cellStyle name="Heading 2 2 8 3 5 4 2 2" xfId="46272"/>
    <cellStyle name="Heading 2 2 8 3 5 4 3" xfId="46273"/>
    <cellStyle name="Heading 2 2 8 3 5 5" xfId="46274"/>
    <cellStyle name="Heading 2 2 8 3 5 5 2" xfId="46275"/>
    <cellStyle name="Heading 2 2 8 3 5 5 2 2" xfId="46276"/>
    <cellStyle name="Heading 2 2 8 3 5 5 3" xfId="46277"/>
    <cellStyle name="Heading 2 2 8 3 5 6" xfId="46278"/>
    <cellStyle name="Heading 2 2 8 3 5 6 2" xfId="46279"/>
    <cellStyle name="Heading 2 2 8 3 5 6 2 2" xfId="46280"/>
    <cellStyle name="Heading 2 2 8 3 5 6 3" xfId="46281"/>
    <cellStyle name="Heading 2 2 8 3 5 7" xfId="46282"/>
    <cellStyle name="Heading 2 2 8 3 5 7 2" xfId="46283"/>
    <cellStyle name="Heading 2 2 8 3 5 7 2 2" xfId="46284"/>
    <cellStyle name="Heading 2 2 8 3 5 7 3" xfId="46285"/>
    <cellStyle name="Heading 2 2 8 3 5 8" xfId="46286"/>
    <cellStyle name="Heading 2 2 8 3 5 8 2" xfId="46287"/>
    <cellStyle name="Heading 2 2 8 3 5 9" xfId="46288"/>
    <cellStyle name="Heading 2 2 8 3 6" xfId="46289"/>
    <cellStyle name="Heading 2 2 8 3 6 2" xfId="46290"/>
    <cellStyle name="Heading 2 2 8 3 6 2 2" xfId="46291"/>
    <cellStyle name="Heading 2 2 8 3 6 2 2 2" xfId="46292"/>
    <cellStyle name="Heading 2 2 8 3 6 2 3" xfId="46293"/>
    <cellStyle name="Heading 2 2 8 3 6 3" xfId="46294"/>
    <cellStyle name="Heading 2 2 8 3 6 3 2" xfId="46295"/>
    <cellStyle name="Heading 2 2 8 3 6 3 2 2" xfId="46296"/>
    <cellStyle name="Heading 2 2 8 3 6 3 3" xfId="46297"/>
    <cellStyle name="Heading 2 2 8 3 6 4" xfId="46298"/>
    <cellStyle name="Heading 2 2 8 3 6 4 2" xfId="46299"/>
    <cellStyle name="Heading 2 2 8 3 6 4 2 2" xfId="46300"/>
    <cellStyle name="Heading 2 2 8 3 6 4 3" xfId="46301"/>
    <cellStyle name="Heading 2 2 8 3 6 5" xfId="46302"/>
    <cellStyle name="Heading 2 2 8 3 6 5 2" xfId="46303"/>
    <cellStyle name="Heading 2 2 8 3 6 5 2 2" xfId="46304"/>
    <cellStyle name="Heading 2 2 8 3 6 5 3" xfId="46305"/>
    <cellStyle name="Heading 2 2 8 3 6 6" xfId="46306"/>
    <cellStyle name="Heading 2 2 8 3 6 6 2" xfId="46307"/>
    <cellStyle name="Heading 2 2 8 3 6 6 2 2" xfId="46308"/>
    <cellStyle name="Heading 2 2 8 3 6 6 3" xfId="46309"/>
    <cellStyle name="Heading 2 2 8 3 6 7" xfId="46310"/>
    <cellStyle name="Heading 2 2 8 3 6 7 2" xfId="46311"/>
    <cellStyle name="Heading 2 2 8 3 6 7 2 2" xfId="46312"/>
    <cellStyle name="Heading 2 2 8 3 6 7 3" xfId="46313"/>
    <cellStyle name="Heading 2 2 8 3 6 8" xfId="46314"/>
    <cellStyle name="Heading 2 2 8 3 6 8 2" xfId="46315"/>
    <cellStyle name="Heading 2 2 8 3 6 9" xfId="46316"/>
    <cellStyle name="Heading 2 2 8 3 7" xfId="46317"/>
    <cellStyle name="Heading 2 2 8 3 7 2" xfId="46318"/>
    <cellStyle name="Heading 2 2 8 3 7 2 2" xfId="46319"/>
    <cellStyle name="Heading 2 2 8 3 7 2 2 2" xfId="46320"/>
    <cellStyle name="Heading 2 2 8 3 7 2 3" xfId="46321"/>
    <cellStyle name="Heading 2 2 8 3 7 3" xfId="46322"/>
    <cellStyle name="Heading 2 2 8 3 7 3 2" xfId="46323"/>
    <cellStyle name="Heading 2 2 8 3 7 3 2 2" xfId="46324"/>
    <cellStyle name="Heading 2 2 8 3 7 3 3" xfId="46325"/>
    <cellStyle name="Heading 2 2 8 3 7 4" xfId="46326"/>
    <cellStyle name="Heading 2 2 8 3 7 4 2" xfId="46327"/>
    <cellStyle name="Heading 2 2 8 3 7 4 2 2" xfId="46328"/>
    <cellStyle name="Heading 2 2 8 3 7 4 3" xfId="46329"/>
    <cellStyle name="Heading 2 2 8 3 7 5" xfId="46330"/>
    <cellStyle name="Heading 2 2 8 3 7 5 2" xfId="46331"/>
    <cellStyle name="Heading 2 2 8 3 7 5 2 2" xfId="46332"/>
    <cellStyle name="Heading 2 2 8 3 7 5 3" xfId="46333"/>
    <cellStyle name="Heading 2 2 8 3 7 6" xfId="46334"/>
    <cellStyle name="Heading 2 2 8 3 7 6 2" xfId="46335"/>
    <cellStyle name="Heading 2 2 8 3 7 6 2 2" xfId="46336"/>
    <cellStyle name="Heading 2 2 8 3 7 6 3" xfId="46337"/>
    <cellStyle name="Heading 2 2 8 3 7 7" xfId="46338"/>
    <cellStyle name="Heading 2 2 8 3 7 7 2" xfId="46339"/>
    <cellStyle name="Heading 2 2 8 3 7 7 2 2" xfId="46340"/>
    <cellStyle name="Heading 2 2 8 3 7 7 3" xfId="46341"/>
    <cellStyle name="Heading 2 2 8 3 7 8" xfId="46342"/>
    <cellStyle name="Heading 2 2 8 3 7 8 2" xfId="46343"/>
    <cellStyle name="Heading 2 2 8 3 7 9" xfId="46344"/>
    <cellStyle name="Heading 2 2 8 3 8" xfId="46345"/>
    <cellStyle name="Heading 2 2 8 3 8 2" xfId="46346"/>
    <cellStyle name="Heading 2 2 8 3 8 2 2" xfId="46347"/>
    <cellStyle name="Heading 2 2 8 3 8 2 2 2" xfId="46348"/>
    <cellStyle name="Heading 2 2 8 3 8 2 3" xfId="46349"/>
    <cellStyle name="Heading 2 2 8 3 8 3" xfId="46350"/>
    <cellStyle name="Heading 2 2 8 3 8 3 2" xfId="46351"/>
    <cellStyle name="Heading 2 2 8 3 8 3 2 2" xfId="46352"/>
    <cellStyle name="Heading 2 2 8 3 8 3 3" xfId="46353"/>
    <cellStyle name="Heading 2 2 8 3 8 4" xfId="46354"/>
    <cellStyle name="Heading 2 2 8 3 8 4 2" xfId="46355"/>
    <cellStyle name="Heading 2 2 8 3 8 4 2 2" xfId="46356"/>
    <cellStyle name="Heading 2 2 8 3 8 4 3" xfId="46357"/>
    <cellStyle name="Heading 2 2 8 3 8 5" xfId="46358"/>
    <cellStyle name="Heading 2 2 8 3 8 5 2" xfId="46359"/>
    <cellStyle name="Heading 2 2 8 3 8 5 2 2" xfId="46360"/>
    <cellStyle name="Heading 2 2 8 3 8 5 3" xfId="46361"/>
    <cellStyle name="Heading 2 2 8 3 8 6" xfId="46362"/>
    <cellStyle name="Heading 2 2 8 3 8 6 2" xfId="46363"/>
    <cellStyle name="Heading 2 2 8 3 8 6 2 2" xfId="46364"/>
    <cellStyle name="Heading 2 2 8 3 8 6 3" xfId="46365"/>
    <cellStyle name="Heading 2 2 8 3 8 7" xfId="46366"/>
    <cellStyle name="Heading 2 2 8 3 8 7 2" xfId="46367"/>
    <cellStyle name="Heading 2 2 8 3 8 7 2 2" xfId="46368"/>
    <cellStyle name="Heading 2 2 8 3 8 7 3" xfId="46369"/>
    <cellStyle name="Heading 2 2 8 3 8 8" xfId="46370"/>
    <cellStyle name="Heading 2 2 8 3 8 8 2" xfId="46371"/>
    <cellStyle name="Heading 2 2 8 3 8 9" xfId="46372"/>
    <cellStyle name="Heading 2 2 8 3 9" xfId="46373"/>
    <cellStyle name="Heading 2 2 8 3 9 2" xfId="46374"/>
    <cellStyle name="Heading 2 2 8 3 9 2 2" xfId="46375"/>
    <cellStyle name="Heading 2 2 8 3 9 3" xfId="46376"/>
    <cellStyle name="Heading 2 2 8 4" xfId="46377"/>
    <cellStyle name="Heading 2 2 8 4 2" xfId="46378"/>
    <cellStyle name="Heading 2 2 8 4 2 2" xfId="46379"/>
    <cellStyle name="Heading 2 2 8 4 3" xfId="46380"/>
    <cellStyle name="Heading 2 2 8 5" xfId="46381"/>
    <cellStyle name="Heading 2 2 8 5 2" xfId="46382"/>
    <cellStyle name="Heading 2 2 8 6" xfId="46383"/>
    <cellStyle name="Heading 2 2 9" xfId="46384"/>
    <cellStyle name="Heading 2 2 9 2" xfId="46385"/>
    <cellStyle name="Heading 2 2 9 2 10" xfId="46386"/>
    <cellStyle name="Heading 2 2 9 2 10 2" xfId="46387"/>
    <cellStyle name="Heading 2 2 9 2 10 2 2" xfId="46388"/>
    <cellStyle name="Heading 2 2 9 2 10 3" xfId="46389"/>
    <cellStyle name="Heading 2 2 9 2 11" xfId="46390"/>
    <cellStyle name="Heading 2 2 9 2 11 2" xfId="46391"/>
    <cellStyle name="Heading 2 2 9 2 11 2 2" xfId="46392"/>
    <cellStyle name="Heading 2 2 9 2 11 3" xfId="46393"/>
    <cellStyle name="Heading 2 2 9 2 12" xfId="46394"/>
    <cellStyle name="Heading 2 2 9 2 12 2" xfId="46395"/>
    <cellStyle name="Heading 2 2 9 2 12 2 2" xfId="46396"/>
    <cellStyle name="Heading 2 2 9 2 12 3" xfId="46397"/>
    <cellStyle name="Heading 2 2 9 2 13" xfId="46398"/>
    <cellStyle name="Heading 2 2 9 2 13 2" xfId="46399"/>
    <cellStyle name="Heading 2 2 9 2 13 2 2" xfId="46400"/>
    <cellStyle name="Heading 2 2 9 2 13 3" xfId="46401"/>
    <cellStyle name="Heading 2 2 9 2 14" xfId="46402"/>
    <cellStyle name="Heading 2 2 9 2 14 2" xfId="46403"/>
    <cellStyle name="Heading 2 2 9 2 14 2 2" xfId="46404"/>
    <cellStyle name="Heading 2 2 9 2 14 3" xfId="46405"/>
    <cellStyle name="Heading 2 2 9 2 15" xfId="46406"/>
    <cellStyle name="Heading 2 2 9 2 15 2" xfId="46407"/>
    <cellStyle name="Heading 2 2 9 2 15 2 2" xfId="46408"/>
    <cellStyle name="Heading 2 2 9 2 15 3" xfId="46409"/>
    <cellStyle name="Heading 2 2 9 2 16" xfId="46410"/>
    <cellStyle name="Heading 2 2 9 2 16 2" xfId="46411"/>
    <cellStyle name="Heading 2 2 9 2 16 2 2" xfId="46412"/>
    <cellStyle name="Heading 2 2 9 2 16 3" xfId="46413"/>
    <cellStyle name="Heading 2 2 9 2 17" xfId="46414"/>
    <cellStyle name="Heading 2 2 9 2 17 2" xfId="46415"/>
    <cellStyle name="Heading 2 2 9 2 17 2 2" xfId="46416"/>
    <cellStyle name="Heading 2 2 9 2 17 3" xfId="46417"/>
    <cellStyle name="Heading 2 2 9 2 18" xfId="46418"/>
    <cellStyle name="Heading 2 2 9 2 18 2" xfId="46419"/>
    <cellStyle name="Heading 2 2 9 2 18 2 2" xfId="46420"/>
    <cellStyle name="Heading 2 2 9 2 18 3" xfId="46421"/>
    <cellStyle name="Heading 2 2 9 2 19" xfId="46422"/>
    <cellStyle name="Heading 2 2 9 2 19 2" xfId="46423"/>
    <cellStyle name="Heading 2 2 9 2 19 2 2" xfId="46424"/>
    <cellStyle name="Heading 2 2 9 2 19 3" xfId="46425"/>
    <cellStyle name="Heading 2 2 9 2 2" xfId="46426"/>
    <cellStyle name="Heading 2 2 9 2 2 10" xfId="46427"/>
    <cellStyle name="Heading 2 2 9 2 2 10 2" xfId="46428"/>
    <cellStyle name="Heading 2 2 9 2 2 10 2 2" xfId="46429"/>
    <cellStyle name="Heading 2 2 9 2 2 10 3" xfId="46430"/>
    <cellStyle name="Heading 2 2 9 2 2 11" xfId="46431"/>
    <cellStyle name="Heading 2 2 9 2 2 11 2" xfId="46432"/>
    <cellStyle name="Heading 2 2 9 2 2 11 2 2" xfId="46433"/>
    <cellStyle name="Heading 2 2 9 2 2 11 3" xfId="46434"/>
    <cellStyle name="Heading 2 2 9 2 2 12" xfId="46435"/>
    <cellStyle name="Heading 2 2 9 2 2 12 2" xfId="46436"/>
    <cellStyle name="Heading 2 2 9 2 2 12 2 2" xfId="46437"/>
    <cellStyle name="Heading 2 2 9 2 2 12 3" xfId="46438"/>
    <cellStyle name="Heading 2 2 9 2 2 13" xfId="46439"/>
    <cellStyle name="Heading 2 2 9 2 2 13 2" xfId="46440"/>
    <cellStyle name="Heading 2 2 9 2 2 13 2 2" xfId="46441"/>
    <cellStyle name="Heading 2 2 9 2 2 13 3" xfId="46442"/>
    <cellStyle name="Heading 2 2 9 2 2 14" xfId="46443"/>
    <cellStyle name="Heading 2 2 9 2 2 14 2" xfId="46444"/>
    <cellStyle name="Heading 2 2 9 2 2 14 2 2" xfId="46445"/>
    <cellStyle name="Heading 2 2 9 2 2 14 3" xfId="46446"/>
    <cellStyle name="Heading 2 2 9 2 2 15" xfId="46447"/>
    <cellStyle name="Heading 2 2 9 2 2 15 2" xfId="46448"/>
    <cellStyle name="Heading 2 2 9 2 2 15 2 2" xfId="46449"/>
    <cellStyle name="Heading 2 2 9 2 2 15 3" xfId="46450"/>
    <cellStyle name="Heading 2 2 9 2 2 16" xfId="46451"/>
    <cellStyle name="Heading 2 2 9 2 2 16 2" xfId="46452"/>
    <cellStyle name="Heading 2 2 9 2 2 16 2 2" xfId="46453"/>
    <cellStyle name="Heading 2 2 9 2 2 16 3" xfId="46454"/>
    <cellStyle name="Heading 2 2 9 2 2 17" xfId="46455"/>
    <cellStyle name="Heading 2 2 9 2 2 17 2" xfId="46456"/>
    <cellStyle name="Heading 2 2 9 2 2 17 2 2" xfId="46457"/>
    <cellStyle name="Heading 2 2 9 2 2 17 3" xfId="46458"/>
    <cellStyle name="Heading 2 2 9 2 2 18" xfId="46459"/>
    <cellStyle name="Heading 2 2 9 2 2 18 2" xfId="46460"/>
    <cellStyle name="Heading 2 2 9 2 2 18 2 2" xfId="46461"/>
    <cellStyle name="Heading 2 2 9 2 2 18 3" xfId="46462"/>
    <cellStyle name="Heading 2 2 9 2 2 19" xfId="46463"/>
    <cellStyle name="Heading 2 2 9 2 2 19 2" xfId="46464"/>
    <cellStyle name="Heading 2 2 9 2 2 2" xfId="46465"/>
    <cellStyle name="Heading 2 2 9 2 2 2 2" xfId="46466"/>
    <cellStyle name="Heading 2 2 9 2 2 2 2 2" xfId="46467"/>
    <cellStyle name="Heading 2 2 9 2 2 2 2 2 2" xfId="46468"/>
    <cellStyle name="Heading 2 2 9 2 2 2 2 3" xfId="46469"/>
    <cellStyle name="Heading 2 2 9 2 2 2 3" xfId="46470"/>
    <cellStyle name="Heading 2 2 9 2 2 2 3 2" xfId="46471"/>
    <cellStyle name="Heading 2 2 9 2 2 2 3 2 2" xfId="46472"/>
    <cellStyle name="Heading 2 2 9 2 2 2 3 3" xfId="46473"/>
    <cellStyle name="Heading 2 2 9 2 2 2 4" xfId="46474"/>
    <cellStyle name="Heading 2 2 9 2 2 2 4 2" xfId="46475"/>
    <cellStyle name="Heading 2 2 9 2 2 2 4 2 2" xfId="46476"/>
    <cellStyle name="Heading 2 2 9 2 2 2 4 3" xfId="46477"/>
    <cellStyle name="Heading 2 2 9 2 2 2 5" xfId="46478"/>
    <cellStyle name="Heading 2 2 9 2 2 2 5 2" xfId="46479"/>
    <cellStyle name="Heading 2 2 9 2 2 2 5 2 2" xfId="46480"/>
    <cellStyle name="Heading 2 2 9 2 2 2 5 3" xfId="46481"/>
    <cellStyle name="Heading 2 2 9 2 2 2 6" xfId="46482"/>
    <cellStyle name="Heading 2 2 9 2 2 2 6 2" xfId="46483"/>
    <cellStyle name="Heading 2 2 9 2 2 2 6 2 2" xfId="46484"/>
    <cellStyle name="Heading 2 2 9 2 2 2 6 3" xfId="46485"/>
    <cellStyle name="Heading 2 2 9 2 2 2 7" xfId="46486"/>
    <cellStyle name="Heading 2 2 9 2 2 2 7 2" xfId="46487"/>
    <cellStyle name="Heading 2 2 9 2 2 2 7 2 2" xfId="46488"/>
    <cellStyle name="Heading 2 2 9 2 2 2 7 3" xfId="46489"/>
    <cellStyle name="Heading 2 2 9 2 2 2 8" xfId="46490"/>
    <cellStyle name="Heading 2 2 9 2 2 2 8 2" xfId="46491"/>
    <cellStyle name="Heading 2 2 9 2 2 2 9" xfId="46492"/>
    <cellStyle name="Heading 2 2 9 2 2 20" xfId="46493"/>
    <cellStyle name="Heading 2 2 9 2 2 20 2" xfId="46494"/>
    <cellStyle name="Heading 2 2 9 2 2 21" xfId="46495"/>
    <cellStyle name="Heading 2 2 9 2 2 21 2" xfId="46496"/>
    <cellStyle name="Heading 2 2 9 2 2 22" xfId="46497"/>
    <cellStyle name="Heading 2 2 9 2 2 3" xfId="46498"/>
    <cellStyle name="Heading 2 2 9 2 2 3 2" xfId="46499"/>
    <cellStyle name="Heading 2 2 9 2 2 3 2 2" xfId="46500"/>
    <cellStyle name="Heading 2 2 9 2 2 3 2 2 2" xfId="46501"/>
    <cellStyle name="Heading 2 2 9 2 2 3 2 3" xfId="46502"/>
    <cellStyle name="Heading 2 2 9 2 2 3 3" xfId="46503"/>
    <cellStyle name="Heading 2 2 9 2 2 3 3 2" xfId="46504"/>
    <cellStyle name="Heading 2 2 9 2 2 3 3 2 2" xfId="46505"/>
    <cellStyle name="Heading 2 2 9 2 2 3 3 3" xfId="46506"/>
    <cellStyle name="Heading 2 2 9 2 2 3 4" xfId="46507"/>
    <cellStyle name="Heading 2 2 9 2 2 3 4 2" xfId="46508"/>
    <cellStyle name="Heading 2 2 9 2 2 3 4 2 2" xfId="46509"/>
    <cellStyle name="Heading 2 2 9 2 2 3 4 3" xfId="46510"/>
    <cellStyle name="Heading 2 2 9 2 2 3 5" xfId="46511"/>
    <cellStyle name="Heading 2 2 9 2 2 3 5 2" xfId="46512"/>
    <cellStyle name="Heading 2 2 9 2 2 3 5 2 2" xfId="46513"/>
    <cellStyle name="Heading 2 2 9 2 2 3 5 3" xfId="46514"/>
    <cellStyle name="Heading 2 2 9 2 2 3 6" xfId="46515"/>
    <cellStyle name="Heading 2 2 9 2 2 3 6 2" xfId="46516"/>
    <cellStyle name="Heading 2 2 9 2 2 3 6 2 2" xfId="46517"/>
    <cellStyle name="Heading 2 2 9 2 2 3 6 3" xfId="46518"/>
    <cellStyle name="Heading 2 2 9 2 2 3 7" xfId="46519"/>
    <cellStyle name="Heading 2 2 9 2 2 3 7 2" xfId="46520"/>
    <cellStyle name="Heading 2 2 9 2 2 3 7 2 2" xfId="46521"/>
    <cellStyle name="Heading 2 2 9 2 2 3 7 3" xfId="46522"/>
    <cellStyle name="Heading 2 2 9 2 2 3 8" xfId="46523"/>
    <cellStyle name="Heading 2 2 9 2 2 3 8 2" xfId="46524"/>
    <cellStyle name="Heading 2 2 9 2 2 3 9" xfId="46525"/>
    <cellStyle name="Heading 2 2 9 2 2 4" xfId="46526"/>
    <cellStyle name="Heading 2 2 9 2 2 4 2" xfId="46527"/>
    <cellStyle name="Heading 2 2 9 2 2 4 2 2" xfId="46528"/>
    <cellStyle name="Heading 2 2 9 2 2 4 2 2 2" xfId="46529"/>
    <cellStyle name="Heading 2 2 9 2 2 4 2 3" xfId="46530"/>
    <cellStyle name="Heading 2 2 9 2 2 4 3" xfId="46531"/>
    <cellStyle name="Heading 2 2 9 2 2 4 3 2" xfId="46532"/>
    <cellStyle name="Heading 2 2 9 2 2 4 3 2 2" xfId="46533"/>
    <cellStyle name="Heading 2 2 9 2 2 4 3 3" xfId="46534"/>
    <cellStyle name="Heading 2 2 9 2 2 4 4" xfId="46535"/>
    <cellStyle name="Heading 2 2 9 2 2 4 4 2" xfId="46536"/>
    <cellStyle name="Heading 2 2 9 2 2 4 4 2 2" xfId="46537"/>
    <cellStyle name="Heading 2 2 9 2 2 4 4 3" xfId="46538"/>
    <cellStyle name="Heading 2 2 9 2 2 4 5" xfId="46539"/>
    <cellStyle name="Heading 2 2 9 2 2 4 5 2" xfId="46540"/>
    <cellStyle name="Heading 2 2 9 2 2 4 5 2 2" xfId="46541"/>
    <cellStyle name="Heading 2 2 9 2 2 4 5 3" xfId="46542"/>
    <cellStyle name="Heading 2 2 9 2 2 4 6" xfId="46543"/>
    <cellStyle name="Heading 2 2 9 2 2 4 6 2" xfId="46544"/>
    <cellStyle name="Heading 2 2 9 2 2 4 6 2 2" xfId="46545"/>
    <cellStyle name="Heading 2 2 9 2 2 4 6 3" xfId="46546"/>
    <cellStyle name="Heading 2 2 9 2 2 4 7" xfId="46547"/>
    <cellStyle name="Heading 2 2 9 2 2 4 7 2" xfId="46548"/>
    <cellStyle name="Heading 2 2 9 2 2 4 7 2 2" xfId="46549"/>
    <cellStyle name="Heading 2 2 9 2 2 4 7 3" xfId="46550"/>
    <cellStyle name="Heading 2 2 9 2 2 4 8" xfId="46551"/>
    <cellStyle name="Heading 2 2 9 2 2 4 8 2" xfId="46552"/>
    <cellStyle name="Heading 2 2 9 2 2 4 9" xfId="46553"/>
    <cellStyle name="Heading 2 2 9 2 2 5" xfId="46554"/>
    <cellStyle name="Heading 2 2 9 2 2 5 2" xfId="46555"/>
    <cellStyle name="Heading 2 2 9 2 2 5 2 2" xfId="46556"/>
    <cellStyle name="Heading 2 2 9 2 2 5 2 2 2" xfId="46557"/>
    <cellStyle name="Heading 2 2 9 2 2 5 2 3" xfId="46558"/>
    <cellStyle name="Heading 2 2 9 2 2 5 3" xfId="46559"/>
    <cellStyle name="Heading 2 2 9 2 2 5 3 2" xfId="46560"/>
    <cellStyle name="Heading 2 2 9 2 2 5 3 2 2" xfId="46561"/>
    <cellStyle name="Heading 2 2 9 2 2 5 3 3" xfId="46562"/>
    <cellStyle name="Heading 2 2 9 2 2 5 4" xfId="46563"/>
    <cellStyle name="Heading 2 2 9 2 2 5 4 2" xfId="46564"/>
    <cellStyle name="Heading 2 2 9 2 2 5 4 2 2" xfId="46565"/>
    <cellStyle name="Heading 2 2 9 2 2 5 4 3" xfId="46566"/>
    <cellStyle name="Heading 2 2 9 2 2 5 5" xfId="46567"/>
    <cellStyle name="Heading 2 2 9 2 2 5 5 2" xfId="46568"/>
    <cellStyle name="Heading 2 2 9 2 2 5 5 2 2" xfId="46569"/>
    <cellStyle name="Heading 2 2 9 2 2 5 5 3" xfId="46570"/>
    <cellStyle name="Heading 2 2 9 2 2 5 6" xfId="46571"/>
    <cellStyle name="Heading 2 2 9 2 2 5 6 2" xfId="46572"/>
    <cellStyle name="Heading 2 2 9 2 2 5 6 2 2" xfId="46573"/>
    <cellStyle name="Heading 2 2 9 2 2 5 6 3" xfId="46574"/>
    <cellStyle name="Heading 2 2 9 2 2 5 7" xfId="46575"/>
    <cellStyle name="Heading 2 2 9 2 2 5 7 2" xfId="46576"/>
    <cellStyle name="Heading 2 2 9 2 2 5 7 2 2" xfId="46577"/>
    <cellStyle name="Heading 2 2 9 2 2 5 7 3" xfId="46578"/>
    <cellStyle name="Heading 2 2 9 2 2 5 8" xfId="46579"/>
    <cellStyle name="Heading 2 2 9 2 2 5 8 2" xfId="46580"/>
    <cellStyle name="Heading 2 2 9 2 2 5 9" xfId="46581"/>
    <cellStyle name="Heading 2 2 9 2 2 6" xfId="46582"/>
    <cellStyle name="Heading 2 2 9 2 2 6 2" xfId="46583"/>
    <cellStyle name="Heading 2 2 9 2 2 6 2 2" xfId="46584"/>
    <cellStyle name="Heading 2 2 9 2 2 6 2 2 2" xfId="46585"/>
    <cellStyle name="Heading 2 2 9 2 2 6 2 3" xfId="46586"/>
    <cellStyle name="Heading 2 2 9 2 2 6 3" xfId="46587"/>
    <cellStyle name="Heading 2 2 9 2 2 6 3 2" xfId="46588"/>
    <cellStyle name="Heading 2 2 9 2 2 6 3 2 2" xfId="46589"/>
    <cellStyle name="Heading 2 2 9 2 2 6 3 3" xfId="46590"/>
    <cellStyle name="Heading 2 2 9 2 2 6 4" xfId="46591"/>
    <cellStyle name="Heading 2 2 9 2 2 6 4 2" xfId="46592"/>
    <cellStyle name="Heading 2 2 9 2 2 6 4 2 2" xfId="46593"/>
    <cellStyle name="Heading 2 2 9 2 2 6 4 3" xfId="46594"/>
    <cellStyle name="Heading 2 2 9 2 2 6 5" xfId="46595"/>
    <cellStyle name="Heading 2 2 9 2 2 6 5 2" xfId="46596"/>
    <cellStyle name="Heading 2 2 9 2 2 6 5 2 2" xfId="46597"/>
    <cellStyle name="Heading 2 2 9 2 2 6 5 3" xfId="46598"/>
    <cellStyle name="Heading 2 2 9 2 2 6 6" xfId="46599"/>
    <cellStyle name="Heading 2 2 9 2 2 6 6 2" xfId="46600"/>
    <cellStyle name="Heading 2 2 9 2 2 6 6 2 2" xfId="46601"/>
    <cellStyle name="Heading 2 2 9 2 2 6 6 3" xfId="46602"/>
    <cellStyle name="Heading 2 2 9 2 2 6 7" xfId="46603"/>
    <cellStyle name="Heading 2 2 9 2 2 6 7 2" xfId="46604"/>
    <cellStyle name="Heading 2 2 9 2 2 6 7 2 2" xfId="46605"/>
    <cellStyle name="Heading 2 2 9 2 2 6 7 3" xfId="46606"/>
    <cellStyle name="Heading 2 2 9 2 2 6 8" xfId="46607"/>
    <cellStyle name="Heading 2 2 9 2 2 6 8 2" xfId="46608"/>
    <cellStyle name="Heading 2 2 9 2 2 6 9" xfId="46609"/>
    <cellStyle name="Heading 2 2 9 2 2 7" xfId="46610"/>
    <cellStyle name="Heading 2 2 9 2 2 7 2" xfId="46611"/>
    <cellStyle name="Heading 2 2 9 2 2 7 2 2" xfId="46612"/>
    <cellStyle name="Heading 2 2 9 2 2 7 2 2 2" xfId="46613"/>
    <cellStyle name="Heading 2 2 9 2 2 7 2 3" xfId="46614"/>
    <cellStyle name="Heading 2 2 9 2 2 7 3" xfId="46615"/>
    <cellStyle name="Heading 2 2 9 2 2 7 3 2" xfId="46616"/>
    <cellStyle name="Heading 2 2 9 2 2 7 3 2 2" xfId="46617"/>
    <cellStyle name="Heading 2 2 9 2 2 7 3 3" xfId="46618"/>
    <cellStyle name="Heading 2 2 9 2 2 7 4" xfId="46619"/>
    <cellStyle name="Heading 2 2 9 2 2 7 4 2" xfId="46620"/>
    <cellStyle name="Heading 2 2 9 2 2 7 4 2 2" xfId="46621"/>
    <cellStyle name="Heading 2 2 9 2 2 7 4 3" xfId="46622"/>
    <cellStyle name="Heading 2 2 9 2 2 7 5" xfId="46623"/>
    <cellStyle name="Heading 2 2 9 2 2 7 5 2" xfId="46624"/>
    <cellStyle name="Heading 2 2 9 2 2 7 5 2 2" xfId="46625"/>
    <cellStyle name="Heading 2 2 9 2 2 7 5 3" xfId="46626"/>
    <cellStyle name="Heading 2 2 9 2 2 7 6" xfId="46627"/>
    <cellStyle name="Heading 2 2 9 2 2 7 6 2" xfId="46628"/>
    <cellStyle name="Heading 2 2 9 2 2 7 6 2 2" xfId="46629"/>
    <cellStyle name="Heading 2 2 9 2 2 7 6 3" xfId="46630"/>
    <cellStyle name="Heading 2 2 9 2 2 7 7" xfId="46631"/>
    <cellStyle name="Heading 2 2 9 2 2 7 7 2" xfId="46632"/>
    <cellStyle name="Heading 2 2 9 2 2 7 7 2 2" xfId="46633"/>
    <cellStyle name="Heading 2 2 9 2 2 7 7 3" xfId="46634"/>
    <cellStyle name="Heading 2 2 9 2 2 7 8" xfId="46635"/>
    <cellStyle name="Heading 2 2 9 2 2 7 8 2" xfId="46636"/>
    <cellStyle name="Heading 2 2 9 2 2 7 9" xfId="46637"/>
    <cellStyle name="Heading 2 2 9 2 2 8" xfId="46638"/>
    <cellStyle name="Heading 2 2 9 2 2 8 2" xfId="46639"/>
    <cellStyle name="Heading 2 2 9 2 2 8 2 2" xfId="46640"/>
    <cellStyle name="Heading 2 2 9 2 2 8 2 2 2" xfId="46641"/>
    <cellStyle name="Heading 2 2 9 2 2 8 2 3" xfId="46642"/>
    <cellStyle name="Heading 2 2 9 2 2 8 3" xfId="46643"/>
    <cellStyle name="Heading 2 2 9 2 2 8 3 2" xfId="46644"/>
    <cellStyle name="Heading 2 2 9 2 2 8 3 2 2" xfId="46645"/>
    <cellStyle name="Heading 2 2 9 2 2 8 3 3" xfId="46646"/>
    <cellStyle name="Heading 2 2 9 2 2 8 4" xfId="46647"/>
    <cellStyle name="Heading 2 2 9 2 2 8 4 2" xfId="46648"/>
    <cellStyle name="Heading 2 2 9 2 2 8 4 2 2" xfId="46649"/>
    <cellStyle name="Heading 2 2 9 2 2 8 4 3" xfId="46650"/>
    <cellStyle name="Heading 2 2 9 2 2 8 5" xfId="46651"/>
    <cellStyle name="Heading 2 2 9 2 2 8 5 2" xfId="46652"/>
    <cellStyle name="Heading 2 2 9 2 2 8 5 2 2" xfId="46653"/>
    <cellStyle name="Heading 2 2 9 2 2 8 5 3" xfId="46654"/>
    <cellStyle name="Heading 2 2 9 2 2 8 6" xfId="46655"/>
    <cellStyle name="Heading 2 2 9 2 2 8 6 2" xfId="46656"/>
    <cellStyle name="Heading 2 2 9 2 2 8 6 2 2" xfId="46657"/>
    <cellStyle name="Heading 2 2 9 2 2 8 6 3" xfId="46658"/>
    <cellStyle name="Heading 2 2 9 2 2 8 7" xfId="46659"/>
    <cellStyle name="Heading 2 2 9 2 2 8 7 2" xfId="46660"/>
    <cellStyle name="Heading 2 2 9 2 2 8 7 2 2" xfId="46661"/>
    <cellStyle name="Heading 2 2 9 2 2 8 7 3" xfId="46662"/>
    <cellStyle name="Heading 2 2 9 2 2 8 8" xfId="46663"/>
    <cellStyle name="Heading 2 2 9 2 2 8 8 2" xfId="46664"/>
    <cellStyle name="Heading 2 2 9 2 2 8 9" xfId="46665"/>
    <cellStyle name="Heading 2 2 9 2 2 9" xfId="46666"/>
    <cellStyle name="Heading 2 2 9 2 2 9 2" xfId="46667"/>
    <cellStyle name="Heading 2 2 9 2 2 9 2 2" xfId="46668"/>
    <cellStyle name="Heading 2 2 9 2 2 9 3" xfId="46669"/>
    <cellStyle name="Heading 2 2 9 2 20" xfId="46670"/>
    <cellStyle name="Heading 2 2 9 2 20 2" xfId="46671"/>
    <cellStyle name="Heading 2 2 9 2 21" xfId="46672"/>
    <cellStyle name="Heading 2 2 9 2 21 2" xfId="46673"/>
    <cellStyle name="Heading 2 2 9 2 22" xfId="46674"/>
    <cellStyle name="Heading 2 2 9 2 22 2" xfId="46675"/>
    <cellStyle name="Heading 2 2 9 2 23" xfId="46676"/>
    <cellStyle name="Heading 2 2 9 2 3" xfId="46677"/>
    <cellStyle name="Heading 2 2 9 2 3 2" xfId="46678"/>
    <cellStyle name="Heading 2 2 9 2 3 2 2" xfId="46679"/>
    <cellStyle name="Heading 2 2 9 2 3 2 2 2" xfId="46680"/>
    <cellStyle name="Heading 2 2 9 2 3 2 3" xfId="46681"/>
    <cellStyle name="Heading 2 2 9 2 3 3" xfId="46682"/>
    <cellStyle name="Heading 2 2 9 2 3 3 2" xfId="46683"/>
    <cellStyle name="Heading 2 2 9 2 3 3 2 2" xfId="46684"/>
    <cellStyle name="Heading 2 2 9 2 3 3 3" xfId="46685"/>
    <cellStyle name="Heading 2 2 9 2 3 4" xfId="46686"/>
    <cellStyle name="Heading 2 2 9 2 3 4 2" xfId="46687"/>
    <cellStyle name="Heading 2 2 9 2 3 4 2 2" xfId="46688"/>
    <cellStyle name="Heading 2 2 9 2 3 4 3" xfId="46689"/>
    <cellStyle name="Heading 2 2 9 2 3 5" xfId="46690"/>
    <cellStyle name="Heading 2 2 9 2 3 5 2" xfId="46691"/>
    <cellStyle name="Heading 2 2 9 2 3 5 2 2" xfId="46692"/>
    <cellStyle name="Heading 2 2 9 2 3 5 3" xfId="46693"/>
    <cellStyle name="Heading 2 2 9 2 3 6" xfId="46694"/>
    <cellStyle name="Heading 2 2 9 2 3 6 2" xfId="46695"/>
    <cellStyle name="Heading 2 2 9 2 3 6 2 2" xfId="46696"/>
    <cellStyle name="Heading 2 2 9 2 3 6 3" xfId="46697"/>
    <cellStyle name="Heading 2 2 9 2 3 7" xfId="46698"/>
    <cellStyle name="Heading 2 2 9 2 3 7 2" xfId="46699"/>
    <cellStyle name="Heading 2 2 9 2 3 7 2 2" xfId="46700"/>
    <cellStyle name="Heading 2 2 9 2 3 7 3" xfId="46701"/>
    <cellStyle name="Heading 2 2 9 2 3 8" xfId="46702"/>
    <cellStyle name="Heading 2 2 9 2 3 8 2" xfId="46703"/>
    <cellStyle name="Heading 2 2 9 2 3 9" xfId="46704"/>
    <cellStyle name="Heading 2 2 9 2 4" xfId="46705"/>
    <cellStyle name="Heading 2 2 9 2 4 2" xfId="46706"/>
    <cellStyle name="Heading 2 2 9 2 4 2 2" xfId="46707"/>
    <cellStyle name="Heading 2 2 9 2 4 2 2 2" xfId="46708"/>
    <cellStyle name="Heading 2 2 9 2 4 2 3" xfId="46709"/>
    <cellStyle name="Heading 2 2 9 2 4 3" xfId="46710"/>
    <cellStyle name="Heading 2 2 9 2 4 3 2" xfId="46711"/>
    <cellStyle name="Heading 2 2 9 2 4 3 2 2" xfId="46712"/>
    <cellStyle name="Heading 2 2 9 2 4 3 3" xfId="46713"/>
    <cellStyle name="Heading 2 2 9 2 4 4" xfId="46714"/>
    <cellStyle name="Heading 2 2 9 2 4 4 2" xfId="46715"/>
    <cellStyle name="Heading 2 2 9 2 4 4 2 2" xfId="46716"/>
    <cellStyle name="Heading 2 2 9 2 4 4 3" xfId="46717"/>
    <cellStyle name="Heading 2 2 9 2 4 5" xfId="46718"/>
    <cellStyle name="Heading 2 2 9 2 4 5 2" xfId="46719"/>
    <cellStyle name="Heading 2 2 9 2 4 5 2 2" xfId="46720"/>
    <cellStyle name="Heading 2 2 9 2 4 5 3" xfId="46721"/>
    <cellStyle name="Heading 2 2 9 2 4 6" xfId="46722"/>
    <cellStyle name="Heading 2 2 9 2 4 6 2" xfId="46723"/>
    <cellStyle name="Heading 2 2 9 2 4 6 2 2" xfId="46724"/>
    <cellStyle name="Heading 2 2 9 2 4 6 3" xfId="46725"/>
    <cellStyle name="Heading 2 2 9 2 4 7" xfId="46726"/>
    <cellStyle name="Heading 2 2 9 2 4 7 2" xfId="46727"/>
    <cellStyle name="Heading 2 2 9 2 4 7 2 2" xfId="46728"/>
    <cellStyle name="Heading 2 2 9 2 4 7 3" xfId="46729"/>
    <cellStyle name="Heading 2 2 9 2 4 8" xfId="46730"/>
    <cellStyle name="Heading 2 2 9 2 4 8 2" xfId="46731"/>
    <cellStyle name="Heading 2 2 9 2 4 9" xfId="46732"/>
    <cellStyle name="Heading 2 2 9 2 5" xfId="46733"/>
    <cellStyle name="Heading 2 2 9 2 5 2" xfId="46734"/>
    <cellStyle name="Heading 2 2 9 2 5 2 2" xfId="46735"/>
    <cellStyle name="Heading 2 2 9 2 5 2 2 2" xfId="46736"/>
    <cellStyle name="Heading 2 2 9 2 5 2 3" xfId="46737"/>
    <cellStyle name="Heading 2 2 9 2 5 3" xfId="46738"/>
    <cellStyle name="Heading 2 2 9 2 5 3 2" xfId="46739"/>
    <cellStyle name="Heading 2 2 9 2 5 3 2 2" xfId="46740"/>
    <cellStyle name="Heading 2 2 9 2 5 3 3" xfId="46741"/>
    <cellStyle name="Heading 2 2 9 2 5 4" xfId="46742"/>
    <cellStyle name="Heading 2 2 9 2 5 4 2" xfId="46743"/>
    <cellStyle name="Heading 2 2 9 2 5 4 2 2" xfId="46744"/>
    <cellStyle name="Heading 2 2 9 2 5 4 3" xfId="46745"/>
    <cellStyle name="Heading 2 2 9 2 5 5" xfId="46746"/>
    <cellStyle name="Heading 2 2 9 2 5 5 2" xfId="46747"/>
    <cellStyle name="Heading 2 2 9 2 5 5 2 2" xfId="46748"/>
    <cellStyle name="Heading 2 2 9 2 5 5 3" xfId="46749"/>
    <cellStyle name="Heading 2 2 9 2 5 6" xfId="46750"/>
    <cellStyle name="Heading 2 2 9 2 5 6 2" xfId="46751"/>
    <cellStyle name="Heading 2 2 9 2 5 6 2 2" xfId="46752"/>
    <cellStyle name="Heading 2 2 9 2 5 6 3" xfId="46753"/>
    <cellStyle name="Heading 2 2 9 2 5 7" xfId="46754"/>
    <cellStyle name="Heading 2 2 9 2 5 7 2" xfId="46755"/>
    <cellStyle name="Heading 2 2 9 2 5 7 2 2" xfId="46756"/>
    <cellStyle name="Heading 2 2 9 2 5 7 3" xfId="46757"/>
    <cellStyle name="Heading 2 2 9 2 5 8" xfId="46758"/>
    <cellStyle name="Heading 2 2 9 2 5 8 2" xfId="46759"/>
    <cellStyle name="Heading 2 2 9 2 5 9" xfId="46760"/>
    <cellStyle name="Heading 2 2 9 2 6" xfId="46761"/>
    <cellStyle name="Heading 2 2 9 2 6 2" xfId="46762"/>
    <cellStyle name="Heading 2 2 9 2 6 2 2" xfId="46763"/>
    <cellStyle name="Heading 2 2 9 2 6 2 2 2" xfId="46764"/>
    <cellStyle name="Heading 2 2 9 2 6 2 3" xfId="46765"/>
    <cellStyle name="Heading 2 2 9 2 6 3" xfId="46766"/>
    <cellStyle name="Heading 2 2 9 2 6 3 2" xfId="46767"/>
    <cellStyle name="Heading 2 2 9 2 6 3 2 2" xfId="46768"/>
    <cellStyle name="Heading 2 2 9 2 6 3 3" xfId="46769"/>
    <cellStyle name="Heading 2 2 9 2 6 4" xfId="46770"/>
    <cellStyle name="Heading 2 2 9 2 6 4 2" xfId="46771"/>
    <cellStyle name="Heading 2 2 9 2 6 4 2 2" xfId="46772"/>
    <cellStyle name="Heading 2 2 9 2 6 4 3" xfId="46773"/>
    <cellStyle name="Heading 2 2 9 2 6 5" xfId="46774"/>
    <cellStyle name="Heading 2 2 9 2 6 5 2" xfId="46775"/>
    <cellStyle name="Heading 2 2 9 2 6 5 2 2" xfId="46776"/>
    <cellStyle name="Heading 2 2 9 2 6 5 3" xfId="46777"/>
    <cellStyle name="Heading 2 2 9 2 6 6" xfId="46778"/>
    <cellStyle name="Heading 2 2 9 2 6 6 2" xfId="46779"/>
    <cellStyle name="Heading 2 2 9 2 6 6 2 2" xfId="46780"/>
    <cellStyle name="Heading 2 2 9 2 6 6 3" xfId="46781"/>
    <cellStyle name="Heading 2 2 9 2 6 7" xfId="46782"/>
    <cellStyle name="Heading 2 2 9 2 6 7 2" xfId="46783"/>
    <cellStyle name="Heading 2 2 9 2 6 7 2 2" xfId="46784"/>
    <cellStyle name="Heading 2 2 9 2 6 7 3" xfId="46785"/>
    <cellStyle name="Heading 2 2 9 2 6 8" xfId="46786"/>
    <cellStyle name="Heading 2 2 9 2 6 8 2" xfId="46787"/>
    <cellStyle name="Heading 2 2 9 2 6 9" xfId="46788"/>
    <cellStyle name="Heading 2 2 9 2 7" xfId="46789"/>
    <cellStyle name="Heading 2 2 9 2 7 2" xfId="46790"/>
    <cellStyle name="Heading 2 2 9 2 7 2 2" xfId="46791"/>
    <cellStyle name="Heading 2 2 9 2 7 2 2 2" xfId="46792"/>
    <cellStyle name="Heading 2 2 9 2 7 2 3" xfId="46793"/>
    <cellStyle name="Heading 2 2 9 2 7 3" xfId="46794"/>
    <cellStyle name="Heading 2 2 9 2 7 3 2" xfId="46795"/>
    <cellStyle name="Heading 2 2 9 2 7 3 2 2" xfId="46796"/>
    <cellStyle name="Heading 2 2 9 2 7 3 3" xfId="46797"/>
    <cellStyle name="Heading 2 2 9 2 7 4" xfId="46798"/>
    <cellStyle name="Heading 2 2 9 2 7 4 2" xfId="46799"/>
    <cellStyle name="Heading 2 2 9 2 7 4 2 2" xfId="46800"/>
    <cellStyle name="Heading 2 2 9 2 7 4 3" xfId="46801"/>
    <cellStyle name="Heading 2 2 9 2 7 5" xfId="46802"/>
    <cellStyle name="Heading 2 2 9 2 7 5 2" xfId="46803"/>
    <cellStyle name="Heading 2 2 9 2 7 5 2 2" xfId="46804"/>
    <cellStyle name="Heading 2 2 9 2 7 5 3" xfId="46805"/>
    <cellStyle name="Heading 2 2 9 2 7 6" xfId="46806"/>
    <cellStyle name="Heading 2 2 9 2 7 6 2" xfId="46807"/>
    <cellStyle name="Heading 2 2 9 2 7 6 2 2" xfId="46808"/>
    <cellStyle name="Heading 2 2 9 2 7 6 3" xfId="46809"/>
    <cellStyle name="Heading 2 2 9 2 7 7" xfId="46810"/>
    <cellStyle name="Heading 2 2 9 2 7 7 2" xfId="46811"/>
    <cellStyle name="Heading 2 2 9 2 7 7 2 2" xfId="46812"/>
    <cellStyle name="Heading 2 2 9 2 7 7 3" xfId="46813"/>
    <cellStyle name="Heading 2 2 9 2 7 8" xfId="46814"/>
    <cellStyle name="Heading 2 2 9 2 7 8 2" xfId="46815"/>
    <cellStyle name="Heading 2 2 9 2 7 9" xfId="46816"/>
    <cellStyle name="Heading 2 2 9 2 8" xfId="46817"/>
    <cellStyle name="Heading 2 2 9 2 8 2" xfId="46818"/>
    <cellStyle name="Heading 2 2 9 2 8 2 2" xfId="46819"/>
    <cellStyle name="Heading 2 2 9 2 8 2 2 2" xfId="46820"/>
    <cellStyle name="Heading 2 2 9 2 8 2 3" xfId="46821"/>
    <cellStyle name="Heading 2 2 9 2 8 3" xfId="46822"/>
    <cellStyle name="Heading 2 2 9 2 8 3 2" xfId="46823"/>
    <cellStyle name="Heading 2 2 9 2 8 3 2 2" xfId="46824"/>
    <cellStyle name="Heading 2 2 9 2 8 3 3" xfId="46825"/>
    <cellStyle name="Heading 2 2 9 2 8 4" xfId="46826"/>
    <cellStyle name="Heading 2 2 9 2 8 4 2" xfId="46827"/>
    <cellStyle name="Heading 2 2 9 2 8 4 2 2" xfId="46828"/>
    <cellStyle name="Heading 2 2 9 2 8 4 3" xfId="46829"/>
    <cellStyle name="Heading 2 2 9 2 8 5" xfId="46830"/>
    <cellStyle name="Heading 2 2 9 2 8 5 2" xfId="46831"/>
    <cellStyle name="Heading 2 2 9 2 8 5 2 2" xfId="46832"/>
    <cellStyle name="Heading 2 2 9 2 8 5 3" xfId="46833"/>
    <cellStyle name="Heading 2 2 9 2 8 6" xfId="46834"/>
    <cellStyle name="Heading 2 2 9 2 8 6 2" xfId="46835"/>
    <cellStyle name="Heading 2 2 9 2 8 6 2 2" xfId="46836"/>
    <cellStyle name="Heading 2 2 9 2 8 6 3" xfId="46837"/>
    <cellStyle name="Heading 2 2 9 2 8 7" xfId="46838"/>
    <cellStyle name="Heading 2 2 9 2 8 7 2" xfId="46839"/>
    <cellStyle name="Heading 2 2 9 2 8 7 2 2" xfId="46840"/>
    <cellStyle name="Heading 2 2 9 2 8 7 3" xfId="46841"/>
    <cellStyle name="Heading 2 2 9 2 8 8" xfId="46842"/>
    <cellStyle name="Heading 2 2 9 2 8 8 2" xfId="46843"/>
    <cellStyle name="Heading 2 2 9 2 8 9" xfId="46844"/>
    <cellStyle name="Heading 2 2 9 2 9" xfId="46845"/>
    <cellStyle name="Heading 2 2 9 2 9 2" xfId="46846"/>
    <cellStyle name="Heading 2 2 9 2 9 2 2" xfId="46847"/>
    <cellStyle name="Heading 2 2 9 2 9 2 2 2" xfId="46848"/>
    <cellStyle name="Heading 2 2 9 2 9 2 3" xfId="46849"/>
    <cellStyle name="Heading 2 2 9 2 9 3" xfId="46850"/>
    <cellStyle name="Heading 2 2 9 2 9 3 2" xfId="46851"/>
    <cellStyle name="Heading 2 2 9 2 9 3 2 2" xfId="46852"/>
    <cellStyle name="Heading 2 2 9 2 9 3 3" xfId="46853"/>
    <cellStyle name="Heading 2 2 9 2 9 4" xfId="46854"/>
    <cellStyle name="Heading 2 2 9 2 9 4 2" xfId="46855"/>
    <cellStyle name="Heading 2 2 9 2 9 4 2 2" xfId="46856"/>
    <cellStyle name="Heading 2 2 9 2 9 4 3" xfId="46857"/>
    <cellStyle name="Heading 2 2 9 2 9 5" xfId="46858"/>
    <cellStyle name="Heading 2 2 9 2 9 5 2" xfId="46859"/>
    <cellStyle name="Heading 2 2 9 2 9 5 2 2" xfId="46860"/>
    <cellStyle name="Heading 2 2 9 2 9 5 3" xfId="46861"/>
    <cellStyle name="Heading 2 2 9 2 9 6" xfId="46862"/>
    <cellStyle name="Heading 2 2 9 2 9 6 2" xfId="46863"/>
    <cellStyle name="Heading 2 2 9 2 9 6 2 2" xfId="46864"/>
    <cellStyle name="Heading 2 2 9 2 9 6 3" xfId="46865"/>
    <cellStyle name="Heading 2 2 9 2 9 7" xfId="46866"/>
    <cellStyle name="Heading 2 2 9 2 9 7 2" xfId="46867"/>
    <cellStyle name="Heading 2 2 9 2 9 7 2 2" xfId="46868"/>
    <cellStyle name="Heading 2 2 9 2 9 7 3" xfId="46869"/>
    <cellStyle name="Heading 2 2 9 2 9 8" xfId="46870"/>
    <cellStyle name="Heading 2 2 9 2 9 8 2" xfId="46871"/>
    <cellStyle name="Heading 2 2 9 2 9 9" xfId="46872"/>
    <cellStyle name="Heading 2 2 9 3" xfId="46873"/>
    <cellStyle name="Heading 2 2 9 3 10" xfId="46874"/>
    <cellStyle name="Heading 2 2 9 3 10 2" xfId="46875"/>
    <cellStyle name="Heading 2 2 9 3 10 2 2" xfId="46876"/>
    <cellStyle name="Heading 2 2 9 3 10 3" xfId="46877"/>
    <cellStyle name="Heading 2 2 9 3 11" xfId="46878"/>
    <cellStyle name="Heading 2 2 9 3 11 2" xfId="46879"/>
    <cellStyle name="Heading 2 2 9 3 11 2 2" xfId="46880"/>
    <cellStyle name="Heading 2 2 9 3 11 3" xfId="46881"/>
    <cellStyle name="Heading 2 2 9 3 12" xfId="46882"/>
    <cellStyle name="Heading 2 2 9 3 12 2" xfId="46883"/>
    <cellStyle name="Heading 2 2 9 3 12 2 2" xfId="46884"/>
    <cellStyle name="Heading 2 2 9 3 12 3" xfId="46885"/>
    <cellStyle name="Heading 2 2 9 3 13" xfId="46886"/>
    <cellStyle name="Heading 2 2 9 3 13 2" xfId="46887"/>
    <cellStyle name="Heading 2 2 9 3 13 2 2" xfId="46888"/>
    <cellStyle name="Heading 2 2 9 3 13 3" xfId="46889"/>
    <cellStyle name="Heading 2 2 9 3 14" xfId="46890"/>
    <cellStyle name="Heading 2 2 9 3 14 2" xfId="46891"/>
    <cellStyle name="Heading 2 2 9 3 14 2 2" xfId="46892"/>
    <cellStyle name="Heading 2 2 9 3 14 3" xfId="46893"/>
    <cellStyle name="Heading 2 2 9 3 15" xfId="46894"/>
    <cellStyle name="Heading 2 2 9 3 15 2" xfId="46895"/>
    <cellStyle name="Heading 2 2 9 3 15 2 2" xfId="46896"/>
    <cellStyle name="Heading 2 2 9 3 15 3" xfId="46897"/>
    <cellStyle name="Heading 2 2 9 3 16" xfId="46898"/>
    <cellStyle name="Heading 2 2 9 3 16 2" xfId="46899"/>
    <cellStyle name="Heading 2 2 9 3 16 2 2" xfId="46900"/>
    <cellStyle name="Heading 2 2 9 3 16 3" xfId="46901"/>
    <cellStyle name="Heading 2 2 9 3 17" xfId="46902"/>
    <cellStyle name="Heading 2 2 9 3 17 2" xfId="46903"/>
    <cellStyle name="Heading 2 2 9 3 17 2 2" xfId="46904"/>
    <cellStyle name="Heading 2 2 9 3 17 3" xfId="46905"/>
    <cellStyle name="Heading 2 2 9 3 18" xfId="46906"/>
    <cellStyle name="Heading 2 2 9 3 18 2" xfId="46907"/>
    <cellStyle name="Heading 2 2 9 3 18 2 2" xfId="46908"/>
    <cellStyle name="Heading 2 2 9 3 18 3" xfId="46909"/>
    <cellStyle name="Heading 2 2 9 3 19" xfId="46910"/>
    <cellStyle name="Heading 2 2 9 3 19 2" xfId="46911"/>
    <cellStyle name="Heading 2 2 9 3 2" xfId="46912"/>
    <cellStyle name="Heading 2 2 9 3 2 2" xfId="46913"/>
    <cellStyle name="Heading 2 2 9 3 2 2 2" xfId="46914"/>
    <cellStyle name="Heading 2 2 9 3 2 2 2 2" xfId="46915"/>
    <cellStyle name="Heading 2 2 9 3 2 2 3" xfId="46916"/>
    <cellStyle name="Heading 2 2 9 3 2 3" xfId="46917"/>
    <cellStyle name="Heading 2 2 9 3 2 3 2" xfId="46918"/>
    <cellStyle name="Heading 2 2 9 3 2 3 2 2" xfId="46919"/>
    <cellStyle name="Heading 2 2 9 3 2 3 3" xfId="46920"/>
    <cellStyle name="Heading 2 2 9 3 2 4" xfId="46921"/>
    <cellStyle name="Heading 2 2 9 3 2 4 2" xfId="46922"/>
    <cellStyle name="Heading 2 2 9 3 2 4 2 2" xfId="46923"/>
    <cellStyle name="Heading 2 2 9 3 2 4 3" xfId="46924"/>
    <cellStyle name="Heading 2 2 9 3 2 5" xfId="46925"/>
    <cellStyle name="Heading 2 2 9 3 2 5 2" xfId="46926"/>
    <cellStyle name="Heading 2 2 9 3 2 5 2 2" xfId="46927"/>
    <cellStyle name="Heading 2 2 9 3 2 5 3" xfId="46928"/>
    <cellStyle name="Heading 2 2 9 3 2 6" xfId="46929"/>
    <cellStyle name="Heading 2 2 9 3 2 6 2" xfId="46930"/>
    <cellStyle name="Heading 2 2 9 3 2 6 2 2" xfId="46931"/>
    <cellStyle name="Heading 2 2 9 3 2 6 3" xfId="46932"/>
    <cellStyle name="Heading 2 2 9 3 2 7" xfId="46933"/>
    <cellStyle name="Heading 2 2 9 3 2 7 2" xfId="46934"/>
    <cellStyle name="Heading 2 2 9 3 2 7 2 2" xfId="46935"/>
    <cellStyle name="Heading 2 2 9 3 2 7 3" xfId="46936"/>
    <cellStyle name="Heading 2 2 9 3 2 8" xfId="46937"/>
    <cellStyle name="Heading 2 2 9 3 2 8 2" xfId="46938"/>
    <cellStyle name="Heading 2 2 9 3 2 9" xfId="46939"/>
    <cellStyle name="Heading 2 2 9 3 20" xfId="46940"/>
    <cellStyle name="Heading 2 2 9 3 20 2" xfId="46941"/>
    <cellStyle name="Heading 2 2 9 3 21" xfId="46942"/>
    <cellStyle name="Heading 2 2 9 3 21 2" xfId="46943"/>
    <cellStyle name="Heading 2 2 9 3 22" xfId="46944"/>
    <cellStyle name="Heading 2 2 9 3 3" xfId="46945"/>
    <cellStyle name="Heading 2 2 9 3 3 2" xfId="46946"/>
    <cellStyle name="Heading 2 2 9 3 3 2 2" xfId="46947"/>
    <cellStyle name="Heading 2 2 9 3 3 2 2 2" xfId="46948"/>
    <cellStyle name="Heading 2 2 9 3 3 2 3" xfId="46949"/>
    <cellStyle name="Heading 2 2 9 3 3 3" xfId="46950"/>
    <cellStyle name="Heading 2 2 9 3 3 3 2" xfId="46951"/>
    <cellStyle name="Heading 2 2 9 3 3 3 2 2" xfId="46952"/>
    <cellStyle name="Heading 2 2 9 3 3 3 3" xfId="46953"/>
    <cellStyle name="Heading 2 2 9 3 3 4" xfId="46954"/>
    <cellStyle name="Heading 2 2 9 3 3 4 2" xfId="46955"/>
    <cellStyle name="Heading 2 2 9 3 3 4 2 2" xfId="46956"/>
    <cellStyle name="Heading 2 2 9 3 3 4 3" xfId="46957"/>
    <cellStyle name="Heading 2 2 9 3 3 5" xfId="46958"/>
    <cellStyle name="Heading 2 2 9 3 3 5 2" xfId="46959"/>
    <cellStyle name="Heading 2 2 9 3 3 5 2 2" xfId="46960"/>
    <cellStyle name="Heading 2 2 9 3 3 5 3" xfId="46961"/>
    <cellStyle name="Heading 2 2 9 3 3 6" xfId="46962"/>
    <cellStyle name="Heading 2 2 9 3 3 6 2" xfId="46963"/>
    <cellStyle name="Heading 2 2 9 3 3 6 2 2" xfId="46964"/>
    <cellStyle name="Heading 2 2 9 3 3 6 3" xfId="46965"/>
    <cellStyle name="Heading 2 2 9 3 3 7" xfId="46966"/>
    <cellStyle name="Heading 2 2 9 3 3 7 2" xfId="46967"/>
    <cellStyle name="Heading 2 2 9 3 3 7 2 2" xfId="46968"/>
    <cellStyle name="Heading 2 2 9 3 3 7 3" xfId="46969"/>
    <cellStyle name="Heading 2 2 9 3 3 8" xfId="46970"/>
    <cellStyle name="Heading 2 2 9 3 3 8 2" xfId="46971"/>
    <cellStyle name="Heading 2 2 9 3 3 9" xfId="46972"/>
    <cellStyle name="Heading 2 2 9 3 4" xfId="46973"/>
    <cellStyle name="Heading 2 2 9 3 4 2" xfId="46974"/>
    <cellStyle name="Heading 2 2 9 3 4 2 2" xfId="46975"/>
    <cellStyle name="Heading 2 2 9 3 4 2 2 2" xfId="46976"/>
    <cellStyle name="Heading 2 2 9 3 4 2 3" xfId="46977"/>
    <cellStyle name="Heading 2 2 9 3 4 3" xfId="46978"/>
    <cellStyle name="Heading 2 2 9 3 4 3 2" xfId="46979"/>
    <cellStyle name="Heading 2 2 9 3 4 3 2 2" xfId="46980"/>
    <cellStyle name="Heading 2 2 9 3 4 3 3" xfId="46981"/>
    <cellStyle name="Heading 2 2 9 3 4 4" xfId="46982"/>
    <cellStyle name="Heading 2 2 9 3 4 4 2" xfId="46983"/>
    <cellStyle name="Heading 2 2 9 3 4 4 2 2" xfId="46984"/>
    <cellStyle name="Heading 2 2 9 3 4 4 3" xfId="46985"/>
    <cellStyle name="Heading 2 2 9 3 4 5" xfId="46986"/>
    <cellStyle name="Heading 2 2 9 3 4 5 2" xfId="46987"/>
    <cellStyle name="Heading 2 2 9 3 4 5 2 2" xfId="46988"/>
    <cellStyle name="Heading 2 2 9 3 4 5 3" xfId="46989"/>
    <cellStyle name="Heading 2 2 9 3 4 6" xfId="46990"/>
    <cellStyle name="Heading 2 2 9 3 4 6 2" xfId="46991"/>
    <cellStyle name="Heading 2 2 9 3 4 6 2 2" xfId="46992"/>
    <cellStyle name="Heading 2 2 9 3 4 6 3" xfId="46993"/>
    <cellStyle name="Heading 2 2 9 3 4 7" xfId="46994"/>
    <cellStyle name="Heading 2 2 9 3 4 7 2" xfId="46995"/>
    <cellStyle name="Heading 2 2 9 3 4 7 2 2" xfId="46996"/>
    <cellStyle name="Heading 2 2 9 3 4 7 3" xfId="46997"/>
    <cellStyle name="Heading 2 2 9 3 4 8" xfId="46998"/>
    <cellStyle name="Heading 2 2 9 3 4 8 2" xfId="46999"/>
    <cellStyle name="Heading 2 2 9 3 4 9" xfId="47000"/>
    <cellStyle name="Heading 2 2 9 3 5" xfId="47001"/>
    <cellStyle name="Heading 2 2 9 3 5 2" xfId="47002"/>
    <cellStyle name="Heading 2 2 9 3 5 2 2" xfId="47003"/>
    <cellStyle name="Heading 2 2 9 3 5 2 2 2" xfId="47004"/>
    <cellStyle name="Heading 2 2 9 3 5 2 3" xfId="47005"/>
    <cellStyle name="Heading 2 2 9 3 5 3" xfId="47006"/>
    <cellStyle name="Heading 2 2 9 3 5 3 2" xfId="47007"/>
    <cellStyle name="Heading 2 2 9 3 5 3 2 2" xfId="47008"/>
    <cellStyle name="Heading 2 2 9 3 5 3 3" xfId="47009"/>
    <cellStyle name="Heading 2 2 9 3 5 4" xfId="47010"/>
    <cellStyle name="Heading 2 2 9 3 5 4 2" xfId="47011"/>
    <cellStyle name="Heading 2 2 9 3 5 4 2 2" xfId="47012"/>
    <cellStyle name="Heading 2 2 9 3 5 4 3" xfId="47013"/>
    <cellStyle name="Heading 2 2 9 3 5 5" xfId="47014"/>
    <cellStyle name="Heading 2 2 9 3 5 5 2" xfId="47015"/>
    <cellStyle name="Heading 2 2 9 3 5 5 2 2" xfId="47016"/>
    <cellStyle name="Heading 2 2 9 3 5 5 3" xfId="47017"/>
    <cellStyle name="Heading 2 2 9 3 5 6" xfId="47018"/>
    <cellStyle name="Heading 2 2 9 3 5 6 2" xfId="47019"/>
    <cellStyle name="Heading 2 2 9 3 5 6 2 2" xfId="47020"/>
    <cellStyle name="Heading 2 2 9 3 5 6 3" xfId="47021"/>
    <cellStyle name="Heading 2 2 9 3 5 7" xfId="47022"/>
    <cellStyle name="Heading 2 2 9 3 5 7 2" xfId="47023"/>
    <cellStyle name="Heading 2 2 9 3 5 7 2 2" xfId="47024"/>
    <cellStyle name="Heading 2 2 9 3 5 7 3" xfId="47025"/>
    <cellStyle name="Heading 2 2 9 3 5 8" xfId="47026"/>
    <cellStyle name="Heading 2 2 9 3 5 8 2" xfId="47027"/>
    <cellStyle name="Heading 2 2 9 3 5 9" xfId="47028"/>
    <cellStyle name="Heading 2 2 9 3 6" xfId="47029"/>
    <cellStyle name="Heading 2 2 9 3 6 2" xfId="47030"/>
    <cellStyle name="Heading 2 2 9 3 6 2 2" xfId="47031"/>
    <cellStyle name="Heading 2 2 9 3 6 2 2 2" xfId="47032"/>
    <cellStyle name="Heading 2 2 9 3 6 2 3" xfId="47033"/>
    <cellStyle name="Heading 2 2 9 3 6 3" xfId="47034"/>
    <cellStyle name="Heading 2 2 9 3 6 3 2" xfId="47035"/>
    <cellStyle name="Heading 2 2 9 3 6 3 2 2" xfId="47036"/>
    <cellStyle name="Heading 2 2 9 3 6 3 3" xfId="47037"/>
    <cellStyle name="Heading 2 2 9 3 6 4" xfId="47038"/>
    <cellStyle name="Heading 2 2 9 3 6 4 2" xfId="47039"/>
    <cellStyle name="Heading 2 2 9 3 6 4 2 2" xfId="47040"/>
    <cellStyle name="Heading 2 2 9 3 6 4 3" xfId="47041"/>
    <cellStyle name="Heading 2 2 9 3 6 5" xfId="47042"/>
    <cellStyle name="Heading 2 2 9 3 6 5 2" xfId="47043"/>
    <cellStyle name="Heading 2 2 9 3 6 5 2 2" xfId="47044"/>
    <cellStyle name="Heading 2 2 9 3 6 5 3" xfId="47045"/>
    <cellStyle name="Heading 2 2 9 3 6 6" xfId="47046"/>
    <cellStyle name="Heading 2 2 9 3 6 6 2" xfId="47047"/>
    <cellStyle name="Heading 2 2 9 3 6 6 2 2" xfId="47048"/>
    <cellStyle name="Heading 2 2 9 3 6 6 3" xfId="47049"/>
    <cellStyle name="Heading 2 2 9 3 6 7" xfId="47050"/>
    <cellStyle name="Heading 2 2 9 3 6 7 2" xfId="47051"/>
    <cellStyle name="Heading 2 2 9 3 6 7 2 2" xfId="47052"/>
    <cellStyle name="Heading 2 2 9 3 6 7 3" xfId="47053"/>
    <cellStyle name="Heading 2 2 9 3 6 8" xfId="47054"/>
    <cellStyle name="Heading 2 2 9 3 6 8 2" xfId="47055"/>
    <cellStyle name="Heading 2 2 9 3 6 9" xfId="47056"/>
    <cellStyle name="Heading 2 2 9 3 7" xfId="47057"/>
    <cellStyle name="Heading 2 2 9 3 7 2" xfId="47058"/>
    <cellStyle name="Heading 2 2 9 3 7 2 2" xfId="47059"/>
    <cellStyle name="Heading 2 2 9 3 7 2 2 2" xfId="47060"/>
    <cellStyle name="Heading 2 2 9 3 7 2 3" xfId="47061"/>
    <cellStyle name="Heading 2 2 9 3 7 3" xfId="47062"/>
    <cellStyle name="Heading 2 2 9 3 7 3 2" xfId="47063"/>
    <cellStyle name="Heading 2 2 9 3 7 3 2 2" xfId="47064"/>
    <cellStyle name="Heading 2 2 9 3 7 3 3" xfId="47065"/>
    <cellStyle name="Heading 2 2 9 3 7 4" xfId="47066"/>
    <cellStyle name="Heading 2 2 9 3 7 4 2" xfId="47067"/>
    <cellStyle name="Heading 2 2 9 3 7 4 2 2" xfId="47068"/>
    <cellStyle name="Heading 2 2 9 3 7 4 3" xfId="47069"/>
    <cellStyle name="Heading 2 2 9 3 7 5" xfId="47070"/>
    <cellStyle name="Heading 2 2 9 3 7 5 2" xfId="47071"/>
    <cellStyle name="Heading 2 2 9 3 7 5 2 2" xfId="47072"/>
    <cellStyle name="Heading 2 2 9 3 7 5 3" xfId="47073"/>
    <cellStyle name="Heading 2 2 9 3 7 6" xfId="47074"/>
    <cellStyle name="Heading 2 2 9 3 7 6 2" xfId="47075"/>
    <cellStyle name="Heading 2 2 9 3 7 6 2 2" xfId="47076"/>
    <cellStyle name="Heading 2 2 9 3 7 6 3" xfId="47077"/>
    <cellStyle name="Heading 2 2 9 3 7 7" xfId="47078"/>
    <cellStyle name="Heading 2 2 9 3 7 7 2" xfId="47079"/>
    <cellStyle name="Heading 2 2 9 3 7 7 2 2" xfId="47080"/>
    <cellStyle name="Heading 2 2 9 3 7 7 3" xfId="47081"/>
    <cellStyle name="Heading 2 2 9 3 7 8" xfId="47082"/>
    <cellStyle name="Heading 2 2 9 3 7 8 2" xfId="47083"/>
    <cellStyle name="Heading 2 2 9 3 7 9" xfId="47084"/>
    <cellStyle name="Heading 2 2 9 3 8" xfId="47085"/>
    <cellStyle name="Heading 2 2 9 3 8 2" xfId="47086"/>
    <cellStyle name="Heading 2 2 9 3 8 2 2" xfId="47087"/>
    <cellStyle name="Heading 2 2 9 3 8 2 2 2" xfId="47088"/>
    <cellStyle name="Heading 2 2 9 3 8 2 3" xfId="47089"/>
    <cellStyle name="Heading 2 2 9 3 8 3" xfId="47090"/>
    <cellStyle name="Heading 2 2 9 3 8 3 2" xfId="47091"/>
    <cellStyle name="Heading 2 2 9 3 8 3 2 2" xfId="47092"/>
    <cellStyle name="Heading 2 2 9 3 8 3 3" xfId="47093"/>
    <cellStyle name="Heading 2 2 9 3 8 4" xfId="47094"/>
    <cellStyle name="Heading 2 2 9 3 8 4 2" xfId="47095"/>
    <cellStyle name="Heading 2 2 9 3 8 4 2 2" xfId="47096"/>
    <cellStyle name="Heading 2 2 9 3 8 4 3" xfId="47097"/>
    <cellStyle name="Heading 2 2 9 3 8 5" xfId="47098"/>
    <cellStyle name="Heading 2 2 9 3 8 5 2" xfId="47099"/>
    <cellStyle name="Heading 2 2 9 3 8 5 2 2" xfId="47100"/>
    <cellStyle name="Heading 2 2 9 3 8 5 3" xfId="47101"/>
    <cellStyle name="Heading 2 2 9 3 8 6" xfId="47102"/>
    <cellStyle name="Heading 2 2 9 3 8 6 2" xfId="47103"/>
    <cellStyle name="Heading 2 2 9 3 8 6 2 2" xfId="47104"/>
    <cellStyle name="Heading 2 2 9 3 8 6 3" xfId="47105"/>
    <cellStyle name="Heading 2 2 9 3 8 7" xfId="47106"/>
    <cellStyle name="Heading 2 2 9 3 8 7 2" xfId="47107"/>
    <cellStyle name="Heading 2 2 9 3 8 7 2 2" xfId="47108"/>
    <cellStyle name="Heading 2 2 9 3 8 7 3" xfId="47109"/>
    <cellStyle name="Heading 2 2 9 3 8 8" xfId="47110"/>
    <cellStyle name="Heading 2 2 9 3 8 8 2" xfId="47111"/>
    <cellStyle name="Heading 2 2 9 3 8 9" xfId="47112"/>
    <cellStyle name="Heading 2 2 9 3 9" xfId="47113"/>
    <cellStyle name="Heading 2 2 9 3 9 2" xfId="47114"/>
    <cellStyle name="Heading 2 2 9 3 9 2 2" xfId="47115"/>
    <cellStyle name="Heading 2 2 9 3 9 3" xfId="47116"/>
    <cellStyle name="Heading 2 2 9 4" xfId="47117"/>
    <cellStyle name="Heading 2 2 9 4 2" xfId="47118"/>
    <cellStyle name="Heading 2 2 9 4 2 2" xfId="47119"/>
    <cellStyle name="Heading 2 2 9 4 3" xfId="47120"/>
    <cellStyle name="Heading 2 2 9 5" xfId="47121"/>
    <cellStyle name="Heading 2 2 9 5 2" xfId="47122"/>
    <cellStyle name="Heading 2 2 9 6" xfId="47123"/>
    <cellStyle name="Heading 2 3" xfId="47124"/>
    <cellStyle name="Heading 2 3 2" xfId="47125"/>
    <cellStyle name="Heading 2 3 2 10" xfId="47126"/>
    <cellStyle name="Heading 2 3 2 10 2" xfId="47127"/>
    <cellStyle name="Heading 2 3 2 10 2 2" xfId="47128"/>
    <cellStyle name="Heading 2 3 2 10 3" xfId="47129"/>
    <cellStyle name="Heading 2 3 2 11" xfId="47130"/>
    <cellStyle name="Heading 2 3 2 11 2" xfId="47131"/>
    <cellStyle name="Heading 2 3 2 11 2 2" xfId="47132"/>
    <cellStyle name="Heading 2 3 2 11 3" xfId="47133"/>
    <cellStyle name="Heading 2 3 2 12" xfId="47134"/>
    <cellStyle name="Heading 2 3 2 12 2" xfId="47135"/>
    <cellStyle name="Heading 2 3 2 12 2 2" xfId="47136"/>
    <cellStyle name="Heading 2 3 2 12 3" xfId="47137"/>
    <cellStyle name="Heading 2 3 2 13" xfId="47138"/>
    <cellStyle name="Heading 2 3 2 13 2" xfId="47139"/>
    <cellStyle name="Heading 2 3 2 13 2 2" xfId="47140"/>
    <cellStyle name="Heading 2 3 2 13 3" xfId="47141"/>
    <cellStyle name="Heading 2 3 2 14" xfId="47142"/>
    <cellStyle name="Heading 2 3 2 14 2" xfId="47143"/>
    <cellStyle name="Heading 2 3 2 14 2 2" xfId="47144"/>
    <cellStyle name="Heading 2 3 2 14 3" xfId="47145"/>
    <cellStyle name="Heading 2 3 2 15" xfId="47146"/>
    <cellStyle name="Heading 2 3 2 15 2" xfId="47147"/>
    <cellStyle name="Heading 2 3 2 15 2 2" xfId="47148"/>
    <cellStyle name="Heading 2 3 2 15 3" xfId="47149"/>
    <cellStyle name="Heading 2 3 2 16" xfId="47150"/>
    <cellStyle name="Heading 2 3 2 16 2" xfId="47151"/>
    <cellStyle name="Heading 2 3 2 16 2 2" xfId="47152"/>
    <cellStyle name="Heading 2 3 2 16 3" xfId="47153"/>
    <cellStyle name="Heading 2 3 2 17" xfId="47154"/>
    <cellStyle name="Heading 2 3 2 17 2" xfId="47155"/>
    <cellStyle name="Heading 2 3 2 17 2 2" xfId="47156"/>
    <cellStyle name="Heading 2 3 2 17 3" xfId="47157"/>
    <cellStyle name="Heading 2 3 2 18" xfId="47158"/>
    <cellStyle name="Heading 2 3 2 18 2" xfId="47159"/>
    <cellStyle name="Heading 2 3 2 18 2 2" xfId="47160"/>
    <cellStyle name="Heading 2 3 2 18 3" xfId="47161"/>
    <cellStyle name="Heading 2 3 2 19" xfId="47162"/>
    <cellStyle name="Heading 2 3 2 19 2" xfId="47163"/>
    <cellStyle name="Heading 2 3 2 19 2 2" xfId="47164"/>
    <cellStyle name="Heading 2 3 2 19 3" xfId="47165"/>
    <cellStyle name="Heading 2 3 2 2" xfId="47166"/>
    <cellStyle name="Heading 2 3 2 2 10" xfId="47167"/>
    <cellStyle name="Heading 2 3 2 2 10 2" xfId="47168"/>
    <cellStyle name="Heading 2 3 2 2 10 2 2" xfId="47169"/>
    <cellStyle name="Heading 2 3 2 2 10 3" xfId="47170"/>
    <cellStyle name="Heading 2 3 2 2 11" xfId="47171"/>
    <cellStyle name="Heading 2 3 2 2 11 2" xfId="47172"/>
    <cellStyle name="Heading 2 3 2 2 11 2 2" xfId="47173"/>
    <cellStyle name="Heading 2 3 2 2 11 3" xfId="47174"/>
    <cellStyle name="Heading 2 3 2 2 12" xfId="47175"/>
    <cellStyle name="Heading 2 3 2 2 12 2" xfId="47176"/>
    <cellStyle name="Heading 2 3 2 2 12 2 2" xfId="47177"/>
    <cellStyle name="Heading 2 3 2 2 12 3" xfId="47178"/>
    <cellStyle name="Heading 2 3 2 2 13" xfId="47179"/>
    <cellStyle name="Heading 2 3 2 2 13 2" xfId="47180"/>
    <cellStyle name="Heading 2 3 2 2 13 2 2" xfId="47181"/>
    <cellStyle name="Heading 2 3 2 2 13 3" xfId="47182"/>
    <cellStyle name="Heading 2 3 2 2 14" xfId="47183"/>
    <cellStyle name="Heading 2 3 2 2 14 2" xfId="47184"/>
    <cellStyle name="Heading 2 3 2 2 14 2 2" xfId="47185"/>
    <cellStyle name="Heading 2 3 2 2 14 3" xfId="47186"/>
    <cellStyle name="Heading 2 3 2 2 15" xfId="47187"/>
    <cellStyle name="Heading 2 3 2 2 15 2" xfId="47188"/>
    <cellStyle name="Heading 2 3 2 2 15 2 2" xfId="47189"/>
    <cellStyle name="Heading 2 3 2 2 15 3" xfId="47190"/>
    <cellStyle name="Heading 2 3 2 2 16" xfId="47191"/>
    <cellStyle name="Heading 2 3 2 2 16 2" xfId="47192"/>
    <cellStyle name="Heading 2 3 2 2 16 2 2" xfId="47193"/>
    <cellStyle name="Heading 2 3 2 2 16 3" xfId="47194"/>
    <cellStyle name="Heading 2 3 2 2 17" xfId="47195"/>
    <cellStyle name="Heading 2 3 2 2 17 2" xfId="47196"/>
    <cellStyle name="Heading 2 3 2 2 17 2 2" xfId="47197"/>
    <cellStyle name="Heading 2 3 2 2 17 3" xfId="47198"/>
    <cellStyle name="Heading 2 3 2 2 18" xfId="47199"/>
    <cellStyle name="Heading 2 3 2 2 18 2" xfId="47200"/>
    <cellStyle name="Heading 2 3 2 2 18 2 2" xfId="47201"/>
    <cellStyle name="Heading 2 3 2 2 18 3" xfId="47202"/>
    <cellStyle name="Heading 2 3 2 2 19" xfId="47203"/>
    <cellStyle name="Heading 2 3 2 2 19 2" xfId="47204"/>
    <cellStyle name="Heading 2 3 2 2 2" xfId="47205"/>
    <cellStyle name="Heading 2 3 2 2 2 2" xfId="47206"/>
    <cellStyle name="Heading 2 3 2 2 2 2 2" xfId="47207"/>
    <cellStyle name="Heading 2 3 2 2 2 2 2 2" xfId="47208"/>
    <cellStyle name="Heading 2 3 2 2 2 2 3" xfId="47209"/>
    <cellStyle name="Heading 2 3 2 2 2 3" xfId="47210"/>
    <cellStyle name="Heading 2 3 2 2 2 3 2" xfId="47211"/>
    <cellStyle name="Heading 2 3 2 2 2 3 2 2" xfId="47212"/>
    <cellStyle name="Heading 2 3 2 2 2 3 3" xfId="47213"/>
    <cellStyle name="Heading 2 3 2 2 2 4" xfId="47214"/>
    <cellStyle name="Heading 2 3 2 2 2 4 2" xfId="47215"/>
    <cellStyle name="Heading 2 3 2 2 2 4 2 2" xfId="47216"/>
    <cellStyle name="Heading 2 3 2 2 2 4 3" xfId="47217"/>
    <cellStyle name="Heading 2 3 2 2 2 5" xfId="47218"/>
    <cellStyle name="Heading 2 3 2 2 2 5 2" xfId="47219"/>
    <cellStyle name="Heading 2 3 2 2 2 5 2 2" xfId="47220"/>
    <cellStyle name="Heading 2 3 2 2 2 5 3" xfId="47221"/>
    <cellStyle name="Heading 2 3 2 2 2 6" xfId="47222"/>
    <cellStyle name="Heading 2 3 2 2 2 6 2" xfId="47223"/>
    <cellStyle name="Heading 2 3 2 2 2 6 2 2" xfId="47224"/>
    <cellStyle name="Heading 2 3 2 2 2 6 3" xfId="47225"/>
    <cellStyle name="Heading 2 3 2 2 2 7" xfId="47226"/>
    <cellStyle name="Heading 2 3 2 2 2 7 2" xfId="47227"/>
    <cellStyle name="Heading 2 3 2 2 2 7 2 2" xfId="47228"/>
    <cellStyle name="Heading 2 3 2 2 2 7 3" xfId="47229"/>
    <cellStyle name="Heading 2 3 2 2 2 8" xfId="47230"/>
    <cellStyle name="Heading 2 3 2 2 2 8 2" xfId="47231"/>
    <cellStyle name="Heading 2 3 2 2 2 9" xfId="47232"/>
    <cellStyle name="Heading 2 3 2 2 20" xfId="47233"/>
    <cellStyle name="Heading 2 3 2 2 20 2" xfId="47234"/>
    <cellStyle name="Heading 2 3 2 2 21" xfId="47235"/>
    <cellStyle name="Heading 2 3 2 2 21 2" xfId="47236"/>
    <cellStyle name="Heading 2 3 2 2 22" xfId="47237"/>
    <cellStyle name="Heading 2 3 2 2 3" xfId="47238"/>
    <cellStyle name="Heading 2 3 2 2 3 2" xfId="47239"/>
    <cellStyle name="Heading 2 3 2 2 3 2 2" xfId="47240"/>
    <cellStyle name="Heading 2 3 2 2 3 2 2 2" xfId="47241"/>
    <cellStyle name="Heading 2 3 2 2 3 2 3" xfId="47242"/>
    <cellStyle name="Heading 2 3 2 2 3 3" xfId="47243"/>
    <cellStyle name="Heading 2 3 2 2 3 3 2" xfId="47244"/>
    <cellStyle name="Heading 2 3 2 2 3 3 2 2" xfId="47245"/>
    <cellStyle name="Heading 2 3 2 2 3 3 3" xfId="47246"/>
    <cellStyle name="Heading 2 3 2 2 3 4" xfId="47247"/>
    <cellStyle name="Heading 2 3 2 2 3 4 2" xfId="47248"/>
    <cellStyle name="Heading 2 3 2 2 3 4 2 2" xfId="47249"/>
    <cellStyle name="Heading 2 3 2 2 3 4 3" xfId="47250"/>
    <cellStyle name="Heading 2 3 2 2 3 5" xfId="47251"/>
    <cellStyle name="Heading 2 3 2 2 3 5 2" xfId="47252"/>
    <cellStyle name="Heading 2 3 2 2 3 5 2 2" xfId="47253"/>
    <cellStyle name="Heading 2 3 2 2 3 5 3" xfId="47254"/>
    <cellStyle name="Heading 2 3 2 2 3 6" xfId="47255"/>
    <cellStyle name="Heading 2 3 2 2 3 6 2" xfId="47256"/>
    <cellStyle name="Heading 2 3 2 2 3 6 2 2" xfId="47257"/>
    <cellStyle name="Heading 2 3 2 2 3 6 3" xfId="47258"/>
    <cellStyle name="Heading 2 3 2 2 3 7" xfId="47259"/>
    <cellStyle name="Heading 2 3 2 2 3 7 2" xfId="47260"/>
    <cellStyle name="Heading 2 3 2 2 3 7 2 2" xfId="47261"/>
    <cellStyle name="Heading 2 3 2 2 3 7 3" xfId="47262"/>
    <cellStyle name="Heading 2 3 2 2 3 8" xfId="47263"/>
    <cellStyle name="Heading 2 3 2 2 3 8 2" xfId="47264"/>
    <cellStyle name="Heading 2 3 2 2 3 9" xfId="47265"/>
    <cellStyle name="Heading 2 3 2 2 4" xfId="47266"/>
    <cellStyle name="Heading 2 3 2 2 4 2" xfId="47267"/>
    <cellStyle name="Heading 2 3 2 2 4 2 2" xfId="47268"/>
    <cellStyle name="Heading 2 3 2 2 4 2 2 2" xfId="47269"/>
    <cellStyle name="Heading 2 3 2 2 4 2 3" xfId="47270"/>
    <cellStyle name="Heading 2 3 2 2 4 3" xfId="47271"/>
    <cellStyle name="Heading 2 3 2 2 4 3 2" xfId="47272"/>
    <cellStyle name="Heading 2 3 2 2 4 3 2 2" xfId="47273"/>
    <cellStyle name="Heading 2 3 2 2 4 3 3" xfId="47274"/>
    <cellStyle name="Heading 2 3 2 2 4 4" xfId="47275"/>
    <cellStyle name="Heading 2 3 2 2 4 4 2" xfId="47276"/>
    <cellStyle name="Heading 2 3 2 2 4 4 2 2" xfId="47277"/>
    <cellStyle name="Heading 2 3 2 2 4 4 3" xfId="47278"/>
    <cellStyle name="Heading 2 3 2 2 4 5" xfId="47279"/>
    <cellStyle name="Heading 2 3 2 2 4 5 2" xfId="47280"/>
    <cellStyle name="Heading 2 3 2 2 4 5 2 2" xfId="47281"/>
    <cellStyle name="Heading 2 3 2 2 4 5 3" xfId="47282"/>
    <cellStyle name="Heading 2 3 2 2 4 6" xfId="47283"/>
    <cellStyle name="Heading 2 3 2 2 4 6 2" xfId="47284"/>
    <cellStyle name="Heading 2 3 2 2 4 6 2 2" xfId="47285"/>
    <cellStyle name="Heading 2 3 2 2 4 6 3" xfId="47286"/>
    <cellStyle name="Heading 2 3 2 2 4 7" xfId="47287"/>
    <cellStyle name="Heading 2 3 2 2 4 7 2" xfId="47288"/>
    <cellStyle name="Heading 2 3 2 2 4 7 2 2" xfId="47289"/>
    <cellStyle name="Heading 2 3 2 2 4 7 3" xfId="47290"/>
    <cellStyle name="Heading 2 3 2 2 4 8" xfId="47291"/>
    <cellStyle name="Heading 2 3 2 2 4 8 2" xfId="47292"/>
    <cellStyle name="Heading 2 3 2 2 4 9" xfId="47293"/>
    <cellStyle name="Heading 2 3 2 2 5" xfId="47294"/>
    <cellStyle name="Heading 2 3 2 2 5 2" xfId="47295"/>
    <cellStyle name="Heading 2 3 2 2 5 2 2" xfId="47296"/>
    <cellStyle name="Heading 2 3 2 2 5 2 2 2" xfId="47297"/>
    <cellStyle name="Heading 2 3 2 2 5 2 3" xfId="47298"/>
    <cellStyle name="Heading 2 3 2 2 5 3" xfId="47299"/>
    <cellStyle name="Heading 2 3 2 2 5 3 2" xfId="47300"/>
    <cellStyle name="Heading 2 3 2 2 5 3 2 2" xfId="47301"/>
    <cellStyle name="Heading 2 3 2 2 5 3 3" xfId="47302"/>
    <cellStyle name="Heading 2 3 2 2 5 4" xfId="47303"/>
    <cellStyle name="Heading 2 3 2 2 5 4 2" xfId="47304"/>
    <cellStyle name="Heading 2 3 2 2 5 4 2 2" xfId="47305"/>
    <cellStyle name="Heading 2 3 2 2 5 4 3" xfId="47306"/>
    <cellStyle name="Heading 2 3 2 2 5 5" xfId="47307"/>
    <cellStyle name="Heading 2 3 2 2 5 5 2" xfId="47308"/>
    <cellStyle name="Heading 2 3 2 2 5 5 2 2" xfId="47309"/>
    <cellStyle name="Heading 2 3 2 2 5 5 3" xfId="47310"/>
    <cellStyle name="Heading 2 3 2 2 5 6" xfId="47311"/>
    <cellStyle name="Heading 2 3 2 2 5 6 2" xfId="47312"/>
    <cellStyle name="Heading 2 3 2 2 5 6 2 2" xfId="47313"/>
    <cellStyle name="Heading 2 3 2 2 5 6 3" xfId="47314"/>
    <cellStyle name="Heading 2 3 2 2 5 7" xfId="47315"/>
    <cellStyle name="Heading 2 3 2 2 5 7 2" xfId="47316"/>
    <cellStyle name="Heading 2 3 2 2 5 7 2 2" xfId="47317"/>
    <cellStyle name="Heading 2 3 2 2 5 7 3" xfId="47318"/>
    <cellStyle name="Heading 2 3 2 2 5 8" xfId="47319"/>
    <cellStyle name="Heading 2 3 2 2 5 8 2" xfId="47320"/>
    <cellStyle name="Heading 2 3 2 2 5 9" xfId="47321"/>
    <cellStyle name="Heading 2 3 2 2 6" xfId="47322"/>
    <cellStyle name="Heading 2 3 2 2 6 2" xfId="47323"/>
    <cellStyle name="Heading 2 3 2 2 6 2 2" xfId="47324"/>
    <cellStyle name="Heading 2 3 2 2 6 2 2 2" xfId="47325"/>
    <cellStyle name="Heading 2 3 2 2 6 2 3" xfId="47326"/>
    <cellStyle name="Heading 2 3 2 2 6 3" xfId="47327"/>
    <cellStyle name="Heading 2 3 2 2 6 3 2" xfId="47328"/>
    <cellStyle name="Heading 2 3 2 2 6 3 2 2" xfId="47329"/>
    <cellStyle name="Heading 2 3 2 2 6 3 3" xfId="47330"/>
    <cellStyle name="Heading 2 3 2 2 6 4" xfId="47331"/>
    <cellStyle name="Heading 2 3 2 2 6 4 2" xfId="47332"/>
    <cellStyle name="Heading 2 3 2 2 6 4 2 2" xfId="47333"/>
    <cellStyle name="Heading 2 3 2 2 6 4 3" xfId="47334"/>
    <cellStyle name="Heading 2 3 2 2 6 5" xfId="47335"/>
    <cellStyle name="Heading 2 3 2 2 6 5 2" xfId="47336"/>
    <cellStyle name="Heading 2 3 2 2 6 5 2 2" xfId="47337"/>
    <cellStyle name="Heading 2 3 2 2 6 5 3" xfId="47338"/>
    <cellStyle name="Heading 2 3 2 2 6 6" xfId="47339"/>
    <cellStyle name="Heading 2 3 2 2 6 6 2" xfId="47340"/>
    <cellStyle name="Heading 2 3 2 2 6 6 2 2" xfId="47341"/>
    <cellStyle name="Heading 2 3 2 2 6 6 3" xfId="47342"/>
    <cellStyle name="Heading 2 3 2 2 6 7" xfId="47343"/>
    <cellStyle name="Heading 2 3 2 2 6 7 2" xfId="47344"/>
    <cellStyle name="Heading 2 3 2 2 6 7 2 2" xfId="47345"/>
    <cellStyle name="Heading 2 3 2 2 6 7 3" xfId="47346"/>
    <cellStyle name="Heading 2 3 2 2 6 8" xfId="47347"/>
    <cellStyle name="Heading 2 3 2 2 6 8 2" xfId="47348"/>
    <cellStyle name="Heading 2 3 2 2 6 9" xfId="47349"/>
    <cellStyle name="Heading 2 3 2 2 7" xfId="47350"/>
    <cellStyle name="Heading 2 3 2 2 7 2" xfId="47351"/>
    <cellStyle name="Heading 2 3 2 2 7 2 2" xfId="47352"/>
    <cellStyle name="Heading 2 3 2 2 7 2 2 2" xfId="47353"/>
    <cellStyle name="Heading 2 3 2 2 7 2 3" xfId="47354"/>
    <cellStyle name="Heading 2 3 2 2 7 3" xfId="47355"/>
    <cellStyle name="Heading 2 3 2 2 7 3 2" xfId="47356"/>
    <cellStyle name="Heading 2 3 2 2 7 3 2 2" xfId="47357"/>
    <cellStyle name="Heading 2 3 2 2 7 3 3" xfId="47358"/>
    <cellStyle name="Heading 2 3 2 2 7 4" xfId="47359"/>
    <cellStyle name="Heading 2 3 2 2 7 4 2" xfId="47360"/>
    <cellStyle name="Heading 2 3 2 2 7 4 2 2" xfId="47361"/>
    <cellStyle name="Heading 2 3 2 2 7 4 3" xfId="47362"/>
    <cellStyle name="Heading 2 3 2 2 7 5" xfId="47363"/>
    <cellStyle name="Heading 2 3 2 2 7 5 2" xfId="47364"/>
    <cellStyle name="Heading 2 3 2 2 7 5 2 2" xfId="47365"/>
    <cellStyle name="Heading 2 3 2 2 7 5 3" xfId="47366"/>
    <cellStyle name="Heading 2 3 2 2 7 6" xfId="47367"/>
    <cellStyle name="Heading 2 3 2 2 7 6 2" xfId="47368"/>
    <cellStyle name="Heading 2 3 2 2 7 6 2 2" xfId="47369"/>
    <cellStyle name="Heading 2 3 2 2 7 6 3" xfId="47370"/>
    <cellStyle name="Heading 2 3 2 2 7 7" xfId="47371"/>
    <cellStyle name="Heading 2 3 2 2 7 7 2" xfId="47372"/>
    <cellStyle name="Heading 2 3 2 2 7 7 2 2" xfId="47373"/>
    <cellStyle name="Heading 2 3 2 2 7 7 3" xfId="47374"/>
    <cellStyle name="Heading 2 3 2 2 7 8" xfId="47375"/>
    <cellStyle name="Heading 2 3 2 2 7 8 2" xfId="47376"/>
    <cellStyle name="Heading 2 3 2 2 7 9" xfId="47377"/>
    <cellStyle name="Heading 2 3 2 2 8" xfId="47378"/>
    <cellStyle name="Heading 2 3 2 2 8 2" xfId="47379"/>
    <cellStyle name="Heading 2 3 2 2 8 2 2" xfId="47380"/>
    <cellStyle name="Heading 2 3 2 2 8 2 2 2" xfId="47381"/>
    <cellStyle name="Heading 2 3 2 2 8 2 3" xfId="47382"/>
    <cellStyle name="Heading 2 3 2 2 8 3" xfId="47383"/>
    <cellStyle name="Heading 2 3 2 2 8 3 2" xfId="47384"/>
    <cellStyle name="Heading 2 3 2 2 8 3 2 2" xfId="47385"/>
    <cellStyle name="Heading 2 3 2 2 8 3 3" xfId="47386"/>
    <cellStyle name="Heading 2 3 2 2 8 4" xfId="47387"/>
    <cellStyle name="Heading 2 3 2 2 8 4 2" xfId="47388"/>
    <cellStyle name="Heading 2 3 2 2 8 4 2 2" xfId="47389"/>
    <cellStyle name="Heading 2 3 2 2 8 4 3" xfId="47390"/>
    <cellStyle name="Heading 2 3 2 2 8 5" xfId="47391"/>
    <cellStyle name="Heading 2 3 2 2 8 5 2" xfId="47392"/>
    <cellStyle name="Heading 2 3 2 2 8 5 2 2" xfId="47393"/>
    <cellStyle name="Heading 2 3 2 2 8 5 3" xfId="47394"/>
    <cellStyle name="Heading 2 3 2 2 8 6" xfId="47395"/>
    <cellStyle name="Heading 2 3 2 2 8 6 2" xfId="47396"/>
    <cellStyle name="Heading 2 3 2 2 8 6 2 2" xfId="47397"/>
    <cellStyle name="Heading 2 3 2 2 8 6 3" xfId="47398"/>
    <cellStyle name="Heading 2 3 2 2 8 7" xfId="47399"/>
    <cellStyle name="Heading 2 3 2 2 8 7 2" xfId="47400"/>
    <cellStyle name="Heading 2 3 2 2 8 7 2 2" xfId="47401"/>
    <cellStyle name="Heading 2 3 2 2 8 7 3" xfId="47402"/>
    <cellStyle name="Heading 2 3 2 2 8 8" xfId="47403"/>
    <cellStyle name="Heading 2 3 2 2 8 8 2" xfId="47404"/>
    <cellStyle name="Heading 2 3 2 2 8 9" xfId="47405"/>
    <cellStyle name="Heading 2 3 2 2 9" xfId="47406"/>
    <cellStyle name="Heading 2 3 2 2 9 2" xfId="47407"/>
    <cellStyle name="Heading 2 3 2 2 9 2 2" xfId="47408"/>
    <cellStyle name="Heading 2 3 2 2 9 3" xfId="47409"/>
    <cellStyle name="Heading 2 3 2 20" xfId="47410"/>
    <cellStyle name="Heading 2 3 2 20 2" xfId="47411"/>
    <cellStyle name="Heading 2 3 2 21" xfId="47412"/>
    <cellStyle name="Heading 2 3 2 21 2" xfId="47413"/>
    <cellStyle name="Heading 2 3 2 22" xfId="47414"/>
    <cellStyle name="Heading 2 3 2 22 2" xfId="47415"/>
    <cellStyle name="Heading 2 3 2 23" xfId="47416"/>
    <cellStyle name="Heading 2 3 2 3" xfId="47417"/>
    <cellStyle name="Heading 2 3 2 3 2" xfId="47418"/>
    <cellStyle name="Heading 2 3 2 3 2 2" xfId="47419"/>
    <cellStyle name="Heading 2 3 2 3 2 2 2" xfId="47420"/>
    <cellStyle name="Heading 2 3 2 3 2 3" xfId="47421"/>
    <cellStyle name="Heading 2 3 2 3 3" xfId="47422"/>
    <cellStyle name="Heading 2 3 2 3 3 2" xfId="47423"/>
    <cellStyle name="Heading 2 3 2 3 3 2 2" xfId="47424"/>
    <cellStyle name="Heading 2 3 2 3 3 3" xfId="47425"/>
    <cellStyle name="Heading 2 3 2 3 4" xfId="47426"/>
    <cellStyle name="Heading 2 3 2 3 4 2" xfId="47427"/>
    <cellStyle name="Heading 2 3 2 3 4 2 2" xfId="47428"/>
    <cellStyle name="Heading 2 3 2 3 4 3" xfId="47429"/>
    <cellStyle name="Heading 2 3 2 3 5" xfId="47430"/>
    <cellStyle name="Heading 2 3 2 3 5 2" xfId="47431"/>
    <cellStyle name="Heading 2 3 2 3 5 2 2" xfId="47432"/>
    <cellStyle name="Heading 2 3 2 3 5 3" xfId="47433"/>
    <cellStyle name="Heading 2 3 2 3 6" xfId="47434"/>
    <cellStyle name="Heading 2 3 2 3 6 2" xfId="47435"/>
    <cellStyle name="Heading 2 3 2 3 6 2 2" xfId="47436"/>
    <cellStyle name="Heading 2 3 2 3 6 3" xfId="47437"/>
    <cellStyle name="Heading 2 3 2 3 7" xfId="47438"/>
    <cellStyle name="Heading 2 3 2 3 7 2" xfId="47439"/>
    <cellStyle name="Heading 2 3 2 3 7 2 2" xfId="47440"/>
    <cellStyle name="Heading 2 3 2 3 7 3" xfId="47441"/>
    <cellStyle name="Heading 2 3 2 3 8" xfId="47442"/>
    <cellStyle name="Heading 2 3 2 3 8 2" xfId="47443"/>
    <cellStyle name="Heading 2 3 2 3 9" xfId="47444"/>
    <cellStyle name="Heading 2 3 2 4" xfId="47445"/>
    <cellStyle name="Heading 2 3 2 4 2" xfId="47446"/>
    <cellStyle name="Heading 2 3 2 4 2 2" xfId="47447"/>
    <cellStyle name="Heading 2 3 2 4 2 2 2" xfId="47448"/>
    <cellStyle name="Heading 2 3 2 4 2 3" xfId="47449"/>
    <cellStyle name="Heading 2 3 2 4 3" xfId="47450"/>
    <cellStyle name="Heading 2 3 2 4 3 2" xfId="47451"/>
    <cellStyle name="Heading 2 3 2 4 3 2 2" xfId="47452"/>
    <cellStyle name="Heading 2 3 2 4 3 3" xfId="47453"/>
    <cellStyle name="Heading 2 3 2 4 4" xfId="47454"/>
    <cellStyle name="Heading 2 3 2 4 4 2" xfId="47455"/>
    <cellStyle name="Heading 2 3 2 4 4 2 2" xfId="47456"/>
    <cellStyle name="Heading 2 3 2 4 4 3" xfId="47457"/>
    <cellStyle name="Heading 2 3 2 4 5" xfId="47458"/>
    <cellStyle name="Heading 2 3 2 4 5 2" xfId="47459"/>
    <cellStyle name="Heading 2 3 2 4 5 2 2" xfId="47460"/>
    <cellStyle name="Heading 2 3 2 4 5 3" xfId="47461"/>
    <cellStyle name="Heading 2 3 2 4 6" xfId="47462"/>
    <cellStyle name="Heading 2 3 2 4 6 2" xfId="47463"/>
    <cellStyle name="Heading 2 3 2 4 6 2 2" xfId="47464"/>
    <cellStyle name="Heading 2 3 2 4 6 3" xfId="47465"/>
    <cellStyle name="Heading 2 3 2 4 7" xfId="47466"/>
    <cellStyle name="Heading 2 3 2 4 7 2" xfId="47467"/>
    <cellStyle name="Heading 2 3 2 4 7 2 2" xfId="47468"/>
    <cellStyle name="Heading 2 3 2 4 7 3" xfId="47469"/>
    <cellStyle name="Heading 2 3 2 4 8" xfId="47470"/>
    <cellStyle name="Heading 2 3 2 4 8 2" xfId="47471"/>
    <cellStyle name="Heading 2 3 2 4 9" xfId="47472"/>
    <cellStyle name="Heading 2 3 2 5" xfId="47473"/>
    <cellStyle name="Heading 2 3 2 5 2" xfId="47474"/>
    <cellStyle name="Heading 2 3 2 5 2 2" xfId="47475"/>
    <cellStyle name="Heading 2 3 2 5 2 2 2" xfId="47476"/>
    <cellStyle name="Heading 2 3 2 5 2 3" xfId="47477"/>
    <cellStyle name="Heading 2 3 2 5 3" xfId="47478"/>
    <cellStyle name="Heading 2 3 2 5 3 2" xfId="47479"/>
    <cellStyle name="Heading 2 3 2 5 3 2 2" xfId="47480"/>
    <cellStyle name="Heading 2 3 2 5 3 3" xfId="47481"/>
    <cellStyle name="Heading 2 3 2 5 4" xfId="47482"/>
    <cellStyle name="Heading 2 3 2 5 4 2" xfId="47483"/>
    <cellStyle name="Heading 2 3 2 5 4 2 2" xfId="47484"/>
    <cellStyle name="Heading 2 3 2 5 4 3" xfId="47485"/>
    <cellStyle name="Heading 2 3 2 5 5" xfId="47486"/>
    <cellStyle name="Heading 2 3 2 5 5 2" xfId="47487"/>
    <cellStyle name="Heading 2 3 2 5 5 2 2" xfId="47488"/>
    <cellStyle name="Heading 2 3 2 5 5 3" xfId="47489"/>
    <cellStyle name="Heading 2 3 2 5 6" xfId="47490"/>
    <cellStyle name="Heading 2 3 2 5 6 2" xfId="47491"/>
    <cellStyle name="Heading 2 3 2 5 6 2 2" xfId="47492"/>
    <cellStyle name="Heading 2 3 2 5 6 3" xfId="47493"/>
    <cellStyle name="Heading 2 3 2 5 7" xfId="47494"/>
    <cellStyle name="Heading 2 3 2 5 7 2" xfId="47495"/>
    <cellStyle name="Heading 2 3 2 5 7 2 2" xfId="47496"/>
    <cellStyle name="Heading 2 3 2 5 7 3" xfId="47497"/>
    <cellStyle name="Heading 2 3 2 5 8" xfId="47498"/>
    <cellStyle name="Heading 2 3 2 5 8 2" xfId="47499"/>
    <cellStyle name="Heading 2 3 2 5 9" xfId="47500"/>
    <cellStyle name="Heading 2 3 2 6" xfId="47501"/>
    <cellStyle name="Heading 2 3 2 6 2" xfId="47502"/>
    <cellStyle name="Heading 2 3 2 6 2 2" xfId="47503"/>
    <cellStyle name="Heading 2 3 2 6 2 2 2" xfId="47504"/>
    <cellStyle name="Heading 2 3 2 6 2 3" xfId="47505"/>
    <cellStyle name="Heading 2 3 2 6 3" xfId="47506"/>
    <cellStyle name="Heading 2 3 2 6 3 2" xfId="47507"/>
    <cellStyle name="Heading 2 3 2 6 3 2 2" xfId="47508"/>
    <cellStyle name="Heading 2 3 2 6 3 3" xfId="47509"/>
    <cellStyle name="Heading 2 3 2 6 4" xfId="47510"/>
    <cellStyle name="Heading 2 3 2 6 4 2" xfId="47511"/>
    <cellStyle name="Heading 2 3 2 6 4 2 2" xfId="47512"/>
    <cellStyle name="Heading 2 3 2 6 4 3" xfId="47513"/>
    <cellStyle name="Heading 2 3 2 6 5" xfId="47514"/>
    <cellStyle name="Heading 2 3 2 6 5 2" xfId="47515"/>
    <cellStyle name="Heading 2 3 2 6 5 2 2" xfId="47516"/>
    <cellStyle name="Heading 2 3 2 6 5 3" xfId="47517"/>
    <cellStyle name="Heading 2 3 2 6 6" xfId="47518"/>
    <cellStyle name="Heading 2 3 2 6 6 2" xfId="47519"/>
    <cellStyle name="Heading 2 3 2 6 6 2 2" xfId="47520"/>
    <cellStyle name="Heading 2 3 2 6 6 3" xfId="47521"/>
    <cellStyle name="Heading 2 3 2 6 7" xfId="47522"/>
    <cellStyle name="Heading 2 3 2 6 7 2" xfId="47523"/>
    <cellStyle name="Heading 2 3 2 6 7 2 2" xfId="47524"/>
    <cellStyle name="Heading 2 3 2 6 7 3" xfId="47525"/>
    <cellStyle name="Heading 2 3 2 6 8" xfId="47526"/>
    <cellStyle name="Heading 2 3 2 6 8 2" xfId="47527"/>
    <cellStyle name="Heading 2 3 2 6 9" xfId="47528"/>
    <cellStyle name="Heading 2 3 2 7" xfId="47529"/>
    <cellStyle name="Heading 2 3 2 7 2" xfId="47530"/>
    <cellStyle name="Heading 2 3 2 7 2 2" xfId="47531"/>
    <cellStyle name="Heading 2 3 2 7 2 2 2" xfId="47532"/>
    <cellStyle name="Heading 2 3 2 7 2 3" xfId="47533"/>
    <cellStyle name="Heading 2 3 2 7 3" xfId="47534"/>
    <cellStyle name="Heading 2 3 2 7 3 2" xfId="47535"/>
    <cellStyle name="Heading 2 3 2 7 3 2 2" xfId="47536"/>
    <cellStyle name="Heading 2 3 2 7 3 3" xfId="47537"/>
    <cellStyle name="Heading 2 3 2 7 4" xfId="47538"/>
    <cellStyle name="Heading 2 3 2 7 4 2" xfId="47539"/>
    <cellStyle name="Heading 2 3 2 7 4 2 2" xfId="47540"/>
    <cellStyle name="Heading 2 3 2 7 4 3" xfId="47541"/>
    <cellStyle name="Heading 2 3 2 7 5" xfId="47542"/>
    <cellStyle name="Heading 2 3 2 7 5 2" xfId="47543"/>
    <cellStyle name="Heading 2 3 2 7 5 2 2" xfId="47544"/>
    <cellStyle name="Heading 2 3 2 7 5 3" xfId="47545"/>
    <cellStyle name="Heading 2 3 2 7 6" xfId="47546"/>
    <cellStyle name="Heading 2 3 2 7 6 2" xfId="47547"/>
    <cellStyle name="Heading 2 3 2 7 6 2 2" xfId="47548"/>
    <cellStyle name="Heading 2 3 2 7 6 3" xfId="47549"/>
    <cellStyle name="Heading 2 3 2 7 7" xfId="47550"/>
    <cellStyle name="Heading 2 3 2 7 7 2" xfId="47551"/>
    <cellStyle name="Heading 2 3 2 7 7 2 2" xfId="47552"/>
    <cellStyle name="Heading 2 3 2 7 7 3" xfId="47553"/>
    <cellStyle name="Heading 2 3 2 7 8" xfId="47554"/>
    <cellStyle name="Heading 2 3 2 7 8 2" xfId="47555"/>
    <cellStyle name="Heading 2 3 2 7 9" xfId="47556"/>
    <cellStyle name="Heading 2 3 2 8" xfId="47557"/>
    <cellStyle name="Heading 2 3 2 8 2" xfId="47558"/>
    <cellStyle name="Heading 2 3 2 8 2 2" xfId="47559"/>
    <cellStyle name="Heading 2 3 2 8 2 2 2" xfId="47560"/>
    <cellStyle name="Heading 2 3 2 8 2 3" xfId="47561"/>
    <cellStyle name="Heading 2 3 2 8 3" xfId="47562"/>
    <cellStyle name="Heading 2 3 2 8 3 2" xfId="47563"/>
    <cellStyle name="Heading 2 3 2 8 3 2 2" xfId="47564"/>
    <cellStyle name="Heading 2 3 2 8 3 3" xfId="47565"/>
    <cellStyle name="Heading 2 3 2 8 4" xfId="47566"/>
    <cellStyle name="Heading 2 3 2 8 4 2" xfId="47567"/>
    <cellStyle name="Heading 2 3 2 8 4 2 2" xfId="47568"/>
    <cellStyle name="Heading 2 3 2 8 4 3" xfId="47569"/>
    <cellStyle name="Heading 2 3 2 8 5" xfId="47570"/>
    <cellStyle name="Heading 2 3 2 8 5 2" xfId="47571"/>
    <cellStyle name="Heading 2 3 2 8 5 2 2" xfId="47572"/>
    <cellStyle name="Heading 2 3 2 8 5 3" xfId="47573"/>
    <cellStyle name="Heading 2 3 2 8 6" xfId="47574"/>
    <cellStyle name="Heading 2 3 2 8 6 2" xfId="47575"/>
    <cellStyle name="Heading 2 3 2 8 6 2 2" xfId="47576"/>
    <cellStyle name="Heading 2 3 2 8 6 3" xfId="47577"/>
    <cellStyle name="Heading 2 3 2 8 7" xfId="47578"/>
    <cellStyle name="Heading 2 3 2 8 7 2" xfId="47579"/>
    <cellStyle name="Heading 2 3 2 8 7 2 2" xfId="47580"/>
    <cellStyle name="Heading 2 3 2 8 7 3" xfId="47581"/>
    <cellStyle name="Heading 2 3 2 8 8" xfId="47582"/>
    <cellStyle name="Heading 2 3 2 8 8 2" xfId="47583"/>
    <cellStyle name="Heading 2 3 2 8 9" xfId="47584"/>
    <cellStyle name="Heading 2 3 2 9" xfId="47585"/>
    <cellStyle name="Heading 2 3 2 9 2" xfId="47586"/>
    <cellStyle name="Heading 2 3 2 9 2 2" xfId="47587"/>
    <cellStyle name="Heading 2 3 2 9 2 2 2" xfId="47588"/>
    <cellStyle name="Heading 2 3 2 9 2 3" xfId="47589"/>
    <cellStyle name="Heading 2 3 2 9 3" xfId="47590"/>
    <cellStyle name="Heading 2 3 2 9 3 2" xfId="47591"/>
    <cellStyle name="Heading 2 3 2 9 3 2 2" xfId="47592"/>
    <cellStyle name="Heading 2 3 2 9 3 3" xfId="47593"/>
    <cellStyle name="Heading 2 3 2 9 4" xfId="47594"/>
    <cellStyle name="Heading 2 3 2 9 4 2" xfId="47595"/>
    <cellStyle name="Heading 2 3 2 9 4 2 2" xfId="47596"/>
    <cellStyle name="Heading 2 3 2 9 4 3" xfId="47597"/>
    <cellStyle name="Heading 2 3 2 9 5" xfId="47598"/>
    <cellStyle name="Heading 2 3 2 9 5 2" xfId="47599"/>
    <cellStyle name="Heading 2 3 2 9 5 2 2" xfId="47600"/>
    <cellStyle name="Heading 2 3 2 9 5 3" xfId="47601"/>
    <cellStyle name="Heading 2 3 2 9 6" xfId="47602"/>
    <cellStyle name="Heading 2 3 2 9 6 2" xfId="47603"/>
    <cellStyle name="Heading 2 3 2 9 6 2 2" xfId="47604"/>
    <cellStyle name="Heading 2 3 2 9 6 3" xfId="47605"/>
    <cellStyle name="Heading 2 3 2 9 7" xfId="47606"/>
    <cellStyle name="Heading 2 3 2 9 7 2" xfId="47607"/>
    <cellStyle name="Heading 2 3 2 9 7 2 2" xfId="47608"/>
    <cellStyle name="Heading 2 3 2 9 7 3" xfId="47609"/>
    <cellStyle name="Heading 2 3 2 9 8" xfId="47610"/>
    <cellStyle name="Heading 2 3 2 9 8 2" xfId="47611"/>
    <cellStyle name="Heading 2 3 2 9 9" xfId="47612"/>
    <cellStyle name="Heading 2 3 3" xfId="47613"/>
    <cellStyle name="Heading 2 3 4" xfId="47614"/>
    <cellStyle name="Heading 2 4" xfId="47615"/>
    <cellStyle name="Heading 2 4 2" xfId="47616"/>
    <cellStyle name="Heading 2 5" xfId="47617"/>
    <cellStyle name="Heading 2 6" xfId="47618"/>
    <cellStyle name="Heading 2 6 2" xfId="47619"/>
    <cellStyle name="Heading 2 7" xfId="47620"/>
    <cellStyle name="Heading 2 8" xfId="47621"/>
    <cellStyle name="Heading 2 9" xfId="47622"/>
    <cellStyle name="Heading 3" xfId="12" builtinId="18" hidden="1"/>
    <cellStyle name="Heading 3 10" xfId="47623"/>
    <cellStyle name="Heading 3 2" xfId="47624"/>
    <cellStyle name="Heading 3 2 2" xfId="47625"/>
    <cellStyle name="Heading 3 2 2 2" xfId="47626"/>
    <cellStyle name="Heading 3 2 2 3" xfId="47627"/>
    <cellStyle name="Heading 3 2 3" xfId="47628"/>
    <cellStyle name="Heading 3 2 4" xfId="47629"/>
    <cellStyle name="Heading 3 3" xfId="47630"/>
    <cellStyle name="Heading 3 3 2" xfId="47631"/>
    <cellStyle name="Heading 3 3 3" xfId="47632"/>
    <cellStyle name="Heading 3 4" xfId="47633"/>
    <cellStyle name="Heading 3 4 2" xfId="47634"/>
    <cellStyle name="Heading 3 5" xfId="47635"/>
    <cellStyle name="Heading 3 6" xfId="47636"/>
    <cellStyle name="Heading 3 6 2" xfId="47637"/>
    <cellStyle name="Heading 3 7" xfId="47638"/>
    <cellStyle name="Heading 3 8" xfId="47639"/>
    <cellStyle name="Heading 3 9" xfId="47640"/>
    <cellStyle name="Heading 4" xfId="13" builtinId="19" hidden="1"/>
    <cellStyle name="Heading 4 10" xfId="47641"/>
    <cellStyle name="Heading 4 2" xfId="47642"/>
    <cellStyle name="Heading 4 2 2" xfId="47643"/>
    <cellStyle name="Heading 4 2 2 2" xfId="47644"/>
    <cellStyle name="Heading 4 2 2 3" xfId="47645"/>
    <cellStyle name="Heading 4 2 3" xfId="47646"/>
    <cellStyle name="Heading 4 2 4" xfId="47647"/>
    <cellStyle name="Heading 4 3" xfId="47648"/>
    <cellStyle name="Heading 4 3 2" xfId="47649"/>
    <cellStyle name="Heading 4 3 3" xfId="47650"/>
    <cellStyle name="Heading 4 4" xfId="47651"/>
    <cellStyle name="Heading 4 4 2" xfId="47652"/>
    <cellStyle name="Heading 4 5" xfId="47653"/>
    <cellStyle name="Heading 4 6" xfId="47654"/>
    <cellStyle name="Heading 4 6 2" xfId="47655"/>
    <cellStyle name="Heading 4 7" xfId="47656"/>
    <cellStyle name="Heading 4 8" xfId="47657"/>
    <cellStyle name="Heading 4 9" xfId="47658"/>
    <cellStyle name="Heading1" xfId="47659"/>
    <cellStyle name="Heading2" xfId="47660"/>
    <cellStyle name="HELV 9 - CTR" xfId="47661"/>
    <cellStyle name="HELV 9 - CTR 2" xfId="47662"/>
    <cellStyle name="HELV 9 - CTR 3" xfId="47663"/>
    <cellStyle name="Helvitica 10 ctr" xfId="47664"/>
    <cellStyle name="Helvitica 10 ctr 2" xfId="47665"/>
    <cellStyle name="Helvitica 10 ctr 3" xfId="47666"/>
    <cellStyle name="hrs" xfId="47667"/>
    <cellStyle name="Hyperlink" xfId="50" builtinId="8" hidden="1"/>
    <cellStyle name="Hyperlink" xfId="59064" builtinId="8"/>
    <cellStyle name="Hyperlink 2" xfId="47668"/>
    <cellStyle name="Hyperlink 2 2" xfId="47669"/>
    <cellStyle name="Hyperlink 2 2 2" xfId="47670"/>
    <cellStyle name="Hyperlink 2 2 3" xfId="47671"/>
    <cellStyle name="Hyperlink 2 3" xfId="47672"/>
    <cellStyle name="Hyperlink 2 4" xfId="47673"/>
    <cellStyle name="Hyperlink 2 5" xfId="47674"/>
    <cellStyle name="Hyperlink 3" xfId="47675"/>
    <cellStyle name="Hyperlink 3 2" xfId="47676"/>
    <cellStyle name="Hyperlink 3 3" xfId="47677"/>
    <cellStyle name="Input" xfId="17" builtinId="20" hidden="1"/>
    <cellStyle name="Input 10" xfId="47678"/>
    <cellStyle name="Input 2" xfId="47679"/>
    <cellStyle name="Input 2 10" xfId="47680"/>
    <cellStyle name="Input 2 2" xfId="47681"/>
    <cellStyle name="Input 2 2 2" xfId="47682"/>
    <cellStyle name="Input 2 2 2 2" xfId="47683"/>
    <cellStyle name="Input 2 2 3" xfId="47684"/>
    <cellStyle name="Input 2 2 3 2" xfId="47685"/>
    <cellStyle name="Input 2 2 4" xfId="47686"/>
    <cellStyle name="Input 2 2 4 2" xfId="47687"/>
    <cellStyle name="Input 2 2 5" xfId="47688"/>
    <cellStyle name="Input 2 2 5 2" xfId="47689"/>
    <cellStyle name="Input 2 2 6" xfId="47690"/>
    <cellStyle name="Input 2 2 6 2" xfId="47691"/>
    <cellStyle name="Input 2 2 7" xfId="47692"/>
    <cellStyle name="Input 2 2 7 2" xfId="47693"/>
    <cellStyle name="Input 2 2 8" xfId="47694"/>
    <cellStyle name="Input 2 2 8 2" xfId="47695"/>
    <cellStyle name="Input 2 2 9" xfId="47696"/>
    <cellStyle name="Input 2 3" xfId="47697"/>
    <cellStyle name="Input 2 3 2" xfId="47698"/>
    <cellStyle name="Input 2 4" xfId="47699"/>
    <cellStyle name="Input 2 4 2" xfId="47700"/>
    <cellStyle name="Input 2 5" xfId="47701"/>
    <cellStyle name="Input 2 5 2" xfId="47702"/>
    <cellStyle name="Input 2 6" xfId="47703"/>
    <cellStyle name="Input 2 6 2" xfId="47704"/>
    <cellStyle name="Input 2 7" xfId="47705"/>
    <cellStyle name="Input 2 7 2" xfId="47706"/>
    <cellStyle name="Input 2 8" xfId="47707"/>
    <cellStyle name="Input 2 8 2" xfId="47708"/>
    <cellStyle name="Input 2 9" xfId="47709"/>
    <cellStyle name="Input 2 9 2" xfId="47710"/>
    <cellStyle name="Input 3" xfId="47711"/>
    <cellStyle name="Input 3 10" xfId="47712"/>
    <cellStyle name="Input 3 2" xfId="47713"/>
    <cellStyle name="Input 3 2 2" xfId="47714"/>
    <cellStyle name="Input 3 2 2 2" xfId="47715"/>
    <cellStyle name="Input 3 2 2 3" xfId="47716"/>
    <cellStyle name="Input 3 2 2 4" xfId="47717"/>
    <cellStyle name="Input 3 2 3" xfId="47718"/>
    <cellStyle name="Input 3 2 3 2" xfId="47719"/>
    <cellStyle name="Input 3 2 4" xfId="47720"/>
    <cellStyle name="Input 3 2 4 2" xfId="47721"/>
    <cellStyle name="Input 3 2 5" xfId="47722"/>
    <cellStyle name="Input 3 3" xfId="47723"/>
    <cellStyle name="Input 3 3 2" xfId="47724"/>
    <cellStyle name="Input 3 3 2 2" xfId="47725"/>
    <cellStyle name="Input 3 3 2 3" xfId="47726"/>
    <cellStyle name="Input 3 3 2 4" xfId="47727"/>
    <cellStyle name="Input 3 3 3" xfId="47728"/>
    <cellStyle name="Input 3 3 3 2" xfId="47729"/>
    <cellStyle name="Input 3 3 4" xfId="47730"/>
    <cellStyle name="Input 3 3 4 2" xfId="47731"/>
    <cellStyle name="Input 3 3 5" xfId="47732"/>
    <cellStyle name="Input 3 4" xfId="47733"/>
    <cellStyle name="Input 3 4 2" xfId="47734"/>
    <cellStyle name="Input 3 4 2 2" xfId="47735"/>
    <cellStyle name="Input 3 4 2 3" xfId="47736"/>
    <cellStyle name="Input 3 4 2 4" xfId="47737"/>
    <cellStyle name="Input 3 4 3" xfId="47738"/>
    <cellStyle name="Input 3 4 3 2" xfId="47739"/>
    <cellStyle name="Input 3 4 4" xfId="47740"/>
    <cellStyle name="Input 3 4 4 2" xfId="47741"/>
    <cellStyle name="Input 3 4 5" xfId="47742"/>
    <cellStyle name="Input 3 5" xfId="47743"/>
    <cellStyle name="Input 3 5 2" xfId="47744"/>
    <cellStyle name="Input 3 5 2 2" xfId="47745"/>
    <cellStyle name="Input 3 5 2 3" xfId="47746"/>
    <cellStyle name="Input 3 5 2 4" xfId="47747"/>
    <cellStyle name="Input 3 5 3" xfId="47748"/>
    <cellStyle name="Input 3 5 3 2" xfId="47749"/>
    <cellStyle name="Input 3 5 4" xfId="47750"/>
    <cellStyle name="Input 3 5 4 2" xfId="47751"/>
    <cellStyle name="Input 3 5 5" xfId="47752"/>
    <cellStyle name="Input 3 6" xfId="47753"/>
    <cellStyle name="Input 3 6 2" xfId="47754"/>
    <cellStyle name="Input 3 6 2 2" xfId="47755"/>
    <cellStyle name="Input 3 6 2 3" xfId="47756"/>
    <cellStyle name="Input 3 6 2 4" xfId="47757"/>
    <cellStyle name="Input 3 6 3" xfId="47758"/>
    <cellStyle name="Input 3 6 3 2" xfId="47759"/>
    <cellStyle name="Input 3 6 4" xfId="47760"/>
    <cellStyle name="Input 3 6 4 2" xfId="47761"/>
    <cellStyle name="Input 3 6 5" xfId="47762"/>
    <cellStyle name="Input 3 7" xfId="47763"/>
    <cellStyle name="Input 3 7 2" xfId="47764"/>
    <cellStyle name="Input 3 7 3" xfId="47765"/>
    <cellStyle name="Input 3 7 4" xfId="47766"/>
    <cellStyle name="Input 3 8" xfId="47767"/>
    <cellStyle name="Input 3 8 2" xfId="47768"/>
    <cellStyle name="Input 3 9" xfId="47769"/>
    <cellStyle name="Input 3 9 2" xfId="47770"/>
    <cellStyle name="Input 4" xfId="47771"/>
    <cellStyle name="Input 4 2" xfId="47772"/>
    <cellStyle name="Input 4 2 2" xfId="47773"/>
    <cellStyle name="Input 4 2 3" xfId="47774"/>
    <cellStyle name="Input 4 2 4" xfId="47775"/>
    <cellStyle name="Input 4 3" xfId="47776"/>
    <cellStyle name="Input 4 3 2" xfId="47777"/>
    <cellStyle name="Input 4 4" xfId="47778"/>
    <cellStyle name="Input 4 4 2" xfId="47779"/>
    <cellStyle name="Input 4 5" xfId="47780"/>
    <cellStyle name="Input 5" xfId="47781"/>
    <cellStyle name="Input 5 2" xfId="47782"/>
    <cellStyle name="Input 5 3" xfId="47783"/>
    <cellStyle name="Input 6" xfId="47784"/>
    <cellStyle name="Input 7" xfId="47785"/>
    <cellStyle name="Input 7 2" xfId="47786"/>
    <cellStyle name="Input 7 3" xfId="47787"/>
    <cellStyle name="Input 8" xfId="47788"/>
    <cellStyle name="Input 8 2" xfId="47789"/>
    <cellStyle name="Input 9" xfId="47790"/>
    <cellStyle name="is file was generated by INIMAN version 5.5 _x000d__x000a_; C:\WINDOWS\WIN.INI created 09/30/97 at 1:52am_x000d__x000a_;_x000d__x000a__x000d__x000a_[win" xfId="59068"/>
    <cellStyle name="Link Currency (0)" xfId="47791"/>
    <cellStyle name="Link Currency (2)" xfId="47792"/>
    <cellStyle name="Link Units (0)" xfId="47793"/>
    <cellStyle name="Link Units (1)" xfId="47794"/>
    <cellStyle name="Link Units (2)" xfId="47795"/>
    <cellStyle name="Linked Cell" xfId="20" builtinId="24" hidden="1"/>
    <cellStyle name="Linked Cell 10" xfId="47796"/>
    <cellStyle name="Linked Cell 2" xfId="47797"/>
    <cellStyle name="Linked Cell 2 2" xfId="47798"/>
    <cellStyle name="Linked Cell 2 2 2" xfId="47799"/>
    <cellStyle name="Linked Cell 2 2 3" xfId="47800"/>
    <cellStyle name="Linked Cell 2 3" xfId="47801"/>
    <cellStyle name="Linked Cell 2 4" xfId="47802"/>
    <cellStyle name="Linked Cell 3" xfId="47803"/>
    <cellStyle name="Linked Cell 3 2" xfId="47804"/>
    <cellStyle name="Linked Cell 3 3" xfId="47805"/>
    <cellStyle name="Linked Cell 4" xfId="47806"/>
    <cellStyle name="Linked Cell 4 2" xfId="47807"/>
    <cellStyle name="Linked Cell 5" xfId="47808"/>
    <cellStyle name="Linked Cell 6" xfId="47809"/>
    <cellStyle name="Linked Cell 6 2" xfId="47810"/>
    <cellStyle name="Linked Cell 7" xfId="47811"/>
    <cellStyle name="Linked Cell 8" xfId="47812"/>
    <cellStyle name="Linked Cell 9" xfId="47813"/>
    <cellStyle name="miltime" xfId="47814"/>
    <cellStyle name="Muller preference" xfId="47815"/>
    <cellStyle name="Neutral" xfId="16" builtinId="28" hidden="1"/>
    <cellStyle name="Neutral 10" xfId="47816"/>
    <cellStyle name="Neutral 2" xfId="47817"/>
    <cellStyle name="Neutral 2 2" xfId="47818"/>
    <cellStyle name="Neutral 2 2 2" xfId="47819"/>
    <cellStyle name="Neutral 2 2 3" xfId="47820"/>
    <cellStyle name="Neutral 2 3" xfId="47821"/>
    <cellStyle name="Neutral 2 4" xfId="47822"/>
    <cellStyle name="Neutral 3" xfId="47823"/>
    <cellStyle name="Neutral 3 2" xfId="47824"/>
    <cellStyle name="Neutral 3 3" xfId="47825"/>
    <cellStyle name="Neutral 4" xfId="47826"/>
    <cellStyle name="Neutral 4 2" xfId="47827"/>
    <cellStyle name="Neutral 5" xfId="47828"/>
    <cellStyle name="Neutral 6" xfId="47829"/>
    <cellStyle name="Neutral 6 2" xfId="47830"/>
    <cellStyle name="Neutral 7" xfId="47831"/>
    <cellStyle name="Neutral 8" xfId="47832"/>
    <cellStyle name="Neutral 9" xfId="47833"/>
    <cellStyle name="Nor" xfId="47834"/>
    <cellStyle name="Normal" xfId="0" builtinId="0"/>
    <cellStyle name="Normal - Style1" xfId="47835"/>
    <cellStyle name="Normal - Style5" xfId="47836"/>
    <cellStyle name="Normal - Style5 2" xfId="47837"/>
    <cellStyle name="Normal - Style5 2 2" xfId="47838"/>
    <cellStyle name="Normal - Style5 2 3" xfId="47839"/>
    <cellStyle name="Normal - Style5 3" xfId="47840"/>
    <cellStyle name="Normal - Style5 4" xfId="47841"/>
    <cellStyle name="Normal 10" xfId="47842"/>
    <cellStyle name="Normal 10 10" xfId="47843"/>
    <cellStyle name="Normal 10 11" xfId="47844"/>
    <cellStyle name="Normal 10 12" xfId="47845"/>
    <cellStyle name="Normal 10 2" xfId="47846"/>
    <cellStyle name="Normal 10 2 10" xfId="47847"/>
    <cellStyle name="Normal 10 2 2" xfId="47848"/>
    <cellStyle name="Normal 10 2 2 2" xfId="47849"/>
    <cellStyle name="Normal 10 2 2 2 2" xfId="47850"/>
    <cellStyle name="Normal 10 2 2 2 2 2" xfId="47851"/>
    <cellStyle name="Normal 10 2 2 2 2 2 2" xfId="47852"/>
    <cellStyle name="Normal 10 2 2 2 2 2 2 2" xfId="47853"/>
    <cellStyle name="Normal 10 2 2 2 2 2 2 2 2" xfId="47854"/>
    <cellStyle name="Normal 10 2 2 2 2 2 2 3" xfId="47855"/>
    <cellStyle name="Normal 10 2 2 2 2 2 3" xfId="47856"/>
    <cellStyle name="Normal 10 2 2 2 2 2 3 2" xfId="47857"/>
    <cellStyle name="Normal 10 2 2 2 2 2 3 2 2" xfId="47858"/>
    <cellStyle name="Normal 10 2 2 2 2 2 3 3" xfId="47859"/>
    <cellStyle name="Normal 10 2 2 2 2 2 4" xfId="47860"/>
    <cellStyle name="Normal 10 2 2 2 2 2 4 2" xfId="47861"/>
    <cellStyle name="Normal 10 2 2 2 2 2 5" xfId="47862"/>
    <cellStyle name="Normal 10 2 2 2 2 3" xfId="47863"/>
    <cellStyle name="Normal 10 2 2 2 2 3 2" xfId="47864"/>
    <cellStyle name="Normal 10 2 2 2 2 3 2 2" xfId="47865"/>
    <cellStyle name="Normal 10 2 2 2 2 3 2 2 2" xfId="47866"/>
    <cellStyle name="Normal 10 2 2 2 2 3 2 3" xfId="47867"/>
    <cellStyle name="Normal 10 2 2 2 2 3 3" xfId="47868"/>
    <cellStyle name="Normal 10 2 2 2 2 3 3 2" xfId="47869"/>
    <cellStyle name="Normal 10 2 2 2 2 3 3 2 2" xfId="47870"/>
    <cellStyle name="Normal 10 2 2 2 2 3 3 3" xfId="47871"/>
    <cellStyle name="Normal 10 2 2 2 2 3 4" xfId="47872"/>
    <cellStyle name="Normal 10 2 2 2 2 3 4 2" xfId="47873"/>
    <cellStyle name="Normal 10 2 2 2 2 3 5" xfId="47874"/>
    <cellStyle name="Normal 10 2 2 2 2 4" xfId="47875"/>
    <cellStyle name="Normal 10 2 2 2 2 4 2" xfId="47876"/>
    <cellStyle name="Normal 10 2 2 2 2 4 2 2" xfId="47877"/>
    <cellStyle name="Normal 10 2 2 2 2 4 3" xfId="47878"/>
    <cellStyle name="Normal 10 2 2 2 2 5" xfId="47879"/>
    <cellStyle name="Normal 10 2 2 2 2 5 2" xfId="47880"/>
    <cellStyle name="Normal 10 2 2 2 2 5 2 2" xfId="47881"/>
    <cellStyle name="Normal 10 2 2 2 2 5 3" xfId="47882"/>
    <cellStyle name="Normal 10 2 2 2 2 6" xfId="47883"/>
    <cellStyle name="Normal 10 2 2 2 2 6 2" xfId="47884"/>
    <cellStyle name="Normal 10 2 2 2 2 7" xfId="47885"/>
    <cellStyle name="Normal 10 2 2 2 3" xfId="47886"/>
    <cellStyle name="Normal 10 2 2 2 3 2" xfId="47887"/>
    <cellStyle name="Normal 10 2 2 2 3 2 2" xfId="47888"/>
    <cellStyle name="Normal 10 2 2 2 3 3" xfId="47889"/>
    <cellStyle name="Normal 10 2 2 2 4" xfId="47890"/>
    <cellStyle name="Normal 10 2 2 2 4 2" xfId="47891"/>
    <cellStyle name="Normal 10 2 2 2 4 2 2" xfId="47892"/>
    <cellStyle name="Normal 10 2 2 2 4 3" xfId="47893"/>
    <cellStyle name="Normal 10 2 2 2 5" xfId="47894"/>
    <cellStyle name="Normal 10 2 2 2 5 2" xfId="47895"/>
    <cellStyle name="Normal 10 2 2 2 6" xfId="47896"/>
    <cellStyle name="Normal 10 2 2 3" xfId="47897"/>
    <cellStyle name="Normal 10 2 2 3 2" xfId="47898"/>
    <cellStyle name="Normal 10 2 2 3 2 2" xfId="47899"/>
    <cellStyle name="Normal 10 2 2 3 2 2 2" xfId="47900"/>
    <cellStyle name="Normal 10 2 2 3 2 2 3" xfId="47901"/>
    <cellStyle name="Normal 10 2 2 3 2 3" xfId="47902"/>
    <cellStyle name="Normal 10 2 2 3 2 4" xfId="47903"/>
    <cellStyle name="Normal 10 2 2 3 3" xfId="47904"/>
    <cellStyle name="Normal 10 2 2 3 3 2" xfId="47905"/>
    <cellStyle name="Normal 10 2 2 3 3 3" xfId="47906"/>
    <cellStyle name="Normal 10 2 2 3 4" xfId="47907"/>
    <cellStyle name="Normal 10 2 2 3 4 2" xfId="47908"/>
    <cellStyle name="Normal 10 2 2 3 4 3" xfId="47909"/>
    <cellStyle name="Normal 10 2 2 3 5" xfId="47910"/>
    <cellStyle name="Normal 10 2 2 3 6" xfId="47911"/>
    <cellStyle name="Normal 10 2 2 4" xfId="47912"/>
    <cellStyle name="Normal 10 2 2 4 2" xfId="47913"/>
    <cellStyle name="Normal 10 2 2 4 2 2" xfId="47914"/>
    <cellStyle name="Normal 10 2 2 4 2 3" xfId="47915"/>
    <cellStyle name="Normal 10 2 2 4 3" xfId="47916"/>
    <cellStyle name="Normal 10 2 2 4 4" xfId="47917"/>
    <cellStyle name="Normal 10 2 2 5" xfId="47918"/>
    <cellStyle name="Normal 10 2 2 5 2" xfId="47919"/>
    <cellStyle name="Normal 10 2 2 5 3" xfId="47920"/>
    <cellStyle name="Normal 10 2 2 6" xfId="47921"/>
    <cellStyle name="Normal 10 2 2 6 2" xfId="47922"/>
    <cellStyle name="Normal 10 2 2 6 3" xfId="47923"/>
    <cellStyle name="Normal 10 2 2 7" xfId="47924"/>
    <cellStyle name="Normal 10 2 2 8" xfId="47925"/>
    <cellStyle name="Normal 10 2 3" xfId="47926"/>
    <cellStyle name="Normal 10 2 3 2" xfId="47927"/>
    <cellStyle name="Normal 10 2 3 2 2" xfId="47928"/>
    <cellStyle name="Normal 10 2 3 2 2 2" xfId="47929"/>
    <cellStyle name="Normal 10 2 3 2 2 2 2" xfId="47930"/>
    <cellStyle name="Normal 10 2 3 2 2 2 2 2" xfId="47931"/>
    <cellStyle name="Normal 10 2 3 2 2 2 2 2 2" xfId="47932"/>
    <cellStyle name="Normal 10 2 3 2 2 2 2 3" xfId="47933"/>
    <cellStyle name="Normal 10 2 3 2 2 2 3" xfId="47934"/>
    <cellStyle name="Normal 10 2 3 2 2 2 3 2" xfId="47935"/>
    <cellStyle name="Normal 10 2 3 2 2 2 3 2 2" xfId="47936"/>
    <cellStyle name="Normal 10 2 3 2 2 2 3 3" xfId="47937"/>
    <cellStyle name="Normal 10 2 3 2 2 2 4" xfId="47938"/>
    <cellStyle name="Normal 10 2 3 2 2 2 4 2" xfId="47939"/>
    <cellStyle name="Normal 10 2 3 2 2 2 5" xfId="47940"/>
    <cellStyle name="Normal 10 2 3 2 2 3" xfId="47941"/>
    <cellStyle name="Normal 10 2 3 2 2 3 2" xfId="47942"/>
    <cellStyle name="Normal 10 2 3 2 2 3 2 2" xfId="47943"/>
    <cellStyle name="Normal 10 2 3 2 2 3 3" xfId="47944"/>
    <cellStyle name="Normal 10 2 3 2 2 4" xfId="47945"/>
    <cellStyle name="Normal 10 2 3 2 2 4 2" xfId="47946"/>
    <cellStyle name="Normal 10 2 3 2 2 4 2 2" xfId="47947"/>
    <cellStyle name="Normal 10 2 3 2 2 4 3" xfId="47948"/>
    <cellStyle name="Normal 10 2 3 2 2 5" xfId="47949"/>
    <cellStyle name="Normal 10 2 3 2 2 5 2" xfId="47950"/>
    <cellStyle name="Normal 10 2 3 2 2 6" xfId="47951"/>
    <cellStyle name="Normal 10 2 3 2 3" xfId="47952"/>
    <cellStyle name="Normal 10 2 3 2 3 2" xfId="47953"/>
    <cellStyle name="Normal 10 2 3 2 3 2 2" xfId="47954"/>
    <cellStyle name="Normal 10 2 3 2 3 3" xfId="47955"/>
    <cellStyle name="Normal 10 2 3 2 4" xfId="47956"/>
    <cellStyle name="Normal 10 2 3 2 4 2" xfId="47957"/>
    <cellStyle name="Normal 10 2 3 2 4 2 2" xfId="47958"/>
    <cellStyle name="Normal 10 2 3 2 4 3" xfId="47959"/>
    <cellStyle name="Normal 10 2 3 2 5" xfId="47960"/>
    <cellStyle name="Normal 10 2 3 2 5 2" xfId="47961"/>
    <cellStyle name="Normal 10 2 3 2 6" xfId="47962"/>
    <cellStyle name="Normal 10 2 3 3" xfId="47963"/>
    <cellStyle name="Normal 10 2 3 3 2" xfId="47964"/>
    <cellStyle name="Normal 10 2 3 3 2 2" xfId="47965"/>
    <cellStyle name="Normal 10 2 3 3 3" xfId="47966"/>
    <cellStyle name="Normal 10 2 3 4" xfId="47967"/>
    <cellStyle name="Normal 10 2 3 4 2" xfId="47968"/>
    <cellStyle name="Normal 10 2 3 4 2 2" xfId="47969"/>
    <cellStyle name="Normal 10 2 3 4 3" xfId="47970"/>
    <cellStyle name="Normal 10 2 3 5" xfId="47971"/>
    <cellStyle name="Normal 10 2 3 5 2" xfId="47972"/>
    <cellStyle name="Normal 10 2 3 6" xfId="47973"/>
    <cellStyle name="Normal 10 2 4" xfId="47974"/>
    <cellStyle name="Normal 10 2 4 2" xfId="47975"/>
    <cellStyle name="Normal 10 2 4 2 2" xfId="47976"/>
    <cellStyle name="Normal 10 2 4 2 2 2" xfId="47977"/>
    <cellStyle name="Normal 10 2 4 2 2 3" xfId="47978"/>
    <cellStyle name="Normal 10 2 4 2 3" xfId="47979"/>
    <cellStyle name="Normal 10 2 4 2 4" xfId="47980"/>
    <cellStyle name="Normal 10 2 4 3" xfId="47981"/>
    <cellStyle name="Normal 10 2 4 3 2" xfId="47982"/>
    <cellStyle name="Normal 10 2 4 3 3" xfId="47983"/>
    <cellStyle name="Normal 10 2 4 4" xfId="47984"/>
    <cellStyle name="Normal 10 2 4 4 2" xfId="47985"/>
    <cellStyle name="Normal 10 2 4 4 3" xfId="47986"/>
    <cellStyle name="Normal 10 2 4 5" xfId="47987"/>
    <cellStyle name="Normal 10 2 4 6" xfId="47988"/>
    <cellStyle name="Normal 10 2 5" xfId="47989"/>
    <cellStyle name="Normal 10 2 5 2" xfId="47990"/>
    <cellStyle name="Normal 10 2 5 2 2" xfId="47991"/>
    <cellStyle name="Normal 10 2 5 2 3" xfId="47992"/>
    <cellStyle name="Normal 10 2 5 3" xfId="47993"/>
    <cellStyle name="Normal 10 2 5 4" xfId="47994"/>
    <cellStyle name="Normal 10 2 6" xfId="47995"/>
    <cellStyle name="Normal 10 2 6 2" xfId="47996"/>
    <cellStyle name="Normal 10 2 6 2 2" xfId="47997"/>
    <cellStyle name="Normal 10 2 6 2 3" xfId="47998"/>
    <cellStyle name="Normal 10 2 6 3" xfId="47999"/>
    <cellStyle name="Normal 10 2 6 4" xfId="48000"/>
    <cellStyle name="Normal 10 2 7" xfId="48001"/>
    <cellStyle name="Normal 10 2 7 2" xfId="48002"/>
    <cellStyle name="Normal 10 2 7 3" xfId="48003"/>
    <cellStyle name="Normal 10 2 8" xfId="48004"/>
    <cellStyle name="Normal 10 2 8 2" xfId="48005"/>
    <cellStyle name="Normal 10 2 8 3" xfId="48006"/>
    <cellStyle name="Normal 10 2 9" xfId="48007"/>
    <cellStyle name="Normal 10 3" xfId="48008"/>
    <cellStyle name="Normal 10 3 2" xfId="48009"/>
    <cellStyle name="Normal 10 3 2 2" xfId="48010"/>
    <cellStyle name="Normal 10 3 2 2 2" xfId="48011"/>
    <cellStyle name="Normal 10 3 2 2 2 2" xfId="48012"/>
    <cellStyle name="Normal 10 3 2 2 2 3" xfId="48013"/>
    <cellStyle name="Normal 10 3 2 2 3" xfId="48014"/>
    <cellStyle name="Normal 10 3 2 2 4" xfId="48015"/>
    <cellStyle name="Normal 10 3 2 3" xfId="48016"/>
    <cellStyle name="Normal 10 3 2 3 2" xfId="48017"/>
    <cellStyle name="Normal 10 3 2 3 3" xfId="48018"/>
    <cellStyle name="Normal 10 3 2 4" xfId="48019"/>
    <cellStyle name="Normal 10 3 2 4 2" xfId="48020"/>
    <cellStyle name="Normal 10 3 2 4 3" xfId="48021"/>
    <cellStyle name="Normal 10 3 2 5" xfId="48022"/>
    <cellStyle name="Normal 10 3 2 6" xfId="48023"/>
    <cellStyle name="Normal 10 3 3" xfId="48024"/>
    <cellStyle name="Normal 10 3 3 2" xfId="48025"/>
    <cellStyle name="Normal 10 3 3 2 2" xfId="48026"/>
    <cellStyle name="Normal 10 3 3 2 2 2" xfId="48027"/>
    <cellStyle name="Normal 10 3 3 2 2 3" xfId="48028"/>
    <cellStyle name="Normal 10 3 3 2 3" xfId="48029"/>
    <cellStyle name="Normal 10 3 3 2 4" xfId="48030"/>
    <cellStyle name="Normal 10 3 3 3" xfId="48031"/>
    <cellStyle name="Normal 10 3 3 3 2" xfId="48032"/>
    <cellStyle name="Normal 10 3 3 3 3" xfId="48033"/>
    <cellStyle name="Normal 10 3 3 4" xfId="48034"/>
    <cellStyle name="Normal 10 3 3 4 2" xfId="48035"/>
    <cellStyle name="Normal 10 3 3 4 3" xfId="48036"/>
    <cellStyle name="Normal 10 3 3 5" xfId="48037"/>
    <cellStyle name="Normal 10 3 3 6" xfId="48038"/>
    <cellStyle name="Normal 10 3 4" xfId="48039"/>
    <cellStyle name="Normal 10 3 4 2" xfId="48040"/>
    <cellStyle name="Normal 10 3 4 2 2" xfId="48041"/>
    <cellStyle name="Normal 10 3 4 2 3" xfId="48042"/>
    <cellStyle name="Normal 10 3 4 3" xfId="48043"/>
    <cellStyle name="Normal 10 3 4 4" xfId="48044"/>
    <cellStyle name="Normal 10 3 5" xfId="48045"/>
    <cellStyle name="Normal 10 3 5 2" xfId="48046"/>
    <cellStyle name="Normal 10 3 5 3" xfId="48047"/>
    <cellStyle name="Normal 10 3 6" xfId="48048"/>
    <cellStyle name="Normal 10 3 6 2" xfId="48049"/>
    <cellStyle name="Normal 10 3 6 3" xfId="48050"/>
    <cellStyle name="Normal 10 3 7" xfId="48051"/>
    <cellStyle name="Normal 10 3 8" xfId="48052"/>
    <cellStyle name="Normal 10 4" xfId="48053"/>
    <cellStyle name="Normal 10 4 2" xfId="48054"/>
    <cellStyle name="Normal 10 4 2 2" xfId="48055"/>
    <cellStyle name="Normal 10 4 2 2 2" xfId="48056"/>
    <cellStyle name="Normal 10 4 2 2 3" xfId="48057"/>
    <cellStyle name="Normal 10 4 2 3" xfId="48058"/>
    <cellStyle name="Normal 10 4 2 4" xfId="48059"/>
    <cellStyle name="Normal 10 4 3" xfId="48060"/>
    <cellStyle name="Normal 10 4 3 2" xfId="48061"/>
    <cellStyle name="Normal 10 4 3 3" xfId="48062"/>
    <cellStyle name="Normal 10 4 4" xfId="48063"/>
    <cellStyle name="Normal 10 4 4 2" xfId="48064"/>
    <cellStyle name="Normal 10 4 4 3" xfId="48065"/>
    <cellStyle name="Normal 10 4 5" xfId="48066"/>
    <cellStyle name="Normal 10 4 6" xfId="48067"/>
    <cellStyle name="Normal 10 5" xfId="48068"/>
    <cellStyle name="Normal 10 5 2" xfId="48069"/>
    <cellStyle name="Normal 10 5 2 2" xfId="48070"/>
    <cellStyle name="Normal 10 5 2 2 2" xfId="48071"/>
    <cellStyle name="Normal 10 5 2 2 3" xfId="48072"/>
    <cellStyle name="Normal 10 5 2 3" xfId="48073"/>
    <cellStyle name="Normal 10 5 2 4" xfId="48074"/>
    <cellStyle name="Normal 10 5 3" xfId="48075"/>
    <cellStyle name="Normal 10 5 3 2" xfId="48076"/>
    <cellStyle name="Normal 10 5 3 3" xfId="48077"/>
    <cellStyle name="Normal 10 5 4" xfId="48078"/>
    <cellStyle name="Normal 10 5 4 2" xfId="48079"/>
    <cellStyle name="Normal 10 5 4 3" xfId="48080"/>
    <cellStyle name="Normal 10 5 5" xfId="48081"/>
    <cellStyle name="Normal 10 5 6" xfId="48082"/>
    <cellStyle name="Normal 10 6" xfId="48083"/>
    <cellStyle name="Normal 10 6 2" xfId="48084"/>
    <cellStyle name="Normal 10 6 2 2" xfId="48085"/>
    <cellStyle name="Normal 10 6 2 3" xfId="48086"/>
    <cellStyle name="Normal 10 6 3" xfId="48087"/>
    <cellStyle name="Normal 10 6 4" xfId="48088"/>
    <cellStyle name="Normal 10 7" xfId="48089"/>
    <cellStyle name="Normal 10 7 2" xfId="48090"/>
    <cellStyle name="Normal 10 7 2 2" xfId="48091"/>
    <cellStyle name="Normal 10 7 2 3" xfId="48092"/>
    <cellStyle name="Normal 10 7 3" xfId="48093"/>
    <cellStyle name="Normal 10 7 4" xfId="48094"/>
    <cellStyle name="Normal 10 8" xfId="48095"/>
    <cellStyle name="Normal 10 8 2" xfId="48096"/>
    <cellStyle name="Normal 10 8 3" xfId="48097"/>
    <cellStyle name="Normal 10 9" xfId="48098"/>
    <cellStyle name="Normal 10 9 2" xfId="48099"/>
    <cellStyle name="Normal 10 9 3" xfId="48100"/>
    <cellStyle name="Normal 10_EDFCS Status Monster" xfId="48101"/>
    <cellStyle name="Normal 100" xfId="48102"/>
    <cellStyle name="Normal 100 2" xfId="48103"/>
    <cellStyle name="Normal 100 2 2" xfId="48104"/>
    <cellStyle name="Normal 100 2 3" xfId="48105"/>
    <cellStyle name="Normal 100 2 4" xfId="48106"/>
    <cellStyle name="Normal 100 2 5" xfId="48107"/>
    <cellStyle name="Normal 100 3" xfId="48108"/>
    <cellStyle name="Normal 100 3 2" xfId="48109"/>
    <cellStyle name="Normal 100 3 3" xfId="48110"/>
    <cellStyle name="Normal 100 4" xfId="48111"/>
    <cellStyle name="Normal 100 5" xfId="48112"/>
    <cellStyle name="Normal 101" xfId="48113"/>
    <cellStyle name="Normal 101 2" xfId="48114"/>
    <cellStyle name="Normal 101 2 2" xfId="48115"/>
    <cellStyle name="Normal 101 2 3" xfId="48116"/>
    <cellStyle name="Normal 101 3" xfId="48117"/>
    <cellStyle name="Normal 101 3 2" xfId="48118"/>
    <cellStyle name="Normal 101 3 3" xfId="48119"/>
    <cellStyle name="Normal 101 4" xfId="48120"/>
    <cellStyle name="Normal 101 5" xfId="48121"/>
    <cellStyle name="Normal 102" xfId="48122"/>
    <cellStyle name="Normal 102 2" xfId="48123"/>
    <cellStyle name="Normal 102 2 2" xfId="48124"/>
    <cellStyle name="Normal 102 2 3" xfId="48125"/>
    <cellStyle name="Normal 102 3" xfId="48126"/>
    <cellStyle name="Normal 102 3 2" xfId="48127"/>
    <cellStyle name="Normal 102 3 3" xfId="48128"/>
    <cellStyle name="Normal 102 4" xfId="48129"/>
    <cellStyle name="Normal 102 5" xfId="48130"/>
    <cellStyle name="Normal 103" xfId="48131"/>
    <cellStyle name="Normal 103 2" xfId="48132"/>
    <cellStyle name="Normal 103 2 2" xfId="48133"/>
    <cellStyle name="Normal 103 2 3" xfId="48134"/>
    <cellStyle name="Normal 103 3" xfId="48135"/>
    <cellStyle name="Normal 103 3 2" xfId="48136"/>
    <cellStyle name="Normal 103 3 3" xfId="48137"/>
    <cellStyle name="Normal 103 4" xfId="48138"/>
    <cellStyle name="Normal 103 5" xfId="48139"/>
    <cellStyle name="Normal 104" xfId="48140"/>
    <cellStyle name="Normal 104 2" xfId="48141"/>
    <cellStyle name="Normal 104 2 2" xfId="48142"/>
    <cellStyle name="Normal 104 2 3" xfId="48143"/>
    <cellStyle name="Normal 104 3" xfId="48144"/>
    <cellStyle name="Normal 104 3 2" xfId="48145"/>
    <cellStyle name="Normal 104 3 3" xfId="48146"/>
    <cellStyle name="Normal 104 4" xfId="48147"/>
    <cellStyle name="Normal 104 5" xfId="48148"/>
    <cellStyle name="Normal 105" xfId="48149"/>
    <cellStyle name="Normal 105 2" xfId="48150"/>
    <cellStyle name="Normal 105 2 2" xfId="48151"/>
    <cellStyle name="Normal 105 2 3" xfId="48152"/>
    <cellStyle name="Normal 105 3" xfId="48153"/>
    <cellStyle name="Normal 105 3 2" xfId="48154"/>
    <cellStyle name="Normal 105 3 3" xfId="48155"/>
    <cellStyle name="Normal 105 4" xfId="48156"/>
    <cellStyle name="Normal 105 5" xfId="48157"/>
    <cellStyle name="Normal 106" xfId="48158"/>
    <cellStyle name="Normal 106 2" xfId="48159"/>
    <cellStyle name="Normal 106 2 2" xfId="48160"/>
    <cellStyle name="Normal 106 2 3" xfId="48161"/>
    <cellStyle name="Normal 106 3" xfId="48162"/>
    <cellStyle name="Normal 106 3 2" xfId="48163"/>
    <cellStyle name="Normal 106 3 3" xfId="48164"/>
    <cellStyle name="Normal 106 4" xfId="48165"/>
    <cellStyle name="Normal 106 5" xfId="48166"/>
    <cellStyle name="Normal 107" xfId="48167"/>
    <cellStyle name="Normal 107 2" xfId="48168"/>
    <cellStyle name="Normal 107 2 2" xfId="48169"/>
    <cellStyle name="Normal 107 2 3" xfId="48170"/>
    <cellStyle name="Normal 107 3" xfId="48171"/>
    <cellStyle name="Normal 107 3 2" xfId="48172"/>
    <cellStyle name="Normal 107 3 3" xfId="48173"/>
    <cellStyle name="Normal 107 4" xfId="48174"/>
    <cellStyle name="Normal 107 5" xfId="48175"/>
    <cellStyle name="Normal 108" xfId="48176"/>
    <cellStyle name="Normal 108 2" xfId="48177"/>
    <cellStyle name="Normal 108 2 2" xfId="48178"/>
    <cellStyle name="Normal 108 2 3" xfId="48179"/>
    <cellStyle name="Normal 108 3" xfId="48180"/>
    <cellStyle name="Normal 108 3 2" xfId="48181"/>
    <cellStyle name="Normal 108 3 3" xfId="48182"/>
    <cellStyle name="Normal 108 4" xfId="48183"/>
    <cellStyle name="Normal 108 5" xfId="48184"/>
    <cellStyle name="Normal 109" xfId="48185"/>
    <cellStyle name="Normal 109 2" xfId="48186"/>
    <cellStyle name="Normal 109 2 2" xfId="48187"/>
    <cellStyle name="Normal 109 2 3" xfId="48188"/>
    <cellStyle name="Normal 109 3" xfId="48189"/>
    <cellStyle name="Normal 109 3 2" xfId="48190"/>
    <cellStyle name="Normal 109 3 3" xfId="48191"/>
    <cellStyle name="Normal 109 4" xfId="48192"/>
    <cellStyle name="Normal 109 5" xfId="48193"/>
    <cellStyle name="Normal 109 6" xfId="48194"/>
    <cellStyle name="Normal 11" xfId="48195"/>
    <cellStyle name="Normal 11 10" xfId="48196"/>
    <cellStyle name="Normal 11 10 2" xfId="48197"/>
    <cellStyle name="Normal 11 10 3" xfId="48198"/>
    <cellStyle name="Normal 11 11" xfId="48199"/>
    <cellStyle name="Normal 11 12" xfId="48200"/>
    <cellStyle name="Normal 11 2" xfId="48201"/>
    <cellStyle name="Normal 11 2 10" xfId="48202"/>
    <cellStyle name="Normal 11 2 2" xfId="48203"/>
    <cellStyle name="Normal 11 2 2 2" xfId="48204"/>
    <cellStyle name="Normal 11 2 2 2 2" xfId="48205"/>
    <cellStyle name="Normal 11 2 2 2 2 2" xfId="48206"/>
    <cellStyle name="Normal 11 2 2 2 2 2 2" xfId="48207"/>
    <cellStyle name="Normal 11 2 2 2 2 2 3" xfId="48208"/>
    <cellStyle name="Normal 11 2 2 2 2 3" xfId="48209"/>
    <cellStyle name="Normal 11 2 2 2 2 4" xfId="48210"/>
    <cellStyle name="Normal 11 2 2 2 3" xfId="48211"/>
    <cellStyle name="Normal 11 2 2 2 3 2" xfId="48212"/>
    <cellStyle name="Normal 11 2 2 2 3 3" xfId="48213"/>
    <cellStyle name="Normal 11 2 2 2 4" xfId="48214"/>
    <cellStyle name="Normal 11 2 2 2 4 2" xfId="48215"/>
    <cellStyle name="Normal 11 2 2 2 4 3" xfId="48216"/>
    <cellStyle name="Normal 11 2 2 2 5" xfId="48217"/>
    <cellStyle name="Normal 11 2 2 2 6" xfId="48218"/>
    <cellStyle name="Normal 11 2 2 3" xfId="48219"/>
    <cellStyle name="Normal 11 2 2 3 2" xfId="48220"/>
    <cellStyle name="Normal 11 2 2 3 2 2" xfId="48221"/>
    <cellStyle name="Normal 11 2 2 3 2 2 2" xfId="48222"/>
    <cellStyle name="Normal 11 2 2 3 2 2 3" xfId="48223"/>
    <cellStyle name="Normal 11 2 2 3 2 3" xfId="48224"/>
    <cellStyle name="Normal 11 2 2 3 2 4" xfId="48225"/>
    <cellStyle name="Normal 11 2 2 3 3" xfId="48226"/>
    <cellStyle name="Normal 11 2 2 3 3 2" xfId="48227"/>
    <cellStyle name="Normal 11 2 2 3 3 3" xfId="48228"/>
    <cellStyle name="Normal 11 2 2 3 4" xfId="48229"/>
    <cellStyle name="Normal 11 2 2 3 4 2" xfId="48230"/>
    <cellStyle name="Normal 11 2 2 3 4 3" xfId="48231"/>
    <cellStyle name="Normal 11 2 2 3 5" xfId="48232"/>
    <cellStyle name="Normal 11 2 2 3 6" xfId="48233"/>
    <cellStyle name="Normal 11 2 2 4" xfId="48234"/>
    <cellStyle name="Normal 11 2 2 4 2" xfId="48235"/>
    <cellStyle name="Normal 11 2 2 4 2 2" xfId="48236"/>
    <cellStyle name="Normal 11 2 2 4 2 3" xfId="48237"/>
    <cellStyle name="Normal 11 2 2 4 3" xfId="48238"/>
    <cellStyle name="Normal 11 2 2 4 4" xfId="48239"/>
    <cellStyle name="Normal 11 2 2 5" xfId="48240"/>
    <cellStyle name="Normal 11 2 2 5 2" xfId="48241"/>
    <cellStyle name="Normal 11 2 2 5 3" xfId="48242"/>
    <cellStyle name="Normal 11 2 2 6" xfId="48243"/>
    <cellStyle name="Normal 11 2 2 6 2" xfId="48244"/>
    <cellStyle name="Normal 11 2 2 6 3" xfId="48245"/>
    <cellStyle name="Normal 11 2 2 7" xfId="48246"/>
    <cellStyle name="Normal 11 2 2 8" xfId="48247"/>
    <cellStyle name="Normal 11 2 3" xfId="48248"/>
    <cellStyle name="Normal 11 2 3 2" xfId="48249"/>
    <cellStyle name="Normal 11 2 3 2 2" xfId="48250"/>
    <cellStyle name="Normal 11 2 3 2 2 2" xfId="48251"/>
    <cellStyle name="Normal 11 2 3 2 2 3" xfId="48252"/>
    <cellStyle name="Normal 11 2 3 2 3" xfId="48253"/>
    <cellStyle name="Normal 11 2 3 2 4" xfId="48254"/>
    <cellStyle name="Normal 11 2 3 3" xfId="48255"/>
    <cellStyle name="Normal 11 2 3 3 2" xfId="48256"/>
    <cellStyle name="Normal 11 2 3 3 3" xfId="48257"/>
    <cellStyle name="Normal 11 2 3 4" xfId="48258"/>
    <cellStyle name="Normal 11 2 3 4 2" xfId="48259"/>
    <cellStyle name="Normal 11 2 3 4 3" xfId="48260"/>
    <cellStyle name="Normal 11 2 3 5" xfId="48261"/>
    <cellStyle name="Normal 11 2 3 6" xfId="48262"/>
    <cellStyle name="Normal 11 2 4" xfId="48263"/>
    <cellStyle name="Normal 11 2 4 2" xfId="48264"/>
    <cellStyle name="Normal 11 2 4 2 2" xfId="48265"/>
    <cellStyle name="Normal 11 2 4 2 2 2" xfId="48266"/>
    <cellStyle name="Normal 11 2 4 2 2 3" xfId="48267"/>
    <cellStyle name="Normal 11 2 4 2 3" xfId="48268"/>
    <cellStyle name="Normal 11 2 4 2 4" xfId="48269"/>
    <cellStyle name="Normal 11 2 4 3" xfId="48270"/>
    <cellStyle name="Normal 11 2 4 3 2" xfId="48271"/>
    <cellStyle name="Normal 11 2 4 3 3" xfId="48272"/>
    <cellStyle name="Normal 11 2 4 4" xfId="48273"/>
    <cellStyle name="Normal 11 2 4 4 2" xfId="48274"/>
    <cellStyle name="Normal 11 2 4 4 3" xfId="48275"/>
    <cellStyle name="Normal 11 2 4 5" xfId="48276"/>
    <cellStyle name="Normal 11 2 4 6" xfId="48277"/>
    <cellStyle name="Normal 11 2 5" xfId="48278"/>
    <cellStyle name="Normal 11 2 5 2" xfId="48279"/>
    <cellStyle name="Normal 11 2 5 2 2" xfId="48280"/>
    <cellStyle name="Normal 11 2 5 2 3" xfId="48281"/>
    <cellStyle name="Normal 11 2 5 3" xfId="48282"/>
    <cellStyle name="Normal 11 2 5 4" xfId="48283"/>
    <cellStyle name="Normal 11 2 6" xfId="48284"/>
    <cellStyle name="Normal 11 2 6 2" xfId="48285"/>
    <cellStyle name="Normal 11 2 6 2 2" xfId="48286"/>
    <cellStyle name="Normal 11 2 6 2 3" xfId="48287"/>
    <cellStyle name="Normal 11 2 6 3" xfId="48288"/>
    <cellStyle name="Normal 11 2 6 4" xfId="48289"/>
    <cellStyle name="Normal 11 2 7" xfId="48290"/>
    <cellStyle name="Normal 11 2 7 2" xfId="48291"/>
    <cellStyle name="Normal 11 2 7 3" xfId="48292"/>
    <cellStyle name="Normal 11 2 8" xfId="48293"/>
    <cellStyle name="Normal 11 2 8 2" xfId="48294"/>
    <cellStyle name="Normal 11 2 8 3" xfId="48295"/>
    <cellStyle name="Normal 11 2 9" xfId="48296"/>
    <cellStyle name="Normal 11 3" xfId="48297"/>
    <cellStyle name="Normal 11 3 2" xfId="48298"/>
    <cellStyle name="Normal 11 3 2 2" xfId="48299"/>
    <cellStyle name="Normal 11 3 2 2 2" xfId="48300"/>
    <cellStyle name="Normal 11 3 2 2 2 2" xfId="48301"/>
    <cellStyle name="Normal 11 3 2 2 2 3" xfId="48302"/>
    <cellStyle name="Normal 11 3 2 2 3" xfId="48303"/>
    <cellStyle name="Normal 11 3 2 2 4" xfId="48304"/>
    <cellStyle name="Normal 11 3 2 3" xfId="48305"/>
    <cellStyle name="Normal 11 3 2 3 2" xfId="48306"/>
    <cellStyle name="Normal 11 3 2 3 3" xfId="48307"/>
    <cellStyle name="Normal 11 3 2 4" xfId="48308"/>
    <cellStyle name="Normal 11 3 2 4 2" xfId="48309"/>
    <cellStyle name="Normal 11 3 2 4 3" xfId="48310"/>
    <cellStyle name="Normal 11 3 2 5" xfId="48311"/>
    <cellStyle name="Normal 11 3 2 6" xfId="48312"/>
    <cellStyle name="Normal 11 3 3" xfId="48313"/>
    <cellStyle name="Normal 11 3 3 2" xfId="48314"/>
    <cellStyle name="Normal 11 3 3 2 2" xfId="48315"/>
    <cellStyle name="Normal 11 3 3 2 2 2" xfId="48316"/>
    <cellStyle name="Normal 11 3 3 2 2 3" xfId="48317"/>
    <cellStyle name="Normal 11 3 3 2 3" xfId="48318"/>
    <cellStyle name="Normal 11 3 3 2 4" xfId="48319"/>
    <cellStyle name="Normal 11 3 3 3" xfId="48320"/>
    <cellStyle name="Normal 11 3 3 3 2" xfId="48321"/>
    <cellStyle name="Normal 11 3 3 3 3" xfId="48322"/>
    <cellStyle name="Normal 11 3 3 4" xfId="48323"/>
    <cellStyle name="Normal 11 3 3 4 2" xfId="48324"/>
    <cellStyle name="Normal 11 3 3 4 3" xfId="48325"/>
    <cellStyle name="Normal 11 3 3 5" xfId="48326"/>
    <cellStyle name="Normal 11 3 3 6" xfId="48327"/>
    <cellStyle name="Normal 11 3 4" xfId="48328"/>
    <cellStyle name="Normal 11 3 4 2" xfId="48329"/>
    <cellStyle name="Normal 11 3 4 2 2" xfId="48330"/>
    <cellStyle name="Normal 11 3 4 2 3" xfId="48331"/>
    <cellStyle name="Normal 11 3 4 3" xfId="48332"/>
    <cellStyle name="Normal 11 3 4 4" xfId="48333"/>
    <cellStyle name="Normal 11 3 5" xfId="48334"/>
    <cellStyle name="Normal 11 3 5 2" xfId="48335"/>
    <cellStyle name="Normal 11 3 5 3" xfId="48336"/>
    <cellStyle name="Normal 11 3 6" xfId="48337"/>
    <cellStyle name="Normal 11 3 6 2" xfId="48338"/>
    <cellStyle name="Normal 11 3 6 3" xfId="48339"/>
    <cellStyle name="Normal 11 3 7" xfId="48340"/>
    <cellStyle name="Normal 11 3 8" xfId="48341"/>
    <cellStyle name="Normal 11 4" xfId="48342"/>
    <cellStyle name="Normal 11 4 2" xfId="48343"/>
    <cellStyle name="Normal 11 4 2 2" xfId="48344"/>
    <cellStyle name="Normal 11 4 2 2 2" xfId="48345"/>
    <cellStyle name="Normal 11 4 2 2 3" xfId="48346"/>
    <cellStyle name="Normal 11 4 2 3" xfId="48347"/>
    <cellStyle name="Normal 11 4 2 4" xfId="48348"/>
    <cellStyle name="Normal 11 4 3" xfId="48349"/>
    <cellStyle name="Normal 11 4 3 2" xfId="48350"/>
    <cellStyle name="Normal 11 4 3 3" xfId="48351"/>
    <cellStyle name="Normal 11 4 4" xfId="48352"/>
    <cellStyle name="Normal 11 4 4 2" xfId="48353"/>
    <cellStyle name="Normal 11 4 4 3" xfId="48354"/>
    <cellStyle name="Normal 11 4 5" xfId="48355"/>
    <cellStyle name="Normal 11 4 6" xfId="48356"/>
    <cellStyle name="Normal 11 5" xfId="48357"/>
    <cellStyle name="Normal 11 5 2" xfId="48358"/>
    <cellStyle name="Normal 11 5 2 2" xfId="48359"/>
    <cellStyle name="Normal 11 5 2 2 2" xfId="48360"/>
    <cellStyle name="Normal 11 5 2 2 3" xfId="48361"/>
    <cellStyle name="Normal 11 5 2 3" xfId="48362"/>
    <cellStyle name="Normal 11 5 2 4" xfId="48363"/>
    <cellStyle name="Normal 11 5 3" xfId="48364"/>
    <cellStyle name="Normal 11 5 3 2" xfId="48365"/>
    <cellStyle name="Normal 11 5 3 3" xfId="48366"/>
    <cellStyle name="Normal 11 5 4" xfId="48367"/>
    <cellStyle name="Normal 11 5 4 2" xfId="48368"/>
    <cellStyle name="Normal 11 5 4 3" xfId="48369"/>
    <cellStyle name="Normal 11 5 5" xfId="48370"/>
    <cellStyle name="Normal 11 5 6" xfId="48371"/>
    <cellStyle name="Normal 11 6" xfId="48372"/>
    <cellStyle name="Normal 11 6 2" xfId="48373"/>
    <cellStyle name="Normal 11 6 2 2" xfId="48374"/>
    <cellStyle name="Normal 11 6 2 3" xfId="48375"/>
    <cellStyle name="Normal 11 6 3" xfId="48376"/>
    <cellStyle name="Normal 11 6 4" xfId="48377"/>
    <cellStyle name="Normal 11 6 5" xfId="48378"/>
    <cellStyle name="Normal 11 6 6" xfId="48379"/>
    <cellStyle name="Normal 11 7" xfId="48380"/>
    <cellStyle name="Normal 11 7 2" xfId="48381"/>
    <cellStyle name="Normal 11 7 2 2" xfId="48382"/>
    <cellStyle name="Normal 11 7 2 3" xfId="48383"/>
    <cellStyle name="Normal 11 7 3" xfId="48384"/>
    <cellStyle name="Normal 11 7 4" xfId="48385"/>
    <cellStyle name="Normal 11 8" xfId="48386"/>
    <cellStyle name="Normal 11 8 2" xfId="48387"/>
    <cellStyle name="Normal 11 8 3" xfId="48388"/>
    <cellStyle name="Normal 11 9" xfId="48389"/>
    <cellStyle name="Normal 11 9 2" xfId="48390"/>
    <cellStyle name="Normal 11 9 3" xfId="48391"/>
    <cellStyle name="Normal 11_T1_TP_MASTER_032112_Rev A" xfId="48392"/>
    <cellStyle name="Normal 110" xfId="48393"/>
    <cellStyle name="Normal 110 2" xfId="48394"/>
    <cellStyle name="Normal 110 2 2" xfId="48395"/>
    <cellStyle name="Normal 110 2 3" xfId="48396"/>
    <cellStyle name="Normal 110 3" xfId="48397"/>
    <cellStyle name="Normal 110 3 2" xfId="48398"/>
    <cellStyle name="Normal 110 3 3" xfId="48399"/>
    <cellStyle name="Normal 110 4" xfId="48400"/>
    <cellStyle name="Normal 110 5" xfId="48401"/>
    <cellStyle name="Normal 111" xfId="48402"/>
    <cellStyle name="Normal 111 2" xfId="48403"/>
    <cellStyle name="Normal 111 2 2" xfId="48404"/>
    <cellStyle name="Normal 111 2 3" xfId="48405"/>
    <cellStyle name="Normal 111 3" xfId="48406"/>
    <cellStyle name="Normal 111 3 2" xfId="48407"/>
    <cellStyle name="Normal 111 3 3" xfId="48408"/>
    <cellStyle name="Normal 111 4" xfId="48409"/>
    <cellStyle name="Normal 111 5" xfId="48410"/>
    <cellStyle name="Normal 112" xfId="48411"/>
    <cellStyle name="Normal 112 2" xfId="48412"/>
    <cellStyle name="Normal 112 2 2" xfId="48413"/>
    <cellStyle name="Normal 112 2 3" xfId="48414"/>
    <cellStyle name="Normal 112 3" xfId="48415"/>
    <cellStyle name="Normal 112 3 2" xfId="48416"/>
    <cellStyle name="Normal 112 3 3" xfId="48417"/>
    <cellStyle name="Normal 112 4" xfId="48418"/>
    <cellStyle name="Normal 112 5" xfId="48419"/>
    <cellStyle name="Normal 113" xfId="48420"/>
    <cellStyle name="Normal 113 2" xfId="48421"/>
    <cellStyle name="Normal 113 2 2" xfId="48422"/>
    <cellStyle name="Normal 113 2 3" xfId="48423"/>
    <cellStyle name="Normal 113 3" xfId="48424"/>
    <cellStyle name="Normal 113 3 2" xfId="48425"/>
    <cellStyle name="Normal 113 3 3" xfId="48426"/>
    <cellStyle name="Normal 113 4" xfId="48427"/>
    <cellStyle name="Normal 113 5" xfId="48428"/>
    <cellStyle name="Normal 114" xfId="48429"/>
    <cellStyle name="Normal 114 2" xfId="48430"/>
    <cellStyle name="Normal 114 2 2" xfId="48431"/>
    <cellStyle name="Normal 114 2 3" xfId="48432"/>
    <cellStyle name="Normal 114 3" xfId="48433"/>
    <cellStyle name="Normal 114 3 2" xfId="48434"/>
    <cellStyle name="Normal 114 3 3" xfId="48435"/>
    <cellStyle name="Normal 114 4" xfId="48436"/>
    <cellStyle name="Normal 114 5" xfId="48437"/>
    <cellStyle name="Normal 115" xfId="48438"/>
    <cellStyle name="Normal 115 2" xfId="48439"/>
    <cellStyle name="Normal 115 2 2" xfId="48440"/>
    <cellStyle name="Normal 115 2 3" xfId="48441"/>
    <cellStyle name="Normal 115 3" xfId="48442"/>
    <cellStyle name="Normal 115 3 2" xfId="48443"/>
    <cellStyle name="Normal 115 3 3" xfId="48444"/>
    <cellStyle name="Normal 115 4" xfId="48445"/>
    <cellStyle name="Normal 115 5" xfId="48446"/>
    <cellStyle name="Normal 116" xfId="48447"/>
    <cellStyle name="Normal 116 2" xfId="48448"/>
    <cellStyle name="Normal 116 2 2" xfId="48449"/>
    <cellStyle name="Normal 116 2 3" xfId="48450"/>
    <cellStyle name="Normal 116 3" xfId="48451"/>
    <cellStyle name="Normal 116 3 2" xfId="48452"/>
    <cellStyle name="Normal 116 3 3" xfId="48453"/>
    <cellStyle name="Normal 116 4" xfId="48454"/>
    <cellStyle name="Normal 116 5" xfId="48455"/>
    <cellStyle name="Normal 117" xfId="48456"/>
    <cellStyle name="Normal 117 2" xfId="48457"/>
    <cellStyle name="Normal 117 2 2" xfId="48458"/>
    <cellStyle name="Normal 117 2 3" xfId="48459"/>
    <cellStyle name="Normal 117 3" xfId="48460"/>
    <cellStyle name="Normal 117 3 2" xfId="48461"/>
    <cellStyle name="Normal 117 3 3" xfId="48462"/>
    <cellStyle name="Normal 117 4" xfId="48463"/>
    <cellStyle name="Normal 117 5" xfId="48464"/>
    <cellStyle name="Normal 118" xfId="48465"/>
    <cellStyle name="Normal 118 2" xfId="48466"/>
    <cellStyle name="Normal 118 2 2" xfId="48467"/>
    <cellStyle name="Normal 118 2 3" xfId="48468"/>
    <cellStyle name="Normal 118 3" xfId="48469"/>
    <cellStyle name="Normal 118 3 2" xfId="48470"/>
    <cellStyle name="Normal 118 3 3" xfId="48471"/>
    <cellStyle name="Normal 118 4" xfId="48472"/>
    <cellStyle name="Normal 118 5" xfId="48473"/>
    <cellStyle name="Normal 119" xfId="48474"/>
    <cellStyle name="Normal 119 2" xfId="48475"/>
    <cellStyle name="Normal 119 2 2" xfId="48476"/>
    <cellStyle name="Normal 119 2 3" xfId="48477"/>
    <cellStyle name="Normal 119 3" xfId="48478"/>
    <cellStyle name="Normal 119 3 2" xfId="48479"/>
    <cellStyle name="Normal 119 3 3" xfId="48480"/>
    <cellStyle name="Normal 119 4" xfId="48481"/>
    <cellStyle name="Normal 119 5" xfId="48482"/>
    <cellStyle name="Normal 12" xfId="48483"/>
    <cellStyle name="Normal 12 10" xfId="48484"/>
    <cellStyle name="Normal 12 11" xfId="48485"/>
    <cellStyle name="Normal 12 12" xfId="48486"/>
    <cellStyle name="Normal 12 2" xfId="48487"/>
    <cellStyle name="Normal 12 2 10" xfId="48488"/>
    <cellStyle name="Normal 12 2 2" xfId="48489"/>
    <cellStyle name="Normal 12 2 2 2" xfId="48490"/>
    <cellStyle name="Normal 12 2 2 2 2" xfId="48491"/>
    <cellStyle name="Normal 12 2 2 2 2 2" xfId="48492"/>
    <cellStyle name="Normal 12 2 2 2 2 2 2" xfId="48493"/>
    <cellStyle name="Normal 12 2 2 2 2 2 2 2" xfId="48494"/>
    <cellStyle name="Normal 12 2 2 2 2 2 3" xfId="48495"/>
    <cellStyle name="Normal 12 2 2 2 2 3" xfId="48496"/>
    <cellStyle name="Normal 12 2 2 2 2 3 2" xfId="48497"/>
    <cellStyle name="Normal 12 2 2 2 2 3 2 2" xfId="48498"/>
    <cellStyle name="Normal 12 2 2 2 2 3 3" xfId="48499"/>
    <cellStyle name="Normal 12 2 2 2 2 4" xfId="48500"/>
    <cellStyle name="Normal 12 2 2 2 2 4 2" xfId="48501"/>
    <cellStyle name="Normal 12 2 2 2 2 5" xfId="48502"/>
    <cellStyle name="Normal 12 2 2 2 3" xfId="48503"/>
    <cellStyle name="Normal 12 2 2 2 3 2" xfId="48504"/>
    <cellStyle name="Normal 12 2 2 2 3 2 2" xfId="48505"/>
    <cellStyle name="Normal 12 2 2 2 3 3" xfId="48506"/>
    <cellStyle name="Normal 12 2 2 2 4" xfId="48507"/>
    <cellStyle name="Normal 12 2 2 2 4 2" xfId="48508"/>
    <cellStyle name="Normal 12 2 2 2 4 2 2" xfId="48509"/>
    <cellStyle name="Normal 12 2 2 2 4 3" xfId="48510"/>
    <cellStyle name="Normal 12 2 2 2 5" xfId="48511"/>
    <cellStyle name="Normal 12 2 2 2 5 2" xfId="48512"/>
    <cellStyle name="Normal 12 2 2 2 6" xfId="48513"/>
    <cellStyle name="Normal 12 2 2 3" xfId="48514"/>
    <cellStyle name="Normal 12 2 2 3 2" xfId="48515"/>
    <cellStyle name="Normal 12 2 2 3 2 2" xfId="48516"/>
    <cellStyle name="Normal 12 2 2 3 2 2 2" xfId="48517"/>
    <cellStyle name="Normal 12 2 2 3 2 2 3" xfId="48518"/>
    <cellStyle name="Normal 12 2 2 3 2 3" xfId="48519"/>
    <cellStyle name="Normal 12 2 2 3 2 4" xfId="48520"/>
    <cellStyle name="Normal 12 2 2 3 3" xfId="48521"/>
    <cellStyle name="Normal 12 2 2 3 3 2" xfId="48522"/>
    <cellStyle name="Normal 12 2 2 3 3 3" xfId="48523"/>
    <cellStyle name="Normal 12 2 2 3 4" xfId="48524"/>
    <cellStyle name="Normal 12 2 2 3 4 2" xfId="48525"/>
    <cellStyle name="Normal 12 2 2 3 4 3" xfId="48526"/>
    <cellStyle name="Normal 12 2 2 3 5" xfId="48527"/>
    <cellStyle name="Normal 12 2 2 3 6" xfId="48528"/>
    <cellStyle name="Normal 12 2 2 4" xfId="48529"/>
    <cellStyle name="Normal 12 2 2 4 2" xfId="48530"/>
    <cellStyle name="Normal 12 2 2 4 2 2" xfId="48531"/>
    <cellStyle name="Normal 12 2 2 4 2 3" xfId="48532"/>
    <cellStyle name="Normal 12 2 2 4 3" xfId="48533"/>
    <cellStyle name="Normal 12 2 2 4 4" xfId="48534"/>
    <cellStyle name="Normal 12 2 2 5" xfId="48535"/>
    <cellStyle name="Normal 12 2 2 5 2" xfId="48536"/>
    <cellStyle name="Normal 12 2 2 5 3" xfId="48537"/>
    <cellStyle name="Normal 12 2 2 6" xfId="48538"/>
    <cellStyle name="Normal 12 2 2 6 2" xfId="48539"/>
    <cellStyle name="Normal 12 2 2 6 3" xfId="48540"/>
    <cellStyle name="Normal 12 2 2 7" xfId="48541"/>
    <cellStyle name="Normal 12 2 2 8" xfId="48542"/>
    <cellStyle name="Normal 12 2 3" xfId="48543"/>
    <cellStyle name="Normal 12 2 3 2" xfId="48544"/>
    <cellStyle name="Normal 12 2 3 2 2" xfId="48545"/>
    <cellStyle name="Normal 12 2 3 2 2 2" xfId="48546"/>
    <cellStyle name="Normal 12 2 3 2 2 3" xfId="48547"/>
    <cellStyle name="Normal 12 2 3 2 3" xfId="48548"/>
    <cellStyle name="Normal 12 2 3 2 4" xfId="48549"/>
    <cellStyle name="Normal 12 2 3 3" xfId="48550"/>
    <cellStyle name="Normal 12 2 3 3 2" xfId="48551"/>
    <cellStyle name="Normal 12 2 3 3 3" xfId="48552"/>
    <cellStyle name="Normal 12 2 3 4" xfId="48553"/>
    <cellStyle name="Normal 12 2 3 4 2" xfId="48554"/>
    <cellStyle name="Normal 12 2 3 4 3" xfId="48555"/>
    <cellStyle name="Normal 12 2 3 5" xfId="48556"/>
    <cellStyle name="Normal 12 2 3 6" xfId="48557"/>
    <cellStyle name="Normal 12 2 4" xfId="48558"/>
    <cellStyle name="Normal 12 2 4 2" xfId="48559"/>
    <cellStyle name="Normal 12 2 4 2 2" xfId="48560"/>
    <cellStyle name="Normal 12 2 4 2 2 2" xfId="48561"/>
    <cellStyle name="Normal 12 2 4 2 2 3" xfId="48562"/>
    <cellStyle name="Normal 12 2 4 2 3" xfId="48563"/>
    <cellStyle name="Normal 12 2 4 2 4" xfId="48564"/>
    <cellStyle name="Normal 12 2 4 3" xfId="48565"/>
    <cellStyle name="Normal 12 2 4 3 2" xfId="48566"/>
    <cellStyle name="Normal 12 2 4 3 3" xfId="48567"/>
    <cellStyle name="Normal 12 2 4 4" xfId="48568"/>
    <cellStyle name="Normal 12 2 4 4 2" xfId="48569"/>
    <cellStyle name="Normal 12 2 4 4 3" xfId="48570"/>
    <cellStyle name="Normal 12 2 4 5" xfId="48571"/>
    <cellStyle name="Normal 12 2 4 6" xfId="48572"/>
    <cellStyle name="Normal 12 2 5" xfId="48573"/>
    <cellStyle name="Normal 12 2 5 2" xfId="48574"/>
    <cellStyle name="Normal 12 2 5 2 2" xfId="48575"/>
    <cellStyle name="Normal 12 2 5 2 3" xfId="48576"/>
    <cellStyle name="Normal 12 2 5 3" xfId="48577"/>
    <cellStyle name="Normal 12 2 5 4" xfId="48578"/>
    <cellStyle name="Normal 12 2 6" xfId="48579"/>
    <cellStyle name="Normal 12 2 6 2" xfId="48580"/>
    <cellStyle name="Normal 12 2 6 2 2" xfId="48581"/>
    <cellStyle name="Normal 12 2 6 2 3" xfId="48582"/>
    <cellStyle name="Normal 12 2 6 3" xfId="48583"/>
    <cellStyle name="Normal 12 2 6 4" xfId="48584"/>
    <cellStyle name="Normal 12 2 7" xfId="48585"/>
    <cellStyle name="Normal 12 2 7 2" xfId="48586"/>
    <cellStyle name="Normal 12 2 7 3" xfId="48587"/>
    <cellStyle name="Normal 12 2 8" xfId="48588"/>
    <cellStyle name="Normal 12 2 8 2" xfId="48589"/>
    <cellStyle name="Normal 12 2 8 3" xfId="48590"/>
    <cellStyle name="Normal 12 2 9" xfId="48591"/>
    <cellStyle name="Normal 12 3" xfId="48592"/>
    <cellStyle name="Normal 12 3 2" xfId="48593"/>
    <cellStyle name="Normal 12 3 2 2" xfId="48594"/>
    <cellStyle name="Normal 12 3 2 2 2" xfId="48595"/>
    <cellStyle name="Normal 12 3 2 2 2 2" xfId="48596"/>
    <cellStyle name="Normal 12 3 2 2 2 3" xfId="48597"/>
    <cellStyle name="Normal 12 3 2 2 3" xfId="48598"/>
    <cellStyle name="Normal 12 3 2 2 4" xfId="48599"/>
    <cellStyle name="Normal 12 3 2 3" xfId="48600"/>
    <cellStyle name="Normal 12 3 2 3 2" xfId="48601"/>
    <cellStyle name="Normal 12 3 2 3 3" xfId="48602"/>
    <cellStyle name="Normal 12 3 2 4" xfId="48603"/>
    <cellStyle name="Normal 12 3 2 4 2" xfId="48604"/>
    <cellStyle name="Normal 12 3 2 4 3" xfId="48605"/>
    <cellStyle name="Normal 12 3 2 5" xfId="48606"/>
    <cellStyle name="Normal 12 3 2 6" xfId="48607"/>
    <cellStyle name="Normal 12 3 3" xfId="48608"/>
    <cellStyle name="Normal 12 3 3 2" xfId="48609"/>
    <cellStyle name="Normal 12 3 3 2 2" xfId="48610"/>
    <cellStyle name="Normal 12 3 3 2 2 2" xfId="48611"/>
    <cellStyle name="Normal 12 3 3 2 2 3" xfId="48612"/>
    <cellStyle name="Normal 12 3 3 2 3" xfId="48613"/>
    <cellStyle name="Normal 12 3 3 2 4" xfId="48614"/>
    <cellStyle name="Normal 12 3 3 3" xfId="48615"/>
    <cellStyle name="Normal 12 3 3 3 2" xfId="48616"/>
    <cellStyle name="Normal 12 3 3 3 3" xfId="48617"/>
    <cellStyle name="Normal 12 3 3 4" xfId="48618"/>
    <cellStyle name="Normal 12 3 3 4 2" xfId="48619"/>
    <cellStyle name="Normal 12 3 3 4 3" xfId="48620"/>
    <cellStyle name="Normal 12 3 3 5" xfId="48621"/>
    <cellStyle name="Normal 12 3 3 6" xfId="48622"/>
    <cellStyle name="Normal 12 3 4" xfId="48623"/>
    <cellStyle name="Normal 12 3 4 2" xfId="48624"/>
    <cellStyle name="Normal 12 3 4 2 2" xfId="48625"/>
    <cellStyle name="Normal 12 3 4 2 3" xfId="48626"/>
    <cellStyle name="Normal 12 3 4 3" xfId="48627"/>
    <cellStyle name="Normal 12 3 4 4" xfId="48628"/>
    <cellStyle name="Normal 12 3 5" xfId="48629"/>
    <cellStyle name="Normal 12 3 5 2" xfId="48630"/>
    <cellStyle name="Normal 12 3 5 3" xfId="48631"/>
    <cellStyle name="Normal 12 3 6" xfId="48632"/>
    <cellStyle name="Normal 12 3 6 2" xfId="48633"/>
    <cellStyle name="Normal 12 3 6 3" xfId="48634"/>
    <cellStyle name="Normal 12 3 7" xfId="48635"/>
    <cellStyle name="Normal 12 3 8" xfId="48636"/>
    <cellStyle name="Normal 12 4" xfId="48637"/>
    <cellStyle name="Normal 12 4 2" xfId="48638"/>
    <cellStyle name="Normal 12 4 2 2" xfId="48639"/>
    <cellStyle name="Normal 12 4 2 2 2" xfId="48640"/>
    <cellStyle name="Normal 12 4 2 2 3" xfId="48641"/>
    <cellStyle name="Normal 12 4 2 3" xfId="48642"/>
    <cellStyle name="Normal 12 4 2 4" xfId="48643"/>
    <cellStyle name="Normal 12 4 3" xfId="48644"/>
    <cellStyle name="Normal 12 4 3 2" xfId="48645"/>
    <cellStyle name="Normal 12 4 3 3" xfId="48646"/>
    <cellStyle name="Normal 12 4 4" xfId="48647"/>
    <cellStyle name="Normal 12 4 4 2" xfId="48648"/>
    <cellStyle name="Normal 12 4 4 3" xfId="48649"/>
    <cellStyle name="Normal 12 4 5" xfId="48650"/>
    <cellStyle name="Normal 12 4 6" xfId="48651"/>
    <cellStyle name="Normal 12 5" xfId="48652"/>
    <cellStyle name="Normal 12 5 2" xfId="48653"/>
    <cellStyle name="Normal 12 5 2 2" xfId="48654"/>
    <cellStyle name="Normal 12 5 2 2 2" xfId="48655"/>
    <cellStyle name="Normal 12 5 2 2 3" xfId="48656"/>
    <cellStyle name="Normal 12 5 2 3" xfId="48657"/>
    <cellStyle name="Normal 12 5 2 4" xfId="48658"/>
    <cellStyle name="Normal 12 5 3" xfId="48659"/>
    <cellStyle name="Normal 12 5 3 2" xfId="48660"/>
    <cellStyle name="Normal 12 5 3 3" xfId="48661"/>
    <cellStyle name="Normal 12 5 4" xfId="48662"/>
    <cellStyle name="Normal 12 5 4 2" xfId="48663"/>
    <cellStyle name="Normal 12 5 4 3" xfId="48664"/>
    <cellStyle name="Normal 12 5 5" xfId="48665"/>
    <cellStyle name="Normal 12 5 6" xfId="48666"/>
    <cellStyle name="Normal 12 6" xfId="48667"/>
    <cellStyle name="Normal 12 6 2" xfId="48668"/>
    <cellStyle name="Normal 12 6 2 2" xfId="48669"/>
    <cellStyle name="Normal 12 6 2 3" xfId="48670"/>
    <cellStyle name="Normal 12 6 3" xfId="48671"/>
    <cellStyle name="Normal 12 6 4" xfId="48672"/>
    <cellStyle name="Normal 12 7" xfId="48673"/>
    <cellStyle name="Normal 12 7 2" xfId="48674"/>
    <cellStyle name="Normal 12 7 2 2" xfId="48675"/>
    <cellStyle name="Normal 12 7 2 3" xfId="48676"/>
    <cellStyle name="Normal 12 7 3" xfId="48677"/>
    <cellStyle name="Normal 12 7 4" xfId="48678"/>
    <cellStyle name="Normal 12 8" xfId="48679"/>
    <cellStyle name="Normal 12 8 2" xfId="48680"/>
    <cellStyle name="Normal 12 8 3" xfId="48681"/>
    <cellStyle name="Normal 12 9" xfId="48682"/>
    <cellStyle name="Normal 12 9 2" xfId="48683"/>
    <cellStyle name="Normal 12 9 3" xfId="48684"/>
    <cellStyle name="Normal 12_T1_TP_MASTER_032112_Rev A" xfId="48685"/>
    <cellStyle name="Normal 120" xfId="48686"/>
    <cellStyle name="Normal 120 2" xfId="48687"/>
    <cellStyle name="Normal 120 2 2" xfId="48688"/>
    <cellStyle name="Normal 120 2 3" xfId="48689"/>
    <cellStyle name="Normal 120 3" xfId="48690"/>
    <cellStyle name="Normal 120 3 2" xfId="48691"/>
    <cellStyle name="Normal 120 3 3" xfId="48692"/>
    <cellStyle name="Normal 120 4" xfId="48693"/>
    <cellStyle name="Normal 120 5" xfId="48694"/>
    <cellStyle name="Normal 121" xfId="48695"/>
    <cellStyle name="Normal 121 2" xfId="48696"/>
    <cellStyle name="Normal 121 2 2" xfId="48697"/>
    <cellStyle name="Normal 121 2 3" xfId="48698"/>
    <cellStyle name="Normal 121 3" xfId="48699"/>
    <cellStyle name="Normal 121 3 2" xfId="48700"/>
    <cellStyle name="Normal 121 3 3" xfId="48701"/>
    <cellStyle name="Normal 121 4" xfId="48702"/>
    <cellStyle name="Normal 121 5" xfId="48703"/>
    <cellStyle name="Normal 122" xfId="48704"/>
    <cellStyle name="Normal 122 2" xfId="48705"/>
    <cellStyle name="Normal 122 2 2" xfId="48706"/>
    <cellStyle name="Normal 122 2 3" xfId="48707"/>
    <cellStyle name="Normal 122 3" xfId="48708"/>
    <cellStyle name="Normal 122 3 2" xfId="48709"/>
    <cellStyle name="Normal 122 3 3" xfId="48710"/>
    <cellStyle name="Normal 122 4" xfId="48711"/>
    <cellStyle name="Normal 122 5" xfId="48712"/>
    <cellStyle name="Normal 123" xfId="48713"/>
    <cellStyle name="Normal 123 2" xfId="48714"/>
    <cellStyle name="Normal 123 2 2" xfId="48715"/>
    <cellStyle name="Normal 123 2 3" xfId="48716"/>
    <cellStyle name="Normal 123 3" xfId="48717"/>
    <cellStyle name="Normal 123 3 2" xfId="48718"/>
    <cellStyle name="Normal 123 3 3" xfId="48719"/>
    <cellStyle name="Normal 123 4" xfId="48720"/>
    <cellStyle name="Normal 123 5" xfId="48721"/>
    <cellStyle name="Normal 124" xfId="48722"/>
    <cellStyle name="Normal 124 2" xfId="48723"/>
    <cellStyle name="Normal 124 2 2" xfId="48724"/>
    <cellStyle name="Normal 124 2 3" xfId="48725"/>
    <cellStyle name="Normal 124 3" xfId="48726"/>
    <cellStyle name="Normal 124 3 2" xfId="48727"/>
    <cellStyle name="Normal 124 3 3" xfId="48728"/>
    <cellStyle name="Normal 124 4" xfId="48729"/>
    <cellStyle name="Normal 124 5" xfId="48730"/>
    <cellStyle name="Normal 125" xfId="48731"/>
    <cellStyle name="Normal 125 2" xfId="48732"/>
    <cellStyle name="Normal 125 2 2" xfId="48733"/>
    <cellStyle name="Normal 125 2 3" xfId="48734"/>
    <cellStyle name="Normal 125 3" xfId="48735"/>
    <cellStyle name="Normal 125 3 2" xfId="48736"/>
    <cellStyle name="Normal 125 3 3" xfId="48737"/>
    <cellStyle name="Normal 125 4" xfId="48738"/>
    <cellStyle name="Normal 125 5" xfId="48739"/>
    <cellStyle name="Normal 126" xfId="48740"/>
    <cellStyle name="Normal 126 2" xfId="48741"/>
    <cellStyle name="Normal 126 2 2" xfId="48742"/>
    <cellStyle name="Normal 126 2 3" xfId="48743"/>
    <cellStyle name="Normal 126 3" xfId="48744"/>
    <cellStyle name="Normal 126 3 2" xfId="48745"/>
    <cellStyle name="Normal 126 3 3" xfId="48746"/>
    <cellStyle name="Normal 126 4" xfId="48747"/>
    <cellStyle name="Normal 126 5" xfId="48748"/>
    <cellStyle name="Normal 127" xfId="48749"/>
    <cellStyle name="Normal 127 2" xfId="48750"/>
    <cellStyle name="Normal 127 2 2" xfId="48751"/>
    <cellStyle name="Normal 127 2 3" xfId="48752"/>
    <cellStyle name="Normal 127 3" xfId="48753"/>
    <cellStyle name="Normal 127 3 2" xfId="48754"/>
    <cellStyle name="Normal 127 3 3" xfId="48755"/>
    <cellStyle name="Normal 127 4" xfId="48756"/>
    <cellStyle name="Normal 127 5" xfId="48757"/>
    <cellStyle name="Normal 128" xfId="48758"/>
    <cellStyle name="Normal 128 2" xfId="48759"/>
    <cellStyle name="Normal 128 2 2" xfId="48760"/>
    <cellStyle name="Normal 128 2 3" xfId="48761"/>
    <cellStyle name="Normal 128 3" xfId="48762"/>
    <cellStyle name="Normal 128 3 2" xfId="48763"/>
    <cellStyle name="Normal 128 3 3" xfId="48764"/>
    <cellStyle name="Normal 128 4" xfId="48765"/>
    <cellStyle name="Normal 128 5" xfId="48766"/>
    <cellStyle name="Normal 129" xfId="48767"/>
    <cellStyle name="Normal 129 2" xfId="48768"/>
    <cellStyle name="Normal 129 2 2" xfId="48769"/>
    <cellStyle name="Normal 129 2 3" xfId="48770"/>
    <cellStyle name="Normal 129 3" xfId="48771"/>
    <cellStyle name="Normal 129 3 2" xfId="48772"/>
    <cellStyle name="Normal 129 3 3" xfId="48773"/>
    <cellStyle name="Normal 129 4" xfId="48774"/>
    <cellStyle name="Normal 129 5" xfId="48775"/>
    <cellStyle name="Normal 13" xfId="48776"/>
    <cellStyle name="Normal 13 10" xfId="48777"/>
    <cellStyle name="Normal 13 11" xfId="48778"/>
    <cellStyle name="Normal 13 12" xfId="48779"/>
    <cellStyle name="Normal 13 2" xfId="48780"/>
    <cellStyle name="Normal 13 2 10" xfId="48781"/>
    <cellStyle name="Normal 13 2 2" xfId="48782"/>
    <cellStyle name="Normal 13 2 2 2" xfId="48783"/>
    <cellStyle name="Normal 13 2 2 2 2" xfId="48784"/>
    <cellStyle name="Normal 13 2 2 2 2 2" xfId="48785"/>
    <cellStyle name="Normal 13 2 2 2 2 2 2" xfId="48786"/>
    <cellStyle name="Normal 13 2 2 2 2 2 3" xfId="48787"/>
    <cellStyle name="Normal 13 2 2 2 2 3" xfId="48788"/>
    <cellStyle name="Normal 13 2 2 2 2 4" xfId="48789"/>
    <cellStyle name="Normal 13 2 2 2 3" xfId="48790"/>
    <cellStyle name="Normal 13 2 2 2 3 2" xfId="48791"/>
    <cellStyle name="Normal 13 2 2 2 3 3" xfId="48792"/>
    <cellStyle name="Normal 13 2 2 2 4" xfId="48793"/>
    <cellStyle name="Normal 13 2 2 2 4 2" xfId="48794"/>
    <cellStyle name="Normal 13 2 2 2 4 3" xfId="48795"/>
    <cellStyle name="Normal 13 2 2 2 5" xfId="48796"/>
    <cellStyle name="Normal 13 2 2 2 6" xfId="48797"/>
    <cellStyle name="Normal 13 2 2 3" xfId="48798"/>
    <cellStyle name="Normal 13 2 2 3 2" xfId="48799"/>
    <cellStyle name="Normal 13 2 2 3 2 2" xfId="48800"/>
    <cellStyle name="Normal 13 2 2 3 2 2 2" xfId="48801"/>
    <cellStyle name="Normal 13 2 2 3 2 2 3" xfId="48802"/>
    <cellStyle name="Normal 13 2 2 3 2 3" xfId="48803"/>
    <cellStyle name="Normal 13 2 2 3 2 4" xfId="48804"/>
    <cellStyle name="Normal 13 2 2 3 3" xfId="48805"/>
    <cellStyle name="Normal 13 2 2 3 3 2" xfId="48806"/>
    <cellStyle name="Normal 13 2 2 3 3 3" xfId="48807"/>
    <cellStyle name="Normal 13 2 2 3 4" xfId="48808"/>
    <cellStyle name="Normal 13 2 2 3 4 2" xfId="48809"/>
    <cellStyle name="Normal 13 2 2 3 4 3" xfId="48810"/>
    <cellStyle name="Normal 13 2 2 3 5" xfId="48811"/>
    <cellStyle name="Normal 13 2 2 3 6" xfId="48812"/>
    <cellStyle name="Normal 13 2 2 4" xfId="48813"/>
    <cellStyle name="Normal 13 2 2 4 2" xfId="48814"/>
    <cellStyle name="Normal 13 2 2 4 2 2" xfId="48815"/>
    <cellStyle name="Normal 13 2 2 4 2 3" xfId="48816"/>
    <cellStyle name="Normal 13 2 2 4 3" xfId="48817"/>
    <cellStyle name="Normal 13 2 2 4 4" xfId="48818"/>
    <cellStyle name="Normal 13 2 2 5" xfId="48819"/>
    <cellStyle name="Normal 13 2 2 5 2" xfId="48820"/>
    <cellStyle name="Normal 13 2 2 5 3" xfId="48821"/>
    <cellStyle name="Normal 13 2 2 6" xfId="48822"/>
    <cellStyle name="Normal 13 2 2 6 2" xfId="48823"/>
    <cellStyle name="Normal 13 2 2 6 3" xfId="48824"/>
    <cellStyle name="Normal 13 2 2 7" xfId="48825"/>
    <cellStyle name="Normal 13 2 2 8" xfId="48826"/>
    <cellStyle name="Normal 13 2 3" xfId="48827"/>
    <cellStyle name="Normal 13 2 3 2" xfId="48828"/>
    <cellStyle name="Normal 13 2 3 2 2" xfId="48829"/>
    <cellStyle name="Normal 13 2 3 2 2 2" xfId="48830"/>
    <cellStyle name="Normal 13 2 3 2 2 3" xfId="48831"/>
    <cellStyle name="Normal 13 2 3 2 3" xfId="48832"/>
    <cellStyle name="Normal 13 2 3 2 4" xfId="48833"/>
    <cellStyle name="Normal 13 2 3 3" xfId="48834"/>
    <cellStyle name="Normal 13 2 3 3 2" xfId="48835"/>
    <cellStyle name="Normal 13 2 3 3 3" xfId="48836"/>
    <cellStyle name="Normal 13 2 3 4" xfId="48837"/>
    <cellStyle name="Normal 13 2 3 4 2" xfId="48838"/>
    <cellStyle name="Normal 13 2 3 4 3" xfId="48839"/>
    <cellStyle name="Normal 13 2 3 5" xfId="48840"/>
    <cellStyle name="Normal 13 2 3 6" xfId="48841"/>
    <cellStyle name="Normal 13 2 4" xfId="48842"/>
    <cellStyle name="Normal 13 2 4 2" xfId="48843"/>
    <cellStyle name="Normal 13 2 4 2 2" xfId="48844"/>
    <cellStyle name="Normal 13 2 4 2 2 2" xfId="48845"/>
    <cellStyle name="Normal 13 2 4 2 2 3" xfId="48846"/>
    <cellStyle name="Normal 13 2 4 2 3" xfId="48847"/>
    <cellStyle name="Normal 13 2 4 2 4" xfId="48848"/>
    <cellStyle name="Normal 13 2 4 3" xfId="48849"/>
    <cellStyle name="Normal 13 2 4 3 2" xfId="48850"/>
    <cellStyle name="Normal 13 2 4 3 3" xfId="48851"/>
    <cellStyle name="Normal 13 2 4 4" xfId="48852"/>
    <cellStyle name="Normal 13 2 4 4 2" xfId="48853"/>
    <cellStyle name="Normal 13 2 4 4 3" xfId="48854"/>
    <cellStyle name="Normal 13 2 4 5" xfId="48855"/>
    <cellStyle name="Normal 13 2 4 6" xfId="48856"/>
    <cellStyle name="Normal 13 2 5" xfId="48857"/>
    <cellStyle name="Normal 13 2 5 2" xfId="48858"/>
    <cellStyle name="Normal 13 2 5 2 2" xfId="48859"/>
    <cellStyle name="Normal 13 2 5 2 3" xfId="48860"/>
    <cellStyle name="Normal 13 2 5 3" xfId="48861"/>
    <cellStyle name="Normal 13 2 5 4" xfId="48862"/>
    <cellStyle name="Normal 13 2 6" xfId="48863"/>
    <cellStyle name="Normal 13 2 6 2" xfId="48864"/>
    <cellStyle name="Normal 13 2 6 2 2" xfId="48865"/>
    <cellStyle name="Normal 13 2 6 2 3" xfId="48866"/>
    <cellStyle name="Normal 13 2 6 3" xfId="48867"/>
    <cellStyle name="Normal 13 2 6 4" xfId="48868"/>
    <cellStyle name="Normal 13 2 7" xfId="48869"/>
    <cellStyle name="Normal 13 2 7 2" xfId="48870"/>
    <cellStyle name="Normal 13 2 7 3" xfId="48871"/>
    <cellStyle name="Normal 13 2 8" xfId="48872"/>
    <cellStyle name="Normal 13 2 8 2" xfId="48873"/>
    <cellStyle name="Normal 13 2 8 3" xfId="48874"/>
    <cellStyle name="Normal 13 2 9" xfId="48875"/>
    <cellStyle name="Normal 13 3" xfId="48876"/>
    <cellStyle name="Normal 13 3 2" xfId="48877"/>
    <cellStyle name="Normal 13 3 2 2" xfId="48878"/>
    <cellStyle name="Normal 13 3 2 2 2" xfId="48879"/>
    <cellStyle name="Normal 13 3 2 2 2 2" xfId="48880"/>
    <cellStyle name="Normal 13 3 2 2 2 2 2" xfId="48881"/>
    <cellStyle name="Normal 13 3 2 2 2 3" xfId="48882"/>
    <cellStyle name="Normal 13 3 2 2 3" xfId="48883"/>
    <cellStyle name="Normal 13 3 2 2 3 2" xfId="48884"/>
    <cellStyle name="Normal 13 3 2 2 3 2 2" xfId="48885"/>
    <cellStyle name="Normal 13 3 2 2 3 3" xfId="48886"/>
    <cellStyle name="Normal 13 3 2 2 4" xfId="48887"/>
    <cellStyle name="Normal 13 3 2 2 4 2" xfId="48888"/>
    <cellStyle name="Normal 13 3 2 2 5" xfId="48889"/>
    <cellStyle name="Normal 13 3 2 3" xfId="48890"/>
    <cellStyle name="Normal 13 3 2 3 2" xfId="48891"/>
    <cellStyle name="Normal 13 3 2 3 2 2" xfId="48892"/>
    <cellStyle name="Normal 13 3 2 3 3" xfId="48893"/>
    <cellStyle name="Normal 13 3 2 4" xfId="48894"/>
    <cellStyle name="Normal 13 3 2 4 2" xfId="48895"/>
    <cellStyle name="Normal 13 3 2 4 2 2" xfId="48896"/>
    <cellStyle name="Normal 13 3 2 4 3" xfId="48897"/>
    <cellStyle name="Normal 13 3 2 5" xfId="48898"/>
    <cellStyle name="Normal 13 3 2 5 2" xfId="48899"/>
    <cellStyle name="Normal 13 3 2 6" xfId="48900"/>
    <cellStyle name="Normal 13 3 3" xfId="48901"/>
    <cellStyle name="Normal 13 3 3 2" xfId="48902"/>
    <cellStyle name="Normal 13 3 3 2 2" xfId="48903"/>
    <cellStyle name="Normal 13 3 3 2 2 2" xfId="48904"/>
    <cellStyle name="Normal 13 3 3 2 2 3" xfId="48905"/>
    <cellStyle name="Normal 13 3 3 2 3" xfId="48906"/>
    <cellStyle name="Normal 13 3 3 2 4" xfId="48907"/>
    <cellStyle name="Normal 13 3 3 3" xfId="48908"/>
    <cellStyle name="Normal 13 3 3 3 2" xfId="48909"/>
    <cellStyle name="Normal 13 3 3 3 3" xfId="48910"/>
    <cellStyle name="Normal 13 3 3 4" xfId="48911"/>
    <cellStyle name="Normal 13 3 3 4 2" xfId="48912"/>
    <cellStyle name="Normal 13 3 3 4 3" xfId="48913"/>
    <cellStyle name="Normal 13 3 3 5" xfId="48914"/>
    <cellStyle name="Normal 13 3 3 6" xfId="48915"/>
    <cellStyle name="Normal 13 3 4" xfId="48916"/>
    <cellStyle name="Normal 13 3 4 2" xfId="48917"/>
    <cellStyle name="Normal 13 3 4 2 2" xfId="48918"/>
    <cellStyle name="Normal 13 3 4 2 3" xfId="48919"/>
    <cellStyle name="Normal 13 3 4 3" xfId="48920"/>
    <cellStyle name="Normal 13 3 4 4" xfId="48921"/>
    <cellStyle name="Normal 13 3 5" xfId="48922"/>
    <cellStyle name="Normal 13 3 5 2" xfId="48923"/>
    <cellStyle name="Normal 13 3 5 3" xfId="48924"/>
    <cellStyle name="Normal 13 3 6" xfId="48925"/>
    <cellStyle name="Normal 13 3 6 2" xfId="48926"/>
    <cellStyle name="Normal 13 3 6 3" xfId="48927"/>
    <cellStyle name="Normal 13 3 7" xfId="48928"/>
    <cellStyle name="Normal 13 3 8" xfId="48929"/>
    <cellStyle name="Normal 13 4" xfId="48930"/>
    <cellStyle name="Normal 13 4 2" xfId="48931"/>
    <cellStyle name="Normal 13 4 2 2" xfId="48932"/>
    <cellStyle name="Normal 13 4 2 2 2" xfId="48933"/>
    <cellStyle name="Normal 13 4 2 2 3" xfId="48934"/>
    <cellStyle name="Normal 13 4 2 3" xfId="48935"/>
    <cellStyle name="Normal 13 4 2 4" xfId="48936"/>
    <cellStyle name="Normal 13 4 3" xfId="48937"/>
    <cellStyle name="Normal 13 4 3 2" xfId="48938"/>
    <cellStyle name="Normal 13 4 3 3" xfId="48939"/>
    <cellStyle name="Normal 13 4 4" xfId="48940"/>
    <cellStyle name="Normal 13 4 4 2" xfId="48941"/>
    <cellStyle name="Normal 13 4 4 3" xfId="48942"/>
    <cellStyle name="Normal 13 4 5" xfId="48943"/>
    <cellStyle name="Normal 13 4 6" xfId="48944"/>
    <cellStyle name="Normal 13 5" xfId="48945"/>
    <cellStyle name="Normal 13 5 2" xfId="48946"/>
    <cellStyle name="Normal 13 5 2 2" xfId="48947"/>
    <cellStyle name="Normal 13 5 2 2 2" xfId="48948"/>
    <cellStyle name="Normal 13 5 2 2 3" xfId="48949"/>
    <cellStyle name="Normal 13 5 2 3" xfId="48950"/>
    <cellStyle name="Normal 13 5 2 4" xfId="48951"/>
    <cellStyle name="Normal 13 5 3" xfId="48952"/>
    <cellStyle name="Normal 13 5 3 2" xfId="48953"/>
    <cellStyle name="Normal 13 5 3 3" xfId="48954"/>
    <cellStyle name="Normal 13 5 4" xfId="48955"/>
    <cellStyle name="Normal 13 5 4 2" xfId="48956"/>
    <cellStyle name="Normal 13 5 4 3" xfId="48957"/>
    <cellStyle name="Normal 13 5 5" xfId="48958"/>
    <cellStyle name="Normal 13 5 6" xfId="48959"/>
    <cellStyle name="Normal 13 6" xfId="48960"/>
    <cellStyle name="Normal 13 6 2" xfId="48961"/>
    <cellStyle name="Normal 13 6 2 2" xfId="48962"/>
    <cellStyle name="Normal 13 6 2 3" xfId="48963"/>
    <cellStyle name="Normal 13 6 3" xfId="48964"/>
    <cellStyle name="Normal 13 6 4" xfId="48965"/>
    <cellStyle name="Normal 13 7" xfId="48966"/>
    <cellStyle name="Normal 13 7 2" xfId="48967"/>
    <cellStyle name="Normal 13 7 2 2" xfId="48968"/>
    <cellStyle name="Normal 13 7 2 3" xfId="48969"/>
    <cellStyle name="Normal 13 7 3" xfId="48970"/>
    <cellStyle name="Normal 13 7 4" xfId="48971"/>
    <cellStyle name="Normal 13 8" xfId="48972"/>
    <cellStyle name="Normal 13 8 2" xfId="48973"/>
    <cellStyle name="Normal 13 8 3" xfId="48974"/>
    <cellStyle name="Normal 13 9" xfId="48975"/>
    <cellStyle name="Normal 13 9 2" xfId="48976"/>
    <cellStyle name="Normal 13 9 3" xfId="48977"/>
    <cellStyle name="Normal 130" xfId="48978"/>
    <cellStyle name="Normal 130 2" xfId="48979"/>
    <cellStyle name="Normal 130 2 2" xfId="48980"/>
    <cellStyle name="Normal 130 2 3" xfId="48981"/>
    <cellStyle name="Normal 130 3" xfId="48982"/>
    <cellStyle name="Normal 130 3 2" xfId="48983"/>
    <cellStyle name="Normal 130 3 3" xfId="48984"/>
    <cellStyle name="Normal 130 4" xfId="48985"/>
    <cellStyle name="Normal 130 5" xfId="48986"/>
    <cellStyle name="Normal 131" xfId="48987"/>
    <cellStyle name="Normal 131 2" xfId="48988"/>
    <cellStyle name="Normal 131 2 2" xfId="48989"/>
    <cellStyle name="Normal 131 2 3" xfId="48990"/>
    <cellStyle name="Normal 131 3" xfId="48991"/>
    <cellStyle name="Normal 131 3 2" xfId="48992"/>
    <cellStyle name="Normal 131 3 3" xfId="48993"/>
    <cellStyle name="Normal 131 4" xfId="48994"/>
    <cellStyle name="Normal 131 5" xfId="48995"/>
    <cellStyle name="Normal 132" xfId="48996"/>
    <cellStyle name="Normal 132 2" xfId="48997"/>
    <cellStyle name="Normal 132 2 2" xfId="48998"/>
    <cellStyle name="Normal 132 2 3" xfId="48999"/>
    <cellStyle name="Normal 132 3" xfId="49000"/>
    <cellStyle name="Normal 132 3 2" xfId="49001"/>
    <cellStyle name="Normal 132 3 3" xfId="49002"/>
    <cellStyle name="Normal 132 4" xfId="49003"/>
    <cellStyle name="Normal 132 5" xfId="49004"/>
    <cellStyle name="Normal 133" xfId="49005"/>
    <cellStyle name="Normal 133 2" xfId="49006"/>
    <cellStyle name="Normal 133 2 2" xfId="49007"/>
    <cellStyle name="Normal 133 2 3" xfId="49008"/>
    <cellStyle name="Normal 133 3" xfId="49009"/>
    <cellStyle name="Normal 133 3 2" xfId="49010"/>
    <cellStyle name="Normal 133 3 3" xfId="49011"/>
    <cellStyle name="Normal 133 4" xfId="49012"/>
    <cellStyle name="Normal 133 5" xfId="49013"/>
    <cellStyle name="Normal 133 6" xfId="49014"/>
    <cellStyle name="Normal 134" xfId="49015"/>
    <cellStyle name="Normal 134 2" xfId="49016"/>
    <cellStyle name="Normal 134 2 2" xfId="49017"/>
    <cellStyle name="Normal 134 2 3" xfId="49018"/>
    <cellStyle name="Normal 134 3" xfId="49019"/>
    <cellStyle name="Normal 134 3 2" xfId="49020"/>
    <cellStyle name="Normal 134 3 3" xfId="49021"/>
    <cellStyle name="Normal 134 4" xfId="49022"/>
    <cellStyle name="Normal 134 5" xfId="49023"/>
    <cellStyle name="Normal 135" xfId="49024"/>
    <cellStyle name="Normal 135 2" xfId="49025"/>
    <cellStyle name="Normal 135 2 2" xfId="49026"/>
    <cellStyle name="Normal 135 2 3" xfId="49027"/>
    <cellStyle name="Normal 135 3" xfId="49028"/>
    <cellStyle name="Normal 135 3 2" xfId="49029"/>
    <cellStyle name="Normal 135 3 3" xfId="49030"/>
    <cellStyle name="Normal 135 4" xfId="49031"/>
    <cellStyle name="Normal 135 5" xfId="49032"/>
    <cellStyle name="Normal 136" xfId="49033"/>
    <cellStyle name="Normal 136 2" xfId="49034"/>
    <cellStyle name="Normal 136 2 2" xfId="49035"/>
    <cellStyle name="Normal 136 2 3" xfId="49036"/>
    <cellStyle name="Normal 136 3" xfId="49037"/>
    <cellStyle name="Normal 136 3 2" xfId="49038"/>
    <cellStyle name="Normal 136 3 3" xfId="49039"/>
    <cellStyle name="Normal 136 4" xfId="49040"/>
    <cellStyle name="Normal 136 5" xfId="49041"/>
    <cellStyle name="Normal 137" xfId="49042"/>
    <cellStyle name="Normal 137 2" xfId="49043"/>
    <cellStyle name="Normal 137 2 2" xfId="49044"/>
    <cellStyle name="Normal 137 2 3" xfId="49045"/>
    <cellStyle name="Normal 137 3" xfId="49046"/>
    <cellStyle name="Normal 137 3 2" xfId="49047"/>
    <cellStyle name="Normal 137 3 3" xfId="49048"/>
    <cellStyle name="Normal 137 4" xfId="49049"/>
    <cellStyle name="Normal 137 5" xfId="49050"/>
    <cellStyle name="Normal 138" xfId="49051"/>
    <cellStyle name="Normal 138 2" xfId="49052"/>
    <cellStyle name="Normal 138 2 2" xfId="49053"/>
    <cellStyle name="Normal 138 2 3" xfId="49054"/>
    <cellStyle name="Normal 138 3" xfId="49055"/>
    <cellStyle name="Normal 138 3 2" xfId="49056"/>
    <cellStyle name="Normal 138 3 3" xfId="49057"/>
    <cellStyle name="Normal 138 4" xfId="49058"/>
    <cellStyle name="Normal 138 5" xfId="49059"/>
    <cellStyle name="Normal 139" xfId="49060"/>
    <cellStyle name="Normal 139 2" xfId="49061"/>
    <cellStyle name="Normal 139 2 2" xfId="49062"/>
    <cellStyle name="Normal 139 2 3" xfId="49063"/>
    <cellStyle name="Normal 139 3" xfId="49064"/>
    <cellStyle name="Normal 139 3 2" xfId="49065"/>
    <cellStyle name="Normal 139 3 3" xfId="49066"/>
    <cellStyle name="Normal 139 4" xfId="49067"/>
    <cellStyle name="Normal 139 5" xfId="49068"/>
    <cellStyle name="Normal 14" xfId="49069"/>
    <cellStyle name="Normal 14 10" xfId="49070"/>
    <cellStyle name="Normal 14 11" xfId="49071"/>
    <cellStyle name="Normal 14 2" xfId="49072"/>
    <cellStyle name="Normal 14 2 10" xfId="49073"/>
    <cellStyle name="Normal 14 2 2" xfId="49074"/>
    <cellStyle name="Normal 14 2 2 2" xfId="49075"/>
    <cellStyle name="Normal 14 2 2 2 2" xfId="49076"/>
    <cellStyle name="Normal 14 2 2 2 2 2" xfId="49077"/>
    <cellStyle name="Normal 14 2 2 2 2 2 2" xfId="49078"/>
    <cellStyle name="Normal 14 2 2 2 2 2 3" xfId="49079"/>
    <cellStyle name="Normal 14 2 2 2 2 3" xfId="49080"/>
    <cellStyle name="Normal 14 2 2 2 2 4" xfId="49081"/>
    <cellStyle name="Normal 14 2 2 2 3" xfId="49082"/>
    <cellStyle name="Normal 14 2 2 2 3 2" xfId="49083"/>
    <cellStyle name="Normal 14 2 2 2 3 3" xfId="49084"/>
    <cellStyle name="Normal 14 2 2 2 4" xfId="49085"/>
    <cellStyle name="Normal 14 2 2 2 4 2" xfId="49086"/>
    <cellStyle name="Normal 14 2 2 2 4 3" xfId="49087"/>
    <cellStyle name="Normal 14 2 2 2 5" xfId="49088"/>
    <cellStyle name="Normal 14 2 2 2 6" xfId="49089"/>
    <cellStyle name="Normal 14 2 2 3" xfId="49090"/>
    <cellStyle name="Normal 14 2 2 3 2" xfId="49091"/>
    <cellStyle name="Normal 14 2 2 3 2 2" xfId="49092"/>
    <cellStyle name="Normal 14 2 2 3 2 2 2" xfId="49093"/>
    <cellStyle name="Normal 14 2 2 3 2 2 3" xfId="49094"/>
    <cellStyle name="Normal 14 2 2 3 2 3" xfId="49095"/>
    <cellStyle name="Normal 14 2 2 3 2 4" xfId="49096"/>
    <cellStyle name="Normal 14 2 2 3 3" xfId="49097"/>
    <cellStyle name="Normal 14 2 2 3 3 2" xfId="49098"/>
    <cellStyle name="Normal 14 2 2 3 3 3" xfId="49099"/>
    <cellStyle name="Normal 14 2 2 3 4" xfId="49100"/>
    <cellStyle name="Normal 14 2 2 3 4 2" xfId="49101"/>
    <cellStyle name="Normal 14 2 2 3 4 3" xfId="49102"/>
    <cellStyle name="Normal 14 2 2 3 5" xfId="49103"/>
    <cellStyle name="Normal 14 2 2 3 6" xfId="49104"/>
    <cellStyle name="Normal 14 2 2 4" xfId="49105"/>
    <cellStyle name="Normal 14 2 2 4 2" xfId="49106"/>
    <cellStyle name="Normal 14 2 2 4 2 2" xfId="49107"/>
    <cellStyle name="Normal 14 2 2 4 2 3" xfId="49108"/>
    <cellStyle name="Normal 14 2 2 4 3" xfId="49109"/>
    <cellStyle name="Normal 14 2 2 4 4" xfId="49110"/>
    <cellStyle name="Normal 14 2 2 5" xfId="49111"/>
    <cellStyle name="Normal 14 2 2 5 2" xfId="49112"/>
    <cellStyle name="Normal 14 2 2 5 3" xfId="49113"/>
    <cellStyle name="Normal 14 2 2 6" xfId="49114"/>
    <cellStyle name="Normal 14 2 2 6 2" xfId="49115"/>
    <cellStyle name="Normal 14 2 2 6 3" xfId="49116"/>
    <cellStyle name="Normal 14 2 2 7" xfId="49117"/>
    <cellStyle name="Normal 14 2 2 8" xfId="49118"/>
    <cellStyle name="Normal 14 2 3" xfId="49119"/>
    <cellStyle name="Normal 14 2 3 2" xfId="49120"/>
    <cellStyle name="Normal 14 2 3 2 2" xfId="49121"/>
    <cellStyle name="Normal 14 2 3 2 2 2" xfId="49122"/>
    <cellStyle name="Normal 14 2 3 2 2 3" xfId="49123"/>
    <cellStyle name="Normal 14 2 3 2 3" xfId="49124"/>
    <cellStyle name="Normal 14 2 3 2 4" xfId="49125"/>
    <cellStyle name="Normal 14 2 3 3" xfId="49126"/>
    <cellStyle name="Normal 14 2 3 3 2" xfId="49127"/>
    <cellStyle name="Normal 14 2 3 3 3" xfId="49128"/>
    <cellStyle name="Normal 14 2 3 4" xfId="49129"/>
    <cellStyle name="Normal 14 2 3 4 2" xfId="49130"/>
    <cellStyle name="Normal 14 2 3 4 3" xfId="49131"/>
    <cellStyle name="Normal 14 2 3 5" xfId="49132"/>
    <cellStyle name="Normal 14 2 3 6" xfId="49133"/>
    <cellStyle name="Normal 14 2 4" xfId="49134"/>
    <cellStyle name="Normal 14 2 4 2" xfId="49135"/>
    <cellStyle name="Normal 14 2 4 2 2" xfId="49136"/>
    <cellStyle name="Normal 14 2 4 2 2 2" xfId="49137"/>
    <cellStyle name="Normal 14 2 4 2 2 3" xfId="49138"/>
    <cellStyle name="Normal 14 2 4 2 3" xfId="49139"/>
    <cellStyle name="Normal 14 2 4 2 4" xfId="49140"/>
    <cellStyle name="Normal 14 2 4 3" xfId="49141"/>
    <cellStyle name="Normal 14 2 4 3 2" xfId="49142"/>
    <cellStyle name="Normal 14 2 4 3 3" xfId="49143"/>
    <cellStyle name="Normal 14 2 4 4" xfId="49144"/>
    <cellStyle name="Normal 14 2 4 4 2" xfId="49145"/>
    <cellStyle name="Normal 14 2 4 4 3" xfId="49146"/>
    <cellStyle name="Normal 14 2 4 5" xfId="49147"/>
    <cellStyle name="Normal 14 2 4 6" xfId="49148"/>
    <cellStyle name="Normal 14 2 5" xfId="49149"/>
    <cellStyle name="Normal 14 2 5 2" xfId="49150"/>
    <cellStyle name="Normal 14 2 5 2 2" xfId="49151"/>
    <cellStyle name="Normal 14 2 5 2 3" xfId="49152"/>
    <cellStyle name="Normal 14 2 5 3" xfId="49153"/>
    <cellStyle name="Normal 14 2 5 4" xfId="49154"/>
    <cellStyle name="Normal 14 2 6" xfId="49155"/>
    <cellStyle name="Normal 14 2 6 2" xfId="49156"/>
    <cellStyle name="Normal 14 2 6 2 2" xfId="49157"/>
    <cellStyle name="Normal 14 2 6 2 3" xfId="49158"/>
    <cellStyle name="Normal 14 2 6 3" xfId="49159"/>
    <cellStyle name="Normal 14 2 6 4" xfId="49160"/>
    <cellStyle name="Normal 14 2 7" xfId="49161"/>
    <cellStyle name="Normal 14 2 7 2" xfId="49162"/>
    <cellStyle name="Normal 14 2 7 3" xfId="49163"/>
    <cellStyle name="Normal 14 2 8" xfId="49164"/>
    <cellStyle name="Normal 14 2 8 2" xfId="49165"/>
    <cellStyle name="Normal 14 2 8 3" xfId="49166"/>
    <cellStyle name="Normal 14 2 9" xfId="49167"/>
    <cellStyle name="Normal 14 3" xfId="49168"/>
    <cellStyle name="Normal 14 3 2" xfId="49169"/>
    <cellStyle name="Normal 14 3 2 2" xfId="49170"/>
    <cellStyle name="Normal 14 3 2 2 2" xfId="49171"/>
    <cellStyle name="Normal 14 3 2 2 2 2" xfId="49172"/>
    <cellStyle name="Normal 14 3 2 2 2 3" xfId="49173"/>
    <cellStyle name="Normal 14 3 2 2 3" xfId="49174"/>
    <cellStyle name="Normal 14 3 2 2 4" xfId="49175"/>
    <cellStyle name="Normal 14 3 2 3" xfId="49176"/>
    <cellStyle name="Normal 14 3 2 3 2" xfId="49177"/>
    <cellStyle name="Normal 14 3 2 3 3" xfId="49178"/>
    <cellStyle name="Normal 14 3 2 4" xfId="49179"/>
    <cellStyle name="Normal 14 3 2 4 2" xfId="49180"/>
    <cellStyle name="Normal 14 3 2 4 3" xfId="49181"/>
    <cellStyle name="Normal 14 3 2 5" xfId="49182"/>
    <cellStyle name="Normal 14 3 2 6" xfId="49183"/>
    <cellStyle name="Normal 14 3 3" xfId="49184"/>
    <cellStyle name="Normal 14 3 3 2" xfId="49185"/>
    <cellStyle name="Normal 14 3 3 2 2" xfId="49186"/>
    <cellStyle name="Normal 14 3 3 2 2 2" xfId="49187"/>
    <cellStyle name="Normal 14 3 3 2 2 3" xfId="49188"/>
    <cellStyle name="Normal 14 3 3 2 3" xfId="49189"/>
    <cellStyle name="Normal 14 3 3 2 4" xfId="49190"/>
    <cellStyle name="Normal 14 3 3 3" xfId="49191"/>
    <cellStyle name="Normal 14 3 3 3 2" xfId="49192"/>
    <cellStyle name="Normal 14 3 3 3 3" xfId="49193"/>
    <cellStyle name="Normal 14 3 3 4" xfId="49194"/>
    <cellStyle name="Normal 14 3 3 4 2" xfId="49195"/>
    <cellStyle name="Normal 14 3 3 4 3" xfId="49196"/>
    <cellStyle name="Normal 14 3 3 5" xfId="49197"/>
    <cellStyle name="Normal 14 3 3 6" xfId="49198"/>
    <cellStyle name="Normal 14 3 4" xfId="49199"/>
    <cellStyle name="Normal 14 3 4 2" xfId="49200"/>
    <cellStyle name="Normal 14 3 4 2 2" xfId="49201"/>
    <cellStyle name="Normal 14 3 4 2 3" xfId="49202"/>
    <cellStyle name="Normal 14 3 4 3" xfId="49203"/>
    <cellStyle name="Normal 14 3 4 4" xfId="49204"/>
    <cellStyle name="Normal 14 3 5" xfId="49205"/>
    <cellStyle name="Normal 14 3 5 2" xfId="49206"/>
    <cellStyle name="Normal 14 3 5 3" xfId="49207"/>
    <cellStyle name="Normal 14 3 6" xfId="49208"/>
    <cellStyle name="Normal 14 3 6 2" xfId="49209"/>
    <cellStyle name="Normal 14 3 6 3" xfId="49210"/>
    <cellStyle name="Normal 14 3 7" xfId="49211"/>
    <cellStyle name="Normal 14 3 8" xfId="49212"/>
    <cellStyle name="Normal 14 4" xfId="49213"/>
    <cellStyle name="Normal 14 4 2" xfId="49214"/>
    <cellStyle name="Normal 14 4 2 2" xfId="49215"/>
    <cellStyle name="Normal 14 4 2 2 2" xfId="49216"/>
    <cellStyle name="Normal 14 4 2 2 3" xfId="49217"/>
    <cellStyle name="Normal 14 4 2 3" xfId="49218"/>
    <cellStyle name="Normal 14 4 2 4" xfId="49219"/>
    <cellStyle name="Normal 14 4 3" xfId="49220"/>
    <cellStyle name="Normal 14 4 3 2" xfId="49221"/>
    <cellStyle name="Normal 14 4 3 3" xfId="49222"/>
    <cellStyle name="Normal 14 4 4" xfId="49223"/>
    <cellStyle name="Normal 14 4 4 2" xfId="49224"/>
    <cellStyle name="Normal 14 4 4 3" xfId="49225"/>
    <cellStyle name="Normal 14 4 5" xfId="49226"/>
    <cellStyle name="Normal 14 4 6" xfId="49227"/>
    <cellStyle name="Normal 14 5" xfId="49228"/>
    <cellStyle name="Normal 14 5 2" xfId="49229"/>
    <cellStyle name="Normal 14 5 2 2" xfId="49230"/>
    <cellStyle name="Normal 14 5 2 2 2" xfId="49231"/>
    <cellStyle name="Normal 14 5 2 2 3" xfId="49232"/>
    <cellStyle name="Normal 14 5 2 3" xfId="49233"/>
    <cellStyle name="Normal 14 5 2 4" xfId="49234"/>
    <cellStyle name="Normal 14 5 3" xfId="49235"/>
    <cellStyle name="Normal 14 5 3 2" xfId="49236"/>
    <cellStyle name="Normal 14 5 3 3" xfId="49237"/>
    <cellStyle name="Normal 14 5 4" xfId="49238"/>
    <cellStyle name="Normal 14 5 4 2" xfId="49239"/>
    <cellStyle name="Normal 14 5 4 3" xfId="49240"/>
    <cellStyle name="Normal 14 5 5" xfId="49241"/>
    <cellStyle name="Normal 14 5 6" xfId="49242"/>
    <cellStyle name="Normal 14 6" xfId="49243"/>
    <cellStyle name="Normal 14 6 2" xfId="49244"/>
    <cellStyle name="Normal 14 6 2 2" xfId="49245"/>
    <cellStyle name="Normal 14 6 2 3" xfId="49246"/>
    <cellStyle name="Normal 14 6 3" xfId="49247"/>
    <cellStyle name="Normal 14 6 4" xfId="49248"/>
    <cellStyle name="Normal 14 7" xfId="49249"/>
    <cellStyle name="Normal 14 7 2" xfId="49250"/>
    <cellStyle name="Normal 14 7 2 2" xfId="49251"/>
    <cellStyle name="Normal 14 7 2 3" xfId="49252"/>
    <cellStyle name="Normal 14 7 3" xfId="49253"/>
    <cellStyle name="Normal 14 7 4" xfId="49254"/>
    <cellStyle name="Normal 14 8" xfId="49255"/>
    <cellStyle name="Normal 14 8 2" xfId="49256"/>
    <cellStyle name="Normal 14 8 3" xfId="49257"/>
    <cellStyle name="Normal 14 9" xfId="49258"/>
    <cellStyle name="Normal 14 9 2" xfId="49259"/>
    <cellStyle name="Normal 14 9 3" xfId="49260"/>
    <cellStyle name="Normal 140" xfId="49261"/>
    <cellStyle name="Normal 140 2" xfId="49262"/>
    <cellStyle name="Normal 140 2 2" xfId="49263"/>
    <cellStyle name="Normal 140 2 3" xfId="49264"/>
    <cellStyle name="Normal 140 3" xfId="49265"/>
    <cellStyle name="Normal 140 3 2" xfId="49266"/>
    <cellStyle name="Normal 140 3 3" xfId="49267"/>
    <cellStyle name="Normal 140 4" xfId="49268"/>
    <cellStyle name="Normal 140 5" xfId="49269"/>
    <cellStyle name="Normal 141" xfId="49270"/>
    <cellStyle name="Normal 141 2" xfId="49271"/>
    <cellStyle name="Normal 141 2 2" xfId="49272"/>
    <cellStyle name="Normal 141 2 3" xfId="49273"/>
    <cellStyle name="Normal 141 3" xfId="49274"/>
    <cellStyle name="Normal 141 3 2" xfId="49275"/>
    <cellStyle name="Normal 141 3 3" xfId="49276"/>
    <cellStyle name="Normal 141 4" xfId="49277"/>
    <cellStyle name="Normal 141 5" xfId="49278"/>
    <cellStyle name="Normal 142" xfId="49279"/>
    <cellStyle name="Normal 142 2" xfId="49280"/>
    <cellStyle name="Normal 142 2 2" xfId="49281"/>
    <cellStyle name="Normal 142 2 3" xfId="49282"/>
    <cellStyle name="Normal 142 3" xfId="49283"/>
    <cellStyle name="Normal 142 3 2" xfId="49284"/>
    <cellStyle name="Normal 142 3 3" xfId="49285"/>
    <cellStyle name="Normal 142 4" xfId="49286"/>
    <cellStyle name="Normal 142 5" xfId="49287"/>
    <cellStyle name="Normal 143" xfId="49288"/>
    <cellStyle name="Normal 143 2" xfId="49289"/>
    <cellStyle name="Normal 143 2 2" xfId="49290"/>
    <cellStyle name="Normal 143 2 3" xfId="49291"/>
    <cellStyle name="Normal 143 3" xfId="49292"/>
    <cellStyle name="Normal 143 3 2" xfId="49293"/>
    <cellStyle name="Normal 143 3 3" xfId="49294"/>
    <cellStyle name="Normal 143 4" xfId="49295"/>
    <cellStyle name="Normal 143 4 2" xfId="49296"/>
    <cellStyle name="Normal 143 4 3" xfId="49297"/>
    <cellStyle name="Normal 143 5" xfId="49298"/>
    <cellStyle name="Normal 144" xfId="49299"/>
    <cellStyle name="Normal 144 2" xfId="49300"/>
    <cellStyle name="Normal 144 2 2" xfId="49301"/>
    <cellStyle name="Normal 144 2 3" xfId="49302"/>
    <cellStyle name="Normal 144 3" xfId="49303"/>
    <cellStyle name="Normal 144 3 2" xfId="49304"/>
    <cellStyle name="Normal 144 3 3" xfId="49305"/>
    <cellStyle name="Normal 144 4" xfId="49306"/>
    <cellStyle name="Normal 144 5" xfId="49307"/>
    <cellStyle name="Normal 145" xfId="49308"/>
    <cellStyle name="Normal 145 2" xfId="49309"/>
    <cellStyle name="Normal 145 2 2" xfId="49310"/>
    <cellStyle name="Normal 145 2 3" xfId="49311"/>
    <cellStyle name="Normal 145 3" xfId="49312"/>
    <cellStyle name="Normal 145 3 2" xfId="49313"/>
    <cellStyle name="Normal 145 3 3" xfId="49314"/>
    <cellStyle name="Normal 145 4" xfId="49315"/>
    <cellStyle name="Normal 145 5" xfId="49316"/>
    <cellStyle name="Normal 146" xfId="49317"/>
    <cellStyle name="Normal 146 2" xfId="49318"/>
    <cellStyle name="Normal 146 2 2" xfId="49319"/>
    <cellStyle name="Normal 146 2 3" xfId="49320"/>
    <cellStyle name="Normal 146 3" xfId="49321"/>
    <cellStyle name="Normal 146 3 2" xfId="49322"/>
    <cellStyle name="Normal 146 3 3" xfId="49323"/>
    <cellStyle name="Normal 146 4" xfId="49324"/>
    <cellStyle name="Normal 146 5" xfId="49325"/>
    <cellStyle name="Normal 147" xfId="49326"/>
    <cellStyle name="Normal 147 2" xfId="49327"/>
    <cellStyle name="Normal 147 2 2" xfId="49328"/>
    <cellStyle name="Normal 147 2 3" xfId="49329"/>
    <cellStyle name="Normal 147 3" xfId="49330"/>
    <cellStyle name="Normal 147 3 2" xfId="49331"/>
    <cellStyle name="Normal 147 3 3" xfId="49332"/>
    <cellStyle name="Normal 147 4" xfId="49333"/>
    <cellStyle name="Normal 147 5" xfId="49334"/>
    <cellStyle name="Normal 148" xfId="49335"/>
    <cellStyle name="Normal 148 2" xfId="49336"/>
    <cellStyle name="Normal 148 2 2" xfId="49337"/>
    <cellStyle name="Normal 148 2 3" xfId="49338"/>
    <cellStyle name="Normal 148 3" xfId="49339"/>
    <cellStyle name="Normal 148 3 2" xfId="49340"/>
    <cellStyle name="Normal 148 3 3" xfId="49341"/>
    <cellStyle name="Normal 148 4" xfId="49342"/>
    <cellStyle name="Normal 148 5" xfId="49343"/>
    <cellStyle name="Normal 149" xfId="49344"/>
    <cellStyle name="Normal 149 2" xfId="49345"/>
    <cellStyle name="Normal 149 2 2" xfId="49346"/>
    <cellStyle name="Normal 149 2 3" xfId="49347"/>
    <cellStyle name="Normal 149 3" xfId="49348"/>
    <cellStyle name="Normal 149 3 2" xfId="49349"/>
    <cellStyle name="Normal 149 3 3" xfId="49350"/>
    <cellStyle name="Normal 149 4" xfId="49351"/>
    <cellStyle name="Normal 149 5" xfId="49352"/>
    <cellStyle name="Normal 15" xfId="49353"/>
    <cellStyle name="Normal 15 10" xfId="49354"/>
    <cellStyle name="Normal 15 11" xfId="49355"/>
    <cellStyle name="Normal 15 12" xfId="49356"/>
    <cellStyle name="Normal 15 2" xfId="49357"/>
    <cellStyle name="Normal 15 2 10" xfId="49358"/>
    <cellStyle name="Normal 15 2 2" xfId="49359"/>
    <cellStyle name="Normal 15 2 2 2" xfId="49360"/>
    <cellStyle name="Normal 15 2 2 2 2" xfId="49361"/>
    <cellStyle name="Normal 15 2 2 2 2 2" xfId="49362"/>
    <cellStyle name="Normal 15 2 2 2 2 2 2" xfId="49363"/>
    <cellStyle name="Normal 15 2 2 2 2 2 3" xfId="49364"/>
    <cellStyle name="Normal 15 2 2 2 2 3" xfId="49365"/>
    <cellStyle name="Normal 15 2 2 2 2 4" xfId="49366"/>
    <cellStyle name="Normal 15 2 2 2 3" xfId="49367"/>
    <cellStyle name="Normal 15 2 2 2 3 2" xfId="49368"/>
    <cellStyle name="Normal 15 2 2 2 3 3" xfId="49369"/>
    <cellStyle name="Normal 15 2 2 2 4" xfId="49370"/>
    <cellStyle name="Normal 15 2 2 2 4 2" xfId="49371"/>
    <cellStyle name="Normal 15 2 2 2 4 3" xfId="49372"/>
    <cellStyle name="Normal 15 2 2 2 5" xfId="49373"/>
    <cellStyle name="Normal 15 2 2 2 6" xfId="49374"/>
    <cellStyle name="Normal 15 2 2 3" xfId="49375"/>
    <cellStyle name="Normal 15 2 2 3 2" xfId="49376"/>
    <cellStyle name="Normal 15 2 2 3 2 2" xfId="49377"/>
    <cellStyle name="Normal 15 2 2 3 2 2 2" xfId="49378"/>
    <cellStyle name="Normal 15 2 2 3 2 2 3" xfId="49379"/>
    <cellStyle name="Normal 15 2 2 3 2 3" xfId="49380"/>
    <cellStyle name="Normal 15 2 2 3 2 4" xfId="49381"/>
    <cellStyle name="Normal 15 2 2 3 3" xfId="49382"/>
    <cellStyle name="Normal 15 2 2 3 3 2" xfId="49383"/>
    <cellStyle name="Normal 15 2 2 3 3 3" xfId="49384"/>
    <cellStyle name="Normal 15 2 2 3 4" xfId="49385"/>
    <cellStyle name="Normal 15 2 2 3 4 2" xfId="49386"/>
    <cellStyle name="Normal 15 2 2 3 4 3" xfId="49387"/>
    <cellStyle name="Normal 15 2 2 3 5" xfId="49388"/>
    <cellStyle name="Normal 15 2 2 3 6" xfId="49389"/>
    <cellStyle name="Normal 15 2 2 4" xfId="49390"/>
    <cellStyle name="Normal 15 2 2 4 2" xfId="49391"/>
    <cellStyle name="Normal 15 2 2 4 2 2" xfId="49392"/>
    <cellStyle name="Normal 15 2 2 4 2 3" xfId="49393"/>
    <cellStyle name="Normal 15 2 2 4 3" xfId="49394"/>
    <cellStyle name="Normal 15 2 2 4 4" xfId="49395"/>
    <cellStyle name="Normal 15 2 2 5" xfId="49396"/>
    <cellStyle name="Normal 15 2 2 5 2" xfId="49397"/>
    <cellStyle name="Normal 15 2 2 5 3" xfId="49398"/>
    <cellStyle name="Normal 15 2 2 6" xfId="49399"/>
    <cellStyle name="Normal 15 2 2 6 2" xfId="49400"/>
    <cellStyle name="Normal 15 2 2 6 3" xfId="49401"/>
    <cellStyle name="Normal 15 2 2 7" xfId="49402"/>
    <cellStyle name="Normal 15 2 2 8" xfId="49403"/>
    <cellStyle name="Normal 15 2 3" xfId="49404"/>
    <cellStyle name="Normal 15 2 3 2" xfId="49405"/>
    <cellStyle name="Normal 15 2 3 2 2" xfId="49406"/>
    <cellStyle name="Normal 15 2 3 2 2 2" xfId="49407"/>
    <cellStyle name="Normal 15 2 3 2 2 3" xfId="49408"/>
    <cellStyle name="Normal 15 2 3 2 3" xfId="49409"/>
    <cellStyle name="Normal 15 2 3 2 4" xfId="49410"/>
    <cellStyle name="Normal 15 2 3 3" xfId="49411"/>
    <cellStyle name="Normal 15 2 3 3 2" xfId="49412"/>
    <cellStyle name="Normal 15 2 3 3 3" xfId="49413"/>
    <cellStyle name="Normal 15 2 3 4" xfId="49414"/>
    <cellStyle name="Normal 15 2 3 4 2" xfId="49415"/>
    <cellStyle name="Normal 15 2 3 4 3" xfId="49416"/>
    <cellStyle name="Normal 15 2 3 5" xfId="49417"/>
    <cellStyle name="Normal 15 2 3 6" xfId="49418"/>
    <cellStyle name="Normal 15 2 4" xfId="49419"/>
    <cellStyle name="Normal 15 2 4 2" xfId="49420"/>
    <cellStyle name="Normal 15 2 4 2 2" xfId="49421"/>
    <cellStyle name="Normal 15 2 4 2 2 2" xfId="49422"/>
    <cellStyle name="Normal 15 2 4 2 2 3" xfId="49423"/>
    <cellStyle name="Normal 15 2 4 2 3" xfId="49424"/>
    <cellStyle name="Normal 15 2 4 2 4" xfId="49425"/>
    <cellStyle name="Normal 15 2 4 3" xfId="49426"/>
    <cellStyle name="Normal 15 2 4 3 2" xfId="49427"/>
    <cellStyle name="Normal 15 2 4 3 3" xfId="49428"/>
    <cellStyle name="Normal 15 2 4 4" xfId="49429"/>
    <cellStyle name="Normal 15 2 4 4 2" xfId="49430"/>
    <cellStyle name="Normal 15 2 4 4 3" xfId="49431"/>
    <cellStyle name="Normal 15 2 4 5" xfId="49432"/>
    <cellStyle name="Normal 15 2 4 6" xfId="49433"/>
    <cellStyle name="Normal 15 2 5" xfId="49434"/>
    <cellStyle name="Normal 15 2 5 2" xfId="49435"/>
    <cellStyle name="Normal 15 2 5 2 2" xfId="49436"/>
    <cellStyle name="Normal 15 2 5 2 3" xfId="49437"/>
    <cellStyle name="Normal 15 2 5 3" xfId="49438"/>
    <cellStyle name="Normal 15 2 5 4" xfId="49439"/>
    <cellStyle name="Normal 15 2 6" xfId="49440"/>
    <cellStyle name="Normal 15 2 6 2" xfId="49441"/>
    <cellStyle name="Normal 15 2 6 2 2" xfId="49442"/>
    <cellStyle name="Normal 15 2 6 2 3" xfId="49443"/>
    <cellStyle name="Normal 15 2 6 3" xfId="49444"/>
    <cellStyle name="Normal 15 2 6 4" xfId="49445"/>
    <cellStyle name="Normal 15 2 7" xfId="49446"/>
    <cellStyle name="Normal 15 2 7 2" xfId="49447"/>
    <cellStyle name="Normal 15 2 7 3" xfId="49448"/>
    <cellStyle name="Normal 15 2 8" xfId="49449"/>
    <cellStyle name="Normal 15 2 8 2" xfId="49450"/>
    <cellStyle name="Normal 15 2 8 3" xfId="49451"/>
    <cellStyle name="Normal 15 2 9" xfId="49452"/>
    <cellStyle name="Normal 15 3" xfId="49453"/>
    <cellStyle name="Normal 15 3 2" xfId="49454"/>
    <cellStyle name="Normal 15 3 2 2" xfId="49455"/>
    <cellStyle name="Normal 15 3 2 2 2" xfId="49456"/>
    <cellStyle name="Normal 15 3 2 2 2 2" xfId="49457"/>
    <cellStyle name="Normal 15 3 2 2 2 3" xfId="49458"/>
    <cellStyle name="Normal 15 3 2 2 3" xfId="49459"/>
    <cellStyle name="Normal 15 3 2 2 4" xfId="49460"/>
    <cellStyle name="Normal 15 3 2 3" xfId="49461"/>
    <cellStyle name="Normal 15 3 2 3 2" xfId="49462"/>
    <cellStyle name="Normal 15 3 2 3 3" xfId="49463"/>
    <cellStyle name="Normal 15 3 2 4" xfId="49464"/>
    <cellStyle name="Normal 15 3 2 4 2" xfId="49465"/>
    <cellStyle name="Normal 15 3 2 4 3" xfId="49466"/>
    <cellStyle name="Normal 15 3 2 5" xfId="49467"/>
    <cellStyle name="Normal 15 3 2 6" xfId="49468"/>
    <cellStyle name="Normal 15 3 3" xfId="49469"/>
    <cellStyle name="Normal 15 3 3 2" xfId="49470"/>
    <cellStyle name="Normal 15 3 3 2 2" xfId="49471"/>
    <cellStyle name="Normal 15 3 3 2 2 2" xfId="49472"/>
    <cellStyle name="Normal 15 3 3 2 2 3" xfId="49473"/>
    <cellStyle name="Normal 15 3 3 2 3" xfId="49474"/>
    <cellStyle name="Normal 15 3 3 2 4" xfId="49475"/>
    <cellStyle name="Normal 15 3 3 3" xfId="49476"/>
    <cellStyle name="Normal 15 3 3 3 2" xfId="49477"/>
    <cellStyle name="Normal 15 3 3 3 3" xfId="49478"/>
    <cellStyle name="Normal 15 3 3 4" xfId="49479"/>
    <cellStyle name="Normal 15 3 3 4 2" xfId="49480"/>
    <cellStyle name="Normal 15 3 3 4 3" xfId="49481"/>
    <cellStyle name="Normal 15 3 3 5" xfId="49482"/>
    <cellStyle name="Normal 15 3 3 6" xfId="49483"/>
    <cellStyle name="Normal 15 3 4" xfId="49484"/>
    <cellStyle name="Normal 15 3 4 2" xfId="49485"/>
    <cellStyle name="Normal 15 3 4 2 2" xfId="49486"/>
    <cellStyle name="Normal 15 3 4 2 3" xfId="49487"/>
    <cellStyle name="Normal 15 3 4 3" xfId="49488"/>
    <cellStyle name="Normal 15 3 4 4" xfId="49489"/>
    <cellStyle name="Normal 15 3 5" xfId="49490"/>
    <cellStyle name="Normal 15 3 5 2" xfId="49491"/>
    <cellStyle name="Normal 15 3 5 3" xfId="49492"/>
    <cellStyle name="Normal 15 3 6" xfId="49493"/>
    <cellStyle name="Normal 15 3 6 2" xfId="49494"/>
    <cellStyle name="Normal 15 3 6 3" xfId="49495"/>
    <cellStyle name="Normal 15 3 7" xfId="49496"/>
    <cellStyle name="Normal 15 3 8" xfId="49497"/>
    <cellStyle name="Normal 15 4" xfId="49498"/>
    <cellStyle name="Normal 15 4 2" xfId="49499"/>
    <cellStyle name="Normal 15 4 2 2" xfId="49500"/>
    <cellStyle name="Normal 15 4 2 2 2" xfId="49501"/>
    <cellStyle name="Normal 15 4 2 2 3" xfId="49502"/>
    <cellStyle name="Normal 15 4 2 3" xfId="49503"/>
    <cellStyle name="Normal 15 4 2 4" xfId="49504"/>
    <cellStyle name="Normal 15 4 3" xfId="49505"/>
    <cellStyle name="Normal 15 4 3 2" xfId="49506"/>
    <cellStyle name="Normal 15 4 3 3" xfId="49507"/>
    <cellStyle name="Normal 15 4 4" xfId="49508"/>
    <cellStyle name="Normal 15 4 4 2" xfId="49509"/>
    <cellStyle name="Normal 15 4 4 3" xfId="49510"/>
    <cellStyle name="Normal 15 4 5" xfId="49511"/>
    <cellStyle name="Normal 15 4 6" xfId="49512"/>
    <cellStyle name="Normal 15 5" xfId="49513"/>
    <cellStyle name="Normal 15 5 2" xfId="49514"/>
    <cellStyle name="Normal 15 5 2 2" xfId="49515"/>
    <cellStyle name="Normal 15 5 2 2 2" xfId="49516"/>
    <cellStyle name="Normal 15 5 2 2 3" xfId="49517"/>
    <cellStyle name="Normal 15 5 2 3" xfId="49518"/>
    <cellStyle name="Normal 15 5 2 4" xfId="49519"/>
    <cellStyle name="Normal 15 5 3" xfId="49520"/>
    <cellStyle name="Normal 15 5 3 2" xfId="49521"/>
    <cellStyle name="Normal 15 5 3 3" xfId="49522"/>
    <cellStyle name="Normal 15 5 4" xfId="49523"/>
    <cellStyle name="Normal 15 5 4 2" xfId="49524"/>
    <cellStyle name="Normal 15 5 4 3" xfId="49525"/>
    <cellStyle name="Normal 15 5 5" xfId="49526"/>
    <cellStyle name="Normal 15 5 6" xfId="49527"/>
    <cellStyle name="Normal 15 6" xfId="49528"/>
    <cellStyle name="Normal 15 6 2" xfId="49529"/>
    <cellStyle name="Normal 15 6 2 2" xfId="49530"/>
    <cellStyle name="Normal 15 6 2 3" xfId="49531"/>
    <cellStyle name="Normal 15 6 3" xfId="49532"/>
    <cellStyle name="Normal 15 6 4" xfId="49533"/>
    <cellStyle name="Normal 15 7" xfId="49534"/>
    <cellStyle name="Normal 15 7 2" xfId="49535"/>
    <cellStyle name="Normal 15 7 2 2" xfId="49536"/>
    <cellStyle name="Normal 15 7 2 3" xfId="49537"/>
    <cellStyle name="Normal 15 7 3" xfId="49538"/>
    <cellStyle name="Normal 15 7 4" xfId="49539"/>
    <cellStyle name="Normal 15 8" xfId="49540"/>
    <cellStyle name="Normal 15 8 2" xfId="49541"/>
    <cellStyle name="Normal 15 8 3" xfId="49542"/>
    <cellStyle name="Normal 15 9" xfId="49543"/>
    <cellStyle name="Normal 15 9 2" xfId="49544"/>
    <cellStyle name="Normal 15 9 3" xfId="49545"/>
    <cellStyle name="Normal 150" xfId="49546"/>
    <cellStyle name="Normal 150 2" xfId="49547"/>
    <cellStyle name="Normal 150 2 2" xfId="49548"/>
    <cellStyle name="Normal 150 2 3" xfId="49549"/>
    <cellStyle name="Normal 150 3" xfId="49550"/>
    <cellStyle name="Normal 150 3 2" xfId="49551"/>
    <cellStyle name="Normal 150 3 3" xfId="49552"/>
    <cellStyle name="Normal 150 4" xfId="49553"/>
    <cellStyle name="Normal 150 5" xfId="49554"/>
    <cellStyle name="Normal 151" xfId="49555"/>
    <cellStyle name="Normal 151 2" xfId="49556"/>
    <cellStyle name="Normal 151 2 2" xfId="49557"/>
    <cellStyle name="Normal 151 2 3" xfId="49558"/>
    <cellStyle name="Normal 151 3" xfId="49559"/>
    <cellStyle name="Normal 151 3 2" xfId="49560"/>
    <cellStyle name="Normal 151 3 3" xfId="49561"/>
    <cellStyle name="Normal 151 4" xfId="49562"/>
    <cellStyle name="Normal 151 5" xfId="49563"/>
    <cellStyle name="Normal 152" xfId="49564"/>
    <cellStyle name="Normal 152 2" xfId="49565"/>
    <cellStyle name="Normal 152 2 2" xfId="49566"/>
    <cellStyle name="Normal 152 2 3" xfId="49567"/>
    <cellStyle name="Normal 152 3" xfId="49568"/>
    <cellStyle name="Normal 152 3 2" xfId="49569"/>
    <cellStyle name="Normal 152 3 3" xfId="49570"/>
    <cellStyle name="Normal 152 4" xfId="49571"/>
    <cellStyle name="Normal 152 5" xfId="49572"/>
    <cellStyle name="Normal 153" xfId="49573"/>
    <cellStyle name="Normal 153 2" xfId="49574"/>
    <cellStyle name="Normal 153 2 2" xfId="49575"/>
    <cellStyle name="Normal 153 2 3" xfId="49576"/>
    <cellStyle name="Normal 153 3" xfId="49577"/>
    <cellStyle name="Normal 153 3 2" xfId="49578"/>
    <cellStyle name="Normal 153 3 3" xfId="49579"/>
    <cellStyle name="Normal 153 4" xfId="49580"/>
    <cellStyle name="Normal 153 5" xfId="49581"/>
    <cellStyle name="Normal 154" xfId="49582"/>
    <cellStyle name="Normal 154 2" xfId="49583"/>
    <cellStyle name="Normal 154 2 2" xfId="49584"/>
    <cellStyle name="Normal 154 2 3" xfId="49585"/>
    <cellStyle name="Normal 154 3" xfId="49586"/>
    <cellStyle name="Normal 154 3 2" xfId="49587"/>
    <cellStyle name="Normal 154 3 3" xfId="49588"/>
    <cellStyle name="Normal 154 4" xfId="49589"/>
    <cellStyle name="Normal 154 5" xfId="49590"/>
    <cellStyle name="Normal 155" xfId="49591"/>
    <cellStyle name="Normal 155 2" xfId="49592"/>
    <cellStyle name="Normal 155 2 2" xfId="49593"/>
    <cellStyle name="Normal 155 2 3" xfId="49594"/>
    <cellStyle name="Normal 155 3" xfId="49595"/>
    <cellStyle name="Normal 155 3 2" xfId="49596"/>
    <cellStyle name="Normal 155 3 3" xfId="49597"/>
    <cellStyle name="Normal 155 4" xfId="49598"/>
    <cellStyle name="Normal 155 5" xfId="49599"/>
    <cellStyle name="Normal 156" xfId="49600"/>
    <cellStyle name="Normal 156 2" xfId="49601"/>
    <cellStyle name="Normal 156 2 2" xfId="49602"/>
    <cellStyle name="Normal 156 2 3" xfId="49603"/>
    <cellStyle name="Normal 156 3" xfId="49604"/>
    <cellStyle name="Normal 156 3 2" xfId="49605"/>
    <cellStyle name="Normal 156 3 3" xfId="49606"/>
    <cellStyle name="Normal 156 4" xfId="49607"/>
    <cellStyle name="Normal 156 5" xfId="49608"/>
    <cellStyle name="Normal 157" xfId="49609"/>
    <cellStyle name="Normal 157 2" xfId="49610"/>
    <cellStyle name="Normal 157 2 2" xfId="49611"/>
    <cellStyle name="Normal 157 2 3" xfId="49612"/>
    <cellStyle name="Normal 157 3" xfId="49613"/>
    <cellStyle name="Normal 157 3 2" xfId="49614"/>
    <cellStyle name="Normal 157 3 3" xfId="49615"/>
    <cellStyle name="Normal 157 4" xfId="49616"/>
    <cellStyle name="Normal 157 5" xfId="49617"/>
    <cellStyle name="Normal 158" xfId="49618"/>
    <cellStyle name="Normal 158 2" xfId="49619"/>
    <cellStyle name="Normal 158 2 2" xfId="49620"/>
    <cellStyle name="Normal 158 2 3" xfId="49621"/>
    <cellStyle name="Normal 158 3" xfId="49622"/>
    <cellStyle name="Normal 158 3 2" xfId="49623"/>
    <cellStyle name="Normal 158 3 3" xfId="49624"/>
    <cellStyle name="Normal 158 4" xfId="49625"/>
    <cellStyle name="Normal 158 4 2" xfId="49626"/>
    <cellStyle name="Normal 158 4 3" xfId="49627"/>
    <cellStyle name="Normal 158 5" xfId="49628"/>
    <cellStyle name="Normal 158 6" xfId="49629"/>
    <cellStyle name="Normal 159" xfId="49630"/>
    <cellStyle name="Normal 159 2" xfId="49631"/>
    <cellStyle name="Normal 159 2 2" xfId="49632"/>
    <cellStyle name="Normal 159 2 3" xfId="49633"/>
    <cellStyle name="Normal 159 3" xfId="49634"/>
    <cellStyle name="Normal 159 3 2" xfId="49635"/>
    <cellStyle name="Normal 159 3 3" xfId="49636"/>
    <cellStyle name="Normal 159 4" xfId="49637"/>
    <cellStyle name="Normal 159 4 2" xfId="49638"/>
    <cellStyle name="Normal 159 4 3" xfId="49639"/>
    <cellStyle name="Normal 159 5" xfId="49640"/>
    <cellStyle name="Normal 159 6" xfId="49641"/>
    <cellStyle name="Normal 16" xfId="49642"/>
    <cellStyle name="Normal 16 10" xfId="49643"/>
    <cellStyle name="Normal 16 11" xfId="49644"/>
    <cellStyle name="Normal 16 2" xfId="49645"/>
    <cellStyle name="Normal 16 2 10" xfId="49646"/>
    <cellStyle name="Normal 16 2 2" xfId="49647"/>
    <cellStyle name="Normal 16 2 2 2" xfId="49648"/>
    <cellStyle name="Normal 16 2 2 2 2" xfId="49649"/>
    <cellStyle name="Normal 16 2 2 2 2 2" xfId="49650"/>
    <cellStyle name="Normal 16 2 2 2 2 2 2" xfId="49651"/>
    <cellStyle name="Normal 16 2 2 2 2 2 3" xfId="49652"/>
    <cellStyle name="Normal 16 2 2 2 2 3" xfId="49653"/>
    <cellStyle name="Normal 16 2 2 2 2 4" xfId="49654"/>
    <cellStyle name="Normal 16 2 2 2 3" xfId="49655"/>
    <cellStyle name="Normal 16 2 2 2 3 2" xfId="49656"/>
    <cellStyle name="Normal 16 2 2 2 3 3" xfId="49657"/>
    <cellStyle name="Normal 16 2 2 2 4" xfId="49658"/>
    <cellStyle name="Normal 16 2 2 2 4 2" xfId="49659"/>
    <cellStyle name="Normal 16 2 2 2 4 3" xfId="49660"/>
    <cellStyle name="Normal 16 2 2 2 5" xfId="49661"/>
    <cellStyle name="Normal 16 2 2 2 6" xfId="49662"/>
    <cellStyle name="Normal 16 2 2 3" xfId="49663"/>
    <cellStyle name="Normal 16 2 2 3 2" xfId="49664"/>
    <cellStyle name="Normal 16 2 2 3 2 2" xfId="49665"/>
    <cellStyle name="Normal 16 2 2 3 2 2 2" xfId="49666"/>
    <cellStyle name="Normal 16 2 2 3 2 2 3" xfId="49667"/>
    <cellStyle name="Normal 16 2 2 3 2 3" xfId="49668"/>
    <cellStyle name="Normal 16 2 2 3 2 4" xfId="49669"/>
    <cellStyle name="Normal 16 2 2 3 3" xfId="49670"/>
    <cellStyle name="Normal 16 2 2 3 3 2" xfId="49671"/>
    <cellStyle name="Normal 16 2 2 3 3 3" xfId="49672"/>
    <cellStyle name="Normal 16 2 2 3 4" xfId="49673"/>
    <cellStyle name="Normal 16 2 2 3 4 2" xfId="49674"/>
    <cellStyle name="Normal 16 2 2 3 4 3" xfId="49675"/>
    <cellStyle name="Normal 16 2 2 3 5" xfId="49676"/>
    <cellStyle name="Normal 16 2 2 3 6" xfId="49677"/>
    <cellStyle name="Normal 16 2 2 4" xfId="49678"/>
    <cellStyle name="Normal 16 2 2 4 2" xfId="49679"/>
    <cellStyle name="Normal 16 2 2 4 2 2" xfId="49680"/>
    <cellStyle name="Normal 16 2 2 4 2 3" xfId="49681"/>
    <cellStyle name="Normal 16 2 2 4 3" xfId="49682"/>
    <cellStyle name="Normal 16 2 2 4 4" xfId="49683"/>
    <cellStyle name="Normal 16 2 2 5" xfId="49684"/>
    <cellStyle name="Normal 16 2 2 5 2" xfId="49685"/>
    <cellStyle name="Normal 16 2 2 5 3" xfId="49686"/>
    <cellStyle name="Normal 16 2 2 6" xfId="49687"/>
    <cellStyle name="Normal 16 2 2 6 2" xfId="49688"/>
    <cellStyle name="Normal 16 2 2 6 3" xfId="49689"/>
    <cellStyle name="Normal 16 2 2 7" xfId="49690"/>
    <cellStyle name="Normal 16 2 2 8" xfId="49691"/>
    <cellStyle name="Normal 16 2 3" xfId="49692"/>
    <cellStyle name="Normal 16 2 3 2" xfId="49693"/>
    <cellStyle name="Normal 16 2 3 2 2" xfId="49694"/>
    <cellStyle name="Normal 16 2 3 2 2 2" xfId="49695"/>
    <cellStyle name="Normal 16 2 3 2 2 3" xfId="49696"/>
    <cellStyle name="Normal 16 2 3 2 3" xfId="49697"/>
    <cellStyle name="Normal 16 2 3 2 4" xfId="49698"/>
    <cellStyle name="Normal 16 2 3 3" xfId="49699"/>
    <cellStyle name="Normal 16 2 3 3 2" xfId="49700"/>
    <cellStyle name="Normal 16 2 3 3 3" xfId="49701"/>
    <cellStyle name="Normal 16 2 3 4" xfId="49702"/>
    <cellStyle name="Normal 16 2 3 4 2" xfId="49703"/>
    <cellStyle name="Normal 16 2 3 4 3" xfId="49704"/>
    <cellStyle name="Normal 16 2 3 5" xfId="49705"/>
    <cellStyle name="Normal 16 2 3 6" xfId="49706"/>
    <cellStyle name="Normal 16 2 4" xfId="49707"/>
    <cellStyle name="Normal 16 2 4 2" xfId="49708"/>
    <cellStyle name="Normal 16 2 4 2 2" xfId="49709"/>
    <cellStyle name="Normal 16 2 4 2 2 2" xfId="49710"/>
    <cellStyle name="Normal 16 2 4 2 2 3" xfId="49711"/>
    <cellStyle name="Normal 16 2 4 2 3" xfId="49712"/>
    <cellStyle name="Normal 16 2 4 2 4" xfId="49713"/>
    <cellStyle name="Normal 16 2 4 3" xfId="49714"/>
    <cellStyle name="Normal 16 2 4 3 2" xfId="49715"/>
    <cellStyle name="Normal 16 2 4 3 3" xfId="49716"/>
    <cellStyle name="Normal 16 2 4 4" xfId="49717"/>
    <cellStyle name="Normal 16 2 4 4 2" xfId="49718"/>
    <cellStyle name="Normal 16 2 4 4 3" xfId="49719"/>
    <cellStyle name="Normal 16 2 4 5" xfId="49720"/>
    <cellStyle name="Normal 16 2 4 6" xfId="49721"/>
    <cellStyle name="Normal 16 2 5" xfId="49722"/>
    <cellStyle name="Normal 16 2 5 2" xfId="49723"/>
    <cellStyle name="Normal 16 2 5 2 2" xfId="49724"/>
    <cellStyle name="Normal 16 2 5 2 3" xfId="49725"/>
    <cellStyle name="Normal 16 2 5 3" xfId="49726"/>
    <cellStyle name="Normal 16 2 5 4" xfId="49727"/>
    <cellStyle name="Normal 16 2 6" xfId="49728"/>
    <cellStyle name="Normal 16 2 6 2" xfId="49729"/>
    <cellStyle name="Normal 16 2 6 2 2" xfId="49730"/>
    <cellStyle name="Normal 16 2 6 2 3" xfId="49731"/>
    <cellStyle name="Normal 16 2 6 3" xfId="49732"/>
    <cellStyle name="Normal 16 2 6 4" xfId="49733"/>
    <cellStyle name="Normal 16 2 7" xfId="49734"/>
    <cellStyle name="Normal 16 2 7 2" xfId="49735"/>
    <cellStyle name="Normal 16 2 7 3" xfId="49736"/>
    <cellStyle name="Normal 16 2 8" xfId="49737"/>
    <cellStyle name="Normal 16 2 8 2" xfId="49738"/>
    <cellStyle name="Normal 16 2 8 3" xfId="49739"/>
    <cellStyle name="Normal 16 2 9" xfId="49740"/>
    <cellStyle name="Normal 16 3" xfId="49741"/>
    <cellStyle name="Normal 16 3 2" xfId="49742"/>
    <cellStyle name="Normal 16 3 2 2" xfId="49743"/>
    <cellStyle name="Normal 16 3 2 2 2" xfId="49744"/>
    <cellStyle name="Normal 16 3 2 2 2 2" xfId="49745"/>
    <cellStyle name="Normal 16 3 2 2 2 3" xfId="49746"/>
    <cellStyle name="Normal 16 3 2 2 3" xfId="49747"/>
    <cellStyle name="Normal 16 3 2 2 4" xfId="49748"/>
    <cellStyle name="Normal 16 3 2 3" xfId="49749"/>
    <cellStyle name="Normal 16 3 2 3 2" xfId="49750"/>
    <cellStyle name="Normal 16 3 2 3 3" xfId="49751"/>
    <cellStyle name="Normal 16 3 2 4" xfId="49752"/>
    <cellStyle name="Normal 16 3 2 4 2" xfId="49753"/>
    <cellStyle name="Normal 16 3 2 4 3" xfId="49754"/>
    <cellStyle name="Normal 16 3 2 5" xfId="49755"/>
    <cellStyle name="Normal 16 3 2 6" xfId="49756"/>
    <cellStyle name="Normal 16 3 3" xfId="49757"/>
    <cellStyle name="Normal 16 3 3 2" xfId="49758"/>
    <cellStyle name="Normal 16 3 3 2 2" xfId="49759"/>
    <cellStyle name="Normal 16 3 3 2 2 2" xfId="49760"/>
    <cellStyle name="Normal 16 3 3 2 2 3" xfId="49761"/>
    <cellStyle name="Normal 16 3 3 2 3" xfId="49762"/>
    <cellStyle name="Normal 16 3 3 2 4" xfId="49763"/>
    <cellStyle name="Normal 16 3 3 3" xfId="49764"/>
    <cellStyle name="Normal 16 3 3 3 2" xfId="49765"/>
    <cellStyle name="Normal 16 3 3 3 3" xfId="49766"/>
    <cellStyle name="Normal 16 3 3 4" xfId="49767"/>
    <cellStyle name="Normal 16 3 3 4 2" xfId="49768"/>
    <cellStyle name="Normal 16 3 3 4 3" xfId="49769"/>
    <cellStyle name="Normal 16 3 3 5" xfId="49770"/>
    <cellStyle name="Normal 16 3 3 6" xfId="49771"/>
    <cellStyle name="Normal 16 3 4" xfId="49772"/>
    <cellStyle name="Normal 16 3 4 2" xfId="49773"/>
    <cellStyle name="Normal 16 3 4 2 2" xfId="49774"/>
    <cellStyle name="Normal 16 3 4 2 3" xfId="49775"/>
    <cellStyle name="Normal 16 3 4 3" xfId="49776"/>
    <cellStyle name="Normal 16 3 4 4" xfId="49777"/>
    <cellStyle name="Normal 16 3 5" xfId="49778"/>
    <cellStyle name="Normal 16 3 5 2" xfId="49779"/>
    <cellStyle name="Normal 16 3 5 3" xfId="49780"/>
    <cellStyle name="Normal 16 3 6" xfId="49781"/>
    <cellStyle name="Normal 16 3 6 2" xfId="49782"/>
    <cellStyle name="Normal 16 3 6 3" xfId="49783"/>
    <cellStyle name="Normal 16 3 7" xfId="49784"/>
    <cellStyle name="Normal 16 3 8" xfId="49785"/>
    <cellStyle name="Normal 16 4" xfId="49786"/>
    <cellStyle name="Normal 16 4 2" xfId="49787"/>
    <cellStyle name="Normal 16 4 2 2" xfId="49788"/>
    <cellStyle name="Normal 16 4 2 2 2" xfId="49789"/>
    <cellStyle name="Normal 16 4 2 2 3" xfId="49790"/>
    <cellStyle name="Normal 16 4 2 3" xfId="49791"/>
    <cellStyle name="Normal 16 4 2 4" xfId="49792"/>
    <cellStyle name="Normal 16 4 3" xfId="49793"/>
    <cellStyle name="Normal 16 4 3 2" xfId="49794"/>
    <cellStyle name="Normal 16 4 3 3" xfId="49795"/>
    <cellStyle name="Normal 16 4 4" xfId="49796"/>
    <cellStyle name="Normal 16 4 4 2" xfId="49797"/>
    <cellStyle name="Normal 16 4 4 3" xfId="49798"/>
    <cellStyle name="Normal 16 4 5" xfId="49799"/>
    <cellStyle name="Normal 16 4 6" xfId="49800"/>
    <cellStyle name="Normal 16 5" xfId="49801"/>
    <cellStyle name="Normal 16 5 2" xfId="49802"/>
    <cellStyle name="Normal 16 5 2 2" xfId="49803"/>
    <cellStyle name="Normal 16 5 2 2 2" xfId="49804"/>
    <cellStyle name="Normal 16 5 2 2 3" xfId="49805"/>
    <cellStyle name="Normal 16 5 2 3" xfId="49806"/>
    <cellStyle name="Normal 16 5 2 4" xfId="49807"/>
    <cellStyle name="Normal 16 5 3" xfId="49808"/>
    <cellStyle name="Normal 16 5 3 2" xfId="49809"/>
    <cellStyle name="Normal 16 5 3 3" xfId="49810"/>
    <cellStyle name="Normal 16 5 4" xfId="49811"/>
    <cellStyle name="Normal 16 5 4 2" xfId="49812"/>
    <cellStyle name="Normal 16 5 4 3" xfId="49813"/>
    <cellStyle name="Normal 16 5 5" xfId="49814"/>
    <cellStyle name="Normal 16 5 6" xfId="49815"/>
    <cellStyle name="Normal 16 6" xfId="49816"/>
    <cellStyle name="Normal 16 6 2" xfId="49817"/>
    <cellStyle name="Normal 16 6 2 2" xfId="49818"/>
    <cellStyle name="Normal 16 6 2 3" xfId="49819"/>
    <cellStyle name="Normal 16 6 3" xfId="49820"/>
    <cellStyle name="Normal 16 6 4" xfId="49821"/>
    <cellStyle name="Normal 16 7" xfId="49822"/>
    <cellStyle name="Normal 16 7 2" xfId="49823"/>
    <cellStyle name="Normal 16 7 2 2" xfId="49824"/>
    <cellStyle name="Normal 16 7 2 3" xfId="49825"/>
    <cellStyle name="Normal 16 7 3" xfId="49826"/>
    <cellStyle name="Normal 16 7 4" xfId="49827"/>
    <cellStyle name="Normal 16 8" xfId="49828"/>
    <cellStyle name="Normal 16 8 2" xfId="49829"/>
    <cellStyle name="Normal 16 8 3" xfId="49830"/>
    <cellStyle name="Normal 16 9" xfId="49831"/>
    <cellStyle name="Normal 16 9 2" xfId="49832"/>
    <cellStyle name="Normal 16 9 3" xfId="49833"/>
    <cellStyle name="Normal 160" xfId="49834"/>
    <cellStyle name="Normal 160 2" xfId="49835"/>
    <cellStyle name="Normal 160 2 2" xfId="49836"/>
    <cellStyle name="Normal 160 2 3" xfId="49837"/>
    <cellStyle name="Normal 160 3" xfId="49838"/>
    <cellStyle name="Normal 160 3 2" xfId="49839"/>
    <cellStyle name="Normal 160 3 3" xfId="49840"/>
    <cellStyle name="Normal 160 4" xfId="49841"/>
    <cellStyle name="Normal 160 4 2" xfId="49842"/>
    <cellStyle name="Normal 160 4 3" xfId="49843"/>
    <cellStyle name="Normal 160 5" xfId="49844"/>
    <cellStyle name="Normal 160 6" xfId="49845"/>
    <cellStyle name="Normal 161" xfId="49846"/>
    <cellStyle name="Normal 161 2" xfId="49847"/>
    <cellStyle name="Normal 161 2 2" xfId="49848"/>
    <cellStyle name="Normal 161 2 3" xfId="49849"/>
    <cellStyle name="Normal 161 3" xfId="49850"/>
    <cellStyle name="Normal 161 3 2" xfId="49851"/>
    <cellStyle name="Normal 161 3 3" xfId="49852"/>
    <cellStyle name="Normal 161 4" xfId="49853"/>
    <cellStyle name="Normal 161 4 2" xfId="49854"/>
    <cellStyle name="Normal 161 4 3" xfId="49855"/>
    <cellStyle name="Normal 161 5" xfId="49856"/>
    <cellStyle name="Normal 161 6" xfId="49857"/>
    <cellStyle name="Normal 162" xfId="49858"/>
    <cellStyle name="Normal 162 2" xfId="49859"/>
    <cellStyle name="Normal 162 2 2" xfId="49860"/>
    <cellStyle name="Normal 162 2 3" xfId="49861"/>
    <cellStyle name="Normal 162 3" xfId="49862"/>
    <cellStyle name="Normal 162 3 2" xfId="49863"/>
    <cellStyle name="Normal 162 3 3" xfId="49864"/>
    <cellStyle name="Normal 162 4" xfId="49865"/>
    <cellStyle name="Normal 162 4 2" xfId="49866"/>
    <cellStyle name="Normal 162 4 3" xfId="49867"/>
    <cellStyle name="Normal 162 5" xfId="49868"/>
    <cellStyle name="Normal 162 6" xfId="49869"/>
    <cellStyle name="Normal 163" xfId="49870"/>
    <cellStyle name="Normal 163 2" xfId="49871"/>
    <cellStyle name="Normal 163 2 2" xfId="49872"/>
    <cellStyle name="Normal 163 2 3" xfId="49873"/>
    <cellStyle name="Normal 163 3" xfId="49874"/>
    <cellStyle name="Normal 163 3 2" xfId="49875"/>
    <cellStyle name="Normal 163 3 3" xfId="49876"/>
    <cellStyle name="Normal 163 4" xfId="49877"/>
    <cellStyle name="Normal 163 4 2" xfId="49878"/>
    <cellStyle name="Normal 163 4 3" xfId="49879"/>
    <cellStyle name="Normal 163 5" xfId="49880"/>
    <cellStyle name="Normal 163 6" xfId="49881"/>
    <cellStyle name="Normal 164" xfId="49882"/>
    <cellStyle name="Normal 164 2" xfId="49883"/>
    <cellStyle name="Normal 164 2 2" xfId="49884"/>
    <cellStyle name="Normal 164 2 2 2" xfId="49885"/>
    <cellStyle name="Normal 164 2 2 3" xfId="49886"/>
    <cellStyle name="Normal 164 2 3" xfId="49887"/>
    <cellStyle name="Normal 164 2 4" xfId="49888"/>
    <cellStyle name="Normal 164 3" xfId="49889"/>
    <cellStyle name="Normal 164 4" xfId="49890"/>
    <cellStyle name="Normal 165" xfId="49891"/>
    <cellStyle name="Normal 165 2" xfId="49892"/>
    <cellStyle name="Normal 165 2 2" xfId="49893"/>
    <cellStyle name="Normal 165 2 2 2" xfId="49894"/>
    <cellStyle name="Normal 165 2 2 3" xfId="49895"/>
    <cellStyle name="Normal 165 2 3" xfId="49896"/>
    <cellStyle name="Normal 165 2 4" xfId="49897"/>
    <cellStyle name="Normal 165 3" xfId="49898"/>
    <cellStyle name="Normal 165 4" xfId="49899"/>
    <cellStyle name="Normal 166" xfId="49900"/>
    <cellStyle name="Normal 166 2" xfId="49901"/>
    <cellStyle name="Normal 166 3" xfId="49902"/>
    <cellStyle name="Normal 167" xfId="49903"/>
    <cellStyle name="Normal 167 2" xfId="49904"/>
    <cellStyle name="Normal 167 2 2" xfId="49905"/>
    <cellStyle name="Normal 167 2 3" xfId="49906"/>
    <cellStyle name="Normal 167 3" xfId="49907"/>
    <cellStyle name="Normal 167 4" xfId="49908"/>
    <cellStyle name="Normal 168" xfId="49909"/>
    <cellStyle name="Normal 168 2" xfId="49910"/>
    <cellStyle name="Normal 168 2 2" xfId="49911"/>
    <cellStyle name="Normal 168 2 2 2" xfId="49912"/>
    <cellStyle name="Normal 168 2 2 3" xfId="49913"/>
    <cellStyle name="Normal 168 2 3" xfId="49914"/>
    <cellStyle name="Normal 168 2 3 2" xfId="49915"/>
    <cellStyle name="Normal 168 2 3 3" xfId="49916"/>
    <cellStyle name="Normal 168 2 4" xfId="49917"/>
    <cellStyle name="Normal 168 2 6" xfId="49918"/>
    <cellStyle name="Normal 168 3" xfId="49919"/>
    <cellStyle name="Normal 168 3 2" xfId="49920"/>
    <cellStyle name="Normal 168 3 3" xfId="49921"/>
    <cellStyle name="Normal 168 4" xfId="49922"/>
    <cellStyle name="Normal 168 5" xfId="49923"/>
    <cellStyle name="Normal 169" xfId="49924"/>
    <cellStyle name="Normal 169 2" xfId="49925"/>
    <cellStyle name="Normal 169 2 2" xfId="49926"/>
    <cellStyle name="Normal 169 2 2 2" xfId="49927"/>
    <cellStyle name="Normal 169 2 2 2 2" xfId="49928"/>
    <cellStyle name="Normal 169 2 2 2 3" xfId="49929"/>
    <cellStyle name="Normal 169 2 2 3" xfId="49930"/>
    <cellStyle name="Normal 169 2 2 4" xfId="49931"/>
    <cellStyle name="Normal 169 2 3" xfId="49932"/>
    <cellStyle name="Normal 169 2 3 2" xfId="49933"/>
    <cellStyle name="Normal 169 2 3 3" xfId="49934"/>
    <cellStyle name="Normal 169 2 4" xfId="49935"/>
    <cellStyle name="Normal 169 2 4 2" xfId="49936"/>
    <cellStyle name="Normal 169 2 4 3" xfId="49937"/>
    <cellStyle name="Normal 169 2 5" xfId="49938"/>
    <cellStyle name="Normal 169 2 6" xfId="49939"/>
    <cellStyle name="Normal 169 3" xfId="49940"/>
    <cellStyle name="Normal 169 3 2" xfId="49941"/>
    <cellStyle name="Normal 169 3 2 2" xfId="49942"/>
    <cellStyle name="Normal 169 3 2 2 2" xfId="49943"/>
    <cellStyle name="Normal 169 3 2 2 3" xfId="49944"/>
    <cellStyle name="Normal 169 3 2 3" xfId="49945"/>
    <cellStyle name="Normal 169 3 2 4" xfId="49946"/>
    <cellStyle name="Normal 169 3 3" xfId="49947"/>
    <cellStyle name="Normal 169 3 3 2" xfId="49948"/>
    <cellStyle name="Normal 169 3 3 3" xfId="49949"/>
    <cellStyle name="Normal 169 3 4" xfId="49950"/>
    <cellStyle name="Normal 169 3 4 2" xfId="49951"/>
    <cellStyle name="Normal 169 3 4 3" xfId="49952"/>
    <cellStyle name="Normal 169 3 5" xfId="49953"/>
    <cellStyle name="Normal 169 3 6" xfId="49954"/>
    <cellStyle name="Normal 169 4" xfId="49955"/>
    <cellStyle name="Normal 169 4 2" xfId="49956"/>
    <cellStyle name="Normal 169 4 2 2" xfId="49957"/>
    <cellStyle name="Normal 169 4 2 3" xfId="49958"/>
    <cellStyle name="Normal 169 4 3" xfId="49959"/>
    <cellStyle name="Normal 169 4 4" xfId="49960"/>
    <cellStyle name="Normal 169 5" xfId="49961"/>
    <cellStyle name="Normal 169 5 2" xfId="49962"/>
    <cellStyle name="Normal 169 5 3" xfId="49963"/>
    <cellStyle name="Normal 169 6" xfId="49964"/>
    <cellStyle name="Normal 169 6 2" xfId="49965"/>
    <cellStyle name="Normal 169 6 3" xfId="49966"/>
    <cellStyle name="Normal 169 7" xfId="49967"/>
    <cellStyle name="Normal 169 8" xfId="49968"/>
    <cellStyle name="Normal 17" xfId="49969"/>
    <cellStyle name="Normal 17 10" xfId="49970"/>
    <cellStyle name="Normal 17 11" xfId="49971"/>
    <cellStyle name="Normal 17 12" xfId="49972"/>
    <cellStyle name="Normal 17 2" xfId="49973"/>
    <cellStyle name="Normal 17 2 10" xfId="49974"/>
    <cellStyle name="Normal 17 2 2" xfId="49975"/>
    <cellStyle name="Normal 17 2 2 2" xfId="49976"/>
    <cellStyle name="Normal 17 2 2 2 2" xfId="49977"/>
    <cellStyle name="Normal 17 2 2 2 2 2" xfId="49978"/>
    <cellStyle name="Normal 17 2 2 2 2 2 2" xfId="49979"/>
    <cellStyle name="Normal 17 2 2 2 2 2 3" xfId="49980"/>
    <cellStyle name="Normal 17 2 2 2 2 3" xfId="49981"/>
    <cellStyle name="Normal 17 2 2 2 2 4" xfId="49982"/>
    <cellStyle name="Normal 17 2 2 2 3" xfId="49983"/>
    <cellStyle name="Normal 17 2 2 2 3 2" xfId="49984"/>
    <cellStyle name="Normal 17 2 2 2 3 3" xfId="49985"/>
    <cellStyle name="Normal 17 2 2 2 4" xfId="49986"/>
    <cellStyle name="Normal 17 2 2 2 4 2" xfId="49987"/>
    <cellStyle name="Normal 17 2 2 2 4 3" xfId="49988"/>
    <cellStyle name="Normal 17 2 2 2 5" xfId="49989"/>
    <cellStyle name="Normal 17 2 2 2 6" xfId="49990"/>
    <cellStyle name="Normal 17 2 2 3" xfId="49991"/>
    <cellStyle name="Normal 17 2 2 3 2" xfId="49992"/>
    <cellStyle name="Normal 17 2 2 3 2 2" xfId="49993"/>
    <cellStyle name="Normal 17 2 2 3 2 2 2" xfId="49994"/>
    <cellStyle name="Normal 17 2 2 3 2 2 3" xfId="49995"/>
    <cellStyle name="Normal 17 2 2 3 2 3" xfId="49996"/>
    <cellStyle name="Normal 17 2 2 3 2 4" xfId="49997"/>
    <cellStyle name="Normal 17 2 2 3 3" xfId="49998"/>
    <cellStyle name="Normal 17 2 2 3 3 2" xfId="49999"/>
    <cellStyle name="Normal 17 2 2 3 3 3" xfId="50000"/>
    <cellStyle name="Normal 17 2 2 3 4" xfId="50001"/>
    <cellStyle name="Normal 17 2 2 3 4 2" xfId="50002"/>
    <cellStyle name="Normal 17 2 2 3 4 3" xfId="50003"/>
    <cellStyle name="Normal 17 2 2 3 5" xfId="50004"/>
    <cellStyle name="Normal 17 2 2 3 6" xfId="50005"/>
    <cellStyle name="Normal 17 2 2 4" xfId="50006"/>
    <cellStyle name="Normal 17 2 2 4 2" xfId="50007"/>
    <cellStyle name="Normal 17 2 2 4 2 2" xfId="50008"/>
    <cellStyle name="Normal 17 2 2 4 2 3" xfId="50009"/>
    <cellStyle name="Normal 17 2 2 4 3" xfId="50010"/>
    <cellStyle name="Normal 17 2 2 4 4" xfId="50011"/>
    <cellStyle name="Normal 17 2 2 5" xfId="50012"/>
    <cellStyle name="Normal 17 2 2 5 2" xfId="50013"/>
    <cellStyle name="Normal 17 2 2 5 3" xfId="50014"/>
    <cellStyle name="Normal 17 2 2 6" xfId="50015"/>
    <cellStyle name="Normal 17 2 2 6 2" xfId="50016"/>
    <cellStyle name="Normal 17 2 2 6 3" xfId="50017"/>
    <cellStyle name="Normal 17 2 2 7" xfId="50018"/>
    <cellStyle name="Normal 17 2 2 8" xfId="50019"/>
    <cellStyle name="Normal 17 2 3" xfId="50020"/>
    <cellStyle name="Normal 17 2 3 2" xfId="50021"/>
    <cellStyle name="Normal 17 2 3 2 2" xfId="50022"/>
    <cellStyle name="Normal 17 2 3 2 2 2" xfId="50023"/>
    <cellStyle name="Normal 17 2 3 2 2 3" xfId="50024"/>
    <cellStyle name="Normal 17 2 3 2 3" xfId="50025"/>
    <cellStyle name="Normal 17 2 3 2 4" xfId="50026"/>
    <cellStyle name="Normal 17 2 3 3" xfId="50027"/>
    <cellStyle name="Normal 17 2 3 3 2" xfId="50028"/>
    <cellStyle name="Normal 17 2 3 3 3" xfId="50029"/>
    <cellStyle name="Normal 17 2 3 4" xfId="50030"/>
    <cellStyle name="Normal 17 2 3 4 2" xfId="50031"/>
    <cellStyle name="Normal 17 2 3 4 3" xfId="50032"/>
    <cellStyle name="Normal 17 2 3 5" xfId="50033"/>
    <cellStyle name="Normal 17 2 3 6" xfId="50034"/>
    <cellStyle name="Normal 17 2 4" xfId="50035"/>
    <cellStyle name="Normal 17 2 4 2" xfId="50036"/>
    <cellStyle name="Normal 17 2 4 2 2" xfId="50037"/>
    <cellStyle name="Normal 17 2 4 2 2 2" xfId="50038"/>
    <cellStyle name="Normal 17 2 4 2 2 3" xfId="50039"/>
    <cellStyle name="Normal 17 2 4 2 3" xfId="50040"/>
    <cellStyle name="Normal 17 2 4 2 4" xfId="50041"/>
    <cellStyle name="Normal 17 2 4 3" xfId="50042"/>
    <cellStyle name="Normal 17 2 4 3 2" xfId="50043"/>
    <cellStyle name="Normal 17 2 4 3 3" xfId="50044"/>
    <cellStyle name="Normal 17 2 4 4" xfId="50045"/>
    <cellStyle name="Normal 17 2 4 4 2" xfId="50046"/>
    <cellStyle name="Normal 17 2 4 4 3" xfId="50047"/>
    <cellStyle name="Normal 17 2 4 5" xfId="50048"/>
    <cellStyle name="Normal 17 2 4 6" xfId="50049"/>
    <cellStyle name="Normal 17 2 5" xfId="50050"/>
    <cellStyle name="Normal 17 2 5 2" xfId="50051"/>
    <cellStyle name="Normal 17 2 5 2 2" xfId="50052"/>
    <cellStyle name="Normal 17 2 5 2 3" xfId="50053"/>
    <cellStyle name="Normal 17 2 5 3" xfId="50054"/>
    <cellStyle name="Normal 17 2 5 4" xfId="50055"/>
    <cellStyle name="Normal 17 2 6" xfId="50056"/>
    <cellStyle name="Normal 17 2 6 2" xfId="50057"/>
    <cellStyle name="Normal 17 2 6 2 2" xfId="50058"/>
    <cellStyle name="Normal 17 2 6 2 3" xfId="50059"/>
    <cellStyle name="Normal 17 2 6 3" xfId="50060"/>
    <cellStyle name="Normal 17 2 6 4" xfId="50061"/>
    <cellStyle name="Normal 17 2 7" xfId="50062"/>
    <cellStyle name="Normal 17 2 7 2" xfId="50063"/>
    <cellStyle name="Normal 17 2 7 3" xfId="50064"/>
    <cellStyle name="Normal 17 2 8" xfId="50065"/>
    <cellStyle name="Normal 17 2 8 2" xfId="50066"/>
    <cellStyle name="Normal 17 2 8 3" xfId="50067"/>
    <cellStyle name="Normal 17 2 9" xfId="50068"/>
    <cellStyle name="Normal 17 3" xfId="50069"/>
    <cellStyle name="Normal 17 3 2" xfId="50070"/>
    <cellStyle name="Normal 17 3 2 2" xfId="50071"/>
    <cellStyle name="Normal 17 3 2 2 2" xfId="50072"/>
    <cellStyle name="Normal 17 3 2 2 2 2" xfId="50073"/>
    <cellStyle name="Normal 17 3 2 2 2 3" xfId="50074"/>
    <cellStyle name="Normal 17 3 2 2 3" xfId="50075"/>
    <cellStyle name="Normal 17 3 2 2 4" xfId="50076"/>
    <cellStyle name="Normal 17 3 2 3" xfId="50077"/>
    <cellStyle name="Normal 17 3 2 3 2" xfId="50078"/>
    <cellStyle name="Normal 17 3 2 3 3" xfId="50079"/>
    <cellStyle name="Normal 17 3 2 4" xfId="50080"/>
    <cellStyle name="Normal 17 3 2 4 2" xfId="50081"/>
    <cellStyle name="Normal 17 3 2 4 3" xfId="50082"/>
    <cellStyle name="Normal 17 3 2 5" xfId="50083"/>
    <cellStyle name="Normal 17 3 2 6" xfId="50084"/>
    <cellStyle name="Normal 17 3 3" xfId="50085"/>
    <cellStyle name="Normal 17 3 3 2" xfId="50086"/>
    <cellStyle name="Normal 17 3 3 2 2" xfId="50087"/>
    <cellStyle name="Normal 17 3 3 2 2 2" xfId="50088"/>
    <cellStyle name="Normal 17 3 3 2 2 3" xfId="50089"/>
    <cellStyle name="Normal 17 3 3 2 3" xfId="50090"/>
    <cellStyle name="Normal 17 3 3 2 4" xfId="50091"/>
    <cellStyle name="Normal 17 3 3 3" xfId="50092"/>
    <cellStyle name="Normal 17 3 3 3 2" xfId="50093"/>
    <cellStyle name="Normal 17 3 3 3 3" xfId="50094"/>
    <cellStyle name="Normal 17 3 3 4" xfId="50095"/>
    <cellStyle name="Normal 17 3 3 4 2" xfId="50096"/>
    <cellStyle name="Normal 17 3 3 4 3" xfId="50097"/>
    <cellStyle name="Normal 17 3 3 5" xfId="50098"/>
    <cellStyle name="Normal 17 3 3 6" xfId="50099"/>
    <cellStyle name="Normal 17 3 4" xfId="50100"/>
    <cellStyle name="Normal 17 3 4 2" xfId="50101"/>
    <cellStyle name="Normal 17 3 4 2 2" xfId="50102"/>
    <cellStyle name="Normal 17 3 4 2 3" xfId="50103"/>
    <cellStyle name="Normal 17 3 4 3" xfId="50104"/>
    <cellStyle name="Normal 17 3 4 4" xfId="50105"/>
    <cellStyle name="Normal 17 3 5" xfId="50106"/>
    <cellStyle name="Normal 17 3 5 2" xfId="50107"/>
    <cellStyle name="Normal 17 3 5 3" xfId="50108"/>
    <cellStyle name="Normal 17 3 6" xfId="50109"/>
    <cellStyle name="Normal 17 3 6 2" xfId="50110"/>
    <cellStyle name="Normal 17 3 6 3" xfId="50111"/>
    <cellStyle name="Normal 17 3 7" xfId="50112"/>
    <cellStyle name="Normal 17 3 8" xfId="50113"/>
    <cellStyle name="Normal 17 4" xfId="50114"/>
    <cellStyle name="Normal 17 4 2" xfId="50115"/>
    <cellStyle name="Normal 17 4 2 2" xfId="50116"/>
    <cellStyle name="Normal 17 4 2 2 2" xfId="50117"/>
    <cellStyle name="Normal 17 4 2 2 3" xfId="50118"/>
    <cellStyle name="Normal 17 4 2 3" xfId="50119"/>
    <cellStyle name="Normal 17 4 2 4" xfId="50120"/>
    <cellStyle name="Normal 17 4 3" xfId="50121"/>
    <cellStyle name="Normal 17 4 3 2" xfId="50122"/>
    <cellStyle name="Normal 17 4 3 3" xfId="50123"/>
    <cellStyle name="Normal 17 4 4" xfId="50124"/>
    <cellStyle name="Normal 17 4 4 2" xfId="50125"/>
    <cellStyle name="Normal 17 4 4 3" xfId="50126"/>
    <cellStyle name="Normal 17 4 5" xfId="50127"/>
    <cellStyle name="Normal 17 4 6" xfId="50128"/>
    <cellStyle name="Normal 17 5" xfId="50129"/>
    <cellStyle name="Normal 17 5 2" xfId="50130"/>
    <cellStyle name="Normal 17 5 2 2" xfId="50131"/>
    <cellStyle name="Normal 17 5 2 2 2" xfId="50132"/>
    <cellStyle name="Normal 17 5 2 2 3" xfId="50133"/>
    <cellStyle name="Normal 17 5 2 3" xfId="50134"/>
    <cellStyle name="Normal 17 5 2 4" xfId="50135"/>
    <cellStyle name="Normal 17 5 3" xfId="50136"/>
    <cellStyle name="Normal 17 5 3 2" xfId="50137"/>
    <cellStyle name="Normal 17 5 3 3" xfId="50138"/>
    <cellStyle name="Normal 17 5 4" xfId="50139"/>
    <cellStyle name="Normal 17 5 4 2" xfId="50140"/>
    <cellStyle name="Normal 17 5 4 3" xfId="50141"/>
    <cellStyle name="Normal 17 5 5" xfId="50142"/>
    <cellStyle name="Normal 17 5 6" xfId="50143"/>
    <cellStyle name="Normal 17 6" xfId="50144"/>
    <cellStyle name="Normal 17 6 2" xfId="50145"/>
    <cellStyle name="Normal 17 6 2 2" xfId="50146"/>
    <cellStyle name="Normal 17 6 2 3" xfId="50147"/>
    <cellStyle name="Normal 17 6 3" xfId="50148"/>
    <cellStyle name="Normal 17 6 4" xfId="50149"/>
    <cellStyle name="Normal 17 7" xfId="50150"/>
    <cellStyle name="Normal 17 7 2" xfId="50151"/>
    <cellStyle name="Normal 17 7 2 2" xfId="50152"/>
    <cellStyle name="Normal 17 7 2 3" xfId="50153"/>
    <cellStyle name="Normal 17 7 3" xfId="50154"/>
    <cellStyle name="Normal 17 7 4" xfId="50155"/>
    <cellStyle name="Normal 17 8" xfId="50156"/>
    <cellStyle name="Normal 17 8 2" xfId="50157"/>
    <cellStyle name="Normal 17 8 3" xfId="50158"/>
    <cellStyle name="Normal 17 9" xfId="50159"/>
    <cellStyle name="Normal 17 9 2" xfId="50160"/>
    <cellStyle name="Normal 17 9 3" xfId="50161"/>
    <cellStyle name="Normal 170" xfId="50162"/>
    <cellStyle name="Normal 170 2" xfId="50163"/>
    <cellStyle name="Normal 170 2 2" xfId="50164"/>
    <cellStyle name="Normal 170 2 2 2" xfId="50165"/>
    <cellStyle name="Normal 170 2 2 2 2" xfId="50166"/>
    <cellStyle name="Normal 170 2 2 2 3" xfId="50167"/>
    <cellStyle name="Normal 170 2 2 3" xfId="50168"/>
    <cellStyle name="Normal 170 2 2 4" xfId="50169"/>
    <cellStyle name="Normal 170 2 3" xfId="50170"/>
    <cellStyle name="Normal 170 2 3 2" xfId="50171"/>
    <cellStyle name="Normal 170 2 3 3" xfId="50172"/>
    <cellStyle name="Normal 170 2 4" xfId="50173"/>
    <cellStyle name="Normal 170 2 4 2" xfId="50174"/>
    <cellStyle name="Normal 170 2 4 3" xfId="50175"/>
    <cellStyle name="Normal 170 2 5" xfId="50176"/>
    <cellStyle name="Normal 170 2 6" xfId="50177"/>
    <cellStyle name="Normal 170 3" xfId="50178"/>
    <cellStyle name="Normal 170 3 2" xfId="50179"/>
    <cellStyle name="Normal 170 3 2 2" xfId="50180"/>
    <cellStyle name="Normal 170 3 2 2 2" xfId="50181"/>
    <cellStyle name="Normal 170 3 2 2 3" xfId="50182"/>
    <cellStyle name="Normal 170 3 2 3" xfId="50183"/>
    <cellStyle name="Normal 170 3 2 4" xfId="50184"/>
    <cellStyle name="Normal 170 3 3" xfId="50185"/>
    <cellStyle name="Normal 170 3 3 2" xfId="50186"/>
    <cellStyle name="Normal 170 3 3 3" xfId="50187"/>
    <cellStyle name="Normal 170 3 4" xfId="50188"/>
    <cellStyle name="Normal 170 3 4 2" xfId="50189"/>
    <cellStyle name="Normal 170 3 4 3" xfId="50190"/>
    <cellStyle name="Normal 170 3 5" xfId="50191"/>
    <cellStyle name="Normal 170 3 6" xfId="50192"/>
    <cellStyle name="Normal 170 4" xfId="50193"/>
    <cellStyle name="Normal 170 4 2" xfId="50194"/>
    <cellStyle name="Normal 170 4 2 2" xfId="50195"/>
    <cellStyle name="Normal 170 4 2 3" xfId="50196"/>
    <cellStyle name="Normal 170 4 3" xfId="50197"/>
    <cellStyle name="Normal 170 4 4" xfId="50198"/>
    <cellStyle name="Normal 170 5" xfId="50199"/>
    <cellStyle name="Normal 170 5 2" xfId="50200"/>
    <cellStyle name="Normal 170 5 3" xfId="50201"/>
    <cellStyle name="Normal 170 6" xfId="50202"/>
    <cellStyle name="Normal 170 6 2" xfId="50203"/>
    <cellStyle name="Normal 170 6 3" xfId="50204"/>
    <cellStyle name="Normal 170 7" xfId="50205"/>
    <cellStyle name="Normal 170 8" xfId="50206"/>
    <cellStyle name="Normal 171" xfId="50207"/>
    <cellStyle name="Normal 171 2" xfId="50208"/>
    <cellStyle name="Normal 171 2 2" xfId="50209"/>
    <cellStyle name="Normal 171 2 2 2" xfId="50210"/>
    <cellStyle name="Normal 171 2 2 2 2" xfId="50211"/>
    <cellStyle name="Normal 171 2 2 2 3" xfId="50212"/>
    <cellStyle name="Normal 171 2 2 3" xfId="50213"/>
    <cellStyle name="Normal 171 2 2 4" xfId="50214"/>
    <cellStyle name="Normal 171 2 3" xfId="50215"/>
    <cellStyle name="Normal 171 2 3 2" xfId="50216"/>
    <cellStyle name="Normal 171 2 3 3" xfId="50217"/>
    <cellStyle name="Normal 171 2 4" xfId="50218"/>
    <cellStyle name="Normal 171 2 4 2" xfId="50219"/>
    <cellStyle name="Normal 171 2 4 3" xfId="50220"/>
    <cellStyle name="Normal 171 2 5" xfId="50221"/>
    <cellStyle name="Normal 171 2 6" xfId="50222"/>
    <cellStyle name="Normal 171 3" xfId="50223"/>
    <cellStyle name="Normal 171 3 2" xfId="50224"/>
    <cellStyle name="Normal 171 3 2 2" xfId="50225"/>
    <cellStyle name="Normal 171 3 2 2 2" xfId="50226"/>
    <cellStyle name="Normal 171 3 2 2 3" xfId="50227"/>
    <cellStyle name="Normal 171 3 2 3" xfId="50228"/>
    <cellStyle name="Normal 171 3 2 4" xfId="50229"/>
    <cellStyle name="Normal 171 3 3" xfId="50230"/>
    <cellStyle name="Normal 171 3 3 2" xfId="50231"/>
    <cellStyle name="Normal 171 3 3 3" xfId="50232"/>
    <cellStyle name="Normal 171 3 4" xfId="50233"/>
    <cellStyle name="Normal 171 3 4 2" xfId="50234"/>
    <cellStyle name="Normal 171 3 4 3" xfId="50235"/>
    <cellStyle name="Normal 171 3 5" xfId="50236"/>
    <cellStyle name="Normal 171 3 6" xfId="50237"/>
    <cellStyle name="Normal 171 4" xfId="50238"/>
    <cellStyle name="Normal 171 4 2" xfId="50239"/>
    <cellStyle name="Normal 171 4 2 2" xfId="50240"/>
    <cellStyle name="Normal 171 4 2 3" xfId="50241"/>
    <cellStyle name="Normal 171 4 3" xfId="50242"/>
    <cellStyle name="Normal 171 4 4" xfId="50243"/>
    <cellStyle name="Normal 171 5" xfId="50244"/>
    <cellStyle name="Normal 171 5 2" xfId="50245"/>
    <cellStyle name="Normal 171 5 3" xfId="50246"/>
    <cellStyle name="Normal 171 6" xfId="50247"/>
    <cellStyle name="Normal 171 6 2" xfId="50248"/>
    <cellStyle name="Normal 171 6 3" xfId="50249"/>
    <cellStyle name="Normal 171 7" xfId="50250"/>
    <cellStyle name="Normal 171 8" xfId="50251"/>
    <cellStyle name="Normal 172" xfId="50252"/>
    <cellStyle name="Normal 172 2" xfId="50253"/>
    <cellStyle name="Normal 172 2 2" xfId="50254"/>
    <cellStyle name="Normal 172 2 2 2" xfId="50255"/>
    <cellStyle name="Normal 172 2 2 2 2" xfId="50256"/>
    <cellStyle name="Normal 172 2 2 2 3" xfId="50257"/>
    <cellStyle name="Normal 172 2 2 3" xfId="50258"/>
    <cellStyle name="Normal 172 2 2 4" xfId="50259"/>
    <cellStyle name="Normal 172 2 3" xfId="50260"/>
    <cellStyle name="Normal 172 2 3 2" xfId="50261"/>
    <cellStyle name="Normal 172 2 3 3" xfId="50262"/>
    <cellStyle name="Normal 172 2 4" xfId="50263"/>
    <cellStyle name="Normal 172 2 4 2" xfId="50264"/>
    <cellStyle name="Normal 172 2 4 3" xfId="50265"/>
    <cellStyle name="Normal 172 2 5" xfId="50266"/>
    <cellStyle name="Normal 172 2 6" xfId="50267"/>
    <cellStyle name="Normal 172 3" xfId="50268"/>
    <cellStyle name="Normal 172 3 2" xfId="50269"/>
    <cellStyle name="Normal 172 3 2 2" xfId="50270"/>
    <cellStyle name="Normal 172 3 2 2 2" xfId="50271"/>
    <cellStyle name="Normal 172 3 2 2 3" xfId="50272"/>
    <cellStyle name="Normal 172 3 2 3" xfId="50273"/>
    <cellStyle name="Normal 172 3 2 4" xfId="50274"/>
    <cellStyle name="Normal 172 3 3" xfId="50275"/>
    <cellStyle name="Normal 172 3 3 2" xfId="50276"/>
    <cellStyle name="Normal 172 3 3 3" xfId="50277"/>
    <cellStyle name="Normal 172 3 4" xfId="50278"/>
    <cellStyle name="Normal 172 3 4 2" xfId="50279"/>
    <cellStyle name="Normal 172 3 4 3" xfId="50280"/>
    <cellStyle name="Normal 172 3 5" xfId="50281"/>
    <cellStyle name="Normal 172 3 6" xfId="50282"/>
    <cellStyle name="Normal 172 4" xfId="50283"/>
    <cellStyle name="Normal 172 4 2" xfId="50284"/>
    <cellStyle name="Normal 172 4 2 2" xfId="50285"/>
    <cellStyle name="Normal 172 4 2 3" xfId="50286"/>
    <cellStyle name="Normal 172 4 3" xfId="50287"/>
    <cellStyle name="Normal 172 4 4" xfId="50288"/>
    <cellStyle name="Normal 172 5" xfId="50289"/>
    <cellStyle name="Normal 172 5 2" xfId="50290"/>
    <cellStyle name="Normal 172 5 3" xfId="50291"/>
    <cellStyle name="Normal 172 6" xfId="50292"/>
    <cellStyle name="Normal 172 6 2" xfId="50293"/>
    <cellStyle name="Normal 172 6 3" xfId="50294"/>
    <cellStyle name="Normal 172 7" xfId="50295"/>
    <cellStyle name="Normal 172 8" xfId="50296"/>
    <cellStyle name="Normal 173" xfId="50297"/>
    <cellStyle name="Normal 173 2" xfId="50298"/>
    <cellStyle name="Normal 173 2 2" xfId="50299"/>
    <cellStyle name="Normal 173 2 2 2" xfId="50300"/>
    <cellStyle name="Normal 173 2 2 2 2" xfId="50301"/>
    <cellStyle name="Normal 173 2 2 2 3" xfId="50302"/>
    <cellStyle name="Normal 173 2 2 3" xfId="50303"/>
    <cellStyle name="Normal 173 2 2 4" xfId="50304"/>
    <cellStyle name="Normal 173 2 3" xfId="50305"/>
    <cellStyle name="Normal 173 2 3 2" xfId="50306"/>
    <cellStyle name="Normal 173 2 3 3" xfId="50307"/>
    <cellStyle name="Normal 173 2 4" xfId="50308"/>
    <cellStyle name="Normal 173 2 4 2" xfId="50309"/>
    <cellStyle name="Normal 173 2 4 3" xfId="50310"/>
    <cellStyle name="Normal 173 2 5" xfId="50311"/>
    <cellStyle name="Normal 173 2 6" xfId="50312"/>
    <cellStyle name="Normal 173 3" xfId="50313"/>
    <cellStyle name="Normal 173 3 2" xfId="50314"/>
    <cellStyle name="Normal 173 3 2 2" xfId="50315"/>
    <cellStyle name="Normal 173 3 2 2 2" xfId="50316"/>
    <cellStyle name="Normal 173 3 2 2 3" xfId="50317"/>
    <cellStyle name="Normal 173 3 2 3" xfId="50318"/>
    <cellStyle name="Normal 173 3 2 4" xfId="50319"/>
    <cellStyle name="Normal 173 3 3" xfId="50320"/>
    <cellStyle name="Normal 173 3 3 2" xfId="50321"/>
    <cellStyle name="Normal 173 3 3 3" xfId="50322"/>
    <cellStyle name="Normal 173 3 4" xfId="50323"/>
    <cellStyle name="Normal 173 3 4 2" xfId="50324"/>
    <cellStyle name="Normal 173 3 4 3" xfId="50325"/>
    <cellStyle name="Normal 173 3 5" xfId="50326"/>
    <cellStyle name="Normal 173 3 6" xfId="50327"/>
    <cellStyle name="Normal 173 4" xfId="50328"/>
    <cellStyle name="Normal 173 4 2" xfId="50329"/>
    <cellStyle name="Normal 173 4 2 2" xfId="50330"/>
    <cellStyle name="Normal 173 4 2 3" xfId="50331"/>
    <cellStyle name="Normal 173 4 3" xfId="50332"/>
    <cellStyle name="Normal 173 4 4" xfId="50333"/>
    <cellStyle name="Normal 173 5" xfId="50334"/>
    <cellStyle name="Normal 173 5 2" xfId="50335"/>
    <cellStyle name="Normal 173 5 3" xfId="50336"/>
    <cellStyle name="Normal 173 6" xfId="50337"/>
    <cellStyle name="Normal 173 6 2" xfId="50338"/>
    <cellStyle name="Normal 173 6 3" xfId="50339"/>
    <cellStyle name="Normal 173 7" xfId="50340"/>
    <cellStyle name="Normal 173 8" xfId="50341"/>
    <cellStyle name="Normal 174" xfId="50342"/>
    <cellStyle name="Normal 174 2" xfId="50343"/>
    <cellStyle name="Normal 174 3" xfId="50344"/>
    <cellStyle name="Normal 175" xfId="50345"/>
    <cellStyle name="Normal 175 2" xfId="50346"/>
    <cellStyle name="Normal 175 2 2" xfId="50347"/>
    <cellStyle name="Normal 175 2 2 2" xfId="50348"/>
    <cellStyle name="Normal 175 2 2 2 2" xfId="50349"/>
    <cellStyle name="Normal 175 2 2 2 3" xfId="50350"/>
    <cellStyle name="Normal 175 2 2 3" xfId="50351"/>
    <cellStyle name="Normal 175 2 2 4" xfId="50352"/>
    <cellStyle name="Normal 175 2 3" xfId="50353"/>
    <cellStyle name="Normal 175 2 3 2" xfId="50354"/>
    <cellStyle name="Normal 175 2 3 3" xfId="50355"/>
    <cellStyle name="Normal 175 2 4" xfId="50356"/>
    <cellStyle name="Normal 175 2 4 2" xfId="50357"/>
    <cellStyle name="Normal 175 2 4 3" xfId="50358"/>
    <cellStyle name="Normal 175 2 5" xfId="50359"/>
    <cellStyle name="Normal 175 2 6" xfId="50360"/>
    <cellStyle name="Normal 175 3" xfId="50361"/>
    <cellStyle name="Normal 175 3 2" xfId="50362"/>
    <cellStyle name="Normal 175 3 2 2" xfId="50363"/>
    <cellStyle name="Normal 175 3 2 2 2" xfId="50364"/>
    <cellStyle name="Normal 175 3 2 2 3" xfId="50365"/>
    <cellStyle name="Normal 175 3 2 3" xfId="50366"/>
    <cellStyle name="Normal 175 3 2 4" xfId="50367"/>
    <cellStyle name="Normal 175 3 3" xfId="50368"/>
    <cellStyle name="Normal 175 3 3 2" xfId="50369"/>
    <cellStyle name="Normal 175 3 3 3" xfId="50370"/>
    <cellStyle name="Normal 175 3 4" xfId="50371"/>
    <cellStyle name="Normal 175 3 4 2" xfId="50372"/>
    <cellStyle name="Normal 175 3 4 3" xfId="50373"/>
    <cellStyle name="Normal 175 3 5" xfId="50374"/>
    <cellStyle name="Normal 175 3 6" xfId="50375"/>
    <cellStyle name="Normal 175 4" xfId="50376"/>
    <cellStyle name="Normal 175 4 2" xfId="50377"/>
    <cellStyle name="Normal 175 4 2 2" xfId="50378"/>
    <cellStyle name="Normal 175 4 2 3" xfId="50379"/>
    <cellStyle name="Normal 175 4 3" xfId="50380"/>
    <cellStyle name="Normal 175 4 4" xfId="50381"/>
    <cellStyle name="Normal 175 5" xfId="50382"/>
    <cellStyle name="Normal 175 5 2" xfId="50383"/>
    <cellStyle name="Normal 175 5 3" xfId="50384"/>
    <cellStyle name="Normal 175 6" xfId="50385"/>
    <cellStyle name="Normal 175 6 2" xfId="50386"/>
    <cellStyle name="Normal 175 6 3" xfId="50387"/>
    <cellStyle name="Normal 175 7" xfId="50388"/>
    <cellStyle name="Normal 175 8" xfId="50389"/>
    <cellStyle name="Normal 176" xfId="50390"/>
    <cellStyle name="Normal 176 2" xfId="50391"/>
    <cellStyle name="Normal 176 2 2" xfId="50392"/>
    <cellStyle name="Normal 176 2 2 2" xfId="50393"/>
    <cellStyle name="Normal 176 2 2 2 2" xfId="50394"/>
    <cellStyle name="Normal 176 2 2 2 3" xfId="50395"/>
    <cellStyle name="Normal 176 2 2 3" xfId="50396"/>
    <cellStyle name="Normal 176 2 2 4" xfId="50397"/>
    <cellStyle name="Normal 176 2 3" xfId="50398"/>
    <cellStyle name="Normal 176 2 3 2" xfId="50399"/>
    <cellStyle name="Normal 176 2 3 3" xfId="50400"/>
    <cellStyle name="Normal 176 2 4" xfId="50401"/>
    <cellStyle name="Normal 176 2 4 2" xfId="50402"/>
    <cellStyle name="Normal 176 2 4 3" xfId="50403"/>
    <cellStyle name="Normal 176 2 5" xfId="50404"/>
    <cellStyle name="Normal 176 2 6" xfId="50405"/>
    <cellStyle name="Normal 176 3" xfId="50406"/>
    <cellStyle name="Normal 176 3 2" xfId="50407"/>
    <cellStyle name="Normal 176 3 2 2" xfId="50408"/>
    <cellStyle name="Normal 176 3 2 2 2" xfId="50409"/>
    <cellStyle name="Normal 176 3 2 2 3" xfId="50410"/>
    <cellStyle name="Normal 176 3 2 3" xfId="50411"/>
    <cellStyle name="Normal 176 3 2 4" xfId="50412"/>
    <cellStyle name="Normal 176 3 3" xfId="50413"/>
    <cellStyle name="Normal 176 3 3 2" xfId="50414"/>
    <cellStyle name="Normal 176 3 3 3" xfId="50415"/>
    <cellStyle name="Normal 176 3 4" xfId="50416"/>
    <cellStyle name="Normal 176 3 4 2" xfId="50417"/>
    <cellStyle name="Normal 176 3 4 3" xfId="50418"/>
    <cellStyle name="Normal 176 3 5" xfId="50419"/>
    <cellStyle name="Normal 176 3 6" xfId="50420"/>
    <cellStyle name="Normal 176 4" xfId="50421"/>
    <cellStyle name="Normal 176 4 2" xfId="50422"/>
    <cellStyle name="Normal 176 4 2 2" xfId="50423"/>
    <cellStyle name="Normal 176 4 2 3" xfId="50424"/>
    <cellStyle name="Normal 176 4 3" xfId="50425"/>
    <cellStyle name="Normal 176 4 4" xfId="50426"/>
    <cellStyle name="Normal 176 5" xfId="50427"/>
    <cellStyle name="Normal 176 5 2" xfId="50428"/>
    <cellStyle name="Normal 176 5 3" xfId="50429"/>
    <cellStyle name="Normal 176 6" xfId="50430"/>
    <cellStyle name="Normal 176 6 2" xfId="50431"/>
    <cellStyle name="Normal 176 6 3" xfId="50432"/>
    <cellStyle name="Normal 176 7" xfId="50433"/>
    <cellStyle name="Normal 176 8" xfId="50434"/>
    <cellStyle name="Normal 177" xfId="50435"/>
    <cellStyle name="Normal 177 2" xfId="50436"/>
    <cellStyle name="Normal 177 3" xfId="50437"/>
    <cellStyle name="Normal 178" xfId="50438"/>
    <cellStyle name="Normal 178 2" xfId="50439"/>
    <cellStyle name="Normal 178 3" xfId="50440"/>
    <cellStyle name="Normal 179" xfId="50441"/>
    <cellStyle name="Normal 179 2" xfId="50442"/>
    <cellStyle name="Normal 179 3" xfId="50443"/>
    <cellStyle name="Normal 18" xfId="50444"/>
    <cellStyle name="Normal 18 10" xfId="50445"/>
    <cellStyle name="Normal 18 11" xfId="50446"/>
    <cellStyle name="Normal 18 12" xfId="50447"/>
    <cellStyle name="Normal 18 2" xfId="50448"/>
    <cellStyle name="Normal 18 2 10" xfId="50449"/>
    <cellStyle name="Normal 18 2 2" xfId="50450"/>
    <cellStyle name="Normal 18 2 2 2" xfId="50451"/>
    <cellStyle name="Normal 18 2 2 2 2" xfId="50452"/>
    <cellStyle name="Normal 18 2 2 2 2 2" xfId="50453"/>
    <cellStyle name="Normal 18 2 2 2 2 2 2" xfId="50454"/>
    <cellStyle name="Normal 18 2 2 2 2 2 3" xfId="50455"/>
    <cellStyle name="Normal 18 2 2 2 2 3" xfId="50456"/>
    <cellStyle name="Normal 18 2 2 2 2 4" xfId="50457"/>
    <cellStyle name="Normal 18 2 2 2 3" xfId="50458"/>
    <cellStyle name="Normal 18 2 2 2 3 2" xfId="50459"/>
    <cellStyle name="Normal 18 2 2 2 3 3" xfId="50460"/>
    <cellStyle name="Normal 18 2 2 2 4" xfId="50461"/>
    <cellStyle name="Normal 18 2 2 2 4 2" xfId="50462"/>
    <cellStyle name="Normal 18 2 2 2 4 3" xfId="50463"/>
    <cellStyle name="Normal 18 2 2 2 5" xfId="50464"/>
    <cellStyle name="Normal 18 2 2 2 6" xfId="50465"/>
    <cellStyle name="Normal 18 2 2 3" xfId="50466"/>
    <cellStyle name="Normal 18 2 2 3 2" xfId="50467"/>
    <cellStyle name="Normal 18 2 2 3 2 2" xfId="50468"/>
    <cellStyle name="Normal 18 2 2 3 2 2 2" xfId="50469"/>
    <cellStyle name="Normal 18 2 2 3 2 2 3" xfId="50470"/>
    <cellStyle name="Normal 18 2 2 3 2 3" xfId="50471"/>
    <cellStyle name="Normal 18 2 2 3 2 4" xfId="50472"/>
    <cellStyle name="Normal 18 2 2 3 3" xfId="50473"/>
    <cellStyle name="Normal 18 2 2 3 3 2" xfId="50474"/>
    <cellStyle name="Normal 18 2 2 3 3 3" xfId="50475"/>
    <cellStyle name="Normal 18 2 2 3 4" xfId="50476"/>
    <cellStyle name="Normal 18 2 2 3 4 2" xfId="50477"/>
    <cellStyle name="Normal 18 2 2 3 4 3" xfId="50478"/>
    <cellStyle name="Normal 18 2 2 3 5" xfId="50479"/>
    <cellStyle name="Normal 18 2 2 3 6" xfId="50480"/>
    <cellStyle name="Normal 18 2 2 4" xfId="50481"/>
    <cellStyle name="Normal 18 2 2 4 2" xfId="50482"/>
    <cellStyle name="Normal 18 2 2 4 2 2" xfId="50483"/>
    <cellStyle name="Normal 18 2 2 4 2 3" xfId="50484"/>
    <cellStyle name="Normal 18 2 2 4 3" xfId="50485"/>
    <cellStyle name="Normal 18 2 2 4 4" xfId="50486"/>
    <cellStyle name="Normal 18 2 2 5" xfId="50487"/>
    <cellStyle name="Normal 18 2 2 5 2" xfId="50488"/>
    <cellStyle name="Normal 18 2 2 5 3" xfId="50489"/>
    <cellStyle name="Normal 18 2 2 6" xfId="50490"/>
    <cellStyle name="Normal 18 2 2 6 2" xfId="50491"/>
    <cellStyle name="Normal 18 2 2 6 3" xfId="50492"/>
    <cellStyle name="Normal 18 2 2 7" xfId="50493"/>
    <cellStyle name="Normal 18 2 2 8" xfId="50494"/>
    <cellStyle name="Normal 18 2 3" xfId="50495"/>
    <cellStyle name="Normal 18 2 3 2" xfId="50496"/>
    <cellStyle name="Normal 18 2 3 2 2" xfId="50497"/>
    <cellStyle name="Normal 18 2 3 2 2 2" xfId="50498"/>
    <cellStyle name="Normal 18 2 3 2 2 3" xfId="50499"/>
    <cellStyle name="Normal 18 2 3 2 3" xfId="50500"/>
    <cellStyle name="Normal 18 2 3 2 4" xfId="50501"/>
    <cellStyle name="Normal 18 2 3 3" xfId="50502"/>
    <cellStyle name="Normal 18 2 3 3 2" xfId="50503"/>
    <cellStyle name="Normal 18 2 3 3 3" xfId="50504"/>
    <cellStyle name="Normal 18 2 3 4" xfId="50505"/>
    <cellStyle name="Normal 18 2 3 4 2" xfId="50506"/>
    <cellStyle name="Normal 18 2 3 4 3" xfId="50507"/>
    <cellStyle name="Normal 18 2 3 5" xfId="50508"/>
    <cellStyle name="Normal 18 2 3 6" xfId="50509"/>
    <cellStyle name="Normal 18 2 4" xfId="50510"/>
    <cellStyle name="Normal 18 2 4 2" xfId="50511"/>
    <cellStyle name="Normal 18 2 4 2 2" xfId="50512"/>
    <cellStyle name="Normal 18 2 4 2 2 2" xfId="50513"/>
    <cellStyle name="Normal 18 2 4 2 2 3" xfId="50514"/>
    <cellStyle name="Normal 18 2 4 2 3" xfId="50515"/>
    <cellStyle name="Normal 18 2 4 2 4" xfId="50516"/>
    <cellStyle name="Normal 18 2 4 3" xfId="50517"/>
    <cellStyle name="Normal 18 2 4 3 2" xfId="50518"/>
    <cellStyle name="Normal 18 2 4 3 3" xfId="50519"/>
    <cellStyle name="Normal 18 2 4 4" xfId="50520"/>
    <cellStyle name="Normal 18 2 4 4 2" xfId="50521"/>
    <cellStyle name="Normal 18 2 4 4 3" xfId="50522"/>
    <cellStyle name="Normal 18 2 4 5" xfId="50523"/>
    <cellStyle name="Normal 18 2 4 6" xfId="50524"/>
    <cellStyle name="Normal 18 2 5" xfId="50525"/>
    <cellStyle name="Normal 18 2 5 2" xfId="50526"/>
    <cellStyle name="Normal 18 2 5 2 2" xfId="50527"/>
    <cellStyle name="Normal 18 2 5 2 3" xfId="50528"/>
    <cellStyle name="Normal 18 2 5 3" xfId="50529"/>
    <cellStyle name="Normal 18 2 5 4" xfId="50530"/>
    <cellStyle name="Normal 18 2 6" xfId="50531"/>
    <cellStyle name="Normal 18 2 6 2" xfId="50532"/>
    <cellStyle name="Normal 18 2 6 2 2" xfId="50533"/>
    <cellStyle name="Normal 18 2 6 2 3" xfId="50534"/>
    <cellStyle name="Normal 18 2 6 3" xfId="50535"/>
    <cellStyle name="Normal 18 2 6 4" xfId="50536"/>
    <cellStyle name="Normal 18 2 7" xfId="50537"/>
    <cellStyle name="Normal 18 2 7 2" xfId="50538"/>
    <cellStyle name="Normal 18 2 7 3" xfId="50539"/>
    <cellStyle name="Normal 18 2 8" xfId="50540"/>
    <cellStyle name="Normal 18 2 8 2" xfId="50541"/>
    <cellStyle name="Normal 18 2 8 3" xfId="50542"/>
    <cellStyle name="Normal 18 2 9" xfId="50543"/>
    <cellStyle name="Normal 18 3" xfId="50544"/>
    <cellStyle name="Normal 18 3 2" xfId="50545"/>
    <cellStyle name="Normal 18 3 2 2" xfId="50546"/>
    <cellStyle name="Normal 18 3 2 2 2" xfId="50547"/>
    <cellStyle name="Normal 18 3 2 2 2 2" xfId="50548"/>
    <cellStyle name="Normal 18 3 2 2 2 3" xfId="50549"/>
    <cellStyle name="Normal 18 3 2 2 3" xfId="50550"/>
    <cellStyle name="Normal 18 3 2 2 4" xfId="50551"/>
    <cellStyle name="Normal 18 3 2 3" xfId="50552"/>
    <cellStyle name="Normal 18 3 2 3 2" xfId="50553"/>
    <cellStyle name="Normal 18 3 2 3 3" xfId="50554"/>
    <cellStyle name="Normal 18 3 2 4" xfId="50555"/>
    <cellStyle name="Normal 18 3 2 4 2" xfId="50556"/>
    <cellStyle name="Normal 18 3 2 4 3" xfId="50557"/>
    <cellStyle name="Normal 18 3 2 5" xfId="50558"/>
    <cellStyle name="Normal 18 3 2 6" xfId="50559"/>
    <cellStyle name="Normal 18 3 3" xfId="50560"/>
    <cellStyle name="Normal 18 3 3 2" xfId="50561"/>
    <cellStyle name="Normal 18 3 3 2 2" xfId="50562"/>
    <cellStyle name="Normal 18 3 3 2 2 2" xfId="50563"/>
    <cellStyle name="Normal 18 3 3 2 2 3" xfId="50564"/>
    <cellStyle name="Normal 18 3 3 2 3" xfId="50565"/>
    <cellStyle name="Normal 18 3 3 2 4" xfId="50566"/>
    <cellStyle name="Normal 18 3 3 3" xfId="50567"/>
    <cellStyle name="Normal 18 3 3 3 2" xfId="50568"/>
    <cellStyle name="Normal 18 3 3 3 3" xfId="50569"/>
    <cellStyle name="Normal 18 3 3 4" xfId="50570"/>
    <cellStyle name="Normal 18 3 3 4 2" xfId="50571"/>
    <cellStyle name="Normal 18 3 3 4 3" xfId="50572"/>
    <cellStyle name="Normal 18 3 3 5" xfId="50573"/>
    <cellStyle name="Normal 18 3 3 6" xfId="50574"/>
    <cellStyle name="Normal 18 3 4" xfId="50575"/>
    <cellStyle name="Normal 18 3 4 2" xfId="50576"/>
    <cellStyle name="Normal 18 3 4 2 2" xfId="50577"/>
    <cellStyle name="Normal 18 3 4 2 3" xfId="50578"/>
    <cellStyle name="Normal 18 3 4 3" xfId="50579"/>
    <cellStyle name="Normal 18 3 4 4" xfId="50580"/>
    <cellStyle name="Normal 18 3 5" xfId="50581"/>
    <cellStyle name="Normal 18 3 5 2" xfId="50582"/>
    <cellStyle name="Normal 18 3 5 3" xfId="50583"/>
    <cellStyle name="Normal 18 3 6" xfId="50584"/>
    <cellStyle name="Normal 18 3 6 2" xfId="50585"/>
    <cellStyle name="Normal 18 3 6 3" xfId="50586"/>
    <cellStyle name="Normal 18 3 7" xfId="50587"/>
    <cellStyle name="Normal 18 3 8" xfId="50588"/>
    <cellStyle name="Normal 18 4" xfId="50589"/>
    <cellStyle name="Normal 18 4 2" xfId="50590"/>
    <cellStyle name="Normal 18 4 2 2" xfId="50591"/>
    <cellStyle name="Normal 18 4 2 2 2" xfId="50592"/>
    <cellStyle name="Normal 18 4 2 2 3" xfId="50593"/>
    <cellStyle name="Normal 18 4 2 3" xfId="50594"/>
    <cellStyle name="Normal 18 4 2 4" xfId="50595"/>
    <cellStyle name="Normal 18 4 3" xfId="50596"/>
    <cellStyle name="Normal 18 4 3 2" xfId="50597"/>
    <cellStyle name="Normal 18 4 3 3" xfId="50598"/>
    <cellStyle name="Normal 18 4 4" xfId="50599"/>
    <cellStyle name="Normal 18 4 4 2" xfId="50600"/>
    <cellStyle name="Normal 18 4 4 3" xfId="50601"/>
    <cellStyle name="Normal 18 4 5" xfId="50602"/>
    <cellStyle name="Normal 18 4 6" xfId="50603"/>
    <cellStyle name="Normal 18 5" xfId="50604"/>
    <cellStyle name="Normal 18 5 2" xfId="50605"/>
    <cellStyle name="Normal 18 5 2 2" xfId="50606"/>
    <cellStyle name="Normal 18 5 2 2 2" xfId="50607"/>
    <cellStyle name="Normal 18 5 2 2 3" xfId="50608"/>
    <cellStyle name="Normal 18 5 2 3" xfId="50609"/>
    <cellStyle name="Normal 18 5 2 4" xfId="50610"/>
    <cellStyle name="Normal 18 5 3" xfId="50611"/>
    <cellStyle name="Normal 18 5 3 2" xfId="50612"/>
    <cellStyle name="Normal 18 5 3 3" xfId="50613"/>
    <cellStyle name="Normal 18 5 4" xfId="50614"/>
    <cellStyle name="Normal 18 5 4 2" xfId="50615"/>
    <cellStyle name="Normal 18 5 4 3" xfId="50616"/>
    <cellStyle name="Normal 18 5 5" xfId="50617"/>
    <cellStyle name="Normal 18 5 6" xfId="50618"/>
    <cellStyle name="Normal 18 6" xfId="50619"/>
    <cellStyle name="Normal 18 6 2" xfId="50620"/>
    <cellStyle name="Normal 18 6 2 2" xfId="50621"/>
    <cellStyle name="Normal 18 6 2 3" xfId="50622"/>
    <cellStyle name="Normal 18 6 3" xfId="50623"/>
    <cellStyle name="Normal 18 6 4" xfId="50624"/>
    <cellStyle name="Normal 18 7" xfId="50625"/>
    <cellStyle name="Normal 18 7 2" xfId="50626"/>
    <cellStyle name="Normal 18 7 2 2" xfId="50627"/>
    <cellStyle name="Normal 18 7 2 3" xfId="50628"/>
    <cellStyle name="Normal 18 7 3" xfId="50629"/>
    <cellStyle name="Normal 18 7 4" xfId="50630"/>
    <cellStyle name="Normal 18 8" xfId="50631"/>
    <cellStyle name="Normal 18 8 2" xfId="50632"/>
    <cellStyle name="Normal 18 8 3" xfId="50633"/>
    <cellStyle name="Normal 18 9" xfId="50634"/>
    <cellStyle name="Normal 18 9 2" xfId="50635"/>
    <cellStyle name="Normal 18 9 3" xfId="50636"/>
    <cellStyle name="Normal 180" xfId="50637"/>
    <cellStyle name="Normal 180 10" xfId="50638"/>
    <cellStyle name="Normal 180 2" xfId="50639"/>
    <cellStyle name="Normal 180 2 10" xfId="50640"/>
    <cellStyle name="Normal 180 2 2" xfId="50641"/>
    <cellStyle name="Normal 180 2 2 2" xfId="50642"/>
    <cellStyle name="Normal 180 2 2 2 2" xfId="50643"/>
    <cellStyle name="Normal 180 2 2 2 2 2" xfId="50644"/>
    <cellStyle name="Normal 180 2 2 2 2 2 2" xfId="50645"/>
    <cellStyle name="Normal 180 2 2 2 2 2 3" xfId="50646"/>
    <cellStyle name="Normal 180 2 2 2 2 3" xfId="50647"/>
    <cellStyle name="Normal 180 2 2 2 2 4" xfId="50648"/>
    <cellStyle name="Normal 180 2 2 2 3" xfId="50649"/>
    <cellStyle name="Normal 180 2 2 2 3 2" xfId="50650"/>
    <cellStyle name="Normal 180 2 2 2 3 3" xfId="50651"/>
    <cellStyle name="Normal 180 2 2 2 4" xfId="50652"/>
    <cellStyle name="Normal 180 2 2 2 4 2" xfId="50653"/>
    <cellStyle name="Normal 180 2 2 2 4 3" xfId="50654"/>
    <cellStyle name="Normal 180 2 2 2 5" xfId="50655"/>
    <cellStyle name="Normal 180 2 2 2 6" xfId="50656"/>
    <cellStyle name="Normal 180 2 2 3" xfId="50657"/>
    <cellStyle name="Normal 180 2 2 3 2" xfId="50658"/>
    <cellStyle name="Normal 180 2 2 3 2 2" xfId="50659"/>
    <cellStyle name="Normal 180 2 2 3 2 2 2" xfId="50660"/>
    <cellStyle name="Normal 180 2 2 3 2 2 3" xfId="50661"/>
    <cellStyle name="Normal 180 2 2 3 2 3" xfId="50662"/>
    <cellStyle name="Normal 180 2 2 3 2 4" xfId="50663"/>
    <cellStyle name="Normal 180 2 2 3 3" xfId="50664"/>
    <cellStyle name="Normal 180 2 2 3 3 2" xfId="50665"/>
    <cellStyle name="Normal 180 2 2 3 3 3" xfId="50666"/>
    <cellStyle name="Normal 180 2 2 3 4" xfId="50667"/>
    <cellStyle name="Normal 180 2 2 3 4 2" xfId="50668"/>
    <cellStyle name="Normal 180 2 2 3 4 3" xfId="50669"/>
    <cellStyle name="Normal 180 2 2 3 5" xfId="50670"/>
    <cellStyle name="Normal 180 2 2 3 6" xfId="50671"/>
    <cellStyle name="Normal 180 2 2 4" xfId="50672"/>
    <cellStyle name="Normal 180 2 2 4 2" xfId="50673"/>
    <cellStyle name="Normal 180 2 2 4 2 2" xfId="50674"/>
    <cellStyle name="Normal 180 2 2 4 2 3" xfId="50675"/>
    <cellStyle name="Normal 180 2 2 4 3" xfId="50676"/>
    <cellStyle name="Normal 180 2 2 4 4" xfId="50677"/>
    <cellStyle name="Normal 180 2 2 5" xfId="50678"/>
    <cellStyle name="Normal 180 2 2 5 2" xfId="50679"/>
    <cellStyle name="Normal 180 2 2 5 3" xfId="50680"/>
    <cellStyle name="Normal 180 2 2 6" xfId="50681"/>
    <cellStyle name="Normal 180 2 2 6 2" xfId="50682"/>
    <cellStyle name="Normal 180 2 2 6 3" xfId="50683"/>
    <cellStyle name="Normal 180 2 2 7" xfId="50684"/>
    <cellStyle name="Normal 180 2 2 8" xfId="50685"/>
    <cellStyle name="Normal 180 2 3" xfId="50686"/>
    <cellStyle name="Normal 180 2 3 2" xfId="50687"/>
    <cellStyle name="Normal 180 2 3 2 2" xfId="50688"/>
    <cellStyle name="Normal 180 2 3 2 2 2" xfId="50689"/>
    <cellStyle name="Normal 180 2 3 2 2 2 2" xfId="50690"/>
    <cellStyle name="Normal 180 2 3 2 2 2 3" xfId="50691"/>
    <cellStyle name="Normal 180 2 3 2 2 3" xfId="50692"/>
    <cellStyle name="Normal 180 2 3 2 2 4" xfId="50693"/>
    <cellStyle name="Normal 180 2 3 2 3" xfId="50694"/>
    <cellStyle name="Normal 180 2 3 2 3 2" xfId="50695"/>
    <cellStyle name="Normal 180 2 3 2 3 3" xfId="50696"/>
    <cellStyle name="Normal 180 2 3 2 4" xfId="50697"/>
    <cellStyle name="Normal 180 2 3 2 4 2" xfId="50698"/>
    <cellStyle name="Normal 180 2 3 2 4 3" xfId="50699"/>
    <cellStyle name="Normal 180 2 3 2 5" xfId="50700"/>
    <cellStyle name="Normal 180 2 3 2 6" xfId="50701"/>
    <cellStyle name="Normal 180 2 3 3" xfId="50702"/>
    <cellStyle name="Normal 180 2 3 3 2" xfId="50703"/>
    <cellStyle name="Normal 180 2 3 3 2 2" xfId="50704"/>
    <cellStyle name="Normal 180 2 3 3 2 2 2" xfId="50705"/>
    <cellStyle name="Normal 180 2 3 3 2 2 3" xfId="50706"/>
    <cellStyle name="Normal 180 2 3 3 2 3" xfId="50707"/>
    <cellStyle name="Normal 180 2 3 3 2 4" xfId="50708"/>
    <cellStyle name="Normal 180 2 3 3 3" xfId="50709"/>
    <cellStyle name="Normal 180 2 3 3 3 2" xfId="50710"/>
    <cellStyle name="Normal 180 2 3 3 3 3" xfId="50711"/>
    <cellStyle name="Normal 180 2 3 3 4" xfId="50712"/>
    <cellStyle name="Normal 180 2 3 3 4 2" xfId="50713"/>
    <cellStyle name="Normal 180 2 3 3 4 3" xfId="50714"/>
    <cellStyle name="Normal 180 2 3 3 5" xfId="50715"/>
    <cellStyle name="Normal 180 2 3 3 6" xfId="50716"/>
    <cellStyle name="Normal 180 2 3 4" xfId="50717"/>
    <cellStyle name="Normal 180 2 3 4 2" xfId="50718"/>
    <cellStyle name="Normal 180 2 3 4 2 2" xfId="50719"/>
    <cellStyle name="Normal 180 2 3 4 2 3" xfId="50720"/>
    <cellStyle name="Normal 180 2 3 4 3" xfId="50721"/>
    <cellStyle name="Normal 180 2 3 4 4" xfId="50722"/>
    <cellStyle name="Normal 180 2 3 5" xfId="50723"/>
    <cellStyle name="Normal 180 2 3 5 2" xfId="50724"/>
    <cellStyle name="Normal 180 2 3 5 3" xfId="50725"/>
    <cellStyle name="Normal 180 2 3 6" xfId="50726"/>
    <cellStyle name="Normal 180 2 3 6 2" xfId="50727"/>
    <cellStyle name="Normal 180 2 3 6 3" xfId="50728"/>
    <cellStyle name="Normal 180 2 3 7" xfId="50729"/>
    <cellStyle name="Normal 180 2 3 8" xfId="50730"/>
    <cellStyle name="Normal 180 2 4" xfId="50731"/>
    <cellStyle name="Normal 180 2 4 2" xfId="50732"/>
    <cellStyle name="Normal 180 2 4 2 2" xfId="50733"/>
    <cellStyle name="Normal 180 2 4 2 2 2" xfId="50734"/>
    <cellStyle name="Normal 180 2 4 2 2 3" xfId="50735"/>
    <cellStyle name="Normal 180 2 4 2 3" xfId="50736"/>
    <cellStyle name="Normal 180 2 4 2 4" xfId="50737"/>
    <cellStyle name="Normal 180 2 4 3" xfId="50738"/>
    <cellStyle name="Normal 180 2 4 3 2" xfId="50739"/>
    <cellStyle name="Normal 180 2 4 3 3" xfId="50740"/>
    <cellStyle name="Normal 180 2 4 4" xfId="50741"/>
    <cellStyle name="Normal 180 2 4 4 2" xfId="50742"/>
    <cellStyle name="Normal 180 2 4 4 3" xfId="50743"/>
    <cellStyle name="Normal 180 2 4 5" xfId="50744"/>
    <cellStyle name="Normal 180 2 4 6" xfId="50745"/>
    <cellStyle name="Normal 180 2 5" xfId="50746"/>
    <cellStyle name="Normal 180 2 5 2" xfId="50747"/>
    <cellStyle name="Normal 180 2 5 2 2" xfId="50748"/>
    <cellStyle name="Normal 180 2 5 2 2 2" xfId="50749"/>
    <cellStyle name="Normal 180 2 5 2 2 3" xfId="50750"/>
    <cellStyle name="Normal 180 2 5 2 3" xfId="50751"/>
    <cellStyle name="Normal 180 2 5 2 4" xfId="50752"/>
    <cellStyle name="Normal 180 2 5 3" xfId="50753"/>
    <cellStyle name="Normal 180 2 5 3 2" xfId="50754"/>
    <cellStyle name="Normal 180 2 5 3 3" xfId="50755"/>
    <cellStyle name="Normal 180 2 5 4" xfId="50756"/>
    <cellStyle name="Normal 180 2 5 4 2" xfId="50757"/>
    <cellStyle name="Normal 180 2 5 4 3" xfId="50758"/>
    <cellStyle name="Normal 180 2 5 5" xfId="50759"/>
    <cellStyle name="Normal 180 2 5 6" xfId="50760"/>
    <cellStyle name="Normal 180 2 6" xfId="50761"/>
    <cellStyle name="Normal 180 2 6 2" xfId="50762"/>
    <cellStyle name="Normal 180 2 6 2 2" xfId="50763"/>
    <cellStyle name="Normal 180 2 6 2 3" xfId="50764"/>
    <cellStyle name="Normal 180 2 6 3" xfId="50765"/>
    <cellStyle name="Normal 180 2 6 4" xfId="50766"/>
    <cellStyle name="Normal 180 2 7" xfId="50767"/>
    <cellStyle name="Normal 180 2 7 2" xfId="50768"/>
    <cellStyle name="Normal 180 2 7 3" xfId="50769"/>
    <cellStyle name="Normal 180 2 8" xfId="50770"/>
    <cellStyle name="Normal 180 2 8 2" xfId="50771"/>
    <cellStyle name="Normal 180 2 8 3" xfId="50772"/>
    <cellStyle name="Normal 180 2 9" xfId="50773"/>
    <cellStyle name="Normal 180 3" xfId="50774"/>
    <cellStyle name="Normal 180 3 2" xfId="50775"/>
    <cellStyle name="Normal 180 3 2 2" xfId="50776"/>
    <cellStyle name="Normal 180 3 2 2 2" xfId="50777"/>
    <cellStyle name="Normal 180 3 2 2 2 2" xfId="50778"/>
    <cellStyle name="Normal 180 3 2 2 2 3" xfId="50779"/>
    <cellStyle name="Normal 180 3 2 2 3" xfId="50780"/>
    <cellStyle name="Normal 180 3 2 2 4" xfId="50781"/>
    <cellStyle name="Normal 180 3 2 3" xfId="50782"/>
    <cellStyle name="Normal 180 3 2 3 2" xfId="50783"/>
    <cellStyle name="Normal 180 3 2 3 3" xfId="50784"/>
    <cellStyle name="Normal 180 3 2 4" xfId="50785"/>
    <cellStyle name="Normal 180 3 2 4 2" xfId="50786"/>
    <cellStyle name="Normal 180 3 2 4 3" xfId="50787"/>
    <cellStyle name="Normal 180 3 2 5" xfId="50788"/>
    <cellStyle name="Normal 180 3 2 6" xfId="50789"/>
    <cellStyle name="Normal 180 3 3" xfId="50790"/>
    <cellStyle name="Normal 180 3 3 2" xfId="50791"/>
    <cellStyle name="Normal 180 3 3 2 2" xfId="50792"/>
    <cellStyle name="Normal 180 3 3 2 2 2" xfId="50793"/>
    <cellStyle name="Normal 180 3 3 2 2 3" xfId="50794"/>
    <cellStyle name="Normal 180 3 3 2 3" xfId="50795"/>
    <cellStyle name="Normal 180 3 3 2 4" xfId="50796"/>
    <cellStyle name="Normal 180 3 3 3" xfId="50797"/>
    <cellStyle name="Normal 180 3 3 3 2" xfId="50798"/>
    <cellStyle name="Normal 180 3 3 3 3" xfId="50799"/>
    <cellStyle name="Normal 180 3 3 4" xfId="50800"/>
    <cellStyle name="Normal 180 3 3 4 2" xfId="50801"/>
    <cellStyle name="Normal 180 3 3 4 3" xfId="50802"/>
    <cellStyle name="Normal 180 3 3 5" xfId="50803"/>
    <cellStyle name="Normal 180 3 3 6" xfId="50804"/>
    <cellStyle name="Normal 180 3 4" xfId="50805"/>
    <cellStyle name="Normal 180 3 4 2" xfId="50806"/>
    <cellStyle name="Normal 180 3 4 2 2" xfId="50807"/>
    <cellStyle name="Normal 180 3 4 2 3" xfId="50808"/>
    <cellStyle name="Normal 180 3 4 3" xfId="50809"/>
    <cellStyle name="Normal 180 3 4 4" xfId="50810"/>
    <cellStyle name="Normal 180 3 5" xfId="50811"/>
    <cellStyle name="Normal 180 3 5 2" xfId="50812"/>
    <cellStyle name="Normal 180 3 5 3" xfId="50813"/>
    <cellStyle name="Normal 180 3 6" xfId="50814"/>
    <cellStyle name="Normal 180 3 6 2" xfId="50815"/>
    <cellStyle name="Normal 180 3 6 3" xfId="50816"/>
    <cellStyle name="Normal 180 3 7" xfId="50817"/>
    <cellStyle name="Normal 180 3 7 2" xfId="50818"/>
    <cellStyle name="Normal 180 3 7 2 2" xfId="50819"/>
    <cellStyle name="Normal 180 3 7 3" xfId="50820"/>
    <cellStyle name="Normal 180 3 7 4" xfId="50821"/>
    <cellStyle name="Normal 180 3 7 5 2" xfId="50822"/>
    <cellStyle name="Normal 180 3 7 5 2 2" xfId="50823"/>
    <cellStyle name="Normal 180 3 8" xfId="50824"/>
    <cellStyle name="Normal 180 4" xfId="50825"/>
    <cellStyle name="Normal 180 4 2" xfId="50826"/>
    <cellStyle name="Normal 180 4 2 2" xfId="50827"/>
    <cellStyle name="Normal 180 4 2 2 2" xfId="50828"/>
    <cellStyle name="Normal 180 4 2 2 3" xfId="50829"/>
    <cellStyle name="Normal 180 4 2 3" xfId="50830"/>
    <cellStyle name="Normal 180 4 2 4" xfId="50831"/>
    <cellStyle name="Normal 180 4 3" xfId="50832"/>
    <cellStyle name="Normal 180 4 3 2" xfId="50833"/>
    <cellStyle name="Normal 180 4 3 3" xfId="50834"/>
    <cellStyle name="Normal 180 4 4" xfId="50835"/>
    <cellStyle name="Normal 180 4 4 2" xfId="50836"/>
    <cellStyle name="Normal 180 4 4 3" xfId="50837"/>
    <cellStyle name="Normal 180 4 5" xfId="50838"/>
    <cellStyle name="Normal 180 4 6" xfId="50839"/>
    <cellStyle name="Normal 180 5" xfId="50840"/>
    <cellStyle name="Normal 180 5 2" xfId="50841"/>
    <cellStyle name="Normal 180 5 2 2" xfId="50842"/>
    <cellStyle name="Normal 180 5 2 2 2" xfId="50843"/>
    <cellStyle name="Normal 180 5 2 2 3" xfId="50844"/>
    <cellStyle name="Normal 180 5 2 3" xfId="50845"/>
    <cellStyle name="Normal 180 5 2 4" xfId="50846"/>
    <cellStyle name="Normal 180 5 3" xfId="50847"/>
    <cellStyle name="Normal 180 5 3 2" xfId="50848"/>
    <cellStyle name="Normal 180 5 3 3" xfId="50849"/>
    <cellStyle name="Normal 180 5 4" xfId="50850"/>
    <cellStyle name="Normal 180 5 4 2" xfId="50851"/>
    <cellStyle name="Normal 180 5 4 3" xfId="50852"/>
    <cellStyle name="Normal 180 5 5" xfId="50853"/>
    <cellStyle name="Normal 180 5 6" xfId="50854"/>
    <cellStyle name="Normal 180 6" xfId="50855"/>
    <cellStyle name="Normal 180 6 2" xfId="50856"/>
    <cellStyle name="Normal 180 6 2 2" xfId="50857"/>
    <cellStyle name="Normal 180 6 2 3" xfId="50858"/>
    <cellStyle name="Normal 180 6 3" xfId="50859"/>
    <cellStyle name="Normal 180 6 4" xfId="50860"/>
    <cellStyle name="Normal 180 7" xfId="50861"/>
    <cellStyle name="Normal 180 7 2" xfId="50862"/>
    <cellStyle name="Normal 180 7 3" xfId="50863"/>
    <cellStyle name="Normal 180 8" xfId="50864"/>
    <cellStyle name="Normal 180 8 2" xfId="50865"/>
    <cellStyle name="Normal 180 8 3" xfId="50866"/>
    <cellStyle name="Normal 180 9" xfId="50867"/>
    <cellStyle name="Normal 181" xfId="50868"/>
    <cellStyle name="Normal 181 2" xfId="50869"/>
    <cellStyle name="Normal 181 2 2" xfId="50870"/>
    <cellStyle name="Normal 181 2 2 2" xfId="50871"/>
    <cellStyle name="Normal 181 2 2 2 2" xfId="50872"/>
    <cellStyle name="Normal 181 2 2 2 3" xfId="50873"/>
    <cellStyle name="Normal 181 2 2 3" xfId="50874"/>
    <cellStyle name="Normal 181 2 2 4" xfId="50875"/>
    <cellStyle name="Normal 181 2 3" xfId="50876"/>
    <cellStyle name="Normal 181 2 3 2" xfId="50877"/>
    <cellStyle name="Normal 181 2 3 3" xfId="50878"/>
    <cellStyle name="Normal 181 2 4" xfId="50879"/>
    <cellStyle name="Normal 181 2 4 2" xfId="50880"/>
    <cellStyle name="Normal 181 2 4 3" xfId="50881"/>
    <cellStyle name="Normal 181 2 5" xfId="50882"/>
    <cellStyle name="Normal 181 2 6" xfId="50883"/>
    <cellStyle name="Normal 181 3" xfId="50884"/>
    <cellStyle name="Normal 181 3 2" xfId="50885"/>
    <cellStyle name="Normal 181 3 2 2" xfId="50886"/>
    <cellStyle name="Normal 181 3 2 2 2" xfId="50887"/>
    <cellStyle name="Normal 181 3 2 2 3" xfId="50888"/>
    <cellStyle name="Normal 181 3 2 3" xfId="50889"/>
    <cellStyle name="Normal 181 3 2 4" xfId="50890"/>
    <cellStyle name="Normal 181 3 3" xfId="50891"/>
    <cellStyle name="Normal 181 3 3 2" xfId="50892"/>
    <cellStyle name="Normal 181 3 3 3" xfId="50893"/>
    <cellStyle name="Normal 181 3 4" xfId="50894"/>
    <cellStyle name="Normal 181 3 4 2" xfId="50895"/>
    <cellStyle name="Normal 181 3 4 3" xfId="50896"/>
    <cellStyle name="Normal 181 3 5" xfId="50897"/>
    <cellStyle name="Normal 181 3 6" xfId="50898"/>
    <cellStyle name="Normal 181 4" xfId="50899"/>
    <cellStyle name="Normal 181 4 2" xfId="50900"/>
    <cellStyle name="Normal 181 4 2 2" xfId="50901"/>
    <cellStyle name="Normal 181 4 2 3" xfId="50902"/>
    <cellStyle name="Normal 181 4 3" xfId="50903"/>
    <cellStyle name="Normal 181 4 4" xfId="50904"/>
    <cellStyle name="Normal 181 5" xfId="50905"/>
    <cellStyle name="Normal 181 5 2" xfId="50906"/>
    <cellStyle name="Normal 181 5 3" xfId="50907"/>
    <cellStyle name="Normal 181 6" xfId="50908"/>
    <cellStyle name="Normal 181 6 2" xfId="50909"/>
    <cellStyle name="Normal 181 6 3" xfId="50910"/>
    <cellStyle name="Normal 181 7" xfId="50911"/>
    <cellStyle name="Normal 181 8" xfId="50912"/>
    <cellStyle name="Normal 182" xfId="50913"/>
    <cellStyle name="Normal 182 2" xfId="50914"/>
    <cellStyle name="Normal 182 2 2" xfId="50915"/>
    <cellStyle name="Normal 182 2 3" xfId="50916"/>
    <cellStyle name="Normal 182 3" xfId="50917"/>
    <cellStyle name="Normal 182 4" xfId="50918"/>
    <cellStyle name="Normal 183" xfId="50919"/>
    <cellStyle name="Normal 183 2" xfId="50920"/>
    <cellStyle name="Normal 183 2 2" xfId="50921"/>
    <cellStyle name="Normal 183 2 3" xfId="50922"/>
    <cellStyle name="Normal 183 3" xfId="50923"/>
    <cellStyle name="Normal 183 3 2" xfId="50924"/>
    <cellStyle name="Normal 183 3 3" xfId="50925"/>
    <cellStyle name="Normal 183 4" xfId="50926"/>
    <cellStyle name="Normal 183 5" xfId="50927"/>
    <cellStyle name="Normal 184" xfId="50928"/>
    <cellStyle name="Normal 184 2" xfId="50929"/>
    <cellStyle name="Normal 184 2 10" xfId="50930"/>
    <cellStyle name="Normal 184 2 11" xfId="50931"/>
    <cellStyle name="Normal 184 2 2" xfId="50932"/>
    <cellStyle name="Normal 184 2 2 2" xfId="50933"/>
    <cellStyle name="Normal 184 2 2 2 2" xfId="50934"/>
    <cellStyle name="Normal 184 2 2 2 2 2" xfId="50935"/>
    <cellStyle name="Normal 184 2 2 2 2 2 2" xfId="50936"/>
    <cellStyle name="Normal 184 2 2 2 2 2 3" xfId="50937"/>
    <cellStyle name="Normal 184 2 2 2 2 3" xfId="50938"/>
    <cellStyle name="Normal 184 2 2 2 2 4" xfId="50939"/>
    <cellStyle name="Normal 184 2 2 2 3" xfId="50940"/>
    <cellStyle name="Normal 184 2 2 2 3 2" xfId="50941"/>
    <cellStyle name="Normal 184 2 2 2 3 3" xfId="50942"/>
    <cellStyle name="Normal 184 2 2 2 4" xfId="50943"/>
    <cellStyle name="Normal 184 2 2 2 4 2" xfId="50944"/>
    <cellStyle name="Normal 184 2 2 2 4 3" xfId="50945"/>
    <cellStyle name="Normal 184 2 2 2 5" xfId="50946"/>
    <cellStyle name="Normal 184 2 2 2 6" xfId="50947"/>
    <cellStyle name="Normal 184 2 2 3" xfId="50948"/>
    <cellStyle name="Normal 184 2 2 3 2" xfId="50949"/>
    <cellStyle name="Normal 184 2 2 3 2 2" xfId="50950"/>
    <cellStyle name="Normal 184 2 2 3 2 2 2" xfId="50951"/>
    <cellStyle name="Normal 184 2 2 3 2 2 3" xfId="50952"/>
    <cellStyle name="Normal 184 2 2 3 2 3" xfId="50953"/>
    <cellStyle name="Normal 184 2 2 3 2 4" xfId="50954"/>
    <cellStyle name="Normal 184 2 2 3 3" xfId="50955"/>
    <cellStyle name="Normal 184 2 2 3 3 2" xfId="50956"/>
    <cellStyle name="Normal 184 2 2 3 3 3" xfId="50957"/>
    <cellStyle name="Normal 184 2 2 3 4" xfId="50958"/>
    <cellStyle name="Normal 184 2 2 3 4 2" xfId="50959"/>
    <cellStyle name="Normal 184 2 2 3 4 3" xfId="50960"/>
    <cellStyle name="Normal 184 2 2 3 5" xfId="50961"/>
    <cellStyle name="Normal 184 2 2 3 6" xfId="50962"/>
    <cellStyle name="Normal 184 2 2 4" xfId="50963"/>
    <cellStyle name="Normal 184 2 2 4 2" xfId="50964"/>
    <cellStyle name="Normal 184 2 2 4 2 2" xfId="50965"/>
    <cellStyle name="Normal 184 2 2 4 2 3" xfId="50966"/>
    <cellStyle name="Normal 184 2 2 4 3" xfId="50967"/>
    <cellStyle name="Normal 184 2 2 4 4" xfId="50968"/>
    <cellStyle name="Normal 184 2 2 5" xfId="50969"/>
    <cellStyle name="Normal 184 2 2 5 2" xfId="50970"/>
    <cellStyle name="Normal 184 2 2 5 3" xfId="50971"/>
    <cellStyle name="Normal 184 2 2 6" xfId="50972"/>
    <cellStyle name="Normal 184 2 2 6 2" xfId="50973"/>
    <cellStyle name="Normal 184 2 2 6 3" xfId="50974"/>
    <cellStyle name="Normal 184 2 2 7" xfId="50975"/>
    <cellStyle name="Normal 184 2 2 8" xfId="50976"/>
    <cellStyle name="Normal 184 2 3" xfId="50977"/>
    <cellStyle name="Normal 184 2 3 2" xfId="50978"/>
    <cellStyle name="Normal 184 2 3 2 2" xfId="50979"/>
    <cellStyle name="Normal 184 2 3 2 2 2" xfId="50980"/>
    <cellStyle name="Normal 184 2 3 2 2 2 2" xfId="50981"/>
    <cellStyle name="Normal 184 2 3 2 2 2 3" xfId="50982"/>
    <cellStyle name="Normal 184 2 3 2 2 3" xfId="50983"/>
    <cellStyle name="Normal 184 2 3 2 2 4" xfId="50984"/>
    <cellStyle name="Normal 184 2 3 2 3" xfId="50985"/>
    <cellStyle name="Normal 184 2 3 2 3 2" xfId="50986"/>
    <cellStyle name="Normal 184 2 3 2 3 3" xfId="50987"/>
    <cellStyle name="Normal 184 2 3 2 4" xfId="50988"/>
    <cellStyle name="Normal 184 2 3 2 4 2" xfId="50989"/>
    <cellStyle name="Normal 184 2 3 2 4 3" xfId="50990"/>
    <cellStyle name="Normal 184 2 3 2 5" xfId="50991"/>
    <cellStyle name="Normal 184 2 3 2 6" xfId="50992"/>
    <cellStyle name="Normal 184 2 3 3" xfId="50993"/>
    <cellStyle name="Normal 184 2 3 3 2" xfId="50994"/>
    <cellStyle name="Normal 184 2 3 3 2 2" xfId="50995"/>
    <cellStyle name="Normal 184 2 3 3 2 2 2" xfId="50996"/>
    <cellStyle name="Normal 184 2 3 3 2 2 3" xfId="50997"/>
    <cellStyle name="Normal 184 2 3 3 2 3" xfId="50998"/>
    <cellStyle name="Normal 184 2 3 3 2 4" xfId="50999"/>
    <cellStyle name="Normal 184 2 3 3 3" xfId="51000"/>
    <cellStyle name="Normal 184 2 3 3 3 2" xfId="51001"/>
    <cellStyle name="Normal 184 2 3 3 3 3" xfId="51002"/>
    <cellStyle name="Normal 184 2 3 3 4" xfId="51003"/>
    <cellStyle name="Normal 184 2 3 3 4 2" xfId="51004"/>
    <cellStyle name="Normal 184 2 3 3 4 3" xfId="51005"/>
    <cellStyle name="Normal 184 2 3 3 5" xfId="51006"/>
    <cellStyle name="Normal 184 2 3 3 6" xfId="51007"/>
    <cellStyle name="Normal 184 2 3 4" xfId="51008"/>
    <cellStyle name="Normal 184 2 3 4 2" xfId="51009"/>
    <cellStyle name="Normal 184 2 3 4 2 2" xfId="51010"/>
    <cellStyle name="Normal 184 2 3 4 2 3" xfId="51011"/>
    <cellStyle name="Normal 184 2 3 4 3" xfId="51012"/>
    <cellStyle name="Normal 184 2 3 4 4" xfId="51013"/>
    <cellStyle name="Normal 184 2 3 5" xfId="51014"/>
    <cellStyle name="Normal 184 2 3 5 2" xfId="51015"/>
    <cellStyle name="Normal 184 2 3 5 3" xfId="51016"/>
    <cellStyle name="Normal 184 2 3 6" xfId="51017"/>
    <cellStyle name="Normal 184 2 3 6 2" xfId="51018"/>
    <cellStyle name="Normal 184 2 3 6 3" xfId="51019"/>
    <cellStyle name="Normal 184 2 3 7" xfId="51020"/>
    <cellStyle name="Normal 184 2 3 8" xfId="51021"/>
    <cellStyle name="Normal 184 2 4" xfId="51022"/>
    <cellStyle name="Normal 184 2 4 2" xfId="51023"/>
    <cellStyle name="Normal 184 2 4 2 2" xfId="51024"/>
    <cellStyle name="Normal 184 2 4 2 2 2" xfId="51025"/>
    <cellStyle name="Normal 184 2 4 2 2 2 2" xfId="51026"/>
    <cellStyle name="Normal 184 2 4 2 2 2 3" xfId="51027"/>
    <cellStyle name="Normal 184 2 4 2 2 3" xfId="51028"/>
    <cellStyle name="Normal 184 2 4 2 2 4" xfId="51029"/>
    <cellStyle name="Normal 184 2 4 2 3" xfId="51030"/>
    <cellStyle name="Normal 184 2 4 2 3 2" xfId="51031"/>
    <cellStyle name="Normal 184 2 4 2 3 3" xfId="51032"/>
    <cellStyle name="Normal 184 2 4 2 4" xfId="51033"/>
    <cellStyle name="Normal 184 2 4 2 4 2" xfId="51034"/>
    <cellStyle name="Normal 184 2 4 2 4 3" xfId="51035"/>
    <cellStyle name="Normal 184 2 4 2 5" xfId="51036"/>
    <cellStyle name="Normal 184 2 4 2 6" xfId="51037"/>
    <cellStyle name="Normal 184 2 4 3" xfId="51038"/>
    <cellStyle name="Normal 184 2 4 3 2" xfId="51039"/>
    <cellStyle name="Normal 184 2 4 3 2 2" xfId="51040"/>
    <cellStyle name="Normal 184 2 4 3 2 2 2" xfId="51041"/>
    <cellStyle name="Normal 184 2 4 3 2 2 3" xfId="51042"/>
    <cellStyle name="Normal 184 2 4 3 2 3" xfId="51043"/>
    <cellStyle name="Normal 184 2 4 3 2 4" xfId="51044"/>
    <cellStyle name="Normal 184 2 4 3 3" xfId="51045"/>
    <cellStyle name="Normal 184 2 4 3 3 2" xfId="51046"/>
    <cellStyle name="Normal 184 2 4 3 3 3" xfId="51047"/>
    <cellStyle name="Normal 184 2 4 3 4" xfId="51048"/>
    <cellStyle name="Normal 184 2 4 3 4 2" xfId="51049"/>
    <cellStyle name="Normal 184 2 4 3 4 3" xfId="51050"/>
    <cellStyle name="Normal 184 2 4 3 5" xfId="51051"/>
    <cellStyle name="Normal 184 2 4 3 6" xfId="51052"/>
    <cellStyle name="Normal 184 2 4 4" xfId="51053"/>
    <cellStyle name="Normal 184 2 4 4 2" xfId="51054"/>
    <cellStyle name="Normal 184 2 4 4 2 2" xfId="51055"/>
    <cellStyle name="Normal 184 2 4 4 2 3" xfId="51056"/>
    <cellStyle name="Normal 184 2 4 4 3" xfId="51057"/>
    <cellStyle name="Normal 184 2 4 4 4" xfId="51058"/>
    <cellStyle name="Normal 184 2 4 5" xfId="51059"/>
    <cellStyle name="Normal 184 2 4 5 2" xfId="51060"/>
    <cellStyle name="Normal 184 2 4 5 3" xfId="51061"/>
    <cellStyle name="Normal 184 2 4 6" xfId="51062"/>
    <cellStyle name="Normal 184 2 4 6 2" xfId="51063"/>
    <cellStyle name="Normal 184 2 4 6 3" xfId="51064"/>
    <cellStyle name="Normal 184 2 4 7" xfId="51065"/>
    <cellStyle name="Normal 184 2 4 8" xfId="51066"/>
    <cellStyle name="Normal 184 2 5" xfId="51067"/>
    <cellStyle name="Normal 184 2 5 2" xfId="51068"/>
    <cellStyle name="Normal 184 2 5 2 2" xfId="51069"/>
    <cellStyle name="Normal 184 2 5 2 2 2" xfId="51070"/>
    <cellStyle name="Normal 184 2 5 2 2 3" xfId="51071"/>
    <cellStyle name="Normal 184 2 5 2 3" xfId="51072"/>
    <cellStyle name="Normal 184 2 5 2 4" xfId="51073"/>
    <cellStyle name="Normal 184 2 5 3" xfId="51074"/>
    <cellStyle name="Normal 184 2 5 3 2" xfId="51075"/>
    <cellStyle name="Normal 184 2 5 3 3" xfId="51076"/>
    <cellStyle name="Normal 184 2 5 4" xfId="51077"/>
    <cellStyle name="Normal 184 2 5 4 2" xfId="51078"/>
    <cellStyle name="Normal 184 2 5 4 3" xfId="51079"/>
    <cellStyle name="Normal 184 2 5 5" xfId="51080"/>
    <cellStyle name="Normal 184 2 5 6" xfId="51081"/>
    <cellStyle name="Normal 184 2 6" xfId="51082"/>
    <cellStyle name="Normal 184 2 6 2" xfId="51083"/>
    <cellStyle name="Normal 184 2 6 2 2" xfId="51084"/>
    <cellStyle name="Normal 184 2 6 2 2 2" xfId="51085"/>
    <cellStyle name="Normal 184 2 6 2 2 3" xfId="51086"/>
    <cellStyle name="Normal 184 2 6 2 3" xfId="51087"/>
    <cellStyle name="Normal 184 2 6 2 4" xfId="51088"/>
    <cellStyle name="Normal 184 2 6 3" xfId="51089"/>
    <cellStyle name="Normal 184 2 6 3 2" xfId="51090"/>
    <cellStyle name="Normal 184 2 6 3 3" xfId="51091"/>
    <cellStyle name="Normal 184 2 6 4" xfId="51092"/>
    <cellStyle name="Normal 184 2 6 4 2" xfId="51093"/>
    <cellStyle name="Normal 184 2 6 4 3" xfId="51094"/>
    <cellStyle name="Normal 184 2 6 5" xfId="51095"/>
    <cellStyle name="Normal 184 2 6 6" xfId="51096"/>
    <cellStyle name="Normal 184 2 7" xfId="51097"/>
    <cellStyle name="Normal 184 2 7 2" xfId="51098"/>
    <cellStyle name="Normal 184 2 7 2 2" xfId="51099"/>
    <cellStyle name="Normal 184 2 7 2 3" xfId="51100"/>
    <cellStyle name="Normal 184 2 7 3" xfId="51101"/>
    <cellStyle name="Normal 184 2 7 4" xfId="51102"/>
    <cellStyle name="Normal 184 2 8" xfId="51103"/>
    <cellStyle name="Normal 184 2 8 2" xfId="51104"/>
    <cellStyle name="Normal 184 2 8 3" xfId="51105"/>
    <cellStyle name="Normal 184 2 9" xfId="51106"/>
    <cellStyle name="Normal 184 2 9 2" xfId="51107"/>
    <cellStyle name="Normal 184 2 9 3" xfId="51108"/>
    <cellStyle name="Normal 184 3" xfId="51109"/>
    <cellStyle name="Normal 184 3 2" xfId="51110"/>
    <cellStyle name="Normal 184 3 2 2" xfId="51111"/>
    <cellStyle name="Normal 184 3 2 2 2" xfId="51112"/>
    <cellStyle name="Normal 184 3 2 2 3" xfId="51113"/>
    <cellStyle name="Normal 184 3 2 3" xfId="51114"/>
    <cellStyle name="Normal 184 3 2 4" xfId="51115"/>
    <cellStyle name="Normal 184 3 3" xfId="51116"/>
    <cellStyle name="Normal 184 3 3 2" xfId="51117"/>
    <cellStyle name="Normal 184 3 3 3" xfId="51118"/>
    <cellStyle name="Normal 184 3 4" xfId="51119"/>
    <cellStyle name="Normal 184 3 4 2" xfId="51120"/>
    <cellStyle name="Normal 184 3 4 3" xfId="51121"/>
    <cellStyle name="Normal 184 3 5" xfId="51122"/>
    <cellStyle name="Normal 184 3 6" xfId="51123"/>
    <cellStyle name="Normal 184 4" xfId="51124"/>
    <cellStyle name="Normal 184 4 2" xfId="51125"/>
    <cellStyle name="Normal 184 4 2 2" xfId="51126"/>
    <cellStyle name="Normal 184 4 2 2 2" xfId="51127"/>
    <cellStyle name="Normal 184 4 2 2 3" xfId="51128"/>
    <cellStyle name="Normal 184 4 2 3" xfId="51129"/>
    <cellStyle name="Normal 184 4 2 4" xfId="51130"/>
    <cellStyle name="Normal 184 4 3" xfId="51131"/>
    <cellStyle name="Normal 184 4 3 2" xfId="51132"/>
    <cellStyle name="Normal 184 4 3 3" xfId="51133"/>
    <cellStyle name="Normal 184 4 4" xfId="51134"/>
    <cellStyle name="Normal 184 4 4 2" xfId="51135"/>
    <cellStyle name="Normal 184 4 4 3" xfId="51136"/>
    <cellStyle name="Normal 184 4 5" xfId="51137"/>
    <cellStyle name="Normal 184 4 6" xfId="51138"/>
    <cellStyle name="Normal 184 5" xfId="51139"/>
    <cellStyle name="Normal 184 5 2" xfId="51140"/>
    <cellStyle name="Normal 184 5 2 2" xfId="51141"/>
    <cellStyle name="Normal 184 5 2 3" xfId="51142"/>
    <cellStyle name="Normal 184 5 3" xfId="51143"/>
    <cellStyle name="Normal 184 5 4" xfId="51144"/>
    <cellStyle name="Normal 184 6" xfId="51145"/>
    <cellStyle name="Normal 184 6 2" xfId="51146"/>
    <cellStyle name="Normal 184 6 3" xfId="51147"/>
    <cellStyle name="Normal 184 7" xfId="51148"/>
    <cellStyle name="Normal 184 7 2" xfId="51149"/>
    <cellStyle name="Normal 184 7 3" xfId="51150"/>
    <cellStyle name="Normal 184 8" xfId="51151"/>
    <cellStyle name="Normal 184 9" xfId="51152"/>
    <cellStyle name="Normal 185" xfId="51153"/>
    <cellStyle name="Normal 185 2" xfId="51154"/>
    <cellStyle name="Normal 185 3" xfId="51155"/>
    <cellStyle name="Normal 186" xfId="51156"/>
    <cellStyle name="Normal 186 2" xfId="51157"/>
    <cellStyle name="Normal 186 2 2" xfId="51158"/>
    <cellStyle name="Normal 186 2 2 2" xfId="51159"/>
    <cellStyle name="Normal 186 2 2 3" xfId="51160"/>
    <cellStyle name="Normal 186 2 3" xfId="51161"/>
    <cellStyle name="Normal 186 3" xfId="51162"/>
    <cellStyle name="Normal 186 4" xfId="51163"/>
    <cellStyle name="Normal 187" xfId="51164"/>
    <cellStyle name="Normal 187 2" xfId="51165"/>
    <cellStyle name="Normal 187 3" xfId="51166"/>
    <cellStyle name="Normal 188" xfId="51167"/>
    <cellStyle name="Normal 188 2" xfId="51168"/>
    <cellStyle name="Normal 188 2 2" xfId="51169"/>
    <cellStyle name="Normal 188 2 2 2" xfId="51170"/>
    <cellStyle name="Normal 188 2 2 2 2" xfId="51171"/>
    <cellStyle name="Normal 188 2 2 2 3" xfId="51172"/>
    <cellStyle name="Normal 188 2 2 3" xfId="51173"/>
    <cellStyle name="Normal 188 2 2 4" xfId="51174"/>
    <cellStyle name="Normal 188 2 3" xfId="51175"/>
    <cellStyle name="Normal 188 2 3 2" xfId="51176"/>
    <cellStyle name="Normal 188 2 3 3" xfId="51177"/>
    <cellStyle name="Normal 188 2 4" xfId="51178"/>
    <cellStyle name="Normal 188 2 4 2" xfId="51179"/>
    <cellStyle name="Normal 188 2 4 3" xfId="51180"/>
    <cellStyle name="Normal 188 2 5" xfId="51181"/>
    <cellStyle name="Normal 188 2 6" xfId="51182"/>
    <cellStyle name="Normal 188 3" xfId="51183"/>
    <cellStyle name="Normal 188 3 2" xfId="51184"/>
    <cellStyle name="Normal 188 3 2 2" xfId="51185"/>
    <cellStyle name="Normal 188 3 2 2 2" xfId="51186"/>
    <cellStyle name="Normal 188 3 2 2 3" xfId="51187"/>
    <cellStyle name="Normal 188 3 2 3" xfId="51188"/>
    <cellStyle name="Normal 188 3 2 4" xfId="51189"/>
    <cellStyle name="Normal 188 3 3" xfId="51190"/>
    <cellStyle name="Normal 188 3 3 2" xfId="51191"/>
    <cellStyle name="Normal 188 3 3 3" xfId="51192"/>
    <cellStyle name="Normal 188 3 4" xfId="51193"/>
    <cellStyle name="Normal 188 3 4 2" xfId="51194"/>
    <cellStyle name="Normal 188 3 4 3" xfId="51195"/>
    <cellStyle name="Normal 188 3 5" xfId="51196"/>
    <cellStyle name="Normal 188 3 6" xfId="51197"/>
    <cellStyle name="Normal 188 4" xfId="51198"/>
    <cellStyle name="Normal 188 4 2" xfId="51199"/>
    <cellStyle name="Normal 188 4 2 2" xfId="51200"/>
    <cellStyle name="Normal 188 4 2 3" xfId="51201"/>
    <cellStyle name="Normal 188 4 3" xfId="51202"/>
    <cellStyle name="Normal 188 4 4" xfId="51203"/>
    <cellStyle name="Normal 188 5" xfId="51204"/>
    <cellStyle name="Normal 188 5 2" xfId="51205"/>
    <cellStyle name="Normal 188 5 3" xfId="51206"/>
    <cellStyle name="Normal 188 6" xfId="51207"/>
    <cellStyle name="Normal 188 6 2" xfId="51208"/>
    <cellStyle name="Normal 188 6 3" xfId="51209"/>
    <cellStyle name="Normal 188 7" xfId="51210"/>
    <cellStyle name="Normal 188 8" xfId="51211"/>
    <cellStyle name="Normal 189" xfId="51212"/>
    <cellStyle name="Normal 189 2" xfId="51213"/>
    <cellStyle name="Normal 189 2 2" xfId="51214"/>
    <cellStyle name="Normal 189 2 3" xfId="51215"/>
    <cellStyle name="Normal 189 3" xfId="51216"/>
    <cellStyle name="Normal 189 4" xfId="51217"/>
    <cellStyle name="Normal 19" xfId="51218"/>
    <cellStyle name="Normal 19 10" xfId="51219"/>
    <cellStyle name="Normal 19 11" xfId="51220"/>
    <cellStyle name="Normal 19 2" xfId="51221"/>
    <cellStyle name="Normal 19 2 10" xfId="51222"/>
    <cellStyle name="Normal 19 2 2" xfId="51223"/>
    <cellStyle name="Normal 19 2 2 2" xfId="51224"/>
    <cellStyle name="Normal 19 2 2 2 2" xfId="51225"/>
    <cellStyle name="Normal 19 2 2 2 2 2" xfId="51226"/>
    <cellStyle name="Normal 19 2 2 2 2 2 2" xfId="51227"/>
    <cellStyle name="Normal 19 2 2 2 2 2 3" xfId="51228"/>
    <cellStyle name="Normal 19 2 2 2 2 3" xfId="51229"/>
    <cellStyle name="Normal 19 2 2 2 2 4" xfId="51230"/>
    <cellStyle name="Normal 19 2 2 2 3" xfId="51231"/>
    <cellStyle name="Normal 19 2 2 2 3 2" xfId="51232"/>
    <cellStyle name="Normal 19 2 2 2 3 3" xfId="51233"/>
    <cellStyle name="Normal 19 2 2 2 4" xfId="51234"/>
    <cellStyle name="Normal 19 2 2 2 4 2" xfId="51235"/>
    <cellStyle name="Normal 19 2 2 2 4 3" xfId="51236"/>
    <cellStyle name="Normal 19 2 2 2 5" xfId="51237"/>
    <cellStyle name="Normal 19 2 2 2 6" xfId="51238"/>
    <cellStyle name="Normal 19 2 2 3" xfId="51239"/>
    <cellStyle name="Normal 19 2 2 3 2" xfId="51240"/>
    <cellStyle name="Normal 19 2 2 3 2 2" xfId="51241"/>
    <cellStyle name="Normal 19 2 2 3 2 2 2" xfId="51242"/>
    <cellStyle name="Normal 19 2 2 3 2 2 3" xfId="51243"/>
    <cellStyle name="Normal 19 2 2 3 2 3" xfId="51244"/>
    <cellStyle name="Normal 19 2 2 3 2 4" xfId="51245"/>
    <cellStyle name="Normal 19 2 2 3 3" xfId="51246"/>
    <cellStyle name="Normal 19 2 2 3 3 2" xfId="51247"/>
    <cellStyle name="Normal 19 2 2 3 3 3" xfId="51248"/>
    <cellStyle name="Normal 19 2 2 3 4" xfId="51249"/>
    <cellStyle name="Normal 19 2 2 3 4 2" xfId="51250"/>
    <cellStyle name="Normal 19 2 2 3 4 3" xfId="51251"/>
    <cellStyle name="Normal 19 2 2 3 5" xfId="51252"/>
    <cellStyle name="Normal 19 2 2 3 6" xfId="51253"/>
    <cellStyle name="Normal 19 2 2 4" xfId="51254"/>
    <cellStyle name="Normal 19 2 2 4 2" xfId="51255"/>
    <cellStyle name="Normal 19 2 2 4 2 2" xfId="51256"/>
    <cellStyle name="Normal 19 2 2 4 2 3" xfId="51257"/>
    <cellStyle name="Normal 19 2 2 4 3" xfId="51258"/>
    <cellStyle name="Normal 19 2 2 4 4" xfId="51259"/>
    <cellStyle name="Normal 19 2 2 5" xfId="51260"/>
    <cellStyle name="Normal 19 2 2 5 2" xfId="51261"/>
    <cellStyle name="Normal 19 2 2 5 3" xfId="51262"/>
    <cellStyle name="Normal 19 2 2 6" xfId="51263"/>
    <cellStyle name="Normal 19 2 2 6 2" xfId="51264"/>
    <cellStyle name="Normal 19 2 2 6 3" xfId="51265"/>
    <cellStyle name="Normal 19 2 2 7" xfId="51266"/>
    <cellStyle name="Normal 19 2 2 8" xfId="51267"/>
    <cellStyle name="Normal 19 2 3" xfId="51268"/>
    <cellStyle name="Normal 19 2 3 2" xfId="51269"/>
    <cellStyle name="Normal 19 2 3 2 2" xfId="51270"/>
    <cellStyle name="Normal 19 2 3 2 2 2" xfId="51271"/>
    <cellStyle name="Normal 19 2 3 2 2 3" xfId="51272"/>
    <cellStyle name="Normal 19 2 3 2 3" xfId="51273"/>
    <cellStyle name="Normal 19 2 3 2 4" xfId="51274"/>
    <cellStyle name="Normal 19 2 3 3" xfId="51275"/>
    <cellStyle name="Normal 19 2 3 3 2" xfId="51276"/>
    <cellStyle name="Normal 19 2 3 3 3" xfId="51277"/>
    <cellStyle name="Normal 19 2 3 4" xfId="51278"/>
    <cellStyle name="Normal 19 2 3 4 2" xfId="51279"/>
    <cellStyle name="Normal 19 2 3 4 3" xfId="51280"/>
    <cellStyle name="Normal 19 2 3 5" xfId="51281"/>
    <cellStyle name="Normal 19 2 3 6" xfId="51282"/>
    <cellStyle name="Normal 19 2 4" xfId="51283"/>
    <cellStyle name="Normal 19 2 4 2" xfId="51284"/>
    <cellStyle name="Normal 19 2 4 2 2" xfId="51285"/>
    <cellStyle name="Normal 19 2 4 2 2 2" xfId="51286"/>
    <cellStyle name="Normal 19 2 4 2 2 3" xfId="51287"/>
    <cellStyle name="Normal 19 2 4 2 3" xfId="51288"/>
    <cellStyle name="Normal 19 2 4 2 4" xfId="51289"/>
    <cellStyle name="Normal 19 2 4 3" xfId="51290"/>
    <cellStyle name="Normal 19 2 4 3 2" xfId="51291"/>
    <cellStyle name="Normal 19 2 4 3 3" xfId="51292"/>
    <cellStyle name="Normal 19 2 4 4" xfId="51293"/>
    <cellStyle name="Normal 19 2 4 4 2" xfId="51294"/>
    <cellStyle name="Normal 19 2 4 4 3" xfId="51295"/>
    <cellStyle name="Normal 19 2 4 5" xfId="51296"/>
    <cellStyle name="Normal 19 2 4 6" xfId="51297"/>
    <cellStyle name="Normal 19 2 5" xfId="51298"/>
    <cellStyle name="Normal 19 2 5 2" xfId="51299"/>
    <cellStyle name="Normal 19 2 5 2 2" xfId="51300"/>
    <cellStyle name="Normal 19 2 5 2 3" xfId="51301"/>
    <cellStyle name="Normal 19 2 5 3" xfId="51302"/>
    <cellStyle name="Normal 19 2 5 4" xfId="51303"/>
    <cellStyle name="Normal 19 2 6" xfId="51304"/>
    <cellStyle name="Normal 19 2 6 2" xfId="51305"/>
    <cellStyle name="Normal 19 2 6 2 2" xfId="51306"/>
    <cellStyle name="Normal 19 2 6 2 3" xfId="51307"/>
    <cellStyle name="Normal 19 2 6 3" xfId="51308"/>
    <cellStyle name="Normal 19 2 6 4" xfId="51309"/>
    <cellStyle name="Normal 19 2 7" xfId="51310"/>
    <cellStyle name="Normal 19 2 7 2" xfId="51311"/>
    <cellStyle name="Normal 19 2 7 3" xfId="51312"/>
    <cellStyle name="Normal 19 2 8" xfId="51313"/>
    <cellStyle name="Normal 19 2 8 2" xfId="51314"/>
    <cellStyle name="Normal 19 2 8 3" xfId="51315"/>
    <cellStyle name="Normal 19 2 9" xfId="51316"/>
    <cellStyle name="Normal 19 3" xfId="51317"/>
    <cellStyle name="Normal 19 3 2" xfId="51318"/>
    <cellStyle name="Normal 19 3 2 2" xfId="51319"/>
    <cellStyle name="Normal 19 3 2 2 2" xfId="51320"/>
    <cellStyle name="Normal 19 3 2 2 2 2" xfId="51321"/>
    <cellStyle name="Normal 19 3 2 2 2 3" xfId="51322"/>
    <cellStyle name="Normal 19 3 2 2 3" xfId="51323"/>
    <cellStyle name="Normal 19 3 2 2 4" xfId="51324"/>
    <cellStyle name="Normal 19 3 2 3" xfId="51325"/>
    <cellStyle name="Normal 19 3 2 3 2" xfId="51326"/>
    <cellStyle name="Normal 19 3 2 3 3" xfId="51327"/>
    <cellStyle name="Normal 19 3 2 4" xfId="51328"/>
    <cellStyle name="Normal 19 3 2 4 2" xfId="51329"/>
    <cellStyle name="Normal 19 3 2 4 3" xfId="51330"/>
    <cellStyle name="Normal 19 3 2 5" xfId="51331"/>
    <cellStyle name="Normal 19 3 2 6" xfId="51332"/>
    <cellStyle name="Normal 19 3 3" xfId="51333"/>
    <cellStyle name="Normal 19 3 3 2" xfId="51334"/>
    <cellStyle name="Normal 19 3 3 2 2" xfId="51335"/>
    <cellStyle name="Normal 19 3 3 2 2 2" xfId="51336"/>
    <cellStyle name="Normal 19 3 3 2 2 3" xfId="51337"/>
    <cellStyle name="Normal 19 3 3 2 3" xfId="51338"/>
    <cellStyle name="Normal 19 3 3 2 4" xfId="51339"/>
    <cellStyle name="Normal 19 3 3 3" xfId="51340"/>
    <cellStyle name="Normal 19 3 3 3 2" xfId="51341"/>
    <cellStyle name="Normal 19 3 3 3 3" xfId="51342"/>
    <cellStyle name="Normal 19 3 3 4" xfId="51343"/>
    <cellStyle name="Normal 19 3 3 4 2" xfId="51344"/>
    <cellStyle name="Normal 19 3 3 4 3" xfId="51345"/>
    <cellStyle name="Normal 19 3 3 5" xfId="51346"/>
    <cellStyle name="Normal 19 3 3 6" xfId="51347"/>
    <cellStyle name="Normal 19 3 4" xfId="51348"/>
    <cellStyle name="Normal 19 3 4 2" xfId="51349"/>
    <cellStyle name="Normal 19 3 4 2 2" xfId="51350"/>
    <cellStyle name="Normal 19 3 4 2 3" xfId="51351"/>
    <cellStyle name="Normal 19 3 4 3" xfId="51352"/>
    <cellStyle name="Normal 19 3 4 4" xfId="51353"/>
    <cellStyle name="Normal 19 3 5" xfId="51354"/>
    <cellStyle name="Normal 19 3 5 2" xfId="51355"/>
    <cellStyle name="Normal 19 3 5 3" xfId="51356"/>
    <cellStyle name="Normal 19 3 6" xfId="51357"/>
    <cellStyle name="Normal 19 3 6 2" xfId="51358"/>
    <cellStyle name="Normal 19 3 6 3" xfId="51359"/>
    <cellStyle name="Normal 19 3 7" xfId="51360"/>
    <cellStyle name="Normal 19 3 8" xfId="51361"/>
    <cellStyle name="Normal 19 4" xfId="51362"/>
    <cellStyle name="Normal 19 4 2" xfId="51363"/>
    <cellStyle name="Normal 19 4 2 2" xfId="51364"/>
    <cellStyle name="Normal 19 4 2 2 2" xfId="51365"/>
    <cellStyle name="Normal 19 4 2 2 3" xfId="51366"/>
    <cellStyle name="Normal 19 4 2 3" xfId="51367"/>
    <cellStyle name="Normal 19 4 2 4" xfId="51368"/>
    <cellStyle name="Normal 19 4 3" xfId="51369"/>
    <cellStyle name="Normal 19 4 3 2" xfId="51370"/>
    <cellStyle name="Normal 19 4 3 3" xfId="51371"/>
    <cellStyle name="Normal 19 4 4" xfId="51372"/>
    <cellStyle name="Normal 19 4 4 2" xfId="51373"/>
    <cellStyle name="Normal 19 4 4 3" xfId="51374"/>
    <cellStyle name="Normal 19 4 5" xfId="51375"/>
    <cellStyle name="Normal 19 4 6" xfId="51376"/>
    <cellStyle name="Normal 19 5" xfId="51377"/>
    <cellStyle name="Normal 19 5 2" xfId="51378"/>
    <cellStyle name="Normal 19 5 2 2" xfId="51379"/>
    <cellStyle name="Normal 19 5 2 2 2" xfId="51380"/>
    <cellStyle name="Normal 19 5 2 2 3" xfId="51381"/>
    <cellStyle name="Normal 19 5 2 3" xfId="51382"/>
    <cellStyle name="Normal 19 5 2 4" xfId="51383"/>
    <cellStyle name="Normal 19 5 3" xfId="51384"/>
    <cellStyle name="Normal 19 5 3 2" xfId="51385"/>
    <cellStyle name="Normal 19 5 3 3" xfId="51386"/>
    <cellStyle name="Normal 19 5 4" xfId="51387"/>
    <cellStyle name="Normal 19 5 4 2" xfId="51388"/>
    <cellStyle name="Normal 19 5 4 3" xfId="51389"/>
    <cellStyle name="Normal 19 5 5" xfId="51390"/>
    <cellStyle name="Normal 19 5 6" xfId="51391"/>
    <cellStyle name="Normal 19 6" xfId="51392"/>
    <cellStyle name="Normal 19 6 2" xfId="51393"/>
    <cellStyle name="Normal 19 6 2 2" xfId="51394"/>
    <cellStyle name="Normal 19 6 2 3" xfId="51395"/>
    <cellStyle name="Normal 19 6 3" xfId="51396"/>
    <cellStyle name="Normal 19 6 4" xfId="51397"/>
    <cellStyle name="Normal 19 7" xfId="51398"/>
    <cellStyle name="Normal 19 7 2" xfId="51399"/>
    <cellStyle name="Normal 19 7 2 2" xfId="51400"/>
    <cellStyle name="Normal 19 7 2 3" xfId="51401"/>
    <cellStyle name="Normal 19 7 3" xfId="51402"/>
    <cellStyle name="Normal 19 7 4" xfId="51403"/>
    <cellStyle name="Normal 19 8" xfId="51404"/>
    <cellStyle name="Normal 19 8 2" xfId="51405"/>
    <cellStyle name="Normal 19 8 3" xfId="51406"/>
    <cellStyle name="Normal 19 9" xfId="51407"/>
    <cellStyle name="Normal 19 9 2" xfId="51408"/>
    <cellStyle name="Normal 19 9 3" xfId="51409"/>
    <cellStyle name="Normal 190" xfId="51410"/>
    <cellStyle name="Normal 190 2" xfId="51411"/>
    <cellStyle name="Normal 190 2 2" xfId="51412"/>
    <cellStyle name="Normal 190 2 2 2" xfId="51413"/>
    <cellStyle name="Normal 190 2 2 2 2" xfId="51414"/>
    <cellStyle name="Normal 190 2 2 2 3" xfId="51415"/>
    <cellStyle name="Normal 190 2 2 3" xfId="51416"/>
    <cellStyle name="Normal 190 2 2 4" xfId="51417"/>
    <cellStyle name="Normal 190 2 3" xfId="51418"/>
    <cellStyle name="Normal 190 2 3 2" xfId="51419"/>
    <cellStyle name="Normal 190 2 3 3" xfId="51420"/>
    <cellStyle name="Normal 190 2 4" xfId="51421"/>
    <cellStyle name="Normal 190 2 4 2" xfId="51422"/>
    <cellStyle name="Normal 190 2 4 3" xfId="51423"/>
    <cellStyle name="Normal 190 2 5" xfId="51424"/>
    <cellStyle name="Normal 190 2 6" xfId="51425"/>
    <cellStyle name="Normal 190 3" xfId="51426"/>
    <cellStyle name="Normal 190 3 2" xfId="51427"/>
    <cellStyle name="Normal 190 3 2 2" xfId="51428"/>
    <cellStyle name="Normal 190 3 2 2 2" xfId="51429"/>
    <cellStyle name="Normal 190 3 2 2 3" xfId="51430"/>
    <cellStyle name="Normal 190 3 2 3" xfId="51431"/>
    <cellStyle name="Normal 190 3 2 4" xfId="51432"/>
    <cellStyle name="Normal 190 3 3" xfId="51433"/>
    <cellStyle name="Normal 190 3 3 2" xfId="51434"/>
    <cellStyle name="Normal 190 3 3 3" xfId="51435"/>
    <cellStyle name="Normal 190 3 4" xfId="51436"/>
    <cellStyle name="Normal 190 3 4 2" xfId="51437"/>
    <cellStyle name="Normal 190 3 4 3" xfId="51438"/>
    <cellStyle name="Normal 190 3 5" xfId="51439"/>
    <cellStyle name="Normal 190 3 6" xfId="51440"/>
    <cellStyle name="Normal 190 4" xfId="51441"/>
    <cellStyle name="Normal 190 4 2" xfId="51442"/>
    <cellStyle name="Normal 190 4 2 2" xfId="51443"/>
    <cellStyle name="Normal 190 4 2 3" xfId="51444"/>
    <cellStyle name="Normal 190 4 3" xfId="51445"/>
    <cellStyle name="Normal 190 4 4" xfId="51446"/>
    <cellStyle name="Normal 190 5" xfId="51447"/>
    <cellStyle name="Normal 190 5 2" xfId="51448"/>
    <cellStyle name="Normal 190 5 3" xfId="51449"/>
    <cellStyle name="Normal 190 6" xfId="51450"/>
    <cellStyle name="Normal 190 6 2" xfId="51451"/>
    <cellStyle name="Normal 190 6 3" xfId="51452"/>
    <cellStyle name="Normal 190 7" xfId="51453"/>
    <cellStyle name="Normal 190 8" xfId="51454"/>
    <cellStyle name="Normal 191" xfId="51455"/>
    <cellStyle name="Normal 191 2" xfId="51456"/>
    <cellStyle name="Normal 191 2 2" xfId="51457"/>
    <cellStyle name="Normal 191 2 2 2" xfId="51458"/>
    <cellStyle name="Normal 191 2 2 2 2" xfId="51459"/>
    <cellStyle name="Normal 191 2 2 2 3" xfId="51460"/>
    <cellStyle name="Normal 191 2 2 3" xfId="51461"/>
    <cellStyle name="Normal 191 2 2 4" xfId="51462"/>
    <cellStyle name="Normal 191 2 3" xfId="51463"/>
    <cellStyle name="Normal 191 2 3 2" xfId="51464"/>
    <cellStyle name="Normal 191 2 3 3" xfId="51465"/>
    <cellStyle name="Normal 191 2 4" xfId="51466"/>
    <cellStyle name="Normal 191 2 4 2" xfId="51467"/>
    <cellStyle name="Normal 191 2 4 3" xfId="51468"/>
    <cellStyle name="Normal 191 2 5" xfId="51469"/>
    <cellStyle name="Normal 191 2 6" xfId="51470"/>
    <cellStyle name="Normal 191 3" xfId="51471"/>
    <cellStyle name="Normal 191 3 2" xfId="51472"/>
    <cellStyle name="Normal 191 3 2 2" xfId="51473"/>
    <cellStyle name="Normal 191 3 2 2 2" xfId="51474"/>
    <cellStyle name="Normal 191 3 2 2 3" xfId="51475"/>
    <cellStyle name="Normal 191 3 2 3" xfId="51476"/>
    <cellStyle name="Normal 191 3 2 4" xfId="51477"/>
    <cellStyle name="Normal 191 3 3" xfId="51478"/>
    <cellStyle name="Normal 191 3 3 2" xfId="51479"/>
    <cellStyle name="Normal 191 3 3 3" xfId="51480"/>
    <cellStyle name="Normal 191 3 4" xfId="51481"/>
    <cellStyle name="Normal 191 3 4 2" xfId="51482"/>
    <cellStyle name="Normal 191 3 4 3" xfId="51483"/>
    <cellStyle name="Normal 191 3 5" xfId="51484"/>
    <cellStyle name="Normal 191 3 6" xfId="51485"/>
    <cellStyle name="Normal 191 4" xfId="51486"/>
    <cellStyle name="Normal 191 4 2" xfId="51487"/>
    <cellStyle name="Normal 191 4 2 2" xfId="51488"/>
    <cellStyle name="Normal 191 4 2 3" xfId="51489"/>
    <cellStyle name="Normal 191 4 3" xfId="51490"/>
    <cellStyle name="Normal 191 4 4" xfId="51491"/>
    <cellStyle name="Normal 191 5" xfId="51492"/>
    <cellStyle name="Normal 191 5 2" xfId="51493"/>
    <cellStyle name="Normal 191 5 3" xfId="51494"/>
    <cellStyle name="Normal 191 6" xfId="51495"/>
    <cellStyle name="Normal 191 6 2" xfId="51496"/>
    <cellStyle name="Normal 191 6 3" xfId="51497"/>
    <cellStyle name="Normal 191 7" xfId="51498"/>
    <cellStyle name="Normal 191 8" xfId="51499"/>
    <cellStyle name="Normal 192" xfId="51500"/>
    <cellStyle name="Normal 192 2" xfId="51501"/>
    <cellStyle name="Normal 192 2 2" xfId="51502"/>
    <cellStyle name="Normal 192 2 2 2" xfId="51503"/>
    <cellStyle name="Normal 192 2 2 2 2" xfId="51504"/>
    <cellStyle name="Normal 192 2 2 2 3" xfId="51505"/>
    <cellStyle name="Normal 192 2 2 3" xfId="51506"/>
    <cellStyle name="Normal 192 2 2 4" xfId="51507"/>
    <cellStyle name="Normal 192 2 3" xfId="51508"/>
    <cellStyle name="Normal 192 2 3 2" xfId="51509"/>
    <cellStyle name="Normal 192 2 3 3" xfId="51510"/>
    <cellStyle name="Normal 192 2 4" xfId="51511"/>
    <cellStyle name="Normal 192 2 4 2" xfId="51512"/>
    <cellStyle name="Normal 192 2 4 3" xfId="51513"/>
    <cellStyle name="Normal 192 2 5" xfId="51514"/>
    <cellStyle name="Normal 192 2 6" xfId="51515"/>
    <cellStyle name="Normal 192 3" xfId="51516"/>
    <cellStyle name="Normal 192 3 2" xfId="51517"/>
    <cellStyle name="Normal 192 3 2 2" xfId="51518"/>
    <cellStyle name="Normal 192 3 2 2 2" xfId="51519"/>
    <cellStyle name="Normal 192 3 2 2 3" xfId="51520"/>
    <cellStyle name="Normal 192 3 2 3" xfId="51521"/>
    <cellStyle name="Normal 192 3 2 4" xfId="51522"/>
    <cellStyle name="Normal 192 3 3" xfId="51523"/>
    <cellStyle name="Normal 192 3 3 2" xfId="51524"/>
    <cellStyle name="Normal 192 3 3 3" xfId="51525"/>
    <cellStyle name="Normal 192 3 4" xfId="51526"/>
    <cellStyle name="Normal 192 3 4 2" xfId="51527"/>
    <cellStyle name="Normal 192 3 4 3" xfId="51528"/>
    <cellStyle name="Normal 192 3 5" xfId="51529"/>
    <cellStyle name="Normal 192 3 6" xfId="51530"/>
    <cellStyle name="Normal 192 4" xfId="51531"/>
    <cellStyle name="Normal 192 4 2" xfId="51532"/>
    <cellStyle name="Normal 192 4 2 2" xfId="51533"/>
    <cellStyle name="Normal 192 4 2 3" xfId="51534"/>
    <cellStyle name="Normal 192 4 3" xfId="51535"/>
    <cellStyle name="Normal 192 4 4" xfId="51536"/>
    <cellStyle name="Normal 192 5" xfId="51537"/>
    <cellStyle name="Normal 192 5 2" xfId="51538"/>
    <cellStyle name="Normal 192 5 3" xfId="51539"/>
    <cellStyle name="Normal 192 6" xfId="51540"/>
    <cellStyle name="Normal 192 6 2" xfId="51541"/>
    <cellStyle name="Normal 192 6 3" xfId="51542"/>
    <cellStyle name="Normal 192 7" xfId="51543"/>
    <cellStyle name="Normal 192 8" xfId="51544"/>
    <cellStyle name="Normal 193" xfId="51545"/>
    <cellStyle name="Normal 193 2" xfId="51546"/>
    <cellStyle name="Normal 193 2 2" xfId="51547"/>
    <cellStyle name="Normal 193 2 2 2" xfId="51548"/>
    <cellStyle name="Normal 193 2 2 2 2" xfId="51549"/>
    <cellStyle name="Normal 193 2 2 2 3" xfId="51550"/>
    <cellStyle name="Normal 193 2 2 3" xfId="51551"/>
    <cellStyle name="Normal 193 2 2 4" xfId="51552"/>
    <cellStyle name="Normal 193 2 3" xfId="51553"/>
    <cellStyle name="Normal 193 2 3 2" xfId="51554"/>
    <cellStyle name="Normal 193 2 3 3" xfId="51555"/>
    <cellStyle name="Normal 193 2 4" xfId="51556"/>
    <cellStyle name="Normal 193 2 4 2" xfId="51557"/>
    <cellStyle name="Normal 193 2 4 3" xfId="51558"/>
    <cellStyle name="Normal 193 2 5" xfId="51559"/>
    <cellStyle name="Normal 193 2 6" xfId="51560"/>
    <cellStyle name="Normal 193 3" xfId="51561"/>
    <cellStyle name="Normal 193 3 2" xfId="51562"/>
    <cellStyle name="Normal 193 3 2 2" xfId="51563"/>
    <cellStyle name="Normal 193 3 2 2 2" xfId="51564"/>
    <cellStyle name="Normal 193 3 2 2 3" xfId="51565"/>
    <cellStyle name="Normal 193 3 2 3" xfId="51566"/>
    <cellStyle name="Normal 193 3 2 4" xfId="51567"/>
    <cellStyle name="Normal 193 3 3" xfId="51568"/>
    <cellStyle name="Normal 193 3 3 2" xfId="51569"/>
    <cellStyle name="Normal 193 3 3 3" xfId="51570"/>
    <cellStyle name="Normal 193 3 4" xfId="51571"/>
    <cellStyle name="Normal 193 3 4 2" xfId="51572"/>
    <cellStyle name="Normal 193 3 4 3" xfId="51573"/>
    <cellStyle name="Normal 193 3 5" xfId="51574"/>
    <cellStyle name="Normal 193 3 6" xfId="51575"/>
    <cellStyle name="Normal 193 4" xfId="51576"/>
    <cellStyle name="Normal 193 4 2" xfId="51577"/>
    <cellStyle name="Normal 193 4 2 2" xfId="51578"/>
    <cellStyle name="Normal 193 4 2 3" xfId="51579"/>
    <cellStyle name="Normal 193 4 3" xfId="51580"/>
    <cellStyle name="Normal 193 4 4" xfId="51581"/>
    <cellStyle name="Normal 193 5" xfId="51582"/>
    <cellStyle name="Normal 193 5 2" xfId="51583"/>
    <cellStyle name="Normal 193 5 3" xfId="51584"/>
    <cellStyle name="Normal 193 6" xfId="51585"/>
    <cellStyle name="Normal 193 6 2" xfId="51586"/>
    <cellStyle name="Normal 193 6 3" xfId="51587"/>
    <cellStyle name="Normal 193 7" xfId="51588"/>
    <cellStyle name="Normal 193 8" xfId="51589"/>
    <cellStyle name="Normal 194" xfId="51590"/>
    <cellStyle name="Normal 194 2" xfId="51591"/>
    <cellStyle name="Normal 194 2 2" xfId="51592"/>
    <cellStyle name="Normal 194 2 2 2" xfId="51593"/>
    <cellStyle name="Normal 194 2 2 2 2" xfId="51594"/>
    <cellStyle name="Normal 194 2 2 2 3" xfId="51595"/>
    <cellStyle name="Normal 194 2 2 3" xfId="51596"/>
    <cellStyle name="Normal 194 2 2 4" xfId="51597"/>
    <cellStyle name="Normal 194 2 3" xfId="51598"/>
    <cellStyle name="Normal 194 2 3 2" xfId="51599"/>
    <cellStyle name="Normal 194 2 3 3" xfId="51600"/>
    <cellStyle name="Normal 194 2 4" xfId="51601"/>
    <cellStyle name="Normal 194 2 4 2" xfId="51602"/>
    <cellStyle name="Normal 194 2 4 3" xfId="51603"/>
    <cellStyle name="Normal 194 2 5" xfId="51604"/>
    <cellStyle name="Normal 194 2 6" xfId="51605"/>
    <cellStyle name="Normal 194 3" xfId="51606"/>
    <cellStyle name="Normal 194 3 2" xfId="51607"/>
    <cellStyle name="Normal 194 3 2 2" xfId="51608"/>
    <cellStyle name="Normal 194 3 2 2 2" xfId="51609"/>
    <cellStyle name="Normal 194 3 2 2 3" xfId="51610"/>
    <cellStyle name="Normal 194 3 2 3" xfId="51611"/>
    <cellStyle name="Normal 194 3 2 4" xfId="51612"/>
    <cellStyle name="Normal 194 3 3" xfId="51613"/>
    <cellStyle name="Normal 194 3 3 2" xfId="51614"/>
    <cellStyle name="Normal 194 3 3 3" xfId="51615"/>
    <cellStyle name="Normal 194 3 4" xfId="51616"/>
    <cellStyle name="Normal 194 3 4 2" xfId="51617"/>
    <cellStyle name="Normal 194 3 4 3" xfId="51618"/>
    <cellStyle name="Normal 194 3 5" xfId="51619"/>
    <cellStyle name="Normal 194 3 6" xfId="51620"/>
    <cellStyle name="Normal 194 4" xfId="51621"/>
    <cellStyle name="Normal 194 4 2" xfId="51622"/>
    <cellStyle name="Normal 194 4 2 2" xfId="51623"/>
    <cellStyle name="Normal 194 4 2 3" xfId="51624"/>
    <cellStyle name="Normal 194 4 3" xfId="51625"/>
    <cellStyle name="Normal 194 4 4" xfId="51626"/>
    <cellStyle name="Normal 194 5" xfId="51627"/>
    <cellStyle name="Normal 194 5 2" xfId="51628"/>
    <cellStyle name="Normal 194 5 3" xfId="51629"/>
    <cellStyle name="Normal 194 6" xfId="51630"/>
    <cellStyle name="Normal 194 6 2" xfId="51631"/>
    <cellStyle name="Normal 194 6 3" xfId="51632"/>
    <cellStyle name="Normal 194 7" xfId="51633"/>
    <cellStyle name="Normal 194 8" xfId="51634"/>
    <cellStyle name="Normal 195" xfId="51635"/>
    <cellStyle name="Normal 195 2" xfId="51636"/>
    <cellStyle name="Normal 195 2 2" xfId="51637"/>
    <cellStyle name="Normal 195 2 2 2" xfId="51638"/>
    <cellStyle name="Normal 195 2 2 2 2" xfId="51639"/>
    <cellStyle name="Normal 195 2 2 2 3" xfId="51640"/>
    <cellStyle name="Normal 195 2 2 3" xfId="51641"/>
    <cellStyle name="Normal 195 2 2 4" xfId="51642"/>
    <cellStyle name="Normal 195 2 3" xfId="51643"/>
    <cellStyle name="Normal 195 2 3 2" xfId="51644"/>
    <cellStyle name="Normal 195 2 3 3" xfId="51645"/>
    <cellStyle name="Normal 195 2 4" xfId="51646"/>
    <cellStyle name="Normal 195 2 4 2" xfId="51647"/>
    <cellStyle name="Normal 195 2 4 3" xfId="51648"/>
    <cellStyle name="Normal 195 2 5" xfId="51649"/>
    <cellStyle name="Normal 195 2 6" xfId="51650"/>
    <cellStyle name="Normal 195 3" xfId="51651"/>
    <cellStyle name="Normal 195 3 2" xfId="51652"/>
    <cellStyle name="Normal 195 3 2 2" xfId="51653"/>
    <cellStyle name="Normal 195 3 2 2 2" xfId="51654"/>
    <cellStyle name="Normal 195 3 2 2 3" xfId="51655"/>
    <cellStyle name="Normal 195 3 2 3" xfId="51656"/>
    <cellStyle name="Normal 195 3 2 4" xfId="51657"/>
    <cellStyle name="Normal 195 3 3" xfId="51658"/>
    <cellStyle name="Normal 195 3 3 2" xfId="51659"/>
    <cellStyle name="Normal 195 3 3 3" xfId="51660"/>
    <cellStyle name="Normal 195 3 4" xfId="51661"/>
    <cellStyle name="Normal 195 3 4 2" xfId="51662"/>
    <cellStyle name="Normal 195 3 4 3" xfId="51663"/>
    <cellStyle name="Normal 195 3 5" xfId="51664"/>
    <cellStyle name="Normal 195 3 6" xfId="51665"/>
    <cellStyle name="Normal 195 4" xfId="51666"/>
    <cellStyle name="Normal 195 4 2" xfId="51667"/>
    <cellStyle name="Normal 195 4 2 2" xfId="51668"/>
    <cellStyle name="Normal 195 4 2 3" xfId="51669"/>
    <cellStyle name="Normal 195 4 3" xfId="51670"/>
    <cellStyle name="Normal 195 4 4" xfId="51671"/>
    <cellStyle name="Normal 195 5" xfId="51672"/>
    <cellStyle name="Normal 195 5 2" xfId="51673"/>
    <cellStyle name="Normal 195 5 3" xfId="51674"/>
    <cellStyle name="Normal 195 6" xfId="51675"/>
    <cellStyle name="Normal 195 6 2" xfId="51676"/>
    <cellStyle name="Normal 195 6 3" xfId="51677"/>
    <cellStyle name="Normal 195 7" xfId="51678"/>
    <cellStyle name="Normal 195 8" xfId="51679"/>
    <cellStyle name="Normal 196" xfId="51680"/>
    <cellStyle name="Normal 196 2" xfId="51681"/>
    <cellStyle name="Normal 196 3" xfId="51682"/>
    <cellStyle name="Normal 197" xfId="51683"/>
    <cellStyle name="Normal 197 2" xfId="51684"/>
    <cellStyle name="Normal 197 2 2" xfId="51685"/>
    <cellStyle name="Normal 197 2 2 2" xfId="51686"/>
    <cellStyle name="Normal 197 2 2 2 2" xfId="51687"/>
    <cellStyle name="Normal 197 2 2 2 3" xfId="51688"/>
    <cellStyle name="Normal 197 2 2 3" xfId="51689"/>
    <cellStyle name="Normal 197 2 2 4" xfId="51690"/>
    <cellStyle name="Normal 197 2 3" xfId="51691"/>
    <cellStyle name="Normal 197 2 3 2" xfId="51692"/>
    <cellStyle name="Normal 197 2 3 3" xfId="51693"/>
    <cellStyle name="Normal 197 2 4" xfId="51694"/>
    <cellStyle name="Normal 197 2 4 2" xfId="51695"/>
    <cellStyle name="Normal 197 2 4 3" xfId="51696"/>
    <cellStyle name="Normal 197 2 5" xfId="51697"/>
    <cellStyle name="Normal 197 2 6" xfId="51698"/>
    <cellStyle name="Normal 197 3" xfId="51699"/>
    <cellStyle name="Normal 197 3 2" xfId="51700"/>
    <cellStyle name="Normal 197 3 2 2" xfId="51701"/>
    <cellStyle name="Normal 197 3 2 2 2" xfId="51702"/>
    <cellStyle name="Normal 197 3 2 2 3" xfId="51703"/>
    <cellStyle name="Normal 197 3 2 3" xfId="51704"/>
    <cellStyle name="Normal 197 3 2 4" xfId="51705"/>
    <cellStyle name="Normal 197 3 3" xfId="51706"/>
    <cellStyle name="Normal 197 3 3 2" xfId="51707"/>
    <cellStyle name="Normal 197 3 3 3" xfId="51708"/>
    <cellStyle name="Normal 197 3 4" xfId="51709"/>
    <cellStyle name="Normal 197 3 4 2" xfId="51710"/>
    <cellStyle name="Normal 197 3 4 3" xfId="51711"/>
    <cellStyle name="Normal 197 3 5" xfId="51712"/>
    <cellStyle name="Normal 197 3 6" xfId="51713"/>
    <cellStyle name="Normal 197 4" xfId="51714"/>
    <cellStyle name="Normal 197 4 2" xfId="51715"/>
    <cellStyle name="Normal 197 4 2 2" xfId="51716"/>
    <cellStyle name="Normal 197 4 2 3" xfId="51717"/>
    <cellStyle name="Normal 197 4 3" xfId="51718"/>
    <cellStyle name="Normal 197 4 4" xfId="51719"/>
    <cellStyle name="Normal 197 5" xfId="51720"/>
    <cellStyle name="Normal 197 5 2" xfId="51721"/>
    <cellStyle name="Normal 197 5 3" xfId="51722"/>
    <cellStyle name="Normal 197 6" xfId="51723"/>
    <cellStyle name="Normal 197 6 2" xfId="51724"/>
    <cellStyle name="Normal 197 6 3" xfId="51725"/>
    <cellStyle name="Normal 197 7" xfId="51726"/>
    <cellStyle name="Normal 197 8" xfId="51727"/>
    <cellStyle name="Normal 198" xfId="51728"/>
    <cellStyle name="Normal 198 2" xfId="51729"/>
    <cellStyle name="Normal 198 2 2" xfId="51730"/>
    <cellStyle name="Normal 198 2 2 2" xfId="51731"/>
    <cellStyle name="Normal 198 2 2 2 2" xfId="51732"/>
    <cellStyle name="Normal 198 2 2 2 3" xfId="51733"/>
    <cellStyle name="Normal 198 2 2 3" xfId="51734"/>
    <cellStyle name="Normal 198 2 2 4" xfId="51735"/>
    <cellStyle name="Normal 198 2 3" xfId="51736"/>
    <cellStyle name="Normal 198 2 3 2" xfId="51737"/>
    <cellStyle name="Normal 198 2 3 3" xfId="51738"/>
    <cellStyle name="Normal 198 2 4" xfId="51739"/>
    <cellStyle name="Normal 198 2 4 2" xfId="51740"/>
    <cellStyle name="Normal 198 2 4 3" xfId="51741"/>
    <cellStyle name="Normal 198 2 5" xfId="51742"/>
    <cellStyle name="Normal 198 2 6" xfId="51743"/>
    <cellStyle name="Normal 198 3" xfId="51744"/>
    <cellStyle name="Normal 198 3 2" xfId="51745"/>
    <cellStyle name="Normal 198 3 2 2" xfId="51746"/>
    <cellStyle name="Normal 198 3 2 2 2" xfId="51747"/>
    <cellStyle name="Normal 198 3 2 2 3" xfId="51748"/>
    <cellStyle name="Normal 198 3 2 3" xfId="51749"/>
    <cellStyle name="Normal 198 3 2 4" xfId="51750"/>
    <cellStyle name="Normal 198 3 3" xfId="51751"/>
    <cellStyle name="Normal 198 3 3 2" xfId="51752"/>
    <cellStyle name="Normal 198 3 3 3" xfId="51753"/>
    <cellStyle name="Normal 198 3 4" xfId="51754"/>
    <cellStyle name="Normal 198 3 4 2" xfId="51755"/>
    <cellStyle name="Normal 198 3 4 3" xfId="51756"/>
    <cellStyle name="Normal 198 3 5" xfId="51757"/>
    <cellStyle name="Normal 198 3 6" xfId="51758"/>
    <cellStyle name="Normal 198 4" xfId="51759"/>
    <cellStyle name="Normal 198 4 2" xfId="51760"/>
    <cellStyle name="Normal 198 4 2 2" xfId="51761"/>
    <cellStyle name="Normal 198 4 2 3" xfId="51762"/>
    <cellStyle name="Normal 198 4 3" xfId="51763"/>
    <cellStyle name="Normal 198 4 4" xfId="51764"/>
    <cellStyle name="Normal 198 5" xfId="51765"/>
    <cellStyle name="Normal 198 5 2" xfId="51766"/>
    <cellStyle name="Normal 198 5 3" xfId="51767"/>
    <cellStyle name="Normal 198 6" xfId="51768"/>
    <cellStyle name="Normal 198 6 2" xfId="51769"/>
    <cellStyle name="Normal 198 6 3" xfId="51770"/>
    <cellStyle name="Normal 198 7" xfId="51771"/>
    <cellStyle name="Normal 198 8" xfId="51772"/>
    <cellStyle name="Normal 199" xfId="51773"/>
    <cellStyle name="Normal 199 2" xfId="51774"/>
    <cellStyle name="Normal 199 2 2" xfId="51775"/>
    <cellStyle name="Normal 199 2 2 2" xfId="51776"/>
    <cellStyle name="Normal 199 2 2 2 2" xfId="51777"/>
    <cellStyle name="Normal 199 2 2 2 3" xfId="51778"/>
    <cellStyle name="Normal 199 2 2 3" xfId="51779"/>
    <cellStyle name="Normal 199 2 2 4" xfId="51780"/>
    <cellStyle name="Normal 199 2 3" xfId="51781"/>
    <cellStyle name="Normal 199 2 3 2" xfId="51782"/>
    <cellStyle name="Normal 199 2 3 3" xfId="51783"/>
    <cellStyle name="Normal 199 2 4" xfId="51784"/>
    <cellStyle name="Normal 199 2 4 2" xfId="51785"/>
    <cellStyle name="Normal 199 2 4 3" xfId="51786"/>
    <cellStyle name="Normal 199 2 5" xfId="51787"/>
    <cellStyle name="Normal 199 2 6" xfId="51788"/>
    <cellStyle name="Normal 199 3" xfId="51789"/>
    <cellStyle name="Normal 199 3 2" xfId="51790"/>
    <cellStyle name="Normal 199 3 2 2" xfId="51791"/>
    <cellStyle name="Normal 199 3 2 2 2" xfId="51792"/>
    <cellStyle name="Normal 199 3 2 2 3" xfId="51793"/>
    <cellStyle name="Normal 199 3 2 3" xfId="51794"/>
    <cellStyle name="Normal 199 3 2 4" xfId="51795"/>
    <cellStyle name="Normal 199 3 3" xfId="51796"/>
    <cellStyle name="Normal 199 3 3 2" xfId="51797"/>
    <cellStyle name="Normal 199 3 3 3" xfId="51798"/>
    <cellStyle name="Normal 199 3 4" xfId="51799"/>
    <cellStyle name="Normal 199 3 4 2" xfId="51800"/>
    <cellStyle name="Normal 199 3 4 3" xfId="51801"/>
    <cellStyle name="Normal 199 3 5" xfId="51802"/>
    <cellStyle name="Normal 199 3 6" xfId="51803"/>
    <cellStyle name="Normal 199 4" xfId="51804"/>
    <cellStyle name="Normal 199 4 2" xfId="51805"/>
    <cellStyle name="Normal 199 4 2 2" xfId="51806"/>
    <cellStyle name="Normal 199 4 2 3" xfId="51807"/>
    <cellStyle name="Normal 199 4 3" xfId="51808"/>
    <cellStyle name="Normal 199 4 4" xfId="51809"/>
    <cellStyle name="Normal 199 5" xfId="51810"/>
    <cellStyle name="Normal 199 5 2" xfId="51811"/>
    <cellStyle name="Normal 199 5 3" xfId="51812"/>
    <cellStyle name="Normal 199 6" xfId="51813"/>
    <cellStyle name="Normal 199 6 2" xfId="51814"/>
    <cellStyle name="Normal 199 6 3" xfId="51815"/>
    <cellStyle name="Normal 199 7" xfId="51816"/>
    <cellStyle name="Normal 199 8" xfId="51817"/>
    <cellStyle name="Normal 2" xfId="1"/>
    <cellStyle name="Normal 2 10" xfId="51818"/>
    <cellStyle name="Normal 2 10 2" xfId="51819"/>
    <cellStyle name="Normal 2 11" xfId="51820"/>
    <cellStyle name="Normal 2 11 2" xfId="51821"/>
    <cellStyle name="Normal 2 12" xfId="51822"/>
    <cellStyle name="Normal 2 12 2" xfId="51823"/>
    <cellStyle name="Normal 2 13" xfId="51824"/>
    <cellStyle name="Normal 2 13 2" xfId="51825"/>
    <cellStyle name="Normal 2 14" xfId="51826"/>
    <cellStyle name="Normal 2 14 2" xfId="51827"/>
    <cellStyle name="Normal 2 15" xfId="51828"/>
    <cellStyle name="Normal 2 15 2" xfId="51829"/>
    <cellStyle name="Normal 2 16" xfId="51830"/>
    <cellStyle name="Normal 2 16 2" xfId="51831"/>
    <cellStyle name="Normal 2 17" xfId="51832"/>
    <cellStyle name="Normal 2 17 2" xfId="51833"/>
    <cellStyle name="Normal 2 18" xfId="51834"/>
    <cellStyle name="Normal 2 19" xfId="51835"/>
    <cellStyle name="Normal 2 2" xfId="51836"/>
    <cellStyle name="Normal 2 2 2" xfId="51837"/>
    <cellStyle name="Normal 2 2 2 10" xfId="51838"/>
    <cellStyle name="Normal 2 2 2 11" xfId="51839"/>
    <cellStyle name="Normal 2 2 2 12" xfId="51840"/>
    <cellStyle name="Normal 2 2 2 13" xfId="51841"/>
    <cellStyle name="Normal 2 2 2 2" xfId="51842"/>
    <cellStyle name="Normal 2 2 2 2 2" xfId="51843"/>
    <cellStyle name="Normal 2 2 2 2 2 10" xfId="51844"/>
    <cellStyle name="Normal 2 2 2 2 2 11" xfId="51845"/>
    <cellStyle name="Normal 2 2 2 2 2 2" xfId="51846"/>
    <cellStyle name="Normal 2 2 2 2 2 2 2" xfId="51847"/>
    <cellStyle name="Normal 2 2 2 2 2 2 2 10" xfId="51848"/>
    <cellStyle name="Normal 2 2 2 2 2 2 2 2" xfId="51849"/>
    <cellStyle name="Normal 2 2 2 2 2 2 2 2 2" xfId="51850"/>
    <cellStyle name="Normal 2 2 2 2 2 2 2 2 2 2" xfId="51851"/>
    <cellStyle name="Normal 2 2 2 2 2 2 2 2 2 2 2" xfId="51852"/>
    <cellStyle name="Normal 2 2 2 2 2 2 2 2 2 2 2 2" xfId="51853"/>
    <cellStyle name="Normal 2 2 2 2 2 2 2 2 2 2 2 2 2" xfId="51854"/>
    <cellStyle name="Normal 2 2 2 2 2 2 2 2 2 2 2 2 3" xfId="51855"/>
    <cellStyle name="Normal 2 2 2 2 2 2 2 2 2 2 2 2 4" xfId="51856"/>
    <cellStyle name="Normal 2 2 2 2 2 2 2 2 2 2 2 2 5" xfId="51857"/>
    <cellStyle name="Normal 2 2 2 2 2 2 2 2 2 2 2 3" xfId="51858"/>
    <cellStyle name="Normal 2 2 2 2 2 2 2 2 2 2 2 4" xfId="51859"/>
    <cellStyle name="Normal 2 2 2 2 2 2 2 2 2 2 2 5" xfId="51860"/>
    <cellStyle name="Normal 2 2 2 2 2 2 2 2 2 2 2 6" xfId="51861"/>
    <cellStyle name="Normal 2 2 2 2 2 2 2 2 2 2 2 7" xfId="51862"/>
    <cellStyle name="Normal 2 2 2 2 2 2 2 2 2 2 2 8" xfId="51863"/>
    <cellStyle name="Normal 2 2 2 2 2 2 2 2 2 2 3" xfId="51864"/>
    <cellStyle name="Normal 2 2 2 2 2 2 2 2 2 3" xfId="51865"/>
    <cellStyle name="Normal 2 2 2 2 2 2 2 2 2 3 2" xfId="51866"/>
    <cellStyle name="Normal 2 2 2 2 2 2 2 2 2 3 3" xfId="51867"/>
    <cellStyle name="Normal 2 2 2 2 2 2 2 2 2 3 4" xfId="51868"/>
    <cellStyle name="Normal 2 2 2 2 2 2 2 2 2 3 5" xfId="51869"/>
    <cellStyle name="Normal 2 2 2 2 2 2 2 2 2 4" xfId="51870"/>
    <cellStyle name="Normal 2 2 2 2 2 2 2 2 2 5" xfId="51871"/>
    <cellStyle name="Normal 2 2 2 2 2 2 2 2 2 6" xfId="51872"/>
    <cellStyle name="Normal 2 2 2 2 2 2 2 2 2 7" xfId="51873"/>
    <cellStyle name="Normal 2 2 2 2 2 2 2 2 2 8" xfId="51874"/>
    <cellStyle name="Normal 2 2 2 2 2 2 2 2 2 9" xfId="51875"/>
    <cellStyle name="Normal 2 2 2 2 2 2 2 2 3" xfId="51876"/>
    <cellStyle name="Normal 2 2 2 2 2 2 2 2 3 2" xfId="51877"/>
    <cellStyle name="Normal 2 2 2 2 2 2 2 2 3 2 2" xfId="51878"/>
    <cellStyle name="Normal 2 2 2 2 2 2 2 2 3 2 3" xfId="51879"/>
    <cellStyle name="Normal 2 2 2 2 2 2 2 2 3 2 4" xfId="51880"/>
    <cellStyle name="Normal 2 2 2 2 2 2 2 2 3 2 5" xfId="51881"/>
    <cellStyle name="Normal 2 2 2 2 2 2 2 2 3 3" xfId="51882"/>
    <cellStyle name="Normal 2 2 2 2 2 2 2 2 3 4" xfId="51883"/>
    <cellStyle name="Normal 2 2 2 2 2 2 2 2 3 5" xfId="51884"/>
    <cellStyle name="Normal 2 2 2 2 2 2 2 2 3 6" xfId="51885"/>
    <cellStyle name="Normal 2 2 2 2 2 2 2 2 3 7" xfId="51886"/>
    <cellStyle name="Normal 2 2 2 2 2 2 2 2 3 8" xfId="51887"/>
    <cellStyle name="Normal 2 2 2 2 2 2 2 2 4" xfId="51888"/>
    <cellStyle name="Normal 2 2 2 2 2 2 2 3" xfId="51889"/>
    <cellStyle name="Normal 2 2 2 2 2 2 2 3 2" xfId="51890"/>
    <cellStyle name="Normal 2 2 2 2 2 2 2 3 2 2" xfId="51891"/>
    <cellStyle name="Normal 2 2 2 2 2 2 2 3 2 2 2" xfId="51892"/>
    <cellStyle name="Normal 2 2 2 2 2 2 2 3 2 2 3" xfId="51893"/>
    <cellStyle name="Normal 2 2 2 2 2 2 2 3 2 2 4" xfId="51894"/>
    <cellStyle name="Normal 2 2 2 2 2 2 2 3 2 2 5" xfId="51895"/>
    <cellStyle name="Normal 2 2 2 2 2 2 2 3 2 3" xfId="51896"/>
    <cellStyle name="Normal 2 2 2 2 2 2 2 3 2 4" xfId="51897"/>
    <cellStyle name="Normal 2 2 2 2 2 2 2 3 2 5" xfId="51898"/>
    <cellStyle name="Normal 2 2 2 2 2 2 2 3 2 6" xfId="51899"/>
    <cellStyle name="Normal 2 2 2 2 2 2 2 3 2 7" xfId="51900"/>
    <cellStyle name="Normal 2 2 2 2 2 2 2 3 2 8" xfId="51901"/>
    <cellStyle name="Normal 2 2 2 2 2 2 2 3 3" xfId="51902"/>
    <cellStyle name="Normal 2 2 2 2 2 2 2 4" xfId="51903"/>
    <cellStyle name="Normal 2 2 2 2 2 2 2 4 2" xfId="51904"/>
    <cellStyle name="Normal 2 2 2 2 2 2 2 4 3" xfId="51905"/>
    <cellStyle name="Normal 2 2 2 2 2 2 2 4 4" xfId="51906"/>
    <cellStyle name="Normal 2 2 2 2 2 2 2 4 5" xfId="51907"/>
    <cellStyle name="Normal 2 2 2 2 2 2 2 5" xfId="51908"/>
    <cellStyle name="Normal 2 2 2 2 2 2 2 6" xfId="51909"/>
    <cellStyle name="Normal 2 2 2 2 2 2 2 7" xfId="51910"/>
    <cellStyle name="Normal 2 2 2 2 2 2 2 8" xfId="51911"/>
    <cellStyle name="Normal 2 2 2 2 2 2 2 9" xfId="51912"/>
    <cellStyle name="Normal 2 2 2 2 2 2 3" xfId="51913"/>
    <cellStyle name="Normal 2 2 2 2 2 2 3 2" xfId="51914"/>
    <cellStyle name="Normal 2 2 2 2 2 2 3 2 2" xfId="51915"/>
    <cellStyle name="Normal 2 2 2 2 2 2 3 2 2 2" xfId="51916"/>
    <cellStyle name="Normal 2 2 2 2 2 2 3 2 2 2 2" xfId="51917"/>
    <cellStyle name="Normal 2 2 2 2 2 2 3 2 2 2 3" xfId="51918"/>
    <cellStyle name="Normal 2 2 2 2 2 2 3 2 2 2 4" xfId="51919"/>
    <cellStyle name="Normal 2 2 2 2 2 2 3 2 2 2 5" xfId="51920"/>
    <cellStyle name="Normal 2 2 2 2 2 2 3 2 2 3" xfId="51921"/>
    <cellStyle name="Normal 2 2 2 2 2 2 3 2 2 4" xfId="51922"/>
    <cellStyle name="Normal 2 2 2 2 2 2 3 2 2 5" xfId="51923"/>
    <cellStyle name="Normal 2 2 2 2 2 2 3 2 2 6" xfId="51924"/>
    <cellStyle name="Normal 2 2 2 2 2 2 3 2 2 7" xfId="51925"/>
    <cellStyle name="Normal 2 2 2 2 2 2 3 2 2 8" xfId="51926"/>
    <cellStyle name="Normal 2 2 2 2 2 2 3 2 3" xfId="51927"/>
    <cellStyle name="Normal 2 2 2 2 2 2 3 3" xfId="51928"/>
    <cellStyle name="Normal 2 2 2 2 2 2 3 3 2" xfId="51929"/>
    <cellStyle name="Normal 2 2 2 2 2 2 3 3 3" xfId="51930"/>
    <cellStyle name="Normal 2 2 2 2 2 2 3 3 4" xfId="51931"/>
    <cellStyle name="Normal 2 2 2 2 2 2 3 3 5" xfId="51932"/>
    <cellStyle name="Normal 2 2 2 2 2 2 3 4" xfId="51933"/>
    <cellStyle name="Normal 2 2 2 2 2 2 3 5" xfId="51934"/>
    <cellStyle name="Normal 2 2 2 2 2 2 3 6" xfId="51935"/>
    <cellStyle name="Normal 2 2 2 2 2 2 3 7" xfId="51936"/>
    <cellStyle name="Normal 2 2 2 2 2 2 3 8" xfId="51937"/>
    <cellStyle name="Normal 2 2 2 2 2 2 3 9" xfId="51938"/>
    <cellStyle name="Normal 2 2 2 2 2 2 4" xfId="51939"/>
    <cellStyle name="Normal 2 2 2 2 2 2 4 2" xfId="51940"/>
    <cellStyle name="Normal 2 2 2 2 2 2 4 2 2" xfId="51941"/>
    <cellStyle name="Normal 2 2 2 2 2 2 4 2 3" xfId="51942"/>
    <cellStyle name="Normal 2 2 2 2 2 2 4 2 4" xfId="51943"/>
    <cellStyle name="Normal 2 2 2 2 2 2 4 2 5" xfId="51944"/>
    <cellStyle name="Normal 2 2 2 2 2 2 4 3" xfId="51945"/>
    <cellStyle name="Normal 2 2 2 2 2 2 4 4" xfId="51946"/>
    <cellStyle name="Normal 2 2 2 2 2 2 4 5" xfId="51947"/>
    <cellStyle name="Normal 2 2 2 2 2 2 4 6" xfId="51948"/>
    <cellStyle name="Normal 2 2 2 2 2 2 4 7" xfId="51949"/>
    <cellStyle name="Normal 2 2 2 2 2 2 4 8" xfId="51950"/>
    <cellStyle name="Normal 2 2 2 2 2 2 5" xfId="51951"/>
    <cellStyle name="Normal 2 2 2 2 2 3" xfId="51952"/>
    <cellStyle name="Normal 2 2 2 2 2 3 2" xfId="51953"/>
    <cellStyle name="Normal 2 2 2 2 2 3 2 2" xfId="51954"/>
    <cellStyle name="Normal 2 2 2 2 2 3 2 2 2" xfId="51955"/>
    <cellStyle name="Normal 2 2 2 2 2 3 2 2 2 2" xfId="51956"/>
    <cellStyle name="Normal 2 2 2 2 2 3 2 2 2 2 2" xfId="51957"/>
    <cellStyle name="Normal 2 2 2 2 2 3 2 2 2 2 3" xfId="51958"/>
    <cellStyle name="Normal 2 2 2 2 2 3 2 2 2 2 4" xfId="51959"/>
    <cellStyle name="Normal 2 2 2 2 2 3 2 2 2 2 5" xfId="51960"/>
    <cellStyle name="Normal 2 2 2 2 2 3 2 2 2 3" xfId="51961"/>
    <cellStyle name="Normal 2 2 2 2 2 3 2 2 2 4" xfId="51962"/>
    <cellStyle name="Normal 2 2 2 2 2 3 2 2 2 5" xfId="51963"/>
    <cellStyle name="Normal 2 2 2 2 2 3 2 2 2 6" xfId="51964"/>
    <cellStyle name="Normal 2 2 2 2 2 3 2 2 2 7" xfId="51965"/>
    <cellStyle name="Normal 2 2 2 2 2 3 2 2 2 8" xfId="51966"/>
    <cellStyle name="Normal 2 2 2 2 2 3 2 2 3" xfId="51967"/>
    <cellStyle name="Normal 2 2 2 2 2 3 2 3" xfId="51968"/>
    <cellStyle name="Normal 2 2 2 2 2 3 2 3 2" xfId="51969"/>
    <cellStyle name="Normal 2 2 2 2 2 3 2 3 3" xfId="51970"/>
    <cellStyle name="Normal 2 2 2 2 2 3 2 3 4" xfId="51971"/>
    <cellStyle name="Normal 2 2 2 2 2 3 2 3 5" xfId="51972"/>
    <cellStyle name="Normal 2 2 2 2 2 3 2 4" xfId="51973"/>
    <cellStyle name="Normal 2 2 2 2 2 3 2 5" xfId="51974"/>
    <cellStyle name="Normal 2 2 2 2 2 3 2 6" xfId="51975"/>
    <cellStyle name="Normal 2 2 2 2 2 3 2 7" xfId="51976"/>
    <cellStyle name="Normal 2 2 2 2 2 3 2 8" xfId="51977"/>
    <cellStyle name="Normal 2 2 2 2 2 3 2 9" xfId="51978"/>
    <cellStyle name="Normal 2 2 2 2 2 3 3" xfId="51979"/>
    <cellStyle name="Normal 2 2 2 2 2 3 3 2" xfId="51980"/>
    <cellStyle name="Normal 2 2 2 2 2 3 3 2 2" xfId="51981"/>
    <cellStyle name="Normal 2 2 2 2 2 3 3 2 3" xfId="51982"/>
    <cellStyle name="Normal 2 2 2 2 2 3 3 2 4" xfId="51983"/>
    <cellStyle name="Normal 2 2 2 2 2 3 3 2 5" xfId="51984"/>
    <cellStyle name="Normal 2 2 2 2 2 3 3 3" xfId="51985"/>
    <cellStyle name="Normal 2 2 2 2 2 3 3 4" xfId="51986"/>
    <cellStyle name="Normal 2 2 2 2 2 3 3 5" xfId="51987"/>
    <cellStyle name="Normal 2 2 2 2 2 3 3 6" xfId="51988"/>
    <cellStyle name="Normal 2 2 2 2 2 3 3 7" xfId="51989"/>
    <cellStyle name="Normal 2 2 2 2 2 3 3 8" xfId="51990"/>
    <cellStyle name="Normal 2 2 2 2 2 3 4" xfId="51991"/>
    <cellStyle name="Normal 2 2 2 2 2 4" xfId="51992"/>
    <cellStyle name="Normal 2 2 2 2 2 4 2" xfId="51993"/>
    <cellStyle name="Normal 2 2 2 2 2 4 2 2" xfId="51994"/>
    <cellStyle name="Normal 2 2 2 2 2 4 2 2 2" xfId="51995"/>
    <cellStyle name="Normal 2 2 2 2 2 4 2 2 3" xfId="51996"/>
    <cellStyle name="Normal 2 2 2 2 2 4 2 2 4" xfId="51997"/>
    <cellStyle name="Normal 2 2 2 2 2 4 2 2 5" xfId="51998"/>
    <cellStyle name="Normal 2 2 2 2 2 4 2 3" xfId="51999"/>
    <cellStyle name="Normal 2 2 2 2 2 4 2 4" xfId="52000"/>
    <cellStyle name="Normal 2 2 2 2 2 4 2 5" xfId="52001"/>
    <cellStyle name="Normal 2 2 2 2 2 4 2 6" xfId="52002"/>
    <cellStyle name="Normal 2 2 2 2 2 4 2 7" xfId="52003"/>
    <cellStyle name="Normal 2 2 2 2 2 4 2 8" xfId="52004"/>
    <cellStyle name="Normal 2 2 2 2 2 4 3" xfId="52005"/>
    <cellStyle name="Normal 2 2 2 2 2 5" xfId="52006"/>
    <cellStyle name="Normal 2 2 2 2 2 5 2" xfId="52007"/>
    <cellStyle name="Normal 2 2 2 2 2 5 3" xfId="52008"/>
    <cellStyle name="Normal 2 2 2 2 2 5 4" xfId="52009"/>
    <cellStyle name="Normal 2 2 2 2 2 5 5" xfId="52010"/>
    <cellStyle name="Normal 2 2 2 2 2 6" xfId="52011"/>
    <cellStyle name="Normal 2 2 2 2 2 7" xfId="52012"/>
    <cellStyle name="Normal 2 2 2 2 2 8" xfId="52013"/>
    <cellStyle name="Normal 2 2 2 2 2 9" xfId="52014"/>
    <cellStyle name="Normal 2 2 2 2 3" xfId="52015"/>
    <cellStyle name="Normal 2 2 2 2 3 10" xfId="52016"/>
    <cellStyle name="Normal 2 2 2 2 3 2" xfId="52017"/>
    <cellStyle name="Normal 2 2 2 2 3 2 2" xfId="52018"/>
    <cellStyle name="Normal 2 2 2 2 3 2 2 2" xfId="52019"/>
    <cellStyle name="Normal 2 2 2 2 3 2 2 2 2" xfId="52020"/>
    <cellStyle name="Normal 2 2 2 2 3 2 2 2 2 2" xfId="52021"/>
    <cellStyle name="Normal 2 2 2 2 3 2 2 2 2 2 2" xfId="52022"/>
    <cellStyle name="Normal 2 2 2 2 3 2 2 2 2 2 3" xfId="52023"/>
    <cellStyle name="Normal 2 2 2 2 3 2 2 2 2 2 4" xfId="52024"/>
    <cellStyle name="Normal 2 2 2 2 3 2 2 2 2 2 5" xfId="52025"/>
    <cellStyle name="Normal 2 2 2 2 3 2 2 2 2 3" xfId="52026"/>
    <cellStyle name="Normal 2 2 2 2 3 2 2 2 2 4" xfId="52027"/>
    <cellStyle name="Normal 2 2 2 2 3 2 2 2 2 5" xfId="52028"/>
    <cellStyle name="Normal 2 2 2 2 3 2 2 2 2 6" xfId="52029"/>
    <cellStyle name="Normal 2 2 2 2 3 2 2 2 2 7" xfId="52030"/>
    <cellStyle name="Normal 2 2 2 2 3 2 2 2 2 8" xfId="52031"/>
    <cellStyle name="Normal 2 2 2 2 3 2 2 2 3" xfId="52032"/>
    <cellStyle name="Normal 2 2 2 2 3 2 2 3" xfId="52033"/>
    <cellStyle name="Normal 2 2 2 2 3 2 2 3 2" xfId="52034"/>
    <cellStyle name="Normal 2 2 2 2 3 2 2 3 3" xfId="52035"/>
    <cellStyle name="Normal 2 2 2 2 3 2 2 3 4" xfId="52036"/>
    <cellStyle name="Normal 2 2 2 2 3 2 2 3 5" xfId="52037"/>
    <cellStyle name="Normal 2 2 2 2 3 2 2 4" xfId="52038"/>
    <cellStyle name="Normal 2 2 2 2 3 2 2 5" xfId="52039"/>
    <cellStyle name="Normal 2 2 2 2 3 2 2 6" xfId="52040"/>
    <cellStyle name="Normal 2 2 2 2 3 2 2 7" xfId="52041"/>
    <cellStyle name="Normal 2 2 2 2 3 2 2 8" xfId="52042"/>
    <cellStyle name="Normal 2 2 2 2 3 2 2 9" xfId="52043"/>
    <cellStyle name="Normal 2 2 2 2 3 2 3" xfId="52044"/>
    <cellStyle name="Normal 2 2 2 2 3 2 3 2" xfId="52045"/>
    <cellStyle name="Normal 2 2 2 2 3 2 3 2 2" xfId="52046"/>
    <cellStyle name="Normal 2 2 2 2 3 2 3 2 3" xfId="52047"/>
    <cellStyle name="Normal 2 2 2 2 3 2 3 2 4" xfId="52048"/>
    <cellStyle name="Normal 2 2 2 2 3 2 3 2 5" xfId="52049"/>
    <cellStyle name="Normal 2 2 2 2 3 2 3 3" xfId="52050"/>
    <cellStyle name="Normal 2 2 2 2 3 2 3 4" xfId="52051"/>
    <cellStyle name="Normal 2 2 2 2 3 2 3 5" xfId="52052"/>
    <cellStyle name="Normal 2 2 2 2 3 2 3 6" xfId="52053"/>
    <cellStyle name="Normal 2 2 2 2 3 2 3 7" xfId="52054"/>
    <cellStyle name="Normal 2 2 2 2 3 2 3 8" xfId="52055"/>
    <cellStyle name="Normal 2 2 2 2 3 2 4" xfId="52056"/>
    <cellStyle name="Normal 2 2 2 2 3 3" xfId="52057"/>
    <cellStyle name="Normal 2 2 2 2 3 3 2" xfId="52058"/>
    <cellStyle name="Normal 2 2 2 2 3 3 2 2" xfId="52059"/>
    <cellStyle name="Normal 2 2 2 2 3 3 2 2 2" xfId="52060"/>
    <cellStyle name="Normal 2 2 2 2 3 3 2 2 3" xfId="52061"/>
    <cellStyle name="Normal 2 2 2 2 3 3 2 2 4" xfId="52062"/>
    <cellStyle name="Normal 2 2 2 2 3 3 2 2 5" xfId="52063"/>
    <cellStyle name="Normal 2 2 2 2 3 3 2 3" xfId="52064"/>
    <cellStyle name="Normal 2 2 2 2 3 3 2 4" xfId="52065"/>
    <cellStyle name="Normal 2 2 2 2 3 3 2 5" xfId="52066"/>
    <cellStyle name="Normal 2 2 2 2 3 3 2 6" xfId="52067"/>
    <cellStyle name="Normal 2 2 2 2 3 3 2 7" xfId="52068"/>
    <cellStyle name="Normal 2 2 2 2 3 3 2 8" xfId="52069"/>
    <cellStyle name="Normal 2 2 2 2 3 3 3" xfId="52070"/>
    <cellStyle name="Normal 2 2 2 2 3 4" xfId="52071"/>
    <cellStyle name="Normal 2 2 2 2 3 4 2" xfId="52072"/>
    <cellStyle name="Normal 2 2 2 2 3 4 3" xfId="52073"/>
    <cellStyle name="Normal 2 2 2 2 3 4 4" xfId="52074"/>
    <cellStyle name="Normal 2 2 2 2 3 4 5" xfId="52075"/>
    <cellStyle name="Normal 2 2 2 2 3 5" xfId="52076"/>
    <cellStyle name="Normal 2 2 2 2 3 6" xfId="52077"/>
    <cellStyle name="Normal 2 2 2 2 3 7" xfId="52078"/>
    <cellStyle name="Normal 2 2 2 2 3 8" xfId="52079"/>
    <cellStyle name="Normal 2 2 2 2 3 9" xfId="52080"/>
    <cellStyle name="Normal 2 2 2 2 4" xfId="52081"/>
    <cellStyle name="Normal 2 2 2 2 4 2" xfId="52082"/>
    <cellStyle name="Normal 2 2 2 2 4 2 2" xfId="52083"/>
    <cellStyle name="Normal 2 2 2 2 4 2 2 2" xfId="52084"/>
    <cellStyle name="Normal 2 2 2 2 4 2 2 2 2" xfId="52085"/>
    <cellStyle name="Normal 2 2 2 2 4 2 2 2 3" xfId="52086"/>
    <cellStyle name="Normal 2 2 2 2 4 2 2 2 4" xfId="52087"/>
    <cellStyle name="Normal 2 2 2 2 4 2 2 2 5" xfId="52088"/>
    <cellStyle name="Normal 2 2 2 2 4 2 2 3" xfId="52089"/>
    <cellStyle name="Normal 2 2 2 2 4 2 2 4" xfId="52090"/>
    <cellStyle name="Normal 2 2 2 2 4 2 2 5" xfId="52091"/>
    <cellStyle name="Normal 2 2 2 2 4 2 2 6" xfId="52092"/>
    <cellStyle name="Normal 2 2 2 2 4 2 2 7" xfId="52093"/>
    <cellStyle name="Normal 2 2 2 2 4 2 2 8" xfId="52094"/>
    <cellStyle name="Normal 2 2 2 2 4 2 3" xfId="52095"/>
    <cellStyle name="Normal 2 2 2 2 4 3" xfId="52096"/>
    <cellStyle name="Normal 2 2 2 2 4 3 2" xfId="52097"/>
    <cellStyle name="Normal 2 2 2 2 4 3 3" xfId="52098"/>
    <cellStyle name="Normal 2 2 2 2 4 3 4" xfId="52099"/>
    <cellStyle name="Normal 2 2 2 2 4 3 5" xfId="52100"/>
    <cellStyle name="Normal 2 2 2 2 4 4" xfId="52101"/>
    <cellStyle name="Normal 2 2 2 2 4 5" xfId="52102"/>
    <cellStyle name="Normal 2 2 2 2 4 6" xfId="52103"/>
    <cellStyle name="Normal 2 2 2 2 4 7" xfId="52104"/>
    <cellStyle name="Normal 2 2 2 2 4 8" xfId="52105"/>
    <cellStyle name="Normal 2 2 2 2 4 9" xfId="52106"/>
    <cellStyle name="Normal 2 2 2 2 5" xfId="52107"/>
    <cellStyle name="Normal 2 2 2 2 5 2" xfId="52108"/>
    <cellStyle name="Normal 2 2 2 2 5 2 2" xfId="52109"/>
    <cellStyle name="Normal 2 2 2 2 5 2 3" xfId="52110"/>
    <cellStyle name="Normal 2 2 2 2 5 2 4" xfId="52111"/>
    <cellStyle name="Normal 2 2 2 2 5 2 5" xfId="52112"/>
    <cellStyle name="Normal 2 2 2 2 5 3" xfId="52113"/>
    <cellStyle name="Normal 2 2 2 2 5 4" xfId="52114"/>
    <cellStyle name="Normal 2 2 2 2 5 5" xfId="52115"/>
    <cellStyle name="Normal 2 2 2 2 5 6" xfId="52116"/>
    <cellStyle name="Normal 2 2 2 2 5 7" xfId="52117"/>
    <cellStyle name="Normal 2 2 2 2 5 8" xfId="52118"/>
    <cellStyle name="Normal 2 2 2 2 6" xfId="52119"/>
    <cellStyle name="Normal 2 2 2 3" xfId="52120"/>
    <cellStyle name="Normal 2 2 2 3 2" xfId="52121"/>
    <cellStyle name="Normal 2 2 2 3 2 10" xfId="52122"/>
    <cellStyle name="Normal 2 2 2 3 2 2" xfId="52123"/>
    <cellStyle name="Normal 2 2 2 3 2 2 2" xfId="52124"/>
    <cellStyle name="Normal 2 2 2 3 2 2 2 2" xfId="52125"/>
    <cellStyle name="Normal 2 2 2 3 2 2 2 2 2" xfId="52126"/>
    <cellStyle name="Normal 2 2 2 3 2 2 2 2 2 2" xfId="52127"/>
    <cellStyle name="Normal 2 2 2 3 2 2 2 2 2 2 2" xfId="52128"/>
    <cellStyle name="Normal 2 2 2 3 2 2 2 2 2 2 3" xfId="52129"/>
    <cellStyle name="Normal 2 2 2 3 2 2 2 2 2 2 4" xfId="52130"/>
    <cellStyle name="Normal 2 2 2 3 2 2 2 2 2 2 5" xfId="52131"/>
    <cellStyle name="Normal 2 2 2 3 2 2 2 2 2 3" xfId="52132"/>
    <cellStyle name="Normal 2 2 2 3 2 2 2 2 2 4" xfId="52133"/>
    <cellStyle name="Normal 2 2 2 3 2 2 2 2 2 5" xfId="52134"/>
    <cellStyle name="Normal 2 2 2 3 2 2 2 2 2 6" xfId="52135"/>
    <cellStyle name="Normal 2 2 2 3 2 2 2 2 2 7" xfId="52136"/>
    <cellStyle name="Normal 2 2 2 3 2 2 2 2 2 8" xfId="52137"/>
    <cellStyle name="Normal 2 2 2 3 2 2 2 2 3" xfId="52138"/>
    <cellStyle name="Normal 2 2 2 3 2 2 2 3" xfId="52139"/>
    <cellStyle name="Normal 2 2 2 3 2 2 2 3 2" xfId="52140"/>
    <cellStyle name="Normal 2 2 2 3 2 2 2 3 3" xfId="52141"/>
    <cellStyle name="Normal 2 2 2 3 2 2 2 3 4" xfId="52142"/>
    <cellStyle name="Normal 2 2 2 3 2 2 2 3 5" xfId="52143"/>
    <cellStyle name="Normal 2 2 2 3 2 2 2 4" xfId="52144"/>
    <cellStyle name="Normal 2 2 2 3 2 2 2 5" xfId="52145"/>
    <cellStyle name="Normal 2 2 2 3 2 2 2 6" xfId="52146"/>
    <cellStyle name="Normal 2 2 2 3 2 2 2 7" xfId="52147"/>
    <cellStyle name="Normal 2 2 2 3 2 2 2 8" xfId="52148"/>
    <cellStyle name="Normal 2 2 2 3 2 2 2 9" xfId="52149"/>
    <cellStyle name="Normal 2 2 2 3 2 2 3" xfId="52150"/>
    <cellStyle name="Normal 2 2 2 3 2 2 3 2" xfId="52151"/>
    <cellStyle name="Normal 2 2 2 3 2 2 3 2 2" xfId="52152"/>
    <cellStyle name="Normal 2 2 2 3 2 2 3 2 3" xfId="52153"/>
    <cellStyle name="Normal 2 2 2 3 2 2 3 2 4" xfId="52154"/>
    <cellStyle name="Normal 2 2 2 3 2 2 3 2 5" xfId="52155"/>
    <cellStyle name="Normal 2 2 2 3 2 2 3 3" xfId="52156"/>
    <cellStyle name="Normal 2 2 2 3 2 2 3 4" xfId="52157"/>
    <cellStyle name="Normal 2 2 2 3 2 2 3 5" xfId="52158"/>
    <cellStyle name="Normal 2 2 2 3 2 2 3 6" xfId="52159"/>
    <cellStyle name="Normal 2 2 2 3 2 2 3 7" xfId="52160"/>
    <cellStyle name="Normal 2 2 2 3 2 2 3 8" xfId="52161"/>
    <cellStyle name="Normal 2 2 2 3 2 2 4" xfId="52162"/>
    <cellStyle name="Normal 2 2 2 3 2 3" xfId="52163"/>
    <cellStyle name="Normal 2 2 2 3 2 3 2" xfId="52164"/>
    <cellStyle name="Normal 2 2 2 3 2 3 2 2" xfId="52165"/>
    <cellStyle name="Normal 2 2 2 3 2 3 2 2 2" xfId="52166"/>
    <cellStyle name="Normal 2 2 2 3 2 3 2 2 3" xfId="52167"/>
    <cellStyle name="Normal 2 2 2 3 2 3 2 2 4" xfId="52168"/>
    <cellStyle name="Normal 2 2 2 3 2 3 2 2 5" xfId="52169"/>
    <cellStyle name="Normal 2 2 2 3 2 3 2 3" xfId="52170"/>
    <cellStyle name="Normal 2 2 2 3 2 3 2 4" xfId="52171"/>
    <cellStyle name="Normal 2 2 2 3 2 3 2 5" xfId="52172"/>
    <cellStyle name="Normal 2 2 2 3 2 3 2 6" xfId="52173"/>
    <cellStyle name="Normal 2 2 2 3 2 3 2 7" xfId="52174"/>
    <cellStyle name="Normal 2 2 2 3 2 3 2 8" xfId="52175"/>
    <cellStyle name="Normal 2 2 2 3 2 3 3" xfId="52176"/>
    <cellStyle name="Normal 2 2 2 3 2 4" xfId="52177"/>
    <cellStyle name="Normal 2 2 2 3 2 4 2" xfId="52178"/>
    <cellStyle name="Normal 2 2 2 3 2 4 3" xfId="52179"/>
    <cellStyle name="Normal 2 2 2 3 2 4 4" xfId="52180"/>
    <cellStyle name="Normal 2 2 2 3 2 4 5" xfId="52181"/>
    <cellStyle name="Normal 2 2 2 3 2 5" xfId="52182"/>
    <cellStyle name="Normal 2 2 2 3 2 6" xfId="52183"/>
    <cellStyle name="Normal 2 2 2 3 2 7" xfId="52184"/>
    <cellStyle name="Normal 2 2 2 3 2 8" xfId="52185"/>
    <cellStyle name="Normal 2 2 2 3 2 9" xfId="52186"/>
    <cellStyle name="Normal 2 2 2 3 3" xfId="52187"/>
    <cellStyle name="Normal 2 2 2 3 3 2" xfId="52188"/>
    <cellStyle name="Normal 2 2 2 3 3 2 2" xfId="52189"/>
    <cellStyle name="Normal 2 2 2 3 3 2 2 2" xfId="52190"/>
    <cellStyle name="Normal 2 2 2 3 3 2 2 2 2" xfId="52191"/>
    <cellStyle name="Normal 2 2 2 3 3 2 2 2 3" xfId="52192"/>
    <cellStyle name="Normal 2 2 2 3 3 2 2 2 4" xfId="52193"/>
    <cellStyle name="Normal 2 2 2 3 3 2 2 2 5" xfId="52194"/>
    <cellStyle name="Normal 2 2 2 3 3 2 2 3" xfId="52195"/>
    <cellStyle name="Normal 2 2 2 3 3 2 2 4" xfId="52196"/>
    <cellStyle name="Normal 2 2 2 3 3 2 2 5" xfId="52197"/>
    <cellStyle name="Normal 2 2 2 3 3 2 2 6" xfId="52198"/>
    <cellStyle name="Normal 2 2 2 3 3 2 2 7" xfId="52199"/>
    <cellStyle name="Normal 2 2 2 3 3 2 2 8" xfId="52200"/>
    <cellStyle name="Normal 2 2 2 3 3 2 3" xfId="52201"/>
    <cellStyle name="Normal 2 2 2 3 3 3" xfId="52202"/>
    <cellStyle name="Normal 2 2 2 3 3 3 2" xfId="52203"/>
    <cellStyle name="Normal 2 2 2 3 3 3 3" xfId="52204"/>
    <cellStyle name="Normal 2 2 2 3 3 3 4" xfId="52205"/>
    <cellStyle name="Normal 2 2 2 3 3 3 5" xfId="52206"/>
    <cellStyle name="Normal 2 2 2 3 3 4" xfId="52207"/>
    <cellStyle name="Normal 2 2 2 3 3 5" xfId="52208"/>
    <cellStyle name="Normal 2 2 2 3 3 6" xfId="52209"/>
    <cellStyle name="Normal 2 2 2 3 3 7" xfId="52210"/>
    <cellStyle name="Normal 2 2 2 3 3 8" xfId="52211"/>
    <cellStyle name="Normal 2 2 2 3 3 9" xfId="52212"/>
    <cellStyle name="Normal 2 2 2 3 4" xfId="52213"/>
    <cellStyle name="Normal 2 2 2 3 4 2" xfId="52214"/>
    <cellStyle name="Normal 2 2 2 3 4 2 2" xfId="52215"/>
    <cellStyle name="Normal 2 2 2 3 4 2 3" xfId="52216"/>
    <cellStyle name="Normal 2 2 2 3 4 2 4" xfId="52217"/>
    <cellStyle name="Normal 2 2 2 3 4 2 5" xfId="52218"/>
    <cellStyle name="Normal 2 2 2 3 4 3" xfId="52219"/>
    <cellStyle name="Normal 2 2 2 3 4 4" xfId="52220"/>
    <cellStyle name="Normal 2 2 2 3 4 5" xfId="52221"/>
    <cellStyle name="Normal 2 2 2 3 4 6" xfId="52222"/>
    <cellStyle name="Normal 2 2 2 3 4 7" xfId="52223"/>
    <cellStyle name="Normal 2 2 2 3 4 8" xfId="52224"/>
    <cellStyle name="Normal 2 2 2 3 5" xfId="52225"/>
    <cellStyle name="Normal 2 2 2 4" xfId="52226"/>
    <cellStyle name="Normal 2 2 2 4 2" xfId="52227"/>
    <cellStyle name="Normal 2 2 2 4 2 2" xfId="52228"/>
    <cellStyle name="Normal 2 2 2 4 2 2 2" xfId="52229"/>
    <cellStyle name="Normal 2 2 2 4 2 2 2 2" xfId="52230"/>
    <cellStyle name="Normal 2 2 2 4 2 2 2 2 2" xfId="52231"/>
    <cellStyle name="Normal 2 2 2 4 2 2 2 2 3" xfId="52232"/>
    <cellStyle name="Normal 2 2 2 4 2 2 2 2 4" xfId="52233"/>
    <cellStyle name="Normal 2 2 2 4 2 2 2 2 5" xfId="52234"/>
    <cellStyle name="Normal 2 2 2 4 2 2 2 3" xfId="52235"/>
    <cellStyle name="Normal 2 2 2 4 2 2 2 4" xfId="52236"/>
    <cellStyle name="Normal 2 2 2 4 2 2 2 5" xfId="52237"/>
    <cellStyle name="Normal 2 2 2 4 2 2 2 6" xfId="52238"/>
    <cellStyle name="Normal 2 2 2 4 2 2 2 7" xfId="52239"/>
    <cellStyle name="Normal 2 2 2 4 2 2 2 8" xfId="52240"/>
    <cellStyle name="Normal 2 2 2 4 2 2 3" xfId="52241"/>
    <cellStyle name="Normal 2 2 2 4 2 3" xfId="52242"/>
    <cellStyle name="Normal 2 2 2 4 2 3 2" xfId="52243"/>
    <cellStyle name="Normal 2 2 2 4 2 3 3" xfId="52244"/>
    <cellStyle name="Normal 2 2 2 4 2 3 4" xfId="52245"/>
    <cellStyle name="Normal 2 2 2 4 2 3 5" xfId="52246"/>
    <cellStyle name="Normal 2 2 2 4 2 4" xfId="52247"/>
    <cellStyle name="Normal 2 2 2 4 2 5" xfId="52248"/>
    <cellStyle name="Normal 2 2 2 4 2 6" xfId="52249"/>
    <cellStyle name="Normal 2 2 2 4 2 7" xfId="52250"/>
    <cellStyle name="Normal 2 2 2 4 2 8" xfId="52251"/>
    <cellStyle name="Normal 2 2 2 4 2 9" xfId="52252"/>
    <cellStyle name="Normal 2 2 2 4 3" xfId="52253"/>
    <cellStyle name="Normal 2 2 2 4 3 2" xfId="52254"/>
    <cellStyle name="Normal 2 2 2 4 3 2 2" xfId="52255"/>
    <cellStyle name="Normal 2 2 2 4 3 2 3" xfId="52256"/>
    <cellStyle name="Normal 2 2 2 4 3 2 4" xfId="52257"/>
    <cellStyle name="Normal 2 2 2 4 3 2 5" xfId="52258"/>
    <cellStyle name="Normal 2 2 2 4 3 3" xfId="52259"/>
    <cellStyle name="Normal 2 2 2 4 3 4" xfId="52260"/>
    <cellStyle name="Normal 2 2 2 4 3 5" xfId="52261"/>
    <cellStyle name="Normal 2 2 2 4 3 6" xfId="52262"/>
    <cellStyle name="Normal 2 2 2 4 3 7" xfId="52263"/>
    <cellStyle name="Normal 2 2 2 4 3 8" xfId="52264"/>
    <cellStyle name="Normal 2 2 2 4 4" xfId="52265"/>
    <cellStyle name="Normal 2 2 2 5" xfId="52266"/>
    <cellStyle name="Normal 2 2 2 5 2" xfId="52267"/>
    <cellStyle name="Normal 2 2 2 5 2 2" xfId="52268"/>
    <cellStyle name="Normal 2 2 2 5 2 2 2" xfId="52269"/>
    <cellStyle name="Normal 2 2 2 5 2 2 3" xfId="52270"/>
    <cellStyle name="Normal 2 2 2 5 2 2 4" xfId="52271"/>
    <cellStyle name="Normal 2 2 2 5 2 2 5" xfId="52272"/>
    <cellStyle name="Normal 2 2 2 5 2 3" xfId="52273"/>
    <cellStyle name="Normal 2 2 2 5 2 4" xfId="52274"/>
    <cellStyle name="Normal 2 2 2 5 2 5" xfId="52275"/>
    <cellStyle name="Normal 2 2 2 5 2 6" xfId="52276"/>
    <cellStyle name="Normal 2 2 2 5 2 7" xfId="52277"/>
    <cellStyle name="Normal 2 2 2 5 2 8" xfId="52278"/>
    <cellStyle name="Normal 2 2 2 5 3" xfId="52279"/>
    <cellStyle name="Normal 2 2 2 6" xfId="52280"/>
    <cellStyle name="Normal 2 2 2 6 2" xfId="52281"/>
    <cellStyle name="Normal 2 2 2 6 3" xfId="52282"/>
    <cellStyle name="Normal 2 2 2 6 4" xfId="52283"/>
    <cellStyle name="Normal 2 2 2 6 5" xfId="52284"/>
    <cellStyle name="Normal 2 2 2 7" xfId="52285"/>
    <cellStyle name="Normal 2 2 2 8" xfId="52286"/>
    <cellStyle name="Normal 2 2 2 9" xfId="52287"/>
    <cellStyle name="Normal 2 2 3" xfId="52288"/>
    <cellStyle name="Normal 2 2 3 2" xfId="52289"/>
    <cellStyle name="Normal 2 2 3 2 2" xfId="52290"/>
    <cellStyle name="Normal 2 2 3 2 3" xfId="52291"/>
    <cellStyle name="Normal 2 2 3 2 4" xfId="52292"/>
    <cellStyle name="Normal 2 2 3 2 5" xfId="52293"/>
    <cellStyle name="Normal 2 2 3 3" xfId="52294"/>
    <cellStyle name="Normal 2 2 3 4" xfId="52295"/>
    <cellStyle name="Normal 2 2 3 5" xfId="52296"/>
    <cellStyle name="Normal 2 2 3 6" xfId="52297"/>
    <cellStyle name="Normal 2 2 3 7" xfId="52298"/>
    <cellStyle name="Normal 2 2 3 8" xfId="52299"/>
    <cellStyle name="Normal 2 2 3 9" xfId="52300"/>
    <cellStyle name="Normal 2 2 4" xfId="52301"/>
    <cellStyle name="Normal 2 2 4 10" xfId="52302"/>
    <cellStyle name="Normal 2 2 4 11" xfId="52303"/>
    <cellStyle name="Normal 2 2 4 12" xfId="52304"/>
    <cellStyle name="Normal 2 2 4 2" xfId="52305"/>
    <cellStyle name="Normal 2 2 4 2 2" xfId="52306"/>
    <cellStyle name="Normal 2 2 4 2 2 10" xfId="52307"/>
    <cellStyle name="Normal 2 2 4 2 2 2" xfId="52308"/>
    <cellStyle name="Normal 2 2 4 2 2 2 2" xfId="52309"/>
    <cellStyle name="Normal 2 2 4 2 2 2 2 2" xfId="52310"/>
    <cellStyle name="Normal 2 2 4 2 2 2 2 2 2" xfId="52311"/>
    <cellStyle name="Normal 2 2 4 2 2 2 2 2 2 2" xfId="52312"/>
    <cellStyle name="Normal 2 2 4 2 2 2 2 2 2 2 2" xfId="52313"/>
    <cellStyle name="Normal 2 2 4 2 2 2 2 2 2 2 3" xfId="52314"/>
    <cellStyle name="Normal 2 2 4 2 2 2 2 2 2 2 4" xfId="52315"/>
    <cellStyle name="Normal 2 2 4 2 2 2 2 2 2 2 5" xfId="52316"/>
    <cellStyle name="Normal 2 2 4 2 2 2 2 2 2 3" xfId="52317"/>
    <cellStyle name="Normal 2 2 4 2 2 2 2 2 2 4" xfId="52318"/>
    <cellStyle name="Normal 2 2 4 2 2 2 2 2 2 5" xfId="52319"/>
    <cellStyle name="Normal 2 2 4 2 2 2 2 2 2 6" xfId="52320"/>
    <cellStyle name="Normal 2 2 4 2 2 2 2 2 2 7" xfId="52321"/>
    <cellStyle name="Normal 2 2 4 2 2 2 2 2 2 8" xfId="52322"/>
    <cellStyle name="Normal 2 2 4 2 2 2 2 2 3" xfId="52323"/>
    <cellStyle name="Normal 2 2 4 2 2 2 2 3" xfId="52324"/>
    <cellStyle name="Normal 2 2 4 2 2 2 2 3 2" xfId="52325"/>
    <cellStyle name="Normal 2 2 4 2 2 2 2 3 3" xfId="52326"/>
    <cellStyle name="Normal 2 2 4 2 2 2 2 3 4" xfId="52327"/>
    <cellStyle name="Normal 2 2 4 2 2 2 2 3 5" xfId="52328"/>
    <cellStyle name="Normal 2 2 4 2 2 2 2 4" xfId="52329"/>
    <cellStyle name="Normal 2 2 4 2 2 2 2 5" xfId="52330"/>
    <cellStyle name="Normal 2 2 4 2 2 2 2 6" xfId="52331"/>
    <cellStyle name="Normal 2 2 4 2 2 2 2 7" xfId="52332"/>
    <cellStyle name="Normal 2 2 4 2 2 2 2 8" xfId="52333"/>
    <cellStyle name="Normal 2 2 4 2 2 2 2 9" xfId="52334"/>
    <cellStyle name="Normal 2 2 4 2 2 2 3" xfId="52335"/>
    <cellStyle name="Normal 2 2 4 2 2 2 3 2" xfId="52336"/>
    <cellStyle name="Normal 2 2 4 2 2 2 3 2 2" xfId="52337"/>
    <cellStyle name="Normal 2 2 4 2 2 2 3 2 3" xfId="52338"/>
    <cellStyle name="Normal 2 2 4 2 2 2 3 2 4" xfId="52339"/>
    <cellStyle name="Normal 2 2 4 2 2 2 3 2 5" xfId="52340"/>
    <cellStyle name="Normal 2 2 4 2 2 2 3 3" xfId="52341"/>
    <cellStyle name="Normal 2 2 4 2 2 2 3 4" xfId="52342"/>
    <cellStyle name="Normal 2 2 4 2 2 2 3 5" xfId="52343"/>
    <cellStyle name="Normal 2 2 4 2 2 2 3 6" xfId="52344"/>
    <cellStyle name="Normal 2 2 4 2 2 2 3 7" xfId="52345"/>
    <cellStyle name="Normal 2 2 4 2 2 2 3 8" xfId="52346"/>
    <cellStyle name="Normal 2 2 4 2 2 2 4" xfId="52347"/>
    <cellStyle name="Normal 2 2 4 2 2 3" xfId="52348"/>
    <cellStyle name="Normal 2 2 4 2 2 3 2" xfId="52349"/>
    <cellStyle name="Normal 2 2 4 2 2 3 2 2" xfId="52350"/>
    <cellStyle name="Normal 2 2 4 2 2 3 2 2 2" xfId="52351"/>
    <cellStyle name="Normal 2 2 4 2 2 3 2 2 3" xfId="52352"/>
    <cellStyle name="Normal 2 2 4 2 2 3 2 2 4" xfId="52353"/>
    <cellStyle name="Normal 2 2 4 2 2 3 2 2 5" xfId="52354"/>
    <cellStyle name="Normal 2 2 4 2 2 3 2 3" xfId="52355"/>
    <cellStyle name="Normal 2 2 4 2 2 3 2 4" xfId="52356"/>
    <cellStyle name="Normal 2 2 4 2 2 3 2 5" xfId="52357"/>
    <cellStyle name="Normal 2 2 4 2 2 3 2 6" xfId="52358"/>
    <cellStyle name="Normal 2 2 4 2 2 3 2 7" xfId="52359"/>
    <cellStyle name="Normal 2 2 4 2 2 3 2 8" xfId="52360"/>
    <cellStyle name="Normal 2 2 4 2 2 3 3" xfId="52361"/>
    <cellStyle name="Normal 2 2 4 2 2 4" xfId="52362"/>
    <cellStyle name="Normal 2 2 4 2 2 4 2" xfId="52363"/>
    <cellStyle name="Normal 2 2 4 2 2 4 3" xfId="52364"/>
    <cellStyle name="Normal 2 2 4 2 2 4 4" xfId="52365"/>
    <cellStyle name="Normal 2 2 4 2 2 4 5" xfId="52366"/>
    <cellStyle name="Normal 2 2 4 2 2 5" xfId="52367"/>
    <cellStyle name="Normal 2 2 4 2 2 6" xfId="52368"/>
    <cellStyle name="Normal 2 2 4 2 2 7" xfId="52369"/>
    <cellStyle name="Normal 2 2 4 2 2 8" xfId="52370"/>
    <cellStyle name="Normal 2 2 4 2 2 9" xfId="52371"/>
    <cellStyle name="Normal 2 2 4 2 3" xfId="52372"/>
    <cellStyle name="Normal 2 2 4 2 3 2" xfId="52373"/>
    <cellStyle name="Normal 2 2 4 2 3 2 2" xfId="52374"/>
    <cellStyle name="Normal 2 2 4 2 3 2 2 2" xfId="52375"/>
    <cellStyle name="Normal 2 2 4 2 3 2 2 2 2" xfId="52376"/>
    <cellStyle name="Normal 2 2 4 2 3 2 2 2 3" xfId="52377"/>
    <cellStyle name="Normal 2 2 4 2 3 2 2 2 4" xfId="52378"/>
    <cellStyle name="Normal 2 2 4 2 3 2 2 2 5" xfId="52379"/>
    <cellStyle name="Normal 2 2 4 2 3 2 2 3" xfId="52380"/>
    <cellStyle name="Normal 2 2 4 2 3 2 2 4" xfId="52381"/>
    <cellStyle name="Normal 2 2 4 2 3 2 2 5" xfId="52382"/>
    <cellStyle name="Normal 2 2 4 2 3 2 2 6" xfId="52383"/>
    <cellStyle name="Normal 2 2 4 2 3 2 2 7" xfId="52384"/>
    <cellStyle name="Normal 2 2 4 2 3 2 2 8" xfId="52385"/>
    <cellStyle name="Normal 2 2 4 2 3 2 3" xfId="52386"/>
    <cellStyle name="Normal 2 2 4 2 3 3" xfId="52387"/>
    <cellStyle name="Normal 2 2 4 2 3 3 2" xfId="52388"/>
    <cellStyle name="Normal 2 2 4 2 3 3 3" xfId="52389"/>
    <cellStyle name="Normal 2 2 4 2 3 3 4" xfId="52390"/>
    <cellStyle name="Normal 2 2 4 2 3 3 5" xfId="52391"/>
    <cellStyle name="Normal 2 2 4 2 3 4" xfId="52392"/>
    <cellStyle name="Normal 2 2 4 2 3 5" xfId="52393"/>
    <cellStyle name="Normal 2 2 4 2 3 6" xfId="52394"/>
    <cellStyle name="Normal 2 2 4 2 3 7" xfId="52395"/>
    <cellStyle name="Normal 2 2 4 2 3 8" xfId="52396"/>
    <cellStyle name="Normal 2 2 4 2 3 9" xfId="52397"/>
    <cellStyle name="Normal 2 2 4 2 4" xfId="52398"/>
    <cellStyle name="Normal 2 2 4 2 4 2" xfId="52399"/>
    <cellStyle name="Normal 2 2 4 2 4 2 2" xfId="52400"/>
    <cellStyle name="Normal 2 2 4 2 4 2 3" xfId="52401"/>
    <cellStyle name="Normal 2 2 4 2 4 2 4" xfId="52402"/>
    <cellStyle name="Normal 2 2 4 2 4 2 5" xfId="52403"/>
    <cellStyle name="Normal 2 2 4 2 4 3" xfId="52404"/>
    <cellStyle name="Normal 2 2 4 2 4 4" xfId="52405"/>
    <cellStyle name="Normal 2 2 4 2 4 5" xfId="52406"/>
    <cellStyle name="Normal 2 2 4 2 4 6" xfId="52407"/>
    <cellStyle name="Normal 2 2 4 2 4 7" xfId="52408"/>
    <cellStyle name="Normal 2 2 4 2 4 8" xfId="52409"/>
    <cellStyle name="Normal 2 2 4 2 5" xfId="52410"/>
    <cellStyle name="Normal 2 2 4 3" xfId="52411"/>
    <cellStyle name="Normal 2 2 4 3 2" xfId="52412"/>
    <cellStyle name="Normal 2 2 4 3 2 2" xfId="52413"/>
    <cellStyle name="Normal 2 2 4 3 2 2 2" xfId="52414"/>
    <cellStyle name="Normal 2 2 4 3 2 2 2 2" xfId="52415"/>
    <cellStyle name="Normal 2 2 4 3 2 2 2 2 2" xfId="52416"/>
    <cellStyle name="Normal 2 2 4 3 2 2 2 2 3" xfId="52417"/>
    <cellStyle name="Normal 2 2 4 3 2 2 2 2 4" xfId="52418"/>
    <cellStyle name="Normal 2 2 4 3 2 2 2 2 5" xfId="52419"/>
    <cellStyle name="Normal 2 2 4 3 2 2 2 3" xfId="52420"/>
    <cellStyle name="Normal 2 2 4 3 2 2 2 4" xfId="52421"/>
    <cellStyle name="Normal 2 2 4 3 2 2 2 5" xfId="52422"/>
    <cellStyle name="Normal 2 2 4 3 2 2 2 6" xfId="52423"/>
    <cellStyle name="Normal 2 2 4 3 2 2 2 7" xfId="52424"/>
    <cellStyle name="Normal 2 2 4 3 2 2 2 8" xfId="52425"/>
    <cellStyle name="Normal 2 2 4 3 2 2 3" xfId="52426"/>
    <cellStyle name="Normal 2 2 4 3 2 3" xfId="52427"/>
    <cellStyle name="Normal 2 2 4 3 2 3 2" xfId="52428"/>
    <cellStyle name="Normal 2 2 4 3 2 3 3" xfId="52429"/>
    <cellStyle name="Normal 2 2 4 3 2 3 4" xfId="52430"/>
    <cellStyle name="Normal 2 2 4 3 2 3 5" xfId="52431"/>
    <cellStyle name="Normal 2 2 4 3 2 4" xfId="52432"/>
    <cellStyle name="Normal 2 2 4 3 2 5" xfId="52433"/>
    <cellStyle name="Normal 2 2 4 3 2 6" xfId="52434"/>
    <cellStyle name="Normal 2 2 4 3 2 7" xfId="52435"/>
    <cellStyle name="Normal 2 2 4 3 2 8" xfId="52436"/>
    <cellStyle name="Normal 2 2 4 3 2 9" xfId="52437"/>
    <cellStyle name="Normal 2 2 4 3 3" xfId="52438"/>
    <cellStyle name="Normal 2 2 4 3 3 2" xfId="52439"/>
    <cellStyle name="Normal 2 2 4 3 3 2 2" xfId="52440"/>
    <cellStyle name="Normal 2 2 4 3 3 2 3" xfId="52441"/>
    <cellStyle name="Normal 2 2 4 3 3 2 4" xfId="52442"/>
    <cellStyle name="Normal 2 2 4 3 3 2 5" xfId="52443"/>
    <cellStyle name="Normal 2 2 4 3 3 3" xfId="52444"/>
    <cellStyle name="Normal 2 2 4 3 3 4" xfId="52445"/>
    <cellStyle name="Normal 2 2 4 3 3 5" xfId="52446"/>
    <cellStyle name="Normal 2 2 4 3 3 6" xfId="52447"/>
    <cellStyle name="Normal 2 2 4 3 3 7" xfId="52448"/>
    <cellStyle name="Normal 2 2 4 3 3 8" xfId="52449"/>
    <cellStyle name="Normal 2 2 4 3 4" xfId="52450"/>
    <cellStyle name="Normal 2 2 4 4" xfId="52451"/>
    <cellStyle name="Normal 2 2 4 4 2" xfId="52452"/>
    <cellStyle name="Normal 2 2 4 4 2 2" xfId="52453"/>
    <cellStyle name="Normal 2 2 4 4 2 2 2" xfId="52454"/>
    <cellStyle name="Normal 2 2 4 4 2 2 3" xfId="52455"/>
    <cellStyle name="Normal 2 2 4 4 2 2 4" xfId="52456"/>
    <cellStyle name="Normal 2 2 4 4 2 2 5" xfId="52457"/>
    <cellStyle name="Normal 2 2 4 4 2 3" xfId="52458"/>
    <cellStyle name="Normal 2 2 4 4 2 4" xfId="52459"/>
    <cellStyle name="Normal 2 2 4 4 2 5" xfId="52460"/>
    <cellStyle name="Normal 2 2 4 4 2 6" xfId="52461"/>
    <cellStyle name="Normal 2 2 4 4 2 7" xfId="52462"/>
    <cellStyle name="Normal 2 2 4 4 2 8" xfId="52463"/>
    <cellStyle name="Normal 2 2 4 4 3" xfId="52464"/>
    <cellStyle name="Normal 2 2 4 5" xfId="52465"/>
    <cellStyle name="Normal 2 2 4 5 2" xfId="52466"/>
    <cellStyle name="Normal 2 2 4 5 3" xfId="52467"/>
    <cellStyle name="Normal 2 2 4 5 4" xfId="52468"/>
    <cellStyle name="Normal 2 2 4 5 5" xfId="52469"/>
    <cellStyle name="Normal 2 2 4 6" xfId="52470"/>
    <cellStyle name="Normal 2 2 4 7" xfId="52471"/>
    <cellStyle name="Normal 2 2 4 8" xfId="52472"/>
    <cellStyle name="Normal 2 2 4 9" xfId="52473"/>
    <cellStyle name="Normal 2 2 5" xfId="52474"/>
    <cellStyle name="Normal 2 2 5 10" xfId="52475"/>
    <cellStyle name="Normal 2 2 5 2" xfId="52476"/>
    <cellStyle name="Normal 2 2 5 2 2" xfId="52477"/>
    <cellStyle name="Normal 2 2 5 2 2 2" xfId="52478"/>
    <cellStyle name="Normal 2 2 5 2 2 2 2" xfId="52479"/>
    <cellStyle name="Normal 2 2 5 2 2 2 2 2" xfId="52480"/>
    <cellStyle name="Normal 2 2 5 2 2 2 2 2 2" xfId="52481"/>
    <cellStyle name="Normal 2 2 5 2 2 2 2 2 3" xfId="52482"/>
    <cellStyle name="Normal 2 2 5 2 2 2 2 2 4" xfId="52483"/>
    <cellStyle name="Normal 2 2 5 2 2 2 2 2 5" xfId="52484"/>
    <cellStyle name="Normal 2 2 5 2 2 2 2 3" xfId="52485"/>
    <cellStyle name="Normal 2 2 5 2 2 2 2 4" xfId="52486"/>
    <cellStyle name="Normal 2 2 5 2 2 2 2 5" xfId="52487"/>
    <cellStyle name="Normal 2 2 5 2 2 2 2 6" xfId="52488"/>
    <cellStyle name="Normal 2 2 5 2 2 2 2 7" xfId="52489"/>
    <cellStyle name="Normal 2 2 5 2 2 2 2 8" xfId="52490"/>
    <cellStyle name="Normal 2 2 5 2 2 2 3" xfId="52491"/>
    <cellStyle name="Normal 2 2 5 2 2 3" xfId="52492"/>
    <cellStyle name="Normal 2 2 5 2 2 3 2" xfId="52493"/>
    <cellStyle name="Normal 2 2 5 2 2 3 3" xfId="52494"/>
    <cellStyle name="Normal 2 2 5 2 2 3 4" xfId="52495"/>
    <cellStyle name="Normal 2 2 5 2 2 3 5" xfId="52496"/>
    <cellStyle name="Normal 2 2 5 2 2 4" xfId="52497"/>
    <cellStyle name="Normal 2 2 5 2 2 5" xfId="52498"/>
    <cellStyle name="Normal 2 2 5 2 2 6" xfId="52499"/>
    <cellStyle name="Normal 2 2 5 2 2 7" xfId="52500"/>
    <cellStyle name="Normal 2 2 5 2 2 8" xfId="52501"/>
    <cellStyle name="Normal 2 2 5 2 2 9" xfId="52502"/>
    <cellStyle name="Normal 2 2 5 2 3" xfId="52503"/>
    <cellStyle name="Normal 2 2 5 2 3 2" xfId="52504"/>
    <cellStyle name="Normal 2 2 5 2 3 2 2" xfId="52505"/>
    <cellStyle name="Normal 2 2 5 2 3 2 3" xfId="52506"/>
    <cellStyle name="Normal 2 2 5 2 3 2 4" xfId="52507"/>
    <cellStyle name="Normal 2 2 5 2 3 2 5" xfId="52508"/>
    <cellStyle name="Normal 2 2 5 2 3 3" xfId="52509"/>
    <cellStyle name="Normal 2 2 5 2 3 4" xfId="52510"/>
    <cellStyle name="Normal 2 2 5 2 3 5" xfId="52511"/>
    <cellStyle name="Normal 2 2 5 2 3 6" xfId="52512"/>
    <cellStyle name="Normal 2 2 5 2 3 7" xfId="52513"/>
    <cellStyle name="Normal 2 2 5 2 3 8" xfId="52514"/>
    <cellStyle name="Normal 2 2 5 2 4" xfId="52515"/>
    <cellStyle name="Normal 2 2 5 3" xfId="52516"/>
    <cellStyle name="Normal 2 2 5 3 2" xfId="52517"/>
    <cellStyle name="Normal 2 2 5 3 2 2" xfId="52518"/>
    <cellStyle name="Normal 2 2 5 3 2 2 2" xfId="52519"/>
    <cellStyle name="Normal 2 2 5 3 2 2 3" xfId="52520"/>
    <cellStyle name="Normal 2 2 5 3 2 2 4" xfId="52521"/>
    <cellStyle name="Normal 2 2 5 3 2 2 5" xfId="52522"/>
    <cellStyle name="Normal 2 2 5 3 2 3" xfId="52523"/>
    <cellStyle name="Normal 2 2 5 3 2 4" xfId="52524"/>
    <cellStyle name="Normal 2 2 5 3 2 5" xfId="52525"/>
    <cellStyle name="Normal 2 2 5 3 2 6" xfId="52526"/>
    <cellStyle name="Normal 2 2 5 3 2 7" xfId="52527"/>
    <cellStyle name="Normal 2 2 5 3 2 8" xfId="52528"/>
    <cellStyle name="Normal 2 2 5 3 3" xfId="52529"/>
    <cellStyle name="Normal 2 2 5 4" xfId="52530"/>
    <cellStyle name="Normal 2 2 5 4 2" xfId="52531"/>
    <cellStyle name="Normal 2 2 5 4 3" xfId="52532"/>
    <cellStyle name="Normal 2 2 5 4 4" xfId="52533"/>
    <cellStyle name="Normal 2 2 5 4 5" xfId="52534"/>
    <cellStyle name="Normal 2 2 5 5" xfId="52535"/>
    <cellStyle name="Normal 2 2 5 6" xfId="52536"/>
    <cellStyle name="Normal 2 2 5 7" xfId="52537"/>
    <cellStyle name="Normal 2 2 5 8" xfId="52538"/>
    <cellStyle name="Normal 2 2 5 9" xfId="52539"/>
    <cellStyle name="Normal 2 2 6" xfId="52540"/>
    <cellStyle name="Normal 2 2 6 2" xfId="52541"/>
    <cellStyle name="Normal 2 2 6 2 2" xfId="52542"/>
    <cellStyle name="Normal 2 2 6 2 2 2" xfId="52543"/>
    <cellStyle name="Normal 2 2 6 2 2 2 2" xfId="52544"/>
    <cellStyle name="Normal 2 2 6 2 2 2 3" xfId="52545"/>
    <cellStyle name="Normal 2 2 6 2 2 2 4" xfId="52546"/>
    <cellStyle name="Normal 2 2 6 2 2 2 5" xfId="52547"/>
    <cellStyle name="Normal 2 2 6 2 2 3" xfId="52548"/>
    <cellStyle name="Normal 2 2 6 2 2 4" xfId="52549"/>
    <cellStyle name="Normal 2 2 6 2 2 5" xfId="52550"/>
    <cellStyle name="Normal 2 2 6 2 2 6" xfId="52551"/>
    <cellStyle name="Normal 2 2 6 2 2 7" xfId="52552"/>
    <cellStyle name="Normal 2 2 6 2 2 8" xfId="52553"/>
    <cellStyle name="Normal 2 2 6 2 3" xfId="52554"/>
    <cellStyle name="Normal 2 2 6 3" xfId="52555"/>
    <cellStyle name="Normal 2 2 6 3 2" xfId="52556"/>
    <cellStyle name="Normal 2 2 6 3 3" xfId="52557"/>
    <cellStyle name="Normal 2 2 6 3 4" xfId="52558"/>
    <cellStyle name="Normal 2 2 6 3 5" xfId="52559"/>
    <cellStyle name="Normal 2 2 6 4" xfId="52560"/>
    <cellStyle name="Normal 2 2 6 5" xfId="52561"/>
    <cellStyle name="Normal 2 2 6 6" xfId="52562"/>
    <cellStyle name="Normal 2 2 6 7" xfId="52563"/>
    <cellStyle name="Normal 2 2 6 8" xfId="52564"/>
    <cellStyle name="Normal 2 2 6 9" xfId="52565"/>
    <cellStyle name="Normal 2 2 7" xfId="52566"/>
    <cellStyle name="Normal 2 2 7 2" xfId="52567"/>
    <cellStyle name="Normal 2 2 7 2 2" xfId="52568"/>
    <cellStyle name="Normal 2 2 7 2 3" xfId="52569"/>
    <cellStyle name="Normal 2 2 7 2 4" xfId="52570"/>
    <cellStyle name="Normal 2 2 7 2 5" xfId="52571"/>
    <cellStyle name="Normal 2 2 7 3" xfId="52572"/>
    <cellStyle name="Normal 2 2 7 4" xfId="52573"/>
    <cellStyle name="Normal 2 2 7 5" xfId="52574"/>
    <cellStyle name="Normal 2 2 7 6" xfId="52575"/>
    <cellStyle name="Normal 2 2 7 7" xfId="52576"/>
    <cellStyle name="Normal 2 2 7 8" xfId="52577"/>
    <cellStyle name="Normal 2 2 8" xfId="52578"/>
    <cellStyle name="Normal 2 2 9" xfId="52579"/>
    <cellStyle name="Normal 2 2_FY 11 Clin 0002 Summary" xfId="52580"/>
    <cellStyle name="Normal 2 20" xfId="52581"/>
    <cellStyle name="Normal 2 21" xfId="52582"/>
    <cellStyle name="Normal 2 3" xfId="52583"/>
    <cellStyle name="Normal 2 3 2" xfId="52584"/>
    <cellStyle name="Normal 2 3 2 2" xfId="52585"/>
    <cellStyle name="Normal 2 3 2 2 2" xfId="52586"/>
    <cellStyle name="Normal 2 3 2 2 3" xfId="52587"/>
    <cellStyle name="Normal 2 3 2 2 3 2" xfId="52588"/>
    <cellStyle name="Normal 2 3 2 2 3 3" xfId="52589"/>
    <cellStyle name="Normal 2 3 2 3" xfId="52590"/>
    <cellStyle name="Normal 2 3 2 3 2" xfId="52591"/>
    <cellStyle name="Normal 2 3 2 3 2 2" xfId="52592"/>
    <cellStyle name="Normal 2 3 2 3 2 3" xfId="52593"/>
    <cellStyle name="Normal 2 3 2 3 3" xfId="52594"/>
    <cellStyle name="Normal 2 3 2 4" xfId="52595"/>
    <cellStyle name="Normal 2 3 2 4 2" xfId="52596"/>
    <cellStyle name="Normal 2 3 2 4 3" xfId="52597"/>
    <cellStyle name="Normal 2 3 2 5" xfId="52598"/>
    <cellStyle name="Normal 2 3 3" xfId="52599"/>
    <cellStyle name="Normal 2 3 3 2" xfId="52600"/>
    <cellStyle name="Normal 2 3 3 3" xfId="52601"/>
    <cellStyle name="Normal 2 3 4" xfId="52602"/>
    <cellStyle name="Normal 2 3 4 2" xfId="52603"/>
    <cellStyle name="Normal 2 3 4 3" xfId="52604"/>
    <cellStyle name="Normal 2 3 5" xfId="52605"/>
    <cellStyle name="Normal 2 3 6" xfId="52606"/>
    <cellStyle name="Normal 2 3 6 2" xfId="52607"/>
    <cellStyle name="Normal 2 3 6 3" xfId="52608"/>
    <cellStyle name="Normal 2 4" xfId="52609"/>
    <cellStyle name="Normal 2 4 2" xfId="52610"/>
    <cellStyle name="Normal 2 4 2 10" xfId="52611"/>
    <cellStyle name="Normal 2 4 2 11" xfId="52612"/>
    <cellStyle name="Normal 2 4 2 2" xfId="52613"/>
    <cellStyle name="Normal 2 4 2 2 2" xfId="52614"/>
    <cellStyle name="Normal 2 4 2 2 2 10" xfId="52615"/>
    <cellStyle name="Normal 2 4 2 2 2 2" xfId="52616"/>
    <cellStyle name="Normal 2 4 2 2 2 2 2" xfId="52617"/>
    <cellStyle name="Normal 2 4 2 2 2 2 2 2" xfId="52618"/>
    <cellStyle name="Normal 2 4 2 2 2 2 2 2 2" xfId="52619"/>
    <cellStyle name="Normal 2 4 2 2 2 2 2 3" xfId="52620"/>
    <cellStyle name="Normal 2 4 2 2 2 2 2 3 2" xfId="52621"/>
    <cellStyle name="Normal 2 4 2 2 2 2 2 3 3" xfId="52622"/>
    <cellStyle name="Normal 2 4 2 2 2 2 2 3 4" xfId="52623"/>
    <cellStyle name="Normal 2 4 2 2 2 2 2 3 5" xfId="52624"/>
    <cellStyle name="Normal 2 4 2 2 2 2 2 4" xfId="52625"/>
    <cellStyle name="Normal 2 4 2 2 2 2 2 5" xfId="52626"/>
    <cellStyle name="Normal 2 4 2 2 2 2 2 6" xfId="52627"/>
    <cellStyle name="Normal 2 4 2 2 2 2 2 7" xfId="52628"/>
    <cellStyle name="Normal 2 4 2 2 2 2 2 8" xfId="52629"/>
    <cellStyle name="Normal 2 4 2 2 2 2 2 9" xfId="52630"/>
    <cellStyle name="Normal 2 4 2 2 2 2 3" xfId="52631"/>
    <cellStyle name="Normal 2 4 2 2 2 3" xfId="52632"/>
    <cellStyle name="Normal 2 4 2 2 2 3 2" xfId="52633"/>
    <cellStyle name="Normal 2 4 2 2 2 4" xfId="52634"/>
    <cellStyle name="Normal 2 4 2 2 2 4 2" xfId="52635"/>
    <cellStyle name="Normal 2 4 2 2 2 4 3" xfId="52636"/>
    <cellStyle name="Normal 2 4 2 2 2 4 4" xfId="52637"/>
    <cellStyle name="Normal 2 4 2 2 2 4 5" xfId="52638"/>
    <cellStyle name="Normal 2 4 2 2 2 5" xfId="52639"/>
    <cellStyle name="Normal 2 4 2 2 2 6" xfId="52640"/>
    <cellStyle name="Normal 2 4 2 2 2 7" xfId="52641"/>
    <cellStyle name="Normal 2 4 2 2 2 8" xfId="52642"/>
    <cellStyle name="Normal 2 4 2 2 2 9" xfId="52643"/>
    <cellStyle name="Normal 2 4 2 2 3" xfId="52644"/>
    <cellStyle name="Normal 2 4 2 2 3 2" xfId="52645"/>
    <cellStyle name="Normal 2 4 2 2 3 2 2" xfId="52646"/>
    <cellStyle name="Normal 2 4 2 2 3 3" xfId="52647"/>
    <cellStyle name="Normal 2 4 2 2 3 3 2" xfId="52648"/>
    <cellStyle name="Normal 2 4 2 2 3 3 3" xfId="52649"/>
    <cellStyle name="Normal 2 4 2 2 3 3 4" xfId="52650"/>
    <cellStyle name="Normal 2 4 2 2 3 3 5" xfId="52651"/>
    <cellStyle name="Normal 2 4 2 2 3 4" xfId="52652"/>
    <cellStyle name="Normal 2 4 2 2 3 5" xfId="52653"/>
    <cellStyle name="Normal 2 4 2 2 3 6" xfId="52654"/>
    <cellStyle name="Normal 2 4 2 2 3 7" xfId="52655"/>
    <cellStyle name="Normal 2 4 2 2 3 8" xfId="52656"/>
    <cellStyle name="Normal 2 4 2 2 3 9" xfId="52657"/>
    <cellStyle name="Normal 2 4 2 2 4" xfId="52658"/>
    <cellStyle name="Normal 2 4 2 3" xfId="52659"/>
    <cellStyle name="Normal 2 4 2 3 2" xfId="52660"/>
    <cellStyle name="Normal 2 4 2 3 2 2" xfId="52661"/>
    <cellStyle name="Normal 2 4 2 3 2 2 2" xfId="52662"/>
    <cellStyle name="Normal 2 4 2 3 2 3" xfId="52663"/>
    <cellStyle name="Normal 2 4 2 3 2 3 2" xfId="52664"/>
    <cellStyle name="Normal 2 4 2 3 2 3 3" xfId="52665"/>
    <cellStyle name="Normal 2 4 2 3 2 3 4" xfId="52666"/>
    <cellStyle name="Normal 2 4 2 3 2 3 5" xfId="52667"/>
    <cellStyle name="Normal 2 4 2 3 2 4" xfId="52668"/>
    <cellStyle name="Normal 2 4 2 3 2 5" xfId="52669"/>
    <cellStyle name="Normal 2 4 2 3 2 6" xfId="52670"/>
    <cellStyle name="Normal 2 4 2 3 2 7" xfId="52671"/>
    <cellStyle name="Normal 2 4 2 3 2 8" xfId="52672"/>
    <cellStyle name="Normal 2 4 2 3 2 9" xfId="52673"/>
    <cellStyle name="Normal 2 4 2 3 3" xfId="52674"/>
    <cellStyle name="Normal 2 4 2 4" xfId="52675"/>
    <cellStyle name="Normal 2 4 2 4 2" xfId="52676"/>
    <cellStyle name="Normal 2 4 2 5" xfId="52677"/>
    <cellStyle name="Normal 2 4 2 5 2" xfId="52678"/>
    <cellStyle name="Normal 2 4 2 5 3" xfId="52679"/>
    <cellStyle name="Normal 2 4 2 5 4" xfId="52680"/>
    <cellStyle name="Normal 2 4 2 5 5" xfId="52681"/>
    <cellStyle name="Normal 2 4 2 6" xfId="52682"/>
    <cellStyle name="Normal 2 4 2 7" xfId="52683"/>
    <cellStyle name="Normal 2 4 2 8" xfId="52684"/>
    <cellStyle name="Normal 2 4 2 9" xfId="52685"/>
    <cellStyle name="Normal 2 4 3" xfId="52686"/>
    <cellStyle name="Normal 2 4 3 10" xfId="52687"/>
    <cellStyle name="Normal 2 4 3 2" xfId="52688"/>
    <cellStyle name="Normal 2 4 3 2 2" xfId="52689"/>
    <cellStyle name="Normal 2 4 3 2 2 2" xfId="52690"/>
    <cellStyle name="Normal 2 4 3 2 2 2 2" xfId="52691"/>
    <cellStyle name="Normal 2 4 3 2 2 3" xfId="52692"/>
    <cellStyle name="Normal 2 4 3 2 2 3 2" xfId="52693"/>
    <cellStyle name="Normal 2 4 3 2 2 3 3" xfId="52694"/>
    <cellStyle name="Normal 2 4 3 2 2 3 4" xfId="52695"/>
    <cellStyle name="Normal 2 4 3 2 2 3 5" xfId="52696"/>
    <cellStyle name="Normal 2 4 3 2 2 4" xfId="52697"/>
    <cellStyle name="Normal 2 4 3 2 2 5" xfId="52698"/>
    <cellStyle name="Normal 2 4 3 2 2 6" xfId="52699"/>
    <cellStyle name="Normal 2 4 3 2 2 7" xfId="52700"/>
    <cellStyle name="Normal 2 4 3 2 2 8" xfId="52701"/>
    <cellStyle name="Normal 2 4 3 2 2 9" xfId="52702"/>
    <cellStyle name="Normal 2 4 3 2 3" xfId="52703"/>
    <cellStyle name="Normal 2 4 3 3" xfId="52704"/>
    <cellStyle name="Normal 2 4 3 3 2" xfId="52705"/>
    <cellStyle name="Normal 2 4 3 4" xfId="52706"/>
    <cellStyle name="Normal 2 4 3 4 2" xfId="52707"/>
    <cellStyle name="Normal 2 4 3 4 3" xfId="52708"/>
    <cellStyle name="Normal 2 4 3 4 4" xfId="52709"/>
    <cellStyle name="Normal 2 4 3 4 5" xfId="52710"/>
    <cellStyle name="Normal 2 4 3 5" xfId="52711"/>
    <cellStyle name="Normal 2 4 3 6" xfId="52712"/>
    <cellStyle name="Normal 2 4 3 7" xfId="52713"/>
    <cellStyle name="Normal 2 4 3 8" xfId="52714"/>
    <cellStyle name="Normal 2 4 3 9" xfId="52715"/>
    <cellStyle name="Normal 2 4 4" xfId="52716"/>
    <cellStyle name="Normal 2 4 4 2" xfId="52717"/>
    <cellStyle name="Normal 2 4 4 2 2" xfId="52718"/>
    <cellStyle name="Normal 2 4 4 3" xfId="52719"/>
    <cellStyle name="Normal 2 4 4 3 2" xfId="52720"/>
    <cellStyle name="Normal 2 4 4 3 3" xfId="52721"/>
    <cellStyle name="Normal 2 4 4 3 4" xfId="52722"/>
    <cellStyle name="Normal 2 4 4 3 5" xfId="52723"/>
    <cellStyle name="Normal 2 4 4 4" xfId="52724"/>
    <cellStyle name="Normal 2 4 4 5" xfId="52725"/>
    <cellStyle name="Normal 2 4 4 6" xfId="52726"/>
    <cellStyle name="Normal 2 4 4 7" xfId="52727"/>
    <cellStyle name="Normal 2 4 4 8" xfId="52728"/>
    <cellStyle name="Normal 2 4 4 9" xfId="52729"/>
    <cellStyle name="Normal 2 4 5" xfId="52730"/>
    <cellStyle name="Normal 2 5" xfId="52731"/>
    <cellStyle name="Normal 2 5 2" xfId="52732"/>
    <cellStyle name="Normal 2 5 2 10" xfId="52733"/>
    <cellStyle name="Normal 2 5 2 2" xfId="52734"/>
    <cellStyle name="Normal 2 5 2 2 2" xfId="52735"/>
    <cellStyle name="Normal 2 5 2 2 2 2" xfId="52736"/>
    <cellStyle name="Normal 2 5 2 2 2 2 2" xfId="52737"/>
    <cellStyle name="Normal 2 5 2 2 2 3" xfId="52738"/>
    <cellStyle name="Normal 2 5 2 2 2 3 2" xfId="52739"/>
    <cellStyle name="Normal 2 5 2 2 2 3 3" xfId="52740"/>
    <cellStyle name="Normal 2 5 2 2 2 3 4" xfId="52741"/>
    <cellStyle name="Normal 2 5 2 2 2 3 5" xfId="52742"/>
    <cellStyle name="Normal 2 5 2 2 2 4" xfId="52743"/>
    <cellStyle name="Normal 2 5 2 2 2 5" xfId="52744"/>
    <cellStyle name="Normal 2 5 2 2 2 6" xfId="52745"/>
    <cellStyle name="Normal 2 5 2 2 2 7" xfId="52746"/>
    <cellStyle name="Normal 2 5 2 2 2 8" xfId="52747"/>
    <cellStyle name="Normal 2 5 2 2 2 9" xfId="52748"/>
    <cellStyle name="Normal 2 5 2 2 3" xfId="52749"/>
    <cellStyle name="Normal 2 5 2 3" xfId="52750"/>
    <cellStyle name="Normal 2 5 2 3 2" xfId="52751"/>
    <cellStyle name="Normal 2 5 2 3 4" xfId="52752"/>
    <cellStyle name="Normal 2 5 2 4" xfId="52753"/>
    <cellStyle name="Normal 2 5 2 4 2" xfId="52754"/>
    <cellStyle name="Normal 2 5 2 4 3" xfId="52755"/>
    <cellStyle name="Normal 2 5 2 4 4" xfId="52756"/>
    <cellStyle name="Normal 2 5 2 4 5" xfId="52757"/>
    <cellStyle name="Normal 2 5 2 5" xfId="52758"/>
    <cellStyle name="Normal 2 5 2 6" xfId="52759"/>
    <cellStyle name="Normal 2 5 2 7" xfId="52760"/>
    <cellStyle name="Normal 2 5 2 8" xfId="52761"/>
    <cellStyle name="Normal 2 5 2 9" xfId="52762"/>
    <cellStyle name="Normal 2 5 3" xfId="52763"/>
    <cellStyle name="Normal 2 5 3 2" xfId="52764"/>
    <cellStyle name="Normal 2 5 3 2 2" xfId="52765"/>
    <cellStyle name="Normal 2 5 3 3" xfId="52766"/>
    <cellStyle name="Normal 2 5 3 3 2" xfId="52767"/>
    <cellStyle name="Normal 2 5 3 3 3" xfId="52768"/>
    <cellStyle name="Normal 2 5 3 3 4" xfId="52769"/>
    <cellStyle name="Normal 2 5 3 3 5" xfId="52770"/>
    <cellStyle name="Normal 2 5 3 4" xfId="52771"/>
    <cellStyle name="Normal 2 5 3 5" xfId="52772"/>
    <cellStyle name="Normal 2 5 3 6" xfId="52773"/>
    <cellStyle name="Normal 2 5 3 7" xfId="52774"/>
    <cellStyle name="Normal 2 5 3 8" xfId="52775"/>
    <cellStyle name="Normal 2 5 3 9" xfId="52776"/>
    <cellStyle name="Normal 2 5 4" xfId="52777"/>
    <cellStyle name="Normal 2 6" xfId="52778"/>
    <cellStyle name="Normal 2 6 2" xfId="52779"/>
    <cellStyle name="Normal 2 6 2 2" xfId="52780"/>
    <cellStyle name="Normal 2 6 2 2 2" xfId="52781"/>
    <cellStyle name="Normal 2 6 2 3" xfId="52782"/>
    <cellStyle name="Normal 2 6 2 3 2" xfId="52783"/>
    <cellStyle name="Normal 2 6 2 3 3" xfId="52784"/>
    <cellStyle name="Normal 2 6 2 3 4" xfId="52785"/>
    <cellStyle name="Normal 2 6 2 3 5" xfId="52786"/>
    <cellStyle name="Normal 2 6 2 4" xfId="52787"/>
    <cellStyle name="Normal 2 6 2 5" xfId="52788"/>
    <cellStyle name="Normal 2 6 2 6" xfId="52789"/>
    <cellStyle name="Normal 2 6 2 7" xfId="52790"/>
    <cellStyle name="Normal 2 6 2 8" xfId="52791"/>
    <cellStyle name="Normal 2 6 2 9" xfId="52792"/>
    <cellStyle name="Normal 2 6 3" xfId="52793"/>
    <cellStyle name="Normal 2 7" xfId="52794"/>
    <cellStyle name="Normal 2 7 2" xfId="52795"/>
    <cellStyle name="Normal 2 7 3" xfId="52796"/>
    <cellStyle name="Normal 2 8" xfId="52797"/>
    <cellStyle name="Normal 2 8 2" xfId="52798"/>
    <cellStyle name="Normal 2 8 3" xfId="52799"/>
    <cellStyle name="Normal 2 9" xfId="52800"/>
    <cellStyle name="Normal 2 9 2" xfId="52801"/>
    <cellStyle name="Normal 2 9 3" xfId="52802"/>
    <cellStyle name="Normal 2_T1_TP_MASTER_032112_Rev A" xfId="52803"/>
    <cellStyle name="Normal 20" xfId="52804"/>
    <cellStyle name="Normal 20 10" xfId="52805"/>
    <cellStyle name="Normal 20 11" xfId="52806"/>
    <cellStyle name="Normal 20 2" xfId="52807"/>
    <cellStyle name="Normal 20 2 10" xfId="52808"/>
    <cellStyle name="Normal 20 2 11" xfId="52809"/>
    <cellStyle name="Normal 20 2 2" xfId="52810"/>
    <cellStyle name="Normal 20 2 2 2" xfId="52811"/>
    <cellStyle name="Normal 20 2 2 2 2" xfId="52812"/>
    <cellStyle name="Normal 20 2 2 2 2 2" xfId="52813"/>
    <cellStyle name="Normal 20 2 2 2 2 2 2" xfId="52814"/>
    <cellStyle name="Normal 20 2 2 2 2 2 3" xfId="52815"/>
    <cellStyle name="Normal 20 2 2 2 2 3" xfId="52816"/>
    <cellStyle name="Normal 20 2 2 2 2 4" xfId="52817"/>
    <cellStyle name="Normal 20 2 2 2 3" xfId="52818"/>
    <cellStyle name="Normal 20 2 2 2 3 2" xfId="52819"/>
    <cellStyle name="Normal 20 2 2 2 3 3" xfId="52820"/>
    <cellStyle name="Normal 20 2 2 2 4" xfId="52821"/>
    <cellStyle name="Normal 20 2 2 2 4 2" xfId="52822"/>
    <cellStyle name="Normal 20 2 2 2 4 3" xfId="52823"/>
    <cellStyle name="Normal 20 2 2 2 5" xfId="52824"/>
    <cellStyle name="Normal 20 2 2 2 6" xfId="52825"/>
    <cellStyle name="Normal 20 2 2 3" xfId="52826"/>
    <cellStyle name="Normal 20 2 2 3 2" xfId="52827"/>
    <cellStyle name="Normal 20 2 2 3 2 2" xfId="52828"/>
    <cellStyle name="Normal 20 2 2 3 2 2 2" xfId="52829"/>
    <cellStyle name="Normal 20 2 2 3 2 2 3" xfId="52830"/>
    <cellStyle name="Normal 20 2 2 3 2 3" xfId="52831"/>
    <cellStyle name="Normal 20 2 2 3 2 4" xfId="52832"/>
    <cellStyle name="Normal 20 2 2 3 3" xfId="52833"/>
    <cellStyle name="Normal 20 2 2 3 3 2" xfId="52834"/>
    <cellStyle name="Normal 20 2 2 3 3 3" xfId="52835"/>
    <cellStyle name="Normal 20 2 2 3 4" xfId="52836"/>
    <cellStyle name="Normal 20 2 2 3 4 2" xfId="52837"/>
    <cellStyle name="Normal 20 2 2 3 4 3" xfId="52838"/>
    <cellStyle name="Normal 20 2 2 3 5" xfId="52839"/>
    <cellStyle name="Normal 20 2 2 3 6" xfId="52840"/>
    <cellStyle name="Normal 20 2 2 4" xfId="52841"/>
    <cellStyle name="Normal 20 2 2 4 2" xfId="52842"/>
    <cellStyle name="Normal 20 2 2 4 2 2" xfId="52843"/>
    <cellStyle name="Normal 20 2 2 4 2 3" xfId="52844"/>
    <cellStyle name="Normal 20 2 2 4 3" xfId="52845"/>
    <cellStyle name="Normal 20 2 2 4 4" xfId="52846"/>
    <cellStyle name="Normal 20 2 2 5" xfId="52847"/>
    <cellStyle name="Normal 20 2 2 5 2" xfId="52848"/>
    <cellStyle name="Normal 20 2 2 5 3" xfId="52849"/>
    <cellStyle name="Normal 20 2 2 6" xfId="52850"/>
    <cellStyle name="Normal 20 2 2 6 2" xfId="52851"/>
    <cellStyle name="Normal 20 2 2 6 3" xfId="52852"/>
    <cellStyle name="Normal 20 2 2 7" xfId="52853"/>
    <cellStyle name="Normal 20 2 2 8" xfId="52854"/>
    <cellStyle name="Normal 20 2 3" xfId="52855"/>
    <cellStyle name="Normal 20 2 3 2" xfId="52856"/>
    <cellStyle name="Normal 20 2 3 2 2" xfId="52857"/>
    <cellStyle name="Normal 20 2 3 2 2 2" xfId="52858"/>
    <cellStyle name="Normal 20 2 3 2 2 3" xfId="52859"/>
    <cellStyle name="Normal 20 2 3 2 3" xfId="52860"/>
    <cellStyle name="Normal 20 2 3 2 4" xfId="52861"/>
    <cellStyle name="Normal 20 2 3 3" xfId="52862"/>
    <cellStyle name="Normal 20 2 3 3 2" xfId="52863"/>
    <cellStyle name="Normal 20 2 3 3 3" xfId="52864"/>
    <cellStyle name="Normal 20 2 3 4" xfId="52865"/>
    <cellStyle name="Normal 20 2 3 4 2" xfId="52866"/>
    <cellStyle name="Normal 20 2 3 4 3" xfId="52867"/>
    <cellStyle name="Normal 20 2 3 5" xfId="52868"/>
    <cellStyle name="Normal 20 2 3 6" xfId="52869"/>
    <cellStyle name="Normal 20 2 4" xfId="52870"/>
    <cellStyle name="Normal 20 2 4 2" xfId="52871"/>
    <cellStyle name="Normal 20 2 4 2 2" xfId="52872"/>
    <cellStyle name="Normal 20 2 4 2 2 2" xfId="52873"/>
    <cellStyle name="Normal 20 2 4 2 2 3" xfId="52874"/>
    <cellStyle name="Normal 20 2 4 2 3" xfId="52875"/>
    <cellStyle name="Normal 20 2 4 2 4" xfId="52876"/>
    <cellStyle name="Normal 20 2 4 3" xfId="52877"/>
    <cellStyle name="Normal 20 2 4 3 2" xfId="52878"/>
    <cellStyle name="Normal 20 2 4 3 3" xfId="52879"/>
    <cellStyle name="Normal 20 2 4 4" xfId="52880"/>
    <cellStyle name="Normal 20 2 4 4 2" xfId="52881"/>
    <cellStyle name="Normal 20 2 4 4 3" xfId="52882"/>
    <cellStyle name="Normal 20 2 4 5" xfId="52883"/>
    <cellStyle name="Normal 20 2 4 6" xfId="52884"/>
    <cellStyle name="Normal 20 2 5" xfId="52885"/>
    <cellStyle name="Normal 20 2 5 2" xfId="52886"/>
    <cellStyle name="Normal 20 2 5 2 2" xfId="52887"/>
    <cellStyle name="Normal 20 2 5 2 3" xfId="52888"/>
    <cellStyle name="Normal 20 2 5 3" xfId="52889"/>
    <cellStyle name="Normal 20 2 5 4" xfId="52890"/>
    <cellStyle name="Normal 20 2 6" xfId="52891"/>
    <cellStyle name="Normal 20 2 6 2" xfId="52892"/>
    <cellStyle name="Normal 20 2 6 2 2" xfId="52893"/>
    <cellStyle name="Normal 20 2 6 2 3" xfId="52894"/>
    <cellStyle name="Normal 20 2 6 3" xfId="52895"/>
    <cellStyle name="Normal 20 2 6 4" xfId="52896"/>
    <cellStyle name="Normal 20 2 7" xfId="52897"/>
    <cellStyle name="Normal 20 2 7 2" xfId="52898"/>
    <cellStyle name="Normal 20 2 7 3" xfId="52899"/>
    <cellStyle name="Normal 20 2 8" xfId="52900"/>
    <cellStyle name="Normal 20 2 8 2" xfId="52901"/>
    <cellStyle name="Normal 20 2 8 3" xfId="52902"/>
    <cellStyle name="Normal 20 2 9" xfId="52903"/>
    <cellStyle name="Normal 20 3" xfId="52904"/>
    <cellStyle name="Normal 20 3 2" xfId="52905"/>
    <cellStyle name="Normal 20 3 2 2" xfId="52906"/>
    <cellStyle name="Normal 20 3 2 2 2" xfId="52907"/>
    <cellStyle name="Normal 20 3 2 2 2 2" xfId="52908"/>
    <cellStyle name="Normal 20 3 2 2 2 3" xfId="52909"/>
    <cellStyle name="Normal 20 3 2 2 3" xfId="52910"/>
    <cellStyle name="Normal 20 3 2 2 4" xfId="52911"/>
    <cellStyle name="Normal 20 3 2 3" xfId="52912"/>
    <cellStyle name="Normal 20 3 2 3 2" xfId="52913"/>
    <cellStyle name="Normal 20 3 2 3 3" xfId="52914"/>
    <cellStyle name="Normal 20 3 2 4" xfId="52915"/>
    <cellStyle name="Normal 20 3 2 4 2" xfId="52916"/>
    <cellStyle name="Normal 20 3 2 4 3" xfId="52917"/>
    <cellStyle name="Normal 20 3 2 5" xfId="52918"/>
    <cellStyle name="Normal 20 3 2 6" xfId="52919"/>
    <cellStyle name="Normal 20 3 3" xfId="52920"/>
    <cellStyle name="Normal 20 3 3 2" xfId="52921"/>
    <cellStyle name="Normal 20 3 3 2 2" xfId="52922"/>
    <cellStyle name="Normal 20 3 3 2 2 2" xfId="52923"/>
    <cellStyle name="Normal 20 3 3 2 2 3" xfId="52924"/>
    <cellStyle name="Normal 20 3 3 2 3" xfId="52925"/>
    <cellStyle name="Normal 20 3 3 2 4" xfId="52926"/>
    <cellStyle name="Normal 20 3 3 3" xfId="52927"/>
    <cellStyle name="Normal 20 3 3 3 2" xfId="52928"/>
    <cellStyle name="Normal 20 3 3 3 3" xfId="52929"/>
    <cellStyle name="Normal 20 3 3 4" xfId="52930"/>
    <cellStyle name="Normal 20 3 3 4 2" xfId="52931"/>
    <cellStyle name="Normal 20 3 3 4 3" xfId="52932"/>
    <cellStyle name="Normal 20 3 3 5" xfId="52933"/>
    <cellStyle name="Normal 20 3 3 6" xfId="52934"/>
    <cellStyle name="Normal 20 3 4" xfId="52935"/>
    <cellStyle name="Normal 20 3 4 2" xfId="52936"/>
    <cellStyle name="Normal 20 3 4 2 2" xfId="52937"/>
    <cellStyle name="Normal 20 3 4 2 3" xfId="52938"/>
    <cellStyle name="Normal 20 3 4 3" xfId="52939"/>
    <cellStyle name="Normal 20 3 4 4" xfId="52940"/>
    <cellStyle name="Normal 20 3 5" xfId="52941"/>
    <cellStyle name="Normal 20 3 5 2" xfId="52942"/>
    <cellStyle name="Normal 20 3 5 3" xfId="52943"/>
    <cellStyle name="Normal 20 3 6" xfId="52944"/>
    <cellStyle name="Normal 20 3 6 2" xfId="52945"/>
    <cellStyle name="Normal 20 3 6 3" xfId="52946"/>
    <cellStyle name="Normal 20 3 7" xfId="52947"/>
    <cellStyle name="Normal 20 3 8" xfId="52948"/>
    <cellStyle name="Normal 20 4" xfId="52949"/>
    <cellStyle name="Normal 20 4 2" xfId="52950"/>
    <cellStyle name="Normal 20 4 2 2" xfId="52951"/>
    <cellStyle name="Normal 20 4 2 2 2" xfId="52952"/>
    <cellStyle name="Normal 20 4 2 2 3" xfId="52953"/>
    <cellStyle name="Normal 20 4 2 3" xfId="52954"/>
    <cellStyle name="Normal 20 4 2 4" xfId="52955"/>
    <cellStyle name="Normal 20 4 3" xfId="52956"/>
    <cellStyle name="Normal 20 4 3 2" xfId="52957"/>
    <cellStyle name="Normal 20 4 3 3" xfId="52958"/>
    <cellStyle name="Normal 20 4 4" xfId="52959"/>
    <cellStyle name="Normal 20 4 4 2" xfId="52960"/>
    <cellStyle name="Normal 20 4 4 3" xfId="52961"/>
    <cellStyle name="Normal 20 4 5" xfId="52962"/>
    <cellStyle name="Normal 20 4 6" xfId="52963"/>
    <cellStyle name="Normal 20 5" xfId="52964"/>
    <cellStyle name="Normal 20 5 2" xfId="52965"/>
    <cellStyle name="Normal 20 5 2 2" xfId="52966"/>
    <cellStyle name="Normal 20 5 2 2 2" xfId="52967"/>
    <cellStyle name="Normal 20 5 2 2 3" xfId="52968"/>
    <cellStyle name="Normal 20 5 2 3" xfId="52969"/>
    <cellStyle name="Normal 20 5 2 4" xfId="52970"/>
    <cellStyle name="Normal 20 5 3" xfId="52971"/>
    <cellStyle name="Normal 20 5 3 2" xfId="52972"/>
    <cellStyle name="Normal 20 5 3 3" xfId="52973"/>
    <cellStyle name="Normal 20 5 4" xfId="52974"/>
    <cellStyle name="Normal 20 5 4 2" xfId="52975"/>
    <cellStyle name="Normal 20 5 4 3" xfId="52976"/>
    <cellStyle name="Normal 20 5 5" xfId="52977"/>
    <cellStyle name="Normal 20 5 6" xfId="52978"/>
    <cellStyle name="Normal 20 6" xfId="52979"/>
    <cellStyle name="Normal 20 6 2" xfId="52980"/>
    <cellStyle name="Normal 20 6 2 2" xfId="52981"/>
    <cellStyle name="Normal 20 6 2 3" xfId="52982"/>
    <cellStyle name="Normal 20 6 3" xfId="52983"/>
    <cellStyle name="Normal 20 6 4" xfId="52984"/>
    <cellStyle name="Normal 20 7" xfId="52985"/>
    <cellStyle name="Normal 20 7 2" xfId="52986"/>
    <cellStyle name="Normal 20 7 2 2" xfId="52987"/>
    <cellStyle name="Normal 20 7 2 3" xfId="52988"/>
    <cellStyle name="Normal 20 7 3" xfId="52989"/>
    <cellStyle name="Normal 20 7 4" xfId="52990"/>
    <cellStyle name="Normal 20 8" xfId="52991"/>
    <cellStyle name="Normal 20 8 2" xfId="52992"/>
    <cellStyle name="Normal 20 8 3" xfId="52993"/>
    <cellStyle name="Normal 20 9" xfId="52994"/>
    <cellStyle name="Normal 20 9 2" xfId="52995"/>
    <cellStyle name="Normal 20 9 3" xfId="52996"/>
    <cellStyle name="Normal 200" xfId="52997"/>
    <cellStyle name="Normal 200 2" xfId="52998"/>
    <cellStyle name="Normal 200 2 2" xfId="52999"/>
    <cellStyle name="Normal 200 2 2 2" xfId="53000"/>
    <cellStyle name="Normal 200 2 2 2 2" xfId="53001"/>
    <cellStyle name="Normal 200 2 2 2 3" xfId="53002"/>
    <cellStyle name="Normal 200 2 2 3" xfId="53003"/>
    <cellStyle name="Normal 200 2 2 4" xfId="53004"/>
    <cellStyle name="Normal 200 2 3" xfId="53005"/>
    <cellStyle name="Normal 200 2 3 2" xfId="53006"/>
    <cellStyle name="Normal 200 2 3 3" xfId="53007"/>
    <cellStyle name="Normal 200 2 4" xfId="53008"/>
    <cellStyle name="Normal 200 2 4 2" xfId="53009"/>
    <cellStyle name="Normal 200 2 4 3" xfId="53010"/>
    <cellStyle name="Normal 200 2 5" xfId="53011"/>
    <cellStyle name="Normal 200 2 6" xfId="53012"/>
    <cellStyle name="Normal 200 3" xfId="53013"/>
    <cellStyle name="Normal 200 3 2" xfId="53014"/>
    <cellStyle name="Normal 200 3 2 2" xfId="53015"/>
    <cellStyle name="Normal 200 3 2 2 2" xfId="53016"/>
    <cellStyle name="Normal 200 3 2 2 3" xfId="53017"/>
    <cellStyle name="Normal 200 3 2 3" xfId="53018"/>
    <cellStyle name="Normal 200 3 2 4" xfId="53019"/>
    <cellStyle name="Normal 200 3 3" xfId="53020"/>
    <cellStyle name="Normal 200 3 3 2" xfId="53021"/>
    <cellStyle name="Normal 200 3 3 3" xfId="53022"/>
    <cellStyle name="Normal 200 3 4" xfId="53023"/>
    <cellStyle name="Normal 200 3 4 2" xfId="53024"/>
    <cellStyle name="Normal 200 3 4 3" xfId="53025"/>
    <cellStyle name="Normal 200 3 5" xfId="53026"/>
    <cellStyle name="Normal 200 3 6" xfId="53027"/>
    <cellStyle name="Normal 200 4" xfId="53028"/>
    <cellStyle name="Normal 200 4 2" xfId="53029"/>
    <cellStyle name="Normal 200 4 2 2" xfId="53030"/>
    <cellStyle name="Normal 200 4 2 3" xfId="53031"/>
    <cellStyle name="Normal 200 4 3" xfId="53032"/>
    <cellStyle name="Normal 200 4 4" xfId="53033"/>
    <cellStyle name="Normal 200 5" xfId="53034"/>
    <cellStyle name="Normal 200 5 2" xfId="53035"/>
    <cellStyle name="Normal 200 5 3" xfId="53036"/>
    <cellStyle name="Normal 200 6" xfId="53037"/>
    <cellStyle name="Normal 200 6 2" xfId="53038"/>
    <cellStyle name="Normal 200 6 3" xfId="53039"/>
    <cellStyle name="Normal 200 7" xfId="53040"/>
    <cellStyle name="Normal 200 8" xfId="53041"/>
    <cellStyle name="Normal 201" xfId="53042"/>
    <cellStyle name="Normal 201 2" xfId="53043"/>
    <cellStyle name="Normal 201 3" xfId="53044"/>
    <cellStyle name="Normal 202" xfId="53045"/>
    <cellStyle name="Normal 202 2" xfId="53046"/>
    <cellStyle name="Normal 202 2 2" xfId="53047"/>
    <cellStyle name="Normal 202 2 2 2" xfId="53048"/>
    <cellStyle name="Normal 202 2 2 2 2" xfId="53049"/>
    <cellStyle name="Normal 202 2 2 2 3" xfId="53050"/>
    <cellStyle name="Normal 202 2 2 3" xfId="53051"/>
    <cellStyle name="Normal 202 2 2 4" xfId="53052"/>
    <cellStyle name="Normal 202 2 3" xfId="53053"/>
    <cellStyle name="Normal 202 2 3 2" xfId="53054"/>
    <cellStyle name="Normal 202 2 3 3" xfId="53055"/>
    <cellStyle name="Normal 202 2 4" xfId="53056"/>
    <cellStyle name="Normal 202 2 4 2" xfId="53057"/>
    <cellStyle name="Normal 202 2 4 3" xfId="53058"/>
    <cellStyle name="Normal 202 2 5" xfId="53059"/>
    <cellStyle name="Normal 202 2 6" xfId="53060"/>
    <cellStyle name="Normal 202 3" xfId="53061"/>
    <cellStyle name="Normal 202 3 2" xfId="53062"/>
    <cellStyle name="Normal 202 3 2 2" xfId="53063"/>
    <cellStyle name="Normal 202 3 2 2 2" xfId="53064"/>
    <cellStyle name="Normal 202 3 2 2 3" xfId="53065"/>
    <cellStyle name="Normal 202 3 2 3" xfId="53066"/>
    <cellStyle name="Normal 202 3 2 4" xfId="53067"/>
    <cellStyle name="Normal 202 3 3" xfId="53068"/>
    <cellStyle name="Normal 202 3 3 2" xfId="53069"/>
    <cellStyle name="Normal 202 3 3 3" xfId="53070"/>
    <cellStyle name="Normal 202 3 4" xfId="53071"/>
    <cellStyle name="Normal 202 3 4 2" xfId="53072"/>
    <cellStyle name="Normal 202 3 4 3" xfId="53073"/>
    <cellStyle name="Normal 202 3 5" xfId="53074"/>
    <cellStyle name="Normal 202 3 6" xfId="53075"/>
    <cellStyle name="Normal 202 4" xfId="53076"/>
    <cellStyle name="Normal 202 4 2" xfId="53077"/>
    <cellStyle name="Normal 202 4 2 2" xfId="53078"/>
    <cellStyle name="Normal 202 4 2 3" xfId="53079"/>
    <cellStyle name="Normal 202 4 3" xfId="53080"/>
    <cellStyle name="Normal 202 4 4" xfId="53081"/>
    <cellStyle name="Normal 202 5" xfId="53082"/>
    <cellStyle name="Normal 202 5 2" xfId="53083"/>
    <cellStyle name="Normal 202 5 3" xfId="53084"/>
    <cellStyle name="Normal 202 6" xfId="53085"/>
    <cellStyle name="Normal 202 6 2" xfId="53086"/>
    <cellStyle name="Normal 202 6 3" xfId="53087"/>
    <cellStyle name="Normal 202 7" xfId="53088"/>
    <cellStyle name="Normal 202 8" xfId="53089"/>
    <cellStyle name="Normal 203" xfId="53090"/>
    <cellStyle name="Normal 203 2" xfId="53091"/>
    <cellStyle name="Normal 203 2 2" xfId="53092"/>
    <cellStyle name="Normal 203 2 2 2" xfId="53093"/>
    <cellStyle name="Normal 203 2 2 2 2" xfId="53094"/>
    <cellStyle name="Normal 203 2 2 2 3" xfId="53095"/>
    <cellStyle name="Normal 203 2 2 3" xfId="53096"/>
    <cellStyle name="Normal 203 2 2 4" xfId="53097"/>
    <cellStyle name="Normal 203 2 3" xfId="53098"/>
    <cellStyle name="Normal 203 2 3 2" xfId="53099"/>
    <cellStyle name="Normal 203 2 3 3" xfId="53100"/>
    <cellStyle name="Normal 203 2 4" xfId="53101"/>
    <cellStyle name="Normal 203 2 4 2" xfId="53102"/>
    <cellStyle name="Normal 203 2 4 3" xfId="53103"/>
    <cellStyle name="Normal 203 2 5" xfId="53104"/>
    <cellStyle name="Normal 203 2 6" xfId="53105"/>
    <cellStyle name="Normal 203 3" xfId="53106"/>
    <cellStyle name="Normal 203 3 2" xfId="53107"/>
    <cellStyle name="Normal 203 3 2 2" xfId="53108"/>
    <cellStyle name="Normal 203 3 2 2 2" xfId="53109"/>
    <cellStyle name="Normal 203 3 2 2 3" xfId="53110"/>
    <cellStyle name="Normal 203 3 2 3" xfId="53111"/>
    <cellStyle name="Normal 203 3 2 4" xfId="53112"/>
    <cellStyle name="Normal 203 3 3" xfId="53113"/>
    <cellStyle name="Normal 203 3 3 2" xfId="53114"/>
    <cellStyle name="Normal 203 3 3 3" xfId="53115"/>
    <cellStyle name="Normal 203 3 4" xfId="53116"/>
    <cellStyle name="Normal 203 3 4 2" xfId="53117"/>
    <cellStyle name="Normal 203 3 4 3" xfId="53118"/>
    <cellStyle name="Normal 203 3 5" xfId="53119"/>
    <cellStyle name="Normal 203 3 6" xfId="53120"/>
    <cellStyle name="Normal 203 4" xfId="53121"/>
    <cellStyle name="Normal 203 4 2" xfId="53122"/>
    <cellStyle name="Normal 203 4 2 2" xfId="53123"/>
    <cellStyle name="Normal 203 4 2 3" xfId="53124"/>
    <cellStyle name="Normal 203 4 3" xfId="53125"/>
    <cellStyle name="Normal 203 4 4" xfId="53126"/>
    <cellStyle name="Normal 203 5" xfId="53127"/>
    <cellStyle name="Normal 203 5 2" xfId="53128"/>
    <cellStyle name="Normal 203 5 3" xfId="53129"/>
    <cellStyle name="Normal 203 6" xfId="53130"/>
    <cellStyle name="Normal 203 6 2" xfId="53131"/>
    <cellStyle name="Normal 203 6 3" xfId="53132"/>
    <cellStyle name="Normal 203 7" xfId="53133"/>
    <cellStyle name="Normal 203 8" xfId="53134"/>
    <cellStyle name="Normal 204" xfId="53135"/>
    <cellStyle name="Normal 204 2" xfId="53136"/>
    <cellStyle name="Normal 204 2 2" xfId="53137"/>
    <cellStyle name="Normal 204 2 2 2" xfId="53138"/>
    <cellStyle name="Normal 204 2 2 2 2" xfId="53139"/>
    <cellStyle name="Normal 204 2 2 2 2 2" xfId="53140"/>
    <cellStyle name="Normal 204 2 2 2 2 3" xfId="53141"/>
    <cellStyle name="Normal 204 2 2 2 3" xfId="53142"/>
    <cellStyle name="Normal 204 2 2 2 4" xfId="53143"/>
    <cellStyle name="Normal 204 2 2 3" xfId="53144"/>
    <cellStyle name="Normal 204 2 2 3 2" xfId="53145"/>
    <cellStyle name="Normal 204 2 2 3 3" xfId="53146"/>
    <cellStyle name="Normal 204 2 2 4" xfId="53147"/>
    <cellStyle name="Normal 204 2 2 4 2" xfId="53148"/>
    <cellStyle name="Normal 204 2 2 4 3" xfId="53149"/>
    <cellStyle name="Normal 204 2 2 5" xfId="53150"/>
    <cellStyle name="Normal 204 2 2 6" xfId="53151"/>
    <cellStyle name="Normal 204 2 3" xfId="53152"/>
    <cellStyle name="Normal 204 2 3 2" xfId="53153"/>
    <cellStyle name="Normal 204 2 3 2 2" xfId="53154"/>
    <cellStyle name="Normal 204 2 3 2 2 2" xfId="53155"/>
    <cellStyle name="Normal 204 2 3 2 2 3" xfId="53156"/>
    <cellStyle name="Normal 204 2 3 2 3" xfId="53157"/>
    <cellStyle name="Normal 204 2 3 2 4" xfId="53158"/>
    <cellStyle name="Normal 204 2 3 3" xfId="53159"/>
    <cellStyle name="Normal 204 2 3 3 2" xfId="53160"/>
    <cellStyle name="Normal 204 2 3 3 3" xfId="53161"/>
    <cellStyle name="Normal 204 2 3 4" xfId="53162"/>
    <cellStyle name="Normal 204 2 3 4 2" xfId="53163"/>
    <cellStyle name="Normal 204 2 3 4 3" xfId="53164"/>
    <cellStyle name="Normal 204 2 3 5" xfId="53165"/>
    <cellStyle name="Normal 204 2 3 6" xfId="53166"/>
    <cellStyle name="Normal 204 2 4" xfId="53167"/>
    <cellStyle name="Normal 204 2 4 2" xfId="53168"/>
    <cellStyle name="Normal 204 2 4 2 2" xfId="53169"/>
    <cellStyle name="Normal 204 2 4 2 3" xfId="53170"/>
    <cellStyle name="Normal 204 2 4 3" xfId="53171"/>
    <cellStyle name="Normal 204 2 4 4" xfId="53172"/>
    <cellStyle name="Normal 204 2 5" xfId="53173"/>
    <cellStyle name="Normal 204 2 5 2" xfId="53174"/>
    <cellStyle name="Normal 204 2 5 3" xfId="53175"/>
    <cellStyle name="Normal 204 2 6" xfId="53176"/>
    <cellStyle name="Normal 204 2 6 2" xfId="53177"/>
    <cellStyle name="Normal 204 2 6 3" xfId="53178"/>
    <cellStyle name="Normal 204 2 7" xfId="53179"/>
    <cellStyle name="Normal 204 2 8" xfId="53180"/>
    <cellStyle name="Normal 204 3" xfId="53181"/>
    <cellStyle name="Normal 204 3 2" xfId="53182"/>
    <cellStyle name="Normal 204 3 2 2" xfId="53183"/>
    <cellStyle name="Normal 204 3 2 2 2" xfId="53184"/>
    <cellStyle name="Normal 204 3 2 2 3" xfId="53185"/>
    <cellStyle name="Normal 204 3 2 3" xfId="53186"/>
    <cellStyle name="Normal 204 3 2 4" xfId="53187"/>
    <cellStyle name="Normal 204 3 3" xfId="53188"/>
    <cellStyle name="Normal 204 3 3 2" xfId="53189"/>
    <cellStyle name="Normal 204 3 3 3" xfId="53190"/>
    <cellStyle name="Normal 204 3 4" xfId="53191"/>
    <cellStyle name="Normal 204 3 4 2" xfId="53192"/>
    <cellStyle name="Normal 204 3 4 3" xfId="53193"/>
    <cellStyle name="Normal 204 3 5" xfId="53194"/>
    <cellStyle name="Normal 204 3 6" xfId="53195"/>
    <cellStyle name="Normal 204 4" xfId="53196"/>
    <cellStyle name="Normal 204 4 2" xfId="53197"/>
    <cellStyle name="Normal 204 4 2 2" xfId="53198"/>
    <cellStyle name="Normal 204 4 2 2 2" xfId="53199"/>
    <cellStyle name="Normal 204 4 2 2 3" xfId="53200"/>
    <cellStyle name="Normal 204 4 2 3" xfId="53201"/>
    <cellStyle name="Normal 204 4 2 4" xfId="53202"/>
    <cellStyle name="Normal 204 4 3" xfId="53203"/>
    <cellStyle name="Normal 204 4 3 2" xfId="53204"/>
    <cellStyle name="Normal 204 4 3 3" xfId="53205"/>
    <cellStyle name="Normal 204 4 4" xfId="53206"/>
    <cellStyle name="Normal 204 4 4 2" xfId="53207"/>
    <cellStyle name="Normal 204 4 4 3" xfId="53208"/>
    <cellStyle name="Normal 204 4 5" xfId="53209"/>
    <cellStyle name="Normal 204 4 6" xfId="53210"/>
    <cellStyle name="Normal 204 5" xfId="53211"/>
    <cellStyle name="Normal 204 5 2" xfId="53212"/>
    <cellStyle name="Normal 204 5 2 2" xfId="53213"/>
    <cellStyle name="Normal 204 5 2 3" xfId="53214"/>
    <cellStyle name="Normal 204 5 3" xfId="53215"/>
    <cellStyle name="Normal 204 5 4" xfId="53216"/>
    <cellStyle name="Normal 204 6" xfId="53217"/>
    <cellStyle name="Normal 204 6 2" xfId="53218"/>
    <cellStyle name="Normal 204 6 3" xfId="53219"/>
    <cellStyle name="Normal 204 7" xfId="53220"/>
    <cellStyle name="Normal 204 7 2" xfId="53221"/>
    <cellStyle name="Normal 204 7 3" xfId="53222"/>
    <cellStyle name="Normal 204 8" xfId="53223"/>
    <cellStyle name="Normal 204 9" xfId="53224"/>
    <cellStyle name="Normal 205" xfId="53225"/>
    <cellStyle name="Normal 205 2" xfId="53226"/>
    <cellStyle name="Normal 205 3" xfId="53227"/>
    <cellStyle name="Normal 206" xfId="53228"/>
    <cellStyle name="Normal 206 2" xfId="53229"/>
    <cellStyle name="Normal 206 3" xfId="53230"/>
    <cellStyle name="Normal 207" xfId="53231"/>
    <cellStyle name="Normal 207 2" xfId="53232"/>
    <cellStyle name="Normal 207 3" xfId="53233"/>
    <cellStyle name="Normal 208" xfId="53234"/>
    <cellStyle name="Normal 208 2" xfId="53235"/>
    <cellStyle name="Normal 208 2 2" xfId="53236"/>
    <cellStyle name="Normal 208 2 2 2" xfId="53237"/>
    <cellStyle name="Normal 208 2 2 2 2" xfId="53238"/>
    <cellStyle name="Normal 208 2 2 2 3" xfId="53239"/>
    <cellStyle name="Normal 208 2 2 3" xfId="53240"/>
    <cellStyle name="Normal 208 2 2 4" xfId="53241"/>
    <cellStyle name="Normal 208 2 3" xfId="53242"/>
    <cellStyle name="Normal 208 2 3 2" xfId="53243"/>
    <cellStyle name="Normal 208 2 3 3" xfId="53244"/>
    <cellStyle name="Normal 208 2 4" xfId="53245"/>
    <cellStyle name="Normal 208 2 4 2" xfId="53246"/>
    <cellStyle name="Normal 208 2 4 3" xfId="53247"/>
    <cellStyle name="Normal 208 2 5" xfId="53248"/>
    <cellStyle name="Normal 208 2 6" xfId="53249"/>
    <cellStyle name="Normal 208 3" xfId="53250"/>
    <cellStyle name="Normal 208 3 2" xfId="53251"/>
    <cellStyle name="Normal 208 3 2 2" xfId="53252"/>
    <cellStyle name="Normal 208 3 2 2 2" xfId="53253"/>
    <cellStyle name="Normal 208 3 2 2 3" xfId="53254"/>
    <cellStyle name="Normal 208 3 2 3" xfId="53255"/>
    <cellStyle name="Normal 208 3 2 4" xfId="53256"/>
    <cellStyle name="Normal 208 3 3" xfId="53257"/>
    <cellStyle name="Normal 208 3 3 2" xfId="53258"/>
    <cellStyle name="Normal 208 3 3 3" xfId="53259"/>
    <cellStyle name="Normal 208 3 4" xfId="53260"/>
    <cellStyle name="Normal 208 3 4 2" xfId="53261"/>
    <cellStyle name="Normal 208 3 4 3" xfId="53262"/>
    <cellStyle name="Normal 208 3 5" xfId="53263"/>
    <cellStyle name="Normal 208 3 6" xfId="53264"/>
    <cellStyle name="Normal 208 4" xfId="53265"/>
    <cellStyle name="Normal 208 4 2" xfId="53266"/>
    <cellStyle name="Normal 208 4 2 2" xfId="53267"/>
    <cellStyle name="Normal 208 4 2 3" xfId="53268"/>
    <cellStyle name="Normal 208 4 3" xfId="53269"/>
    <cellStyle name="Normal 208 4 4" xfId="53270"/>
    <cellStyle name="Normal 208 5" xfId="53271"/>
    <cellStyle name="Normal 208 5 2" xfId="53272"/>
    <cellStyle name="Normal 208 5 3" xfId="53273"/>
    <cellStyle name="Normal 208 6" xfId="53274"/>
    <cellStyle name="Normal 208 6 2" xfId="53275"/>
    <cellStyle name="Normal 208 6 3" xfId="53276"/>
    <cellStyle name="Normal 208 7" xfId="53277"/>
    <cellStyle name="Normal 208 8" xfId="53278"/>
    <cellStyle name="Normal 209" xfId="53279"/>
    <cellStyle name="Normal 209 2" xfId="53280"/>
    <cellStyle name="Normal 209 3" xfId="53281"/>
    <cellStyle name="Normal 21" xfId="53282"/>
    <cellStyle name="Normal 21 10" xfId="53283"/>
    <cellStyle name="Normal 21 11" xfId="53284"/>
    <cellStyle name="Normal 21 2" xfId="53285"/>
    <cellStyle name="Normal 21 2 10" xfId="53286"/>
    <cellStyle name="Normal 21 2 2" xfId="53287"/>
    <cellStyle name="Normal 21 2 2 2" xfId="53288"/>
    <cellStyle name="Normal 21 2 2 2 2" xfId="53289"/>
    <cellStyle name="Normal 21 2 2 2 2 2" xfId="53290"/>
    <cellStyle name="Normal 21 2 2 2 2 2 2" xfId="53291"/>
    <cellStyle name="Normal 21 2 2 2 2 2 3" xfId="53292"/>
    <cellStyle name="Normal 21 2 2 2 2 3" xfId="53293"/>
    <cellStyle name="Normal 21 2 2 2 2 4" xfId="53294"/>
    <cellStyle name="Normal 21 2 2 2 3" xfId="53295"/>
    <cellStyle name="Normal 21 2 2 2 3 2" xfId="53296"/>
    <cellStyle name="Normal 21 2 2 2 3 3" xfId="53297"/>
    <cellStyle name="Normal 21 2 2 2 4" xfId="53298"/>
    <cellStyle name="Normal 21 2 2 2 4 2" xfId="53299"/>
    <cellStyle name="Normal 21 2 2 2 4 3" xfId="53300"/>
    <cellStyle name="Normal 21 2 2 2 5" xfId="53301"/>
    <cellStyle name="Normal 21 2 2 2 6" xfId="53302"/>
    <cellStyle name="Normal 21 2 2 3" xfId="53303"/>
    <cellStyle name="Normal 21 2 2 3 2" xfId="53304"/>
    <cellStyle name="Normal 21 2 2 3 2 2" xfId="53305"/>
    <cellStyle name="Normal 21 2 2 3 2 2 2" xfId="53306"/>
    <cellStyle name="Normal 21 2 2 3 2 2 3" xfId="53307"/>
    <cellStyle name="Normal 21 2 2 3 2 3" xfId="53308"/>
    <cellStyle name="Normal 21 2 2 3 2 4" xfId="53309"/>
    <cellStyle name="Normal 21 2 2 3 3" xfId="53310"/>
    <cellStyle name="Normal 21 2 2 3 3 2" xfId="53311"/>
    <cellStyle name="Normal 21 2 2 3 3 3" xfId="53312"/>
    <cellStyle name="Normal 21 2 2 3 4" xfId="53313"/>
    <cellStyle name="Normal 21 2 2 3 4 2" xfId="53314"/>
    <cellStyle name="Normal 21 2 2 3 4 3" xfId="53315"/>
    <cellStyle name="Normal 21 2 2 3 5" xfId="53316"/>
    <cellStyle name="Normal 21 2 2 3 6" xfId="53317"/>
    <cellStyle name="Normal 21 2 2 4" xfId="53318"/>
    <cellStyle name="Normal 21 2 2 4 2" xfId="53319"/>
    <cellStyle name="Normal 21 2 2 4 2 2" xfId="53320"/>
    <cellStyle name="Normal 21 2 2 4 2 3" xfId="53321"/>
    <cellStyle name="Normal 21 2 2 4 3" xfId="53322"/>
    <cellStyle name="Normal 21 2 2 4 4" xfId="53323"/>
    <cellStyle name="Normal 21 2 2 5" xfId="53324"/>
    <cellStyle name="Normal 21 2 2 5 2" xfId="53325"/>
    <cellStyle name="Normal 21 2 2 5 3" xfId="53326"/>
    <cellStyle name="Normal 21 2 2 6" xfId="53327"/>
    <cellStyle name="Normal 21 2 2 6 2" xfId="53328"/>
    <cellStyle name="Normal 21 2 2 6 3" xfId="53329"/>
    <cellStyle name="Normal 21 2 2 7" xfId="53330"/>
    <cellStyle name="Normal 21 2 2 8" xfId="53331"/>
    <cellStyle name="Normal 21 2 3" xfId="53332"/>
    <cellStyle name="Normal 21 2 3 2" xfId="53333"/>
    <cellStyle name="Normal 21 2 3 2 2" xfId="53334"/>
    <cellStyle name="Normal 21 2 3 2 2 2" xfId="53335"/>
    <cellStyle name="Normal 21 2 3 2 2 3" xfId="53336"/>
    <cellStyle name="Normal 21 2 3 2 3" xfId="53337"/>
    <cellStyle name="Normal 21 2 3 2 4" xfId="53338"/>
    <cellStyle name="Normal 21 2 3 3" xfId="53339"/>
    <cellStyle name="Normal 21 2 3 3 2" xfId="53340"/>
    <cellStyle name="Normal 21 2 3 3 3" xfId="53341"/>
    <cellStyle name="Normal 21 2 3 4" xfId="53342"/>
    <cellStyle name="Normal 21 2 3 4 2" xfId="53343"/>
    <cellStyle name="Normal 21 2 3 4 3" xfId="53344"/>
    <cellStyle name="Normal 21 2 3 5" xfId="53345"/>
    <cellStyle name="Normal 21 2 3 6" xfId="53346"/>
    <cellStyle name="Normal 21 2 4" xfId="53347"/>
    <cellStyle name="Normal 21 2 4 2" xfId="53348"/>
    <cellStyle name="Normal 21 2 4 2 2" xfId="53349"/>
    <cellStyle name="Normal 21 2 4 2 2 2" xfId="53350"/>
    <cellStyle name="Normal 21 2 4 2 2 3" xfId="53351"/>
    <cellStyle name="Normal 21 2 4 2 3" xfId="53352"/>
    <cellStyle name="Normal 21 2 4 2 4" xfId="53353"/>
    <cellStyle name="Normal 21 2 4 3" xfId="53354"/>
    <cellStyle name="Normal 21 2 4 3 2" xfId="53355"/>
    <cellStyle name="Normal 21 2 4 3 3" xfId="53356"/>
    <cellStyle name="Normal 21 2 4 4" xfId="53357"/>
    <cellStyle name="Normal 21 2 4 4 2" xfId="53358"/>
    <cellStyle name="Normal 21 2 4 4 3" xfId="53359"/>
    <cellStyle name="Normal 21 2 4 5" xfId="53360"/>
    <cellStyle name="Normal 21 2 4 6" xfId="53361"/>
    <cellStyle name="Normal 21 2 5" xfId="53362"/>
    <cellStyle name="Normal 21 2 5 2" xfId="53363"/>
    <cellStyle name="Normal 21 2 5 2 2" xfId="53364"/>
    <cellStyle name="Normal 21 2 5 2 3" xfId="53365"/>
    <cellStyle name="Normal 21 2 5 3" xfId="53366"/>
    <cellStyle name="Normal 21 2 5 4" xfId="53367"/>
    <cellStyle name="Normal 21 2 6" xfId="53368"/>
    <cellStyle name="Normal 21 2 6 2" xfId="53369"/>
    <cellStyle name="Normal 21 2 6 2 2" xfId="53370"/>
    <cellStyle name="Normal 21 2 6 2 3" xfId="53371"/>
    <cellStyle name="Normal 21 2 6 3" xfId="53372"/>
    <cellStyle name="Normal 21 2 6 4" xfId="53373"/>
    <cellStyle name="Normal 21 2 7" xfId="53374"/>
    <cellStyle name="Normal 21 2 7 2" xfId="53375"/>
    <cellStyle name="Normal 21 2 7 3" xfId="53376"/>
    <cellStyle name="Normal 21 2 8" xfId="53377"/>
    <cellStyle name="Normal 21 2 8 2" xfId="53378"/>
    <cellStyle name="Normal 21 2 8 3" xfId="53379"/>
    <cellStyle name="Normal 21 2 9" xfId="53380"/>
    <cellStyle name="Normal 21 3" xfId="53381"/>
    <cellStyle name="Normal 21 3 2" xfId="53382"/>
    <cellStyle name="Normal 21 3 2 2" xfId="53383"/>
    <cellStyle name="Normal 21 3 2 2 2" xfId="53384"/>
    <cellStyle name="Normal 21 3 2 2 2 2" xfId="53385"/>
    <cellStyle name="Normal 21 3 2 2 2 3" xfId="53386"/>
    <cellStyle name="Normal 21 3 2 2 3" xfId="53387"/>
    <cellStyle name="Normal 21 3 2 2 4" xfId="53388"/>
    <cellStyle name="Normal 21 3 2 3" xfId="53389"/>
    <cellStyle name="Normal 21 3 2 3 2" xfId="53390"/>
    <cellStyle name="Normal 21 3 2 3 3" xfId="53391"/>
    <cellStyle name="Normal 21 3 2 4" xfId="53392"/>
    <cellStyle name="Normal 21 3 2 4 2" xfId="53393"/>
    <cellStyle name="Normal 21 3 2 4 3" xfId="53394"/>
    <cellStyle name="Normal 21 3 2 5" xfId="53395"/>
    <cellStyle name="Normal 21 3 2 6" xfId="53396"/>
    <cellStyle name="Normal 21 3 3" xfId="53397"/>
    <cellStyle name="Normal 21 3 3 2" xfId="53398"/>
    <cellStyle name="Normal 21 3 3 2 2" xfId="53399"/>
    <cellStyle name="Normal 21 3 3 2 2 2" xfId="53400"/>
    <cellStyle name="Normal 21 3 3 2 2 3" xfId="53401"/>
    <cellStyle name="Normal 21 3 3 2 3" xfId="53402"/>
    <cellStyle name="Normal 21 3 3 2 4" xfId="53403"/>
    <cellStyle name="Normal 21 3 3 3" xfId="53404"/>
    <cellStyle name="Normal 21 3 3 3 2" xfId="53405"/>
    <cellStyle name="Normal 21 3 3 3 3" xfId="53406"/>
    <cellStyle name="Normal 21 3 3 4" xfId="53407"/>
    <cellStyle name="Normal 21 3 3 4 2" xfId="53408"/>
    <cellStyle name="Normal 21 3 3 4 3" xfId="53409"/>
    <cellStyle name="Normal 21 3 3 5" xfId="53410"/>
    <cellStyle name="Normal 21 3 3 6" xfId="53411"/>
    <cellStyle name="Normal 21 3 4" xfId="53412"/>
    <cellStyle name="Normal 21 3 4 2" xfId="53413"/>
    <cellStyle name="Normal 21 3 4 2 2" xfId="53414"/>
    <cellStyle name="Normal 21 3 4 2 3" xfId="53415"/>
    <cellStyle name="Normal 21 3 4 3" xfId="53416"/>
    <cellStyle name="Normal 21 3 4 4" xfId="53417"/>
    <cellStyle name="Normal 21 3 5" xfId="53418"/>
    <cellStyle name="Normal 21 3 5 2" xfId="53419"/>
    <cellStyle name="Normal 21 3 5 3" xfId="53420"/>
    <cellStyle name="Normal 21 3 6" xfId="53421"/>
    <cellStyle name="Normal 21 3 6 2" xfId="53422"/>
    <cellStyle name="Normal 21 3 6 3" xfId="53423"/>
    <cellStyle name="Normal 21 3 7" xfId="53424"/>
    <cellStyle name="Normal 21 3 8" xfId="53425"/>
    <cellStyle name="Normal 21 4" xfId="53426"/>
    <cellStyle name="Normal 21 4 2" xfId="53427"/>
    <cellStyle name="Normal 21 4 2 2" xfId="53428"/>
    <cellStyle name="Normal 21 4 2 2 2" xfId="53429"/>
    <cellStyle name="Normal 21 4 2 2 3" xfId="53430"/>
    <cellStyle name="Normal 21 4 2 3" xfId="53431"/>
    <cellStyle name="Normal 21 4 2 4" xfId="53432"/>
    <cellStyle name="Normal 21 4 3" xfId="53433"/>
    <cellStyle name="Normal 21 4 3 2" xfId="53434"/>
    <cellStyle name="Normal 21 4 3 3" xfId="53435"/>
    <cellStyle name="Normal 21 4 4" xfId="53436"/>
    <cellStyle name="Normal 21 4 4 2" xfId="53437"/>
    <cellStyle name="Normal 21 4 4 3" xfId="53438"/>
    <cellStyle name="Normal 21 4 5" xfId="53439"/>
    <cellStyle name="Normal 21 4 6" xfId="53440"/>
    <cellStyle name="Normal 21 5" xfId="53441"/>
    <cellStyle name="Normal 21 5 2" xfId="53442"/>
    <cellStyle name="Normal 21 5 2 2" xfId="53443"/>
    <cellStyle name="Normal 21 5 2 2 2" xfId="53444"/>
    <cellStyle name="Normal 21 5 2 2 3" xfId="53445"/>
    <cellStyle name="Normal 21 5 2 3" xfId="53446"/>
    <cellStyle name="Normal 21 5 2 4" xfId="53447"/>
    <cellStyle name="Normal 21 5 3" xfId="53448"/>
    <cellStyle name="Normal 21 5 3 2" xfId="53449"/>
    <cellStyle name="Normal 21 5 3 3" xfId="53450"/>
    <cellStyle name="Normal 21 5 4" xfId="53451"/>
    <cellStyle name="Normal 21 5 4 2" xfId="53452"/>
    <cellStyle name="Normal 21 5 4 3" xfId="53453"/>
    <cellStyle name="Normal 21 5 5" xfId="53454"/>
    <cellStyle name="Normal 21 5 6" xfId="53455"/>
    <cellStyle name="Normal 21 6" xfId="53456"/>
    <cellStyle name="Normal 21 6 2" xfId="53457"/>
    <cellStyle name="Normal 21 6 2 2" xfId="53458"/>
    <cellStyle name="Normal 21 6 2 3" xfId="53459"/>
    <cellStyle name="Normal 21 6 3" xfId="53460"/>
    <cellStyle name="Normal 21 6 4" xfId="53461"/>
    <cellStyle name="Normal 21 7" xfId="53462"/>
    <cellStyle name="Normal 21 7 2" xfId="53463"/>
    <cellStyle name="Normal 21 7 2 2" xfId="53464"/>
    <cellStyle name="Normal 21 7 2 3" xfId="53465"/>
    <cellStyle name="Normal 21 7 3" xfId="53466"/>
    <cellStyle name="Normal 21 7 4" xfId="53467"/>
    <cellStyle name="Normal 21 8" xfId="53468"/>
    <cellStyle name="Normal 21 8 2" xfId="53469"/>
    <cellStyle name="Normal 21 8 3" xfId="53470"/>
    <cellStyle name="Normal 21 9" xfId="53471"/>
    <cellStyle name="Normal 21 9 2" xfId="53472"/>
    <cellStyle name="Normal 21 9 3" xfId="53473"/>
    <cellStyle name="Normal 210" xfId="53474"/>
    <cellStyle name="Normal 210 2" xfId="53475"/>
    <cellStyle name="Normal 210 3" xfId="53476"/>
    <cellStyle name="Normal 211" xfId="53477"/>
    <cellStyle name="Normal 211 2" xfId="53478"/>
    <cellStyle name="Normal 211 3" xfId="53479"/>
    <cellStyle name="Normal 212" xfId="53480"/>
    <cellStyle name="Normal 212 2" xfId="53481"/>
    <cellStyle name="Normal 212 2 2" xfId="53482"/>
    <cellStyle name="Normal 212 2 2 2" xfId="53483"/>
    <cellStyle name="Normal 212 2 2 3" xfId="53484"/>
    <cellStyle name="Normal 212 2 3" xfId="53485"/>
    <cellStyle name="Normal 212 2 4" xfId="53486"/>
    <cellStyle name="Normal 212 3" xfId="53487"/>
    <cellStyle name="Normal 212 3 2" xfId="53488"/>
    <cellStyle name="Normal 212 3 3" xfId="53489"/>
    <cellStyle name="Normal 212 4" xfId="53490"/>
    <cellStyle name="Normal 212 4 2" xfId="53491"/>
    <cellStyle name="Normal 212 4 3" xfId="53492"/>
    <cellStyle name="Normal 212 5" xfId="53493"/>
    <cellStyle name="Normal 212 6" xfId="53494"/>
    <cellStyle name="Normal 213" xfId="53495"/>
    <cellStyle name="Normal 213 2" xfId="53496"/>
    <cellStyle name="Normal 213 2 2" xfId="53497"/>
    <cellStyle name="Normal 213 2 2 2" xfId="53498"/>
    <cellStyle name="Normal 213 2 2 3" xfId="53499"/>
    <cellStyle name="Normal 213 2 3" xfId="53500"/>
    <cellStyle name="Normal 213 2 4" xfId="53501"/>
    <cellStyle name="Normal 213 3" xfId="53502"/>
    <cellStyle name="Normal 213 3 2" xfId="53503"/>
    <cellStyle name="Normal 213 3 2 2" xfId="53504"/>
    <cellStyle name="Normal 213 3 2 3" xfId="53505"/>
    <cellStyle name="Normal 213 3 3" xfId="53506"/>
    <cellStyle name="Normal 213 3 4" xfId="53507"/>
    <cellStyle name="Normal 213 4" xfId="53508"/>
    <cellStyle name="Normal 213 4 2" xfId="53509"/>
    <cellStyle name="Normal 213 4 3" xfId="53510"/>
    <cellStyle name="Normal 213 5" xfId="53511"/>
    <cellStyle name="Normal 213 5 2" xfId="53512"/>
    <cellStyle name="Normal 213 5 3" xfId="53513"/>
    <cellStyle name="Normal 213 6" xfId="53514"/>
    <cellStyle name="Normal 213 7" xfId="53515"/>
    <cellStyle name="Normal 214" xfId="53516"/>
    <cellStyle name="Normal 214 2" xfId="53517"/>
    <cellStyle name="Normal 214 2 2" xfId="53518"/>
    <cellStyle name="Normal 214 2 3" xfId="53519"/>
    <cellStyle name="Normal 214 3" xfId="53520"/>
    <cellStyle name="Normal 214 4" xfId="53521"/>
    <cellStyle name="Normal 215" xfId="53522"/>
    <cellStyle name="Normal 215 2" xfId="53523"/>
    <cellStyle name="Normal 215 3" xfId="53524"/>
    <cellStyle name="Normal 216" xfId="53525"/>
    <cellStyle name="Normal 216 2" xfId="53526"/>
    <cellStyle name="Normal 216 3" xfId="53527"/>
    <cellStyle name="Normal 217" xfId="53528"/>
    <cellStyle name="Normal 217 2" xfId="53529"/>
    <cellStyle name="Normal 217 2 2" xfId="53530"/>
    <cellStyle name="Normal 217 2 3" xfId="53531"/>
    <cellStyle name="Normal 217 2 4" xfId="53532"/>
    <cellStyle name="Normal 217 3" xfId="53533"/>
    <cellStyle name="Normal 217 3 2" xfId="53534"/>
    <cellStyle name="Normal 217 3 3" xfId="53535"/>
    <cellStyle name="Normal 217 4" xfId="53536"/>
    <cellStyle name="Normal 217 4 2" xfId="53537"/>
    <cellStyle name="Normal 217 4 3" xfId="53538"/>
    <cellStyle name="Normal 217 5" xfId="53539"/>
    <cellStyle name="Normal 217 6" xfId="53540"/>
    <cellStyle name="Normal 217 7" xfId="53541"/>
    <cellStyle name="Normal 218" xfId="53542"/>
    <cellStyle name="Normal 218 2" xfId="53543"/>
    <cellStyle name="Normal 218 3" xfId="53544"/>
    <cellStyle name="Normal 218 4" xfId="53545"/>
    <cellStyle name="Normal 218 5" xfId="53546"/>
    <cellStyle name="Normal 219" xfId="53547"/>
    <cellStyle name="Normal 219 2" xfId="53548"/>
    <cellStyle name="Normal 219 2 2" xfId="53549"/>
    <cellStyle name="Normal 219 2 3" xfId="53550"/>
    <cellStyle name="Normal 219 3" xfId="53551"/>
    <cellStyle name="Normal 219 4" xfId="53552"/>
    <cellStyle name="Normal 219 5" xfId="53553"/>
    <cellStyle name="Normal 219 6" xfId="53554"/>
    <cellStyle name="Normal 22" xfId="53555"/>
    <cellStyle name="Normal 22 10" xfId="53556"/>
    <cellStyle name="Normal 22 11" xfId="53557"/>
    <cellStyle name="Normal 22 12" xfId="53558"/>
    <cellStyle name="Normal 22 2" xfId="53559"/>
    <cellStyle name="Normal 22 2 10" xfId="53560"/>
    <cellStyle name="Normal 22 2 2" xfId="53561"/>
    <cellStyle name="Normal 22 2 2 2" xfId="53562"/>
    <cellStyle name="Normal 22 2 2 2 2" xfId="53563"/>
    <cellStyle name="Normal 22 2 2 2 2 2" xfId="53564"/>
    <cellStyle name="Normal 22 2 2 2 2 2 2" xfId="53565"/>
    <cellStyle name="Normal 22 2 2 2 2 2 3" xfId="53566"/>
    <cellStyle name="Normal 22 2 2 2 2 3" xfId="53567"/>
    <cellStyle name="Normal 22 2 2 2 2 4" xfId="53568"/>
    <cellStyle name="Normal 22 2 2 2 3" xfId="53569"/>
    <cellStyle name="Normal 22 2 2 2 3 2" xfId="53570"/>
    <cellStyle name="Normal 22 2 2 2 3 3" xfId="53571"/>
    <cellStyle name="Normal 22 2 2 2 4" xfId="53572"/>
    <cellStyle name="Normal 22 2 2 2 4 2" xfId="53573"/>
    <cellStyle name="Normal 22 2 2 2 4 3" xfId="53574"/>
    <cellStyle name="Normal 22 2 2 2 5" xfId="53575"/>
    <cellStyle name="Normal 22 2 2 2 6" xfId="53576"/>
    <cellStyle name="Normal 22 2 2 3" xfId="53577"/>
    <cellStyle name="Normal 22 2 2 3 2" xfId="53578"/>
    <cellStyle name="Normal 22 2 2 3 2 2" xfId="53579"/>
    <cellStyle name="Normal 22 2 2 3 2 2 2" xfId="53580"/>
    <cellStyle name="Normal 22 2 2 3 2 2 3" xfId="53581"/>
    <cellStyle name="Normal 22 2 2 3 2 3" xfId="53582"/>
    <cellStyle name="Normal 22 2 2 3 2 4" xfId="53583"/>
    <cellStyle name="Normal 22 2 2 3 3" xfId="53584"/>
    <cellStyle name="Normal 22 2 2 3 3 2" xfId="53585"/>
    <cellStyle name="Normal 22 2 2 3 3 3" xfId="53586"/>
    <cellStyle name="Normal 22 2 2 3 4" xfId="53587"/>
    <cellStyle name="Normal 22 2 2 3 4 2" xfId="53588"/>
    <cellStyle name="Normal 22 2 2 3 4 3" xfId="53589"/>
    <cellStyle name="Normal 22 2 2 3 5" xfId="53590"/>
    <cellStyle name="Normal 22 2 2 3 6" xfId="53591"/>
    <cellStyle name="Normal 22 2 2 4" xfId="53592"/>
    <cellStyle name="Normal 22 2 2 4 2" xfId="53593"/>
    <cellStyle name="Normal 22 2 2 4 2 2" xfId="53594"/>
    <cellStyle name="Normal 22 2 2 4 2 3" xfId="53595"/>
    <cellStyle name="Normal 22 2 2 4 3" xfId="53596"/>
    <cellStyle name="Normal 22 2 2 4 4" xfId="53597"/>
    <cellStyle name="Normal 22 2 2 5" xfId="53598"/>
    <cellStyle name="Normal 22 2 2 5 2" xfId="53599"/>
    <cellStyle name="Normal 22 2 2 5 3" xfId="53600"/>
    <cellStyle name="Normal 22 2 2 6" xfId="53601"/>
    <cellStyle name="Normal 22 2 2 6 2" xfId="53602"/>
    <cellStyle name="Normal 22 2 2 6 3" xfId="53603"/>
    <cellStyle name="Normal 22 2 2 7" xfId="53604"/>
    <cellStyle name="Normal 22 2 2 8" xfId="53605"/>
    <cellStyle name="Normal 22 2 3" xfId="53606"/>
    <cellStyle name="Normal 22 2 3 2" xfId="53607"/>
    <cellStyle name="Normal 22 2 3 2 2" xfId="53608"/>
    <cellStyle name="Normal 22 2 3 2 2 2" xfId="53609"/>
    <cellStyle name="Normal 22 2 3 2 2 3" xfId="53610"/>
    <cellStyle name="Normal 22 2 3 2 3" xfId="53611"/>
    <cellStyle name="Normal 22 2 3 2 4" xfId="53612"/>
    <cellStyle name="Normal 22 2 3 3" xfId="53613"/>
    <cellStyle name="Normal 22 2 3 3 2" xfId="53614"/>
    <cellStyle name="Normal 22 2 3 3 3" xfId="53615"/>
    <cellStyle name="Normal 22 2 3 4" xfId="53616"/>
    <cellStyle name="Normal 22 2 3 4 2" xfId="53617"/>
    <cellStyle name="Normal 22 2 3 4 3" xfId="53618"/>
    <cellStyle name="Normal 22 2 3 5" xfId="53619"/>
    <cellStyle name="Normal 22 2 3 6" xfId="53620"/>
    <cellStyle name="Normal 22 2 4" xfId="53621"/>
    <cellStyle name="Normal 22 2 4 2" xfId="53622"/>
    <cellStyle name="Normal 22 2 4 2 2" xfId="53623"/>
    <cellStyle name="Normal 22 2 4 2 2 2" xfId="53624"/>
    <cellStyle name="Normal 22 2 4 2 2 3" xfId="53625"/>
    <cellStyle name="Normal 22 2 4 2 3" xfId="53626"/>
    <cellStyle name="Normal 22 2 4 2 4" xfId="53627"/>
    <cellStyle name="Normal 22 2 4 3" xfId="53628"/>
    <cellStyle name="Normal 22 2 4 3 2" xfId="53629"/>
    <cellStyle name="Normal 22 2 4 3 3" xfId="53630"/>
    <cellStyle name="Normal 22 2 4 4" xfId="53631"/>
    <cellStyle name="Normal 22 2 4 4 2" xfId="53632"/>
    <cellStyle name="Normal 22 2 4 4 3" xfId="53633"/>
    <cellStyle name="Normal 22 2 4 5" xfId="53634"/>
    <cellStyle name="Normal 22 2 4 6" xfId="53635"/>
    <cellStyle name="Normal 22 2 5" xfId="53636"/>
    <cellStyle name="Normal 22 2 5 2" xfId="53637"/>
    <cellStyle name="Normal 22 2 5 2 2" xfId="53638"/>
    <cellStyle name="Normal 22 2 5 2 3" xfId="53639"/>
    <cellStyle name="Normal 22 2 5 3" xfId="53640"/>
    <cellStyle name="Normal 22 2 5 4" xfId="53641"/>
    <cellStyle name="Normal 22 2 6" xfId="53642"/>
    <cellStyle name="Normal 22 2 6 2" xfId="53643"/>
    <cellStyle name="Normal 22 2 6 2 2" xfId="53644"/>
    <cellStyle name="Normal 22 2 6 2 3" xfId="53645"/>
    <cellStyle name="Normal 22 2 6 3" xfId="53646"/>
    <cellStyle name="Normal 22 2 6 4" xfId="53647"/>
    <cellStyle name="Normal 22 2 7" xfId="53648"/>
    <cellStyle name="Normal 22 2 7 2" xfId="53649"/>
    <cellStyle name="Normal 22 2 7 3" xfId="53650"/>
    <cellStyle name="Normal 22 2 8" xfId="53651"/>
    <cellStyle name="Normal 22 2 8 2" xfId="53652"/>
    <cellStyle name="Normal 22 2 8 3" xfId="53653"/>
    <cellStyle name="Normal 22 2 9" xfId="53654"/>
    <cellStyle name="Normal 22 3" xfId="53655"/>
    <cellStyle name="Normal 22 3 2" xfId="53656"/>
    <cellStyle name="Normal 22 3 2 2" xfId="53657"/>
    <cellStyle name="Normal 22 3 2 2 2" xfId="53658"/>
    <cellStyle name="Normal 22 3 2 2 2 2" xfId="53659"/>
    <cellStyle name="Normal 22 3 2 2 2 3" xfId="53660"/>
    <cellStyle name="Normal 22 3 2 2 3" xfId="53661"/>
    <cellStyle name="Normal 22 3 2 2 4" xfId="53662"/>
    <cellStyle name="Normal 22 3 2 3" xfId="53663"/>
    <cellStyle name="Normal 22 3 2 3 2" xfId="53664"/>
    <cellStyle name="Normal 22 3 2 3 3" xfId="53665"/>
    <cellStyle name="Normal 22 3 2 4" xfId="53666"/>
    <cellStyle name="Normal 22 3 2 4 2" xfId="53667"/>
    <cellStyle name="Normal 22 3 2 4 3" xfId="53668"/>
    <cellStyle name="Normal 22 3 2 5" xfId="53669"/>
    <cellStyle name="Normal 22 3 2 6" xfId="53670"/>
    <cellStyle name="Normal 22 3 3" xfId="53671"/>
    <cellStyle name="Normal 22 3 3 2" xfId="53672"/>
    <cellStyle name="Normal 22 3 3 2 2" xfId="53673"/>
    <cellStyle name="Normal 22 3 3 2 2 2" xfId="53674"/>
    <cellStyle name="Normal 22 3 3 2 2 3" xfId="53675"/>
    <cellStyle name="Normal 22 3 3 2 3" xfId="53676"/>
    <cellStyle name="Normal 22 3 3 2 4" xfId="53677"/>
    <cellStyle name="Normal 22 3 3 3" xfId="53678"/>
    <cellStyle name="Normal 22 3 3 3 2" xfId="53679"/>
    <cellStyle name="Normal 22 3 3 3 3" xfId="53680"/>
    <cellStyle name="Normal 22 3 3 4" xfId="53681"/>
    <cellStyle name="Normal 22 3 3 4 2" xfId="53682"/>
    <cellStyle name="Normal 22 3 3 4 3" xfId="53683"/>
    <cellStyle name="Normal 22 3 3 5" xfId="53684"/>
    <cellStyle name="Normal 22 3 3 6" xfId="53685"/>
    <cellStyle name="Normal 22 3 4" xfId="53686"/>
    <cellStyle name="Normal 22 3 4 2" xfId="53687"/>
    <cellStyle name="Normal 22 3 4 2 2" xfId="53688"/>
    <cellStyle name="Normal 22 3 4 2 3" xfId="53689"/>
    <cellStyle name="Normal 22 3 4 3" xfId="53690"/>
    <cellStyle name="Normal 22 3 4 4" xfId="53691"/>
    <cellStyle name="Normal 22 3 5" xfId="53692"/>
    <cellStyle name="Normal 22 3 5 2" xfId="53693"/>
    <cellStyle name="Normal 22 3 5 3" xfId="53694"/>
    <cellStyle name="Normal 22 3 6" xfId="53695"/>
    <cellStyle name="Normal 22 3 6 2" xfId="53696"/>
    <cellStyle name="Normal 22 3 6 3" xfId="53697"/>
    <cellStyle name="Normal 22 3 7" xfId="53698"/>
    <cellStyle name="Normal 22 3 8" xfId="53699"/>
    <cellStyle name="Normal 22 4" xfId="53700"/>
    <cellStyle name="Normal 22 4 2" xfId="53701"/>
    <cellStyle name="Normal 22 4 2 2" xfId="53702"/>
    <cellStyle name="Normal 22 4 2 2 2" xfId="53703"/>
    <cellStyle name="Normal 22 4 2 2 3" xfId="53704"/>
    <cellStyle name="Normal 22 4 2 3" xfId="53705"/>
    <cellStyle name="Normal 22 4 2 4" xfId="53706"/>
    <cellStyle name="Normal 22 4 3" xfId="53707"/>
    <cellStyle name="Normal 22 4 3 2" xfId="53708"/>
    <cellStyle name="Normal 22 4 3 3" xfId="53709"/>
    <cellStyle name="Normal 22 4 4" xfId="53710"/>
    <cellStyle name="Normal 22 4 4 2" xfId="53711"/>
    <cellStyle name="Normal 22 4 4 3" xfId="53712"/>
    <cellStyle name="Normal 22 4 5" xfId="53713"/>
    <cellStyle name="Normal 22 4 6" xfId="53714"/>
    <cellStyle name="Normal 22 5" xfId="53715"/>
    <cellStyle name="Normal 22 5 2" xfId="53716"/>
    <cellStyle name="Normal 22 5 2 2" xfId="53717"/>
    <cellStyle name="Normal 22 5 2 2 2" xfId="53718"/>
    <cellStyle name="Normal 22 5 2 2 3" xfId="53719"/>
    <cellStyle name="Normal 22 5 2 3" xfId="53720"/>
    <cellStyle name="Normal 22 5 2 4" xfId="53721"/>
    <cellStyle name="Normal 22 5 3" xfId="53722"/>
    <cellStyle name="Normal 22 5 3 2" xfId="53723"/>
    <cellStyle name="Normal 22 5 3 3" xfId="53724"/>
    <cellStyle name="Normal 22 5 4" xfId="53725"/>
    <cellStyle name="Normal 22 5 4 2" xfId="53726"/>
    <cellStyle name="Normal 22 5 4 3" xfId="53727"/>
    <cellStyle name="Normal 22 5 5" xfId="53728"/>
    <cellStyle name="Normal 22 5 6" xfId="53729"/>
    <cellStyle name="Normal 22 6" xfId="53730"/>
    <cellStyle name="Normal 22 6 2" xfId="53731"/>
    <cellStyle name="Normal 22 6 2 2" xfId="53732"/>
    <cellStyle name="Normal 22 6 2 3" xfId="53733"/>
    <cellStyle name="Normal 22 6 3" xfId="53734"/>
    <cellStyle name="Normal 22 6 4" xfId="53735"/>
    <cellStyle name="Normal 22 7" xfId="53736"/>
    <cellStyle name="Normal 22 7 2" xfId="53737"/>
    <cellStyle name="Normal 22 7 2 2" xfId="53738"/>
    <cellStyle name="Normal 22 7 2 3" xfId="53739"/>
    <cellStyle name="Normal 22 7 3" xfId="53740"/>
    <cellStyle name="Normal 22 7 4" xfId="53741"/>
    <cellStyle name="Normal 22 8" xfId="53742"/>
    <cellStyle name="Normal 22 8 2" xfId="53743"/>
    <cellStyle name="Normal 22 8 3" xfId="53744"/>
    <cellStyle name="Normal 22 9" xfId="53745"/>
    <cellStyle name="Normal 22 9 2" xfId="53746"/>
    <cellStyle name="Normal 22 9 3" xfId="53747"/>
    <cellStyle name="Normal 220" xfId="53748"/>
    <cellStyle name="Normal 220 2" xfId="53749"/>
    <cellStyle name="Normal 220 2 2" xfId="53750"/>
    <cellStyle name="Normal 220 2 3" xfId="53751"/>
    <cellStyle name="Normal 220 3" xfId="53752"/>
    <cellStyle name="Normal 220 4" xfId="53753"/>
    <cellStyle name="Normal 220 5" xfId="53754"/>
    <cellStyle name="Normal 220 6" xfId="53755"/>
    <cellStyle name="Normal 221" xfId="53756"/>
    <cellStyle name="Normal 221 2" xfId="53757"/>
    <cellStyle name="Normal 221 2 2" xfId="53758"/>
    <cellStyle name="Normal 221 2 3" xfId="53759"/>
    <cellStyle name="Normal 221 3" xfId="53760"/>
    <cellStyle name="Normal 221 4" xfId="53761"/>
    <cellStyle name="Normal 221 5" xfId="53762"/>
    <cellStyle name="Normal 221 6" xfId="53763"/>
    <cellStyle name="Normal 222" xfId="53764"/>
    <cellStyle name="Normal 222 2" xfId="53765"/>
    <cellStyle name="Normal 222 2 2" xfId="53766"/>
    <cellStyle name="Normal 222 2 3" xfId="53767"/>
    <cellStyle name="Normal 222 3" xfId="53768"/>
    <cellStyle name="Normal 222 4" xfId="53769"/>
    <cellStyle name="Normal 222 5" xfId="53770"/>
    <cellStyle name="Normal 222 6" xfId="53771"/>
    <cellStyle name="Normal 223" xfId="53772"/>
    <cellStyle name="Normal 223 2" xfId="53773"/>
    <cellStyle name="Normal 223 2 2" xfId="53774"/>
    <cellStyle name="Normal 223 2 3" xfId="53775"/>
    <cellStyle name="Normal 223 3" xfId="53776"/>
    <cellStyle name="Normal 223 4" xfId="53777"/>
    <cellStyle name="Normal 223 5" xfId="53778"/>
    <cellStyle name="Normal 223 6" xfId="53779"/>
    <cellStyle name="Normal 224" xfId="53780"/>
    <cellStyle name="Normal 224 2" xfId="53781"/>
    <cellStyle name="Normal 224 2 2" xfId="53782"/>
    <cellStyle name="Normal 224 2 3" xfId="53783"/>
    <cellStyle name="Normal 224 3" xfId="53784"/>
    <cellStyle name="Normal 224 3 2" xfId="53785"/>
    <cellStyle name="Normal 224 3 3" xfId="53786"/>
    <cellStyle name="Normal 224 4" xfId="53787"/>
    <cellStyle name="Normal 224 5" xfId="53788"/>
    <cellStyle name="Normal 224 6" xfId="53789"/>
    <cellStyle name="Normal 224 7" xfId="53790"/>
    <cellStyle name="Normal 225" xfId="53791"/>
    <cellStyle name="Normal 225 2" xfId="53792"/>
    <cellStyle name="Normal 225 2 2" xfId="53793"/>
    <cellStyle name="Normal 225 2 3" xfId="53794"/>
    <cellStyle name="Normal 225 3" xfId="53795"/>
    <cellStyle name="Normal 225 4" xfId="53796"/>
    <cellStyle name="Normal 225 5" xfId="53797"/>
    <cellStyle name="Normal 225 6" xfId="53798"/>
    <cellStyle name="Normal 226" xfId="53799"/>
    <cellStyle name="Normal 226 2" xfId="53800"/>
    <cellStyle name="Normal 226 2 2" xfId="53801"/>
    <cellStyle name="Normal 226 2 3" xfId="53802"/>
    <cellStyle name="Normal 226 3" xfId="53803"/>
    <cellStyle name="Normal 226 3 2" xfId="53804"/>
    <cellStyle name="Normal 226 3 3" xfId="53805"/>
    <cellStyle name="Normal 226 4" xfId="53806"/>
    <cellStyle name="Normal 226 5" xfId="53807"/>
    <cellStyle name="Normal 226 6" xfId="53808"/>
    <cellStyle name="Normal 226 7" xfId="53809"/>
    <cellStyle name="Normal 227" xfId="53810"/>
    <cellStyle name="Normal 227 2" xfId="53811"/>
    <cellStyle name="Normal 227 2 2" xfId="53812"/>
    <cellStyle name="Normal 227 2 3" xfId="53813"/>
    <cellStyle name="Normal 227 3" xfId="53814"/>
    <cellStyle name="Normal 227 4" xfId="53815"/>
    <cellStyle name="Normal 227 5" xfId="53816"/>
    <cellStyle name="Normal 227 6" xfId="53817"/>
    <cellStyle name="Normal 228" xfId="53818"/>
    <cellStyle name="Normal 228 2" xfId="53819"/>
    <cellStyle name="Normal 228 2 2" xfId="53820"/>
    <cellStyle name="Normal 228 2 3" xfId="53821"/>
    <cellStyle name="Normal 228 3" xfId="53822"/>
    <cellStyle name="Normal 228 4" xfId="53823"/>
    <cellStyle name="Normal 228 5" xfId="53824"/>
    <cellStyle name="Normal 228 6" xfId="53825"/>
    <cellStyle name="Normal 229" xfId="53826"/>
    <cellStyle name="Normal 229 2" xfId="53827"/>
    <cellStyle name="Normal 229 2 2" xfId="53828"/>
    <cellStyle name="Normal 229 2 3" xfId="53829"/>
    <cellStyle name="Normal 229 3" xfId="53830"/>
    <cellStyle name="Normal 229 4" xfId="53831"/>
    <cellStyle name="Normal 229 5" xfId="53832"/>
    <cellStyle name="Normal 229 6" xfId="53833"/>
    <cellStyle name="Normal 23" xfId="53834"/>
    <cellStyle name="Normal 23 10" xfId="53835"/>
    <cellStyle name="Normal 23 11" xfId="53836"/>
    <cellStyle name="Normal 23 12" xfId="53837"/>
    <cellStyle name="Normal 23 2" xfId="53838"/>
    <cellStyle name="Normal 23 2 10" xfId="53839"/>
    <cellStyle name="Normal 23 2 2" xfId="53840"/>
    <cellStyle name="Normal 23 2 2 2" xfId="53841"/>
    <cellStyle name="Normal 23 2 2 2 2" xfId="53842"/>
    <cellStyle name="Normal 23 2 2 2 2 2" xfId="53843"/>
    <cellStyle name="Normal 23 2 2 2 2 2 2" xfId="53844"/>
    <cellStyle name="Normal 23 2 2 2 2 2 3" xfId="53845"/>
    <cellStyle name="Normal 23 2 2 2 2 3" xfId="53846"/>
    <cellStyle name="Normal 23 2 2 2 2 4" xfId="53847"/>
    <cellStyle name="Normal 23 2 2 2 3" xfId="53848"/>
    <cellStyle name="Normal 23 2 2 2 3 2" xfId="53849"/>
    <cellStyle name="Normal 23 2 2 2 3 3" xfId="53850"/>
    <cellStyle name="Normal 23 2 2 2 4" xfId="53851"/>
    <cellStyle name="Normal 23 2 2 2 4 2" xfId="53852"/>
    <cellStyle name="Normal 23 2 2 2 4 3" xfId="53853"/>
    <cellStyle name="Normal 23 2 2 2 5" xfId="53854"/>
    <cellStyle name="Normal 23 2 2 2 6" xfId="53855"/>
    <cellStyle name="Normal 23 2 2 3" xfId="53856"/>
    <cellStyle name="Normal 23 2 2 3 2" xfId="53857"/>
    <cellStyle name="Normal 23 2 2 3 2 2" xfId="53858"/>
    <cellStyle name="Normal 23 2 2 3 2 2 2" xfId="53859"/>
    <cellStyle name="Normal 23 2 2 3 2 2 3" xfId="53860"/>
    <cellStyle name="Normal 23 2 2 3 2 3" xfId="53861"/>
    <cellStyle name="Normal 23 2 2 3 2 4" xfId="53862"/>
    <cellStyle name="Normal 23 2 2 3 3" xfId="53863"/>
    <cellStyle name="Normal 23 2 2 3 3 2" xfId="53864"/>
    <cellStyle name="Normal 23 2 2 3 3 3" xfId="53865"/>
    <cellStyle name="Normal 23 2 2 3 4" xfId="53866"/>
    <cellStyle name="Normal 23 2 2 3 4 2" xfId="53867"/>
    <cellStyle name="Normal 23 2 2 3 4 3" xfId="53868"/>
    <cellStyle name="Normal 23 2 2 3 5" xfId="53869"/>
    <cellStyle name="Normal 23 2 2 3 6" xfId="53870"/>
    <cellStyle name="Normal 23 2 2 4" xfId="53871"/>
    <cellStyle name="Normal 23 2 2 4 2" xfId="53872"/>
    <cellStyle name="Normal 23 2 2 4 2 2" xfId="53873"/>
    <cellStyle name="Normal 23 2 2 4 2 3" xfId="53874"/>
    <cellStyle name="Normal 23 2 2 4 3" xfId="53875"/>
    <cellStyle name="Normal 23 2 2 4 4" xfId="53876"/>
    <cellStyle name="Normal 23 2 2 5" xfId="53877"/>
    <cellStyle name="Normal 23 2 2 5 2" xfId="53878"/>
    <cellStyle name="Normal 23 2 2 5 3" xfId="53879"/>
    <cellStyle name="Normal 23 2 2 6" xfId="53880"/>
    <cellStyle name="Normal 23 2 2 6 2" xfId="53881"/>
    <cellStyle name="Normal 23 2 2 6 3" xfId="53882"/>
    <cellStyle name="Normal 23 2 2 7" xfId="53883"/>
    <cellStyle name="Normal 23 2 2 8" xfId="53884"/>
    <cellStyle name="Normal 23 2 3" xfId="53885"/>
    <cellStyle name="Normal 23 2 3 2" xfId="53886"/>
    <cellStyle name="Normal 23 2 3 2 2" xfId="53887"/>
    <cellStyle name="Normal 23 2 3 2 2 2" xfId="53888"/>
    <cellStyle name="Normal 23 2 3 2 2 3" xfId="53889"/>
    <cellStyle name="Normal 23 2 3 2 3" xfId="53890"/>
    <cellStyle name="Normal 23 2 3 2 4" xfId="53891"/>
    <cellStyle name="Normal 23 2 3 3" xfId="53892"/>
    <cellStyle name="Normal 23 2 3 3 2" xfId="53893"/>
    <cellStyle name="Normal 23 2 3 3 3" xfId="53894"/>
    <cellStyle name="Normal 23 2 3 4" xfId="53895"/>
    <cellStyle name="Normal 23 2 3 4 2" xfId="53896"/>
    <cellStyle name="Normal 23 2 3 4 3" xfId="53897"/>
    <cellStyle name="Normal 23 2 3 5" xfId="53898"/>
    <cellStyle name="Normal 23 2 3 6" xfId="53899"/>
    <cellStyle name="Normal 23 2 4" xfId="53900"/>
    <cellStyle name="Normal 23 2 4 2" xfId="53901"/>
    <cellStyle name="Normal 23 2 4 2 2" xfId="53902"/>
    <cellStyle name="Normal 23 2 4 2 2 2" xfId="53903"/>
    <cellStyle name="Normal 23 2 4 2 2 3" xfId="53904"/>
    <cellStyle name="Normal 23 2 4 2 3" xfId="53905"/>
    <cellStyle name="Normal 23 2 4 2 4" xfId="53906"/>
    <cellStyle name="Normal 23 2 4 3" xfId="53907"/>
    <cellStyle name="Normal 23 2 4 3 2" xfId="53908"/>
    <cellStyle name="Normal 23 2 4 3 3" xfId="53909"/>
    <cellStyle name="Normal 23 2 4 4" xfId="53910"/>
    <cellStyle name="Normal 23 2 4 4 2" xfId="53911"/>
    <cellStyle name="Normal 23 2 4 4 3" xfId="53912"/>
    <cellStyle name="Normal 23 2 4 5" xfId="53913"/>
    <cellStyle name="Normal 23 2 4 6" xfId="53914"/>
    <cellStyle name="Normal 23 2 5" xfId="53915"/>
    <cellStyle name="Normal 23 2 5 2" xfId="53916"/>
    <cellStyle name="Normal 23 2 5 2 2" xfId="53917"/>
    <cellStyle name="Normal 23 2 5 2 3" xfId="53918"/>
    <cellStyle name="Normal 23 2 5 3" xfId="53919"/>
    <cellStyle name="Normal 23 2 5 4" xfId="53920"/>
    <cellStyle name="Normal 23 2 6" xfId="53921"/>
    <cellStyle name="Normal 23 2 6 2" xfId="53922"/>
    <cellStyle name="Normal 23 2 6 2 2" xfId="53923"/>
    <cellStyle name="Normal 23 2 6 2 3" xfId="53924"/>
    <cellStyle name="Normal 23 2 6 3" xfId="53925"/>
    <cellStyle name="Normal 23 2 6 4" xfId="53926"/>
    <cellStyle name="Normal 23 2 7" xfId="53927"/>
    <cellStyle name="Normal 23 2 7 2" xfId="53928"/>
    <cellStyle name="Normal 23 2 7 3" xfId="53929"/>
    <cellStyle name="Normal 23 2 8" xfId="53930"/>
    <cellStyle name="Normal 23 2 8 2" xfId="53931"/>
    <cellStyle name="Normal 23 2 8 3" xfId="53932"/>
    <cellStyle name="Normal 23 2 9" xfId="53933"/>
    <cellStyle name="Normal 23 3" xfId="53934"/>
    <cellStyle name="Normal 23 3 2" xfId="53935"/>
    <cellStyle name="Normal 23 3 2 2" xfId="53936"/>
    <cellStyle name="Normal 23 3 2 2 2" xfId="53937"/>
    <cellStyle name="Normal 23 3 2 2 2 2" xfId="53938"/>
    <cellStyle name="Normal 23 3 2 2 2 3" xfId="53939"/>
    <cellStyle name="Normal 23 3 2 2 3" xfId="53940"/>
    <cellStyle name="Normal 23 3 2 2 4" xfId="53941"/>
    <cellStyle name="Normal 23 3 2 3" xfId="53942"/>
    <cellStyle name="Normal 23 3 2 3 2" xfId="53943"/>
    <cellStyle name="Normal 23 3 2 3 3" xfId="53944"/>
    <cellStyle name="Normal 23 3 2 4" xfId="53945"/>
    <cellStyle name="Normal 23 3 2 4 2" xfId="53946"/>
    <cellStyle name="Normal 23 3 2 4 3" xfId="53947"/>
    <cellStyle name="Normal 23 3 2 5" xfId="53948"/>
    <cellStyle name="Normal 23 3 2 6" xfId="53949"/>
    <cellStyle name="Normal 23 3 3" xfId="53950"/>
    <cellStyle name="Normal 23 3 3 2" xfId="53951"/>
    <cellStyle name="Normal 23 3 3 2 2" xfId="53952"/>
    <cellStyle name="Normal 23 3 3 2 2 2" xfId="53953"/>
    <cellStyle name="Normal 23 3 3 2 2 3" xfId="53954"/>
    <cellStyle name="Normal 23 3 3 2 3" xfId="53955"/>
    <cellStyle name="Normal 23 3 3 2 4" xfId="53956"/>
    <cellStyle name="Normal 23 3 3 3" xfId="53957"/>
    <cellStyle name="Normal 23 3 3 3 2" xfId="53958"/>
    <cellStyle name="Normal 23 3 3 3 3" xfId="53959"/>
    <cellStyle name="Normal 23 3 3 4" xfId="53960"/>
    <cellStyle name="Normal 23 3 3 4 2" xfId="53961"/>
    <cellStyle name="Normal 23 3 3 4 3" xfId="53962"/>
    <cellStyle name="Normal 23 3 3 5" xfId="53963"/>
    <cellStyle name="Normal 23 3 3 6" xfId="53964"/>
    <cellStyle name="Normal 23 3 4" xfId="53965"/>
    <cellStyle name="Normal 23 3 4 2" xfId="53966"/>
    <cellStyle name="Normal 23 3 4 2 2" xfId="53967"/>
    <cellStyle name="Normal 23 3 4 2 3" xfId="53968"/>
    <cellStyle name="Normal 23 3 4 3" xfId="53969"/>
    <cellStyle name="Normal 23 3 4 4" xfId="53970"/>
    <cellStyle name="Normal 23 3 5" xfId="53971"/>
    <cellStyle name="Normal 23 3 5 2" xfId="53972"/>
    <cellStyle name="Normal 23 3 5 3" xfId="53973"/>
    <cellStyle name="Normal 23 3 6" xfId="53974"/>
    <cellStyle name="Normal 23 3 6 2" xfId="53975"/>
    <cellStyle name="Normal 23 3 6 3" xfId="53976"/>
    <cellStyle name="Normal 23 3 7" xfId="53977"/>
    <cellStyle name="Normal 23 3 8" xfId="53978"/>
    <cellStyle name="Normal 23 4" xfId="53979"/>
    <cellStyle name="Normal 23 4 2" xfId="53980"/>
    <cellStyle name="Normal 23 4 2 2" xfId="53981"/>
    <cellStyle name="Normal 23 4 2 2 2" xfId="53982"/>
    <cellStyle name="Normal 23 4 2 2 3" xfId="53983"/>
    <cellStyle name="Normal 23 4 2 3" xfId="53984"/>
    <cellStyle name="Normal 23 4 2 4" xfId="53985"/>
    <cellStyle name="Normal 23 4 3" xfId="53986"/>
    <cellStyle name="Normal 23 4 3 2" xfId="53987"/>
    <cellStyle name="Normal 23 4 3 3" xfId="53988"/>
    <cellStyle name="Normal 23 4 4" xfId="53989"/>
    <cellStyle name="Normal 23 4 4 2" xfId="53990"/>
    <cellStyle name="Normal 23 4 4 3" xfId="53991"/>
    <cellStyle name="Normal 23 4 5" xfId="53992"/>
    <cellStyle name="Normal 23 4 6" xfId="53993"/>
    <cellStyle name="Normal 23 5" xfId="53994"/>
    <cellStyle name="Normal 23 5 2" xfId="53995"/>
    <cellStyle name="Normal 23 5 2 2" xfId="53996"/>
    <cellStyle name="Normal 23 5 2 2 2" xfId="53997"/>
    <cellStyle name="Normal 23 5 2 2 3" xfId="53998"/>
    <cellStyle name="Normal 23 5 2 3" xfId="53999"/>
    <cellStyle name="Normal 23 5 2 4" xfId="54000"/>
    <cellStyle name="Normal 23 5 3" xfId="54001"/>
    <cellStyle name="Normal 23 5 3 2" xfId="54002"/>
    <cellStyle name="Normal 23 5 3 3" xfId="54003"/>
    <cellStyle name="Normal 23 5 4" xfId="54004"/>
    <cellStyle name="Normal 23 5 4 2" xfId="54005"/>
    <cellStyle name="Normal 23 5 4 3" xfId="54006"/>
    <cellStyle name="Normal 23 5 5" xfId="54007"/>
    <cellStyle name="Normal 23 5 6" xfId="54008"/>
    <cellStyle name="Normal 23 6" xfId="54009"/>
    <cellStyle name="Normal 23 6 2" xfId="54010"/>
    <cellStyle name="Normal 23 6 2 2" xfId="54011"/>
    <cellStyle name="Normal 23 6 2 3" xfId="54012"/>
    <cellStyle name="Normal 23 6 3" xfId="54013"/>
    <cellStyle name="Normal 23 6 4" xfId="54014"/>
    <cellStyle name="Normal 23 7" xfId="54015"/>
    <cellStyle name="Normal 23 7 2" xfId="54016"/>
    <cellStyle name="Normal 23 7 2 2" xfId="54017"/>
    <cellStyle name="Normal 23 7 2 3" xfId="54018"/>
    <cellStyle name="Normal 23 7 3" xfId="54019"/>
    <cellStyle name="Normal 23 7 4" xfId="54020"/>
    <cellStyle name="Normal 23 8" xfId="54021"/>
    <cellStyle name="Normal 23 8 2" xfId="54022"/>
    <cellStyle name="Normal 23 8 3" xfId="54023"/>
    <cellStyle name="Normal 23 9" xfId="54024"/>
    <cellStyle name="Normal 23 9 2" xfId="54025"/>
    <cellStyle name="Normal 23 9 3" xfId="54026"/>
    <cellStyle name="Normal 230" xfId="54027"/>
    <cellStyle name="Normal 230 2" xfId="54028"/>
    <cellStyle name="Normal 230 2 2" xfId="54029"/>
    <cellStyle name="Normal 230 2 3" xfId="54030"/>
    <cellStyle name="Normal 230 3" xfId="54031"/>
    <cellStyle name="Normal 230 4" xfId="54032"/>
    <cellStyle name="Normal 230 5" xfId="54033"/>
    <cellStyle name="Normal 230 6" xfId="54034"/>
    <cellStyle name="Normal 231" xfId="54035"/>
    <cellStyle name="Normal 231 2" xfId="54036"/>
    <cellStyle name="Normal 231 2 2" xfId="54037"/>
    <cellStyle name="Normal 231 2 3" xfId="54038"/>
    <cellStyle name="Normal 231 3" xfId="54039"/>
    <cellStyle name="Normal 231 4" xfId="54040"/>
    <cellStyle name="Normal 231 5" xfId="54041"/>
    <cellStyle name="Normal 231 6" xfId="54042"/>
    <cellStyle name="Normal 232" xfId="54043"/>
    <cellStyle name="Normal 232 2" xfId="54044"/>
    <cellStyle name="Normal 232 2 2" xfId="54045"/>
    <cellStyle name="Normal 232 2 3" xfId="54046"/>
    <cellStyle name="Normal 232 3" xfId="54047"/>
    <cellStyle name="Normal 232 4" xfId="54048"/>
    <cellStyle name="Normal 232 5" xfId="54049"/>
    <cellStyle name="Normal 232 6" xfId="54050"/>
    <cellStyle name="Normal 233" xfId="54051"/>
    <cellStyle name="Normal 233 2" xfId="54052"/>
    <cellStyle name="Normal 233 2 2" xfId="54053"/>
    <cellStyle name="Normal 233 2 3" xfId="54054"/>
    <cellStyle name="Normal 233 3" xfId="54055"/>
    <cellStyle name="Normal 233 4" xfId="54056"/>
    <cellStyle name="Normal 233 5" xfId="54057"/>
    <cellStyle name="Normal 233 6" xfId="54058"/>
    <cellStyle name="Normal 234" xfId="54059"/>
    <cellStyle name="Normal 234 2" xfId="54060"/>
    <cellStyle name="Normal 234 3" xfId="54061"/>
    <cellStyle name="Normal 234 4" xfId="54062"/>
    <cellStyle name="Normal 234 5" xfId="54063"/>
    <cellStyle name="Normal 235" xfId="54064"/>
    <cellStyle name="Normal 235 2" xfId="54065"/>
    <cellStyle name="Normal 235 3" xfId="54066"/>
    <cellStyle name="Normal 235 4" xfId="54067"/>
    <cellStyle name="Normal 235 5" xfId="54068"/>
    <cellStyle name="Normal 236" xfId="54069"/>
    <cellStyle name="Normal 236 2" xfId="54070"/>
    <cellStyle name="Normal 236 3" xfId="54071"/>
    <cellStyle name="Normal 236 4" xfId="54072"/>
    <cellStyle name="Normal 236 5" xfId="54073"/>
    <cellStyle name="Normal 237" xfId="54074"/>
    <cellStyle name="Normal 237 2" xfId="54075"/>
    <cellStyle name="Normal 237 3" xfId="54076"/>
    <cellStyle name="Normal 237 4" xfId="54077"/>
    <cellStyle name="Normal 237 5" xfId="54078"/>
    <cellStyle name="Normal 238" xfId="54079"/>
    <cellStyle name="Normal 238 2" xfId="54080"/>
    <cellStyle name="Normal 238 3" xfId="54081"/>
    <cellStyle name="Normal 238 4" xfId="54082"/>
    <cellStyle name="Normal 238 5" xfId="54083"/>
    <cellStyle name="Normal 239" xfId="54084"/>
    <cellStyle name="Normal 239 2" xfId="54085"/>
    <cellStyle name="Normal 239 3" xfId="54086"/>
    <cellStyle name="Normal 239 4" xfId="54087"/>
    <cellStyle name="Normal 239 5" xfId="54088"/>
    <cellStyle name="Normal 24" xfId="54089"/>
    <cellStyle name="Normal 24 10" xfId="54090"/>
    <cellStyle name="Normal 24 11" xfId="54091"/>
    <cellStyle name="Normal 24 2" xfId="54092"/>
    <cellStyle name="Normal 24 2 10" xfId="54093"/>
    <cellStyle name="Normal 24 2 2" xfId="54094"/>
    <cellStyle name="Normal 24 2 2 2" xfId="54095"/>
    <cellStyle name="Normal 24 2 2 2 2" xfId="54096"/>
    <cellStyle name="Normal 24 2 2 2 2 2" xfId="54097"/>
    <cellStyle name="Normal 24 2 2 2 2 2 2" xfId="54098"/>
    <cellStyle name="Normal 24 2 2 2 2 2 3" xfId="54099"/>
    <cellStyle name="Normal 24 2 2 2 2 3" xfId="54100"/>
    <cellStyle name="Normal 24 2 2 2 2 4" xfId="54101"/>
    <cellStyle name="Normal 24 2 2 2 3" xfId="54102"/>
    <cellStyle name="Normal 24 2 2 2 3 2" xfId="54103"/>
    <cellStyle name="Normal 24 2 2 2 3 3" xfId="54104"/>
    <cellStyle name="Normal 24 2 2 2 4" xfId="54105"/>
    <cellStyle name="Normal 24 2 2 2 4 2" xfId="54106"/>
    <cellStyle name="Normal 24 2 2 2 4 3" xfId="54107"/>
    <cellStyle name="Normal 24 2 2 2 5" xfId="54108"/>
    <cellStyle name="Normal 24 2 2 2 6" xfId="54109"/>
    <cellStyle name="Normal 24 2 2 3" xfId="54110"/>
    <cellStyle name="Normal 24 2 2 3 2" xfId="54111"/>
    <cellStyle name="Normal 24 2 2 3 2 2" xfId="54112"/>
    <cellStyle name="Normal 24 2 2 3 2 2 2" xfId="54113"/>
    <cellStyle name="Normal 24 2 2 3 2 2 3" xfId="54114"/>
    <cellStyle name="Normal 24 2 2 3 2 3" xfId="54115"/>
    <cellStyle name="Normal 24 2 2 3 2 4" xfId="54116"/>
    <cellStyle name="Normal 24 2 2 3 3" xfId="54117"/>
    <cellStyle name="Normal 24 2 2 3 3 2" xfId="54118"/>
    <cellStyle name="Normal 24 2 2 3 3 3" xfId="54119"/>
    <cellStyle name="Normal 24 2 2 3 4" xfId="54120"/>
    <cellStyle name="Normal 24 2 2 3 4 2" xfId="54121"/>
    <cellStyle name="Normal 24 2 2 3 4 3" xfId="54122"/>
    <cellStyle name="Normal 24 2 2 3 5" xfId="54123"/>
    <cellStyle name="Normal 24 2 2 3 6" xfId="54124"/>
    <cellStyle name="Normal 24 2 2 4" xfId="54125"/>
    <cellStyle name="Normal 24 2 2 4 2" xfId="54126"/>
    <cellStyle name="Normal 24 2 2 4 2 2" xfId="54127"/>
    <cellStyle name="Normal 24 2 2 4 2 3" xfId="54128"/>
    <cellStyle name="Normal 24 2 2 4 3" xfId="54129"/>
    <cellStyle name="Normal 24 2 2 4 4" xfId="54130"/>
    <cellStyle name="Normal 24 2 2 5" xfId="54131"/>
    <cellStyle name="Normal 24 2 2 5 2" xfId="54132"/>
    <cellStyle name="Normal 24 2 2 5 3" xfId="54133"/>
    <cellStyle name="Normal 24 2 2 6" xfId="54134"/>
    <cellStyle name="Normal 24 2 2 6 2" xfId="54135"/>
    <cellStyle name="Normal 24 2 2 6 3" xfId="54136"/>
    <cellStyle name="Normal 24 2 2 7" xfId="54137"/>
    <cellStyle name="Normal 24 2 2 8" xfId="54138"/>
    <cellStyle name="Normal 24 2 3" xfId="54139"/>
    <cellStyle name="Normal 24 2 3 2" xfId="54140"/>
    <cellStyle name="Normal 24 2 3 2 2" xfId="54141"/>
    <cellStyle name="Normal 24 2 3 2 2 2" xfId="54142"/>
    <cellStyle name="Normal 24 2 3 2 2 3" xfId="54143"/>
    <cellStyle name="Normal 24 2 3 2 3" xfId="54144"/>
    <cellStyle name="Normal 24 2 3 2 4" xfId="54145"/>
    <cellStyle name="Normal 24 2 3 3" xfId="54146"/>
    <cellStyle name="Normal 24 2 3 3 2" xfId="54147"/>
    <cellStyle name="Normal 24 2 3 3 3" xfId="54148"/>
    <cellStyle name="Normal 24 2 3 4" xfId="54149"/>
    <cellStyle name="Normal 24 2 3 4 2" xfId="54150"/>
    <cellStyle name="Normal 24 2 3 4 3" xfId="54151"/>
    <cellStyle name="Normal 24 2 3 5" xfId="54152"/>
    <cellStyle name="Normal 24 2 3 6" xfId="54153"/>
    <cellStyle name="Normal 24 2 4" xfId="54154"/>
    <cellStyle name="Normal 24 2 4 2" xfId="54155"/>
    <cellStyle name="Normal 24 2 4 2 2" xfId="54156"/>
    <cellStyle name="Normal 24 2 4 2 2 2" xfId="54157"/>
    <cellStyle name="Normal 24 2 4 2 2 3" xfId="54158"/>
    <cellStyle name="Normal 24 2 4 2 3" xfId="54159"/>
    <cellStyle name="Normal 24 2 4 2 4" xfId="54160"/>
    <cellStyle name="Normal 24 2 4 3" xfId="54161"/>
    <cellStyle name="Normal 24 2 4 3 2" xfId="54162"/>
    <cellStyle name="Normal 24 2 4 3 3" xfId="54163"/>
    <cellStyle name="Normal 24 2 4 4" xfId="54164"/>
    <cellStyle name="Normal 24 2 4 4 2" xfId="54165"/>
    <cellStyle name="Normal 24 2 4 4 3" xfId="54166"/>
    <cellStyle name="Normal 24 2 4 5" xfId="54167"/>
    <cellStyle name="Normal 24 2 4 6" xfId="54168"/>
    <cellStyle name="Normal 24 2 5" xfId="54169"/>
    <cellStyle name="Normal 24 2 5 2" xfId="54170"/>
    <cellStyle name="Normal 24 2 5 2 2" xfId="54171"/>
    <cellStyle name="Normal 24 2 5 2 3" xfId="54172"/>
    <cellStyle name="Normal 24 2 5 3" xfId="54173"/>
    <cellStyle name="Normal 24 2 5 4" xfId="54174"/>
    <cellStyle name="Normal 24 2 6" xfId="54175"/>
    <cellStyle name="Normal 24 2 6 2" xfId="54176"/>
    <cellStyle name="Normal 24 2 6 2 2" xfId="54177"/>
    <cellStyle name="Normal 24 2 6 2 3" xfId="54178"/>
    <cellStyle name="Normal 24 2 6 3" xfId="54179"/>
    <cellStyle name="Normal 24 2 6 4" xfId="54180"/>
    <cellStyle name="Normal 24 2 7" xfId="54181"/>
    <cellStyle name="Normal 24 2 7 2" xfId="54182"/>
    <cellStyle name="Normal 24 2 7 3" xfId="54183"/>
    <cellStyle name="Normal 24 2 8" xfId="54184"/>
    <cellStyle name="Normal 24 2 8 2" xfId="54185"/>
    <cellStyle name="Normal 24 2 8 3" xfId="54186"/>
    <cellStyle name="Normal 24 2 9" xfId="54187"/>
    <cellStyle name="Normal 24 3" xfId="54188"/>
    <cellStyle name="Normal 24 3 2" xfId="54189"/>
    <cellStyle name="Normal 24 3 2 2" xfId="54190"/>
    <cellStyle name="Normal 24 3 2 2 2" xfId="54191"/>
    <cellStyle name="Normal 24 3 2 2 2 2" xfId="54192"/>
    <cellStyle name="Normal 24 3 2 2 2 3" xfId="54193"/>
    <cellStyle name="Normal 24 3 2 2 3" xfId="54194"/>
    <cellStyle name="Normal 24 3 2 2 4" xfId="54195"/>
    <cellStyle name="Normal 24 3 2 3" xfId="54196"/>
    <cellStyle name="Normal 24 3 2 3 2" xfId="54197"/>
    <cellStyle name="Normal 24 3 2 3 3" xfId="54198"/>
    <cellStyle name="Normal 24 3 2 4" xfId="54199"/>
    <cellStyle name="Normal 24 3 2 4 2" xfId="54200"/>
    <cellStyle name="Normal 24 3 2 4 3" xfId="54201"/>
    <cellStyle name="Normal 24 3 2 5" xfId="54202"/>
    <cellStyle name="Normal 24 3 2 6" xfId="54203"/>
    <cellStyle name="Normal 24 3 3" xfId="54204"/>
    <cellStyle name="Normal 24 3 3 2" xfId="54205"/>
    <cellStyle name="Normal 24 3 3 2 2" xfId="54206"/>
    <cellStyle name="Normal 24 3 3 2 2 2" xfId="54207"/>
    <cellStyle name="Normal 24 3 3 2 2 3" xfId="54208"/>
    <cellStyle name="Normal 24 3 3 2 3" xfId="54209"/>
    <cellStyle name="Normal 24 3 3 2 4" xfId="54210"/>
    <cellStyle name="Normal 24 3 3 3" xfId="54211"/>
    <cellStyle name="Normal 24 3 3 3 2" xfId="54212"/>
    <cellStyle name="Normal 24 3 3 3 3" xfId="54213"/>
    <cellStyle name="Normal 24 3 3 4" xfId="54214"/>
    <cellStyle name="Normal 24 3 3 4 2" xfId="54215"/>
    <cellStyle name="Normal 24 3 3 4 3" xfId="54216"/>
    <cellStyle name="Normal 24 3 3 5" xfId="54217"/>
    <cellStyle name="Normal 24 3 3 6" xfId="54218"/>
    <cellStyle name="Normal 24 3 4" xfId="54219"/>
    <cellStyle name="Normal 24 3 4 2" xfId="54220"/>
    <cellStyle name="Normal 24 3 4 2 2" xfId="54221"/>
    <cellStyle name="Normal 24 3 4 2 3" xfId="54222"/>
    <cellStyle name="Normal 24 3 4 3" xfId="54223"/>
    <cellStyle name="Normal 24 3 4 4" xfId="54224"/>
    <cellStyle name="Normal 24 3 5" xfId="54225"/>
    <cellStyle name="Normal 24 3 5 2" xfId="54226"/>
    <cellStyle name="Normal 24 3 5 3" xfId="54227"/>
    <cellStyle name="Normal 24 3 6" xfId="54228"/>
    <cellStyle name="Normal 24 3 6 2" xfId="54229"/>
    <cellStyle name="Normal 24 3 6 3" xfId="54230"/>
    <cellStyle name="Normal 24 3 7" xfId="54231"/>
    <cellStyle name="Normal 24 3 8" xfId="54232"/>
    <cellStyle name="Normal 24 4" xfId="54233"/>
    <cellStyle name="Normal 24 4 2" xfId="54234"/>
    <cellStyle name="Normal 24 4 2 2" xfId="54235"/>
    <cellStyle name="Normal 24 4 2 2 2" xfId="54236"/>
    <cellStyle name="Normal 24 4 2 2 3" xfId="54237"/>
    <cellStyle name="Normal 24 4 2 3" xfId="54238"/>
    <cellStyle name="Normal 24 4 2 4" xfId="54239"/>
    <cellStyle name="Normal 24 4 3" xfId="54240"/>
    <cellStyle name="Normal 24 4 3 2" xfId="54241"/>
    <cellStyle name="Normal 24 4 3 3" xfId="54242"/>
    <cellStyle name="Normal 24 4 4" xfId="54243"/>
    <cellStyle name="Normal 24 4 4 2" xfId="54244"/>
    <cellStyle name="Normal 24 4 4 3" xfId="54245"/>
    <cellStyle name="Normal 24 4 5" xfId="54246"/>
    <cellStyle name="Normal 24 4 6" xfId="54247"/>
    <cellStyle name="Normal 24 5" xfId="54248"/>
    <cellStyle name="Normal 24 5 2" xfId="54249"/>
    <cellStyle name="Normal 24 5 2 2" xfId="54250"/>
    <cellStyle name="Normal 24 5 2 2 2" xfId="54251"/>
    <cellStyle name="Normal 24 5 2 2 3" xfId="54252"/>
    <cellStyle name="Normal 24 5 2 3" xfId="54253"/>
    <cellStyle name="Normal 24 5 2 4" xfId="54254"/>
    <cellStyle name="Normal 24 5 3" xfId="54255"/>
    <cellStyle name="Normal 24 5 3 2" xfId="54256"/>
    <cellStyle name="Normal 24 5 3 3" xfId="54257"/>
    <cellStyle name="Normal 24 5 4" xfId="54258"/>
    <cellStyle name="Normal 24 5 4 2" xfId="54259"/>
    <cellStyle name="Normal 24 5 4 3" xfId="54260"/>
    <cellStyle name="Normal 24 5 5" xfId="54261"/>
    <cellStyle name="Normal 24 5 6" xfId="54262"/>
    <cellStyle name="Normal 24 6" xfId="54263"/>
    <cellStyle name="Normal 24 6 2" xfId="54264"/>
    <cellStyle name="Normal 24 6 2 2" xfId="54265"/>
    <cellStyle name="Normal 24 6 2 3" xfId="54266"/>
    <cellStyle name="Normal 24 6 3" xfId="54267"/>
    <cellStyle name="Normal 24 6 4" xfId="54268"/>
    <cellStyle name="Normal 24 7" xfId="54269"/>
    <cellStyle name="Normal 24 7 2" xfId="54270"/>
    <cellStyle name="Normal 24 7 2 2" xfId="54271"/>
    <cellStyle name="Normal 24 7 2 3" xfId="54272"/>
    <cellStyle name="Normal 24 7 3" xfId="54273"/>
    <cellStyle name="Normal 24 7 4" xfId="54274"/>
    <cellStyle name="Normal 24 8" xfId="54275"/>
    <cellStyle name="Normal 24 8 2" xfId="54276"/>
    <cellStyle name="Normal 24 8 3" xfId="54277"/>
    <cellStyle name="Normal 24 9" xfId="54278"/>
    <cellStyle name="Normal 24 9 2" xfId="54279"/>
    <cellStyle name="Normal 24 9 3" xfId="54280"/>
    <cellStyle name="Normal 240" xfId="54281"/>
    <cellStyle name="Normal 240 2" xfId="54282"/>
    <cellStyle name="Normal 240 3" xfId="54283"/>
    <cellStyle name="Normal 240 4" xfId="54284"/>
    <cellStyle name="Normal 240 5" xfId="54285"/>
    <cellStyle name="Normal 241" xfId="54286"/>
    <cellStyle name="Normal 241 2" xfId="54287"/>
    <cellStyle name="Normal 241 3" xfId="54288"/>
    <cellStyle name="Normal 241 4" xfId="54289"/>
    <cellStyle name="Normal 241 5" xfId="54290"/>
    <cellStyle name="Normal 242" xfId="54291"/>
    <cellStyle name="Normal 242 2" xfId="54292"/>
    <cellStyle name="Normal 242 3" xfId="54293"/>
    <cellStyle name="Normal 242 4" xfId="54294"/>
    <cellStyle name="Normal 242 5" xfId="54295"/>
    <cellStyle name="Normal 243" xfId="54296"/>
    <cellStyle name="Normal 243 2" xfId="54297"/>
    <cellStyle name="Normal 243 3" xfId="54298"/>
    <cellStyle name="Normal 243 4" xfId="54299"/>
    <cellStyle name="Normal 243 5" xfId="54300"/>
    <cellStyle name="Normal 244" xfId="54301"/>
    <cellStyle name="Normal 244 2" xfId="54302"/>
    <cellStyle name="Normal 244 3" xfId="54303"/>
    <cellStyle name="Normal 244 4" xfId="54304"/>
    <cellStyle name="Normal 244 5" xfId="54305"/>
    <cellStyle name="Normal 245" xfId="54306"/>
    <cellStyle name="Normal 245 2" xfId="54307"/>
    <cellStyle name="Normal 245 3" xfId="54308"/>
    <cellStyle name="Normal 246" xfId="54309"/>
    <cellStyle name="Normal 246 2" xfId="54310"/>
    <cellStyle name="Normal 246 3" xfId="54311"/>
    <cellStyle name="Normal 247" xfId="54312"/>
    <cellStyle name="Normal 247 2" xfId="54313"/>
    <cellStyle name="Normal 247 3" xfId="54314"/>
    <cellStyle name="Normal 248" xfId="54315"/>
    <cellStyle name="Normal 248 2" xfId="54316"/>
    <cellStyle name="Normal 248 3" xfId="54317"/>
    <cellStyle name="Normal 249" xfId="54318"/>
    <cellStyle name="Normal 249 2" xfId="54319"/>
    <cellStyle name="Normal 249 3" xfId="54320"/>
    <cellStyle name="Normal 25" xfId="54321"/>
    <cellStyle name="Normal 25 2" xfId="54322"/>
    <cellStyle name="Normal 25 2 2" xfId="54323"/>
    <cellStyle name="Normal 25 2 2 2" xfId="54324"/>
    <cellStyle name="Normal 25 2 2 2 2" xfId="54325"/>
    <cellStyle name="Normal 25 2 2 2 3" xfId="54326"/>
    <cellStyle name="Normal 25 2 2 3" xfId="54327"/>
    <cellStyle name="Normal 25 2 2 4" xfId="54328"/>
    <cellStyle name="Normal 25 2 3" xfId="54329"/>
    <cellStyle name="Normal 25 2 3 2" xfId="54330"/>
    <cellStyle name="Normal 25 2 3 3" xfId="54331"/>
    <cellStyle name="Normal 25 2 4" xfId="54332"/>
    <cellStyle name="Normal 25 2 5" xfId="54333"/>
    <cellStyle name="Normal 25 3" xfId="54334"/>
    <cellStyle name="Normal 25 3 2" xfId="54335"/>
    <cellStyle name="Normal 25 3 3" xfId="54336"/>
    <cellStyle name="Normal 25 4" xfId="54337"/>
    <cellStyle name="Normal 25 4 2" xfId="54338"/>
    <cellStyle name="Normal 25 4 2 2" xfId="54339"/>
    <cellStyle name="Normal 25 4 2 3" xfId="54340"/>
    <cellStyle name="Normal 25 4 3" xfId="54341"/>
    <cellStyle name="Normal 25 4 4" xfId="54342"/>
    <cellStyle name="Normal 25 5" xfId="54343"/>
    <cellStyle name="Normal 25 5 2" xfId="54344"/>
    <cellStyle name="Normal 25 5 3" xfId="54345"/>
    <cellStyle name="Normal 25 6" xfId="54346"/>
    <cellStyle name="Normal 25 7" xfId="54347"/>
    <cellStyle name="Normal 25 8" xfId="54348"/>
    <cellStyle name="Normal 250" xfId="54349"/>
    <cellStyle name="Normal 250 2" xfId="54350"/>
    <cellStyle name="Normal 250 3" xfId="54351"/>
    <cellStyle name="Normal 251" xfId="54352"/>
    <cellStyle name="Normal 251 2" xfId="54353"/>
    <cellStyle name="Normal 251 3" xfId="54354"/>
    <cellStyle name="Normal 252" xfId="54355"/>
    <cellStyle name="Normal 252 2" xfId="54356"/>
    <cellStyle name="Normal 252 3" xfId="54357"/>
    <cellStyle name="Normal 253" xfId="54358"/>
    <cellStyle name="Normal 253 2" xfId="54359"/>
    <cellStyle name="Normal 253 3" xfId="54360"/>
    <cellStyle name="Normal 254" xfId="54361"/>
    <cellStyle name="Normal 254 2" xfId="54362"/>
    <cellStyle name="Normal 254 3" xfId="54363"/>
    <cellStyle name="Normal 254 4" xfId="54364"/>
    <cellStyle name="Normal 255" xfId="54365"/>
    <cellStyle name="Normal 255 2" xfId="54366"/>
    <cellStyle name="Normal 255 3" xfId="54367"/>
    <cellStyle name="Normal 256" xfId="54368"/>
    <cellStyle name="Normal 256 2" xfId="54369"/>
    <cellStyle name="Normal 256 3" xfId="54370"/>
    <cellStyle name="Normal 257" xfId="54371"/>
    <cellStyle name="Normal 257 2" xfId="54372"/>
    <cellStyle name="Normal 257 3" xfId="54373"/>
    <cellStyle name="Normal 258" xfId="54374"/>
    <cellStyle name="Normal 258 2" xfId="54375"/>
    <cellStyle name="Normal 258 3" xfId="54376"/>
    <cellStyle name="Normal 259" xfId="54377"/>
    <cellStyle name="Normal 259 2" xfId="54378"/>
    <cellStyle name="Normal 259 3" xfId="54379"/>
    <cellStyle name="Normal 26" xfId="54380"/>
    <cellStyle name="Normal 26 2" xfId="54381"/>
    <cellStyle name="Normal 26 2 2" xfId="54382"/>
    <cellStyle name="Normal 26 2 3" xfId="54383"/>
    <cellStyle name="Normal 26 3" xfId="54384"/>
    <cellStyle name="Normal 26 3 2" xfId="54385"/>
    <cellStyle name="Normal 26 3 3" xfId="54386"/>
    <cellStyle name="Normal 26 4" xfId="54387"/>
    <cellStyle name="Normal 26 5" xfId="54388"/>
    <cellStyle name="Normal 260" xfId="54389"/>
    <cellStyle name="Normal 260 2" xfId="54390"/>
    <cellStyle name="Normal 260 3" xfId="54391"/>
    <cellStyle name="Normal 261" xfId="54392"/>
    <cellStyle name="Normal 261 2" xfId="54393"/>
    <cellStyle name="Normal 261 3" xfId="54394"/>
    <cellStyle name="Normal 262" xfId="54395"/>
    <cellStyle name="Normal 262 2" xfId="54396"/>
    <cellStyle name="Normal 262 3" xfId="54397"/>
    <cellStyle name="Normal 262 4" xfId="54398"/>
    <cellStyle name="Normal 263" xfId="54399"/>
    <cellStyle name="Normal 263 2" xfId="54400"/>
    <cellStyle name="Normal 263 2 2" xfId="54401"/>
    <cellStyle name="Normal 263 2 3" xfId="54402"/>
    <cellStyle name="Normal 264" xfId="54403"/>
    <cellStyle name="Normal 264 2" xfId="54404"/>
    <cellStyle name="Normal 264 3" xfId="54405"/>
    <cellStyle name="Normal 264 4" xfId="54406"/>
    <cellStyle name="Normal 265" xfId="54407"/>
    <cellStyle name="Normal 265 2" xfId="54408"/>
    <cellStyle name="Normal 265 3" xfId="54409"/>
    <cellStyle name="Normal 265 4" xfId="54410"/>
    <cellStyle name="Normal 266" xfId="54411"/>
    <cellStyle name="Normal 266 2" xfId="54412"/>
    <cellStyle name="Normal 266 3" xfId="54413"/>
    <cellStyle name="Normal 267" xfId="54414"/>
    <cellStyle name="Normal 268" xfId="54415"/>
    <cellStyle name="Normal 268 2" xfId="54416"/>
    <cellStyle name="Normal 268 3" xfId="54417"/>
    <cellStyle name="Normal 269" xfId="54418"/>
    <cellStyle name="Normal 27" xfId="54419"/>
    <cellStyle name="Normal 27 2" xfId="54420"/>
    <cellStyle name="Normal 27 2 2" xfId="54421"/>
    <cellStyle name="Normal 27 2 3" xfId="54422"/>
    <cellStyle name="Normal 27 3" xfId="54423"/>
    <cellStyle name="Normal 27 3 2" xfId="54424"/>
    <cellStyle name="Normal 27 3 3" xfId="54425"/>
    <cellStyle name="Normal 27 4" xfId="54426"/>
    <cellStyle name="Normal 27 5" xfId="54427"/>
    <cellStyle name="Normal 270" xfId="54428"/>
    <cellStyle name="Normal 271" xfId="54429"/>
    <cellStyle name="Normal 272" xfId="54430"/>
    <cellStyle name="Normal 273" xfId="54431"/>
    <cellStyle name="Normal 274" xfId="54432"/>
    <cellStyle name="Normal 275" xfId="54433"/>
    <cellStyle name="Normal 276" xfId="54434"/>
    <cellStyle name="Normal 277" xfId="54435"/>
    <cellStyle name="Normal 278" xfId="54436"/>
    <cellStyle name="Normal 279" xfId="54437"/>
    <cellStyle name="Normal 28" xfId="54438"/>
    <cellStyle name="Normal 28 2" xfId="54439"/>
    <cellStyle name="Normal 28 2 2" xfId="54440"/>
    <cellStyle name="Normal 28 2 3" xfId="54441"/>
    <cellStyle name="Normal 28 3" xfId="54442"/>
    <cellStyle name="Normal 28 3 2" xfId="54443"/>
    <cellStyle name="Normal 28 3 3" xfId="54444"/>
    <cellStyle name="Normal 28 4" xfId="54445"/>
    <cellStyle name="Normal 28 5" xfId="54446"/>
    <cellStyle name="Normal 280" xfId="54447"/>
    <cellStyle name="Normal 281" xfId="54448"/>
    <cellStyle name="Normal 282" xfId="54449"/>
    <cellStyle name="Normal 283" xfId="54450"/>
    <cellStyle name="Normal 284" xfId="54451"/>
    <cellStyle name="Normal 285" xfId="54452"/>
    <cellStyle name="Normal 286" xfId="54453"/>
    <cellStyle name="Normal 287" xfId="54454"/>
    <cellStyle name="Normal 288" xfId="54455"/>
    <cellStyle name="Normal 289" xfId="54456"/>
    <cellStyle name="Normal 29" xfId="54457"/>
    <cellStyle name="Normal 29 2" xfId="54458"/>
    <cellStyle name="Normal 29 2 2" xfId="54459"/>
    <cellStyle name="Normal 29 2 3" xfId="54460"/>
    <cellStyle name="Normal 29 3" xfId="54461"/>
    <cellStyle name="Normal 29 3 2" xfId="54462"/>
    <cellStyle name="Normal 29 3 3" xfId="54463"/>
    <cellStyle name="Normal 29 4" xfId="54464"/>
    <cellStyle name="Normal 29 5" xfId="54465"/>
    <cellStyle name="Normal 290" xfId="54466"/>
    <cellStyle name="Normal 291" xfId="54467"/>
    <cellStyle name="Normal 292" xfId="54468"/>
    <cellStyle name="Normal 293" xfId="54469"/>
    <cellStyle name="Normal 294" xfId="54470"/>
    <cellStyle name="Normal 295" xfId="54471"/>
    <cellStyle name="Normal 296" xfId="54472"/>
    <cellStyle name="Normal 297" xfId="54473"/>
    <cellStyle name="Normal 298" xfId="54474"/>
    <cellStyle name="Normal 299" xfId="54475"/>
    <cellStyle name="Normal 3" xfId="54476"/>
    <cellStyle name="Normal 3 10" xfId="54477"/>
    <cellStyle name="Normal 3 10 2" xfId="54478"/>
    <cellStyle name="Normal 3 10 2 2" xfId="54479"/>
    <cellStyle name="Normal 3 10 2 3" xfId="54480"/>
    <cellStyle name="Normal 3 10 3" xfId="54481"/>
    <cellStyle name="Normal 3 10 4" xfId="54482"/>
    <cellStyle name="Normal 3 11" xfId="54483"/>
    <cellStyle name="Normal 3 11 2" xfId="54484"/>
    <cellStyle name="Normal 3 11 2 2" xfId="54485"/>
    <cellStyle name="Normal 3 11 3" xfId="54486"/>
    <cellStyle name="Normal 3 11 4" xfId="54487"/>
    <cellStyle name="Normal 3 11 5" xfId="54488"/>
    <cellStyle name="Normal 3 12" xfId="54489"/>
    <cellStyle name="Normal 3 12 2" xfId="54490"/>
    <cellStyle name="Normal 3 12 2 2" xfId="54491"/>
    <cellStyle name="Normal 3 12 3" xfId="54492"/>
    <cellStyle name="Normal 3 13" xfId="54493"/>
    <cellStyle name="Normal 3 13 2" xfId="54494"/>
    <cellStyle name="Normal 3 13 2 2" xfId="54495"/>
    <cellStyle name="Normal 3 13 3" xfId="54496"/>
    <cellStyle name="Normal 3 14" xfId="54497"/>
    <cellStyle name="Normal 3 14 2" xfId="54498"/>
    <cellStyle name="Normal 3 14 2 2" xfId="54499"/>
    <cellStyle name="Normal 3 14 3" xfId="54500"/>
    <cellStyle name="Normal 3 15" xfId="54501"/>
    <cellStyle name="Normal 3 15 2" xfId="54502"/>
    <cellStyle name="Normal 3 15 2 2" xfId="54503"/>
    <cellStyle name="Normal 3 15 3" xfId="54504"/>
    <cellStyle name="Normal 3 16" xfId="54505"/>
    <cellStyle name="Normal 3 16 2" xfId="54506"/>
    <cellStyle name="Normal 3 16 2 2" xfId="54507"/>
    <cellStyle name="Normal 3 16 3" xfId="54508"/>
    <cellStyle name="Normal 3 17" xfId="54509"/>
    <cellStyle name="Normal 3 17 2" xfId="54510"/>
    <cellStyle name="Normal 3 18" xfId="54511"/>
    <cellStyle name="Normal 3 18 2" xfId="54512"/>
    <cellStyle name="Normal 3 19" xfId="54513"/>
    <cellStyle name="Normal 3 2" xfId="54514"/>
    <cellStyle name="Normal 3 2 2" xfId="54515"/>
    <cellStyle name="Normal 3 2 2 2" xfId="54516"/>
    <cellStyle name="Normal 3 2 2 2 2" xfId="54517"/>
    <cellStyle name="Normal 3 2 2 2 3" xfId="54518"/>
    <cellStyle name="Normal 3 2 2 3" xfId="54519"/>
    <cellStyle name="Normal 3 2 2 4" xfId="54520"/>
    <cellStyle name="Normal 3 2 3" xfId="54521"/>
    <cellStyle name="Normal 3 2 3 2" xfId="54522"/>
    <cellStyle name="Normal 3 2 3 2 2" xfId="54523"/>
    <cellStyle name="Normal 3 2 3 3" xfId="54524"/>
    <cellStyle name="Normal 3 2 3 4" xfId="54525"/>
    <cellStyle name="Normal 3 2 4" xfId="54526"/>
    <cellStyle name="Normal 3 2 4 2" xfId="54527"/>
    <cellStyle name="Normal 3 2 5" xfId="54528"/>
    <cellStyle name="Normal 3 2 6" xfId="54529"/>
    <cellStyle name="Normal 3 20" xfId="54530"/>
    <cellStyle name="Normal 3 21" xfId="54531"/>
    <cellStyle name="Normal 3 22" xfId="54532"/>
    <cellStyle name="Normal 3 23" xfId="54533"/>
    <cellStyle name="Normal 3 24" xfId="54534"/>
    <cellStyle name="Normal 3 25" xfId="54535"/>
    <cellStyle name="Normal 3 3" xfId="54536"/>
    <cellStyle name="Normal 3 3 10" xfId="54537"/>
    <cellStyle name="Normal 3 3 11" xfId="54538"/>
    <cellStyle name="Normal 3 3 11 2" xfId="54539"/>
    <cellStyle name="Normal 3 3 2" xfId="54540"/>
    <cellStyle name="Normal 3 3 2 2" xfId="54541"/>
    <cellStyle name="Normal 3 3 2 2 2" xfId="54542"/>
    <cellStyle name="Normal 3 3 2 2 2 2" xfId="54543"/>
    <cellStyle name="Normal 3 3 2 2 2 2 2" xfId="54544"/>
    <cellStyle name="Normal 3 3 2 2 2 2 2 2" xfId="54545"/>
    <cellStyle name="Normal 3 3 2 2 2 2 3" xfId="54546"/>
    <cellStyle name="Normal 3 3 2 2 2 3" xfId="54547"/>
    <cellStyle name="Normal 3 3 2 2 2 3 2" xfId="54548"/>
    <cellStyle name="Normal 3 3 2 2 2 3 2 2" xfId="54549"/>
    <cellStyle name="Normal 3 3 2 2 2 3 3" xfId="54550"/>
    <cellStyle name="Normal 3 3 2 2 2 4" xfId="54551"/>
    <cellStyle name="Normal 3 3 2 2 2 4 2" xfId="54552"/>
    <cellStyle name="Normal 3 3 2 2 2 5" xfId="54553"/>
    <cellStyle name="Normal 3 3 2 2 3" xfId="54554"/>
    <cellStyle name="Normal 3 3 2 2 3 2" xfId="54555"/>
    <cellStyle name="Normal 3 3 2 2 3 2 2" xfId="54556"/>
    <cellStyle name="Normal 3 3 2 2 3 3" xfId="54557"/>
    <cellStyle name="Normal 3 3 2 2 4" xfId="54558"/>
    <cellStyle name="Normal 3 3 2 2 4 2" xfId="54559"/>
    <cellStyle name="Normal 3 3 2 2 4 2 2" xfId="54560"/>
    <cellStyle name="Normal 3 3 2 2 4 3" xfId="54561"/>
    <cellStyle name="Normal 3 3 2 2 5" xfId="54562"/>
    <cellStyle name="Normal 3 3 2 2 5 2" xfId="54563"/>
    <cellStyle name="Normal 3 3 2 2 6" xfId="54564"/>
    <cellStyle name="Normal 3 3 2 2 7" xfId="54565"/>
    <cellStyle name="Normal 3 3 2 3" xfId="54566"/>
    <cellStyle name="Normal 3 3 2 3 2" xfId="54567"/>
    <cellStyle name="Normal 3 3 2 3 2 2" xfId="54568"/>
    <cellStyle name="Normal 3 3 2 3 3" xfId="54569"/>
    <cellStyle name="Normal 3 3 2 4" xfId="54570"/>
    <cellStyle name="Normal 3 3 2 4 2" xfId="54571"/>
    <cellStyle name="Normal 3 3 2 4 2 2" xfId="54572"/>
    <cellStyle name="Normal 3 3 2 4 3" xfId="54573"/>
    <cellStyle name="Normal 3 3 2 5" xfId="54574"/>
    <cellStyle name="Normal 3 3 2 5 2" xfId="54575"/>
    <cellStyle name="Normal 3 3 2 6" xfId="54576"/>
    <cellStyle name="Normal 3 3 2 7" xfId="54577"/>
    <cellStyle name="Normal 3 3 2 8" xfId="54578"/>
    <cellStyle name="Normal 3 3 3" xfId="54579"/>
    <cellStyle name="Normal 3 3 3 2" xfId="54580"/>
    <cellStyle name="Normal 3 3 3 2 2" xfId="54581"/>
    <cellStyle name="Normal 3 3 3 3" xfId="54582"/>
    <cellStyle name="Normal 3 3 3 4" xfId="54583"/>
    <cellStyle name="Normal 3 3 4" xfId="54584"/>
    <cellStyle name="Normal 3 3 4 2" xfId="54585"/>
    <cellStyle name="Normal 3 3 4 2 2" xfId="54586"/>
    <cellStyle name="Normal 3 3 4 3" xfId="54587"/>
    <cellStyle name="Normal 3 3 4 4" xfId="54588"/>
    <cellStyle name="Normal 3 3 4 5" xfId="54589"/>
    <cellStyle name="Normal 3 3 5" xfId="54590"/>
    <cellStyle name="Normal 3 3 5 2" xfId="54591"/>
    <cellStyle name="Normal 3 3 6" xfId="54592"/>
    <cellStyle name="Normal 3 3 7" xfId="54593"/>
    <cellStyle name="Normal 3 3 8" xfId="54594"/>
    <cellStyle name="Normal 3 3 9" xfId="54595"/>
    <cellStyle name="Normal 3 4" xfId="54596"/>
    <cellStyle name="Normal 3 4 2" xfId="54597"/>
    <cellStyle name="Normal 3 4 2 2" xfId="54598"/>
    <cellStyle name="Normal 3 4 2 2 2" xfId="54599"/>
    <cellStyle name="Normal 3 4 2 2 2 2" xfId="54600"/>
    <cellStyle name="Normal 3 4 2 2 2 3" xfId="54601"/>
    <cellStyle name="Normal 3 4 2 2 3" xfId="54602"/>
    <cellStyle name="Normal 3 4 2 2 4" xfId="54603"/>
    <cellStyle name="Normal 3 4 2 3" xfId="54604"/>
    <cellStyle name="Normal 3 4 2 3 2" xfId="54605"/>
    <cellStyle name="Normal 3 4 2 3 3" xfId="54606"/>
    <cellStyle name="Normal 3 4 2 4" xfId="54607"/>
    <cellStyle name="Normal 3 4 2 5" xfId="54608"/>
    <cellStyle name="Normal 3 4 2 6" xfId="54609"/>
    <cellStyle name="Normal 3 4 3" xfId="54610"/>
    <cellStyle name="Normal 3 4 3 2" xfId="54611"/>
    <cellStyle name="Normal 3 4 3 2 2" xfId="54612"/>
    <cellStyle name="Normal 3 4 3 2 3" xfId="54613"/>
    <cellStyle name="Normal 3 4 3 3" xfId="54614"/>
    <cellStyle name="Normal 3 4 3 4" xfId="54615"/>
    <cellStyle name="Normal 3 4 3 5" xfId="54616"/>
    <cellStyle name="Normal 3 4 4" xfId="54617"/>
    <cellStyle name="Normal 3 4 4 2" xfId="54618"/>
    <cellStyle name="Normal 3 4 4 3" xfId="54619"/>
    <cellStyle name="Normal 3 4 5" xfId="54620"/>
    <cellStyle name="Normal 3 4 6" xfId="54621"/>
    <cellStyle name="Normal 3 4 7" xfId="54622"/>
    <cellStyle name="Normal 3 4 8" xfId="54623"/>
    <cellStyle name="Normal 3 4 9" xfId="54624"/>
    <cellStyle name="Normal 3 5" xfId="54625"/>
    <cellStyle name="Normal 3 5 2" xfId="54626"/>
    <cellStyle name="Normal 3 5 2 2" xfId="54627"/>
    <cellStyle name="Normal 3 5 2 3" xfId="54628"/>
    <cellStyle name="Normal 3 5 3" xfId="54629"/>
    <cellStyle name="Normal 3 5 4" xfId="54630"/>
    <cellStyle name="Normal 3 5 5" xfId="54631"/>
    <cellStyle name="Normal 3 6" xfId="54632"/>
    <cellStyle name="Normal 3 6 2" xfId="54633"/>
    <cellStyle name="Normal 3 6 2 2" xfId="54634"/>
    <cellStyle name="Normal 3 6 2 2 2" xfId="54635"/>
    <cellStyle name="Normal 3 6 2 2 2 2" xfId="54636"/>
    <cellStyle name="Normal 3 6 2 2 2 2 2" xfId="54637"/>
    <cellStyle name="Normal 3 6 2 2 2 2 2 2" xfId="54638"/>
    <cellStyle name="Normal 3 6 2 2 2 2 3" xfId="54639"/>
    <cellStyle name="Normal 3 6 2 2 2 3" xfId="54640"/>
    <cellStyle name="Normal 3 6 2 2 2 3 2" xfId="54641"/>
    <cellStyle name="Normal 3 6 2 2 2 3 2 2" xfId="54642"/>
    <cellStyle name="Normal 3 6 2 2 2 3 3" xfId="54643"/>
    <cellStyle name="Normal 3 6 2 2 2 4" xfId="54644"/>
    <cellStyle name="Normal 3 6 2 2 2 4 2" xfId="54645"/>
    <cellStyle name="Normal 3 6 2 2 2 5" xfId="54646"/>
    <cellStyle name="Normal 3 6 2 2 3" xfId="54647"/>
    <cellStyle name="Normal 3 6 2 2 3 2" xfId="54648"/>
    <cellStyle name="Normal 3 6 2 2 3 2 2" xfId="54649"/>
    <cellStyle name="Normal 3 6 2 2 3 3" xfId="54650"/>
    <cellStyle name="Normal 3 6 2 2 4" xfId="54651"/>
    <cellStyle name="Normal 3 6 2 2 4 2" xfId="54652"/>
    <cellStyle name="Normal 3 6 2 2 4 2 2" xfId="54653"/>
    <cellStyle name="Normal 3 6 2 2 4 3" xfId="54654"/>
    <cellStyle name="Normal 3 6 2 2 5" xfId="54655"/>
    <cellStyle name="Normal 3 6 2 2 5 2" xfId="54656"/>
    <cellStyle name="Normal 3 6 2 2 6" xfId="54657"/>
    <cellStyle name="Normal 3 6 2 2 7" xfId="54658"/>
    <cellStyle name="Normal 3 6 2 3" xfId="54659"/>
    <cellStyle name="Normal 3 6 2 3 2" xfId="54660"/>
    <cellStyle name="Normal 3 6 2 3 2 2" xfId="54661"/>
    <cellStyle name="Normal 3 6 2 3 3" xfId="54662"/>
    <cellStyle name="Normal 3 6 2 4" xfId="54663"/>
    <cellStyle name="Normal 3 6 2 4 2" xfId="54664"/>
    <cellStyle name="Normal 3 6 2 4 2 2" xfId="54665"/>
    <cellStyle name="Normal 3 6 2 4 3" xfId="54666"/>
    <cellStyle name="Normal 3 6 2 5" xfId="54667"/>
    <cellStyle name="Normal 3 6 2 5 2" xfId="54668"/>
    <cellStyle name="Normal 3 6 2 6" xfId="54669"/>
    <cellStyle name="Normal 3 6 2 7" xfId="54670"/>
    <cellStyle name="Normal 3 6 3" xfId="54671"/>
    <cellStyle name="Normal 3 6 3 2" xfId="54672"/>
    <cellStyle name="Normal 3 6 3 2 2" xfId="54673"/>
    <cellStyle name="Normal 3 6 3 2 2 2" xfId="54674"/>
    <cellStyle name="Normal 3 6 3 2 2 2 2" xfId="54675"/>
    <cellStyle name="Normal 3 6 3 2 2 3" xfId="54676"/>
    <cellStyle name="Normal 3 6 3 2 3" xfId="54677"/>
    <cellStyle name="Normal 3 6 3 2 3 2" xfId="54678"/>
    <cellStyle name="Normal 3 6 3 2 3 2 2" xfId="54679"/>
    <cellStyle name="Normal 3 6 3 2 3 3" xfId="54680"/>
    <cellStyle name="Normal 3 6 3 2 4" xfId="54681"/>
    <cellStyle name="Normal 3 6 3 2 4 2" xfId="54682"/>
    <cellStyle name="Normal 3 6 3 2 5" xfId="54683"/>
    <cellStyle name="Normal 3 6 3 3" xfId="54684"/>
    <cellStyle name="Normal 3 6 3 3 2" xfId="54685"/>
    <cellStyle name="Normal 3 6 3 3 2 2" xfId="54686"/>
    <cellStyle name="Normal 3 6 3 3 3" xfId="54687"/>
    <cellStyle name="Normal 3 6 3 4" xfId="54688"/>
    <cellStyle name="Normal 3 6 3 4 2" xfId="54689"/>
    <cellStyle name="Normal 3 6 3 4 2 2" xfId="54690"/>
    <cellStyle name="Normal 3 6 3 4 3" xfId="54691"/>
    <cellStyle name="Normal 3 6 3 5" xfId="54692"/>
    <cellStyle name="Normal 3 6 3 5 2" xfId="54693"/>
    <cellStyle name="Normal 3 6 3 6" xfId="54694"/>
    <cellStyle name="Normal 3 6 3 7" xfId="54695"/>
    <cellStyle name="Normal 3 6 4" xfId="54696"/>
    <cellStyle name="Normal 3 6 4 2" xfId="54697"/>
    <cellStyle name="Normal 3 6 4 2 2" xfId="54698"/>
    <cellStyle name="Normal 3 6 4 3" xfId="54699"/>
    <cellStyle name="Normal 3 6 5" xfId="54700"/>
    <cellStyle name="Normal 3 6 5 2" xfId="54701"/>
    <cellStyle name="Normal 3 6 5 2 2" xfId="54702"/>
    <cellStyle name="Normal 3 6 5 3" xfId="54703"/>
    <cellStyle name="Normal 3 6 6" xfId="54704"/>
    <cellStyle name="Normal 3 6 6 2" xfId="54705"/>
    <cellStyle name="Normal 3 6 7" xfId="54706"/>
    <cellStyle name="Normal 3 6 8" xfId="54707"/>
    <cellStyle name="Normal 3 7" xfId="54708"/>
    <cellStyle name="Normal 3 7 2" xfId="54709"/>
    <cellStyle name="Normal 3 7 2 2" xfId="54710"/>
    <cellStyle name="Normal 3 7 2 2 2" xfId="54711"/>
    <cellStyle name="Normal 3 7 2 2 3" xfId="54712"/>
    <cellStyle name="Normal 3 7 2 3" xfId="54713"/>
    <cellStyle name="Normal 3 7 2 4" xfId="54714"/>
    <cellStyle name="Normal 3 7 3" xfId="54715"/>
    <cellStyle name="Normal 3 7 3 2" xfId="54716"/>
    <cellStyle name="Normal 3 7 3 2 2" xfId="54717"/>
    <cellStyle name="Normal 3 7 3 3" xfId="54718"/>
    <cellStyle name="Normal 3 7 3 4" xfId="54719"/>
    <cellStyle name="Normal 3 7 4" xfId="54720"/>
    <cellStyle name="Normal 3 7 4 2" xfId="54721"/>
    <cellStyle name="Normal 3 7 5" xfId="54722"/>
    <cellStyle name="Normal 3 7 6" xfId="54723"/>
    <cellStyle name="Normal 3 8" xfId="54724"/>
    <cellStyle name="Normal 3 8 2" xfId="54725"/>
    <cellStyle name="Normal 3 8 2 2" xfId="54726"/>
    <cellStyle name="Normal 3 8 2 2 2" xfId="54727"/>
    <cellStyle name="Normal 3 8 2 3" xfId="54728"/>
    <cellStyle name="Normal 3 8 3" xfId="54729"/>
    <cellStyle name="Normal 3 8 3 2" xfId="54730"/>
    <cellStyle name="Normal 3 8 4" xfId="54731"/>
    <cellStyle name="Normal 3 9" xfId="54732"/>
    <cellStyle name="Normal 3 9 2" xfId="54733"/>
    <cellStyle name="Normal 3 9 2 2" xfId="54734"/>
    <cellStyle name="Normal 3 9 2 2 2" xfId="54735"/>
    <cellStyle name="Normal 3 9 2 3" xfId="54736"/>
    <cellStyle name="Normal 3 9 3" xfId="54737"/>
    <cellStyle name="Normal 3 9 3 2" xfId="54738"/>
    <cellStyle name="Normal 3 9 4" xfId="54739"/>
    <cellStyle name="Normal 3_T1_TP_MASTER_032112_Rev A" xfId="54740"/>
    <cellStyle name="Normal 30" xfId="54741"/>
    <cellStyle name="Normal 30 2" xfId="54742"/>
    <cellStyle name="Normal 30 2 2" xfId="54743"/>
    <cellStyle name="Normal 30 2 3" xfId="54744"/>
    <cellStyle name="Normal 30 3" xfId="54745"/>
    <cellStyle name="Normal 30 3 2" xfId="54746"/>
    <cellStyle name="Normal 30 3 3" xfId="54747"/>
    <cellStyle name="Normal 30 4" xfId="54748"/>
    <cellStyle name="Normal 30 5" xfId="54749"/>
    <cellStyle name="Normal 300" xfId="54750"/>
    <cellStyle name="Normal 301" xfId="54751"/>
    <cellStyle name="Normal 302" xfId="54752"/>
    <cellStyle name="Normal 303" xfId="54753"/>
    <cellStyle name="Normal 304" xfId="54754"/>
    <cellStyle name="Normal 305" xfId="54755"/>
    <cellStyle name="Normal 306" xfId="59069"/>
    <cellStyle name="Normal 307" xfId="59070"/>
    <cellStyle name="Normal 308" xfId="59071"/>
    <cellStyle name="Normal 309" xfId="59072"/>
    <cellStyle name="Normal 31" xfId="54756"/>
    <cellStyle name="Normal 31 2" xfId="54757"/>
    <cellStyle name="Normal 31 2 2" xfId="54758"/>
    <cellStyle name="Normal 31 2 3" xfId="54759"/>
    <cellStyle name="Normal 31 3" xfId="54760"/>
    <cellStyle name="Normal 31 3 2" xfId="54761"/>
    <cellStyle name="Normal 31 3 3" xfId="54762"/>
    <cellStyle name="Normal 31 4" xfId="54763"/>
    <cellStyle name="Normal 31 5" xfId="54764"/>
    <cellStyle name="Normal 310" xfId="59073"/>
    <cellStyle name="Normal 311" xfId="59074"/>
    <cellStyle name="Normal 32" xfId="54765"/>
    <cellStyle name="Normal 32 2" xfId="54766"/>
    <cellStyle name="Normal 32 2 2" xfId="54767"/>
    <cellStyle name="Normal 32 2 3" xfId="54768"/>
    <cellStyle name="Normal 32 3" xfId="54769"/>
    <cellStyle name="Normal 32 3 2" xfId="54770"/>
    <cellStyle name="Normal 32 3 3" xfId="54771"/>
    <cellStyle name="Normal 32 4" xfId="54772"/>
    <cellStyle name="Normal 32 5" xfId="54773"/>
    <cellStyle name="Normal 33" xfId="54774"/>
    <cellStyle name="Normal 33 2" xfId="54775"/>
    <cellStyle name="Normal 33 2 2" xfId="54776"/>
    <cellStyle name="Normal 33 2 3" xfId="54777"/>
    <cellStyle name="Normal 33 3" xfId="54778"/>
    <cellStyle name="Normal 33 3 2" xfId="54779"/>
    <cellStyle name="Normal 33 3 3" xfId="54780"/>
    <cellStyle name="Normal 33 4" xfId="54781"/>
    <cellStyle name="Normal 33 5" xfId="54782"/>
    <cellStyle name="Normal 34" xfId="54783"/>
    <cellStyle name="Normal 34 2" xfId="54784"/>
    <cellStyle name="Normal 34 2 2" xfId="54785"/>
    <cellStyle name="Normal 34 2 3" xfId="54786"/>
    <cellStyle name="Normal 34 3" xfId="54787"/>
    <cellStyle name="Normal 34 3 2" xfId="54788"/>
    <cellStyle name="Normal 34 3 3" xfId="54789"/>
    <cellStyle name="Normal 34 4" xfId="54790"/>
    <cellStyle name="Normal 34 5" xfId="54791"/>
    <cellStyle name="Normal 345" xfId="54792"/>
    <cellStyle name="Normal 345 2" xfId="54793"/>
    <cellStyle name="Normal 348" xfId="54794"/>
    <cellStyle name="Normal 35" xfId="54795"/>
    <cellStyle name="Normal 35 2" xfId="54796"/>
    <cellStyle name="Normal 35 2 2" xfId="54797"/>
    <cellStyle name="Normal 35 2 3" xfId="54798"/>
    <cellStyle name="Normal 35 3" xfId="54799"/>
    <cellStyle name="Normal 35 3 2" xfId="54800"/>
    <cellStyle name="Normal 35 3 3" xfId="54801"/>
    <cellStyle name="Normal 35 4" xfId="54802"/>
    <cellStyle name="Normal 35 5" xfId="54803"/>
    <cellStyle name="Normal 350" xfId="54804"/>
    <cellStyle name="Normal 351" xfId="54805"/>
    <cellStyle name="Normal 352" xfId="54806"/>
    <cellStyle name="Normal 353" xfId="54807"/>
    <cellStyle name="Normal 354" xfId="54808"/>
    <cellStyle name="Normal 356" xfId="54809"/>
    <cellStyle name="Normal 358" xfId="54810"/>
    <cellStyle name="Normal 36" xfId="54811"/>
    <cellStyle name="Normal 36 2" xfId="54812"/>
    <cellStyle name="Normal 36 2 2" xfId="54813"/>
    <cellStyle name="Normal 36 2 3" xfId="54814"/>
    <cellStyle name="Normal 36 3" xfId="54815"/>
    <cellStyle name="Normal 36 3 2" xfId="54816"/>
    <cellStyle name="Normal 36 3 3" xfId="54817"/>
    <cellStyle name="Normal 36 4" xfId="54818"/>
    <cellStyle name="Normal 36 5" xfId="54819"/>
    <cellStyle name="Normal 37" xfId="54820"/>
    <cellStyle name="Normal 37 2" xfId="54821"/>
    <cellStyle name="Normal 37 2 2" xfId="54822"/>
    <cellStyle name="Normal 37 2 3" xfId="54823"/>
    <cellStyle name="Normal 37 3" xfId="54824"/>
    <cellStyle name="Normal 37 3 2" xfId="54825"/>
    <cellStyle name="Normal 37 3 3" xfId="54826"/>
    <cellStyle name="Normal 37 4" xfId="54827"/>
    <cellStyle name="Normal 37 5" xfId="54828"/>
    <cellStyle name="Normal 38" xfId="54829"/>
    <cellStyle name="Normal 38 2" xfId="54830"/>
    <cellStyle name="Normal 38 2 2" xfId="54831"/>
    <cellStyle name="Normal 38 2 3" xfId="54832"/>
    <cellStyle name="Normal 38 3" xfId="54833"/>
    <cellStyle name="Normal 38 3 2" xfId="54834"/>
    <cellStyle name="Normal 38 3 3" xfId="54835"/>
    <cellStyle name="Normal 38 4" xfId="54836"/>
    <cellStyle name="Normal 38 5" xfId="54837"/>
    <cellStyle name="Normal 39" xfId="54838"/>
    <cellStyle name="Normal 39 2" xfId="54839"/>
    <cellStyle name="Normal 39 2 2" xfId="54840"/>
    <cellStyle name="Normal 39 2 3" xfId="54841"/>
    <cellStyle name="Normal 39 3" xfId="54842"/>
    <cellStyle name="Normal 39 3 2" xfId="54843"/>
    <cellStyle name="Normal 39 3 3" xfId="54844"/>
    <cellStyle name="Normal 39 4" xfId="54845"/>
    <cellStyle name="Normal 39 5" xfId="54846"/>
    <cellStyle name="Normal 4" xfId="54847"/>
    <cellStyle name="Normal 4 10" xfId="54848"/>
    <cellStyle name="Normal 4 11" xfId="54849"/>
    <cellStyle name="Normal 4 12" xfId="54850"/>
    <cellStyle name="Normal 4 13" xfId="54851"/>
    <cellStyle name="Normal 4 14" xfId="54852"/>
    <cellStyle name="Normal 4 2" xfId="54853"/>
    <cellStyle name="Normal 4 2 10" xfId="54854"/>
    <cellStyle name="Normal 4 2 11" xfId="54855"/>
    <cellStyle name="Normal 4 2 2" xfId="54856"/>
    <cellStyle name="Normal 4 2 2 2" xfId="54857"/>
    <cellStyle name="Normal 4 2 2 2 2" xfId="54858"/>
    <cellStyle name="Normal 4 2 2 2 3" xfId="54859"/>
    <cellStyle name="Normal 4 2 2 2 4" xfId="54860"/>
    <cellStyle name="Normal 4 2 2 2 5" xfId="54861"/>
    <cellStyle name="Normal 4 2 2 3" xfId="54862"/>
    <cellStyle name="Normal 4 2 2 4" xfId="54863"/>
    <cellStyle name="Normal 4 2 2 5" xfId="54864"/>
    <cellStyle name="Normal 4 2 2 6" xfId="54865"/>
    <cellStyle name="Normal 4 2 2 7" xfId="54866"/>
    <cellStyle name="Normal 4 2 2 8" xfId="54867"/>
    <cellStyle name="Normal 4 2 2 9" xfId="54868"/>
    <cellStyle name="Normal 4 2 3" xfId="54869"/>
    <cellStyle name="Normal 4 2 3 2" xfId="54870"/>
    <cellStyle name="Normal 4 2 3 2 2" xfId="54871"/>
    <cellStyle name="Normal 4 2 3 2 3" xfId="54872"/>
    <cellStyle name="Normal 4 2 3 2 4" xfId="54873"/>
    <cellStyle name="Normal 4 2 3 2 5" xfId="54874"/>
    <cellStyle name="Normal 4 2 3 3" xfId="54875"/>
    <cellStyle name="Normal 4 2 3 4" xfId="54876"/>
    <cellStyle name="Normal 4 2 3 5" xfId="54877"/>
    <cellStyle name="Normal 4 2 3 6" xfId="54878"/>
    <cellStyle name="Normal 4 2 3 7" xfId="54879"/>
    <cellStyle name="Normal 4 2 3 8" xfId="54880"/>
    <cellStyle name="Normal 4 2 4" xfId="54881"/>
    <cellStyle name="Normal 4 2 4 2" xfId="54882"/>
    <cellStyle name="Normal 4 2 4 3" xfId="54883"/>
    <cellStyle name="Normal 4 2 4 4" xfId="54884"/>
    <cellStyle name="Normal 4 2 4 5" xfId="54885"/>
    <cellStyle name="Normal 4 2 5" xfId="54886"/>
    <cellStyle name="Normal 4 2 6" xfId="54887"/>
    <cellStyle name="Normal 4 2 7" xfId="54888"/>
    <cellStyle name="Normal 4 2 8" xfId="54889"/>
    <cellStyle name="Normal 4 2 9" xfId="54890"/>
    <cellStyle name="Normal 4 3" xfId="54891"/>
    <cellStyle name="Normal 4 3 2" xfId="54892"/>
    <cellStyle name="Normal 4 3 2 2" xfId="54893"/>
    <cellStyle name="Normal 4 3 2 2 2" xfId="54894"/>
    <cellStyle name="Normal 4 3 2 2 3" xfId="54895"/>
    <cellStyle name="Normal 4 3 2 2 4" xfId="54896"/>
    <cellStyle name="Normal 4 3 2 2 5" xfId="54897"/>
    <cellStyle name="Normal 4 3 2 3" xfId="54898"/>
    <cellStyle name="Normal 4 3 2 4" xfId="54899"/>
    <cellStyle name="Normal 4 3 2 5" xfId="54900"/>
    <cellStyle name="Normal 4 3 2 6" xfId="54901"/>
    <cellStyle name="Normal 4 3 2 7" xfId="54902"/>
    <cellStyle name="Normal 4 3 2 8" xfId="54903"/>
    <cellStyle name="Normal 4 3 3" xfId="54904"/>
    <cellStyle name="Normal 4 3 3 2" xfId="54905"/>
    <cellStyle name="Normal 4 3 3 3" xfId="54906"/>
    <cellStyle name="Normal 4 3 3 4" xfId="54907"/>
    <cellStyle name="Normal 4 3 3 5" xfId="54908"/>
    <cellStyle name="Normal 4 3 4" xfId="54909"/>
    <cellStyle name="Normal 4 3 5" xfId="54910"/>
    <cellStyle name="Normal 4 3 6" xfId="54911"/>
    <cellStyle name="Normal 4 3 7" xfId="54912"/>
    <cellStyle name="Normal 4 3 8" xfId="54913"/>
    <cellStyle name="Normal 4 3 9" xfId="54914"/>
    <cellStyle name="Normal 4 4" xfId="54915"/>
    <cellStyle name="Normal 4 4 2" xfId="54916"/>
    <cellStyle name="Normal 4 4 2 2" xfId="54917"/>
    <cellStyle name="Normal 4 4 2 3" xfId="54918"/>
    <cellStyle name="Normal 4 4 2 4" xfId="54919"/>
    <cellStyle name="Normal 4 4 2 5" xfId="54920"/>
    <cellStyle name="Normal 4 4 3" xfId="54921"/>
    <cellStyle name="Normal 4 4 4" xfId="54922"/>
    <cellStyle name="Normal 4 4 5" xfId="54923"/>
    <cellStyle name="Normal 4 4 6" xfId="54924"/>
    <cellStyle name="Normal 4 4 7" xfId="54925"/>
    <cellStyle name="Normal 4 4 8" xfId="54926"/>
    <cellStyle name="Normal 4 5" xfId="54927"/>
    <cellStyle name="Normal 4 5 2" xfId="54928"/>
    <cellStyle name="Normal 4 5 2 2" xfId="54929"/>
    <cellStyle name="Normal 4 5 2 3" xfId="54930"/>
    <cellStyle name="Normal 4 5 2 4" xfId="54931"/>
    <cellStyle name="Normal 4 5 2 5" xfId="54932"/>
    <cellStyle name="Normal 4 5 3" xfId="54933"/>
    <cellStyle name="Normal 4 5 4" xfId="54934"/>
    <cellStyle name="Normal 4 5 5" xfId="54935"/>
    <cellStyle name="Normal 4 5 6" xfId="54936"/>
    <cellStyle name="Normal 4 5 7" xfId="54937"/>
    <cellStyle name="Normal 4 5 8" xfId="54938"/>
    <cellStyle name="Normal 4 6" xfId="54939"/>
    <cellStyle name="Normal 4 6 2" xfId="54940"/>
    <cellStyle name="Normal 4 6 3" xfId="54941"/>
    <cellStyle name="Normal 4 6 4" xfId="54942"/>
    <cellStyle name="Normal 4 6 5" xfId="54943"/>
    <cellStyle name="Normal 4 7" xfId="54944"/>
    <cellStyle name="Normal 4 7 2" xfId="54945"/>
    <cellStyle name="Normal 4 7 3" xfId="54946"/>
    <cellStyle name="Normal 4 7 4" xfId="54947"/>
    <cellStyle name="Normal 4 7 5" xfId="54948"/>
    <cellStyle name="Normal 4 8" xfId="54949"/>
    <cellStyle name="Normal 4 8 2" xfId="54950"/>
    <cellStyle name="Normal 4 8 3" xfId="54951"/>
    <cellStyle name="Normal 4 9" xfId="54952"/>
    <cellStyle name="Normal 4 9 2" xfId="54953"/>
    <cellStyle name="Normal 4 9 3" xfId="54954"/>
    <cellStyle name="Normal 4_FY 11 Clin 0002 Summary" xfId="54955"/>
    <cellStyle name="Normal 40" xfId="54956"/>
    <cellStyle name="Normal 40 2" xfId="54957"/>
    <cellStyle name="Normal 40 2 2" xfId="54958"/>
    <cellStyle name="Normal 40 2 3" xfId="54959"/>
    <cellStyle name="Normal 40 3" xfId="54960"/>
    <cellStyle name="Normal 40 3 2" xfId="54961"/>
    <cellStyle name="Normal 40 3 3" xfId="54962"/>
    <cellStyle name="Normal 40 4" xfId="54963"/>
    <cellStyle name="Normal 40 5" xfId="54964"/>
    <cellStyle name="Normal 41" xfId="54965"/>
    <cellStyle name="Normal 41 2" xfId="54966"/>
    <cellStyle name="Normal 41 2 2" xfId="54967"/>
    <cellStyle name="Normal 41 2 3" xfId="54968"/>
    <cellStyle name="Normal 41 3" xfId="54969"/>
    <cellStyle name="Normal 41 3 2" xfId="54970"/>
    <cellStyle name="Normal 41 3 3" xfId="54971"/>
    <cellStyle name="Normal 41 4" xfId="54972"/>
    <cellStyle name="Normal 41 5" xfId="54973"/>
    <cellStyle name="Normal 42" xfId="54974"/>
    <cellStyle name="Normal 42 2" xfId="54975"/>
    <cellStyle name="Normal 42 2 2" xfId="54976"/>
    <cellStyle name="Normal 42 2 3" xfId="54977"/>
    <cellStyle name="Normal 42 3" xfId="54978"/>
    <cellStyle name="Normal 42 3 2" xfId="54979"/>
    <cellStyle name="Normal 42 3 3" xfId="54980"/>
    <cellStyle name="Normal 42 4" xfId="54981"/>
    <cellStyle name="Normal 42 5" xfId="54982"/>
    <cellStyle name="Normal 43" xfId="54983"/>
    <cellStyle name="Normal 43 2" xfId="54984"/>
    <cellStyle name="Normal 43 2 2" xfId="54985"/>
    <cellStyle name="Normal 43 2 3" xfId="54986"/>
    <cellStyle name="Normal 43 3" xfId="54987"/>
    <cellStyle name="Normal 43 3 2" xfId="54988"/>
    <cellStyle name="Normal 43 3 3" xfId="54989"/>
    <cellStyle name="Normal 43 4" xfId="54990"/>
    <cellStyle name="Normal 43 5" xfId="54991"/>
    <cellStyle name="Normal 43 6" xfId="54992"/>
    <cellStyle name="Normal 44" xfId="54993"/>
    <cellStyle name="Normal 44 2" xfId="54994"/>
    <cellStyle name="Normal 44 2 2" xfId="54995"/>
    <cellStyle name="Normal 44 2 3" xfId="54996"/>
    <cellStyle name="Normal 44 3" xfId="54997"/>
    <cellStyle name="Normal 44 3 2" xfId="54998"/>
    <cellStyle name="Normal 44 3 3" xfId="54999"/>
    <cellStyle name="Normal 44 4" xfId="55000"/>
    <cellStyle name="Normal 44 5" xfId="55001"/>
    <cellStyle name="Normal 45" xfId="55002"/>
    <cellStyle name="Normal 45 2" xfId="55003"/>
    <cellStyle name="Normal 45 2 2" xfId="55004"/>
    <cellStyle name="Normal 45 2 3" xfId="55005"/>
    <cellStyle name="Normal 45 3" xfId="55006"/>
    <cellStyle name="Normal 45 3 2" xfId="55007"/>
    <cellStyle name="Normal 45 3 3" xfId="55008"/>
    <cellStyle name="Normal 45 4" xfId="55009"/>
    <cellStyle name="Normal 45 5" xfId="55010"/>
    <cellStyle name="Normal 46" xfId="55011"/>
    <cellStyle name="Normal 46 2" xfId="55012"/>
    <cellStyle name="Normal 46 2 2" xfId="55013"/>
    <cellStyle name="Normal 46 2 3" xfId="55014"/>
    <cellStyle name="Normal 46 3" xfId="55015"/>
    <cellStyle name="Normal 46 3 2" xfId="55016"/>
    <cellStyle name="Normal 46 3 3" xfId="55017"/>
    <cellStyle name="Normal 46 4" xfId="55018"/>
    <cellStyle name="Normal 46 5" xfId="55019"/>
    <cellStyle name="Normal 47" xfId="55020"/>
    <cellStyle name="Normal 47 2" xfId="55021"/>
    <cellStyle name="Normal 47 2 2" xfId="55022"/>
    <cellStyle name="Normal 47 2 3" xfId="55023"/>
    <cellStyle name="Normal 47 3" xfId="55024"/>
    <cellStyle name="Normal 47 3 2" xfId="55025"/>
    <cellStyle name="Normal 47 3 3" xfId="55026"/>
    <cellStyle name="Normal 47 4" xfId="55027"/>
    <cellStyle name="Normal 47 5" xfId="55028"/>
    <cellStyle name="Normal 48" xfId="55029"/>
    <cellStyle name="Normal 48 2" xfId="55030"/>
    <cellStyle name="Normal 48 2 2" xfId="55031"/>
    <cellStyle name="Normal 48 2 3" xfId="55032"/>
    <cellStyle name="Normal 48 3" xfId="55033"/>
    <cellStyle name="Normal 48 3 2" xfId="55034"/>
    <cellStyle name="Normal 48 3 3" xfId="55035"/>
    <cellStyle name="Normal 48 4" xfId="55036"/>
    <cellStyle name="Normal 48 5" xfId="55037"/>
    <cellStyle name="Normal 49" xfId="55038"/>
    <cellStyle name="Normal 49 2" xfId="55039"/>
    <cellStyle name="Normal 49 2 2" xfId="55040"/>
    <cellStyle name="Normal 49 2 3" xfId="55041"/>
    <cellStyle name="Normal 49 3" xfId="55042"/>
    <cellStyle name="Normal 49 3 2" xfId="55043"/>
    <cellStyle name="Normal 49 3 3" xfId="55044"/>
    <cellStyle name="Normal 49 4" xfId="55045"/>
    <cellStyle name="Normal 49 5" xfId="55046"/>
    <cellStyle name="Normal 5" xfId="55047"/>
    <cellStyle name="Normal 5 10" xfId="55048"/>
    <cellStyle name="Normal 5 11" xfId="55049"/>
    <cellStyle name="Normal 5 12" xfId="55050"/>
    <cellStyle name="Normal 5 13" xfId="55051"/>
    <cellStyle name="Normal 5 14" xfId="55052"/>
    <cellStyle name="Normal 5 2" xfId="55053"/>
    <cellStyle name="Normal 5 2 2" xfId="55054"/>
    <cellStyle name="Normal 5 2 2 2" xfId="55055"/>
    <cellStyle name="Normal 5 2 2 2 2" xfId="55056"/>
    <cellStyle name="Normal 5 2 2 2 2 2" xfId="55057"/>
    <cellStyle name="Normal 5 2 2 2 2 3" xfId="55058"/>
    <cellStyle name="Normal 5 2 2 2 3" xfId="55059"/>
    <cellStyle name="Normal 5 2 2 2 4" xfId="55060"/>
    <cellStyle name="Normal 5 2 2 3" xfId="55061"/>
    <cellStyle name="Normal 5 2 2 3 2" xfId="55062"/>
    <cellStyle name="Normal 5 2 2 3 3" xfId="55063"/>
    <cellStyle name="Normal 5 2 2 4" xfId="55064"/>
    <cellStyle name="Normal 5 2 2 4 2" xfId="55065"/>
    <cellStyle name="Normal 5 2 2 4 3" xfId="55066"/>
    <cellStyle name="Normal 5 2 2 5" xfId="55067"/>
    <cellStyle name="Normal 5 2 2 6" xfId="55068"/>
    <cellStyle name="Normal 5 2 2 7" xfId="55069"/>
    <cellStyle name="Normal 5 2 3" xfId="55070"/>
    <cellStyle name="Normal 5 2 3 2" xfId="55071"/>
    <cellStyle name="Normal 5 2 3 2 2" xfId="55072"/>
    <cellStyle name="Normal 5 2 3 2 2 2" xfId="55073"/>
    <cellStyle name="Normal 5 2 3 2 2 3" xfId="55074"/>
    <cellStyle name="Normal 5 2 3 2 3" xfId="55075"/>
    <cellStyle name="Normal 5 2 3 2 4" xfId="55076"/>
    <cellStyle name="Normal 5 2 3 3" xfId="55077"/>
    <cellStyle name="Normal 5 2 3 3 2" xfId="55078"/>
    <cellStyle name="Normal 5 2 3 3 3" xfId="55079"/>
    <cellStyle name="Normal 5 2 3 4" xfId="55080"/>
    <cellStyle name="Normal 5 2 3 4 2" xfId="55081"/>
    <cellStyle name="Normal 5 2 3 4 3" xfId="55082"/>
    <cellStyle name="Normal 5 2 3 5" xfId="55083"/>
    <cellStyle name="Normal 5 2 3 6" xfId="55084"/>
    <cellStyle name="Normal 5 2 4" xfId="55085"/>
    <cellStyle name="Normal 5 2 4 2" xfId="55086"/>
    <cellStyle name="Normal 5 2 4 2 2" xfId="55087"/>
    <cellStyle name="Normal 5 2 4 2 3" xfId="55088"/>
    <cellStyle name="Normal 5 2 4 3" xfId="55089"/>
    <cellStyle name="Normal 5 2 4 4" xfId="55090"/>
    <cellStyle name="Normal 5 2 4 5" xfId="55091"/>
    <cellStyle name="Normal 5 2 4 6" xfId="55092"/>
    <cellStyle name="Normal 5 2 5" xfId="55093"/>
    <cellStyle name="Normal 5 2 5 2" xfId="55094"/>
    <cellStyle name="Normal 5 2 5 3" xfId="55095"/>
    <cellStyle name="Normal 5 2 6" xfId="55096"/>
    <cellStyle name="Normal 5 2 6 2" xfId="55097"/>
    <cellStyle name="Normal 5 2 6 3" xfId="55098"/>
    <cellStyle name="Normal 5 2 7" xfId="55099"/>
    <cellStyle name="Normal 5 2 7 2" xfId="55100"/>
    <cellStyle name="Normal 5 2 7 3" xfId="55101"/>
    <cellStyle name="Normal 5 2 8" xfId="55102"/>
    <cellStyle name="Normal 5 2 8 2" xfId="55103"/>
    <cellStyle name="Normal 5 2 8 3" xfId="55104"/>
    <cellStyle name="Normal 5 2 9" xfId="55105"/>
    <cellStyle name="Normal 5 3" xfId="55106"/>
    <cellStyle name="Normal 5 3 2" xfId="55107"/>
    <cellStyle name="Normal 5 3 2 2" xfId="55108"/>
    <cellStyle name="Normal 5 3 2 2 2" xfId="55109"/>
    <cellStyle name="Normal 5 3 2 3" xfId="55110"/>
    <cellStyle name="Normal 5 3 2 4" xfId="55111"/>
    <cellStyle name="Normal 5 3 2 5" xfId="55112"/>
    <cellStyle name="Normal 5 3 3" xfId="55113"/>
    <cellStyle name="Normal 5 3 3 2" xfId="55114"/>
    <cellStyle name="Normal 5 3 4" xfId="55115"/>
    <cellStyle name="Normal 5 3 5" xfId="55116"/>
    <cellStyle name="Normal 5 3 6" xfId="55117"/>
    <cellStyle name="Normal 5 3 7" xfId="55118"/>
    <cellStyle name="Normal 5 3 8" xfId="55119"/>
    <cellStyle name="Normal 5 4" xfId="55120"/>
    <cellStyle name="Normal 5 4 2" xfId="55121"/>
    <cellStyle name="Normal 5 4 2 2" xfId="55122"/>
    <cellStyle name="Normal 5 4 2 2 2" xfId="55123"/>
    <cellStyle name="Normal 5 4 2 3" xfId="55124"/>
    <cellStyle name="Normal 5 4 2 4" xfId="55125"/>
    <cellStyle name="Normal 5 4 2 5" xfId="55126"/>
    <cellStyle name="Normal 5 4 3" xfId="55127"/>
    <cellStyle name="Normal 5 4 3 2" xfId="55128"/>
    <cellStyle name="Normal 5 4 4" xfId="55129"/>
    <cellStyle name="Normal 5 4 5" xfId="55130"/>
    <cellStyle name="Normal 5 4 6" xfId="55131"/>
    <cellStyle name="Normal 5 4 7" xfId="55132"/>
    <cellStyle name="Normal 5 4 8" xfId="55133"/>
    <cellStyle name="Normal 5 5" xfId="55134"/>
    <cellStyle name="Normal 5 5 2" xfId="55135"/>
    <cellStyle name="Normal 5 5 2 2" xfId="55136"/>
    <cellStyle name="Normal 5 5 2 3" xfId="55137"/>
    <cellStyle name="Normal 5 5 2 4" xfId="55138"/>
    <cellStyle name="Normal 5 5 2 5" xfId="55139"/>
    <cellStyle name="Normal 5 5 3" xfId="55140"/>
    <cellStyle name="Normal 5 5 4" xfId="55141"/>
    <cellStyle name="Normal 5 5 5" xfId="55142"/>
    <cellStyle name="Normal 5 5 6" xfId="55143"/>
    <cellStyle name="Normal 5 5 7" xfId="55144"/>
    <cellStyle name="Normal 5 5 8" xfId="55145"/>
    <cellStyle name="Normal 5 6" xfId="55146"/>
    <cellStyle name="Normal 5 6 2" xfId="55147"/>
    <cellStyle name="Normal 5 6 3" xfId="55148"/>
    <cellStyle name="Normal 5 6 4" xfId="55149"/>
    <cellStyle name="Normal 5 6 5" xfId="55150"/>
    <cellStyle name="Normal 5 7" xfId="55151"/>
    <cellStyle name="Normal 5 8" xfId="55152"/>
    <cellStyle name="Normal 5 9" xfId="55153"/>
    <cellStyle name="Normal 5_T1_TP_MASTER_032112_Rev A" xfId="55154"/>
    <cellStyle name="Normal 50" xfId="55155"/>
    <cellStyle name="Normal 50 2" xfId="55156"/>
    <cellStyle name="Normal 50 2 2" xfId="55157"/>
    <cellStyle name="Normal 50 2 3" xfId="55158"/>
    <cellStyle name="Normal 50 3" xfId="55159"/>
    <cellStyle name="Normal 50 3 2" xfId="55160"/>
    <cellStyle name="Normal 50 3 3" xfId="55161"/>
    <cellStyle name="Normal 50 4" xfId="55162"/>
    <cellStyle name="Normal 50 5" xfId="55163"/>
    <cellStyle name="Normal 51" xfId="55164"/>
    <cellStyle name="Normal 51 2" xfId="55165"/>
    <cellStyle name="Normal 51 2 2" xfId="55166"/>
    <cellStyle name="Normal 51 2 3" xfId="55167"/>
    <cellStyle name="Normal 51 3" xfId="55168"/>
    <cellStyle name="Normal 51 3 2" xfId="55169"/>
    <cellStyle name="Normal 51 3 3" xfId="55170"/>
    <cellStyle name="Normal 51 4" xfId="55171"/>
    <cellStyle name="Normal 51 5" xfId="55172"/>
    <cellStyle name="Normal 52" xfId="55173"/>
    <cellStyle name="Normal 52 2" xfId="55174"/>
    <cellStyle name="Normal 52 2 2" xfId="55175"/>
    <cellStyle name="Normal 52 2 3" xfId="55176"/>
    <cellStyle name="Normal 52 3" xfId="55177"/>
    <cellStyle name="Normal 52 3 2" xfId="55178"/>
    <cellStyle name="Normal 52 3 3" xfId="55179"/>
    <cellStyle name="Normal 52 4" xfId="55180"/>
    <cellStyle name="Normal 52 5" xfId="55181"/>
    <cellStyle name="Normal 53" xfId="55182"/>
    <cellStyle name="Normal 53 2" xfId="55183"/>
    <cellStyle name="Normal 53 2 2" xfId="55184"/>
    <cellStyle name="Normal 53 2 3" xfId="55185"/>
    <cellStyle name="Normal 53 3" xfId="55186"/>
    <cellStyle name="Normal 53 3 2" xfId="55187"/>
    <cellStyle name="Normal 53 3 3" xfId="55188"/>
    <cellStyle name="Normal 53 4" xfId="55189"/>
    <cellStyle name="Normal 53 5" xfId="55190"/>
    <cellStyle name="Normal 54" xfId="55191"/>
    <cellStyle name="Normal 54 2" xfId="55192"/>
    <cellStyle name="Normal 54 2 2" xfId="55193"/>
    <cellStyle name="Normal 54 2 3" xfId="55194"/>
    <cellStyle name="Normal 54 3" xfId="55195"/>
    <cellStyle name="Normal 54 3 2" xfId="55196"/>
    <cellStyle name="Normal 54 3 3" xfId="55197"/>
    <cellStyle name="Normal 54 4" xfId="55198"/>
    <cellStyle name="Normal 54 5" xfId="55199"/>
    <cellStyle name="Normal 55" xfId="55200"/>
    <cellStyle name="Normal 55 2" xfId="55201"/>
    <cellStyle name="Normal 55 2 2" xfId="55202"/>
    <cellStyle name="Normal 55 2 3" xfId="55203"/>
    <cellStyle name="Normal 55 3" xfId="55204"/>
    <cellStyle name="Normal 55 3 2" xfId="55205"/>
    <cellStyle name="Normal 55 3 3" xfId="55206"/>
    <cellStyle name="Normal 55 4" xfId="55207"/>
    <cellStyle name="Normal 55 5" xfId="55208"/>
    <cellStyle name="Normal 56" xfId="55209"/>
    <cellStyle name="Normal 56 2" xfId="55210"/>
    <cellStyle name="Normal 56 2 2" xfId="55211"/>
    <cellStyle name="Normal 56 2 3" xfId="55212"/>
    <cellStyle name="Normal 56 3" xfId="55213"/>
    <cellStyle name="Normal 56 3 2" xfId="55214"/>
    <cellStyle name="Normal 56 3 3" xfId="55215"/>
    <cellStyle name="Normal 56 4" xfId="55216"/>
    <cellStyle name="Normal 56 5" xfId="55217"/>
    <cellStyle name="Normal 57" xfId="55218"/>
    <cellStyle name="Normal 57 2" xfId="55219"/>
    <cellStyle name="Normal 57 2 2" xfId="55220"/>
    <cellStyle name="Normal 57 2 2 2" xfId="55221"/>
    <cellStyle name="Normal 57 2 2 3" xfId="55222"/>
    <cellStyle name="Normal 57 2 3" xfId="55223"/>
    <cellStyle name="Normal 57 2 4" xfId="55224"/>
    <cellStyle name="Normal 57 3" xfId="55225"/>
    <cellStyle name="Normal 57 3 2" xfId="55226"/>
    <cellStyle name="Normal 57 3 3" xfId="55227"/>
    <cellStyle name="Normal 57 4" xfId="55228"/>
    <cellStyle name="Normal 57 5" xfId="55229"/>
    <cellStyle name="Normal 58" xfId="55230"/>
    <cellStyle name="Normal 58 2" xfId="55231"/>
    <cellStyle name="Normal 58 2 2" xfId="55232"/>
    <cellStyle name="Normal 58 2 2 2" xfId="55233"/>
    <cellStyle name="Normal 58 2 2 3" xfId="55234"/>
    <cellStyle name="Normal 58 2 3" xfId="55235"/>
    <cellStyle name="Normal 58 2 4" xfId="55236"/>
    <cellStyle name="Normal 58 3" xfId="55237"/>
    <cellStyle name="Normal 58 3 2" xfId="55238"/>
    <cellStyle name="Normal 58 3 3" xfId="55239"/>
    <cellStyle name="Normal 58 4" xfId="55240"/>
    <cellStyle name="Normal 58 5" xfId="55241"/>
    <cellStyle name="Normal 59" xfId="55242"/>
    <cellStyle name="Normal 59 2" xfId="55243"/>
    <cellStyle name="Normal 59 2 2" xfId="55244"/>
    <cellStyle name="Normal 59 2 3" xfId="55245"/>
    <cellStyle name="Normal 59 3" xfId="55246"/>
    <cellStyle name="Normal 59 3 2" xfId="55247"/>
    <cellStyle name="Normal 59 3 2 2" xfId="55248"/>
    <cellStyle name="Normal 59 3 2 2 2" xfId="55249"/>
    <cellStyle name="Normal 59 3 2 2 3" xfId="55250"/>
    <cellStyle name="Normal 59 3 2 3" xfId="55251"/>
    <cellStyle name="Normal 59 3 2 4" xfId="55252"/>
    <cellStyle name="Normal 59 3 3" xfId="55253"/>
    <cellStyle name="Normal 59 3 3 2" xfId="55254"/>
    <cellStyle name="Normal 59 3 3 3" xfId="55255"/>
    <cellStyle name="Normal 59 3 4" xfId="55256"/>
    <cellStyle name="Normal 59 3 5" xfId="55257"/>
    <cellStyle name="Normal 59 4" xfId="55258"/>
    <cellStyle name="Normal 59 5" xfId="55259"/>
    <cellStyle name="Normal 6" xfId="55260"/>
    <cellStyle name="Normal 6 10" xfId="55261"/>
    <cellStyle name="Normal 6 10 2" xfId="55262"/>
    <cellStyle name="Normal 6 10 3" xfId="55263"/>
    <cellStyle name="Normal 6 11" xfId="55264"/>
    <cellStyle name="Normal 6 11 2" xfId="55265"/>
    <cellStyle name="Normal 6 11 3" xfId="55266"/>
    <cellStyle name="Normal 6 12" xfId="55267"/>
    <cellStyle name="Normal 6 12 2" xfId="55268"/>
    <cellStyle name="Normal 6 12 3" xfId="55269"/>
    <cellStyle name="Normal 6 13" xfId="55270"/>
    <cellStyle name="Normal 6 14" xfId="55271"/>
    <cellStyle name="Normal 6 2" xfId="55272"/>
    <cellStyle name="Normal 6 2 2" xfId="55273"/>
    <cellStyle name="Normal 6 2 2 2" xfId="55274"/>
    <cellStyle name="Normal 6 2 2 2 2" xfId="55275"/>
    <cellStyle name="Normal 6 2 2 2 3" xfId="55276"/>
    <cellStyle name="Normal 6 2 2 3" xfId="55277"/>
    <cellStyle name="Normal 6 2 2 3 2" xfId="55278"/>
    <cellStyle name="Normal 6 2 2 3 3" xfId="55279"/>
    <cellStyle name="Normal 6 2 2 4" xfId="55280"/>
    <cellStyle name="Normal 6 2 2 5" xfId="55281"/>
    <cellStyle name="Normal 6 2 3" xfId="55282"/>
    <cellStyle name="Normal 6 2 3 2" xfId="55283"/>
    <cellStyle name="Normal 6 2 3 3" xfId="55284"/>
    <cellStyle name="Normal 6 2 4" xfId="55285"/>
    <cellStyle name="Normal 6 2 4 2" xfId="55286"/>
    <cellStyle name="Normal 6 2 4 3" xfId="55287"/>
    <cellStyle name="Normal 6 2 5" xfId="55288"/>
    <cellStyle name="Normal 6 2 6" xfId="55289"/>
    <cellStyle name="Normal 6 2 7" xfId="55290"/>
    <cellStyle name="Normal 6 2 8" xfId="55291"/>
    <cellStyle name="Normal 6 3" xfId="55292"/>
    <cellStyle name="Normal 6 3 2" xfId="55293"/>
    <cellStyle name="Normal 6 3 2 2" xfId="55294"/>
    <cellStyle name="Normal 6 3 2 3" xfId="55295"/>
    <cellStyle name="Normal 6 3 2 4" xfId="55296"/>
    <cellStyle name="Normal 6 3 2 5" xfId="55297"/>
    <cellStyle name="Normal 6 3 3" xfId="55298"/>
    <cellStyle name="Normal 6 3 3 2" xfId="55299"/>
    <cellStyle name="Normal 6 3 4" xfId="55300"/>
    <cellStyle name="Normal 6 3 5" xfId="55301"/>
    <cellStyle name="Normal 6 3 6" xfId="55302"/>
    <cellStyle name="Normal 6 3 7" xfId="55303"/>
    <cellStyle name="Normal 6 3 8" xfId="55304"/>
    <cellStyle name="Normal 6 4" xfId="55305"/>
    <cellStyle name="Normal 6 4 2" xfId="55306"/>
    <cellStyle name="Normal 6 4 2 2" xfId="55307"/>
    <cellStyle name="Normal 6 4 2 3" xfId="55308"/>
    <cellStyle name="Normal 6 4 2 4" xfId="55309"/>
    <cellStyle name="Normal 6 4 2 5" xfId="55310"/>
    <cellStyle name="Normal 6 4 3" xfId="55311"/>
    <cellStyle name="Normal 6 4 4" xfId="55312"/>
    <cellStyle name="Normal 6 4 5" xfId="55313"/>
    <cellStyle name="Normal 6 4 6" xfId="55314"/>
    <cellStyle name="Normal 6 4 7" xfId="55315"/>
    <cellStyle name="Normal 6 4 8" xfId="55316"/>
    <cellStyle name="Normal 6 5" xfId="55317"/>
    <cellStyle name="Normal 6 5 2" xfId="55318"/>
    <cellStyle name="Normal 6 5 2 2" xfId="55319"/>
    <cellStyle name="Normal 6 5 2 2 2" xfId="55320"/>
    <cellStyle name="Normal 6 5 2 2 3" xfId="55321"/>
    <cellStyle name="Normal 6 5 2 3" xfId="55322"/>
    <cellStyle name="Normal 6 5 2 4" xfId="55323"/>
    <cellStyle name="Normal 6 5 3" xfId="55324"/>
    <cellStyle name="Normal 6 5 3 2" xfId="55325"/>
    <cellStyle name="Normal 6 5 3 3" xfId="55326"/>
    <cellStyle name="Normal 6 5 4" xfId="55327"/>
    <cellStyle name="Normal 6 5 4 2" xfId="55328"/>
    <cellStyle name="Normal 6 5 4 3" xfId="55329"/>
    <cellStyle name="Normal 6 5 5" xfId="55330"/>
    <cellStyle name="Normal 6 5 6" xfId="55331"/>
    <cellStyle name="Normal 6 6" xfId="55332"/>
    <cellStyle name="Normal 6 6 2" xfId="55333"/>
    <cellStyle name="Normal 6 6 2 2" xfId="55334"/>
    <cellStyle name="Normal 6 6 2 2 2" xfId="55335"/>
    <cellStyle name="Normal 6 6 2 2 3" xfId="55336"/>
    <cellStyle name="Normal 6 6 2 3" xfId="55337"/>
    <cellStyle name="Normal 6 6 2 4" xfId="55338"/>
    <cellStyle name="Normal 6 6 3" xfId="55339"/>
    <cellStyle name="Normal 6 6 3 2" xfId="55340"/>
    <cellStyle name="Normal 6 6 3 3" xfId="55341"/>
    <cellStyle name="Normal 6 6 4" xfId="55342"/>
    <cellStyle name="Normal 6 6 4 2" xfId="55343"/>
    <cellStyle name="Normal 6 6 4 3" xfId="55344"/>
    <cellStyle name="Normal 6 6 5" xfId="55345"/>
    <cellStyle name="Normal 6 6 6" xfId="55346"/>
    <cellStyle name="Normal 6 7" xfId="55347"/>
    <cellStyle name="Normal 6 7 2" xfId="55348"/>
    <cellStyle name="Normal 6 7 2 2" xfId="55349"/>
    <cellStyle name="Normal 6 7 2 3" xfId="55350"/>
    <cellStyle name="Normal 6 7 3" xfId="55351"/>
    <cellStyle name="Normal 6 7 4" xfId="55352"/>
    <cellStyle name="Normal 6 8" xfId="55353"/>
    <cellStyle name="Normal 6 8 2" xfId="55354"/>
    <cellStyle name="Normal 6 8 2 2" xfId="55355"/>
    <cellStyle name="Normal 6 8 2 3" xfId="55356"/>
    <cellStyle name="Normal 6 8 3" xfId="55357"/>
    <cellStyle name="Normal 6 8 3 2" xfId="55358"/>
    <cellStyle name="Normal 6 8 3 3" xfId="55359"/>
    <cellStyle name="Normal 6 8 4" xfId="55360"/>
    <cellStyle name="Normal 6 8 5" xfId="55361"/>
    <cellStyle name="Normal 6 9" xfId="55362"/>
    <cellStyle name="Normal 6 9 2" xfId="55363"/>
    <cellStyle name="Normal 6 9 2 2" xfId="55364"/>
    <cellStyle name="Normal 6 9 2 3" xfId="55365"/>
    <cellStyle name="Normal 6 9 3" xfId="55366"/>
    <cellStyle name="Normal 6 9 4" xfId="55367"/>
    <cellStyle name="Normal 6_T1_TP_MASTER_032112_Rev A" xfId="55368"/>
    <cellStyle name="Normal 60" xfId="55369"/>
    <cellStyle name="Normal 60 2" xfId="55370"/>
    <cellStyle name="Normal 60 2 2" xfId="55371"/>
    <cellStyle name="Normal 60 2 3" xfId="55372"/>
    <cellStyle name="Normal 60 3" xfId="55373"/>
    <cellStyle name="Normal 60 3 2" xfId="55374"/>
    <cellStyle name="Normal 60 3 3" xfId="55375"/>
    <cellStyle name="Normal 60 4" xfId="55376"/>
    <cellStyle name="Normal 60 5" xfId="55377"/>
    <cellStyle name="Normal 61" xfId="55378"/>
    <cellStyle name="Normal 61 2" xfId="55379"/>
    <cellStyle name="Normal 61 2 2" xfId="55380"/>
    <cellStyle name="Normal 61 2 3" xfId="55381"/>
    <cellStyle name="Normal 61 3" xfId="55382"/>
    <cellStyle name="Normal 61 3 2" xfId="55383"/>
    <cellStyle name="Normal 61 3 2 2" xfId="55384"/>
    <cellStyle name="Normal 61 3 2 2 2" xfId="55385"/>
    <cellStyle name="Normal 61 3 2 2 3" xfId="55386"/>
    <cellStyle name="Normal 61 3 2 3" xfId="55387"/>
    <cellStyle name="Normal 61 3 2 4" xfId="55388"/>
    <cellStyle name="Normal 61 3 3" xfId="55389"/>
    <cellStyle name="Normal 61 3 3 2" xfId="55390"/>
    <cellStyle name="Normal 61 3 3 3" xfId="55391"/>
    <cellStyle name="Normal 61 3 4" xfId="55392"/>
    <cellStyle name="Normal 61 3 5" xfId="55393"/>
    <cellStyle name="Normal 61 4" xfId="55394"/>
    <cellStyle name="Normal 61 5" xfId="55395"/>
    <cellStyle name="Normal 62" xfId="55396"/>
    <cellStyle name="Normal 62 2" xfId="55397"/>
    <cellStyle name="Normal 62 2 2" xfId="55398"/>
    <cellStyle name="Normal 62 2 3" xfId="55399"/>
    <cellStyle name="Normal 62 3" xfId="55400"/>
    <cellStyle name="Normal 62 3 2" xfId="55401"/>
    <cellStyle name="Normal 62 3 2 2" xfId="55402"/>
    <cellStyle name="Normal 62 3 2 2 2" xfId="55403"/>
    <cellStyle name="Normal 62 3 2 2 3" xfId="55404"/>
    <cellStyle name="Normal 62 3 2 3" xfId="55405"/>
    <cellStyle name="Normal 62 3 2 4" xfId="55406"/>
    <cellStyle name="Normal 62 3 3" xfId="55407"/>
    <cellStyle name="Normal 62 3 3 2" xfId="55408"/>
    <cellStyle name="Normal 62 3 3 3" xfId="55409"/>
    <cellStyle name="Normal 62 3 4" xfId="55410"/>
    <cellStyle name="Normal 62 3 5" xfId="55411"/>
    <cellStyle name="Normal 62 4" xfId="55412"/>
    <cellStyle name="Normal 62 5" xfId="55413"/>
    <cellStyle name="Normal 63" xfId="55414"/>
    <cellStyle name="Normal 63 2" xfId="55415"/>
    <cellStyle name="Normal 63 2 2" xfId="55416"/>
    <cellStyle name="Normal 63 2 3" xfId="55417"/>
    <cellStyle name="Normal 63 3" xfId="55418"/>
    <cellStyle name="Normal 63 3 2" xfId="55419"/>
    <cellStyle name="Normal 63 3 2 2" xfId="55420"/>
    <cellStyle name="Normal 63 3 2 2 2" xfId="55421"/>
    <cellStyle name="Normal 63 3 2 2 3" xfId="55422"/>
    <cellStyle name="Normal 63 3 2 3" xfId="55423"/>
    <cellStyle name="Normal 63 3 2 4" xfId="55424"/>
    <cellStyle name="Normal 63 3 3" xfId="55425"/>
    <cellStyle name="Normal 63 3 3 2" xfId="55426"/>
    <cellStyle name="Normal 63 3 3 3" xfId="55427"/>
    <cellStyle name="Normal 63 3 4" xfId="55428"/>
    <cellStyle name="Normal 63 3 5" xfId="55429"/>
    <cellStyle name="Normal 63 4" xfId="55430"/>
    <cellStyle name="Normal 63 5" xfId="55431"/>
    <cellStyle name="Normal 64" xfId="55432"/>
    <cellStyle name="Normal 64 2" xfId="55433"/>
    <cellStyle name="Normal 64 2 2" xfId="55434"/>
    <cellStyle name="Normal 64 2 3" xfId="55435"/>
    <cellStyle name="Normal 64 3" xfId="55436"/>
    <cellStyle name="Normal 64 3 2" xfId="55437"/>
    <cellStyle name="Normal 64 3 2 2" xfId="55438"/>
    <cellStyle name="Normal 64 3 2 2 2" xfId="55439"/>
    <cellStyle name="Normal 64 3 2 2 3" xfId="55440"/>
    <cellStyle name="Normal 64 3 2 3" xfId="55441"/>
    <cellStyle name="Normal 64 3 2 4" xfId="55442"/>
    <cellStyle name="Normal 64 3 3" xfId="55443"/>
    <cellStyle name="Normal 64 3 3 2" xfId="55444"/>
    <cellStyle name="Normal 64 3 3 3" xfId="55445"/>
    <cellStyle name="Normal 64 3 4" xfId="55446"/>
    <cellStyle name="Normal 64 3 5" xfId="55447"/>
    <cellStyle name="Normal 64 4" xfId="55448"/>
    <cellStyle name="Normal 64 5" xfId="55449"/>
    <cellStyle name="Normal 65" xfId="55450"/>
    <cellStyle name="Normal 65 2" xfId="55451"/>
    <cellStyle name="Normal 65 2 2" xfId="55452"/>
    <cellStyle name="Normal 65 2 3" xfId="55453"/>
    <cellStyle name="Normal 65 3" xfId="55454"/>
    <cellStyle name="Normal 65 3 2" xfId="55455"/>
    <cellStyle name="Normal 65 3 3" xfId="55456"/>
    <cellStyle name="Normal 65 4" xfId="55457"/>
    <cellStyle name="Normal 65 4 2" xfId="55458"/>
    <cellStyle name="Normal 65 4 3" xfId="55459"/>
    <cellStyle name="Normal 65 5" xfId="55460"/>
    <cellStyle name="Normal 66" xfId="55461"/>
    <cellStyle name="Normal 66 2" xfId="55462"/>
    <cellStyle name="Normal 66 2 2" xfId="55463"/>
    <cellStyle name="Normal 66 2 3" xfId="55464"/>
    <cellStyle name="Normal 66 3" xfId="55465"/>
    <cellStyle name="Normal 66 3 2" xfId="55466"/>
    <cellStyle name="Normal 66 3 3" xfId="55467"/>
    <cellStyle name="Normal 66 4" xfId="55468"/>
    <cellStyle name="Normal 66 5" xfId="55469"/>
    <cellStyle name="Normal 67" xfId="55470"/>
    <cellStyle name="Normal 67 2" xfId="55471"/>
    <cellStyle name="Normal 67 2 2" xfId="55472"/>
    <cellStyle name="Normal 67 2 3" xfId="55473"/>
    <cellStyle name="Normal 67 3" xfId="55474"/>
    <cellStyle name="Normal 67 3 2" xfId="55475"/>
    <cellStyle name="Normal 67 3 2 2" xfId="55476"/>
    <cellStyle name="Normal 67 3 2 2 2" xfId="55477"/>
    <cellStyle name="Normal 67 3 2 2 3" xfId="55478"/>
    <cellStyle name="Normal 67 3 2 3" xfId="55479"/>
    <cellStyle name="Normal 67 3 2 4" xfId="55480"/>
    <cellStyle name="Normal 67 3 3" xfId="55481"/>
    <cellStyle name="Normal 67 3 3 2" xfId="55482"/>
    <cellStyle name="Normal 67 3 3 3" xfId="55483"/>
    <cellStyle name="Normal 67 3 4" xfId="55484"/>
    <cellStyle name="Normal 67 3 5" xfId="55485"/>
    <cellStyle name="Normal 67 4" xfId="55486"/>
    <cellStyle name="Normal 67 5" xfId="55487"/>
    <cellStyle name="Normal 68" xfId="55488"/>
    <cellStyle name="Normal 68 2" xfId="55489"/>
    <cellStyle name="Normal 68 2 2" xfId="55490"/>
    <cellStyle name="Normal 68 2 3" xfId="55491"/>
    <cellStyle name="Normal 68 3" xfId="55492"/>
    <cellStyle name="Normal 68 3 2" xfId="55493"/>
    <cellStyle name="Normal 68 3 2 2" xfId="55494"/>
    <cellStyle name="Normal 68 3 2 2 2" xfId="55495"/>
    <cellStyle name="Normal 68 3 2 2 3" xfId="55496"/>
    <cellStyle name="Normal 68 3 2 3" xfId="55497"/>
    <cellStyle name="Normal 68 3 2 4" xfId="55498"/>
    <cellStyle name="Normal 68 3 3" xfId="55499"/>
    <cellStyle name="Normal 68 3 3 2" xfId="55500"/>
    <cellStyle name="Normal 68 3 3 3" xfId="55501"/>
    <cellStyle name="Normal 68 3 4" xfId="55502"/>
    <cellStyle name="Normal 68 3 5" xfId="55503"/>
    <cellStyle name="Normal 68 4" xfId="55504"/>
    <cellStyle name="Normal 68 5" xfId="55505"/>
    <cellStyle name="Normal 69" xfId="55506"/>
    <cellStyle name="Normal 69 2" xfId="55507"/>
    <cellStyle name="Normal 69 2 2" xfId="55508"/>
    <cellStyle name="Normal 69 2 3" xfId="55509"/>
    <cellStyle name="Normal 69 3" xfId="55510"/>
    <cellStyle name="Normal 69 3 2" xfId="55511"/>
    <cellStyle name="Normal 69 3 2 2" xfId="55512"/>
    <cellStyle name="Normal 69 3 2 2 2" xfId="55513"/>
    <cellStyle name="Normal 69 3 2 2 3" xfId="55514"/>
    <cellStyle name="Normal 69 3 2 3" xfId="55515"/>
    <cellStyle name="Normal 69 3 2 4" xfId="55516"/>
    <cellStyle name="Normal 69 3 3" xfId="55517"/>
    <cellStyle name="Normal 69 3 3 2" xfId="55518"/>
    <cellStyle name="Normal 69 3 3 3" xfId="55519"/>
    <cellStyle name="Normal 69 3 4" xfId="55520"/>
    <cellStyle name="Normal 69 3 5" xfId="55521"/>
    <cellStyle name="Normal 69 4" xfId="55522"/>
    <cellStyle name="Normal 69 5" xfId="55523"/>
    <cellStyle name="Normal 7" xfId="55524"/>
    <cellStyle name="Normal 7 2" xfId="55525"/>
    <cellStyle name="Normal 7 2 2" xfId="55526"/>
    <cellStyle name="Normal 7 2 2 2" xfId="55527"/>
    <cellStyle name="Normal 7 2 2 2 2" xfId="55528"/>
    <cellStyle name="Normal 7 2 2 2 2 2" xfId="55529"/>
    <cellStyle name="Normal 7 2 2 2 2 2 2" xfId="55530"/>
    <cellStyle name="Normal 7 2 2 2 2 2 3" xfId="55531"/>
    <cellStyle name="Normal 7 2 2 2 2 2 4" xfId="55532"/>
    <cellStyle name="Normal 7 2 2 2 2 2 5" xfId="55533"/>
    <cellStyle name="Normal 7 2 2 2 2 3" xfId="55534"/>
    <cellStyle name="Normal 7 2 2 2 2 4" xfId="55535"/>
    <cellStyle name="Normal 7 2 2 2 2 5" xfId="55536"/>
    <cellStyle name="Normal 7 2 2 2 2 6" xfId="55537"/>
    <cellStyle name="Normal 7 2 2 2 2 7" xfId="55538"/>
    <cellStyle name="Normal 7 2 2 2 2 8" xfId="55539"/>
    <cellStyle name="Normal 7 2 2 2 3" xfId="55540"/>
    <cellStyle name="Normal 7 2 2 2 4" xfId="55541"/>
    <cellStyle name="Normal 7 2 2 3" xfId="55542"/>
    <cellStyle name="Normal 7 2 2 3 2" xfId="55543"/>
    <cellStyle name="Normal 7 2 2 3 3" xfId="55544"/>
    <cellStyle name="Normal 7 2 2 3 4" xfId="55545"/>
    <cellStyle name="Normal 7 2 2 3 5" xfId="55546"/>
    <cellStyle name="Normal 7 2 2 4" xfId="55547"/>
    <cellStyle name="Normal 7 2 2 4 2" xfId="55548"/>
    <cellStyle name="Normal 7 2 2 4 3" xfId="55549"/>
    <cellStyle name="Normal 7 2 2 5" xfId="55550"/>
    <cellStyle name="Normal 7 2 2 6" xfId="55551"/>
    <cellStyle name="Normal 7 2 2 7" xfId="55552"/>
    <cellStyle name="Normal 7 2 2 8" xfId="55553"/>
    <cellStyle name="Normal 7 2 2 9" xfId="55554"/>
    <cellStyle name="Normal 7 2 3" xfId="55555"/>
    <cellStyle name="Normal 7 2 3 2" xfId="55556"/>
    <cellStyle name="Normal 7 2 3 2 2" xfId="55557"/>
    <cellStyle name="Normal 7 2 3 2 2 2" xfId="55558"/>
    <cellStyle name="Normal 7 2 3 2 2 3" xfId="55559"/>
    <cellStyle name="Normal 7 2 3 2 3" xfId="55560"/>
    <cellStyle name="Normal 7 2 3 2 4" xfId="55561"/>
    <cellStyle name="Normal 7 2 3 2 5" xfId="55562"/>
    <cellStyle name="Normal 7 2 3 3" xfId="55563"/>
    <cellStyle name="Normal 7 2 3 3 2" xfId="55564"/>
    <cellStyle name="Normal 7 2 3 3 3" xfId="55565"/>
    <cellStyle name="Normal 7 2 3 4" xfId="55566"/>
    <cellStyle name="Normal 7 2 3 4 2" xfId="55567"/>
    <cellStyle name="Normal 7 2 3 4 3" xfId="55568"/>
    <cellStyle name="Normal 7 2 3 5" xfId="55569"/>
    <cellStyle name="Normal 7 2 3 6" xfId="55570"/>
    <cellStyle name="Normal 7 2 3 7" xfId="55571"/>
    <cellStyle name="Normal 7 2 3 8" xfId="55572"/>
    <cellStyle name="Normal 7 2 4" xfId="55573"/>
    <cellStyle name="Normal 7 2 4 2" xfId="55574"/>
    <cellStyle name="Normal 7 2 4 2 2" xfId="55575"/>
    <cellStyle name="Normal 7 2 4 2 3" xfId="55576"/>
    <cellStyle name="Normal 7 2 4 3" xfId="55577"/>
    <cellStyle name="Normal 7 2 4 4" xfId="55578"/>
    <cellStyle name="Normal 7 2 5" xfId="55579"/>
    <cellStyle name="Normal 7 2 5 2" xfId="55580"/>
    <cellStyle name="Normal 7 2 5 3" xfId="55581"/>
    <cellStyle name="Normal 7 2 6" xfId="55582"/>
    <cellStyle name="Normal 7 2 6 2" xfId="55583"/>
    <cellStyle name="Normal 7 2 6 3" xfId="55584"/>
    <cellStyle name="Normal 7 2 7" xfId="55585"/>
    <cellStyle name="Normal 7 2 8" xfId="55586"/>
    <cellStyle name="Normal 7 3" xfId="55587"/>
    <cellStyle name="Normal 7 3 2" xfId="55588"/>
    <cellStyle name="Normal 7 3 2 2" xfId="55589"/>
    <cellStyle name="Normal 7 3 2 2 2" xfId="55590"/>
    <cellStyle name="Normal 7 3 2 2 2 2" xfId="55591"/>
    <cellStyle name="Normal 7 3 2 2 2 2 2" xfId="55592"/>
    <cellStyle name="Normal 7 3 2 2 2 2 2 2" xfId="55593"/>
    <cellStyle name="Normal 7 3 2 2 2 2 3" xfId="55594"/>
    <cellStyle name="Normal 7 3 2 2 2 3" xfId="55595"/>
    <cellStyle name="Normal 7 3 2 2 2 3 2" xfId="55596"/>
    <cellStyle name="Normal 7 3 2 2 2 3 2 2" xfId="55597"/>
    <cellStyle name="Normal 7 3 2 2 2 3 3" xfId="55598"/>
    <cellStyle name="Normal 7 3 2 2 2 4" xfId="55599"/>
    <cellStyle name="Normal 7 3 2 2 2 4 2" xfId="55600"/>
    <cellStyle name="Normal 7 3 2 2 2 5" xfId="55601"/>
    <cellStyle name="Normal 7 3 2 2 3" xfId="55602"/>
    <cellStyle name="Normal 7 3 2 2 3 2" xfId="55603"/>
    <cellStyle name="Normal 7 3 2 2 3 2 2" xfId="55604"/>
    <cellStyle name="Normal 7 3 2 2 3 3" xfId="55605"/>
    <cellStyle name="Normal 7 3 2 2 4" xfId="55606"/>
    <cellStyle name="Normal 7 3 2 2 4 2" xfId="55607"/>
    <cellStyle name="Normal 7 3 2 2 4 2 2" xfId="55608"/>
    <cellStyle name="Normal 7 3 2 2 4 3" xfId="55609"/>
    <cellStyle name="Normal 7 3 2 2 5" xfId="55610"/>
    <cellStyle name="Normal 7 3 2 2 5 2" xfId="55611"/>
    <cellStyle name="Normal 7 3 2 2 6" xfId="55612"/>
    <cellStyle name="Normal 7 3 2 3" xfId="55613"/>
    <cellStyle name="Normal 7 3 2 3 2" xfId="55614"/>
    <cellStyle name="Normal 7 3 2 3 2 2" xfId="55615"/>
    <cellStyle name="Normal 7 3 2 3 3" xfId="55616"/>
    <cellStyle name="Normal 7 3 2 4" xfId="55617"/>
    <cellStyle name="Normal 7 3 2 4 2" xfId="55618"/>
    <cellStyle name="Normal 7 3 2 4 2 2" xfId="55619"/>
    <cellStyle name="Normal 7 3 2 4 3" xfId="55620"/>
    <cellStyle name="Normal 7 3 2 5" xfId="55621"/>
    <cellStyle name="Normal 7 3 2 5 2" xfId="55622"/>
    <cellStyle name="Normal 7 3 2 6" xfId="55623"/>
    <cellStyle name="Normal 7 3 3" xfId="55624"/>
    <cellStyle name="Normal 7 3 3 2" xfId="55625"/>
    <cellStyle name="Normal 7 3 3 2 2" xfId="55626"/>
    <cellStyle name="Normal 7 3 3 3" xfId="55627"/>
    <cellStyle name="Normal 7 3 4" xfId="55628"/>
    <cellStyle name="Normal 7 3 4 2" xfId="55629"/>
    <cellStyle name="Normal 7 3 4 2 2" xfId="55630"/>
    <cellStyle name="Normal 7 3 4 3" xfId="55631"/>
    <cellStyle name="Normal 7 3 5" xfId="55632"/>
    <cellStyle name="Normal 7 3 5 2" xfId="55633"/>
    <cellStyle name="Normal 7 3 6" xfId="55634"/>
    <cellStyle name="Normal 7 3 7" xfId="55635"/>
    <cellStyle name="Normal 7 4" xfId="55636"/>
    <cellStyle name="Normal 7 4 2" xfId="55637"/>
    <cellStyle name="Normal 7 4 2 2" xfId="55638"/>
    <cellStyle name="Normal 7 4 3" xfId="55639"/>
    <cellStyle name="Normal 7 5" xfId="55640"/>
    <cellStyle name="Normal 7 5 2" xfId="55641"/>
    <cellStyle name="Normal 7 5 2 2" xfId="55642"/>
    <cellStyle name="Normal 7 5 3" xfId="55643"/>
    <cellStyle name="Normal 7 6" xfId="55644"/>
    <cellStyle name="Normal 7 6 2" xfId="55645"/>
    <cellStyle name="Normal 7 7" xfId="55646"/>
    <cellStyle name="Normal 7 7 2" xfId="55647"/>
    <cellStyle name="Normal 7 8" xfId="55648"/>
    <cellStyle name="Normal 7_T1_TP_MASTER_032112_Rev A" xfId="55649"/>
    <cellStyle name="Normal 70" xfId="55650"/>
    <cellStyle name="Normal 70 2" xfId="55651"/>
    <cellStyle name="Normal 70 2 2" xfId="55652"/>
    <cellStyle name="Normal 70 2 2 2" xfId="55653"/>
    <cellStyle name="Normal 70 2 2 3" xfId="55654"/>
    <cellStyle name="Normal 70 2 3" xfId="55655"/>
    <cellStyle name="Normal 70 2 4" xfId="55656"/>
    <cellStyle name="Normal 70 2 5" xfId="55657"/>
    <cellStyle name="Normal 70 3" xfId="55658"/>
    <cellStyle name="Normal 70 3 2" xfId="55659"/>
    <cellStyle name="Normal 70 3 3" xfId="55660"/>
    <cellStyle name="Normal 70 3 4" xfId="55661"/>
    <cellStyle name="Normal 70 4" xfId="55662"/>
    <cellStyle name="Normal 70 4 2" xfId="55663"/>
    <cellStyle name="Normal 70 5" xfId="55664"/>
    <cellStyle name="Normal 71" xfId="55665"/>
    <cellStyle name="Normal 71 2" xfId="55666"/>
    <cellStyle name="Normal 71 2 2" xfId="55667"/>
    <cellStyle name="Normal 71 2 2 2" xfId="55668"/>
    <cellStyle name="Normal 71 2 2 3" xfId="55669"/>
    <cellStyle name="Normal 71 2 3" xfId="55670"/>
    <cellStyle name="Normal 71 2 4" xfId="55671"/>
    <cellStyle name="Normal 71 2 5" xfId="55672"/>
    <cellStyle name="Normal 71 3" xfId="55673"/>
    <cellStyle name="Normal 71 3 2" xfId="55674"/>
    <cellStyle name="Normal 71 3 3" xfId="55675"/>
    <cellStyle name="Normal 71 4" xfId="55676"/>
    <cellStyle name="Normal 71 5" xfId="55677"/>
    <cellStyle name="Normal 72" xfId="55678"/>
    <cellStyle name="Normal 72 2" xfId="55679"/>
    <cellStyle name="Normal 72 2 2" xfId="55680"/>
    <cellStyle name="Normal 72 2 2 2" xfId="55681"/>
    <cellStyle name="Normal 72 2 2 3" xfId="55682"/>
    <cellStyle name="Normal 72 2 3" xfId="55683"/>
    <cellStyle name="Normal 72 2 4" xfId="55684"/>
    <cellStyle name="Normal 72 3" xfId="55685"/>
    <cellStyle name="Normal 72 3 2" xfId="55686"/>
    <cellStyle name="Normal 72 3 3" xfId="55687"/>
    <cellStyle name="Normal 72 4" xfId="55688"/>
    <cellStyle name="Normal 72 5" xfId="55689"/>
    <cellStyle name="Normal 73" xfId="55690"/>
    <cellStyle name="Normal 73 2" xfId="55691"/>
    <cellStyle name="Normal 73 2 2" xfId="55692"/>
    <cellStyle name="Normal 73 2 2 2" xfId="55693"/>
    <cellStyle name="Normal 73 2 2 3" xfId="55694"/>
    <cellStyle name="Normal 73 2 3" xfId="55695"/>
    <cellStyle name="Normal 73 2 4" xfId="55696"/>
    <cellStyle name="Normal 73 3" xfId="55697"/>
    <cellStyle name="Normal 73 3 2" xfId="55698"/>
    <cellStyle name="Normal 73 3 3" xfId="55699"/>
    <cellStyle name="Normal 73 4" xfId="55700"/>
    <cellStyle name="Normal 73 5" xfId="55701"/>
    <cellStyle name="Normal 74" xfId="55702"/>
    <cellStyle name="Normal 74 2" xfId="55703"/>
    <cellStyle name="Normal 74 2 2" xfId="55704"/>
    <cellStyle name="Normal 74 2 2 2" xfId="55705"/>
    <cellStyle name="Normal 74 2 2 3" xfId="55706"/>
    <cellStyle name="Normal 74 2 3" xfId="55707"/>
    <cellStyle name="Normal 74 2 4" xfId="55708"/>
    <cellStyle name="Normal 74 3" xfId="55709"/>
    <cellStyle name="Normal 74 3 2" xfId="55710"/>
    <cellStyle name="Normal 74 3 3" xfId="55711"/>
    <cellStyle name="Normal 74 4" xfId="55712"/>
    <cellStyle name="Normal 74 5" xfId="55713"/>
    <cellStyle name="Normal 75" xfId="55714"/>
    <cellStyle name="Normal 75 2" xfId="55715"/>
    <cellStyle name="Normal 75 2 2" xfId="55716"/>
    <cellStyle name="Normal 75 2 2 2" xfId="55717"/>
    <cellStyle name="Normal 75 2 2 3" xfId="55718"/>
    <cellStyle name="Normal 75 2 3" xfId="55719"/>
    <cellStyle name="Normal 75 2 4" xfId="55720"/>
    <cellStyle name="Normal 75 3" xfId="55721"/>
    <cellStyle name="Normal 75 3 2" xfId="55722"/>
    <cellStyle name="Normal 75 3 3" xfId="55723"/>
    <cellStyle name="Normal 75 4" xfId="55724"/>
    <cellStyle name="Normal 75 5" xfId="55725"/>
    <cellStyle name="Normal 76" xfId="55726"/>
    <cellStyle name="Normal 76 2" xfId="55727"/>
    <cellStyle name="Normal 76 2 2" xfId="55728"/>
    <cellStyle name="Normal 76 2 2 2" xfId="55729"/>
    <cellStyle name="Normal 76 2 2 3" xfId="55730"/>
    <cellStyle name="Normal 76 2 3" xfId="55731"/>
    <cellStyle name="Normal 76 2 4" xfId="55732"/>
    <cellStyle name="Normal 76 3" xfId="55733"/>
    <cellStyle name="Normal 76 3 2" xfId="55734"/>
    <cellStyle name="Normal 76 3 3" xfId="55735"/>
    <cellStyle name="Normal 76 4" xfId="55736"/>
    <cellStyle name="Normal 76 5" xfId="55737"/>
    <cellStyle name="Normal 77" xfId="55738"/>
    <cellStyle name="Normal 77 2" xfId="55739"/>
    <cellStyle name="Normal 77 2 2" xfId="55740"/>
    <cellStyle name="Normal 77 2 2 2" xfId="55741"/>
    <cellStyle name="Normal 77 2 2 3" xfId="55742"/>
    <cellStyle name="Normal 77 2 3" xfId="55743"/>
    <cellStyle name="Normal 77 2 4" xfId="55744"/>
    <cellStyle name="Normal 77 2 5" xfId="55745"/>
    <cellStyle name="Normal 77 3" xfId="55746"/>
    <cellStyle name="Normal 77 3 2" xfId="55747"/>
    <cellStyle name="Normal 77 3 3" xfId="55748"/>
    <cellStyle name="Normal 77 3 4" xfId="55749"/>
    <cellStyle name="Normal 77 4" xfId="55750"/>
    <cellStyle name="Normal 77 5" xfId="55751"/>
    <cellStyle name="Normal 77 5 2" xfId="55752"/>
    <cellStyle name="Normal 77 6" xfId="55753"/>
    <cellStyle name="Normal 78" xfId="55754"/>
    <cellStyle name="Normal 78 2" xfId="55755"/>
    <cellStyle name="Normal 78 2 2" xfId="55756"/>
    <cellStyle name="Normal 78 2 2 2" xfId="55757"/>
    <cellStyle name="Normal 78 2 2 3" xfId="55758"/>
    <cellStyle name="Normal 78 2 3" xfId="55759"/>
    <cellStyle name="Normal 78 2 4" xfId="55760"/>
    <cellStyle name="Normal 78 2 5" xfId="55761"/>
    <cellStyle name="Normal 78 3" xfId="55762"/>
    <cellStyle name="Normal 78 3 2" xfId="55763"/>
    <cellStyle name="Normal 78 3 3" xfId="55764"/>
    <cellStyle name="Normal 78 4" xfId="55765"/>
    <cellStyle name="Normal 78 5" xfId="55766"/>
    <cellStyle name="Normal 79" xfId="55767"/>
    <cellStyle name="Normal 79 2" xfId="55768"/>
    <cellStyle name="Normal 79 2 2" xfId="55769"/>
    <cellStyle name="Normal 79 2 3" xfId="55770"/>
    <cellStyle name="Normal 79 3" xfId="55771"/>
    <cellStyle name="Normal 79 3 2" xfId="55772"/>
    <cellStyle name="Normal 79 3 3" xfId="55773"/>
    <cellStyle name="Normal 79 4" xfId="55774"/>
    <cellStyle name="Normal 79 5" xfId="55775"/>
    <cellStyle name="Normal 8" xfId="55776"/>
    <cellStyle name="Normal 8 10" xfId="55777"/>
    <cellStyle name="Normal 8 10 2" xfId="55778"/>
    <cellStyle name="Normal 8 10 3" xfId="55779"/>
    <cellStyle name="Normal 8 11" xfId="55780"/>
    <cellStyle name="Normal 8 11 2" xfId="55781"/>
    <cellStyle name="Normal 8 11 3" xfId="55782"/>
    <cellStyle name="Normal 8 12" xfId="55783"/>
    <cellStyle name="Normal 8 2" xfId="55784"/>
    <cellStyle name="Normal 8 2 10" xfId="55785"/>
    <cellStyle name="Normal 8 2 2" xfId="55786"/>
    <cellStyle name="Normal 8 2 2 2" xfId="55787"/>
    <cellStyle name="Normal 8 2 2 2 2" xfId="55788"/>
    <cellStyle name="Normal 8 2 2 2 2 2" xfId="55789"/>
    <cellStyle name="Normal 8 2 2 2 2 2 2" xfId="55790"/>
    <cellStyle name="Normal 8 2 2 2 2 2 3" xfId="55791"/>
    <cellStyle name="Normal 8 2 2 2 2 3" xfId="55792"/>
    <cellStyle name="Normal 8 2 2 2 2 4" xfId="55793"/>
    <cellStyle name="Normal 8 2 2 2 3" xfId="55794"/>
    <cellStyle name="Normal 8 2 2 2 3 2" xfId="55795"/>
    <cellStyle name="Normal 8 2 2 2 3 3" xfId="55796"/>
    <cellStyle name="Normal 8 2 2 2 4" xfId="55797"/>
    <cellStyle name="Normal 8 2 2 2 4 2" xfId="55798"/>
    <cellStyle name="Normal 8 2 2 2 4 3" xfId="55799"/>
    <cellStyle name="Normal 8 2 2 2 5" xfId="55800"/>
    <cellStyle name="Normal 8 2 2 2 6" xfId="55801"/>
    <cellStyle name="Normal 8 2 2 3" xfId="55802"/>
    <cellStyle name="Normal 8 2 2 3 2" xfId="55803"/>
    <cellStyle name="Normal 8 2 2 3 2 2" xfId="55804"/>
    <cellStyle name="Normal 8 2 2 3 2 2 2" xfId="55805"/>
    <cellStyle name="Normal 8 2 2 3 2 2 3" xfId="55806"/>
    <cellStyle name="Normal 8 2 2 3 2 3" xfId="55807"/>
    <cellStyle name="Normal 8 2 2 3 2 4" xfId="55808"/>
    <cellStyle name="Normal 8 2 2 3 3" xfId="55809"/>
    <cellStyle name="Normal 8 2 2 3 3 2" xfId="55810"/>
    <cellStyle name="Normal 8 2 2 3 3 3" xfId="55811"/>
    <cellStyle name="Normal 8 2 2 3 4" xfId="55812"/>
    <cellStyle name="Normal 8 2 2 3 4 2" xfId="55813"/>
    <cellStyle name="Normal 8 2 2 3 4 3" xfId="55814"/>
    <cellStyle name="Normal 8 2 2 3 5" xfId="55815"/>
    <cellStyle name="Normal 8 2 2 3 6" xfId="55816"/>
    <cellStyle name="Normal 8 2 2 4" xfId="55817"/>
    <cellStyle name="Normal 8 2 2 4 2" xfId="55818"/>
    <cellStyle name="Normal 8 2 2 4 2 2" xfId="55819"/>
    <cellStyle name="Normal 8 2 2 4 2 3" xfId="55820"/>
    <cellStyle name="Normal 8 2 2 4 3" xfId="55821"/>
    <cellStyle name="Normal 8 2 2 4 4" xfId="55822"/>
    <cellStyle name="Normal 8 2 2 5" xfId="55823"/>
    <cellStyle name="Normal 8 2 2 5 2" xfId="55824"/>
    <cellStyle name="Normal 8 2 2 5 3" xfId="55825"/>
    <cellStyle name="Normal 8 2 2 6" xfId="55826"/>
    <cellStyle name="Normal 8 2 2 6 2" xfId="55827"/>
    <cellStyle name="Normal 8 2 2 6 3" xfId="55828"/>
    <cellStyle name="Normal 8 2 2 7" xfId="55829"/>
    <cellStyle name="Normal 8 2 2 8" xfId="55830"/>
    <cellStyle name="Normal 8 2 3" xfId="55831"/>
    <cellStyle name="Normal 8 2 3 2" xfId="55832"/>
    <cellStyle name="Normal 8 2 3 2 2" xfId="55833"/>
    <cellStyle name="Normal 8 2 3 2 2 2" xfId="55834"/>
    <cellStyle name="Normal 8 2 3 2 2 3" xfId="55835"/>
    <cellStyle name="Normal 8 2 3 2 3" xfId="55836"/>
    <cellStyle name="Normal 8 2 3 2 4" xfId="55837"/>
    <cellStyle name="Normal 8 2 3 3" xfId="55838"/>
    <cellStyle name="Normal 8 2 3 3 2" xfId="55839"/>
    <cellStyle name="Normal 8 2 3 3 3" xfId="55840"/>
    <cellStyle name="Normal 8 2 3 4" xfId="55841"/>
    <cellStyle name="Normal 8 2 3 4 2" xfId="55842"/>
    <cellStyle name="Normal 8 2 3 4 3" xfId="55843"/>
    <cellStyle name="Normal 8 2 3 5" xfId="55844"/>
    <cellStyle name="Normal 8 2 3 6" xfId="55845"/>
    <cellStyle name="Normal 8 2 4" xfId="55846"/>
    <cellStyle name="Normal 8 2 4 2" xfId="55847"/>
    <cellStyle name="Normal 8 2 4 2 2" xfId="55848"/>
    <cellStyle name="Normal 8 2 4 2 2 2" xfId="55849"/>
    <cellStyle name="Normal 8 2 4 2 2 3" xfId="55850"/>
    <cellStyle name="Normal 8 2 4 2 3" xfId="55851"/>
    <cellStyle name="Normal 8 2 4 2 4" xfId="55852"/>
    <cellStyle name="Normal 8 2 4 3" xfId="55853"/>
    <cellStyle name="Normal 8 2 4 3 2" xfId="55854"/>
    <cellStyle name="Normal 8 2 4 3 3" xfId="55855"/>
    <cellStyle name="Normal 8 2 4 4" xfId="55856"/>
    <cellStyle name="Normal 8 2 4 4 2" xfId="55857"/>
    <cellStyle name="Normal 8 2 4 4 3" xfId="55858"/>
    <cellStyle name="Normal 8 2 4 5" xfId="55859"/>
    <cellStyle name="Normal 8 2 4 6" xfId="55860"/>
    <cellStyle name="Normal 8 2 5" xfId="55861"/>
    <cellStyle name="Normal 8 2 5 2" xfId="55862"/>
    <cellStyle name="Normal 8 2 5 2 2" xfId="55863"/>
    <cellStyle name="Normal 8 2 5 2 3" xfId="55864"/>
    <cellStyle name="Normal 8 2 5 3" xfId="55865"/>
    <cellStyle name="Normal 8 2 5 4" xfId="55866"/>
    <cellStyle name="Normal 8 2 6" xfId="55867"/>
    <cellStyle name="Normal 8 2 6 2" xfId="55868"/>
    <cellStyle name="Normal 8 2 6 2 2" xfId="55869"/>
    <cellStyle name="Normal 8 2 6 2 3" xfId="55870"/>
    <cellStyle name="Normal 8 2 6 3" xfId="55871"/>
    <cellStyle name="Normal 8 2 6 4" xfId="55872"/>
    <cellStyle name="Normal 8 2 7" xfId="55873"/>
    <cellStyle name="Normal 8 2 7 2" xfId="55874"/>
    <cellStyle name="Normal 8 2 7 3" xfId="55875"/>
    <cellStyle name="Normal 8 2 8" xfId="55876"/>
    <cellStyle name="Normal 8 2 8 2" xfId="55877"/>
    <cellStyle name="Normal 8 2 8 3" xfId="55878"/>
    <cellStyle name="Normal 8 2 9" xfId="55879"/>
    <cellStyle name="Normal 8 3" xfId="55880"/>
    <cellStyle name="Normal 8 3 2" xfId="55881"/>
    <cellStyle name="Normal 8 3 2 2" xfId="55882"/>
    <cellStyle name="Normal 8 3 2 2 2" xfId="55883"/>
    <cellStyle name="Normal 8 3 2 2 2 2" xfId="55884"/>
    <cellStyle name="Normal 8 3 2 2 2 3" xfId="55885"/>
    <cellStyle name="Normal 8 3 2 2 3" xfId="55886"/>
    <cellStyle name="Normal 8 3 2 2 4" xfId="55887"/>
    <cellStyle name="Normal 8 3 2 3" xfId="55888"/>
    <cellStyle name="Normal 8 3 2 3 2" xfId="55889"/>
    <cellStyle name="Normal 8 3 2 3 3" xfId="55890"/>
    <cellStyle name="Normal 8 3 2 4" xfId="55891"/>
    <cellStyle name="Normal 8 3 2 4 2" xfId="55892"/>
    <cellStyle name="Normal 8 3 2 4 3" xfId="55893"/>
    <cellStyle name="Normal 8 3 2 5" xfId="55894"/>
    <cellStyle name="Normal 8 3 2 6" xfId="55895"/>
    <cellStyle name="Normal 8 3 3" xfId="55896"/>
    <cellStyle name="Normal 8 3 3 2" xfId="55897"/>
    <cellStyle name="Normal 8 3 3 2 2" xfId="55898"/>
    <cellStyle name="Normal 8 3 3 2 2 2" xfId="55899"/>
    <cellStyle name="Normal 8 3 3 2 2 3" xfId="55900"/>
    <cellStyle name="Normal 8 3 3 2 3" xfId="55901"/>
    <cellStyle name="Normal 8 3 3 2 4" xfId="55902"/>
    <cellStyle name="Normal 8 3 3 3" xfId="55903"/>
    <cellStyle name="Normal 8 3 3 3 2" xfId="55904"/>
    <cellStyle name="Normal 8 3 3 3 3" xfId="55905"/>
    <cellStyle name="Normal 8 3 3 4" xfId="55906"/>
    <cellStyle name="Normal 8 3 3 4 2" xfId="55907"/>
    <cellStyle name="Normal 8 3 3 4 3" xfId="55908"/>
    <cellStyle name="Normal 8 3 3 5" xfId="55909"/>
    <cellStyle name="Normal 8 3 3 6" xfId="55910"/>
    <cellStyle name="Normal 8 3 4" xfId="55911"/>
    <cellStyle name="Normal 8 3 4 2" xfId="55912"/>
    <cellStyle name="Normal 8 3 4 2 2" xfId="55913"/>
    <cellStyle name="Normal 8 3 4 2 3" xfId="55914"/>
    <cellStyle name="Normal 8 3 4 3" xfId="55915"/>
    <cellStyle name="Normal 8 3 4 4" xfId="55916"/>
    <cellStyle name="Normal 8 3 5" xfId="55917"/>
    <cellStyle name="Normal 8 3 5 2" xfId="55918"/>
    <cellStyle name="Normal 8 3 5 3" xfId="55919"/>
    <cellStyle name="Normal 8 3 6" xfId="55920"/>
    <cellStyle name="Normal 8 3 6 2" xfId="55921"/>
    <cellStyle name="Normal 8 3 6 3" xfId="55922"/>
    <cellStyle name="Normal 8 3 7" xfId="55923"/>
    <cellStyle name="Normal 8 3 8" xfId="55924"/>
    <cellStyle name="Normal 8 4" xfId="55925"/>
    <cellStyle name="Normal 8 4 2" xfId="55926"/>
    <cellStyle name="Normal 8 4 2 2" xfId="55927"/>
    <cellStyle name="Normal 8 4 2 2 2" xfId="55928"/>
    <cellStyle name="Normal 8 4 2 2 3" xfId="55929"/>
    <cellStyle name="Normal 8 4 2 3" xfId="55930"/>
    <cellStyle name="Normal 8 4 2 4" xfId="55931"/>
    <cellStyle name="Normal 8 4 3" xfId="55932"/>
    <cellStyle name="Normal 8 4 3 2" xfId="55933"/>
    <cellStyle name="Normal 8 4 3 3" xfId="55934"/>
    <cellStyle name="Normal 8 4 4" xfId="55935"/>
    <cellStyle name="Normal 8 4 4 2" xfId="55936"/>
    <cellStyle name="Normal 8 4 4 3" xfId="55937"/>
    <cellStyle name="Normal 8 4 5" xfId="55938"/>
    <cellStyle name="Normal 8 4 6" xfId="55939"/>
    <cellStyle name="Normal 8 5" xfId="55940"/>
    <cellStyle name="Normal 8 5 2" xfId="55941"/>
    <cellStyle name="Normal 8 5 2 2" xfId="55942"/>
    <cellStyle name="Normal 8 5 2 2 2" xfId="55943"/>
    <cellStyle name="Normal 8 5 2 2 3" xfId="55944"/>
    <cellStyle name="Normal 8 5 2 3" xfId="55945"/>
    <cellStyle name="Normal 8 5 2 4" xfId="55946"/>
    <cellStyle name="Normal 8 5 3" xfId="55947"/>
    <cellStyle name="Normal 8 5 3 2" xfId="55948"/>
    <cellStyle name="Normal 8 5 3 3" xfId="55949"/>
    <cellStyle name="Normal 8 5 4" xfId="55950"/>
    <cellStyle name="Normal 8 5 4 2" xfId="55951"/>
    <cellStyle name="Normal 8 5 4 3" xfId="55952"/>
    <cellStyle name="Normal 8 5 5" xfId="55953"/>
    <cellStyle name="Normal 8 5 6" xfId="55954"/>
    <cellStyle name="Normal 8 6" xfId="55955"/>
    <cellStyle name="Normal 8 6 2" xfId="55956"/>
    <cellStyle name="Normal 8 6 2 2" xfId="55957"/>
    <cellStyle name="Normal 8 6 2 3" xfId="55958"/>
    <cellStyle name="Normal 8 6 3" xfId="55959"/>
    <cellStyle name="Normal 8 6 4" xfId="55960"/>
    <cellStyle name="Normal 8 6 5" xfId="55961"/>
    <cellStyle name="Normal 8 6 6" xfId="55962"/>
    <cellStyle name="Normal 8 7" xfId="55963"/>
    <cellStyle name="Normal 8 7 2" xfId="55964"/>
    <cellStyle name="Normal 8 7 2 2" xfId="55965"/>
    <cellStyle name="Normal 8 7 2 3" xfId="55966"/>
    <cellStyle name="Normal 8 7 3" xfId="55967"/>
    <cellStyle name="Normal 8 7 4" xfId="55968"/>
    <cellStyle name="Normal 8 7 5" xfId="55969"/>
    <cellStyle name="Normal 8 8" xfId="55970"/>
    <cellStyle name="Normal 8 8 2" xfId="55971"/>
    <cellStyle name="Normal 8 8 3" xfId="55972"/>
    <cellStyle name="Normal 8 9" xfId="55973"/>
    <cellStyle name="Normal 8 9 2" xfId="55974"/>
    <cellStyle name="Normal 8 9 3" xfId="55975"/>
    <cellStyle name="Normal 8_T1_TP_MASTER_032112_Rev A" xfId="55976"/>
    <cellStyle name="Normal 80" xfId="55977"/>
    <cellStyle name="Normal 80 2" xfId="55978"/>
    <cellStyle name="Normal 80 2 2" xfId="55979"/>
    <cellStyle name="Normal 80 2 3" xfId="55980"/>
    <cellStyle name="Normal 80 3" xfId="55981"/>
    <cellStyle name="Normal 80 3 2" xfId="55982"/>
    <cellStyle name="Normal 80 3 3" xfId="55983"/>
    <cellStyle name="Normal 80 4" xfId="55984"/>
    <cellStyle name="Normal 80 5" xfId="55985"/>
    <cellStyle name="Normal 81" xfId="55986"/>
    <cellStyle name="Normal 81 2" xfId="55987"/>
    <cellStyle name="Normal 81 2 2" xfId="55988"/>
    <cellStyle name="Normal 81 2 3" xfId="55989"/>
    <cellStyle name="Normal 81 3" xfId="55990"/>
    <cellStyle name="Normal 81 3 2" xfId="55991"/>
    <cellStyle name="Normal 81 3 3" xfId="55992"/>
    <cellStyle name="Normal 81 4" xfId="55993"/>
    <cellStyle name="Normal 81 5" xfId="55994"/>
    <cellStyle name="Normal 82" xfId="55995"/>
    <cellStyle name="Normal 82 2" xfId="55996"/>
    <cellStyle name="Normal 82 2 2" xfId="55997"/>
    <cellStyle name="Normal 82 2 3" xfId="55998"/>
    <cellStyle name="Normal 82 3" xfId="55999"/>
    <cellStyle name="Normal 82 3 2" xfId="56000"/>
    <cellStyle name="Normal 82 3 3" xfId="56001"/>
    <cellStyle name="Normal 82 4" xfId="56002"/>
    <cellStyle name="Normal 82 5" xfId="56003"/>
    <cellStyle name="Normal 83" xfId="56004"/>
    <cellStyle name="Normal 83 2" xfId="56005"/>
    <cellStyle name="Normal 83 2 2" xfId="56006"/>
    <cellStyle name="Normal 83 2 3" xfId="56007"/>
    <cellStyle name="Normal 83 3" xfId="56008"/>
    <cellStyle name="Normal 83 3 2" xfId="56009"/>
    <cellStyle name="Normal 83 3 3" xfId="56010"/>
    <cellStyle name="Normal 83 4" xfId="56011"/>
    <cellStyle name="Normal 83 5" xfId="56012"/>
    <cellStyle name="Normal 84" xfId="56013"/>
    <cellStyle name="Normal 84 2" xfId="56014"/>
    <cellStyle name="Normal 84 2 2" xfId="56015"/>
    <cellStyle name="Normal 84 2 3" xfId="56016"/>
    <cellStyle name="Normal 84 3" xfId="56017"/>
    <cellStyle name="Normal 84 3 2" xfId="56018"/>
    <cellStyle name="Normal 84 3 3" xfId="56019"/>
    <cellStyle name="Normal 84 4" xfId="56020"/>
    <cellStyle name="Normal 84 5" xfId="56021"/>
    <cellStyle name="Normal 85" xfId="56022"/>
    <cellStyle name="Normal 85 2" xfId="56023"/>
    <cellStyle name="Normal 85 2 2" xfId="56024"/>
    <cellStyle name="Normal 85 2 3" xfId="56025"/>
    <cellStyle name="Normal 85 3" xfId="56026"/>
    <cellStyle name="Normal 85 3 2" xfId="56027"/>
    <cellStyle name="Normal 85 3 3" xfId="56028"/>
    <cellStyle name="Normal 85 4" xfId="56029"/>
    <cellStyle name="Normal 85 5" xfId="56030"/>
    <cellStyle name="Normal 86" xfId="56031"/>
    <cellStyle name="Normal 86 2" xfId="56032"/>
    <cellStyle name="Normal 86 2 2" xfId="56033"/>
    <cellStyle name="Normal 86 2 3" xfId="56034"/>
    <cellStyle name="Normal 86 3" xfId="56035"/>
    <cellStyle name="Normal 86 3 2" xfId="56036"/>
    <cellStyle name="Normal 86 3 3" xfId="56037"/>
    <cellStyle name="Normal 86 4" xfId="56038"/>
    <cellStyle name="Normal 86 5" xfId="56039"/>
    <cellStyle name="Normal 87" xfId="56040"/>
    <cellStyle name="Normal 87 2" xfId="56041"/>
    <cellStyle name="Normal 87 2 2" xfId="56042"/>
    <cellStyle name="Normal 87 2 3" xfId="56043"/>
    <cellStyle name="Normal 87 3" xfId="56044"/>
    <cellStyle name="Normal 87 3 2" xfId="56045"/>
    <cellStyle name="Normal 87 3 3" xfId="56046"/>
    <cellStyle name="Normal 87 4" xfId="56047"/>
    <cellStyle name="Normal 87 5" xfId="56048"/>
    <cellStyle name="Normal 88" xfId="56049"/>
    <cellStyle name="Normal 88 2" xfId="56050"/>
    <cellStyle name="Normal 88 2 2" xfId="56051"/>
    <cellStyle name="Normal 88 2 3" xfId="56052"/>
    <cellStyle name="Normal 88 3" xfId="56053"/>
    <cellStyle name="Normal 88 3 2" xfId="56054"/>
    <cellStyle name="Normal 88 3 3" xfId="56055"/>
    <cellStyle name="Normal 88 4" xfId="56056"/>
    <cellStyle name="Normal 88 5" xfId="56057"/>
    <cellStyle name="Normal 89" xfId="56058"/>
    <cellStyle name="Normal 89 2" xfId="56059"/>
    <cellStyle name="Normal 89 2 2" xfId="56060"/>
    <cellStyle name="Normal 89 2 3" xfId="56061"/>
    <cellStyle name="Normal 89 3" xfId="56062"/>
    <cellStyle name="Normal 89 3 2" xfId="56063"/>
    <cellStyle name="Normal 89 3 3" xfId="56064"/>
    <cellStyle name="Normal 89 4" xfId="56065"/>
    <cellStyle name="Normal 89 5" xfId="56066"/>
    <cellStyle name="Normal 9" xfId="56067"/>
    <cellStyle name="Normal 9 10" xfId="56068"/>
    <cellStyle name="Normal 9 10 2" xfId="56069"/>
    <cellStyle name="Normal 9 10 3" xfId="56070"/>
    <cellStyle name="Normal 9 11" xfId="56071"/>
    <cellStyle name="Normal 9 11 2" xfId="56072"/>
    <cellStyle name="Normal 9 11 3" xfId="56073"/>
    <cellStyle name="Normal 9 12" xfId="56074"/>
    <cellStyle name="Normal 9 12 2" xfId="56075"/>
    <cellStyle name="Normal 9 12 3" xfId="56076"/>
    <cellStyle name="Normal 9 13" xfId="56077"/>
    <cellStyle name="Normal 9 13 2" xfId="56078"/>
    <cellStyle name="Normal 9 13 3" xfId="56079"/>
    <cellStyle name="Normal 9 2" xfId="56080"/>
    <cellStyle name="Normal 9 2 10" xfId="56081"/>
    <cellStyle name="Normal 9 2 2" xfId="56082"/>
    <cellStyle name="Normal 9 2 2 2" xfId="56083"/>
    <cellStyle name="Normal 9 2 2 2 2" xfId="56084"/>
    <cellStyle name="Normal 9 2 2 2 2 2" xfId="56085"/>
    <cellStyle name="Normal 9 2 2 2 2 2 2" xfId="56086"/>
    <cellStyle name="Normal 9 2 2 2 2 2 3" xfId="56087"/>
    <cellStyle name="Normal 9 2 2 2 2 3" xfId="56088"/>
    <cellStyle name="Normal 9 2 2 2 2 4" xfId="56089"/>
    <cellStyle name="Normal 9 2 2 2 3" xfId="56090"/>
    <cellStyle name="Normal 9 2 2 2 3 2" xfId="56091"/>
    <cellStyle name="Normal 9 2 2 2 3 3" xfId="56092"/>
    <cellStyle name="Normal 9 2 2 2 4" xfId="56093"/>
    <cellStyle name="Normal 9 2 2 2 4 2" xfId="56094"/>
    <cellStyle name="Normal 9 2 2 2 4 3" xfId="56095"/>
    <cellStyle name="Normal 9 2 2 2 5" xfId="56096"/>
    <cellStyle name="Normal 9 2 2 2 6" xfId="56097"/>
    <cellStyle name="Normal 9 2 2 3" xfId="56098"/>
    <cellStyle name="Normal 9 2 2 3 2" xfId="56099"/>
    <cellStyle name="Normal 9 2 2 3 2 2" xfId="56100"/>
    <cellStyle name="Normal 9 2 2 3 2 2 2" xfId="56101"/>
    <cellStyle name="Normal 9 2 2 3 2 2 3" xfId="56102"/>
    <cellStyle name="Normal 9 2 2 3 2 3" xfId="56103"/>
    <cellStyle name="Normal 9 2 2 3 2 4" xfId="56104"/>
    <cellStyle name="Normal 9 2 2 3 3" xfId="56105"/>
    <cellStyle name="Normal 9 2 2 3 3 2" xfId="56106"/>
    <cellStyle name="Normal 9 2 2 3 3 3" xfId="56107"/>
    <cellStyle name="Normal 9 2 2 3 4" xfId="56108"/>
    <cellStyle name="Normal 9 2 2 3 4 2" xfId="56109"/>
    <cellStyle name="Normal 9 2 2 3 4 3" xfId="56110"/>
    <cellStyle name="Normal 9 2 2 3 5" xfId="56111"/>
    <cellStyle name="Normal 9 2 2 3 6" xfId="56112"/>
    <cellStyle name="Normal 9 2 2 4" xfId="56113"/>
    <cellStyle name="Normal 9 2 2 4 2" xfId="56114"/>
    <cellStyle name="Normal 9 2 2 4 2 2" xfId="56115"/>
    <cellStyle name="Normal 9 2 2 4 2 3" xfId="56116"/>
    <cellStyle name="Normal 9 2 2 4 3" xfId="56117"/>
    <cellStyle name="Normal 9 2 2 4 4" xfId="56118"/>
    <cellStyle name="Normal 9 2 2 5" xfId="56119"/>
    <cellStyle name="Normal 9 2 2 5 2" xfId="56120"/>
    <cellStyle name="Normal 9 2 2 5 3" xfId="56121"/>
    <cellStyle name="Normal 9 2 2 6" xfId="56122"/>
    <cellStyle name="Normal 9 2 2 6 2" xfId="56123"/>
    <cellStyle name="Normal 9 2 2 6 3" xfId="56124"/>
    <cellStyle name="Normal 9 2 2 7" xfId="56125"/>
    <cellStyle name="Normal 9 2 2 8" xfId="56126"/>
    <cellStyle name="Normal 9 2 3" xfId="56127"/>
    <cellStyle name="Normal 9 2 3 2" xfId="56128"/>
    <cellStyle name="Normal 9 2 3 2 2" xfId="56129"/>
    <cellStyle name="Normal 9 2 3 2 2 2" xfId="56130"/>
    <cellStyle name="Normal 9 2 3 2 2 3" xfId="56131"/>
    <cellStyle name="Normal 9 2 3 2 3" xfId="56132"/>
    <cellStyle name="Normal 9 2 3 2 4" xfId="56133"/>
    <cellStyle name="Normal 9 2 3 3" xfId="56134"/>
    <cellStyle name="Normal 9 2 3 3 2" xfId="56135"/>
    <cellStyle name="Normal 9 2 3 3 3" xfId="56136"/>
    <cellStyle name="Normal 9 2 3 4" xfId="56137"/>
    <cellStyle name="Normal 9 2 3 4 2" xfId="56138"/>
    <cellStyle name="Normal 9 2 3 4 3" xfId="56139"/>
    <cellStyle name="Normal 9 2 3 5" xfId="56140"/>
    <cellStyle name="Normal 9 2 3 6" xfId="56141"/>
    <cellStyle name="Normal 9 2 4" xfId="56142"/>
    <cellStyle name="Normal 9 2 4 2" xfId="56143"/>
    <cellStyle name="Normal 9 2 4 2 2" xfId="56144"/>
    <cellStyle name="Normal 9 2 4 2 2 2" xfId="56145"/>
    <cellStyle name="Normal 9 2 4 2 2 3" xfId="56146"/>
    <cellStyle name="Normal 9 2 4 2 3" xfId="56147"/>
    <cellStyle name="Normal 9 2 4 2 4" xfId="56148"/>
    <cellStyle name="Normal 9 2 4 3" xfId="56149"/>
    <cellStyle name="Normal 9 2 4 3 2" xfId="56150"/>
    <cellStyle name="Normal 9 2 4 3 3" xfId="56151"/>
    <cellStyle name="Normal 9 2 4 4" xfId="56152"/>
    <cellStyle name="Normal 9 2 4 4 2" xfId="56153"/>
    <cellStyle name="Normal 9 2 4 4 3" xfId="56154"/>
    <cellStyle name="Normal 9 2 4 5" xfId="56155"/>
    <cellStyle name="Normal 9 2 4 6" xfId="56156"/>
    <cellStyle name="Normal 9 2 5" xfId="56157"/>
    <cellStyle name="Normal 9 2 5 2" xfId="56158"/>
    <cellStyle name="Normal 9 2 5 2 2" xfId="56159"/>
    <cellStyle name="Normal 9 2 5 2 3" xfId="56160"/>
    <cellStyle name="Normal 9 2 5 3" xfId="56161"/>
    <cellStyle name="Normal 9 2 5 4" xfId="56162"/>
    <cellStyle name="Normal 9 2 6" xfId="56163"/>
    <cellStyle name="Normal 9 2 6 2" xfId="56164"/>
    <cellStyle name="Normal 9 2 6 2 2" xfId="56165"/>
    <cellStyle name="Normal 9 2 6 2 3" xfId="56166"/>
    <cellStyle name="Normal 9 2 6 3" xfId="56167"/>
    <cellStyle name="Normal 9 2 6 4" xfId="56168"/>
    <cellStyle name="Normal 9 2 7" xfId="56169"/>
    <cellStyle name="Normal 9 2 7 2" xfId="56170"/>
    <cellStyle name="Normal 9 2 7 3" xfId="56171"/>
    <cellStyle name="Normal 9 2 8" xfId="56172"/>
    <cellStyle name="Normal 9 2 8 2" xfId="56173"/>
    <cellStyle name="Normal 9 2 8 3" xfId="56174"/>
    <cellStyle name="Normal 9 2 9" xfId="56175"/>
    <cellStyle name="Normal 9 3" xfId="56176"/>
    <cellStyle name="Normal 9 3 2" xfId="56177"/>
    <cellStyle name="Normal 9 3 2 2" xfId="56178"/>
    <cellStyle name="Normal 9 3 2 2 2" xfId="56179"/>
    <cellStyle name="Normal 9 3 2 2 2 2" xfId="56180"/>
    <cellStyle name="Normal 9 3 2 2 2 2 2" xfId="56181"/>
    <cellStyle name="Normal 9 3 2 2 2 2 2 2" xfId="56182"/>
    <cellStyle name="Normal 9 3 2 2 2 2 3" xfId="56183"/>
    <cellStyle name="Normal 9 3 2 2 2 3" xfId="56184"/>
    <cellStyle name="Normal 9 3 2 2 2 3 2" xfId="56185"/>
    <cellStyle name="Normal 9 3 2 2 2 3 2 2" xfId="56186"/>
    <cellStyle name="Normal 9 3 2 2 2 3 3" xfId="56187"/>
    <cellStyle name="Normal 9 3 2 2 2 4" xfId="56188"/>
    <cellStyle name="Normal 9 3 2 2 2 4 2" xfId="56189"/>
    <cellStyle name="Normal 9 3 2 2 2 5" xfId="56190"/>
    <cellStyle name="Normal 9 3 2 2 3" xfId="56191"/>
    <cellStyle name="Normal 9 3 2 2 3 2" xfId="56192"/>
    <cellStyle name="Normal 9 3 2 2 3 2 2" xfId="56193"/>
    <cellStyle name="Normal 9 3 2 2 3 3" xfId="56194"/>
    <cellStyle name="Normal 9 3 2 2 4" xfId="56195"/>
    <cellStyle name="Normal 9 3 2 2 4 2" xfId="56196"/>
    <cellStyle name="Normal 9 3 2 2 4 2 2" xfId="56197"/>
    <cellStyle name="Normal 9 3 2 2 4 3" xfId="56198"/>
    <cellStyle name="Normal 9 3 2 2 5" xfId="56199"/>
    <cellStyle name="Normal 9 3 2 2 5 2" xfId="56200"/>
    <cellStyle name="Normal 9 3 2 2 6" xfId="56201"/>
    <cellStyle name="Normal 9 3 2 3" xfId="56202"/>
    <cellStyle name="Normal 9 3 2 3 2" xfId="56203"/>
    <cellStyle name="Normal 9 3 2 3 2 2" xfId="56204"/>
    <cellStyle name="Normal 9 3 2 3 3" xfId="56205"/>
    <cellStyle name="Normal 9 3 2 4" xfId="56206"/>
    <cellStyle name="Normal 9 3 2 4 2" xfId="56207"/>
    <cellStyle name="Normal 9 3 2 4 2 2" xfId="56208"/>
    <cellStyle name="Normal 9 3 2 4 3" xfId="56209"/>
    <cellStyle name="Normal 9 3 2 5" xfId="56210"/>
    <cellStyle name="Normal 9 3 2 5 2" xfId="56211"/>
    <cellStyle name="Normal 9 3 2 6" xfId="56212"/>
    <cellStyle name="Normal 9 3 2 7" xfId="56213"/>
    <cellStyle name="Normal 9 3 3" xfId="56214"/>
    <cellStyle name="Normal 9 3 3 2" xfId="56215"/>
    <cellStyle name="Normal 9 3 3 2 2" xfId="56216"/>
    <cellStyle name="Normal 9 3 3 2 2 2" xfId="56217"/>
    <cellStyle name="Normal 9 3 3 2 2 3" xfId="56218"/>
    <cellStyle name="Normal 9 3 3 2 3" xfId="56219"/>
    <cellStyle name="Normal 9 3 3 2 4" xfId="56220"/>
    <cellStyle name="Normal 9 3 3 3" xfId="56221"/>
    <cellStyle name="Normal 9 3 3 3 2" xfId="56222"/>
    <cellStyle name="Normal 9 3 3 3 2 2" xfId="56223"/>
    <cellStyle name="Normal 9 3 3 3 3" xfId="56224"/>
    <cellStyle name="Normal 9 3 3 4" xfId="56225"/>
    <cellStyle name="Normal 9 3 3 4 2" xfId="56226"/>
    <cellStyle name="Normal 9 3 3 4 3" xfId="56227"/>
    <cellStyle name="Normal 9 3 3 5" xfId="56228"/>
    <cellStyle name="Normal 9 3 3 6" xfId="56229"/>
    <cellStyle name="Normal 9 3 4" xfId="56230"/>
    <cellStyle name="Normal 9 3 4 2" xfId="56231"/>
    <cellStyle name="Normal 9 3 4 2 2" xfId="56232"/>
    <cellStyle name="Normal 9 3 4 2 3" xfId="56233"/>
    <cellStyle name="Normal 9 3 4 3" xfId="56234"/>
    <cellStyle name="Normal 9 3 4 4" xfId="56235"/>
    <cellStyle name="Normal 9 3 5" xfId="56236"/>
    <cellStyle name="Normal 9 3 5 2" xfId="56237"/>
    <cellStyle name="Normal 9 3 5 2 2" xfId="56238"/>
    <cellStyle name="Normal 9 3 5 3" xfId="56239"/>
    <cellStyle name="Normal 9 3 6" xfId="56240"/>
    <cellStyle name="Normal 9 3 6 2" xfId="56241"/>
    <cellStyle name="Normal 9 3 6 3" xfId="56242"/>
    <cellStyle name="Normal 9 3 7" xfId="56243"/>
    <cellStyle name="Normal 9 3 8" xfId="56244"/>
    <cellStyle name="Normal 9 4" xfId="56245"/>
    <cellStyle name="Normal 9 4 2" xfId="56246"/>
    <cellStyle name="Normal 9 4 2 2" xfId="56247"/>
    <cellStyle name="Normal 9 4 2 2 2" xfId="56248"/>
    <cellStyle name="Normal 9 4 2 3" xfId="56249"/>
    <cellStyle name="Normal 9 4 2 4" xfId="56250"/>
    <cellStyle name="Normal 9 4 3" xfId="56251"/>
    <cellStyle name="Normal 9 4 3 2" xfId="56252"/>
    <cellStyle name="Normal 9 4 3 2 2" xfId="56253"/>
    <cellStyle name="Normal 9 4 3 3" xfId="56254"/>
    <cellStyle name="Normal 9 4 4" xfId="56255"/>
    <cellStyle name="Normal 9 4 4 2" xfId="56256"/>
    <cellStyle name="Normal 9 4 5" xfId="56257"/>
    <cellStyle name="Normal 9 4 6" xfId="56258"/>
    <cellStyle name="Normal 9 5" xfId="56259"/>
    <cellStyle name="Normal 9 5 2" xfId="56260"/>
    <cellStyle name="Normal 9 5 2 2" xfId="56261"/>
    <cellStyle name="Normal 9 5 3" xfId="56262"/>
    <cellStyle name="Normal 9 5 4" xfId="56263"/>
    <cellStyle name="Normal 9 6" xfId="56264"/>
    <cellStyle name="Normal 9 6 2" xfId="56265"/>
    <cellStyle name="Normal 9 6 2 2" xfId="56266"/>
    <cellStyle name="Normal 9 6 2 2 2" xfId="56267"/>
    <cellStyle name="Normal 9 6 2 2 3" xfId="56268"/>
    <cellStyle name="Normal 9 6 2 3" xfId="56269"/>
    <cellStyle name="Normal 9 6 2 4" xfId="56270"/>
    <cellStyle name="Normal 9 6 3" xfId="56271"/>
    <cellStyle name="Normal 9 6 3 2" xfId="56272"/>
    <cellStyle name="Normal 9 6 3 3" xfId="56273"/>
    <cellStyle name="Normal 9 6 4" xfId="56274"/>
    <cellStyle name="Normal 9 6 4 2" xfId="56275"/>
    <cellStyle name="Normal 9 6 4 3" xfId="56276"/>
    <cellStyle name="Normal 9 6 5" xfId="56277"/>
    <cellStyle name="Normal 9 6 6" xfId="56278"/>
    <cellStyle name="Normal 9 7" xfId="56279"/>
    <cellStyle name="Normal 9 7 2" xfId="56280"/>
    <cellStyle name="Normal 9 7 2 2" xfId="56281"/>
    <cellStyle name="Normal 9 7 2 2 2" xfId="56282"/>
    <cellStyle name="Normal 9 7 2 2 3" xfId="56283"/>
    <cellStyle name="Normal 9 7 2 3" xfId="56284"/>
    <cellStyle name="Normal 9 7 2 4" xfId="56285"/>
    <cellStyle name="Normal 9 7 3" xfId="56286"/>
    <cellStyle name="Normal 9 7 3 2" xfId="56287"/>
    <cellStyle name="Normal 9 7 3 3" xfId="56288"/>
    <cellStyle name="Normal 9 7 4" xfId="56289"/>
    <cellStyle name="Normal 9 7 4 2" xfId="56290"/>
    <cellStyle name="Normal 9 7 4 3" xfId="56291"/>
    <cellStyle name="Normal 9 7 5" xfId="56292"/>
    <cellStyle name="Normal 9 7 6" xfId="56293"/>
    <cellStyle name="Normal 9 8" xfId="56294"/>
    <cellStyle name="Normal 9 8 2" xfId="56295"/>
    <cellStyle name="Normal 9 8 2 2" xfId="56296"/>
    <cellStyle name="Normal 9 8 2 3" xfId="56297"/>
    <cellStyle name="Normal 9 8 3" xfId="56298"/>
    <cellStyle name="Normal 9 8 4" xfId="56299"/>
    <cellStyle name="Normal 9 8 5" xfId="56300"/>
    <cellStyle name="Normal 9 8 6" xfId="56301"/>
    <cellStyle name="Normal 9 9" xfId="56302"/>
    <cellStyle name="Normal 9 9 2" xfId="56303"/>
    <cellStyle name="Normal 9 9 2 2" xfId="56304"/>
    <cellStyle name="Normal 9 9 2 3" xfId="56305"/>
    <cellStyle name="Normal 9 9 3" xfId="56306"/>
    <cellStyle name="Normal 9 9 4" xfId="56307"/>
    <cellStyle name="Normal 9_T1_TP_MASTER_032112_Rev A" xfId="56308"/>
    <cellStyle name="Normal 90" xfId="56309"/>
    <cellStyle name="Normal 90 2" xfId="56310"/>
    <cellStyle name="Normal 90 2 2" xfId="56311"/>
    <cellStyle name="Normal 90 2 3" xfId="56312"/>
    <cellStyle name="Normal 90 3" xfId="56313"/>
    <cellStyle name="Normal 90 3 2" xfId="56314"/>
    <cellStyle name="Normal 90 3 3" xfId="56315"/>
    <cellStyle name="Normal 90 4" xfId="56316"/>
    <cellStyle name="Normal 90 5" xfId="56317"/>
    <cellStyle name="Normal 91" xfId="56318"/>
    <cellStyle name="Normal 91 2" xfId="56319"/>
    <cellStyle name="Normal 91 2 2" xfId="56320"/>
    <cellStyle name="Normal 91 2 3" xfId="56321"/>
    <cellStyle name="Normal 91 3" xfId="56322"/>
    <cellStyle name="Normal 91 3 2" xfId="56323"/>
    <cellStyle name="Normal 91 3 3" xfId="56324"/>
    <cellStyle name="Normal 91 4" xfId="56325"/>
    <cellStyle name="Normal 91 5" xfId="56326"/>
    <cellStyle name="Normal 92" xfId="56327"/>
    <cellStyle name="Normal 92 2" xfId="56328"/>
    <cellStyle name="Normal 92 2 2" xfId="56329"/>
    <cellStyle name="Normal 92 2 3" xfId="56330"/>
    <cellStyle name="Normal 92 3" xfId="56331"/>
    <cellStyle name="Normal 92 3 2" xfId="56332"/>
    <cellStyle name="Normal 92 3 3" xfId="56333"/>
    <cellStyle name="Normal 92 4" xfId="56334"/>
    <cellStyle name="Normal 92 5" xfId="56335"/>
    <cellStyle name="Normal 93" xfId="56336"/>
    <cellStyle name="Normal 93 2" xfId="56337"/>
    <cellStyle name="Normal 93 2 2" xfId="56338"/>
    <cellStyle name="Normal 93 2 3" xfId="56339"/>
    <cellStyle name="Normal 93 3" xfId="56340"/>
    <cellStyle name="Normal 93 3 2" xfId="56341"/>
    <cellStyle name="Normal 93 3 3" xfId="56342"/>
    <cellStyle name="Normal 93 4" xfId="56343"/>
    <cellStyle name="Normal 93 5" xfId="56344"/>
    <cellStyle name="Normal 94" xfId="56345"/>
    <cellStyle name="Normal 94 2" xfId="56346"/>
    <cellStyle name="Normal 94 2 2" xfId="56347"/>
    <cellStyle name="Normal 94 2 3" xfId="56348"/>
    <cellStyle name="Normal 94 3" xfId="56349"/>
    <cellStyle name="Normal 94 3 2" xfId="56350"/>
    <cellStyle name="Normal 94 3 3" xfId="56351"/>
    <cellStyle name="Normal 94 4" xfId="56352"/>
    <cellStyle name="Normal 94 5" xfId="56353"/>
    <cellStyle name="Normal 95" xfId="56354"/>
    <cellStyle name="Normal 95 2" xfId="56355"/>
    <cellStyle name="Normal 95 2 2" xfId="56356"/>
    <cellStyle name="Normal 95 2 3" xfId="56357"/>
    <cellStyle name="Normal 95 3" xfId="56358"/>
    <cellStyle name="Normal 95 3 2" xfId="56359"/>
    <cellStyle name="Normal 95 3 3" xfId="56360"/>
    <cellStyle name="Normal 95 4" xfId="56361"/>
    <cellStyle name="Normal 95 5" xfId="56362"/>
    <cellStyle name="Normal 96" xfId="56363"/>
    <cellStyle name="Normal 96 2" xfId="56364"/>
    <cellStyle name="Normal 96 2 2" xfId="56365"/>
    <cellStyle name="Normal 96 2 3" xfId="56366"/>
    <cellStyle name="Normal 96 3" xfId="56367"/>
    <cellStyle name="Normal 96 3 2" xfId="56368"/>
    <cellStyle name="Normal 96 3 3" xfId="56369"/>
    <cellStyle name="Normal 96 4" xfId="56370"/>
    <cellStyle name="Normal 96 5" xfId="56371"/>
    <cellStyle name="Normal 97" xfId="56372"/>
    <cellStyle name="Normal 97 2" xfId="56373"/>
    <cellStyle name="Normal 97 2 2" xfId="56374"/>
    <cellStyle name="Normal 97 2 3" xfId="56375"/>
    <cellStyle name="Normal 97 3" xfId="56376"/>
    <cellStyle name="Normal 97 3 2" xfId="56377"/>
    <cellStyle name="Normal 97 3 3" xfId="56378"/>
    <cellStyle name="Normal 97 4" xfId="56379"/>
    <cellStyle name="Normal 97 5" xfId="56380"/>
    <cellStyle name="Normal 98" xfId="56381"/>
    <cellStyle name="Normal 98 2" xfId="56382"/>
    <cellStyle name="Normal 98 2 2" xfId="56383"/>
    <cellStyle name="Normal 98 2 3" xfId="56384"/>
    <cellStyle name="Normal 98 3" xfId="56385"/>
    <cellStyle name="Normal 98 3 2" xfId="56386"/>
    <cellStyle name="Normal 98 3 3" xfId="56387"/>
    <cellStyle name="Normal 98 4" xfId="56388"/>
    <cellStyle name="Normal 98 5" xfId="56389"/>
    <cellStyle name="Normal 99" xfId="56390"/>
    <cellStyle name="Normal 99 2" xfId="56391"/>
    <cellStyle name="Normal 99 2 2" xfId="56392"/>
    <cellStyle name="Normal 99 2 3" xfId="56393"/>
    <cellStyle name="Normal 99 3" xfId="56394"/>
    <cellStyle name="Normal 99 3 2" xfId="56395"/>
    <cellStyle name="Normal 99 3 3" xfId="56396"/>
    <cellStyle name="Normal 99 4" xfId="56397"/>
    <cellStyle name="Normal 99 5" xfId="56398"/>
    <cellStyle name="Not Capable to Test" xfId="56399"/>
    <cellStyle name="Note" xfId="23" builtinId="10" hidden="1"/>
    <cellStyle name="Note 10" xfId="56400"/>
    <cellStyle name="Note 2" xfId="56401"/>
    <cellStyle name="Note 2 10" xfId="56402"/>
    <cellStyle name="Note 2 11" xfId="56403"/>
    <cellStyle name="Note 2 2" xfId="56404"/>
    <cellStyle name="Note 2 2 2" xfId="56405"/>
    <cellStyle name="Note 2 2 2 2" xfId="56406"/>
    <cellStyle name="Note 2 2 2 3" xfId="56407"/>
    <cellStyle name="Note 2 2 2 4" xfId="56408"/>
    <cellStyle name="Note 2 2 3" xfId="56409"/>
    <cellStyle name="Note 2 2 3 2" xfId="56410"/>
    <cellStyle name="Note 2 2 4" xfId="56411"/>
    <cellStyle name="Note 2 2 4 2" xfId="56412"/>
    <cellStyle name="Note 2 2 5" xfId="56413"/>
    <cellStyle name="Note 2 2 5 2" xfId="56414"/>
    <cellStyle name="Note 2 2 6" xfId="56415"/>
    <cellStyle name="Note 2 2 6 2" xfId="56416"/>
    <cellStyle name="Note 2 2 7" xfId="56417"/>
    <cellStyle name="Note 2 2 7 2" xfId="56418"/>
    <cellStyle name="Note 2 2 8" xfId="56419"/>
    <cellStyle name="Note 2 2 8 2" xfId="56420"/>
    <cellStyle name="Note 2 2 9" xfId="56421"/>
    <cellStyle name="Note 2 3" xfId="56422"/>
    <cellStyle name="Note 2 3 2" xfId="56423"/>
    <cellStyle name="Note 2 3 2 2" xfId="56424"/>
    <cellStyle name="Note 2 3 2 3" xfId="56425"/>
    <cellStyle name="Note 2 3 2 4" xfId="56426"/>
    <cellStyle name="Note 2 3 3" xfId="56427"/>
    <cellStyle name="Note 2 3 3 2" xfId="56428"/>
    <cellStyle name="Note 2 3 4" xfId="56429"/>
    <cellStyle name="Note 2 3 4 2" xfId="56430"/>
    <cellStyle name="Note 2 3 5" xfId="56431"/>
    <cellStyle name="Note 2 4" xfId="56432"/>
    <cellStyle name="Note 2 4 2" xfId="56433"/>
    <cellStyle name="Note 2 4 2 2" xfId="56434"/>
    <cellStyle name="Note 2 4 2 3" xfId="56435"/>
    <cellStyle name="Note 2 4 2 4" xfId="56436"/>
    <cellStyle name="Note 2 4 3" xfId="56437"/>
    <cellStyle name="Note 2 4 3 2" xfId="56438"/>
    <cellStyle name="Note 2 4 4" xfId="56439"/>
    <cellStyle name="Note 2 4 4 2" xfId="56440"/>
    <cellStyle name="Note 2 4 5" xfId="56441"/>
    <cellStyle name="Note 2 5" xfId="56442"/>
    <cellStyle name="Note 2 5 2" xfId="56443"/>
    <cellStyle name="Note 2 5 2 2" xfId="56444"/>
    <cellStyle name="Note 2 5 2 3" xfId="56445"/>
    <cellStyle name="Note 2 5 2 4" xfId="56446"/>
    <cellStyle name="Note 2 5 3" xfId="56447"/>
    <cellStyle name="Note 2 5 3 2" xfId="56448"/>
    <cellStyle name="Note 2 5 4" xfId="56449"/>
    <cellStyle name="Note 2 5 4 2" xfId="56450"/>
    <cellStyle name="Note 2 5 5" xfId="56451"/>
    <cellStyle name="Note 2 6" xfId="56452"/>
    <cellStyle name="Note 2 6 2" xfId="56453"/>
    <cellStyle name="Note 2 6 2 2" xfId="56454"/>
    <cellStyle name="Note 2 6 2 3" xfId="56455"/>
    <cellStyle name="Note 2 6 2 4" xfId="56456"/>
    <cellStyle name="Note 2 6 3" xfId="56457"/>
    <cellStyle name="Note 2 6 3 2" xfId="56458"/>
    <cellStyle name="Note 2 6 4" xfId="56459"/>
    <cellStyle name="Note 2 6 4 2" xfId="56460"/>
    <cellStyle name="Note 2 6 5" xfId="56461"/>
    <cellStyle name="Note 2 7" xfId="56462"/>
    <cellStyle name="Note 2 7 2" xfId="56463"/>
    <cellStyle name="Note 2 7 3" xfId="56464"/>
    <cellStyle name="Note 2 7 4" xfId="56465"/>
    <cellStyle name="Note 2 8" xfId="56466"/>
    <cellStyle name="Note 2 8 2" xfId="56467"/>
    <cellStyle name="Note 2 9" xfId="56468"/>
    <cellStyle name="Note 2 9 2" xfId="56469"/>
    <cellStyle name="Note 2 9 3" xfId="56470"/>
    <cellStyle name="Note 2 9 4" xfId="56471"/>
    <cellStyle name="Note 3" xfId="56472"/>
    <cellStyle name="Note 3 2" xfId="56473"/>
    <cellStyle name="Note 3 2 2" xfId="56474"/>
    <cellStyle name="Note 3 2 2 2" xfId="56475"/>
    <cellStyle name="Note 3 2 3" xfId="56476"/>
    <cellStyle name="Note 3 2 3 2" xfId="56477"/>
    <cellStyle name="Note 3 2 4" xfId="56478"/>
    <cellStyle name="Note 3 2 4 2" xfId="56479"/>
    <cellStyle name="Note 3 2 5" xfId="56480"/>
    <cellStyle name="Note 3 2 5 2" xfId="56481"/>
    <cellStyle name="Note 3 2 6" xfId="56482"/>
    <cellStyle name="Note 3 2 6 2" xfId="56483"/>
    <cellStyle name="Note 3 2 7" xfId="56484"/>
    <cellStyle name="Note 3 2 7 2" xfId="56485"/>
    <cellStyle name="Note 3 2 8" xfId="56486"/>
    <cellStyle name="Note 3 3" xfId="56487"/>
    <cellStyle name="Note 3 3 2" xfId="56488"/>
    <cellStyle name="Note 3 4" xfId="56489"/>
    <cellStyle name="Note 3 4 2" xfId="56490"/>
    <cellStyle name="Note 3 5" xfId="56491"/>
    <cellStyle name="Note 4" xfId="56492"/>
    <cellStyle name="Note 4 2" xfId="56493"/>
    <cellStyle name="Note 4 2 2" xfId="56494"/>
    <cellStyle name="Note 4 3" xfId="56495"/>
    <cellStyle name="Note 4 3 2" xfId="56496"/>
    <cellStyle name="Note 4 4" xfId="56497"/>
    <cellStyle name="Note 4 4 2" xfId="56498"/>
    <cellStyle name="Note 4 5" xfId="56499"/>
    <cellStyle name="Note 4 5 2" xfId="56500"/>
    <cellStyle name="Note 4 6" xfId="56501"/>
    <cellStyle name="Note 4 6 2" xfId="56502"/>
    <cellStyle name="Note 4 7" xfId="56503"/>
    <cellStyle name="Note 4 7 2" xfId="56504"/>
    <cellStyle name="Note 4 8" xfId="56505"/>
    <cellStyle name="Note 5" xfId="56506"/>
    <cellStyle name="Note 5 2" xfId="56507"/>
    <cellStyle name="Note 5 3" xfId="56508"/>
    <cellStyle name="Note 6" xfId="56509"/>
    <cellStyle name="Note 6 2" xfId="56510"/>
    <cellStyle name="Note 6 2 2" xfId="56511"/>
    <cellStyle name="Note 6 3" xfId="56512"/>
    <cellStyle name="Note 6 3 2" xfId="56513"/>
    <cellStyle name="Note 6 4" xfId="56514"/>
    <cellStyle name="Note 7" xfId="56515"/>
    <cellStyle name="Note 7 2" xfId="56516"/>
    <cellStyle name="Note 8" xfId="56517"/>
    <cellStyle name="Note 8 2" xfId="56518"/>
    <cellStyle name="Note 8 2 2" xfId="56519"/>
    <cellStyle name="Note 8 3" xfId="56520"/>
    <cellStyle name="Note 9" xfId="56521"/>
    <cellStyle name="Note 9 2" xfId="56522"/>
    <cellStyle name="oft Excel]_x000d__x000a_Comment=The open=/f lines load custom functions into the Paste Function list._x000d__x000a_Maximized=3_x000d__x000a_Basics=1_x000d__x000a_A" xfId="56523"/>
    <cellStyle name="oft Excel]_x000d__x000a_Comment=The open=/f lines load custom functions into the Paste Function list._x000d__x000a_Maximized=3_x000d__x000a_Basics=1_x000d__x000a_A 2" xfId="56524"/>
    <cellStyle name="Output" xfId="18" builtinId="21" hidden="1"/>
    <cellStyle name="Output 10" xfId="56525"/>
    <cellStyle name="Output 11" xfId="56526"/>
    <cellStyle name="Output 2" xfId="56527"/>
    <cellStyle name="Output 2 10" xfId="56528"/>
    <cellStyle name="Output 2 2" xfId="56529"/>
    <cellStyle name="Output 2 2 2" xfId="56530"/>
    <cellStyle name="Output 2 2 2 2" xfId="56531"/>
    <cellStyle name="Output 2 2 2 3" xfId="56532"/>
    <cellStyle name="Output 2 2 2 4" xfId="56533"/>
    <cellStyle name="Output 2 2 3" xfId="56534"/>
    <cellStyle name="Output 2 2 3 2" xfId="56535"/>
    <cellStyle name="Output 2 2 4" xfId="56536"/>
    <cellStyle name="Output 2 2 4 2" xfId="56537"/>
    <cellStyle name="Output 2 2 5" xfId="56538"/>
    <cellStyle name="Output 2 2 5 2" xfId="56539"/>
    <cellStyle name="Output 2 2 6" xfId="56540"/>
    <cellStyle name="Output 2 2 6 2" xfId="56541"/>
    <cellStyle name="Output 2 2 7" xfId="56542"/>
    <cellStyle name="Output 2 2 7 2" xfId="56543"/>
    <cellStyle name="Output 2 2 8" xfId="56544"/>
    <cellStyle name="Output 2 2 8 2" xfId="56545"/>
    <cellStyle name="Output 2 2 9" xfId="56546"/>
    <cellStyle name="Output 2 3" xfId="56547"/>
    <cellStyle name="Output 2 3 2" xfId="56548"/>
    <cellStyle name="Output 2 3 2 2" xfId="56549"/>
    <cellStyle name="Output 2 3 2 3" xfId="56550"/>
    <cellStyle name="Output 2 3 2 4" xfId="56551"/>
    <cellStyle name="Output 2 3 3" xfId="56552"/>
    <cellStyle name="Output 2 3 3 2" xfId="56553"/>
    <cellStyle name="Output 2 3 4" xfId="56554"/>
    <cellStyle name="Output 2 3 4 2" xfId="56555"/>
    <cellStyle name="Output 2 3 5" xfId="56556"/>
    <cellStyle name="Output 2 4" xfId="56557"/>
    <cellStyle name="Output 2 4 2" xfId="56558"/>
    <cellStyle name="Output 2 4 2 2" xfId="56559"/>
    <cellStyle name="Output 2 4 2 3" xfId="56560"/>
    <cellStyle name="Output 2 4 2 4" xfId="56561"/>
    <cellStyle name="Output 2 4 3" xfId="56562"/>
    <cellStyle name="Output 2 4 3 2" xfId="56563"/>
    <cellStyle name="Output 2 4 4" xfId="56564"/>
    <cellStyle name="Output 2 4 4 2" xfId="56565"/>
    <cellStyle name="Output 2 4 5" xfId="56566"/>
    <cellStyle name="Output 2 5" xfId="56567"/>
    <cellStyle name="Output 2 5 2" xfId="56568"/>
    <cellStyle name="Output 2 5 2 2" xfId="56569"/>
    <cellStyle name="Output 2 5 2 3" xfId="56570"/>
    <cellStyle name="Output 2 5 2 4" xfId="56571"/>
    <cellStyle name="Output 2 5 3" xfId="56572"/>
    <cellStyle name="Output 2 5 3 2" xfId="56573"/>
    <cellStyle name="Output 2 5 4" xfId="56574"/>
    <cellStyle name="Output 2 5 4 2" xfId="56575"/>
    <cellStyle name="Output 2 5 5" xfId="56576"/>
    <cellStyle name="Output 2 6" xfId="56577"/>
    <cellStyle name="Output 2 6 2" xfId="56578"/>
    <cellStyle name="Output 2 6 2 2" xfId="56579"/>
    <cellStyle name="Output 2 6 2 3" xfId="56580"/>
    <cellStyle name="Output 2 6 2 4" xfId="56581"/>
    <cellStyle name="Output 2 6 3" xfId="56582"/>
    <cellStyle name="Output 2 6 3 2" xfId="56583"/>
    <cellStyle name="Output 2 6 4" xfId="56584"/>
    <cellStyle name="Output 2 6 4 2" xfId="56585"/>
    <cellStyle name="Output 2 6 5" xfId="56586"/>
    <cellStyle name="Output 2 7" xfId="56587"/>
    <cellStyle name="Output 2 7 2" xfId="56588"/>
    <cellStyle name="Output 2 7 3" xfId="56589"/>
    <cellStyle name="Output 2 7 4" xfId="56590"/>
    <cellStyle name="Output 2 8" xfId="56591"/>
    <cellStyle name="Output 2 8 2" xfId="56592"/>
    <cellStyle name="Output 2 9" xfId="56593"/>
    <cellStyle name="Output 2 9 2" xfId="56594"/>
    <cellStyle name="Output 3" xfId="56595"/>
    <cellStyle name="Output 3 2" xfId="56596"/>
    <cellStyle name="Output 3 2 2" xfId="56597"/>
    <cellStyle name="Output 3 2 3" xfId="56598"/>
    <cellStyle name="Output 3 2 4" xfId="56599"/>
    <cellStyle name="Output 3 3" xfId="56600"/>
    <cellStyle name="Output 3 3 2" xfId="56601"/>
    <cellStyle name="Output 3 4" xfId="56602"/>
    <cellStyle name="Output 3 4 2" xfId="56603"/>
    <cellStyle name="Output 3 5" xfId="56604"/>
    <cellStyle name="Output 4" xfId="56605"/>
    <cellStyle name="Output 4 2" xfId="56606"/>
    <cellStyle name="Output 4 3" xfId="56607"/>
    <cellStyle name="Output 5" xfId="56608"/>
    <cellStyle name="Output 5 2" xfId="56609"/>
    <cellStyle name="Output 5 3" xfId="56610"/>
    <cellStyle name="Output 6" xfId="56611"/>
    <cellStyle name="Output 6 2" xfId="56612"/>
    <cellStyle name="Output 6 3" xfId="56613"/>
    <cellStyle name="Output 7" xfId="56614"/>
    <cellStyle name="Output 7 2" xfId="56615"/>
    <cellStyle name="Output 8" xfId="56616"/>
    <cellStyle name="Output 9" xfId="56617"/>
    <cellStyle name="Output 9 2" xfId="56618"/>
    <cellStyle name="Partially Capable to Test" xfId="56619"/>
    <cellStyle name="Percen - Style2" xfId="56620"/>
    <cellStyle name="Percen - Style2 2" xfId="56621"/>
    <cellStyle name="Percen - Style2 2 2" xfId="56622"/>
    <cellStyle name="Percen - Style2 2 3" xfId="56623"/>
    <cellStyle name="Percen - Style2 3" xfId="56624"/>
    <cellStyle name="Percen - Style2 4" xfId="56625"/>
    <cellStyle name="Percen - Style6" xfId="56626"/>
    <cellStyle name="Percen - Style6 2" xfId="56627"/>
    <cellStyle name="Percen - Style6 2 2" xfId="56628"/>
    <cellStyle name="Percen - Style6 2 3" xfId="56629"/>
    <cellStyle name="Percen - Style6 3" xfId="56630"/>
    <cellStyle name="Percen - Style6 4" xfId="56631"/>
    <cellStyle name="Percent" xfId="8" builtinId="5" hidden="1"/>
    <cellStyle name="Percent [0]" xfId="56632"/>
    <cellStyle name="Percent [0] 2" xfId="56633"/>
    <cellStyle name="Percent [0] 2 2" xfId="56634"/>
    <cellStyle name="Percent [00]" xfId="56635"/>
    <cellStyle name="Percent 10" xfId="56636"/>
    <cellStyle name="Percent 10 2" xfId="56637"/>
    <cellStyle name="Percent 10 3" xfId="56638"/>
    <cellStyle name="Percent 11" xfId="56639"/>
    <cellStyle name="Percent 11 2" xfId="56640"/>
    <cellStyle name="Percent 110" xfId="56641"/>
    <cellStyle name="Percent 12" xfId="56642"/>
    <cellStyle name="Percent 12 2" xfId="56643"/>
    <cellStyle name="Percent 13" xfId="56644"/>
    <cellStyle name="Percent 13 2" xfId="56645"/>
    <cellStyle name="Percent 13 3" xfId="56646"/>
    <cellStyle name="Percent 14" xfId="56647"/>
    <cellStyle name="Percent 14 2" xfId="56648"/>
    <cellStyle name="Percent 14 3" xfId="56649"/>
    <cellStyle name="Percent 15" xfId="56650"/>
    <cellStyle name="Percent 15 2" xfId="56651"/>
    <cellStyle name="Percent 15 3" xfId="56652"/>
    <cellStyle name="Percent 16" xfId="56653"/>
    <cellStyle name="Percent 16 2" xfId="56654"/>
    <cellStyle name="Percent 17" xfId="56655"/>
    <cellStyle name="Percent 17 2" xfId="56656"/>
    <cellStyle name="Percent 18" xfId="56657"/>
    <cellStyle name="Percent 18 2" xfId="56658"/>
    <cellStyle name="Percent 19" xfId="56659"/>
    <cellStyle name="Percent 19 2" xfId="56660"/>
    <cellStyle name="Percent 2" xfId="2"/>
    <cellStyle name="Percent 2 10" xfId="56661"/>
    <cellStyle name="Percent 2 10 2" xfId="56662"/>
    <cellStyle name="Percent 2 11" xfId="56663"/>
    <cellStyle name="Percent 2 11 2" xfId="56664"/>
    <cellStyle name="Percent 2 12" xfId="56665"/>
    <cellStyle name="Percent 2 12 2" xfId="56666"/>
    <cellStyle name="Percent 2 13" xfId="56667"/>
    <cellStyle name="Percent 2 13 2" xfId="56668"/>
    <cellStyle name="Percent 2 14" xfId="56669"/>
    <cellStyle name="Percent 2 14 2" xfId="56670"/>
    <cellStyle name="Percent 2 15" xfId="56671"/>
    <cellStyle name="Percent 2 15 2" xfId="56672"/>
    <cellStyle name="Percent 2 16" xfId="56673"/>
    <cellStyle name="Percent 2 16 2" xfId="56674"/>
    <cellStyle name="Percent 2 17" xfId="56675"/>
    <cellStyle name="Percent 2 17 2" xfId="56676"/>
    <cellStyle name="Percent 2 18" xfId="56677"/>
    <cellStyle name="Percent 2 19" xfId="56678"/>
    <cellStyle name="Percent 2 2" xfId="56679"/>
    <cellStyle name="Percent 2 2 10" xfId="56680"/>
    <cellStyle name="Percent 2 2 2" xfId="56681"/>
    <cellStyle name="Percent 2 2 2 2" xfId="56682"/>
    <cellStyle name="Percent 2 2 2 2 2" xfId="56683"/>
    <cellStyle name="Percent 2 2 2 2 3" xfId="56684"/>
    <cellStyle name="Percent 2 2 2 2 4" xfId="56685"/>
    <cellStyle name="Percent 2 2 2 2 5" xfId="56686"/>
    <cellStyle name="Percent 2 2 2 3" xfId="56687"/>
    <cellStyle name="Percent 2 2 2 4" xfId="56688"/>
    <cellStyle name="Percent 2 2 2 5" xfId="56689"/>
    <cellStyle name="Percent 2 2 2 6" xfId="56690"/>
    <cellStyle name="Percent 2 2 2 7" xfId="56691"/>
    <cellStyle name="Percent 2 2 2 8" xfId="56692"/>
    <cellStyle name="Percent 2 2 3" xfId="56693"/>
    <cellStyle name="Percent 2 2 3 2" xfId="56694"/>
    <cellStyle name="Percent 2 2 3 3" xfId="56695"/>
    <cellStyle name="Percent 2 2 3 4" xfId="56696"/>
    <cellStyle name="Percent 2 2 3 5" xfId="56697"/>
    <cellStyle name="Percent 2 2 4" xfId="56698"/>
    <cellStyle name="Percent 2 2 5" xfId="56699"/>
    <cellStyle name="Percent 2 2 6" xfId="56700"/>
    <cellStyle name="Percent 2 2 7" xfId="56701"/>
    <cellStyle name="Percent 2 2 8" xfId="56702"/>
    <cellStyle name="Percent 2 2 9" xfId="56703"/>
    <cellStyle name="Percent 2 3" xfId="56704"/>
    <cellStyle name="Percent 2 3 2" xfId="56705"/>
    <cellStyle name="Percent 2 3 2 2" xfId="56706"/>
    <cellStyle name="Percent 2 3 2 3" xfId="56707"/>
    <cellStyle name="Percent 2 3 2 4" xfId="56708"/>
    <cellStyle name="Percent 2 3 2 5" xfId="56709"/>
    <cellStyle name="Percent 2 3 3" xfId="56710"/>
    <cellStyle name="Percent 2 3 4" xfId="56711"/>
    <cellStyle name="Percent 2 3 5" xfId="56712"/>
    <cellStyle name="Percent 2 3 6" xfId="56713"/>
    <cellStyle name="Percent 2 3 7" xfId="56714"/>
    <cellStyle name="Percent 2 3 8" xfId="56715"/>
    <cellStyle name="Percent 2 4" xfId="56716"/>
    <cellStyle name="Percent 2 4 2" xfId="56717"/>
    <cellStyle name="Percent 2 4 3" xfId="56718"/>
    <cellStyle name="Percent 2 4 4" xfId="56719"/>
    <cellStyle name="Percent 2 4 5" xfId="56720"/>
    <cellStyle name="Percent 2 4 6" xfId="56721"/>
    <cellStyle name="Percent 2 4 7" xfId="56722"/>
    <cellStyle name="Percent 2 5" xfId="56723"/>
    <cellStyle name="Percent 2 5 2" xfId="56724"/>
    <cellStyle name="Percent 2 6" xfId="56725"/>
    <cellStyle name="Percent 2 6 2" xfId="56726"/>
    <cellStyle name="Percent 2 7" xfId="56727"/>
    <cellStyle name="Percent 2 7 2" xfId="56728"/>
    <cellStyle name="Percent 2 8" xfId="56729"/>
    <cellStyle name="Percent 2 8 2" xfId="56730"/>
    <cellStyle name="Percent 2 9" xfId="56731"/>
    <cellStyle name="Percent 2 9 2" xfId="56732"/>
    <cellStyle name="Percent 20" xfId="56733"/>
    <cellStyle name="Percent 20 2" xfId="56734"/>
    <cellStyle name="Percent 20 2 2" xfId="56735"/>
    <cellStyle name="Percent 21" xfId="56736"/>
    <cellStyle name="Percent 21 2" xfId="56737"/>
    <cellStyle name="Percent 21 2 2" xfId="56738"/>
    <cellStyle name="Percent 21 2 2 2" xfId="56739"/>
    <cellStyle name="Percent 21 2 3" xfId="56740"/>
    <cellStyle name="Percent 21 2 4" xfId="56741"/>
    <cellStyle name="Percent 21 3" xfId="56742"/>
    <cellStyle name="Percent 21 3 2" xfId="56743"/>
    <cellStyle name="Percent 21 3 2 2" xfId="56744"/>
    <cellStyle name="Percent 21 3 3" xfId="56745"/>
    <cellStyle name="Percent 21 3 4" xfId="56746"/>
    <cellStyle name="Percent 21 4" xfId="56747"/>
    <cellStyle name="Percent 21 4 2" xfId="56748"/>
    <cellStyle name="Percent 21 5" xfId="56749"/>
    <cellStyle name="Percent 21 6" xfId="56750"/>
    <cellStyle name="Percent 22" xfId="56751"/>
    <cellStyle name="Percent 22 2" xfId="56752"/>
    <cellStyle name="Percent 22 2 2" xfId="56753"/>
    <cellStyle name="Percent 22 2 2 2" xfId="56754"/>
    <cellStyle name="Percent 22 2 3" xfId="56755"/>
    <cellStyle name="Percent 22 2 4" xfId="56756"/>
    <cellStyle name="Percent 22 3" xfId="56757"/>
    <cellStyle name="Percent 22 3 2" xfId="56758"/>
    <cellStyle name="Percent 22 3 2 2" xfId="56759"/>
    <cellStyle name="Percent 22 3 3" xfId="56760"/>
    <cellStyle name="Percent 22 3 4" xfId="56761"/>
    <cellStyle name="Percent 22 4" xfId="56762"/>
    <cellStyle name="Percent 22 4 2" xfId="56763"/>
    <cellStyle name="Percent 22 5" xfId="56764"/>
    <cellStyle name="Percent 22 6" xfId="56765"/>
    <cellStyle name="Percent 23" xfId="56766"/>
    <cellStyle name="Percent 23 2" xfId="56767"/>
    <cellStyle name="Percent 23 2 2" xfId="56768"/>
    <cellStyle name="Percent 23 2 2 2" xfId="56769"/>
    <cellStyle name="Percent 23 2 3" xfId="56770"/>
    <cellStyle name="Percent 23 2 4" xfId="56771"/>
    <cellStyle name="Percent 23 3" xfId="56772"/>
    <cellStyle name="Percent 23 3 2" xfId="56773"/>
    <cellStyle name="Percent 23 3 2 2" xfId="56774"/>
    <cellStyle name="Percent 23 3 3" xfId="56775"/>
    <cellStyle name="Percent 23 3 4" xfId="56776"/>
    <cellStyle name="Percent 23 4" xfId="56777"/>
    <cellStyle name="Percent 23 4 2" xfId="56778"/>
    <cellStyle name="Percent 23 5" xfId="56779"/>
    <cellStyle name="Percent 23 6" xfId="56780"/>
    <cellStyle name="Percent 24" xfId="56781"/>
    <cellStyle name="Percent 24 2" xfId="56782"/>
    <cellStyle name="Percent 24 2 2" xfId="56783"/>
    <cellStyle name="Percent 24 2 2 2" xfId="56784"/>
    <cellStyle name="Percent 24 2 3" xfId="56785"/>
    <cellStyle name="Percent 24 2 4" xfId="56786"/>
    <cellStyle name="Percent 24 3" xfId="56787"/>
    <cellStyle name="Percent 24 3 2" xfId="56788"/>
    <cellStyle name="Percent 24 3 2 2" xfId="56789"/>
    <cellStyle name="Percent 24 3 3" xfId="56790"/>
    <cellStyle name="Percent 24 3 4" xfId="56791"/>
    <cellStyle name="Percent 24 4" xfId="56792"/>
    <cellStyle name="Percent 24 4 2" xfId="56793"/>
    <cellStyle name="Percent 24 5" xfId="56794"/>
    <cellStyle name="Percent 24 6" xfId="56795"/>
    <cellStyle name="Percent 25" xfId="56796"/>
    <cellStyle name="Percent 25 2" xfId="56797"/>
    <cellStyle name="Percent 26" xfId="56798"/>
    <cellStyle name="Percent 27" xfId="56799"/>
    <cellStyle name="Percent 28" xfId="56800"/>
    <cellStyle name="Percent 28 2" xfId="56801"/>
    <cellStyle name="Percent 29" xfId="56802"/>
    <cellStyle name="Percent 3" xfId="56803"/>
    <cellStyle name="Percent 3 2" xfId="56804"/>
    <cellStyle name="Percent 3 2 2" xfId="56805"/>
    <cellStyle name="Percent 3 2 3" xfId="56806"/>
    <cellStyle name="Percent 3 2 4" xfId="56807"/>
    <cellStyle name="Percent 3 2 5" xfId="56808"/>
    <cellStyle name="Percent 3 3" xfId="56809"/>
    <cellStyle name="Percent 3 3 2" xfId="56810"/>
    <cellStyle name="Percent 3 4" xfId="56811"/>
    <cellStyle name="Percent 3 4 2" xfId="56812"/>
    <cellStyle name="Percent 3 4 2 2" xfId="56813"/>
    <cellStyle name="Percent 3 4 2 2 2" xfId="56814"/>
    <cellStyle name="Percent 3 4 2 2 4" xfId="56815"/>
    <cellStyle name="Percent 3 4 2 3" xfId="56816"/>
    <cellStyle name="Percent 3 4 3" xfId="56817"/>
    <cellStyle name="Percent 3 4 3 2" xfId="56818"/>
    <cellStyle name="Percent 3 4 4" xfId="56819"/>
    <cellStyle name="Percent 3 5" xfId="56820"/>
    <cellStyle name="Percent 3 5 2" xfId="56821"/>
    <cellStyle name="Percent 3 5 3" xfId="56822"/>
    <cellStyle name="Percent 3 6" xfId="56823"/>
    <cellStyle name="Percent 3 6 2" xfId="56824"/>
    <cellStyle name="Percent 3 6 3" xfId="56825"/>
    <cellStyle name="Percent 3 7" xfId="56826"/>
    <cellStyle name="Percent 3 8" xfId="56827"/>
    <cellStyle name="Percent 30" xfId="56828"/>
    <cellStyle name="Percent 31" xfId="56829"/>
    <cellStyle name="Percent 32" xfId="56830"/>
    <cellStyle name="Percent 32 2" xfId="56831"/>
    <cellStyle name="Percent 32 2 2" xfId="56832"/>
    <cellStyle name="Percent 32 3" xfId="56833"/>
    <cellStyle name="Percent 32 4" xfId="56834"/>
    <cellStyle name="Percent 33" xfId="56835"/>
    <cellStyle name="Percent 34" xfId="56836"/>
    <cellStyle name="Percent 34 2" xfId="56837"/>
    <cellStyle name="Percent 34 3" xfId="56838"/>
    <cellStyle name="Percent 35" xfId="56839"/>
    <cellStyle name="Percent 35 2" xfId="56840"/>
    <cellStyle name="Percent 36" xfId="56841"/>
    <cellStyle name="Percent 37" xfId="56842"/>
    <cellStyle name="Percent 38" xfId="56843"/>
    <cellStyle name="Percent 39" xfId="56844"/>
    <cellStyle name="Percent 4" xfId="56845"/>
    <cellStyle name="Percent 4 2" xfId="56846"/>
    <cellStyle name="Percent 4 2 2" xfId="56847"/>
    <cellStyle name="Percent 4 2 2 2" xfId="56848"/>
    <cellStyle name="Percent 4 2 3" xfId="56849"/>
    <cellStyle name="Percent 4 2 4" xfId="56850"/>
    <cellStyle name="Percent 4 2 5" xfId="56851"/>
    <cellStyle name="Percent 4 3" xfId="56852"/>
    <cellStyle name="Percent 4 4" xfId="56853"/>
    <cellStyle name="Percent 4 5" xfId="56854"/>
    <cellStyle name="Percent 4 6" xfId="56855"/>
    <cellStyle name="Percent 4 7" xfId="56856"/>
    <cellStyle name="Percent 4 8" xfId="56857"/>
    <cellStyle name="Percent 4 9" xfId="56858"/>
    <cellStyle name="Percent 40" xfId="56859"/>
    <cellStyle name="Percent 41" xfId="56860"/>
    <cellStyle name="Percent 42" xfId="56861"/>
    <cellStyle name="Percent 43" xfId="56862"/>
    <cellStyle name="Percent 44" xfId="56863"/>
    <cellStyle name="Percent 45" xfId="56864"/>
    <cellStyle name="Percent 45 2" xfId="56865"/>
    <cellStyle name="Percent 46" xfId="56866"/>
    <cellStyle name="Percent 47" xfId="56867"/>
    <cellStyle name="Percent 48" xfId="56868"/>
    <cellStyle name="Percent 49" xfId="56869"/>
    <cellStyle name="Percent 5" xfId="56870"/>
    <cellStyle name="Percent 5 2" xfId="56871"/>
    <cellStyle name="Percent 5 2 2" xfId="56872"/>
    <cellStyle name="Percent 5 2 2 2" xfId="56873"/>
    <cellStyle name="Percent 5 2 2 3" xfId="56874"/>
    <cellStyle name="Percent 5 2 3" xfId="56875"/>
    <cellStyle name="Percent 5 2 4" xfId="56876"/>
    <cellStyle name="Percent 5 2 5" xfId="56877"/>
    <cellStyle name="Percent 5 3" xfId="56878"/>
    <cellStyle name="Percent 5 3 2" xfId="56879"/>
    <cellStyle name="Percent 5 3 3" xfId="56880"/>
    <cellStyle name="Percent 5 3 4" xfId="56881"/>
    <cellStyle name="Percent 5 4" xfId="56882"/>
    <cellStyle name="Percent 5 4 2" xfId="56883"/>
    <cellStyle name="Percent 5 5" xfId="56884"/>
    <cellStyle name="Percent 5 6" xfId="56885"/>
    <cellStyle name="Percent 50" xfId="56886"/>
    <cellStyle name="Percent 51" xfId="56887"/>
    <cellStyle name="Percent 52" xfId="56888"/>
    <cellStyle name="Percent 53" xfId="56889"/>
    <cellStyle name="Percent 54" xfId="56890"/>
    <cellStyle name="Percent 55" xfId="56891"/>
    <cellStyle name="Percent 55 2" xfId="56892"/>
    <cellStyle name="Percent 55 3" xfId="56893"/>
    <cellStyle name="Percent 56" xfId="56894"/>
    <cellStyle name="Percent 57" xfId="56895"/>
    <cellStyle name="Percent 58" xfId="56896"/>
    <cellStyle name="Percent 59" xfId="56897"/>
    <cellStyle name="Percent 6" xfId="56898"/>
    <cellStyle name="Percent 6 2" xfId="56899"/>
    <cellStyle name="Percent 6 2 2" xfId="56900"/>
    <cellStyle name="Percent 6 3" xfId="56901"/>
    <cellStyle name="Percent 6 4" xfId="56902"/>
    <cellStyle name="Percent 60" xfId="56903"/>
    <cellStyle name="Percent 61" xfId="56904"/>
    <cellStyle name="Percent 62" xfId="56905"/>
    <cellStyle name="Percent 63" xfId="56906"/>
    <cellStyle name="Percent 64" xfId="56907"/>
    <cellStyle name="Percent 65" xfId="56908"/>
    <cellStyle name="Percent 66" xfId="56909"/>
    <cellStyle name="Percent 67" xfId="56910"/>
    <cellStyle name="Percent 7" xfId="56911"/>
    <cellStyle name="Percent 7 2" xfId="56912"/>
    <cellStyle name="Percent 8" xfId="56913"/>
    <cellStyle name="Percent 8 2" xfId="56914"/>
    <cellStyle name="Percent 8 2 2" xfId="56915"/>
    <cellStyle name="Percent 9" xfId="56916"/>
    <cellStyle name="Percent 9 2" xfId="56917"/>
    <cellStyle name="Percent 9 3" xfId="56918"/>
    <cellStyle name="PrePop Currency (0)" xfId="56919"/>
    <cellStyle name="PrePop Currency (2)" xfId="56920"/>
    <cellStyle name="PrePop Units (0)" xfId="56921"/>
    <cellStyle name="PrePop Units (1)" xfId="56922"/>
    <cellStyle name="PrePop Units (2)" xfId="56923"/>
    <cellStyle name="Product Header" xfId="56924"/>
    <cellStyle name="Product Header 2" xfId="56925"/>
    <cellStyle name="Product Header 3" xfId="56926"/>
    <cellStyle name="PROJ_NUM" xfId="56927"/>
    <cellStyle name="PSChar" xfId="56928"/>
    <cellStyle name="PSChar 2" xfId="56929"/>
    <cellStyle name="PSChar 2 2" xfId="56930"/>
    <cellStyle name="PSChar 2 2 2" xfId="56931"/>
    <cellStyle name="PSChar 2 2 2 2" xfId="56932"/>
    <cellStyle name="PSChar 2 2 2 3" xfId="56933"/>
    <cellStyle name="PSChar 2 2 3" xfId="56934"/>
    <cellStyle name="PSChar 2 2 4" xfId="56935"/>
    <cellStyle name="PSChar 2 3" xfId="56936"/>
    <cellStyle name="PSChar 2 3 2" xfId="56937"/>
    <cellStyle name="PSChar 2 3 3" xfId="56938"/>
    <cellStyle name="PSChar 2 4" xfId="56939"/>
    <cellStyle name="PSChar 2 5" xfId="56940"/>
    <cellStyle name="PSChar 3" xfId="56941"/>
    <cellStyle name="PSChar 3 2" xfId="56942"/>
    <cellStyle name="PSChar 3 3" xfId="56943"/>
    <cellStyle name="PSChar 4" xfId="56944"/>
    <cellStyle name="PSChar 5" xfId="56945"/>
    <cellStyle name="PSDate" xfId="56946"/>
    <cellStyle name="PSDate 2" xfId="56947"/>
    <cellStyle name="PSDate 2 2" xfId="56948"/>
    <cellStyle name="PSDec" xfId="56949"/>
    <cellStyle name="PSDec 2" xfId="56950"/>
    <cellStyle name="PSDec 2 2" xfId="56951"/>
    <cellStyle name="PSHeading" xfId="56952"/>
    <cellStyle name="PSHeading 2" xfId="56953"/>
    <cellStyle name="PSHeading 2 2" xfId="56954"/>
    <cellStyle name="PSHeading 2 2 2" xfId="56955"/>
    <cellStyle name="PSHeading 2 2 2 2" xfId="56956"/>
    <cellStyle name="PSHeading 2 2 2 3" xfId="56957"/>
    <cellStyle name="PSHeading 2 2 3" xfId="56958"/>
    <cellStyle name="PSHeading 2 2 3 2" xfId="56959"/>
    <cellStyle name="PSHeading 2 2 4" xfId="56960"/>
    <cellStyle name="PSHeading 2 2 4 2" xfId="56961"/>
    <cellStyle name="PSHeading 2 2 5" xfId="56962"/>
    <cellStyle name="PSHeading 2 3" xfId="56963"/>
    <cellStyle name="PSHeading 2 3 2" xfId="56964"/>
    <cellStyle name="PSHeading 2 3 3" xfId="56965"/>
    <cellStyle name="PSHeading 2 4" xfId="56966"/>
    <cellStyle name="PSHeading 2 4 2" xfId="56967"/>
    <cellStyle name="PSHeading 2 5" xfId="56968"/>
    <cellStyle name="PSHeading 2 5 2" xfId="56969"/>
    <cellStyle name="PSHeading 2 6" xfId="56970"/>
    <cellStyle name="PSHeading 3" xfId="56971"/>
    <cellStyle name="PSHeading 3 2" xfId="56972"/>
    <cellStyle name="PSHeading 3 3" xfId="56973"/>
    <cellStyle name="PSHeading 4" xfId="56974"/>
    <cellStyle name="PSHeading 4 2" xfId="56975"/>
    <cellStyle name="PSHeading 5" xfId="56976"/>
    <cellStyle name="PSHeading 5 2" xfId="56977"/>
    <cellStyle name="PSHeading 6" xfId="56978"/>
    <cellStyle name="PSInt" xfId="56979"/>
    <cellStyle name="PSInt 2" xfId="56980"/>
    <cellStyle name="PSInt 2 2" xfId="56981"/>
    <cellStyle name="PSSpacer" xfId="56982"/>
    <cellStyle name="PSSpacer 2" xfId="56983"/>
    <cellStyle name="PSSpacer 2 2" xfId="56984"/>
    <cellStyle name="PSSpacer 2 2 2" xfId="56985"/>
    <cellStyle name="PSSpacer 2 2 2 2" xfId="56986"/>
    <cellStyle name="PSSpacer 2 2 2 3" xfId="56987"/>
    <cellStyle name="PSSpacer 2 2 3" xfId="56988"/>
    <cellStyle name="PSSpacer 2 2 4" xfId="56989"/>
    <cellStyle name="PSSpacer 2 3" xfId="56990"/>
    <cellStyle name="PSSpacer 2 3 2" xfId="56991"/>
    <cellStyle name="PSSpacer 2 3 3" xfId="56992"/>
    <cellStyle name="PSSpacer 2 4" xfId="56993"/>
    <cellStyle name="PSSpacer 2 5" xfId="56994"/>
    <cellStyle name="PSSpacer 3" xfId="56995"/>
    <cellStyle name="PSSpacer 3 2" xfId="56996"/>
    <cellStyle name="PSSpacer 3 3" xfId="56997"/>
    <cellStyle name="PSSpacer 4" xfId="56998"/>
    <cellStyle name="PSSpacer 5" xfId="56999"/>
    <cellStyle name="results" xfId="57000"/>
    <cellStyle name="results 2" xfId="57001"/>
    <cellStyle name="results 3" xfId="57002"/>
    <cellStyle name="RISKbigPercent" xfId="57003"/>
    <cellStyle name="RISKblandrEdge" xfId="57004"/>
    <cellStyle name="RISKblCorner" xfId="57005"/>
    <cellStyle name="RISKbottomEdge" xfId="57006"/>
    <cellStyle name="RISKbrCorner" xfId="57007"/>
    <cellStyle name="RISKdarkBoxed" xfId="57008"/>
    <cellStyle name="RISKdarkShade" xfId="57009"/>
    <cellStyle name="RISKdbottomEdge" xfId="57010"/>
    <cellStyle name="RISKdrightEdge" xfId="57011"/>
    <cellStyle name="RISKdurationTime" xfId="57012"/>
    <cellStyle name="RISKinNumber" xfId="57013"/>
    <cellStyle name="RISKinNumber 2" xfId="57014"/>
    <cellStyle name="RISKlandrEdge" xfId="57015"/>
    <cellStyle name="RISKleftEdge" xfId="57016"/>
    <cellStyle name="RISKlightBoxed" xfId="57017"/>
    <cellStyle name="RISKltandbEdge" xfId="57018"/>
    <cellStyle name="RISKnormBoxed" xfId="57019"/>
    <cellStyle name="RISKnormCenter" xfId="57020"/>
    <cellStyle name="RISKnormHeading" xfId="57021"/>
    <cellStyle name="RISKnormItal" xfId="57022"/>
    <cellStyle name="RISKnormLabel" xfId="57023"/>
    <cellStyle name="RISKnormShade" xfId="57024"/>
    <cellStyle name="RISKnormTitle" xfId="57025"/>
    <cellStyle name="RISKoutNumber" xfId="57026"/>
    <cellStyle name="RISKoutNumber 2" xfId="57027"/>
    <cellStyle name="RISKrightEdge" xfId="57028"/>
    <cellStyle name="RISKrtandbEdge" xfId="57029"/>
    <cellStyle name="RISKssTime" xfId="57030"/>
    <cellStyle name="RISKtandbEdge" xfId="57031"/>
    <cellStyle name="RISKtlandrEdge" xfId="57032"/>
    <cellStyle name="RISKtlCorner" xfId="57033"/>
    <cellStyle name="RISKtopEdge" xfId="57034"/>
    <cellStyle name="RISKtrCorner" xfId="57035"/>
    <cellStyle name="Row" xfId="57036"/>
    <cellStyle name="Row 2" xfId="57037"/>
    <cellStyle name="SAPBEXaggData" xfId="57038"/>
    <cellStyle name="SAPBEXaggData 10" xfId="57039"/>
    <cellStyle name="SAPBEXaggData 10 2" xfId="57040"/>
    <cellStyle name="SAPBEXaggData 10 2 2" xfId="57041"/>
    <cellStyle name="SAPBEXaggData 10 3" xfId="57042"/>
    <cellStyle name="SAPBEXaggData 11" xfId="57043"/>
    <cellStyle name="SAPBEXaggData 11 2" xfId="57044"/>
    <cellStyle name="SAPBEXaggData 11 2 2" xfId="57045"/>
    <cellStyle name="SAPBEXaggData 11 3" xfId="57046"/>
    <cellStyle name="SAPBEXaggData 12" xfId="57047"/>
    <cellStyle name="SAPBEXaggData 12 2" xfId="57048"/>
    <cellStyle name="SAPBEXaggData 12 2 2" xfId="57049"/>
    <cellStyle name="SAPBEXaggData 12 3" xfId="57050"/>
    <cellStyle name="SAPBEXaggData 13" xfId="57051"/>
    <cellStyle name="SAPBEXaggData 13 2" xfId="57052"/>
    <cellStyle name="SAPBEXaggData 14" xfId="57053"/>
    <cellStyle name="SAPBEXaggData 2" xfId="57054"/>
    <cellStyle name="SAPBEXaggData 2 10" xfId="57055"/>
    <cellStyle name="SAPBEXaggData 2 2" xfId="57056"/>
    <cellStyle name="SAPBEXaggData 2 2 2" xfId="57057"/>
    <cellStyle name="SAPBEXaggData 2 2 2 2" xfId="57058"/>
    <cellStyle name="SAPBEXaggData 2 2 3" xfId="57059"/>
    <cellStyle name="SAPBEXaggData 2 3" xfId="57060"/>
    <cellStyle name="SAPBEXaggData 2 3 2" xfId="57061"/>
    <cellStyle name="SAPBEXaggData 2 3 2 2" xfId="57062"/>
    <cellStyle name="SAPBEXaggData 2 3 3" xfId="57063"/>
    <cellStyle name="SAPBEXaggData 2 4" xfId="57064"/>
    <cellStyle name="SAPBEXaggData 2 4 2" xfId="57065"/>
    <cellStyle name="SAPBEXaggData 2 4 2 2" xfId="57066"/>
    <cellStyle name="SAPBEXaggData 2 4 3" xfId="57067"/>
    <cellStyle name="SAPBEXaggData 2 5" xfId="57068"/>
    <cellStyle name="SAPBEXaggData 2 5 2" xfId="57069"/>
    <cellStyle name="SAPBEXaggData 2 5 2 2" xfId="57070"/>
    <cellStyle name="SAPBEXaggData 2 5 3" xfId="57071"/>
    <cellStyle name="SAPBEXaggData 2 6" xfId="57072"/>
    <cellStyle name="SAPBEXaggData 2 6 2" xfId="57073"/>
    <cellStyle name="SAPBEXaggData 2 6 2 2" xfId="57074"/>
    <cellStyle name="SAPBEXaggData 2 6 3" xfId="57075"/>
    <cellStyle name="SAPBEXaggData 2 7" xfId="57076"/>
    <cellStyle name="SAPBEXaggData 2 7 2" xfId="57077"/>
    <cellStyle name="SAPBEXaggData 2 7 2 2" xfId="57078"/>
    <cellStyle name="SAPBEXaggData 2 7 3" xfId="57079"/>
    <cellStyle name="SAPBEXaggData 2 8" xfId="57080"/>
    <cellStyle name="SAPBEXaggData 2 8 2" xfId="57081"/>
    <cellStyle name="SAPBEXaggData 2 8 2 2" xfId="57082"/>
    <cellStyle name="SAPBEXaggData 2 8 3" xfId="57083"/>
    <cellStyle name="SAPBEXaggData 2 9" xfId="57084"/>
    <cellStyle name="SAPBEXaggData 2 9 2" xfId="57085"/>
    <cellStyle name="SAPBEXaggData 3" xfId="57086"/>
    <cellStyle name="SAPBEXaggData 3 2" xfId="57087"/>
    <cellStyle name="SAPBEXaggData 3 2 2" xfId="57088"/>
    <cellStyle name="SAPBEXaggData 3 3" xfId="57089"/>
    <cellStyle name="SAPBEXaggData 4" xfId="57090"/>
    <cellStyle name="SAPBEXaggData 4 2" xfId="57091"/>
    <cellStyle name="SAPBEXaggData 4 2 2" xfId="57092"/>
    <cellStyle name="SAPBEXaggData 4 3" xfId="57093"/>
    <cellStyle name="SAPBEXaggData 5" xfId="57094"/>
    <cellStyle name="SAPBEXaggData 5 2" xfId="57095"/>
    <cellStyle name="SAPBEXaggData 5 2 2" xfId="57096"/>
    <cellStyle name="SAPBEXaggData 5 3" xfId="57097"/>
    <cellStyle name="SAPBEXaggData 6" xfId="57098"/>
    <cellStyle name="SAPBEXaggData 6 2" xfId="57099"/>
    <cellStyle name="SAPBEXaggData 6 2 2" xfId="57100"/>
    <cellStyle name="SAPBEXaggData 6 3" xfId="57101"/>
    <cellStyle name="SAPBEXaggData 7" xfId="57102"/>
    <cellStyle name="SAPBEXaggData 7 2" xfId="57103"/>
    <cellStyle name="SAPBEXaggData 7 2 2" xfId="57104"/>
    <cellStyle name="SAPBEXaggData 7 3" xfId="57105"/>
    <cellStyle name="SAPBEXaggData 8" xfId="57106"/>
    <cellStyle name="SAPBEXaggData 8 2" xfId="57107"/>
    <cellStyle name="SAPBEXaggData 8 2 2" xfId="57108"/>
    <cellStyle name="SAPBEXaggData 8 3" xfId="57109"/>
    <cellStyle name="SAPBEXaggData 9" xfId="57110"/>
    <cellStyle name="SAPBEXaggData 9 2" xfId="57111"/>
    <cellStyle name="SAPBEXaggData 9 2 2" xfId="57112"/>
    <cellStyle name="SAPBEXaggData 9 3" xfId="57113"/>
    <cellStyle name="SAPBEXaggDataEmph" xfId="57114"/>
    <cellStyle name="SAPBEXaggDataEmph 10" xfId="57115"/>
    <cellStyle name="SAPBEXaggDataEmph 10 2" xfId="57116"/>
    <cellStyle name="SAPBEXaggDataEmph 10 2 2" xfId="57117"/>
    <cellStyle name="SAPBEXaggDataEmph 10 3" xfId="57118"/>
    <cellStyle name="SAPBEXaggDataEmph 11" xfId="57119"/>
    <cellStyle name="SAPBEXaggDataEmph 11 2" xfId="57120"/>
    <cellStyle name="SAPBEXaggDataEmph 11 2 2" xfId="57121"/>
    <cellStyle name="SAPBEXaggDataEmph 11 3" xfId="57122"/>
    <cellStyle name="SAPBEXaggDataEmph 12" xfId="57123"/>
    <cellStyle name="SAPBEXaggDataEmph 12 2" xfId="57124"/>
    <cellStyle name="SAPBEXaggDataEmph 13" xfId="57125"/>
    <cellStyle name="SAPBEXaggDataEmph 2" xfId="57126"/>
    <cellStyle name="SAPBEXaggDataEmph 2 2" xfId="57127"/>
    <cellStyle name="SAPBEXaggDataEmph 2 2 2" xfId="57128"/>
    <cellStyle name="SAPBEXaggDataEmph 2 3" xfId="57129"/>
    <cellStyle name="SAPBEXaggDataEmph 3" xfId="57130"/>
    <cellStyle name="SAPBEXaggDataEmph 3 2" xfId="57131"/>
    <cellStyle name="SAPBEXaggDataEmph 3 2 2" xfId="57132"/>
    <cellStyle name="SAPBEXaggDataEmph 3 3" xfId="57133"/>
    <cellStyle name="SAPBEXaggDataEmph 4" xfId="57134"/>
    <cellStyle name="SAPBEXaggDataEmph 4 2" xfId="57135"/>
    <cellStyle name="SAPBEXaggDataEmph 4 2 2" xfId="57136"/>
    <cellStyle name="SAPBEXaggDataEmph 4 3" xfId="57137"/>
    <cellStyle name="SAPBEXaggDataEmph 5" xfId="57138"/>
    <cellStyle name="SAPBEXaggDataEmph 5 2" xfId="57139"/>
    <cellStyle name="SAPBEXaggDataEmph 5 2 2" xfId="57140"/>
    <cellStyle name="SAPBEXaggDataEmph 5 3" xfId="57141"/>
    <cellStyle name="SAPBEXaggDataEmph 6" xfId="57142"/>
    <cellStyle name="SAPBEXaggDataEmph 6 2" xfId="57143"/>
    <cellStyle name="SAPBEXaggDataEmph 6 2 2" xfId="57144"/>
    <cellStyle name="SAPBEXaggDataEmph 6 3" xfId="57145"/>
    <cellStyle name="SAPBEXaggDataEmph 7" xfId="57146"/>
    <cellStyle name="SAPBEXaggDataEmph 7 2" xfId="57147"/>
    <cellStyle name="SAPBEXaggDataEmph 7 2 2" xfId="57148"/>
    <cellStyle name="SAPBEXaggDataEmph 7 3" xfId="57149"/>
    <cellStyle name="SAPBEXaggDataEmph 8" xfId="57150"/>
    <cellStyle name="SAPBEXaggDataEmph 8 2" xfId="57151"/>
    <cellStyle name="SAPBEXaggDataEmph 8 2 2" xfId="57152"/>
    <cellStyle name="SAPBEXaggDataEmph 8 3" xfId="57153"/>
    <cellStyle name="SAPBEXaggDataEmph 9" xfId="57154"/>
    <cellStyle name="SAPBEXaggDataEmph 9 2" xfId="57155"/>
    <cellStyle name="SAPBEXaggDataEmph 9 2 2" xfId="57156"/>
    <cellStyle name="SAPBEXaggDataEmph 9 3" xfId="57157"/>
    <cellStyle name="SAPBEXaggItem" xfId="57158"/>
    <cellStyle name="SAPBEXaggItem 10" xfId="57159"/>
    <cellStyle name="SAPBEXaggItem 10 2" xfId="57160"/>
    <cellStyle name="SAPBEXaggItem 10 2 2" xfId="57161"/>
    <cellStyle name="SAPBEXaggItem 10 3" xfId="57162"/>
    <cellStyle name="SAPBEXaggItem 11" xfId="57163"/>
    <cellStyle name="SAPBEXaggItem 11 2" xfId="57164"/>
    <cellStyle name="SAPBEXaggItem 11 2 2" xfId="57165"/>
    <cellStyle name="SAPBEXaggItem 11 3" xfId="57166"/>
    <cellStyle name="SAPBEXaggItem 12" xfId="57167"/>
    <cellStyle name="SAPBEXaggItem 12 2" xfId="57168"/>
    <cellStyle name="SAPBEXaggItem 13" xfId="57169"/>
    <cellStyle name="SAPBEXaggItem 2" xfId="57170"/>
    <cellStyle name="SAPBEXaggItem 2 2" xfId="57171"/>
    <cellStyle name="SAPBEXaggItem 2 2 2" xfId="57172"/>
    <cellStyle name="SAPBEXaggItem 2 3" xfId="57173"/>
    <cellStyle name="SAPBEXaggItem 3" xfId="57174"/>
    <cellStyle name="SAPBEXaggItem 3 2" xfId="57175"/>
    <cellStyle name="SAPBEXaggItem 3 2 2" xfId="57176"/>
    <cellStyle name="SAPBEXaggItem 3 3" xfId="57177"/>
    <cellStyle name="SAPBEXaggItem 4" xfId="57178"/>
    <cellStyle name="SAPBEXaggItem 4 2" xfId="57179"/>
    <cellStyle name="SAPBEXaggItem 4 2 2" xfId="57180"/>
    <cellStyle name="SAPBEXaggItem 4 3" xfId="57181"/>
    <cellStyle name="SAPBEXaggItem 5" xfId="57182"/>
    <cellStyle name="SAPBEXaggItem 5 2" xfId="57183"/>
    <cellStyle name="SAPBEXaggItem 5 2 2" xfId="57184"/>
    <cellStyle name="SAPBEXaggItem 5 3" xfId="57185"/>
    <cellStyle name="SAPBEXaggItem 6" xfId="57186"/>
    <cellStyle name="SAPBEXaggItem 6 2" xfId="57187"/>
    <cellStyle name="SAPBEXaggItem 6 2 2" xfId="57188"/>
    <cellStyle name="SAPBEXaggItem 6 3" xfId="57189"/>
    <cellStyle name="SAPBEXaggItem 7" xfId="57190"/>
    <cellStyle name="SAPBEXaggItem 7 2" xfId="57191"/>
    <cellStyle name="SAPBEXaggItem 7 2 2" xfId="57192"/>
    <cellStyle name="SAPBEXaggItem 7 3" xfId="57193"/>
    <cellStyle name="SAPBEXaggItem 8" xfId="57194"/>
    <cellStyle name="SAPBEXaggItem 8 2" xfId="57195"/>
    <cellStyle name="SAPBEXaggItem 8 2 2" xfId="57196"/>
    <cellStyle name="SAPBEXaggItem 8 3" xfId="57197"/>
    <cellStyle name="SAPBEXaggItem 9" xfId="57198"/>
    <cellStyle name="SAPBEXaggItem 9 2" xfId="57199"/>
    <cellStyle name="SAPBEXaggItem 9 2 2" xfId="57200"/>
    <cellStyle name="SAPBEXaggItem 9 3" xfId="57201"/>
    <cellStyle name="SAPBEXaggItemX" xfId="57202"/>
    <cellStyle name="SAPBEXchaText" xfId="57203"/>
    <cellStyle name="SAPBEXchaText 2" xfId="57204"/>
    <cellStyle name="SAPBEXexcBad7" xfId="57205"/>
    <cellStyle name="SAPBEXexcBad7 10" xfId="57206"/>
    <cellStyle name="SAPBEXexcBad7 10 2" xfId="57207"/>
    <cellStyle name="SAPBEXexcBad7 10 2 2" xfId="57208"/>
    <cellStyle name="SAPBEXexcBad7 10 3" xfId="57209"/>
    <cellStyle name="SAPBEXexcBad7 11" xfId="57210"/>
    <cellStyle name="SAPBEXexcBad7 11 2" xfId="57211"/>
    <cellStyle name="SAPBEXexcBad7 11 2 2" xfId="57212"/>
    <cellStyle name="SAPBEXexcBad7 11 3" xfId="57213"/>
    <cellStyle name="SAPBEXexcBad7 12" xfId="57214"/>
    <cellStyle name="SAPBEXexcBad7 12 2" xfId="57215"/>
    <cellStyle name="SAPBEXexcBad7 12 2 2" xfId="57216"/>
    <cellStyle name="SAPBEXexcBad7 12 3" xfId="57217"/>
    <cellStyle name="SAPBEXexcBad7 13" xfId="57218"/>
    <cellStyle name="SAPBEXexcBad7 13 2" xfId="57219"/>
    <cellStyle name="SAPBEXexcBad7 14" xfId="57220"/>
    <cellStyle name="SAPBEXexcBad7 2" xfId="57221"/>
    <cellStyle name="SAPBEXexcBad7 2 10" xfId="57222"/>
    <cellStyle name="SAPBEXexcBad7 2 2" xfId="57223"/>
    <cellStyle name="SAPBEXexcBad7 2 2 2" xfId="57224"/>
    <cellStyle name="SAPBEXexcBad7 2 2 2 2" xfId="57225"/>
    <cellStyle name="SAPBEXexcBad7 2 2 3" xfId="57226"/>
    <cellStyle name="SAPBEXexcBad7 2 3" xfId="57227"/>
    <cellStyle name="SAPBEXexcBad7 2 3 2" xfId="57228"/>
    <cellStyle name="SAPBEXexcBad7 2 3 2 2" xfId="57229"/>
    <cellStyle name="SAPBEXexcBad7 2 3 3" xfId="57230"/>
    <cellStyle name="SAPBEXexcBad7 2 4" xfId="57231"/>
    <cellStyle name="SAPBEXexcBad7 2 4 2" xfId="57232"/>
    <cellStyle name="SAPBEXexcBad7 2 4 2 2" xfId="57233"/>
    <cellStyle name="SAPBEXexcBad7 2 4 3" xfId="57234"/>
    <cellStyle name="SAPBEXexcBad7 2 5" xfId="57235"/>
    <cellStyle name="SAPBEXexcBad7 2 5 2" xfId="57236"/>
    <cellStyle name="SAPBEXexcBad7 2 5 2 2" xfId="57237"/>
    <cellStyle name="SAPBEXexcBad7 2 5 3" xfId="57238"/>
    <cellStyle name="SAPBEXexcBad7 2 6" xfId="57239"/>
    <cellStyle name="SAPBEXexcBad7 2 6 2" xfId="57240"/>
    <cellStyle name="SAPBEXexcBad7 2 6 2 2" xfId="57241"/>
    <cellStyle name="SAPBEXexcBad7 2 6 3" xfId="57242"/>
    <cellStyle name="SAPBEXexcBad7 2 7" xfId="57243"/>
    <cellStyle name="SAPBEXexcBad7 2 7 2" xfId="57244"/>
    <cellStyle name="SAPBEXexcBad7 2 7 2 2" xfId="57245"/>
    <cellStyle name="SAPBEXexcBad7 2 7 3" xfId="57246"/>
    <cellStyle name="SAPBEXexcBad7 2 8" xfId="57247"/>
    <cellStyle name="SAPBEXexcBad7 2 8 2" xfId="57248"/>
    <cellStyle name="SAPBEXexcBad7 2 8 2 2" xfId="57249"/>
    <cellStyle name="SAPBEXexcBad7 2 8 3" xfId="57250"/>
    <cellStyle name="SAPBEXexcBad7 2 9" xfId="57251"/>
    <cellStyle name="SAPBEXexcBad7 2 9 2" xfId="57252"/>
    <cellStyle name="SAPBEXexcBad7 3" xfId="57253"/>
    <cellStyle name="SAPBEXexcBad7 3 2" xfId="57254"/>
    <cellStyle name="SAPBEXexcBad7 3 2 2" xfId="57255"/>
    <cellStyle name="SAPBEXexcBad7 3 3" xfId="57256"/>
    <cellStyle name="SAPBEXexcBad7 4" xfId="57257"/>
    <cellStyle name="SAPBEXexcBad7 4 2" xfId="57258"/>
    <cellStyle name="SAPBEXexcBad7 4 2 2" xfId="57259"/>
    <cellStyle name="SAPBEXexcBad7 4 3" xfId="57260"/>
    <cellStyle name="SAPBEXexcBad7 5" xfId="57261"/>
    <cellStyle name="SAPBEXexcBad7 5 2" xfId="57262"/>
    <cellStyle name="SAPBEXexcBad7 5 2 2" xfId="57263"/>
    <cellStyle name="SAPBEXexcBad7 5 3" xfId="57264"/>
    <cellStyle name="SAPBEXexcBad7 6" xfId="57265"/>
    <cellStyle name="SAPBEXexcBad7 6 2" xfId="57266"/>
    <cellStyle name="SAPBEXexcBad7 6 2 2" xfId="57267"/>
    <cellStyle name="SAPBEXexcBad7 6 3" xfId="57268"/>
    <cellStyle name="SAPBEXexcBad7 7" xfId="57269"/>
    <cellStyle name="SAPBEXexcBad7 7 2" xfId="57270"/>
    <cellStyle name="SAPBEXexcBad7 7 2 2" xfId="57271"/>
    <cellStyle name="SAPBEXexcBad7 7 3" xfId="57272"/>
    <cellStyle name="SAPBEXexcBad7 8" xfId="57273"/>
    <cellStyle name="SAPBEXexcBad7 8 2" xfId="57274"/>
    <cellStyle name="SAPBEXexcBad7 8 2 2" xfId="57275"/>
    <cellStyle name="SAPBEXexcBad7 8 3" xfId="57276"/>
    <cellStyle name="SAPBEXexcBad7 9" xfId="57277"/>
    <cellStyle name="SAPBEXexcBad7 9 2" xfId="57278"/>
    <cellStyle name="SAPBEXexcBad7 9 2 2" xfId="57279"/>
    <cellStyle name="SAPBEXexcBad7 9 3" xfId="57280"/>
    <cellStyle name="SAPBEXexcBad8" xfId="57281"/>
    <cellStyle name="SAPBEXexcBad8 10" xfId="57282"/>
    <cellStyle name="SAPBEXexcBad8 10 2" xfId="57283"/>
    <cellStyle name="SAPBEXexcBad8 10 2 2" xfId="57284"/>
    <cellStyle name="SAPBEXexcBad8 10 3" xfId="57285"/>
    <cellStyle name="SAPBEXexcBad8 11" xfId="57286"/>
    <cellStyle name="SAPBEXexcBad8 11 2" xfId="57287"/>
    <cellStyle name="SAPBEXexcBad8 11 2 2" xfId="57288"/>
    <cellStyle name="SAPBEXexcBad8 11 3" xfId="57289"/>
    <cellStyle name="SAPBEXexcBad8 12" xfId="57290"/>
    <cellStyle name="SAPBEXexcBad8 12 2" xfId="57291"/>
    <cellStyle name="SAPBEXexcBad8 12 2 2" xfId="57292"/>
    <cellStyle name="SAPBEXexcBad8 12 3" xfId="57293"/>
    <cellStyle name="SAPBEXexcBad8 13" xfId="57294"/>
    <cellStyle name="SAPBEXexcBad8 13 2" xfId="57295"/>
    <cellStyle name="SAPBEXexcBad8 14" xfId="57296"/>
    <cellStyle name="SAPBEXexcBad8 2" xfId="57297"/>
    <cellStyle name="SAPBEXexcBad8 2 10" xfId="57298"/>
    <cellStyle name="SAPBEXexcBad8 2 2" xfId="57299"/>
    <cellStyle name="SAPBEXexcBad8 2 2 2" xfId="57300"/>
    <cellStyle name="SAPBEXexcBad8 2 2 2 2" xfId="57301"/>
    <cellStyle name="SAPBEXexcBad8 2 2 3" xfId="57302"/>
    <cellStyle name="SAPBEXexcBad8 2 3" xfId="57303"/>
    <cellStyle name="SAPBEXexcBad8 2 3 2" xfId="57304"/>
    <cellStyle name="SAPBEXexcBad8 2 3 2 2" xfId="57305"/>
    <cellStyle name="SAPBEXexcBad8 2 3 3" xfId="57306"/>
    <cellStyle name="SAPBEXexcBad8 2 4" xfId="57307"/>
    <cellStyle name="SAPBEXexcBad8 2 4 2" xfId="57308"/>
    <cellStyle name="SAPBEXexcBad8 2 4 2 2" xfId="57309"/>
    <cellStyle name="SAPBEXexcBad8 2 4 3" xfId="57310"/>
    <cellStyle name="SAPBEXexcBad8 2 5" xfId="57311"/>
    <cellStyle name="SAPBEXexcBad8 2 5 2" xfId="57312"/>
    <cellStyle name="SAPBEXexcBad8 2 5 2 2" xfId="57313"/>
    <cellStyle name="SAPBEXexcBad8 2 5 3" xfId="57314"/>
    <cellStyle name="SAPBEXexcBad8 2 6" xfId="57315"/>
    <cellStyle name="SAPBEXexcBad8 2 6 2" xfId="57316"/>
    <cellStyle name="SAPBEXexcBad8 2 6 2 2" xfId="57317"/>
    <cellStyle name="SAPBEXexcBad8 2 6 3" xfId="57318"/>
    <cellStyle name="SAPBEXexcBad8 2 7" xfId="57319"/>
    <cellStyle name="SAPBEXexcBad8 2 7 2" xfId="57320"/>
    <cellStyle name="SAPBEXexcBad8 2 7 2 2" xfId="57321"/>
    <cellStyle name="SAPBEXexcBad8 2 7 3" xfId="57322"/>
    <cellStyle name="SAPBEXexcBad8 2 8" xfId="57323"/>
    <cellStyle name="SAPBEXexcBad8 2 8 2" xfId="57324"/>
    <cellStyle name="SAPBEXexcBad8 2 8 2 2" xfId="57325"/>
    <cellStyle name="SAPBEXexcBad8 2 8 3" xfId="57326"/>
    <cellStyle name="SAPBEXexcBad8 2 9" xfId="57327"/>
    <cellStyle name="SAPBEXexcBad8 2 9 2" xfId="57328"/>
    <cellStyle name="SAPBEXexcBad8 3" xfId="57329"/>
    <cellStyle name="SAPBEXexcBad8 3 2" xfId="57330"/>
    <cellStyle name="SAPBEXexcBad8 3 2 2" xfId="57331"/>
    <cellStyle name="SAPBEXexcBad8 3 3" xfId="57332"/>
    <cellStyle name="SAPBEXexcBad8 4" xfId="57333"/>
    <cellStyle name="SAPBEXexcBad8 4 2" xfId="57334"/>
    <cellStyle name="SAPBEXexcBad8 4 2 2" xfId="57335"/>
    <cellStyle name="SAPBEXexcBad8 4 3" xfId="57336"/>
    <cellStyle name="SAPBEXexcBad8 5" xfId="57337"/>
    <cellStyle name="SAPBEXexcBad8 5 2" xfId="57338"/>
    <cellStyle name="SAPBEXexcBad8 5 2 2" xfId="57339"/>
    <cellStyle name="SAPBEXexcBad8 5 3" xfId="57340"/>
    <cellStyle name="SAPBEXexcBad8 6" xfId="57341"/>
    <cellStyle name="SAPBEXexcBad8 6 2" xfId="57342"/>
    <cellStyle name="SAPBEXexcBad8 6 2 2" xfId="57343"/>
    <cellStyle name="SAPBEXexcBad8 6 3" xfId="57344"/>
    <cellStyle name="SAPBEXexcBad8 7" xfId="57345"/>
    <cellStyle name="SAPBEXexcBad8 7 2" xfId="57346"/>
    <cellStyle name="SAPBEXexcBad8 7 2 2" xfId="57347"/>
    <cellStyle name="SAPBEXexcBad8 7 3" xfId="57348"/>
    <cellStyle name="SAPBEXexcBad8 8" xfId="57349"/>
    <cellStyle name="SAPBEXexcBad8 8 2" xfId="57350"/>
    <cellStyle name="SAPBEXexcBad8 8 2 2" xfId="57351"/>
    <cellStyle name="SAPBEXexcBad8 8 3" xfId="57352"/>
    <cellStyle name="SAPBEXexcBad8 9" xfId="57353"/>
    <cellStyle name="SAPBEXexcBad8 9 2" xfId="57354"/>
    <cellStyle name="SAPBEXexcBad8 9 2 2" xfId="57355"/>
    <cellStyle name="SAPBEXexcBad8 9 3" xfId="57356"/>
    <cellStyle name="SAPBEXexcBad9" xfId="57357"/>
    <cellStyle name="SAPBEXexcBad9 10" xfId="57358"/>
    <cellStyle name="SAPBEXexcBad9 10 2" xfId="57359"/>
    <cellStyle name="SAPBEXexcBad9 10 2 2" xfId="57360"/>
    <cellStyle name="SAPBEXexcBad9 10 3" xfId="57361"/>
    <cellStyle name="SAPBEXexcBad9 11" xfId="57362"/>
    <cellStyle name="SAPBEXexcBad9 11 2" xfId="57363"/>
    <cellStyle name="SAPBEXexcBad9 11 2 2" xfId="57364"/>
    <cellStyle name="SAPBEXexcBad9 11 3" xfId="57365"/>
    <cellStyle name="SAPBEXexcBad9 12" xfId="57366"/>
    <cellStyle name="SAPBEXexcBad9 12 2" xfId="57367"/>
    <cellStyle name="SAPBEXexcBad9 13" xfId="57368"/>
    <cellStyle name="SAPBEXexcBad9 2" xfId="57369"/>
    <cellStyle name="SAPBEXexcBad9 2 2" xfId="57370"/>
    <cellStyle name="SAPBEXexcBad9 2 2 2" xfId="57371"/>
    <cellStyle name="SAPBEXexcBad9 2 3" xfId="57372"/>
    <cellStyle name="SAPBEXexcBad9 3" xfId="57373"/>
    <cellStyle name="SAPBEXexcBad9 3 2" xfId="57374"/>
    <cellStyle name="SAPBEXexcBad9 3 2 2" xfId="57375"/>
    <cellStyle name="SAPBEXexcBad9 3 3" xfId="57376"/>
    <cellStyle name="SAPBEXexcBad9 4" xfId="57377"/>
    <cellStyle name="SAPBEXexcBad9 4 2" xfId="57378"/>
    <cellStyle name="SAPBEXexcBad9 4 2 2" xfId="57379"/>
    <cellStyle name="SAPBEXexcBad9 4 3" xfId="57380"/>
    <cellStyle name="SAPBEXexcBad9 5" xfId="57381"/>
    <cellStyle name="SAPBEXexcBad9 5 2" xfId="57382"/>
    <cellStyle name="SAPBEXexcBad9 5 2 2" xfId="57383"/>
    <cellStyle name="SAPBEXexcBad9 5 3" xfId="57384"/>
    <cellStyle name="SAPBEXexcBad9 6" xfId="57385"/>
    <cellStyle name="SAPBEXexcBad9 6 2" xfId="57386"/>
    <cellStyle name="SAPBEXexcBad9 6 2 2" xfId="57387"/>
    <cellStyle name="SAPBEXexcBad9 6 3" xfId="57388"/>
    <cellStyle name="SAPBEXexcBad9 7" xfId="57389"/>
    <cellStyle name="SAPBEXexcBad9 7 2" xfId="57390"/>
    <cellStyle name="SAPBEXexcBad9 7 2 2" xfId="57391"/>
    <cellStyle name="SAPBEXexcBad9 7 3" xfId="57392"/>
    <cellStyle name="SAPBEXexcBad9 8" xfId="57393"/>
    <cellStyle name="SAPBEXexcBad9 8 2" xfId="57394"/>
    <cellStyle name="SAPBEXexcBad9 8 2 2" xfId="57395"/>
    <cellStyle name="SAPBEXexcBad9 8 3" xfId="57396"/>
    <cellStyle name="SAPBEXexcBad9 9" xfId="57397"/>
    <cellStyle name="SAPBEXexcBad9 9 2" xfId="57398"/>
    <cellStyle name="SAPBEXexcBad9 9 2 2" xfId="57399"/>
    <cellStyle name="SAPBEXexcBad9 9 3" xfId="57400"/>
    <cellStyle name="SAPBEXexcCritical4" xfId="57401"/>
    <cellStyle name="SAPBEXexcCritical4 10" xfId="57402"/>
    <cellStyle name="SAPBEXexcCritical4 10 2" xfId="57403"/>
    <cellStyle name="SAPBEXexcCritical4 10 2 2" xfId="57404"/>
    <cellStyle name="SAPBEXexcCritical4 10 3" xfId="57405"/>
    <cellStyle name="SAPBEXexcCritical4 11" xfId="57406"/>
    <cellStyle name="SAPBEXexcCritical4 11 2" xfId="57407"/>
    <cellStyle name="SAPBEXexcCritical4 11 2 2" xfId="57408"/>
    <cellStyle name="SAPBEXexcCritical4 11 3" xfId="57409"/>
    <cellStyle name="SAPBEXexcCritical4 12" xfId="57410"/>
    <cellStyle name="SAPBEXexcCritical4 12 2" xfId="57411"/>
    <cellStyle name="SAPBEXexcCritical4 12 2 2" xfId="57412"/>
    <cellStyle name="SAPBEXexcCritical4 12 3" xfId="57413"/>
    <cellStyle name="SAPBEXexcCritical4 13" xfId="57414"/>
    <cellStyle name="SAPBEXexcCritical4 13 2" xfId="57415"/>
    <cellStyle name="SAPBEXexcCritical4 14" xfId="57416"/>
    <cellStyle name="SAPBEXexcCritical4 2" xfId="57417"/>
    <cellStyle name="SAPBEXexcCritical4 2 10" xfId="57418"/>
    <cellStyle name="SAPBEXexcCritical4 2 2" xfId="57419"/>
    <cellStyle name="SAPBEXexcCritical4 2 2 2" xfId="57420"/>
    <cellStyle name="SAPBEXexcCritical4 2 2 2 2" xfId="57421"/>
    <cellStyle name="SAPBEXexcCritical4 2 2 3" xfId="57422"/>
    <cellStyle name="SAPBEXexcCritical4 2 3" xfId="57423"/>
    <cellStyle name="SAPBEXexcCritical4 2 3 2" xfId="57424"/>
    <cellStyle name="SAPBEXexcCritical4 2 3 2 2" xfId="57425"/>
    <cellStyle name="SAPBEXexcCritical4 2 3 3" xfId="57426"/>
    <cellStyle name="SAPBEXexcCritical4 2 4" xfId="57427"/>
    <cellStyle name="SAPBEXexcCritical4 2 4 2" xfId="57428"/>
    <cellStyle name="SAPBEXexcCritical4 2 4 2 2" xfId="57429"/>
    <cellStyle name="SAPBEXexcCritical4 2 4 3" xfId="57430"/>
    <cellStyle name="SAPBEXexcCritical4 2 5" xfId="57431"/>
    <cellStyle name="SAPBEXexcCritical4 2 5 2" xfId="57432"/>
    <cellStyle name="SAPBEXexcCritical4 2 5 2 2" xfId="57433"/>
    <cellStyle name="SAPBEXexcCritical4 2 5 3" xfId="57434"/>
    <cellStyle name="SAPBEXexcCritical4 2 6" xfId="57435"/>
    <cellStyle name="SAPBEXexcCritical4 2 6 2" xfId="57436"/>
    <cellStyle name="SAPBEXexcCritical4 2 6 2 2" xfId="57437"/>
    <cellStyle name="SAPBEXexcCritical4 2 6 3" xfId="57438"/>
    <cellStyle name="SAPBEXexcCritical4 2 7" xfId="57439"/>
    <cellStyle name="SAPBEXexcCritical4 2 7 2" xfId="57440"/>
    <cellStyle name="SAPBEXexcCritical4 2 7 2 2" xfId="57441"/>
    <cellStyle name="SAPBEXexcCritical4 2 7 3" xfId="57442"/>
    <cellStyle name="SAPBEXexcCritical4 2 8" xfId="57443"/>
    <cellStyle name="SAPBEXexcCritical4 2 8 2" xfId="57444"/>
    <cellStyle name="SAPBEXexcCritical4 2 8 2 2" xfId="57445"/>
    <cellStyle name="SAPBEXexcCritical4 2 8 3" xfId="57446"/>
    <cellStyle name="SAPBEXexcCritical4 2 9" xfId="57447"/>
    <cellStyle name="SAPBEXexcCritical4 2 9 2" xfId="57448"/>
    <cellStyle name="SAPBEXexcCritical4 3" xfId="57449"/>
    <cellStyle name="SAPBEXexcCritical4 3 2" xfId="57450"/>
    <cellStyle name="SAPBEXexcCritical4 3 2 2" xfId="57451"/>
    <cellStyle name="SAPBEXexcCritical4 3 3" xfId="57452"/>
    <cellStyle name="SAPBEXexcCritical4 4" xfId="57453"/>
    <cellStyle name="SAPBEXexcCritical4 4 2" xfId="57454"/>
    <cellStyle name="SAPBEXexcCritical4 4 2 2" xfId="57455"/>
    <cellStyle name="SAPBEXexcCritical4 4 3" xfId="57456"/>
    <cellStyle name="SAPBEXexcCritical4 5" xfId="57457"/>
    <cellStyle name="SAPBEXexcCritical4 5 2" xfId="57458"/>
    <cellStyle name="SAPBEXexcCritical4 5 2 2" xfId="57459"/>
    <cellStyle name="SAPBEXexcCritical4 5 3" xfId="57460"/>
    <cellStyle name="SAPBEXexcCritical4 6" xfId="57461"/>
    <cellStyle name="SAPBEXexcCritical4 6 2" xfId="57462"/>
    <cellStyle name="SAPBEXexcCritical4 6 2 2" xfId="57463"/>
    <cellStyle name="SAPBEXexcCritical4 6 3" xfId="57464"/>
    <cellStyle name="SAPBEXexcCritical4 7" xfId="57465"/>
    <cellStyle name="SAPBEXexcCritical4 7 2" xfId="57466"/>
    <cellStyle name="SAPBEXexcCritical4 7 2 2" xfId="57467"/>
    <cellStyle name="SAPBEXexcCritical4 7 3" xfId="57468"/>
    <cellStyle name="SAPBEXexcCritical4 8" xfId="57469"/>
    <cellStyle name="SAPBEXexcCritical4 8 2" xfId="57470"/>
    <cellStyle name="SAPBEXexcCritical4 8 2 2" xfId="57471"/>
    <cellStyle name="SAPBEXexcCritical4 8 3" xfId="57472"/>
    <cellStyle name="SAPBEXexcCritical4 9" xfId="57473"/>
    <cellStyle name="SAPBEXexcCritical4 9 2" xfId="57474"/>
    <cellStyle name="SAPBEXexcCritical4 9 2 2" xfId="57475"/>
    <cellStyle name="SAPBEXexcCritical4 9 3" xfId="57476"/>
    <cellStyle name="SAPBEXexcCritical5" xfId="57477"/>
    <cellStyle name="SAPBEXexcCritical5 10" xfId="57478"/>
    <cellStyle name="SAPBEXexcCritical5 10 2" xfId="57479"/>
    <cellStyle name="SAPBEXexcCritical5 10 2 2" xfId="57480"/>
    <cellStyle name="SAPBEXexcCritical5 10 3" xfId="57481"/>
    <cellStyle name="SAPBEXexcCritical5 11" xfId="57482"/>
    <cellStyle name="SAPBEXexcCritical5 11 2" xfId="57483"/>
    <cellStyle name="SAPBEXexcCritical5 11 2 2" xfId="57484"/>
    <cellStyle name="SAPBEXexcCritical5 11 3" xfId="57485"/>
    <cellStyle name="SAPBEXexcCritical5 12" xfId="57486"/>
    <cellStyle name="SAPBEXexcCritical5 12 2" xfId="57487"/>
    <cellStyle name="SAPBEXexcCritical5 12 2 2" xfId="57488"/>
    <cellStyle name="SAPBEXexcCritical5 12 3" xfId="57489"/>
    <cellStyle name="SAPBEXexcCritical5 13" xfId="57490"/>
    <cellStyle name="SAPBEXexcCritical5 13 2" xfId="57491"/>
    <cellStyle name="SAPBEXexcCritical5 14" xfId="57492"/>
    <cellStyle name="SAPBEXexcCritical5 2" xfId="57493"/>
    <cellStyle name="SAPBEXexcCritical5 2 10" xfId="57494"/>
    <cellStyle name="SAPBEXexcCritical5 2 2" xfId="57495"/>
    <cellStyle name="SAPBEXexcCritical5 2 2 2" xfId="57496"/>
    <cellStyle name="SAPBEXexcCritical5 2 2 2 2" xfId="57497"/>
    <cellStyle name="SAPBEXexcCritical5 2 2 3" xfId="57498"/>
    <cellStyle name="SAPBEXexcCritical5 2 3" xfId="57499"/>
    <cellStyle name="SAPBEXexcCritical5 2 3 2" xfId="57500"/>
    <cellStyle name="SAPBEXexcCritical5 2 3 2 2" xfId="57501"/>
    <cellStyle name="SAPBEXexcCritical5 2 3 3" xfId="57502"/>
    <cellStyle name="SAPBEXexcCritical5 2 4" xfId="57503"/>
    <cellStyle name="SAPBEXexcCritical5 2 4 2" xfId="57504"/>
    <cellStyle name="SAPBEXexcCritical5 2 4 2 2" xfId="57505"/>
    <cellStyle name="SAPBEXexcCritical5 2 4 3" xfId="57506"/>
    <cellStyle name="SAPBEXexcCritical5 2 5" xfId="57507"/>
    <cellStyle name="SAPBEXexcCritical5 2 5 2" xfId="57508"/>
    <cellStyle name="SAPBEXexcCritical5 2 5 2 2" xfId="57509"/>
    <cellStyle name="SAPBEXexcCritical5 2 5 3" xfId="57510"/>
    <cellStyle name="SAPBEXexcCritical5 2 6" xfId="57511"/>
    <cellStyle name="SAPBEXexcCritical5 2 6 2" xfId="57512"/>
    <cellStyle name="SAPBEXexcCritical5 2 6 2 2" xfId="57513"/>
    <cellStyle name="SAPBEXexcCritical5 2 6 3" xfId="57514"/>
    <cellStyle name="SAPBEXexcCritical5 2 7" xfId="57515"/>
    <cellStyle name="SAPBEXexcCritical5 2 7 2" xfId="57516"/>
    <cellStyle name="SAPBEXexcCritical5 2 7 2 2" xfId="57517"/>
    <cellStyle name="SAPBEXexcCritical5 2 7 3" xfId="57518"/>
    <cellStyle name="SAPBEXexcCritical5 2 8" xfId="57519"/>
    <cellStyle name="SAPBEXexcCritical5 2 8 2" xfId="57520"/>
    <cellStyle name="SAPBEXexcCritical5 2 8 2 2" xfId="57521"/>
    <cellStyle name="SAPBEXexcCritical5 2 8 3" xfId="57522"/>
    <cellStyle name="SAPBEXexcCritical5 2 9" xfId="57523"/>
    <cellStyle name="SAPBEXexcCritical5 2 9 2" xfId="57524"/>
    <cellStyle name="SAPBEXexcCritical5 3" xfId="57525"/>
    <cellStyle name="SAPBEXexcCritical5 3 2" xfId="57526"/>
    <cellStyle name="SAPBEXexcCritical5 3 2 2" xfId="57527"/>
    <cellStyle name="SAPBEXexcCritical5 3 3" xfId="57528"/>
    <cellStyle name="SAPBEXexcCritical5 4" xfId="57529"/>
    <cellStyle name="SAPBEXexcCritical5 4 2" xfId="57530"/>
    <cellStyle name="SAPBEXexcCritical5 4 2 2" xfId="57531"/>
    <cellStyle name="SAPBEXexcCritical5 4 3" xfId="57532"/>
    <cellStyle name="SAPBEXexcCritical5 5" xfId="57533"/>
    <cellStyle name="SAPBEXexcCritical5 5 2" xfId="57534"/>
    <cellStyle name="SAPBEXexcCritical5 5 2 2" xfId="57535"/>
    <cellStyle name="SAPBEXexcCritical5 5 3" xfId="57536"/>
    <cellStyle name="SAPBEXexcCritical5 6" xfId="57537"/>
    <cellStyle name="SAPBEXexcCritical5 6 2" xfId="57538"/>
    <cellStyle name="SAPBEXexcCritical5 6 2 2" xfId="57539"/>
    <cellStyle name="SAPBEXexcCritical5 6 3" xfId="57540"/>
    <cellStyle name="SAPBEXexcCritical5 7" xfId="57541"/>
    <cellStyle name="SAPBEXexcCritical5 7 2" xfId="57542"/>
    <cellStyle name="SAPBEXexcCritical5 7 2 2" xfId="57543"/>
    <cellStyle name="SAPBEXexcCritical5 7 3" xfId="57544"/>
    <cellStyle name="SAPBEXexcCritical5 8" xfId="57545"/>
    <cellStyle name="SAPBEXexcCritical5 8 2" xfId="57546"/>
    <cellStyle name="SAPBEXexcCritical5 8 2 2" xfId="57547"/>
    <cellStyle name="SAPBEXexcCritical5 8 3" xfId="57548"/>
    <cellStyle name="SAPBEXexcCritical5 9" xfId="57549"/>
    <cellStyle name="SAPBEXexcCritical5 9 2" xfId="57550"/>
    <cellStyle name="SAPBEXexcCritical5 9 2 2" xfId="57551"/>
    <cellStyle name="SAPBEXexcCritical5 9 3" xfId="57552"/>
    <cellStyle name="SAPBEXexcCritical6" xfId="57553"/>
    <cellStyle name="SAPBEXexcCritical6 10" xfId="57554"/>
    <cellStyle name="SAPBEXexcCritical6 10 2" xfId="57555"/>
    <cellStyle name="SAPBEXexcCritical6 10 2 2" xfId="57556"/>
    <cellStyle name="SAPBEXexcCritical6 10 3" xfId="57557"/>
    <cellStyle name="SAPBEXexcCritical6 11" xfId="57558"/>
    <cellStyle name="SAPBEXexcCritical6 11 2" xfId="57559"/>
    <cellStyle name="SAPBEXexcCritical6 11 2 2" xfId="57560"/>
    <cellStyle name="SAPBEXexcCritical6 11 3" xfId="57561"/>
    <cellStyle name="SAPBEXexcCritical6 12" xfId="57562"/>
    <cellStyle name="SAPBEXexcCritical6 12 2" xfId="57563"/>
    <cellStyle name="SAPBEXexcCritical6 12 2 2" xfId="57564"/>
    <cellStyle name="SAPBEXexcCritical6 12 3" xfId="57565"/>
    <cellStyle name="SAPBEXexcCritical6 13" xfId="57566"/>
    <cellStyle name="SAPBEXexcCritical6 13 2" xfId="57567"/>
    <cellStyle name="SAPBEXexcCritical6 14" xfId="57568"/>
    <cellStyle name="SAPBEXexcCritical6 2" xfId="57569"/>
    <cellStyle name="SAPBEXexcCritical6 2 10" xfId="57570"/>
    <cellStyle name="SAPBEXexcCritical6 2 2" xfId="57571"/>
    <cellStyle name="SAPBEXexcCritical6 2 2 2" xfId="57572"/>
    <cellStyle name="SAPBEXexcCritical6 2 2 2 2" xfId="57573"/>
    <cellStyle name="SAPBEXexcCritical6 2 2 3" xfId="57574"/>
    <cellStyle name="SAPBEXexcCritical6 2 3" xfId="57575"/>
    <cellStyle name="SAPBEXexcCritical6 2 3 2" xfId="57576"/>
    <cellStyle name="SAPBEXexcCritical6 2 3 2 2" xfId="57577"/>
    <cellStyle name="SAPBEXexcCritical6 2 3 3" xfId="57578"/>
    <cellStyle name="SAPBEXexcCritical6 2 4" xfId="57579"/>
    <cellStyle name="SAPBEXexcCritical6 2 4 2" xfId="57580"/>
    <cellStyle name="SAPBEXexcCritical6 2 4 2 2" xfId="57581"/>
    <cellStyle name="SAPBEXexcCritical6 2 4 3" xfId="57582"/>
    <cellStyle name="SAPBEXexcCritical6 2 5" xfId="57583"/>
    <cellStyle name="SAPBEXexcCritical6 2 5 2" xfId="57584"/>
    <cellStyle name="SAPBEXexcCritical6 2 5 2 2" xfId="57585"/>
    <cellStyle name="SAPBEXexcCritical6 2 5 3" xfId="57586"/>
    <cellStyle name="SAPBEXexcCritical6 2 6" xfId="57587"/>
    <cellStyle name="SAPBEXexcCritical6 2 6 2" xfId="57588"/>
    <cellStyle name="SAPBEXexcCritical6 2 6 2 2" xfId="57589"/>
    <cellStyle name="SAPBEXexcCritical6 2 6 3" xfId="57590"/>
    <cellStyle name="SAPBEXexcCritical6 2 7" xfId="57591"/>
    <cellStyle name="SAPBEXexcCritical6 2 7 2" xfId="57592"/>
    <cellStyle name="SAPBEXexcCritical6 2 7 2 2" xfId="57593"/>
    <cellStyle name="SAPBEXexcCritical6 2 7 3" xfId="57594"/>
    <cellStyle name="SAPBEXexcCritical6 2 8" xfId="57595"/>
    <cellStyle name="SAPBEXexcCritical6 2 8 2" xfId="57596"/>
    <cellStyle name="SAPBEXexcCritical6 2 8 2 2" xfId="57597"/>
    <cellStyle name="SAPBEXexcCritical6 2 8 3" xfId="57598"/>
    <cellStyle name="SAPBEXexcCritical6 2 9" xfId="57599"/>
    <cellStyle name="SAPBEXexcCritical6 2 9 2" xfId="57600"/>
    <cellStyle name="SAPBEXexcCritical6 3" xfId="57601"/>
    <cellStyle name="SAPBEXexcCritical6 3 2" xfId="57602"/>
    <cellStyle name="SAPBEXexcCritical6 3 2 2" xfId="57603"/>
    <cellStyle name="SAPBEXexcCritical6 3 3" xfId="57604"/>
    <cellStyle name="SAPBEXexcCritical6 4" xfId="57605"/>
    <cellStyle name="SAPBEXexcCritical6 4 2" xfId="57606"/>
    <cellStyle name="SAPBEXexcCritical6 4 2 2" xfId="57607"/>
    <cellStyle name="SAPBEXexcCritical6 4 3" xfId="57608"/>
    <cellStyle name="SAPBEXexcCritical6 5" xfId="57609"/>
    <cellStyle name="SAPBEXexcCritical6 5 2" xfId="57610"/>
    <cellStyle name="SAPBEXexcCritical6 5 2 2" xfId="57611"/>
    <cellStyle name="SAPBEXexcCritical6 5 3" xfId="57612"/>
    <cellStyle name="SAPBEXexcCritical6 6" xfId="57613"/>
    <cellStyle name="SAPBEXexcCritical6 6 2" xfId="57614"/>
    <cellStyle name="SAPBEXexcCritical6 6 2 2" xfId="57615"/>
    <cellStyle name="SAPBEXexcCritical6 6 3" xfId="57616"/>
    <cellStyle name="SAPBEXexcCritical6 7" xfId="57617"/>
    <cellStyle name="SAPBEXexcCritical6 7 2" xfId="57618"/>
    <cellStyle name="SAPBEXexcCritical6 7 2 2" xfId="57619"/>
    <cellStyle name="SAPBEXexcCritical6 7 3" xfId="57620"/>
    <cellStyle name="SAPBEXexcCritical6 8" xfId="57621"/>
    <cellStyle name="SAPBEXexcCritical6 8 2" xfId="57622"/>
    <cellStyle name="SAPBEXexcCritical6 8 2 2" xfId="57623"/>
    <cellStyle name="SAPBEXexcCritical6 8 3" xfId="57624"/>
    <cellStyle name="SAPBEXexcCritical6 9" xfId="57625"/>
    <cellStyle name="SAPBEXexcCritical6 9 2" xfId="57626"/>
    <cellStyle name="SAPBEXexcCritical6 9 2 2" xfId="57627"/>
    <cellStyle name="SAPBEXexcCritical6 9 3" xfId="57628"/>
    <cellStyle name="SAPBEXexcGood1" xfId="57629"/>
    <cellStyle name="SAPBEXexcGood1 10" xfId="57630"/>
    <cellStyle name="SAPBEXexcGood1 10 2" xfId="57631"/>
    <cellStyle name="SAPBEXexcGood1 10 2 2" xfId="57632"/>
    <cellStyle name="SAPBEXexcGood1 10 3" xfId="57633"/>
    <cellStyle name="SAPBEXexcGood1 11" xfId="57634"/>
    <cellStyle name="SAPBEXexcGood1 11 2" xfId="57635"/>
    <cellStyle name="SAPBEXexcGood1 11 2 2" xfId="57636"/>
    <cellStyle name="SAPBEXexcGood1 11 3" xfId="57637"/>
    <cellStyle name="SAPBEXexcGood1 12" xfId="57638"/>
    <cellStyle name="SAPBEXexcGood1 12 2" xfId="57639"/>
    <cellStyle name="SAPBEXexcGood1 12 2 2" xfId="57640"/>
    <cellStyle name="SAPBEXexcGood1 12 3" xfId="57641"/>
    <cellStyle name="SAPBEXexcGood1 13" xfId="57642"/>
    <cellStyle name="SAPBEXexcGood1 13 2" xfId="57643"/>
    <cellStyle name="SAPBEXexcGood1 14" xfId="57644"/>
    <cellStyle name="SAPBEXexcGood1 2" xfId="57645"/>
    <cellStyle name="SAPBEXexcGood1 2 10" xfId="57646"/>
    <cellStyle name="SAPBEXexcGood1 2 2" xfId="57647"/>
    <cellStyle name="SAPBEXexcGood1 2 2 2" xfId="57648"/>
    <cellStyle name="SAPBEXexcGood1 2 2 2 2" xfId="57649"/>
    <cellStyle name="SAPBEXexcGood1 2 2 3" xfId="57650"/>
    <cellStyle name="SAPBEXexcGood1 2 3" xfId="57651"/>
    <cellStyle name="SAPBEXexcGood1 2 3 2" xfId="57652"/>
    <cellStyle name="SAPBEXexcGood1 2 3 2 2" xfId="57653"/>
    <cellStyle name="SAPBEXexcGood1 2 3 3" xfId="57654"/>
    <cellStyle name="SAPBEXexcGood1 2 4" xfId="57655"/>
    <cellStyle name="SAPBEXexcGood1 2 4 2" xfId="57656"/>
    <cellStyle name="SAPBEXexcGood1 2 4 2 2" xfId="57657"/>
    <cellStyle name="SAPBEXexcGood1 2 4 3" xfId="57658"/>
    <cellStyle name="SAPBEXexcGood1 2 5" xfId="57659"/>
    <cellStyle name="SAPBEXexcGood1 2 5 2" xfId="57660"/>
    <cellStyle name="SAPBEXexcGood1 2 5 2 2" xfId="57661"/>
    <cellStyle name="SAPBEXexcGood1 2 5 3" xfId="57662"/>
    <cellStyle name="SAPBEXexcGood1 2 6" xfId="57663"/>
    <cellStyle name="SAPBEXexcGood1 2 6 2" xfId="57664"/>
    <cellStyle name="SAPBEXexcGood1 2 6 2 2" xfId="57665"/>
    <cellStyle name="SAPBEXexcGood1 2 6 3" xfId="57666"/>
    <cellStyle name="SAPBEXexcGood1 2 7" xfId="57667"/>
    <cellStyle name="SAPBEXexcGood1 2 7 2" xfId="57668"/>
    <cellStyle name="SAPBEXexcGood1 2 7 2 2" xfId="57669"/>
    <cellStyle name="SAPBEXexcGood1 2 7 3" xfId="57670"/>
    <cellStyle name="SAPBEXexcGood1 2 8" xfId="57671"/>
    <cellStyle name="SAPBEXexcGood1 2 8 2" xfId="57672"/>
    <cellStyle name="SAPBEXexcGood1 2 8 2 2" xfId="57673"/>
    <cellStyle name="SAPBEXexcGood1 2 8 3" xfId="57674"/>
    <cellStyle name="SAPBEXexcGood1 2 9" xfId="57675"/>
    <cellStyle name="SAPBEXexcGood1 2 9 2" xfId="57676"/>
    <cellStyle name="SAPBEXexcGood1 3" xfId="57677"/>
    <cellStyle name="SAPBEXexcGood1 3 2" xfId="57678"/>
    <cellStyle name="SAPBEXexcGood1 3 2 2" xfId="57679"/>
    <cellStyle name="SAPBEXexcGood1 3 3" xfId="57680"/>
    <cellStyle name="SAPBEXexcGood1 4" xfId="57681"/>
    <cellStyle name="SAPBEXexcGood1 4 2" xfId="57682"/>
    <cellStyle name="SAPBEXexcGood1 4 2 2" xfId="57683"/>
    <cellStyle name="SAPBEXexcGood1 4 3" xfId="57684"/>
    <cellStyle name="SAPBEXexcGood1 5" xfId="57685"/>
    <cellStyle name="SAPBEXexcGood1 5 2" xfId="57686"/>
    <cellStyle name="SAPBEXexcGood1 5 2 2" xfId="57687"/>
    <cellStyle name="SAPBEXexcGood1 5 3" xfId="57688"/>
    <cellStyle name="SAPBEXexcGood1 6" xfId="57689"/>
    <cellStyle name="SAPBEXexcGood1 6 2" xfId="57690"/>
    <cellStyle name="SAPBEXexcGood1 6 2 2" xfId="57691"/>
    <cellStyle name="SAPBEXexcGood1 6 3" xfId="57692"/>
    <cellStyle name="SAPBEXexcGood1 7" xfId="57693"/>
    <cellStyle name="SAPBEXexcGood1 7 2" xfId="57694"/>
    <cellStyle name="SAPBEXexcGood1 7 2 2" xfId="57695"/>
    <cellStyle name="SAPBEXexcGood1 7 3" xfId="57696"/>
    <cellStyle name="SAPBEXexcGood1 8" xfId="57697"/>
    <cellStyle name="SAPBEXexcGood1 8 2" xfId="57698"/>
    <cellStyle name="SAPBEXexcGood1 8 2 2" xfId="57699"/>
    <cellStyle name="SAPBEXexcGood1 8 3" xfId="57700"/>
    <cellStyle name="SAPBEXexcGood1 9" xfId="57701"/>
    <cellStyle name="SAPBEXexcGood1 9 2" xfId="57702"/>
    <cellStyle name="SAPBEXexcGood1 9 2 2" xfId="57703"/>
    <cellStyle name="SAPBEXexcGood1 9 3" xfId="57704"/>
    <cellStyle name="SAPBEXexcGood2" xfId="57705"/>
    <cellStyle name="SAPBEXexcGood2 10" xfId="57706"/>
    <cellStyle name="SAPBEXexcGood2 10 2" xfId="57707"/>
    <cellStyle name="SAPBEXexcGood2 10 2 2" xfId="57708"/>
    <cellStyle name="SAPBEXexcGood2 10 3" xfId="57709"/>
    <cellStyle name="SAPBEXexcGood2 11" xfId="57710"/>
    <cellStyle name="SAPBEXexcGood2 11 2" xfId="57711"/>
    <cellStyle name="SAPBEXexcGood2 11 2 2" xfId="57712"/>
    <cellStyle name="SAPBEXexcGood2 11 3" xfId="57713"/>
    <cellStyle name="SAPBEXexcGood2 12" xfId="57714"/>
    <cellStyle name="SAPBEXexcGood2 12 2" xfId="57715"/>
    <cellStyle name="SAPBEXexcGood2 12 2 2" xfId="57716"/>
    <cellStyle name="SAPBEXexcGood2 12 3" xfId="57717"/>
    <cellStyle name="SAPBEXexcGood2 13" xfId="57718"/>
    <cellStyle name="SAPBEXexcGood2 13 2" xfId="57719"/>
    <cellStyle name="SAPBEXexcGood2 14" xfId="57720"/>
    <cellStyle name="SAPBEXexcGood2 2" xfId="57721"/>
    <cellStyle name="SAPBEXexcGood2 2 10" xfId="57722"/>
    <cellStyle name="SAPBEXexcGood2 2 2" xfId="57723"/>
    <cellStyle name="SAPBEXexcGood2 2 2 2" xfId="57724"/>
    <cellStyle name="SAPBEXexcGood2 2 2 2 2" xfId="57725"/>
    <cellStyle name="SAPBEXexcGood2 2 2 3" xfId="57726"/>
    <cellStyle name="SAPBEXexcGood2 2 3" xfId="57727"/>
    <cellStyle name="SAPBEXexcGood2 2 3 2" xfId="57728"/>
    <cellStyle name="SAPBEXexcGood2 2 3 2 2" xfId="57729"/>
    <cellStyle name="SAPBEXexcGood2 2 3 3" xfId="57730"/>
    <cellStyle name="SAPBEXexcGood2 2 4" xfId="57731"/>
    <cellStyle name="SAPBEXexcGood2 2 4 2" xfId="57732"/>
    <cellStyle name="SAPBEXexcGood2 2 4 2 2" xfId="57733"/>
    <cellStyle name="SAPBEXexcGood2 2 4 3" xfId="57734"/>
    <cellStyle name="SAPBEXexcGood2 2 5" xfId="57735"/>
    <cellStyle name="SAPBEXexcGood2 2 5 2" xfId="57736"/>
    <cellStyle name="SAPBEXexcGood2 2 5 2 2" xfId="57737"/>
    <cellStyle name="SAPBEXexcGood2 2 5 3" xfId="57738"/>
    <cellStyle name="SAPBEXexcGood2 2 6" xfId="57739"/>
    <cellStyle name="SAPBEXexcGood2 2 6 2" xfId="57740"/>
    <cellStyle name="SAPBEXexcGood2 2 6 2 2" xfId="57741"/>
    <cellStyle name="SAPBEXexcGood2 2 6 3" xfId="57742"/>
    <cellStyle name="SAPBEXexcGood2 2 7" xfId="57743"/>
    <cellStyle name="SAPBEXexcGood2 2 7 2" xfId="57744"/>
    <cellStyle name="SAPBEXexcGood2 2 7 2 2" xfId="57745"/>
    <cellStyle name="SAPBEXexcGood2 2 7 3" xfId="57746"/>
    <cellStyle name="SAPBEXexcGood2 2 8" xfId="57747"/>
    <cellStyle name="SAPBEXexcGood2 2 8 2" xfId="57748"/>
    <cellStyle name="SAPBEXexcGood2 2 8 2 2" xfId="57749"/>
    <cellStyle name="SAPBEXexcGood2 2 8 3" xfId="57750"/>
    <cellStyle name="SAPBEXexcGood2 2 9" xfId="57751"/>
    <cellStyle name="SAPBEXexcGood2 2 9 2" xfId="57752"/>
    <cellStyle name="SAPBEXexcGood2 3" xfId="57753"/>
    <cellStyle name="SAPBEXexcGood2 3 2" xfId="57754"/>
    <cellStyle name="SAPBEXexcGood2 3 2 2" xfId="57755"/>
    <cellStyle name="SAPBEXexcGood2 3 3" xfId="57756"/>
    <cellStyle name="SAPBEXexcGood2 4" xfId="57757"/>
    <cellStyle name="SAPBEXexcGood2 4 2" xfId="57758"/>
    <cellStyle name="SAPBEXexcGood2 4 2 2" xfId="57759"/>
    <cellStyle name="SAPBEXexcGood2 4 3" xfId="57760"/>
    <cellStyle name="SAPBEXexcGood2 5" xfId="57761"/>
    <cellStyle name="SAPBEXexcGood2 5 2" xfId="57762"/>
    <cellStyle name="SAPBEXexcGood2 5 2 2" xfId="57763"/>
    <cellStyle name="SAPBEXexcGood2 5 3" xfId="57764"/>
    <cellStyle name="SAPBEXexcGood2 6" xfId="57765"/>
    <cellStyle name="SAPBEXexcGood2 6 2" xfId="57766"/>
    <cellStyle name="SAPBEXexcGood2 6 2 2" xfId="57767"/>
    <cellStyle name="SAPBEXexcGood2 6 3" xfId="57768"/>
    <cellStyle name="SAPBEXexcGood2 7" xfId="57769"/>
    <cellStyle name="SAPBEXexcGood2 7 2" xfId="57770"/>
    <cellStyle name="SAPBEXexcGood2 7 2 2" xfId="57771"/>
    <cellStyle name="SAPBEXexcGood2 7 3" xfId="57772"/>
    <cellStyle name="SAPBEXexcGood2 8" xfId="57773"/>
    <cellStyle name="SAPBEXexcGood2 8 2" xfId="57774"/>
    <cellStyle name="SAPBEXexcGood2 8 2 2" xfId="57775"/>
    <cellStyle name="SAPBEXexcGood2 8 3" xfId="57776"/>
    <cellStyle name="SAPBEXexcGood2 9" xfId="57777"/>
    <cellStyle name="SAPBEXexcGood2 9 2" xfId="57778"/>
    <cellStyle name="SAPBEXexcGood2 9 2 2" xfId="57779"/>
    <cellStyle name="SAPBEXexcGood2 9 3" xfId="57780"/>
    <cellStyle name="SAPBEXexcGood3" xfId="57781"/>
    <cellStyle name="SAPBEXexcGood3 10" xfId="57782"/>
    <cellStyle name="SAPBEXexcGood3 10 2" xfId="57783"/>
    <cellStyle name="SAPBEXexcGood3 10 2 2" xfId="57784"/>
    <cellStyle name="SAPBEXexcGood3 10 3" xfId="57785"/>
    <cellStyle name="SAPBEXexcGood3 11" xfId="57786"/>
    <cellStyle name="SAPBEXexcGood3 11 2" xfId="57787"/>
    <cellStyle name="SAPBEXexcGood3 11 2 2" xfId="57788"/>
    <cellStyle name="SAPBEXexcGood3 11 3" xfId="57789"/>
    <cellStyle name="SAPBEXexcGood3 12" xfId="57790"/>
    <cellStyle name="SAPBEXexcGood3 12 2" xfId="57791"/>
    <cellStyle name="SAPBEXexcGood3 12 2 2" xfId="57792"/>
    <cellStyle name="SAPBEXexcGood3 12 3" xfId="57793"/>
    <cellStyle name="SAPBEXexcGood3 13" xfId="57794"/>
    <cellStyle name="SAPBEXexcGood3 13 2" xfId="57795"/>
    <cellStyle name="SAPBEXexcGood3 14" xfId="57796"/>
    <cellStyle name="SAPBEXexcGood3 2" xfId="57797"/>
    <cellStyle name="SAPBEXexcGood3 2 10" xfId="57798"/>
    <cellStyle name="SAPBEXexcGood3 2 2" xfId="57799"/>
    <cellStyle name="SAPBEXexcGood3 2 2 2" xfId="57800"/>
    <cellStyle name="SAPBEXexcGood3 2 2 2 2" xfId="57801"/>
    <cellStyle name="SAPBEXexcGood3 2 2 3" xfId="57802"/>
    <cellStyle name="SAPBEXexcGood3 2 3" xfId="57803"/>
    <cellStyle name="SAPBEXexcGood3 2 3 2" xfId="57804"/>
    <cellStyle name="SAPBEXexcGood3 2 3 2 2" xfId="57805"/>
    <cellStyle name="SAPBEXexcGood3 2 3 3" xfId="57806"/>
    <cellStyle name="SAPBEXexcGood3 2 4" xfId="57807"/>
    <cellStyle name="SAPBEXexcGood3 2 4 2" xfId="57808"/>
    <cellStyle name="SAPBEXexcGood3 2 4 2 2" xfId="57809"/>
    <cellStyle name="SAPBEXexcGood3 2 4 3" xfId="57810"/>
    <cellStyle name="SAPBEXexcGood3 2 5" xfId="57811"/>
    <cellStyle name="SAPBEXexcGood3 2 5 2" xfId="57812"/>
    <cellStyle name="SAPBEXexcGood3 2 5 2 2" xfId="57813"/>
    <cellStyle name="SAPBEXexcGood3 2 5 3" xfId="57814"/>
    <cellStyle name="SAPBEXexcGood3 2 6" xfId="57815"/>
    <cellStyle name="SAPBEXexcGood3 2 6 2" xfId="57816"/>
    <cellStyle name="SAPBEXexcGood3 2 6 2 2" xfId="57817"/>
    <cellStyle name="SAPBEXexcGood3 2 6 3" xfId="57818"/>
    <cellStyle name="SAPBEXexcGood3 2 7" xfId="57819"/>
    <cellStyle name="SAPBEXexcGood3 2 7 2" xfId="57820"/>
    <cellStyle name="SAPBEXexcGood3 2 7 2 2" xfId="57821"/>
    <cellStyle name="SAPBEXexcGood3 2 7 3" xfId="57822"/>
    <cellStyle name="SAPBEXexcGood3 2 8" xfId="57823"/>
    <cellStyle name="SAPBEXexcGood3 2 8 2" xfId="57824"/>
    <cellStyle name="SAPBEXexcGood3 2 8 2 2" xfId="57825"/>
    <cellStyle name="SAPBEXexcGood3 2 8 3" xfId="57826"/>
    <cellStyle name="SAPBEXexcGood3 2 9" xfId="57827"/>
    <cellStyle name="SAPBEXexcGood3 2 9 2" xfId="57828"/>
    <cellStyle name="SAPBEXexcGood3 3" xfId="57829"/>
    <cellStyle name="SAPBEXexcGood3 3 2" xfId="57830"/>
    <cellStyle name="SAPBEXexcGood3 3 2 2" xfId="57831"/>
    <cellStyle name="SAPBEXexcGood3 3 3" xfId="57832"/>
    <cellStyle name="SAPBEXexcGood3 4" xfId="57833"/>
    <cellStyle name="SAPBEXexcGood3 4 2" xfId="57834"/>
    <cellStyle name="SAPBEXexcGood3 4 2 2" xfId="57835"/>
    <cellStyle name="SAPBEXexcGood3 4 3" xfId="57836"/>
    <cellStyle name="SAPBEXexcGood3 5" xfId="57837"/>
    <cellStyle name="SAPBEXexcGood3 5 2" xfId="57838"/>
    <cellStyle name="SAPBEXexcGood3 5 2 2" xfId="57839"/>
    <cellStyle name="SAPBEXexcGood3 5 3" xfId="57840"/>
    <cellStyle name="SAPBEXexcGood3 6" xfId="57841"/>
    <cellStyle name="SAPBEXexcGood3 6 2" xfId="57842"/>
    <cellStyle name="SAPBEXexcGood3 6 2 2" xfId="57843"/>
    <cellStyle name="SAPBEXexcGood3 6 3" xfId="57844"/>
    <cellStyle name="SAPBEXexcGood3 7" xfId="57845"/>
    <cellStyle name="SAPBEXexcGood3 7 2" xfId="57846"/>
    <cellStyle name="SAPBEXexcGood3 7 2 2" xfId="57847"/>
    <cellStyle name="SAPBEXexcGood3 7 3" xfId="57848"/>
    <cellStyle name="SAPBEXexcGood3 8" xfId="57849"/>
    <cellStyle name="SAPBEXexcGood3 8 2" xfId="57850"/>
    <cellStyle name="SAPBEXexcGood3 8 2 2" xfId="57851"/>
    <cellStyle name="SAPBEXexcGood3 8 3" xfId="57852"/>
    <cellStyle name="SAPBEXexcGood3 9" xfId="57853"/>
    <cellStyle name="SAPBEXexcGood3 9 2" xfId="57854"/>
    <cellStyle name="SAPBEXexcGood3 9 2 2" xfId="57855"/>
    <cellStyle name="SAPBEXexcGood3 9 3" xfId="57856"/>
    <cellStyle name="SAPBEXfilterDrill" xfId="57857"/>
    <cellStyle name="SAPBEXfilterDrill 2" xfId="57858"/>
    <cellStyle name="SAPBEXfilterDrill 2 2" xfId="57859"/>
    <cellStyle name="SAPBEXfilterDrill 3" xfId="57860"/>
    <cellStyle name="SAPBEXfilterDrill 3 2" xfId="57861"/>
    <cellStyle name="SAPBEXfilterDrill 4" xfId="57862"/>
    <cellStyle name="SAPBEXfilterDrill 5" xfId="57863"/>
    <cellStyle name="SAPBEXfilterDrill 6" xfId="57864"/>
    <cellStyle name="SAPBEXfilterDrill 7" xfId="57865"/>
    <cellStyle name="SAPBEXfilterDrill 8" xfId="57866"/>
    <cellStyle name="SAPBEXfilterDrill 9" xfId="57867"/>
    <cellStyle name="SAPBEXfilterItem" xfId="57868"/>
    <cellStyle name="SAPBEXfilterItem 2" xfId="57869"/>
    <cellStyle name="SAPBEXfilterItem 3" xfId="57870"/>
    <cellStyle name="SAPBEXfilterItem 4" xfId="57871"/>
    <cellStyle name="SAPBEXfilterItem 5" xfId="57872"/>
    <cellStyle name="SAPBEXfilterItem 6" xfId="57873"/>
    <cellStyle name="SAPBEXfilterItem 7" xfId="57874"/>
    <cellStyle name="SAPBEXfilterItem 8" xfId="57875"/>
    <cellStyle name="SAPBEXfilterItem 9" xfId="57876"/>
    <cellStyle name="SAPBEXfilterText" xfId="57877"/>
    <cellStyle name="SAPBEXfilterText 2" xfId="57878"/>
    <cellStyle name="SAPBEXfilterText 3" xfId="57879"/>
    <cellStyle name="SAPBEXformats" xfId="57880"/>
    <cellStyle name="SAPBEXformats 10" xfId="57881"/>
    <cellStyle name="SAPBEXformats 10 2" xfId="57882"/>
    <cellStyle name="SAPBEXformats 10 2 2" xfId="57883"/>
    <cellStyle name="SAPBEXformats 10 3" xfId="57884"/>
    <cellStyle name="SAPBEXformats 11" xfId="57885"/>
    <cellStyle name="SAPBEXformats 11 2" xfId="57886"/>
    <cellStyle name="SAPBEXformats 11 2 2" xfId="57887"/>
    <cellStyle name="SAPBEXformats 11 3" xfId="57888"/>
    <cellStyle name="SAPBEXformats 12" xfId="57889"/>
    <cellStyle name="SAPBEXformats 12 2" xfId="57890"/>
    <cellStyle name="SAPBEXformats 12 2 2" xfId="57891"/>
    <cellStyle name="SAPBEXformats 12 3" xfId="57892"/>
    <cellStyle name="SAPBEXformats 13" xfId="57893"/>
    <cellStyle name="SAPBEXformats 13 2" xfId="57894"/>
    <cellStyle name="SAPBEXformats 14" xfId="57895"/>
    <cellStyle name="SAPBEXformats 2" xfId="57896"/>
    <cellStyle name="SAPBEXformats 2 10" xfId="57897"/>
    <cellStyle name="SAPBEXformats 2 2" xfId="57898"/>
    <cellStyle name="SAPBEXformats 2 2 2" xfId="57899"/>
    <cellStyle name="SAPBEXformats 2 2 2 2" xfId="57900"/>
    <cellStyle name="SAPBEXformats 2 2 3" xfId="57901"/>
    <cellStyle name="SAPBEXformats 2 3" xfId="57902"/>
    <cellStyle name="SAPBEXformats 2 3 2" xfId="57903"/>
    <cellStyle name="SAPBEXformats 2 3 2 2" xfId="57904"/>
    <cellStyle name="SAPBEXformats 2 3 3" xfId="57905"/>
    <cellStyle name="SAPBEXformats 2 4" xfId="57906"/>
    <cellStyle name="SAPBEXformats 2 4 2" xfId="57907"/>
    <cellStyle name="SAPBEXformats 2 4 2 2" xfId="57908"/>
    <cellStyle name="SAPBEXformats 2 4 3" xfId="57909"/>
    <cellStyle name="SAPBEXformats 2 5" xfId="57910"/>
    <cellStyle name="SAPBEXformats 2 5 2" xfId="57911"/>
    <cellStyle name="SAPBEXformats 2 5 2 2" xfId="57912"/>
    <cellStyle name="SAPBEXformats 2 5 3" xfId="57913"/>
    <cellStyle name="SAPBEXformats 2 6" xfId="57914"/>
    <cellStyle name="SAPBEXformats 2 6 2" xfId="57915"/>
    <cellStyle name="SAPBEXformats 2 6 2 2" xfId="57916"/>
    <cellStyle name="SAPBEXformats 2 6 3" xfId="57917"/>
    <cellStyle name="SAPBEXformats 2 7" xfId="57918"/>
    <cellStyle name="SAPBEXformats 2 7 2" xfId="57919"/>
    <cellStyle name="SAPBEXformats 2 7 2 2" xfId="57920"/>
    <cellStyle name="SAPBEXformats 2 7 3" xfId="57921"/>
    <cellStyle name="SAPBEXformats 2 8" xfId="57922"/>
    <cellStyle name="SAPBEXformats 2 8 2" xfId="57923"/>
    <cellStyle name="SAPBEXformats 2 8 2 2" xfId="57924"/>
    <cellStyle name="SAPBEXformats 2 8 3" xfId="57925"/>
    <cellStyle name="SAPBEXformats 2 9" xfId="57926"/>
    <cellStyle name="SAPBEXformats 2 9 2" xfId="57927"/>
    <cellStyle name="SAPBEXformats 3" xfId="57928"/>
    <cellStyle name="SAPBEXformats 3 2" xfId="57929"/>
    <cellStyle name="SAPBEXformats 3 2 2" xfId="57930"/>
    <cellStyle name="SAPBEXformats 3 3" xfId="57931"/>
    <cellStyle name="SAPBEXformats 4" xfId="57932"/>
    <cellStyle name="SAPBEXformats 4 2" xfId="57933"/>
    <cellStyle name="SAPBEXformats 4 2 2" xfId="57934"/>
    <cellStyle name="SAPBEXformats 4 3" xfId="57935"/>
    <cellStyle name="SAPBEXformats 5" xfId="57936"/>
    <cellStyle name="SAPBEXformats 5 2" xfId="57937"/>
    <cellStyle name="SAPBEXformats 5 2 2" xfId="57938"/>
    <cellStyle name="SAPBEXformats 5 3" xfId="57939"/>
    <cellStyle name="SAPBEXformats 6" xfId="57940"/>
    <cellStyle name="SAPBEXformats 6 2" xfId="57941"/>
    <cellStyle name="SAPBEXformats 6 2 2" xfId="57942"/>
    <cellStyle name="SAPBEXformats 6 3" xfId="57943"/>
    <cellStyle name="SAPBEXformats 7" xfId="57944"/>
    <cellStyle name="SAPBEXformats 7 2" xfId="57945"/>
    <cellStyle name="SAPBEXformats 7 2 2" xfId="57946"/>
    <cellStyle name="SAPBEXformats 7 3" xfId="57947"/>
    <cellStyle name="SAPBEXformats 8" xfId="57948"/>
    <cellStyle name="SAPBEXformats 8 2" xfId="57949"/>
    <cellStyle name="SAPBEXformats 8 2 2" xfId="57950"/>
    <cellStyle name="SAPBEXformats 8 3" xfId="57951"/>
    <cellStyle name="SAPBEXformats 9" xfId="57952"/>
    <cellStyle name="SAPBEXformats 9 2" xfId="57953"/>
    <cellStyle name="SAPBEXformats 9 2 2" xfId="57954"/>
    <cellStyle name="SAPBEXformats 9 3" xfId="57955"/>
    <cellStyle name="SAPBEXheaderItem" xfId="57956"/>
    <cellStyle name="SAPBEXheaderItem 2" xfId="57957"/>
    <cellStyle name="SAPBEXheaderText" xfId="57958"/>
    <cellStyle name="SAPBEXheaderText 2" xfId="57959"/>
    <cellStyle name="SAPBEXHLevel0" xfId="57960"/>
    <cellStyle name="SAPBEXHLevel0X" xfId="57961"/>
    <cellStyle name="SAPBEXHLevel1" xfId="57962"/>
    <cellStyle name="SAPBEXHLevel1X" xfId="57963"/>
    <cellStyle name="SAPBEXHLevel2" xfId="57964"/>
    <cellStyle name="SAPBEXHLevel2X" xfId="57965"/>
    <cellStyle name="SAPBEXHLevel3" xfId="57966"/>
    <cellStyle name="SAPBEXHLevel3X" xfId="57967"/>
    <cellStyle name="SAPBEXinputData" xfId="57968"/>
    <cellStyle name="SAPBEXinputData 2" xfId="57969"/>
    <cellStyle name="SAPBEXItemHeader" xfId="57970"/>
    <cellStyle name="SAPBEXresData" xfId="57971"/>
    <cellStyle name="SAPBEXresData 10" xfId="57972"/>
    <cellStyle name="SAPBEXresData 10 2" xfId="57973"/>
    <cellStyle name="SAPBEXresData 10 2 2" xfId="57974"/>
    <cellStyle name="SAPBEXresData 10 3" xfId="57975"/>
    <cellStyle name="SAPBEXresData 11" xfId="57976"/>
    <cellStyle name="SAPBEXresData 11 2" xfId="57977"/>
    <cellStyle name="SAPBEXresData 11 2 2" xfId="57978"/>
    <cellStyle name="SAPBEXresData 11 3" xfId="57979"/>
    <cellStyle name="SAPBEXresData 12" xfId="57980"/>
    <cellStyle name="SAPBEXresData 12 2" xfId="57981"/>
    <cellStyle name="SAPBEXresData 12 2 2" xfId="57982"/>
    <cellStyle name="SAPBEXresData 12 3" xfId="57983"/>
    <cellStyle name="SAPBEXresData 13" xfId="57984"/>
    <cellStyle name="SAPBEXresData 13 2" xfId="57985"/>
    <cellStyle name="SAPBEXresData 14" xfId="57986"/>
    <cellStyle name="SAPBEXresData 2" xfId="57987"/>
    <cellStyle name="SAPBEXresData 2 10" xfId="57988"/>
    <cellStyle name="SAPBEXresData 2 2" xfId="57989"/>
    <cellStyle name="SAPBEXresData 2 2 2" xfId="57990"/>
    <cellStyle name="SAPBEXresData 2 2 2 2" xfId="57991"/>
    <cellStyle name="SAPBEXresData 2 2 3" xfId="57992"/>
    <cellStyle name="SAPBEXresData 2 3" xfId="57993"/>
    <cellStyle name="SAPBEXresData 2 3 2" xfId="57994"/>
    <cellStyle name="SAPBEXresData 2 3 2 2" xfId="57995"/>
    <cellStyle name="SAPBEXresData 2 3 3" xfId="57996"/>
    <cellStyle name="SAPBEXresData 2 4" xfId="57997"/>
    <cellStyle name="SAPBEXresData 2 4 2" xfId="57998"/>
    <cellStyle name="SAPBEXresData 2 4 2 2" xfId="57999"/>
    <cellStyle name="SAPBEXresData 2 4 3" xfId="58000"/>
    <cellStyle name="SAPBEXresData 2 5" xfId="58001"/>
    <cellStyle name="SAPBEXresData 2 5 2" xfId="58002"/>
    <cellStyle name="SAPBEXresData 2 5 2 2" xfId="58003"/>
    <cellStyle name="SAPBEXresData 2 5 3" xfId="58004"/>
    <cellStyle name="SAPBEXresData 2 6" xfId="58005"/>
    <cellStyle name="SAPBEXresData 2 6 2" xfId="58006"/>
    <cellStyle name="SAPBEXresData 2 6 2 2" xfId="58007"/>
    <cellStyle name="SAPBEXresData 2 6 3" xfId="58008"/>
    <cellStyle name="SAPBEXresData 2 7" xfId="58009"/>
    <cellStyle name="SAPBEXresData 2 7 2" xfId="58010"/>
    <cellStyle name="SAPBEXresData 2 7 2 2" xfId="58011"/>
    <cellStyle name="SAPBEXresData 2 7 3" xfId="58012"/>
    <cellStyle name="SAPBEXresData 2 8" xfId="58013"/>
    <cellStyle name="SAPBEXresData 2 8 2" xfId="58014"/>
    <cellStyle name="SAPBEXresData 2 8 2 2" xfId="58015"/>
    <cellStyle name="SAPBEXresData 2 8 3" xfId="58016"/>
    <cellStyle name="SAPBEXresData 2 9" xfId="58017"/>
    <cellStyle name="SAPBEXresData 2 9 2" xfId="58018"/>
    <cellStyle name="SAPBEXresData 3" xfId="58019"/>
    <cellStyle name="SAPBEXresData 3 2" xfId="58020"/>
    <cellStyle name="SAPBEXresData 3 2 2" xfId="58021"/>
    <cellStyle name="SAPBEXresData 3 3" xfId="58022"/>
    <cellStyle name="SAPBEXresData 4" xfId="58023"/>
    <cellStyle name="SAPBEXresData 4 2" xfId="58024"/>
    <cellStyle name="SAPBEXresData 4 2 2" xfId="58025"/>
    <cellStyle name="SAPBEXresData 4 3" xfId="58026"/>
    <cellStyle name="SAPBEXresData 5" xfId="58027"/>
    <cellStyle name="SAPBEXresData 5 2" xfId="58028"/>
    <cellStyle name="SAPBEXresData 5 2 2" xfId="58029"/>
    <cellStyle name="SAPBEXresData 5 3" xfId="58030"/>
    <cellStyle name="SAPBEXresData 6" xfId="58031"/>
    <cellStyle name="SAPBEXresData 6 2" xfId="58032"/>
    <cellStyle name="SAPBEXresData 6 2 2" xfId="58033"/>
    <cellStyle name="SAPBEXresData 6 3" xfId="58034"/>
    <cellStyle name="SAPBEXresData 7" xfId="58035"/>
    <cellStyle name="SAPBEXresData 7 2" xfId="58036"/>
    <cellStyle name="SAPBEXresData 7 2 2" xfId="58037"/>
    <cellStyle name="SAPBEXresData 7 3" xfId="58038"/>
    <cellStyle name="SAPBEXresData 8" xfId="58039"/>
    <cellStyle name="SAPBEXresData 8 2" xfId="58040"/>
    <cellStyle name="SAPBEXresData 8 2 2" xfId="58041"/>
    <cellStyle name="SAPBEXresData 8 3" xfId="58042"/>
    <cellStyle name="SAPBEXresData 9" xfId="58043"/>
    <cellStyle name="SAPBEXresData 9 2" xfId="58044"/>
    <cellStyle name="SAPBEXresData 9 2 2" xfId="58045"/>
    <cellStyle name="SAPBEXresData 9 3" xfId="58046"/>
    <cellStyle name="SAPBEXresDataEmph" xfId="58047"/>
    <cellStyle name="SAPBEXresDataEmph 10" xfId="58048"/>
    <cellStyle name="SAPBEXresDataEmph 10 2" xfId="58049"/>
    <cellStyle name="SAPBEXresDataEmph 10 2 2" xfId="58050"/>
    <cellStyle name="SAPBEXresDataEmph 10 3" xfId="58051"/>
    <cellStyle name="SAPBEXresDataEmph 11" xfId="58052"/>
    <cellStyle name="SAPBEXresDataEmph 11 2" xfId="58053"/>
    <cellStyle name="SAPBEXresDataEmph 11 2 2" xfId="58054"/>
    <cellStyle name="SAPBEXresDataEmph 11 3" xfId="58055"/>
    <cellStyle name="SAPBEXresDataEmph 12" xfId="58056"/>
    <cellStyle name="SAPBEXresDataEmph 12 2" xfId="58057"/>
    <cellStyle name="SAPBEXresDataEmph 13" xfId="58058"/>
    <cellStyle name="SAPBEXresDataEmph 2" xfId="58059"/>
    <cellStyle name="SAPBEXresDataEmph 2 2" xfId="58060"/>
    <cellStyle name="SAPBEXresDataEmph 2 2 2" xfId="58061"/>
    <cellStyle name="SAPBEXresDataEmph 2 3" xfId="58062"/>
    <cellStyle name="SAPBEXresDataEmph 3" xfId="58063"/>
    <cellStyle name="SAPBEXresDataEmph 3 2" xfId="58064"/>
    <cellStyle name="SAPBEXresDataEmph 3 2 2" xfId="58065"/>
    <cellStyle name="SAPBEXresDataEmph 3 3" xfId="58066"/>
    <cellStyle name="SAPBEXresDataEmph 4" xfId="58067"/>
    <cellStyle name="SAPBEXresDataEmph 4 2" xfId="58068"/>
    <cellStyle name="SAPBEXresDataEmph 4 2 2" xfId="58069"/>
    <cellStyle name="SAPBEXresDataEmph 4 3" xfId="58070"/>
    <cellStyle name="SAPBEXresDataEmph 5" xfId="58071"/>
    <cellStyle name="SAPBEXresDataEmph 5 2" xfId="58072"/>
    <cellStyle name="SAPBEXresDataEmph 5 2 2" xfId="58073"/>
    <cellStyle name="SAPBEXresDataEmph 5 3" xfId="58074"/>
    <cellStyle name="SAPBEXresDataEmph 6" xfId="58075"/>
    <cellStyle name="SAPBEXresDataEmph 6 2" xfId="58076"/>
    <cellStyle name="SAPBEXresDataEmph 6 2 2" xfId="58077"/>
    <cellStyle name="SAPBEXresDataEmph 6 3" xfId="58078"/>
    <cellStyle name="SAPBEXresDataEmph 7" xfId="58079"/>
    <cellStyle name="SAPBEXresDataEmph 7 2" xfId="58080"/>
    <cellStyle name="SAPBEXresDataEmph 7 2 2" xfId="58081"/>
    <cellStyle name="SAPBEXresDataEmph 7 3" xfId="58082"/>
    <cellStyle name="SAPBEXresDataEmph 8" xfId="58083"/>
    <cellStyle name="SAPBEXresDataEmph 8 2" xfId="58084"/>
    <cellStyle name="SAPBEXresDataEmph 8 2 2" xfId="58085"/>
    <cellStyle name="SAPBEXresDataEmph 8 3" xfId="58086"/>
    <cellStyle name="SAPBEXresDataEmph 9" xfId="58087"/>
    <cellStyle name="SAPBEXresDataEmph 9 2" xfId="58088"/>
    <cellStyle name="SAPBEXresDataEmph 9 2 2" xfId="58089"/>
    <cellStyle name="SAPBEXresDataEmph 9 3" xfId="58090"/>
    <cellStyle name="SAPBEXresItem" xfId="58091"/>
    <cellStyle name="SAPBEXresItem 10" xfId="58092"/>
    <cellStyle name="SAPBEXresItem 10 2" xfId="58093"/>
    <cellStyle name="SAPBEXresItem 10 2 2" xfId="58094"/>
    <cellStyle name="SAPBEXresItem 10 3" xfId="58095"/>
    <cellStyle name="SAPBEXresItem 11" xfId="58096"/>
    <cellStyle name="SAPBEXresItem 11 2" xfId="58097"/>
    <cellStyle name="SAPBEXresItem 11 2 2" xfId="58098"/>
    <cellStyle name="SAPBEXresItem 11 3" xfId="58099"/>
    <cellStyle name="SAPBEXresItem 12" xfId="58100"/>
    <cellStyle name="SAPBEXresItem 12 2" xfId="58101"/>
    <cellStyle name="SAPBEXresItem 12 2 2" xfId="58102"/>
    <cellStyle name="SAPBEXresItem 12 3" xfId="58103"/>
    <cellStyle name="SAPBEXresItem 13" xfId="58104"/>
    <cellStyle name="SAPBEXresItem 13 2" xfId="58105"/>
    <cellStyle name="SAPBEXresItem 14" xfId="58106"/>
    <cellStyle name="SAPBEXresItem 2" xfId="58107"/>
    <cellStyle name="SAPBEXresItem 2 10" xfId="58108"/>
    <cellStyle name="SAPBEXresItem 2 2" xfId="58109"/>
    <cellStyle name="SAPBEXresItem 2 2 2" xfId="58110"/>
    <cellStyle name="SAPBEXresItem 2 2 2 2" xfId="58111"/>
    <cellStyle name="SAPBEXresItem 2 2 3" xfId="58112"/>
    <cellStyle name="SAPBEXresItem 2 3" xfId="58113"/>
    <cellStyle name="SAPBEXresItem 2 3 2" xfId="58114"/>
    <cellStyle name="SAPBEXresItem 2 3 2 2" xfId="58115"/>
    <cellStyle name="SAPBEXresItem 2 3 3" xfId="58116"/>
    <cellStyle name="SAPBEXresItem 2 4" xfId="58117"/>
    <cellStyle name="SAPBEXresItem 2 4 2" xfId="58118"/>
    <cellStyle name="SAPBEXresItem 2 4 2 2" xfId="58119"/>
    <cellStyle name="SAPBEXresItem 2 4 3" xfId="58120"/>
    <cellStyle name="SAPBEXresItem 2 5" xfId="58121"/>
    <cellStyle name="SAPBEXresItem 2 5 2" xfId="58122"/>
    <cellStyle name="SAPBEXresItem 2 5 2 2" xfId="58123"/>
    <cellStyle name="SAPBEXresItem 2 5 3" xfId="58124"/>
    <cellStyle name="SAPBEXresItem 2 6" xfId="58125"/>
    <cellStyle name="SAPBEXresItem 2 6 2" xfId="58126"/>
    <cellStyle name="SAPBEXresItem 2 6 2 2" xfId="58127"/>
    <cellStyle name="SAPBEXresItem 2 6 3" xfId="58128"/>
    <cellStyle name="SAPBEXresItem 2 7" xfId="58129"/>
    <cellStyle name="SAPBEXresItem 2 7 2" xfId="58130"/>
    <cellStyle name="SAPBEXresItem 2 7 2 2" xfId="58131"/>
    <cellStyle name="SAPBEXresItem 2 7 3" xfId="58132"/>
    <cellStyle name="SAPBEXresItem 2 8" xfId="58133"/>
    <cellStyle name="SAPBEXresItem 2 8 2" xfId="58134"/>
    <cellStyle name="SAPBEXresItem 2 8 2 2" xfId="58135"/>
    <cellStyle name="SAPBEXresItem 2 8 3" xfId="58136"/>
    <cellStyle name="SAPBEXresItem 2 9" xfId="58137"/>
    <cellStyle name="SAPBEXresItem 2 9 2" xfId="58138"/>
    <cellStyle name="SAPBEXresItem 3" xfId="58139"/>
    <cellStyle name="SAPBEXresItem 3 2" xfId="58140"/>
    <cellStyle name="SAPBEXresItem 3 2 2" xfId="58141"/>
    <cellStyle name="SAPBEXresItem 3 3" xfId="58142"/>
    <cellStyle name="SAPBEXresItem 4" xfId="58143"/>
    <cellStyle name="SAPBEXresItem 4 2" xfId="58144"/>
    <cellStyle name="SAPBEXresItem 4 2 2" xfId="58145"/>
    <cellStyle name="SAPBEXresItem 4 3" xfId="58146"/>
    <cellStyle name="SAPBEXresItem 5" xfId="58147"/>
    <cellStyle name="SAPBEXresItem 5 2" xfId="58148"/>
    <cellStyle name="SAPBEXresItem 5 2 2" xfId="58149"/>
    <cellStyle name="SAPBEXresItem 5 3" xfId="58150"/>
    <cellStyle name="SAPBEXresItem 6" xfId="58151"/>
    <cellStyle name="SAPBEXresItem 6 2" xfId="58152"/>
    <cellStyle name="SAPBEXresItem 6 2 2" xfId="58153"/>
    <cellStyle name="SAPBEXresItem 6 3" xfId="58154"/>
    <cellStyle name="SAPBEXresItem 7" xfId="58155"/>
    <cellStyle name="SAPBEXresItem 7 2" xfId="58156"/>
    <cellStyle name="SAPBEXresItem 7 2 2" xfId="58157"/>
    <cellStyle name="SAPBEXresItem 7 3" xfId="58158"/>
    <cellStyle name="SAPBEXresItem 8" xfId="58159"/>
    <cellStyle name="SAPBEXresItem 8 2" xfId="58160"/>
    <cellStyle name="SAPBEXresItem 8 2 2" xfId="58161"/>
    <cellStyle name="SAPBEXresItem 8 3" xfId="58162"/>
    <cellStyle name="SAPBEXresItem 9" xfId="58163"/>
    <cellStyle name="SAPBEXresItem 9 2" xfId="58164"/>
    <cellStyle name="SAPBEXresItem 9 2 2" xfId="58165"/>
    <cellStyle name="SAPBEXresItem 9 3" xfId="58166"/>
    <cellStyle name="SAPBEXresItemX" xfId="58167"/>
    <cellStyle name="SAPBEXstdData" xfId="58168"/>
    <cellStyle name="SAPBEXstdData 10" xfId="58169"/>
    <cellStyle name="SAPBEXstdData 10 2" xfId="58170"/>
    <cellStyle name="SAPBEXstdData 10 2 2" xfId="58171"/>
    <cellStyle name="SAPBEXstdData 10 3" xfId="58172"/>
    <cellStyle name="SAPBEXstdData 11" xfId="58173"/>
    <cellStyle name="SAPBEXstdData 11 2" xfId="58174"/>
    <cellStyle name="SAPBEXstdData 11 2 2" xfId="58175"/>
    <cellStyle name="SAPBEXstdData 11 3" xfId="58176"/>
    <cellStyle name="SAPBEXstdData 12" xfId="58177"/>
    <cellStyle name="SAPBEXstdData 12 2" xfId="58178"/>
    <cellStyle name="SAPBEXstdData 13" xfId="58179"/>
    <cellStyle name="SAPBEXstdData 2" xfId="58180"/>
    <cellStyle name="SAPBEXstdData 2 2" xfId="58181"/>
    <cellStyle name="SAPBEXstdData 2 2 2" xfId="58182"/>
    <cellStyle name="SAPBEXstdData 2 3" xfId="58183"/>
    <cellStyle name="SAPBEXstdData 3" xfId="58184"/>
    <cellStyle name="SAPBEXstdData 3 2" xfId="58185"/>
    <cellStyle name="SAPBEXstdData 3 2 2" xfId="58186"/>
    <cellStyle name="SAPBEXstdData 3 3" xfId="58187"/>
    <cellStyle name="SAPBEXstdData 4" xfId="58188"/>
    <cellStyle name="SAPBEXstdData 4 2" xfId="58189"/>
    <cellStyle name="SAPBEXstdData 4 2 2" xfId="58190"/>
    <cellStyle name="SAPBEXstdData 4 3" xfId="58191"/>
    <cellStyle name="SAPBEXstdData 5" xfId="58192"/>
    <cellStyle name="SAPBEXstdData 5 2" xfId="58193"/>
    <cellStyle name="SAPBEXstdData 5 2 2" xfId="58194"/>
    <cellStyle name="SAPBEXstdData 5 3" xfId="58195"/>
    <cellStyle name="SAPBEXstdData 6" xfId="58196"/>
    <cellStyle name="SAPBEXstdData 6 2" xfId="58197"/>
    <cellStyle name="SAPBEXstdData 6 2 2" xfId="58198"/>
    <cellStyle name="SAPBEXstdData 6 3" xfId="58199"/>
    <cellStyle name="SAPBEXstdData 7" xfId="58200"/>
    <cellStyle name="SAPBEXstdData 7 2" xfId="58201"/>
    <cellStyle name="SAPBEXstdData 7 2 2" xfId="58202"/>
    <cellStyle name="SAPBEXstdData 7 3" xfId="58203"/>
    <cellStyle name="SAPBEXstdData 8" xfId="58204"/>
    <cellStyle name="SAPBEXstdData 8 2" xfId="58205"/>
    <cellStyle name="SAPBEXstdData 8 2 2" xfId="58206"/>
    <cellStyle name="SAPBEXstdData 8 3" xfId="58207"/>
    <cellStyle name="SAPBEXstdData 9" xfId="58208"/>
    <cellStyle name="SAPBEXstdData 9 2" xfId="58209"/>
    <cellStyle name="SAPBEXstdData 9 2 2" xfId="58210"/>
    <cellStyle name="SAPBEXstdData 9 3" xfId="58211"/>
    <cellStyle name="SAPBEXstdDataEmph" xfId="58212"/>
    <cellStyle name="SAPBEXstdDataEmph 10" xfId="58213"/>
    <cellStyle name="SAPBEXstdDataEmph 10 2" xfId="58214"/>
    <cellStyle name="SAPBEXstdDataEmph 10 2 2" xfId="58215"/>
    <cellStyle name="SAPBEXstdDataEmph 10 3" xfId="58216"/>
    <cellStyle name="SAPBEXstdDataEmph 11" xfId="58217"/>
    <cellStyle name="SAPBEXstdDataEmph 11 2" xfId="58218"/>
    <cellStyle name="SAPBEXstdDataEmph 11 2 2" xfId="58219"/>
    <cellStyle name="SAPBEXstdDataEmph 11 3" xfId="58220"/>
    <cellStyle name="SAPBEXstdDataEmph 12" xfId="58221"/>
    <cellStyle name="SAPBEXstdDataEmph 12 2" xfId="58222"/>
    <cellStyle name="SAPBEXstdDataEmph 13" xfId="58223"/>
    <cellStyle name="SAPBEXstdDataEmph 2" xfId="58224"/>
    <cellStyle name="SAPBEXstdDataEmph 2 2" xfId="58225"/>
    <cellStyle name="SAPBEXstdDataEmph 2 2 2" xfId="58226"/>
    <cellStyle name="SAPBEXstdDataEmph 2 3" xfId="58227"/>
    <cellStyle name="SAPBEXstdDataEmph 3" xfId="58228"/>
    <cellStyle name="SAPBEXstdDataEmph 3 2" xfId="58229"/>
    <cellStyle name="SAPBEXstdDataEmph 3 2 2" xfId="58230"/>
    <cellStyle name="SAPBEXstdDataEmph 3 3" xfId="58231"/>
    <cellStyle name="SAPBEXstdDataEmph 4" xfId="58232"/>
    <cellStyle name="SAPBEXstdDataEmph 4 2" xfId="58233"/>
    <cellStyle name="SAPBEXstdDataEmph 4 2 2" xfId="58234"/>
    <cellStyle name="SAPBEXstdDataEmph 4 3" xfId="58235"/>
    <cellStyle name="SAPBEXstdDataEmph 5" xfId="58236"/>
    <cellStyle name="SAPBEXstdDataEmph 5 2" xfId="58237"/>
    <cellStyle name="SAPBEXstdDataEmph 5 2 2" xfId="58238"/>
    <cellStyle name="SAPBEXstdDataEmph 5 3" xfId="58239"/>
    <cellStyle name="SAPBEXstdDataEmph 6" xfId="58240"/>
    <cellStyle name="SAPBEXstdDataEmph 6 2" xfId="58241"/>
    <cellStyle name="SAPBEXstdDataEmph 6 2 2" xfId="58242"/>
    <cellStyle name="SAPBEXstdDataEmph 6 3" xfId="58243"/>
    <cellStyle name="SAPBEXstdDataEmph 7" xfId="58244"/>
    <cellStyle name="SAPBEXstdDataEmph 7 2" xfId="58245"/>
    <cellStyle name="SAPBEXstdDataEmph 7 2 2" xfId="58246"/>
    <cellStyle name="SAPBEXstdDataEmph 7 3" xfId="58247"/>
    <cellStyle name="SAPBEXstdDataEmph 8" xfId="58248"/>
    <cellStyle name="SAPBEXstdDataEmph 8 2" xfId="58249"/>
    <cellStyle name="SAPBEXstdDataEmph 8 2 2" xfId="58250"/>
    <cellStyle name="SAPBEXstdDataEmph 8 3" xfId="58251"/>
    <cellStyle name="SAPBEXstdDataEmph 9" xfId="58252"/>
    <cellStyle name="SAPBEXstdDataEmph 9 2" xfId="58253"/>
    <cellStyle name="SAPBEXstdDataEmph 9 2 2" xfId="58254"/>
    <cellStyle name="SAPBEXstdDataEmph 9 3" xfId="58255"/>
    <cellStyle name="SAPBEXstdItem" xfId="58256"/>
    <cellStyle name="SAPBEXstdItem 10" xfId="58257"/>
    <cellStyle name="SAPBEXstdItem 10 2" xfId="58258"/>
    <cellStyle name="SAPBEXstdItem 10 2 2" xfId="58259"/>
    <cellStyle name="SAPBEXstdItem 10 3" xfId="58260"/>
    <cellStyle name="SAPBEXstdItem 11" xfId="58261"/>
    <cellStyle name="SAPBEXstdItem 11 2" xfId="58262"/>
    <cellStyle name="SAPBEXstdItem 11 2 2" xfId="58263"/>
    <cellStyle name="SAPBEXstdItem 11 3" xfId="58264"/>
    <cellStyle name="SAPBEXstdItem 12" xfId="58265"/>
    <cellStyle name="SAPBEXstdItem 12 2" xfId="58266"/>
    <cellStyle name="SAPBEXstdItem 13" xfId="58267"/>
    <cellStyle name="SAPBEXstdItem 2" xfId="58268"/>
    <cellStyle name="SAPBEXstdItem 2 2" xfId="58269"/>
    <cellStyle name="SAPBEXstdItem 2 2 2" xfId="58270"/>
    <cellStyle name="SAPBEXstdItem 2 3" xfId="58271"/>
    <cellStyle name="SAPBEXstdItem 3" xfId="58272"/>
    <cellStyle name="SAPBEXstdItem 3 2" xfId="58273"/>
    <cellStyle name="SAPBEXstdItem 3 2 2" xfId="58274"/>
    <cellStyle name="SAPBEXstdItem 3 3" xfId="58275"/>
    <cellStyle name="SAPBEXstdItem 4" xfId="58276"/>
    <cellStyle name="SAPBEXstdItem 4 2" xfId="58277"/>
    <cellStyle name="SAPBEXstdItem 4 2 2" xfId="58278"/>
    <cellStyle name="SAPBEXstdItem 4 3" xfId="58279"/>
    <cellStyle name="SAPBEXstdItem 5" xfId="58280"/>
    <cellStyle name="SAPBEXstdItem 5 2" xfId="58281"/>
    <cellStyle name="SAPBEXstdItem 5 2 2" xfId="58282"/>
    <cellStyle name="SAPBEXstdItem 5 3" xfId="58283"/>
    <cellStyle name="SAPBEXstdItem 6" xfId="58284"/>
    <cellStyle name="SAPBEXstdItem 6 2" xfId="58285"/>
    <cellStyle name="SAPBEXstdItem 6 2 2" xfId="58286"/>
    <cellStyle name="SAPBEXstdItem 6 3" xfId="58287"/>
    <cellStyle name="SAPBEXstdItem 7" xfId="58288"/>
    <cellStyle name="SAPBEXstdItem 7 2" xfId="58289"/>
    <cellStyle name="SAPBEXstdItem 7 2 2" xfId="58290"/>
    <cellStyle name="SAPBEXstdItem 7 3" xfId="58291"/>
    <cellStyle name="SAPBEXstdItem 8" xfId="58292"/>
    <cellStyle name="SAPBEXstdItem 8 2" xfId="58293"/>
    <cellStyle name="SAPBEXstdItem 8 2 2" xfId="58294"/>
    <cellStyle name="SAPBEXstdItem 8 3" xfId="58295"/>
    <cellStyle name="SAPBEXstdItem 9" xfId="58296"/>
    <cellStyle name="SAPBEXstdItem 9 2" xfId="58297"/>
    <cellStyle name="SAPBEXstdItem 9 2 2" xfId="58298"/>
    <cellStyle name="SAPBEXstdItem 9 3" xfId="58299"/>
    <cellStyle name="SAPBEXstdItemX" xfId="58300"/>
    <cellStyle name="SAPBEXtitle" xfId="58301"/>
    <cellStyle name="SAPBEXtitle 10" xfId="58302"/>
    <cellStyle name="SAPBEXtitle 10 2" xfId="58303"/>
    <cellStyle name="SAPBEXtitle 10 2 2" xfId="58304"/>
    <cellStyle name="SAPBEXtitle 10 3" xfId="58305"/>
    <cellStyle name="SAPBEXtitle 11" xfId="58306"/>
    <cellStyle name="SAPBEXtitle 11 2" xfId="58307"/>
    <cellStyle name="SAPBEXtitle 11 2 2" xfId="58308"/>
    <cellStyle name="SAPBEXtitle 11 3" xfId="58309"/>
    <cellStyle name="SAPBEXtitle 12" xfId="58310"/>
    <cellStyle name="SAPBEXtitle 12 2" xfId="58311"/>
    <cellStyle name="SAPBEXtitle 13" xfId="58312"/>
    <cellStyle name="SAPBEXtitle 2" xfId="58313"/>
    <cellStyle name="SAPBEXtitle 2 2" xfId="58314"/>
    <cellStyle name="SAPBEXtitle 2 2 2" xfId="58315"/>
    <cellStyle name="SAPBEXtitle 2 3" xfId="58316"/>
    <cellStyle name="SAPBEXtitle 3" xfId="58317"/>
    <cellStyle name="SAPBEXtitle 3 2" xfId="58318"/>
    <cellStyle name="SAPBEXtitle 3 2 2" xfId="58319"/>
    <cellStyle name="SAPBEXtitle 3 3" xfId="58320"/>
    <cellStyle name="SAPBEXtitle 4" xfId="58321"/>
    <cellStyle name="SAPBEXtitle 4 2" xfId="58322"/>
    <cellStyle name="SAPBEXtitle 4 2 2" xfId="58323"/>
    <cellStyle name="SAPBEXtitle 4 3" xfId="58324"/>
    <cellStyle name="SAPBEXtitle 5" xfId="58325"/>
    <cellStyle name="SAPBEXtitle 5 2" xfId="58326"/>
    <cellStyle name="SAPBEXtitle 5 2 2" xfId="58327"/>
    <cellStyle name="SAPBEXtitle 5 3" xfId="58328"/>
    <cellStyle name="SAPBEXtitle 6" xfId="58329"/>
    <cellStyle name="SAPBEXtitle 6 2" xfId="58330"/>
    <cellStyle name="SAPBEXtitle 6 2 2" xfId="58331"/>
    <cellStyle name="SAPBEXtitle 6 3" xfId="58332"/>
    <cellStyle name="SAPBEXtitle 7" xfId="58333"/>
    <cellStyle name="SAPBEXtitle 7 2" xfId="58334"/>
    <cellStyle name="SAPBEXtitle 7 2 2" xfId="58335"/>
    <cellStyle name="SAPBEXtitle 7 3" xfId="58336"/>
    <cellStyle name="SAPBEXtitle 8" xfId="58337"/>
    <cellStyle name="SAPBEXtitle 8 2" xfId="58338"/>
    <cellStyle name="SAPBEXtitle 8 2 2" xfId="58339"/>
    <cellStyle name="SAPBEXtitle 8 3" xfId="58340"/>
    <cellStyle name="SAPBEXtitle 9" xfId="58341"/>
    <cellStyle name="SAPBEXtitle 9 2" xfId="58342"/>
    <cellStyle name="SAPBEXtitle 9 2 2" xfId="58343"/>
    <cellStyle name="SAPBEXtitle 9 3" xfId="58344"/>
    <cellStyle name="SAPBEXunassignedItem" xfId="58345"/>
    <cellStyle name="SAPBEXundefined" xfId="58346"/>
    <cellStyle name="SAPBEXundefined 10" xfId="58347"/>
    <cellStyle name="SAPBEXundefined 10 2" xfId="58348"/>
    <cellStyle name="SAPBEXundefined 10 2 2" xfId="58349"/>
    <cellStyle name="SAPBEXundefined 10 3" xfId="58350"/>
    <cellStyle name="SAPBEXundefined 11" xfId="58351"/>
    <cellStyle name="SAPBEXundefined 11 2" xfId="58352"/>
    <cellStyle name="SAPBEXundefined 11 2 2" xfId="58353"/>
    <cellStyle name="SAPBEXundefined 11 3" xfId="58354"/>
    <cellStyle name="SAPBEXundefined 12" xfId="58355"/>
    <cellStyle name="SAPBEXundefined 12 2" xfId="58356"/>
    <cellStyle name="SAPBEXundefined 13" xfId="58357"/>
    <cellStyle name="SAPBEXundefined 2" xfId="58358"/>
    <cellStyle name="SAPBEXundefined 2 2" xfId="58359"/>
    <cellStyle name="SAPBEXundefined 2 2 2" xfId="58360"/>
    <cellStyle name="SAPBEXundefined 2 3" xfId="58361"/>
    <cellStyle name="SAPBEXundefined 3" xfId="58362"/>
    <cellStyle name="SAPBEXundefined 3 2" xfId="58363"/>
    <cellStyle name="SAPBEXundefined 3 2 2" xfId="58364"/>
    <cellStyle name="SAPBEXundefined 3 3" xfId="58365"/>
    <cellStyle name="SAPBEXundefined 4" xfId="58366"/>
    <cellStyle name="SAPBEXundefined 4 2" xfId="58367"/>
    <cellStyle name="SAPBEXundefined 4 2 2" xfId="58368"/>
    <cellStyle name="SAPBEXundefined 4 3" xfId="58369"/>
    <cellStyle name="SAPBEXundefined 5" xfId="58370"/>
    <cellStyle name="SAPBEXundefined 5 2" xfId="58371"/>
    <cellStyle name="SAPBEXundefined 5 2 2" xfId="58372"/>
    <cellStyle name="SAPBEXundefined 5 3" xfId="58373"/>
    <cellStyle name="SAPBEXundefined 6" xfId="58374"/>
    <cellStyle name="SAPBEXundefined 6 2" xfId="58375"/>
    <cellStyle name="SAPBEXundefined 6 2 2" xfId="58376"/>
    <cellStyle name="SAPBEXundefined 6 3" xfId="58377"/>
    <cellStyle name="SAPBEXundefined 7" xfId="58378"/>
    <cellStyle name="SAPBEXundefined 7 2" xfId="58379"/>
    <cellStyle name="SAPBEXundefined 7 2 2" xfId="58380"/>
    <cellStyle name="SAPBEXundefined 7 3" xfId="58381"/>
    <cellStyle name="SAPBEXundefined 8" xfId="58382"/>
    <cellStyle name="SAPBEXundefined 8 2" xfId="58383"/>
    <cellStyle name="SAPBEXundefined 8 2 2" xfId="58384"/>
    <cellStyle name="SAPBEXundefined 8 3" xfId="58385"/>
    <cellStyle name="SAPBEXundefined 9" xfId="58386"/>
    <cellStyle name="SAPBEXundefined 9 2" xfId="58387"/>
    <cellStyle name="SAPBEXundefined 9 2 2" xfId="58388"/>
    <cellStyle name="SAPBEXundefined 9 3" xfId="58389"/>
    <cellStyle name="SHARON" xfId="58390"/>
    <cellStyle name="Sheet Title" xfId="58391"/>
    <cellStyle name="Short $" xfId="58392"/>
    <cellStyle name="spcblack" xfId="58393"/>
    <cellStyle name="status" xfId="58394"/>
    <cellStyle name="status 2" xfId="58395"/>
    <cellStyle name="status 2 2" xfId="58396"/>
    <cellStyle name="status 2 2 2" xfId="58397"/>
    <cellStyle name="status 2 2 2 2" xfId="58398"/>
    <cellStyle name="status 2 2 2 3" xfId="58399"/>
    <cellStyle name="status 2 2 3" xfId="58400"/>
    <cellStyle name="status 2 2 4" xfId="58401"/>
    <cellStyle name="status 2 3" xfId="58402"/>
    <cellStyle name="status 2 3 2" xfId="58403"/>
    <cellStyle name="status 2 3 3" xfId="58404"/>
    <cellStyle name="status 2 4" xfId="58405"/>
    <cellStyle name="status 2 5" xfId="58406"/>
    <cellStyle name="status 3" xfId="58407"/>
    <cellStyle name="status 3 2" xfId="58408"/>
    <cellStyle name="status 3 3" xfId="58409"/>
    <cellStyle name="status 4" xfId="58410"/>
    <cellStyle name="status 5" xfId="58411"/>
    <cellStyle name="Style 1" xfId="58412"/>
    <cellStyle name="Style 10" xfId="58413"/>
    <cellStyle name="Style 10 10" xfId="58414"/>
    <cellStyle name="Style 10 11" xfId="58415"/>
    <cellStyle name="Style 10 12" xfId="58416"/>
    <cellStyle name="Style 10 2" xfId="58417"/>
    <cellStyle name="Style 10 2 2" xfId="58418"/>
    <cellStyle name="Style 10 2 2 2" xfId="58419"/>
    <cellStyle name="Style 10 2 2 2 2" xfId="58420"/>
    <cellStyle name="Style 10 2 2 2 3" xfId="58421"/>
    <cellStyle name="Style 10 2 2 3" xfId="58422"/>
    <cellStyle name="Style 10 2 2 3 2" xfId="58423"/>
    <cellStyle name="Style 10 2 2 3 3" xfId="58424"/>
    <cellStyle name="Style 10 2 2 4" xfId="58425"/>
    <cellStyle name="Style 10 2 2 5" xfId="58426"/>
    <cellStyle name="Style 10 2 3" xfId="58427"/>
    <cellStyle name="Style 10 2 3 2" xfId="58428"/>
    <cellStyle name="Style 10 2 3 3" xfId="58429"/>
    <cellStyle name="Style 10 2 4" xfId="58430"/>
    <cellStyle name="Style 10 2 4 2" xfId="58431"/>
    <cellStyle name="Style 10 2 4 3" xfId="58432"/>
    <cellStyle name="Style 10 2 5" xfId="58433"/>
    <cellStyle name="Style 10 2 6" xfId="58434"/>
    <cellStyle name="Style 10 3" xfId="58435"/>
    <cellStyle name="Style 10 3 2" xfId="58436"/>
    <cellStyle name="Style 10 3 2 2" xfId="58437"/>
    <cellStyle name="Style 10 3 2 3" xfId="58438"/>
    <cellStyle name="Style 10 3 3" xfId="58439"/>
    <cellStyle name="Style 10 3 3 2" xfId="58440"/>
    <cellStyle name="Style 10 3 3 3" xfId="58441"/>
    <cellStyle name="Style 10 3 4" xfId="58442"/>
    <cellStyle name="Style 10 3 5" xfId="58443"/>
    <cellStyle name="Style 10 4" xfId="58444"/>
    <cellStyle name="Style 10 4 2" xfId="58445"/>
    <cellStyle name="Style 10 4 2 2" xfId="58446"/>
    <cellStyle name="Style 10 4 2 2 2" xfId="58447"/>
    <cellStyle name="Style 10 4 2 2 3" xfId="58448"/>
    <cellStyle name="Style 10 4 2 3" xfId="58449"/>
    <cellStyle name="Style 10 4 2 3 2" xfId="58450"/>
    <cellStyle name="Style 10 4 2 3 3" xfId="58451"/>
    <cellStyle name="Style 10 4 2 4" xfId="58452"/>
    <cellStyle name="Style 10 4 2 5" xfId="58453"/>
    <cellStyle name="Style 10 4 3" xfId="58454"/>
    <cellStyle name="Style 10 4 3 2" xfId="58455"/>
    <cellStyle name="Style 10 4 3 3" xfId="58456"/>
    <cellStyle name="Style 10 4 4" xfId="58457"/>
    <cellStyle name="Style 10 4 4 2" xfId="58458"/>
    <cellStyle name="Style 10 4 4 3" xfId="58459"/>
    <cellStyle name="Style 10 4 5" xfId="58460"/>
    <cellStyle name="Style 10 4 6" xfId="58461"/>
    <cellStyle name="Style 10 5" xfId="58462"/>
    <cellStyle name="Style 10 5 2" xfId="58463"/>
    <cellStyle name="Style 10 5 3" xfId="58464"/>
    <cellStyle name="Style 10 6" xfId="58465"/>
    <cellStyle name="Style 10 6 2" xfId="58466"/>
    <cellStyle name="Style 10 6 3" xfId="58467"/>
    <cellStyle name="Style 10 7" xfId="58468"/>
    <cellStyle name="Style 10 8" xfId="58469"/>
    <cellStyle name="Style 10 9" xfId="58470"/>
    <cellStyle name="Style 11" xfId="58471"/>
    <cellStyle name="Style 11 10" xfId="58472"/>
    <cellStyle name="Style 11 11" xfId="58473"/>
    <cellStyle name="Style 11 12" xfId="58474"/>
    <cellStyle name="Style 11 2" xfId="58475"/>
    <cellStyle name="Style 11 2 2" xfId="58476"/>
    <cellStyle name="Style 11 2 2 2" xfId="58477"/>
    <cellStyle name="Style 11 2 2 2 2" xfId="58478"/>
    <cellStyle name="Style 11 2 2 2 3" xfId="58479"/>
    <cellStyle name="Style 11 2 2 3" xfId="58480"/>
    <cellStyle name="Style 11 2 2 3 2" xfId="58481"/>
    <cellStyle name="Style 11 2 2 3 3" xfId="58482"/>
    <cellStyle name="Style 11 2 2 4" xfId="58483"/>
    <cellStyle name="Style 11 2 2 5" xfId="58484"/>
    <cellStyle name="Style 11 2 3" xfId="58485"/>
    <cellStyle name="Style 11 2 3 2" xfId="58486"/>
    <cellStyle name="Style 11 2 3 3" xfId="58487"/>
    <cellStyle name="Style 11 2 4" xfId="58488"/>
    <cellStyle name="Style 11 2 4 2" xfId="58489"/>
    <cellStyle name="Style 11 2 4 3" xfId="58490"/>
    <cellStyle name="Style 11 2 5" xfId="58491"/>
    <cellStyle name="Style 11 2 6" xfId="58492"/>
    <cellStyle name="Style 11 3" xfId="58493"/>
    <cellStyle name="Style 11 3 2" xfId="58494"/>
    <cellStyle name="Style 11 3 2 2" xfId="58495"/>
    <cellStyle name="Style 11 3 2 3" xfId="58496"/>
    <cellStyle name="Style 11 3 3" xfId="58497"/>
    <cellStyle name="Style 11 3 3 2" xfId="58498"/>
    <cellStyle name="Style 11 3 3 3" xfId="58499"/>
    <cellStyle name="Style 11 3 4" xfId="58500"/>
    <cellStyle name="Style 11 3 5" xfId="58501"/>
    <cellStyle name="Style 11 4" xfId="58502"/>
    <cellStyle name="Style 11 4 2" xfId="58503"/>
    <cellStyle name="Style 11 4 2 2" xfId="58504"/>
    <cellStyle name="Style 11 4 2 2 2" xfId="58505"/>
    <cellStyle name="Style 11 4 2 2 3" xfId="58506"/>
    <cellStyle name="Style 11 4 2 3" xfId="58507"/>
    <cellStyle name="Style 11 4 2 3 2" xfId="58508"/>
    <cellStyle name="Style 11 4 2 3 3" xfId="58509"/>
    <cellStyle name="Style 11 4 2 4" xfId="58510"/>
    <cellStyle name="Style 11 4 2 5" xfId="58511"/>
    <cellStyle name="Style 11 4 3" xfId="58512"/>
    <cellStyle name="Style 11 4 3 2" xfId="58513"/>
    <cellStyle name="Style 11 4 3 3" xfId="58514"/>
    <cellStyle name="Style 11 4 4" xfId="58515"/>
    <cellStyle name="Style 11 4 4 2" xfId="58516"/>
    <cellStyle name="Style 11 4 4 3" xfId="58517"/>
    <cellStyle name="Style 11 4 5" xfId="58518"/>
    <cellStyle name="Style 11 4 6" xfId="58519"/>
    <cellStyle name="Style 11 5" xfId="58520"/>
    <cellStyle name="Style 11 5 2" xfId="58521"/>
    <cellStyle name="Style 11 5 3" xfId="58522"/>
    <cellStyle name="Style 11 6" xfId="58523"/>
    <cellStyle name="Style 11 6 2" xfId="58524"/>
    <cellStyle name="Style 11 6 3" xfId="58525"/>
    <cellStyle name="Style 11 7" xfId="58526"/>
    <cellStyle name="Style 11 8" xfId="58527"/>
    <cellStyle name="Style 11 9" xfId="58528"/>
    <cellStyle name="Style 12" xfId="58529"/>
    <cellStyle name="Style 12 2" xfId="58530"/>
    <cellStyle name="Style 12 2 2" xfId="58531"/>
    <cellStyle name="Style 12 2 3" xfId="58532"/>
    <cellStyle name="Style 12 3" xfId="58533"/>
    <cellStyle name="Style 12 3 2" xfId="58534"/>
    <cellStyle name="Style 12 3 3" xfId="58535"/>
    <cellStyle name="Style 12 4" xfId="58536"/>
    <cellStyle name="Style 12 5" xfId="58537"/>
    <cellStyle name="Style 13" xfId="58538"/>
    <cellStyle name="Style 13 2" xfId="58539"/>
    <cellStyle name="Style 13 3" xfId="58540"/>
    <cellStyle name="Style 14" xfId="58541"/>
    <cellStyle name="Style 14 2" xfId="58542"/>
    <cellStyle name="Style 14 3" xfId="58543"/>
    <cellStyle name="Style 15" xfId="58544"/>
    <cellStyle name="Style 16" xfId="58545"/>
    <cellStyle name="Style 17" xfId="58546"/>
    <cellStyle name="Style 18" xfId="58547"/>
    <cellStyle name="Style 19" xfId="58548"/>
    <cellStyle name="Style 19 2" xfId="58549"/>
    <cellStyle name="Style 19 3" xfId="58550"/>
    <cellStyle name="Style 2" xfId="58551"/>
    <cellStyle name="Style 20" xfId="58552"/>
    <cellStyle name="Style 20 2" xfId="58553"/>
    <cellStyle name="Style 20 3" xfId="58554"/>
    <cellStyle name="Style 21" xfId="58555"/>
    <cellStyle name="Style 21 2" xfId="58556"/>
    <cellStyle name="Style 21 3" xfId="58557"/>
    <cellStyle name="Style 22" xfId="58558"/>
    <cellStyle name="Style 22 2" xfId="58559"/>
    <cellStyle name="Style 22 3" xfId="58560"/>
    <cellStyle name="Style 3" xfId="58561"/>
    <cellStyle name="Style 4" xfId="58562"/>
    <cellStyle name="Style 4 10" xfId="58563"/>
    <cellStyle name="Style 4 11" xfId="58564"/>
    <cellStyle name="Style 4 12" xfId="58565"/>
    <cellStyle name="Style 4 2" xfId="58566"/>
    <cellStyle name="Style 4 2 2" xfId="58567"/>
    <cellStyle name="Style 4 2 2 2" xfId="58568"/>
    <cellStyle name="Style 4 2 2 2 2" xfId="58569"/>
    <cellStyle name="Style 4 2 2 2 3" xfId="58570"/>
    <cellStyle name="Style 4 2 2 3" xfId="58571"/>
    <cellStyle name="Style 4 2 2 3 2" xfId="58572"/>
    <cellStyle name="Style 4 2 2 3 3" xfId="58573"/>
    <cellStyle name="Style 4 2 2 4" xfId="58574"/>
    <cellStyle name="Style 4 2 2 5" xfId="58575"/>
    <cellStyle name="Style 4 2 3" xfId="58576"/>
    <cellStyle name="Style 4 2 3 2" xfId="58577"/>
    <cellStyle name="Style 4 2 3 3" xfId="58578"/>
    <cellStyle name="Style 4 2 4" xfId="58579"/>
    <cellStyle name="Style 4 2 4 2" xfId="58580"/>
    <cellStyle name="Style 4 2 4 3" xfId="58581"/>
    <cellStyle name="Style 4 2 5" xfId="58582"/>
    <cellStyle name="Style 4 2 6" xfId="58583"/>
    <cellStyle name="Style 4 3" xfId="58584"/>
    <cellStyle name="Style 4 3 2" xfId="58585"/>
    <cellStyle name="Style 4 3 2 2" xfId="58586"/>
    <cellStyle name="Style 4 3 2 3" xfId="58587"/>
    <cellStyle name="Style 4 3 3" xfId="58588"/>
    <cellStyle name="Style 4 3 3 2" xfId="58589"/>
    <cellStyle name="Style 4 3 3 3" xfId="58590"/>
    <cellStyle name="Style 4 3 4" xfId="58591"/>
    <cellStyle name="Style 4 3 5" xfId="58592"/>
    <cellStyle name="Style 4 4" xfId="58593"/>
    <cellStyle name="Style 4 4 2" xfId="58594"/>
    <cellStyle name="Style 4 4 2 2" xfId="58595"/>
    <cellStyle name="Style 4 4 2 2 2" xfId="58596"/>
    <cellStyle name="Style 4 4 2 2 3" xfId="58597"/>
    <cellStyle name="Style 4 4 2 3" xfId="58598"/>
    <cellStyle name="Style 4 4 2 3 2" xfId="58599"/>
    <cellStyle name="Style 4 4 2 3 3" xfId="58600"/>
    <cellStyle name="Style 4 4 2 4" xfId="58601"/>
    <cellStyle name="Style 4 4 2 5" xfId="58602"/>
    <cellStyle name="Style 4 4 3" xfId="58603"/>
    <cellStyle name="Style 4 4 3 2" xfId="58604"/>
    <cellStyle name="Style 4 4 3 3" xfId="58605"/>
    <cellStyle name="Style 4 4 4" xfId="58606"/>
    <cellStyle name="Style 4 4 4 2" xfId="58607"/>
    <cellStyle name="Style 4 4 4 3" xfId="58608"/>
    <cellStyle name="Style 4 4 5" xfId="58609"/>
    <cellStyle name="Style 4 4 6" xfId="58610"/>
    <cellStyle name="Style 4 5" xfId="58611"/>
    <cellStyle name="Style 4 5 2" xfId="58612"/>
    <cellStyle name="Style 4 5 3" xfId="58613"/>
    <cellStyle name="Style 4 6" xfId="58614"/>
    <cellStyle name="Style 4 6 2" xfId="58615"/>
    <cellStyle name="Style 4 6 3" xfId="58616"/>
    <cellStyle name="Style 4 7" xfId="58617"/>
    <cellStyle name="Style 4 8" xfId="58618"/>
    <cellStyle name="Style 4 9" xfId="58619"/>
    <cellStyle name="Style 5" xfId="58620"/>
    <cellStyle name="Style 5 10" xfId="58621"/>
    <cellStyle name="Style 5 11" xfId="58622"/>
    <cellStyle name="Style 5 12" xfId="58623"/>
    <cellStyle name="Style 5 2" xfId="58624"/>
    <cellStyle name="Style 5 2 2" xfId="58625"/>
    <cellStyle name="Style 5 2 2 2" xfId="58626"/>
    <cellStyle name="Style 5 2 2 2 2" xfId="58627"/>
    <cellStyle name="Style 5 2 2 2 3" xfId="58628"/>
    <cellStyle name="Style 5 2 2 3" xfId="58629"/>
    <cellStyle name="Style 5 2 2 3 2" xfId="58630"/>
    <cellStyle name="Style 5 2 2 3 3" xfId="58631"/>
    <cellStyle name="Style 5 2 2 4" xfId="58632"/>
    <cellStyle name="Style 5 2 2 5" xfId="58633"/>
    <cellStyle name="Style 5 2 3" xfId="58634"/>
    <cellStyle name="Style 5 2 3 2" xfId="58635"/>
    <cellStyle name="Style 5 2 3 3" xfId="58636"/>
    <cellStyle name="Style 5 2 4" xfId="58637"/>
    <cellStyle name="Style 5 2 4 2" xfId="58638"/>
    <cellStyle name="Style 5 2 4 3" xfId="58639"/>
    <cellStyle name="Style 5 2 5" xfId="58640"/>
    <cellStyle name="Style 5 2 6" xfId="58641"/>
    <cellStyle name="Style 5 3" xfId="58642"/>
    <cellStyle name="Style 5 3 2" xfId="58643"/>
    <cellStyle name="Style 5 3 2 2" xfId="58644"/>
    <cellStyle name="Style 5 3 2 3" xfId="58645"/>
    <cellStyle name="Style 5 3 3" xfId="58646"/>
    <cellStyle name="Style 5 3 3 2" xfId="58647"/>
    <cellStyle name="Style 5 3 3 3" xfId="58648"/>
    <cellStyle name="Style 5 3 4" xfId="58649"/>
    <cellStyle name="Style 5 3 5" xfId="58650"/>
    <cellStyle name="Style 5 4" xfId="58651"/>
    <cellStyle name="Style 5 4 2" xfId="58652"/>
    <cellStyle name="Style 5 4 2 2" xfId="58653"/>
    <cellStyle name="Style 5 4 2 2 2" xfId="58654"/>
    <cellStyle name="Style 5 4 2 2 3" xfId="58655"/>
    <cellStyle name="Style 5 4 2 3" xfId="58656"/>
    <cellStyle name="Style 5 4 2 3 2" xfId="58657"/>
    <cellStyle name="Style 5 4 2 3 3" xfId="58658"/>
    <cellStyle name="Style 5 4 2 4" xfId="58659"/>
    <cellStyle name="Style 5 4 2 5" xfId="58660"/>
    <cellStyle name="Style 5 4 3" xfId="58661"/>
    <cellStyle name="Style 5 4 3 2" xfId="58662"/>
    <cellStyle name="Style 5 4 3 3" xfId="58663"/>
    <cellStyle name="Style 5 4 4" xfId="58664"/>
    <cellStyle name="Style 5 4 4 2" xfId="58665"/>
    <cellStyle name="Style 5 4 4 3" xfId="58666"/>
    <cellStyle name="Style 5 4 5" xfId="58667"/>
    <cellStyle name="Style 5 4 6" xfId="58668"/>
    <cellStyle name="Style 5 5" xfId="58669"/>
    <cellStyle name="Style 5 5 2" xfId="58670"/>
    <cellStyle name="Style 5 5 3" xfId="58671"/>
    <cellStyle name="Style 5 6" xfId="58672"/>
    <cellStyle name="Style 5 6 2" xfId="58673"/>
    <cellStyle name="Style 5 6 3" xfId="58674"/>
    <cellStyle name="Style 5 7" xfId="58675"/>
    <cellStyle name="Style 5 8" xfId="58676"/>
    <cellStyle name="Style 5 9" xfId="58677"/>
    <cellStyle name="Style 6" xfId="58678"/>
    <cellStyle name="Style 6 10" xfId="58679"/>
    <cellStyle name="Style 6 11" xfId="58680"/>
    <cellStyle name="Style 6 12" xfId="58681"/>
    <cellStyle name="Style 6 2" xfId="58682"/>
    <cellStyle name="Style 6 2 2" xfId="58683"/>
    <cellStyle name="Style 6 2 2 2" xfId="58684"/>
    <cellStyle name="Style 6 2 2 2 2" xfId="58685"/>
    <cellStyle name="Style 6 2 2 2 3" xfId="58686"/>
    <cellStyle name="Style 6 2 2 3" xfId="58687"/>
    <cellStyle name="Style 6 2 2 3 2" xfId="58688"/>
    <cellStyle name="Style 6 2 2 3 3" xfId="58689"/>
    <cellStyle name="Style 6 2 2 4" xfId="58690"/>
    <cellStyle name="Style 6 2 2 5" xfId="58691"/>
    <cellStyle name="Style 6 2 3" xfId="58692"/>
    <cellStyle name="Style 6 2 3 2" xfId="58693"/>
    <cellStyle name="Style 6 2 3 3" xfId="58694"/>
    <cellStyle name="Style 6 2 4" xfId="58695"/>
    <cellStyle name="Style 6 2 4 2" xfId="58696"/>
    <cellStyle name="Style 6 2 4 3" xfId="58697"/>
    <cellStyle name="Style 6 2 5" xfId="58698"/>
    <cellStyle name="Style 6 2 6" xfId="58699"/>
    <cellStyle name="Style 6 3" xfId="58700"/>
    <cellStyle name="Style 6 3 2" xfId="58701"/>
    <cellStyle name="Style 6 3 2 2" xfId="58702"/>
    <cellStyle name="Style 6 3 2 3" xfId="58703"/>
    <cellStyle name="Style 6 3 3" xfId="58704"/>
    <cellStyle name="Style 6 3 3 2" xfId="58705"/>
    <cellStyle name="Style 6 3 3 3" xfId="58706"/>
    <cellStyle name="Style 6 3 4" xfId="58707"/>
    <cellStyle name="Style 6 3 5" xfId="58708"/>
    <cellStyle name="Style 6 4" xfId="58709"/>
    <cellStyle name="Style 6 4 2" xfId="58710"/>
    <cellStyle name="Style 6 4 2 2" xfId="58711"/>
    <cellStyle name="Style 6 4 2 2 2" xfId="58712"/>
    <cellStyle name="Style 6 4 2 2 3" xfId="58713"/>
    <cellStyle name="Style 6 4 2 3" xfId="58714"/>
    <cellStyle name="Style 6 4 2 3 2" xfId="58715"/>
    <cellStyle name="Style 6 4 2 3 3" xfId="58716"/>
    <cellStyle name="Style 6 4 2 4" xfId="58717"/>
    <cellStyle name="Style 6 4 2 5" xfId="58718"/>
    <cellStyle name="Style 6 4 3" xfId="58719"/>
    <cellStyle name="Style 6 4 3 2" xfId="58720"/>
    <cellStyle name="Style 6 4 3 3" xfId="58721"/>
    <cellStyle name="Style 6 4 4" xfId="58722"/>
    <cellStyle name="Style 6 4 4 2" xfId="58723"/>
    <cellStyle name="Style 6 4 4 3" xfId="58724"/>
    <cellStyle name="Style 6 4 5" xfId="58725"/>
    <cellStyle name="Style 6 4 6" xfId="58726"/>
    <cellStyle name="Style 6 5" xfId="58727"/>
    <cellStyle name="Style 6 5 2" xfId="58728"/>
    <cellStyle name="Style 6 5 3" xfId="58729"/>
    <cellStyle name="Style 6 6" xfId="58730"/>
    <cellStyle name="Style 6 6 2" xfId="58731"/>
    <cellStyle name="Style 6 6 3" xfId="58732"/>
    <cellStyle name="Style 6 7" xfId="58733"/>
    <cellStyle name="Style 6 8" xfId="58734"/>
    <cellStyle name="Style 6 9" xfId="58735"/>
    <cellStyle name="Style 7" xfId="58736"/>
    <cellStyle name="Style 7 10" xfId="58737"/>
    <cellStyle name="Style 7 11" xfId="58738"/>
    <cellStyle name="Style 7 12" xfId="58739"/>
    <cellStyle name="Style 7 2" xfId="58740"/>
    <cellStyle name="Style 7 2 2" xfId="58741"/>
    <cellStyle name="Style 7 2 2 2" xfId="58742"/>
    <cellStyle name="Style 7 2 2 2 2" xfId="58743"/>
    <cellStyle name="Style 7 2 2 2 3" xfId="58744"/>
    <cellStyle name="Style 7 2 2 3" xfId="58745"/>
    <cellStyle name="Style 7 2 2 3 2" xfId="58746"/>
    <cellStyle name="Style 7 2 2 3 3" xfId="58747"/>
    <cellStyle name="Style 7 2 2 4" xfId="58748"/>
    <cellStyle name="Style 7 2 2 5" xfId="58749"/>
    <cellStyle name="Style 7 2 3" xfId="58750"/>
    <cellStyle name="Style 7 2 3 2" xfId="58751"/>
    <cellStyle name="Style 7 2 3 3" xfId="58752"/>
    <cellStyle name="Style 7 2 4" xfId="58753"/>
    <cellStyle name="Style 7 2 4 2" xfId="58754"/>
    <cellStyle name="Style 7 2 4 3" xfId="58755"/>
    <cellStyle name="Style 7 2 5" xfId="58756"/>
    <cellStyle name="Style 7 2 6" xfId="58757"/>
    <cellStyle name="Style 7 3" xfId="58758"/>
    <cellStyle name="Style 7 3 2" xfId="58759"/>
    <cellStyle name="Style 7 3 2 2" xfId="58760"/>
    <cellStyle name="Style 7 3 2 3" xfId="58761"/>
    <cellStyle name="Style 7 3 3" xfId="58762"/>
    <cellStyle name="Style 7 3 3 2" xfId="58763"/>
    <cellStyle name="Style 7 3 3 3" xfId="58764"/>
    <cellStyle name="Style 7 3 4" xfId="58765"/>
    <cellStyle name="Style 7 3 5" xfId="58766"/>
    <cellStyle name="Style 7 4" xfId="58767"/>
    <cellStyle name="Style 7 4 2" xfId="58768"/>
    <cellStyle name="Style 7 4 2 2" xfId="58769"/>
    <cellStyle name="Style 7 4 2 2 2" xfId="58770"/>
    <cellStyle name="Style 7 4 2 2 3" xfId="58771"/>
    <cellStyle name="Style 7 4 2 3" xfId="58772"/>
    <cellStyle name="Style 7 4 2 3 2" xfId="58773"/>
    <cellStyle name="Style 7 4 2 3 3" xfId="58774"/>
    <cellStyle name="Style 7 4 2 4" xfId="58775"/>
    <cellStyle name="Style 7 4 2 5" xfId="58776"/>
    <cellStyle name="Style 7 4 3" xfId="58777"/>
    <cellStyle name="Style 7 4 3 2" xfId="58778"/>
    <cellStyle name="Style 7 4 3 3" xfId="58779"/>
    <cellStyle name="Style 7 4 4" xfId="58780"/>
    <cellStyle name="Style 7 4 4 2" xfId="58781"/>
    <cellStyle name="Style 7 4 4 3" xfId="58782"/>
    <cellStyle name="Style 7 4 5" xfId="58783"/>
    <cellStyle name="Style 7 4 6" xfId="58784"/>
    <cellStyle name="Style 7 5" xfId="58785"/>
    <cellStyle name="Style 7 5 2" xfId="58786"/>
    <cellStyle name="Style 7 5 3" xfId="58787"/>
    <cellStyle name="Style 7 6" xfId="58788"/>
    <cellStyle name="Style 7 6 2" xfId="58789"/>
    <cellStyle name="Style 7 6 3" xfId="58790"/>
    <cellStyle name="Style 7 7" xfId="58791"/>
    <cellStyle name="Style 7 8" xfId="58792"/>
    <cellStyle name="Style 7 9" xfId="58793"/>
    <cellStyle name="Style 8" xfId="58794"/>
    <cellStyle name="Style 9" xfId="58795"/>
    <cellStyle name="Sum_EDS-23-2007-70629 v1 " xfId="58796"/>
    <cellStyle name="Systems" xfId="58797"/>
    <cellStyle name="temp" xfId="58798"/>
    <cellStyle name="temp 2" xfId="58799"/>
    <cellStyle name="temp 2 2" xfId="58800"/>
    <cellStyle name="temp 2 2 2" xfId="58801"/>
    <cellStyle name="temp 2 2 2 2" xfId="58802"/>
    <cellStyle name="temp 2 2 2 3" xfId="58803"/>
    <cellStyle name="temp 2 2 3" xfId="58804"/>
    <cellStyle name="temp 2 2 4" xfId="58805"/>
    <cellStyle name="temp 2 3" xfId="58806"/>
    <cellStyle name="temp 2 3 2" xfId="58807"/>
    <cellStyle name="temp 2 3 3" xfId="58808"/>
    <cellStyle name="temp 2 4" xfId="58809"/>
    <cellStyle name="temp 2 5" xfId="58810"/>
    <cellStyle name="temp 3" xfId="58811"/>
    <cellStyle name="temp 3 2" xfId="58812"/>
    <cellStyle name="temp 3 3" xfId="58813"/>
    <cellStyle name="temp 4" xfId="58814"/>
    <cellStyle name="temp 5" xfId="58815"/>
    <cellStyle name="Test Complete" xfId="58816"/>
    <cellStyle name="Test Complete 2" xfId="58817"/>
    <cellStyle name="Test Complete 2 2" xfId="58818"/>
    <cellStyle name="Test Complete 2 2 2" xfId="58819"/>
    <cellStyle name="Test Complete 2 2 2 2" xfId="58820"/>
    <cellStyle name="Test Complete 2 2 2 2 2" xfId="58821"/>
    <cellStyle name="Test Complete 2 2 2 2 2 2" xfId="58822"/>
    <cellStyle name="Test Complete 2 2 2 2 3" xfId="58823"/>
    <cellStyle name="Test Complete 2 2 2 3" xfId="58824"/>
    <cellStyle name="Test Complete 2 2 2 3 2" xfId="58825"/>
    <cellStyle name="Test Complete 2 2 2 4" xfId="58826"/>
    <cellStyle name="Test Complete 2 2 3" xfId="58827"/>
    <cellStyle name="Test Complete 2 2 3 2" xfId="58828"/>
    <cellStyle name="Test Complete 2 2 3 2 2" xfId="58829"/>
    <cellStyle name="Test Complete 2 2 3 3" xfId="58830"/>
    <cellStyle name="Test Complete 2 2 4" xfId="58831"/>
    <cellStyle name="Test Complete 2 2 4 2" xfId="58832"/>
    <cellStyle name="Test Complete 2 2 5" xfId="58833"/>
    <cellStyle name="Test Complete 2 3" xfId="58834"/>
    <cellStyle name="Test Complete 2 3 2" xfId="58835"/>
    <cellStyle name="Test Complete 2 3 2 2" xfId="58836"/>
    <cellStyle name="Test Complete 2 3 2 2 2" xfId="58837"/>
    <cellStyle name="Test Complete 2 3 2 2 2 2" xfId="58838"/>
    <cellStyle name="Test Complete 2 3 2 2 3" xfId="58839"/>
    <cellStyle name="Test Complete 2 3 2 3" xfId="58840"/>
    <cellStyle name="Test Complete 2 3 2 3 2" xfId="58841"/>
    <cellStyle name="Test Complete 2 3 2 4" xfId="58842"/>
    <cellStyle name="Test Complete 2 3 3" xfId="58843"/>
    <cellStyle name="Test Complete 2 3 3 2" xfId="58844"/>
    <cellStyle name="Test Complete 2 3 3 2 2" xfId="58845"/>
    <cellStyle name="Test Complete 2 3 3 3" xfId="58846"/>
    <cellStyle name="Test Complete 2 3 4" xfId="58847"/>
    <cellStyle name="Test Complete 2 3 4 2" xfId="58848"/>
    <cellStyle name="Test Complete 2 3 5" xfId="58849"/>
    <cellStyle name="Test Complete 2 4" xfId="58850"/>
    <cellStyle name="Test Complete 2 4 2" xfId="58851"/>
    <cellStyle name="Test Complete 2 4 2 2" xfId="58852"/>
    <cellStyle name="Test Complete 2 4 2 2 2" xfId="58853"/>
    <cellStyle name="Test Complete 2 4 2 2 2 2" xfId="58854"/>
    <cellStyle name="Test Complete 2 4 2 2 3" xfId="58855"/>
    <cellStyle name="Test Complete 2 4 2 3" xfId="58856"/>
    <cellStyle name="Test Complete 2 4 2 3 2" xfId="58857"/>
    <cellStyle name="Test Complete 2 4 2 4" xfId="58858"/>
    <cellStyle name="Test Complete 2 4 3" xfId="58859"/>
    <cellStyle name="Test Complete 2 4 3 2" xfId="58860"/>
    <cellStyle name="Test Complete 2 4 3 2 2" xfId="58861"/>
    <cellStyle name="Test Complete 2 4 3 3" xfId="58862"/>
    <cellStyle name="Test Complete 2 4 4" xfId="58863"/>
    <cellStyle name="Test Complete 2 4 4 2" xfId="58864"/>
    <cellStyle name="Test Complete 2 4 5" xfId="58865"/>
    <cellStyle name="Test Complete 2 5" xfId="58866"/>
    <cellStyle name="Test Complete 2 5 2" xfId="58867"/>
    <cellStyle name="Test Complete 2 5 2 2" xfId="58868"/>
    <cellStyle name="Test Complete 2 5 2 2 2" xfId="58869"/>
    <cellStyle name="Test Complete 2 5 2 3" xfId="58870"/>
    <cellStyle name="Test Complete 2 5 3" xfId="58871"/>
    <cellStyle name="Test Complete 2 5 3 2" xfId="58872"/>
    <cellStyle name="Test Complete 2 5 4" xfId="58873"/>
    <cellStyle name="Test Complete 2 6" xfId="58874"/>
    <cellStyle name="Test Complete 2 6 2" xfId="58875"/>
    <cellStyle name="Test Complete 2 6 2 2" xfId="58876"/>
    <cellStyle name="Test Complete 2 6 3" xfId="58877"/>
    <cellStyle name="Test Complete 2 7" xfId="58878"/>
    <cellStyle name="Test Complete 2 7 2" xfId="58879"/>
    <cellStyle name="Test Complete 2 8" xfId="58880"/>
    <cellStyle name="Test Complete 3" xfId="58881"/>
    <cellStyle name="Test Complete 3 2" xfId="58882"/>
    <cellStyle name="Test Complete 3 2 2" xfId="58883"/>
    <cellStyle name="Test Complete 3 2 2 2" xfId="58884"/>
    <cellStyle name="Test Complete 3 2 2 2 2" xfId="58885"/>
    <cellStyle name="Test Complete 3 2 2 3" xfId="58886"/>
    <cellStyle name="Test Complete 3 2 3" xfId="58887"/>
    <cellStyle name="Test Complete 3 2 3 2" xfId="58888"/>
    <cellStyle name="Test Complete 3 2 4" xfId="58889"/>
    <cellStyle name="Test Complete 3 3" xfId="58890"/>
    <cellStyle name="Test Complete 3 3 2" xfId="58891"/>
    <cellStyle name="Test Complete 3 3 2 2" xfId="58892"/>
    <cellStyle name="Test Complete 3 3 3" xfId="58893"/>
    <cellStyle name="Test Complete 3 4" xfId="58894"/>
    <cellStyle name="Test Complete 3 4 2" xfId="58895"/>
    <cellStyle name="Test Complete 3 5" xfId="58896"/>
    <cellStyle name="Test Complete 4" xfId="58897"/>
    <cellStyle name="Test Complete 4 2" xfId="58898"/>
    <cellStyle name="Test Complete 4 2 2" xfId="58899"/>
    <cellStyle name="Test Complete 4 2 2 2" xfId="58900"/>
    <cellStyle name="Test Complete 4 2 2 2 2" xfId="58901"/>
    <cellStyle name="Test Complete 4 2 2 3" xfId="58902"/>
    <cellStyle name="Test Complete 4 2 3" xfId="58903"/>
    <cellStyle name="Test Complete 4 2 3 2" xfId="58904"/>
    <cellStyle name="Test Complete 4 2 4" xfId="58905"/>
    <cellStyle name="Test Complete 4 3" xfId="58906"/>
    <cellStyle name="Test Complete 4 3 2" xfId="58907"/>
    <cellStyle name="Test Complete 4 3 2 2" xfId="58908"/>
    <cellStyle name="Test Complete 4 3 3" xfId="58909"/>
    <cellStyle name="Test Complete 4 4" xfId="58910"/>
    <cellStyle name="Test Complete 4 4 2" xfId="58911"/>
    <cellStyle name="Test Complete 4 5" xfId="58912"/>
    <cellStyle name="Test Complete 5" xfId="58913"/>
    <cellStyle name="Test Complete 5 2" xfId="58914"/>
    <cellStyle name="Test Complete 5 2 2" xfId="58915"/>
    <cellStyle name="Test Complete 5 2 2 2" xfId="58916"/>
    <cellStyle name="Test Complete 5 2 2 2 2" xfId="58917"/>
    <cellStyle name="Test Complete 5 2 2 3" xfId="58918"/>
    <cellStyle name="Test Complete 5 2 3" xfId="58919"/>
    <cellStyle name="Test Complete 5 2 3 2" xfId="58920"/>
    <cellStyle name="Test Complete 5 2 4" xfId="58921"/>
    <cellStyle name="Test Complete 5 3" xfId="58922"/>
    <cellStyle name="Test Complete 5 3 2" xfId="58923"/>
    <cellStyle name="Test Complete 5 3 2 2" xfId="58924"/>
    <cellStyle name="Test Complete 5 3 3" xfId="58925"/>
    <cellStyle name="Test Complete 5 4" xfId="58926"/>
    <cellStyle name="Test Complete 5 4 2" xfId="58927"/>
    <cellStyle name="Test Complete 5 5" xfId="58928"/>
    <cellStyle name="Test Complete 6" xfId="58929"/>
    <cellStyle name="Test Complete 6 2" xfId="58930"/>
    <cellStyle name="Test Complete 6 2 2" xfId="58931"/>
    <cellStyle name="Test Complete 6 2 2 2" xfId="58932"/>
    <cellStyle name="Test Complete 6 2 3" xfId="58933"/>
    <cellStyle name="Test Complete 6 3" xfId="58934"/>
    <cellStyle name="Test Complete 6 3 2" xfId="58935"/>
    <cellStyle name="Test Complete 6 4" xfId="58936"/>
    <cellStyle name="Test Complete 7" xfId="58937"/>
    <cellStyle name="Test Complete 7 2" xfId="58938"/>
    <cellStyle name="Test Complete 7 2 2" xfId="58939"/>
    <cellStyle name="Test Complete 7 3" xfId="58940"/>
    <cellStyle name="Test Complete 8" xfId="58941"/>
    <cellStyle name="Test Complete 8 2" xfId="58942"/>
    <cellStyle name="Test Complete 9" xfId="58943"/>
    <cellStyle name="Text Indent A" xfId="58944"/>
    <cellStyle name="Text Indent B" xfId="58945"/>
    <cellStyle name="Text Indent C" xfId="58946"/>
    <cellStyle name="Title" xfId="9" builtinId="15" hidden="1"/>
    <cellStyle name="Title 10" xfId="58947"/>
    <cellStyle name="Title 2" xfId="58948"/>
    <cellStyle name="Title 2 2" xfId="58949"/>
    <cellStyle name="Title 2 2 2" xfId="58950"/>
    <cellStyle name="Title 2 2 3" xfId="58951"/>
    <cellStyle name="Title 2 3" xfId="58952"/>
    <cellStyle name="Title 2 4" xfId="58953"/>
    <cellStyle name="Title 3" xfId="58954"/>
    <cellStyle name="Title 3 2" xfId="58955"/>
    <cellStyle name="Title 3 3" xfId="58956"/>
    <cellStyle name="Title 4" xfId="58957"/>
    <cellStyle name="Title 4 2" xfId="58958"/>
    <cellStyle name="Title 5" xfId="58959"/>
    <cellStyle name="Title 6" xfId="58960"/>
    <cellStyle name="Title 6 2" xfId="58961"/>
    <cellStyle name="Title 7" xfId="58962"/>
    <cellStyle name="Title 8" xfId="58963"/>
    <cellStyle name="Title 9" xfId="58964"/>
    <cellStyle name="Total" xfId="25" builtinId="25" hidden="1"/>
    <cellStyle name="Total 10" xfId="58965"/>
    <cellStyle name="Total 2" xfId="58966"/>
    <cellStyle name="Total 2 10" xfId="58967"/>
    <cellStyle name="Total 2 2" xfId="58968"/>
    <cellStyle name="Total 2 2 2" xfId="58969"/>
    <cellStyle name="Total 2 2 2 2" xfId="58970"/>
    <cellStyle name="Total 2 2 2 3" xfId="58971"/>
    <cellStyle name="Total 2 2 3" xfId="58972"/>
    <cellStyle name="Total 2 2 3 2" xfId="58973"/>
    <cellStyle name="Total 2 2 3 3" xfId="58974"/>
    <cellStyle name="Total 2 2 4" xfId="58975"/>
    <cellStyle name="Total 2 2 4 2" xfId="58976"/>
    <cellStyle name="Total 2 2 5" xfId="58977"/>
    <cellStyle name="Total 2 2 5 2" xfId="58978"/>
    <cellStyle name="Total 2 2 6" xfId="58979"/>
    <cellStyle name="Total 2 2 6 2" xfId="58980"/>
    <cellStyle name="Total 2 2 7" xfId="58981"/>
    <cellStyle name="Total 2 2 7 2" xfId="58982"/>
    <cellStyle name="Total 2 2 8" xfId="58983"/>
    <cellStyle name="Total 2 2 8 2" xfId="58984"/>
    <cellStyle name="Total 2 2 9" xfId="58985"/>
    <cellStyle name="Total 2 3" xfId="58986"/>
    <cellStyle name="Total 2 3 2" xfId="58987"/>
    <cellStyle name="Total 2 3 3" xfId="58988"/>
    <cellStyle name="Total 2 4" xfId="58989"/>
    <cellStyle name="Total 2 4 2" xfId="58990"/>
    <cellStyle name="Total 2 4 3" xfId="58991"/>
    <cellStyle name="Total 2 5" xfId="58992"/>
    <cellStyle name="Total 2 5 2" xfId="58993"/>
    <cellStyle name="Total 2 6" xfId="58994"/>
    <cellStyle name="Total 2 6 2" xfId="58995"/>
    <cellStyle name="Total 2 7" xfId="58996"/>
    <cellStyle name="Total 2 7 2" xfId="58997"/>
    <cellStyle name="Total 2 8" xfId="58998"/>
    <cellStyle name="Total 2 8 2" xfId="58999"/>
    <cellStyle name="Total 2 9" xfId="59000"/>
    <cellStyle name="Total 2 9 2" xfId="59001"/>
    <cellStyle name="Total 3" xfId="59002"/>
    <cellStyle name="Total 3 2" xfId="59003"/>
    <cellStyle name="Total 3 2 2" xfId="59004"/>
    <cellStyle name="Total 3 2 2 2" xfId="59005"/>
    <cellStyle name="Total 3 2 2 3" xfId="59006"/>
    <cellStyle name="Total 3 2 3" xfId="59007"/>
    <cellStyle name="Total 3 2 3 2" xfId="59008"/>
    <cellStyle name="Total 3 2 3 3" xfId="59009"/>
    <cellStyle name="Total 3 2 4" xfId="59010"/>
    <cellStyle name="Total 3 2 5" xfId="59011"/>
    <cellStyle name="Total 3 3" xfId="59012"/>
    <cellStyle name="Total 3 3 2" xfId="59013"/>
    <cellStyle name="Total 3 3 3" xfId="59014"/>
    <cellStyle name="Total 3 4" xfId="59015"/>
    <cellStyle name="Total 3 4 2" xfId="59016"/>
    <cellStyle name="Total 3 4 3" xfId="59017"/>
    <cellStyle name="Total 3 5" xfId="59018"/>
    <cellStyle name="Total 3 6" xfId="59019"/>
    <cellStyle name="Total 4" xfId="59020"/>
    <cellStyle name="Total 4 2" xfId="59021"/>
    <cellStyle name="Total 4 2 2" xfId="59022"/>
    <cellStyle name="Total 4 2 2 2" xfId="59023"/>
    <cellStyle name="Total 4 2 2 3" xfId="59024"/>
    <cellStyle name="Total 4 2 3" xfId="59025"/>
    <cellStyle name="Total 4 2 3 2" xfId="59026"/>
    <cellStyle name="Total 4 2 3 3" xfId="59027"/>
    <cellStyle name="Total 4 2 4" xfId="59028"/>
    <cellStyle name="Total 4 2 5" xfId="59029"/>
    <cellStyle name="Total 4 3" xfId="59030"/>
    <cellStyle name="Total 4 3 2" xfId="59031"/>
    <cellStyle name="Total 4 3 3" xfId="59032"/>
    <cellStyle name="Total 4 4" xfId="59033"/>
    <cellStyle name="Total 4 4 2" xfId="59034"/>
    <cellStyle name="Total 4 4 3" xfId="59035"/>
    <cellStyle name="Total 4 5" xfId="59036"/>
    <cellStyle name="Total 4 6" xfId="59037"/>
    <cellStyle name="Total 5" xfId="59038"/>
    <cellStyle name="Total 5 2" xfId="59039"/>
    <cellStyle name="Total 6" xfId="59040"/>
    <cellStyle name="Total 6 2" xfId="59041"/>
    <cellStyle name="Total 7" xfId="59042"/>
    <cellStyle name="Total 7 2" xfId="59043"/>
    <cellStyle name="Total 8" xfId="59044"/>
    <cellStyle name="Total 9" xfId="59045"/>
    <cellStyle name="Total 9 2" xfId="59046"/>
    <cellStyle name="Warning Text" xfId="22" builtinId="11" hidden="1"/>
    <cellStyle name="Warning Text 2" xfId="59047"/>
    <cellStyle name="Warning Text 2 2" xfId="59048"/>
    <cellStyle name="Warning Text 2 2 2" xfId="59049"/>
    <cellStyle name="Warning Text 2 2 3" xfId="59050"/>
    <cellStyle name="Warning Text 2 3" xfId="59051"/>
    <cellStyle name="Warning Text 2 4" xfId="59052"/>
    <cellStyle name="Warning Text 3" xfId="59053"/>
    <cellStyle name="Warning Text 3 2" xfId="59054"/>
    <cellStyle name="Warning Text 3 3" xfId="59055"/>
    <cellStyle name="Warning Text 4" xfId="59056"/>
    <cellStyle name="Warning Text 4 2" xfId="59057"/>
    <cellStyle name="Warning Text 5" xfId="59058"/>
    <cellStyle name="Warning Text 6" xfId="59059"/>
    <cellStyle name="Warning Text 6 2" xfId="59060"/>
    <cellStyle name="Warning Text 7" xfId="59061"/>
    <cellStyle name="Warning Text 8" xfId="59062"/>
    <cellStyle name="Warning Text 9" xfId="59063"/>
  </cellStyles>
  <dxfs count="320">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top style="thin">
          <color indexed="64"/>
        </top>
        <bottom style="thin">
          <color indexed="64"/>
        </bottom>
      </border>
    </dxf>
    <dxf>
      <numFmt numFmtId="0" formatCode="General"/>
      <fill>
        <patternFill patternType="none">
          <fgColor indexed="64"/>
          <bgColor auto="1"/>
        </patternFill>
      </fill>
    </dxf>
    <dxf>
      <font>
        <b/>
        <i val="0"/>
        <strike val="0"/>
        <condense val="0"/>
        <extend val="0"/>
        <outline val="0"/>
        <shadow val="0"/>
        <u val="none"/>
        <vertAlign val="baseline"/>
        <sz val="12"/>
        <color theme="0"/>
        <name val="Times New Roman"/>
        <scheme val="none"/>
      </font>
      <numFmt numFmtId="0" formatCode="General"/>
      <fill>
        <patternFill patternType="none">
          <fgColor indexed="64"/>
          <bgColor auto="1"/>
        </patternFill>
      </fill>
      <alignment horizontal="general" vertical="bottom" textRotation="0" wrapText="1" indent="0" justifyLastLine="0" shrinkToFit="0" readingOrder="0"/>
    </dxf>
    <dxf>
      <alignment horizontal="left"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dxf>
    <dxf>
      <border>
        <bottom style="thin">
          <color indexed="64"/>
        </bottom>
      </border>
    </dxf>
    <dxf>
      <fill>
        <patternFill>
          <bgColor theme="0" tint="-0.249977111117893"/>
        </patternFill>
      </fill>
      <alignment horizontal="left"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name val="Times New Roman"/>
        <scheme val="none"/>
      </font>
      <fill>
        <patternFill patternType="solid">
          <fgColor indexed="64"/>
          <bgColor indexed="43"/>
        </patternFill>
      </fill>
      <alignment horizontal="left"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name val="Times New Roman"/>
        <scheme val="none"/>
      </font>
      <fill>
        <patternFill patternType="solid">
          <fgColor indexed="64"/>
          <bgColor indexed="43"/>
        </patternFill>
      </fill>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name val="Times New Roman"/>
        <scheme val="none"/>
      </font>
    </dxf>
    <dxf>
      <font>
        <strike val="0"/>
        <outline val="0"/>
        <shadow val="0"/>
        <u val="none"/>
        <vertAlign val="baseline"/>
        <name val="Times New Roman"/>
        <scheme val="none"/>
      </font>
      <fill>
        <patternFill patternType="solid">
          <fgColor indexed="64"/>
          <bgColor indexed="43"/>
        </patternFill>
      </fill>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name val="Times New Roman"/>
        <scheme val="none"/>
      </font>
      <fill>
        <patternFill patternType="solid">
          <fgColor indexed="64"/>
          <bgColor indexed="43"/>
        </patternFill>
      </fill>
      <alignment horizontal="left"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name val="Times New Roman"/>
        <scheme val="none"/>
      </font>
      <fill>
        <patternFill patternType="solid">
          <fgColor indexed="64"/>
          <bgColor indexed="43"/>
        </patternFill>
      </fill>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1"/>
        <color theme="1"/>
        <name val="Times New Roman"/>
        <scheme val="none"/>
      </font>
    </dxf>
    <dxf>
      <font>
        <strike val="0"/>
        <outline val="0"/>
        <shadow val="0"/>
        <u val="none"/>
        <vertAlign val="baseline"/>
        <name val="Times New Roman"/>
        <scheme val="none"/>
      </font>
      <fill>
        <patternFill patternType="solid">
          <fgColor indexed="64"/>
          <bgColor indexed="43"/>
        </patternFill>
      </fill>
      <border diagonalUp="0" diagonalDown="0" outline="0">
        <left style="thin">
          <color auto="1"/>
        </left>
        <right style="thin">
          <color auto="1"/>
        </right>
        <top/>
        <bottom/>
      </border>
      <protection locked="1" hidden="0"/>
    </dxf>
    <dxf>
      <fill>
        <patternFill>
          <bgColor rgb="FFFF0000"/>
        </patternFill>
      </fill>
    </dxf>
    <dxf>
      <fill>
        <patternFill>
          <bgColor rgb="FF00B050"/>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left" vertical="center" textRotation="0" wrapText="1" relativeIndent="1"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left" vertical="center" textRotation="0" wrapText="1" relativeIndent="1"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general" vertical="center" textRotation="0" wrapText="1" indent="0" justifyLastLine="0" shrinkToFit="0" readingOrder="0"/>
    </dxf>
    <dxf>
      <border>
        <bottom style="thin">
          <color indexed="64"/>
        </bottom>
      </border>
    </dxf>
    <dxf>
      <font>
        <b/>
        <i val="0"/>
        <strike val="0"/>
        <condense val="0"/>
        <extend val="0"/>
        <outline val="0"/>
        <shadow val="0"/>
        <u val="none"/>
        <vertAlign val="baseline"/>
        <sz val="12"/>
        <color theme="1"/>
        <name val="Times New Roman"/>
        <scheme val="none"/>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168089</xdr:colOff>
      <xdr:row>8</xdr:row>
      <xdr:rowOff>257736</xdr:rowOff>
    </xdr:from>
    <xdr:to>
      <xdr:col>6</xdr:col>
      <xdr:colOff>1647265</xdr:colOff>
      <xdr:row>8</xdr:row>
      <xdr:rowOff>645717</xdr:rowOff>
    </xdr:to>
    <xdr:pic>
      <xdr:nvPicPr>
        <xdr:cNvPr id="2" name="Picture 1"/>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978339" y="5248836"/>
          <a:ext cx="1479176" cy="340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78441</xdr:colOff>
      <xdr:row>7</xdr:row>
      <xdr:rowOff>235323</xdr:rowOff>
    </xdr:from>
    <xdr:to>
      <xdr:col>7</xdr:col>
      <xdr:colOff>12887</xdr:colOff>
      <xdr:row>7</xdr:row>
      <xdr:rowOff>461752</xdr:rowOff>
    </xdr:to>
    <xdr:pic>
      <xdr:nvPicPr>
        <xdr:cNvPr id="3" name="Picture 2"/>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88691" y="4426323"/>
          <a:ext cx="3982571" cy="2264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4" name="Comment_Tracker" displayName="Comment_Tracker" ref="B11:P12" totalsRowShown="0" headerRowDxfId="319" dataDxfId="317" headerRowBorderDxfId="318" tableBorderDxfId="316" totalsRowBorderDxfId="315">
  <tableColumns count="15">
    <tableColumn id="1" name="ID" dataDxfId="314"/>
    <tableColumn id="10" name="Date Open" dataDxfId="313"/>
    <tableColumn id="14" name="Date Due" dataDxfId="312"/>
    <tableColumn id="13" name="Date Closed" dataDxfId="311"/>
    <tableColumn id="2" name="Document Type" dataDxfId="310"/>
    <tableColumn id="3" name="Document Name" dataDxfId="309"/>
    <tableColumn id="4" name="Reference" dataDxfId="308"/>
    <tableColumn id="5" name="Subject" dataDxfId="307"/>
    <tableColumn id="12" name="Commenter POC" dataDxfId="306"/>
    <tableColumn id="11" name="Assigned To" dataDxfId="305"/>
    <tableColumn id="6" name="Comment Type" dataDxfId="304"/>
    <tableColumn id="9" name="Critical" dataDxfId="303"/>
    <tableColumn id="7" name="Comment" dataDxfId="302"/>
    <tableColumn id="8" name="Adjudication" dataDxfId="301"/>
    <tableColumn id="15" name="Impact ($)" dataDxfId="300"/>
  </tableColumns>
  <tableStyleInfo showFirstColumn="0" showLastColumn="0" showRowStripes="1" showColumnStripes="0"/>
</table>
</file>

<file path=xl/tables/table2.xml><?xml version="1.0" encoding="utf-8"?>
<table xmlns="http://schemas.openxmlformats.org/spreadsheetml/2006/main" id="2" name="Inflation_Raw" displayName="Inflation_Raw" ref="B7:EB26" totalsRowShown="0" headerRowDxfId="290" dataDxfId="289" dataCellStyle="Comma">
  <tableColumns count="131">
    <tableColumn id="1" name="Raw Description" dataDxfId="288"/>
    <tableColumn id="2" name="Raw Index" dataDxfId="287"/>
    <tableColumn id="3" name="1970" dataDxfId="286" dataCellStyle="Comma"/>
    <tableColumn id="4" name="1971" dataDxfId="285" dataCellStyle="Comma"/>
    <tableColumn id="5" name="1972" dataDxfId="284" dataCellStyle="Comma"/>
    <tableColumn id="6" name="1973" dataDxfId="283" dataCellStyle="Comma"/>
    <tableColumn id="7" name="1974" dataDxfId="282" dataCellStyle="Comma"/>
    <tableColumn id="8" name="1975" dataDxfId="281" dataCellStyle="Comma"/>
    <tableColumn id="9" name="1976" dataDxfId="280" dataCellStyle="Comma"/>
    <tableColumn id="10" name="197T" dataDxfId="279" dataCellStyle="Comma"/>
    <tableColumn id="11" name="1977" dataDxfId="278" dataCellStyle="Comma"/>
    <tableColumn id="12" name="1978" dataDxfId="277" dataCellStyle="Comma"/>
    <tableColumn id="13" name="1979" dataDxfId="276" dataCellStyle="Comma"/>
    <tableColumn id="14" name="1980" dataDxfId="275" dataCellStyle="Comma"/>
    <tableColumn id="15" name="1981" dataDxfId="274" dataCellStyle="Comma"/>
    <tableColumn id="16" name="1982" dataDxfId="273" dataCellStyle="Comma"/>
    <tableColumn id="17" name="1983" dataDxfId="272" dataCellStyle="Comma"/>
    <tableColumn id="18" name="1984" dataDxfId="271" dataCellStyle="Comma"/>
    <tableColumn id="19" name="1985" dataDxfId="270" dataCellStyle="Comma"/>
    <tableColumn id="20" name="1986" dataDxfId="269" dataCellStyle="Comma"/>
    <tableColumn id="21" name="1987" dataDxfId="268" dataCellStyle="Comma"/>
    <tableColumn id="22" name="1988" dataDxfId="267" dataCellStyle="Comma"/>
    <tableColumn id="23" name="1989" dataDxfId="266" dataCellStyle="Comma"/>
    <tableColumn id="24" name="1990" dataDxfId="265" dataCellStyle="Comma"/>
    <tableColumn id="25" name="1991" dataDxfId="264" dataCellStyle="Comma"/>
    <tableColumn id="26" name="1992" dataDxfId="263" dataCellStyle="Comma"/>
    <tableColumn id="27" name="1993" dataDxfId="262" dataCellStyle="Comma"/>
    <tableColumn id="28" name="1994" dataDxfId="261" dataCellStyle="Comma"/>
    <tableColumn id="29" name="1995" dataDxfId="260" dataCellStyle="Comma"/>
    <tableColumn id="30" name="1996" dataDxfId="259" dataCellStyle="Comma"/>
    <tableColumn id="31" name="1997" dataDxfId="258" dataCellStyle="Comma"/>
    <tableColumn id="32" name="1998" dataDxfId="257" dataCellStyle="Comma"/>
    <tableColumn id="33" name="1999" dataDxfId="256" dataCellStyle="Comma"/>
    <tableColumn id="34" name="2000" dataDxfId="255" dataCellStyle="Comma"/>
    <tableColumn id="35" name="2001" dataDxfId="254" dataCellStyle="Comma"/>
    <tableColumn id="36" name="2002" dataDxfId="253" dataCellStyle="Comma"/>
    <tableColumn id="37" name="2003" dataDxfId="252" dataCellStyle="Comma"/>
    <tableColumn id="38" name="2004" dataDxfId="251" dataCellStyle="Comma"/>
    <tableColumn id="39" name="2005" dataDxfId="250" dataCellStyle="Comma"/>
    <tableColumn id="40" name="2006" dataDxfId="249" dataCellStyle="Comma"/>
    <tableColumn id="41" name="2007" dataDxfId="248" dataCellStyle="Comma"/>
    <tableColumn id="42" name="2008" dataDxfId="247" dataCellStyle="Comma"/>
    <tableColumn id="43" name="2009" dataDxfId="246" dataCellStyle="Comma"/>
    <tableColumn id="44" name="2010" dataDxfId="245" dataCellStyle="Comma"/>
    <tableColumn id="45" name="2011" dataDxfId="244" dataCellStyle="Comma"/>
    <tableColumn id="46" name="2012" dataDxfId="243" dataCellStyle="Comma"/>
    <tableColumn id="47" name="2013" dataDxfId="242" dataCellStyle="Comma"/>
    <tableColumn id="48" name="2014" dataDxfId="241" dataCellStyle="Comma"/>
    <tableColumn id="49" name="2015" dataDxfId="240" dataCellStyle="Comma"/>
    <tableColumn id="50" name="2016" dataDxfId="239" dataCellStyle="Comma"/>
    <tableColumn id="51" name="2017" dataDxfId="238" dataCellStyle="Comma"/>
    <tableColumn id="52" name="2018" dataDxfId="237" dataCellStyle="Comma"/>
    <tableColumn id="53" name="2019" dataDxfId="236" dataCellStyle="Comma"/>
    <tableColumn id="54" name="2020" dataDxfId="235" dataCellStyle="Comma"/>
    <tableColumn id="55" name="2021" dataDxfId="234" dataCellStyle="Comma"/>
    <tableColumn id="56" name="2022" dataDxfId="233" dataCellStyle="Comma"/>
    <tableColumn id="57" name="2023" dataDxfId="232" dataCellStyle="Comma"/>
    <tableColumn id="58" name="2024" dataDxfId="231" dataCellStyle="Comma"/>
    <tableColumn id="59" name="2025" dataDxfId="230" dataCellStyle="Comma"/>
    <tableColumn id="60" name="2026" dataDxfId="229" dataCellStyle="Comma"/>
    <tableColumn id="61" name="2027" dataDxfId="228" dataCellStyle="Comma"/>
    <tableColumn id="62" name="2028" dataDxfId="227" dataCellStyle="Comma"/>
    <tableColumn id="63" name="2029" dataDxfId="226" dataCellStyle="Comma"/>
    <tableColumn id="64" name="2030" dataDxfId="225" dataCellStyle="Comma"/>
    <tableColumn id="65" name="2031" dataDxfId="224" dataCellStyle="Comma"/>
    <tableColumn id="66" name="2032" dataDxfId="223" dataCellStyle="Comma"/>
    <tableColumn id="67" name="2033" dataDxfId="222" dataCellStyle="Comma"/>
    <tableColumn id="68" name="2034" dataDxfId="221" dataCellStyle="Comma"/>
    <tableColumn id="69" name="2035" dataDxfId="220" dataCellStyle="Comma"/>
    <tableColumn id="70" name="2036" dataDxfId="219" dataCellStyle="Comma"/>
    <tableColumn id="71" name="2037" dataDxfId="218" dataCellStyle="Comma"/>
    <tableColumn id="72" name="2038" dataDxfId="217" dataCellStyle="Comma"/>
    <tableColumn id="73" name="2039" dataDxfId="216" dataCellStyle="Comma"/>
    <tableColumn id="74" name="2040" dataDxfId="215" dataCellStyle="Comma"/>
    <tableColumn id="75" name="2041" dataDxfId="214" dataCellStyle="Comma"/>
    <tableColumn id="76" name="2042" dataDxfId="213" dataCellStyle="Comma"/>
    <tableColumn id="77" name="2043" dataDxfId="212" dataCellStyle="Comma"/>
    <tableColumn id="78" name="2044" dataDxfId="211" dataCellStyle="Comma"/>
    <tableColumn id="79" name="2045" dataDxfId="210" dataCellStyle="Comma"/>
    <tableColumn id="80" name="2046" dataDxfId="209" dataCellStyle="Comma"/>
    <tableColumn id="81" name="2047" dataDxfId="208" dataCellStyle="Comma"/>
    <tableColumn id="82" name="2048" dataDxfId="207" dataCellStyle="Comma"/>
    <tableColumn id="83" name="2049" dataDxfId="206" dataCellStyle="Comma"/>
    <tableColumn id="84" name="2050" dataDxfId="205" dataCellStyle="Comma"/>
    <tableColumn id="85" name="2051" dataDxfId="204" dataCellStyle="Comma"/>
    <tableColumn id="86" name="2052" dataDxfId="203" dataCellStyle="Comma"/>
    <tableColumn id="87" name="2053" dataDxfId="202" dataCellStyle="Comma"/>
    <tableColumn id="88" name="2054" dataDxfId="201" dataCellStyle="Comma"/>
    <tableColumn id="89" name="2055" dataDxfId="200" dataCellStyle="Comma"/>
    <tableColumn id="90" name="2056" dataDxfId="199" dataCellStyle="Comma"/>
    <tableColumn id="91" name="2057" dataDxfId="198" dataCellStyle="Comma"/>
    <tableColumn id="92" name="2058" dataDxfId="197" dataCellStyle="Comma"/>
    <tableColumn id="93" name="2059" dataDxfId="196" dataCellStyle="Comma"/>
    <tableColumn id="94" name="2060" dataDxfId="195" dataCellStyle="Comma"/>
    <tableColumn id="95" name="2061" dataDxfId="194" dataCellStyle="Comma">
      <calculatedColumnFormula>Inflation_Raw[[#This Row],[2060]]/Inflation_Raw[[#This Row],[2059]]*Inflation_Raw[[#This Row],[2060]]</calculatedColumnFormula>
    </tableColumn>
    <tableColumn id="96" name="2062" dataDxfId="193" dataCellStyle="Comma">
      <calculatedColumnFormula>Inflation_Raw[[#This Row],[2061]]/Inflation_Raw[[#This Row],[2060]]*Inflation_Raw[[#This Row],[2061]]</calculatedColumnFormula>
    </tableColumn>
    <tableColumn id="97" name="2063" dataDxfId="192" dataCellStyle="Comma">
      <calculatedColumnFormula>Inflation_Raw[[#This Row],[2062]]/Inflation_Raw[[#This Row],[2061]]*Inflation_Raw[[#This Row],[2062]]</calculatedColumnFormula>
    </tableColumn>
    <tableColumn id="98" name="2064" dataDxfId="191" dataCellStyle="Comma">
      <calculatedColumnFormula>Inflation_Raw[[#This Row],[2063]]/Inflation_Raw[[#This Row],[2062]]*Inflation_Raw[[#This Row],[2063]]</calculatedColumnFormula>
    </tableColumn>
    <tableColumn id="99" name="2065" dataDxfId="190" dataCellStyle="Comma">
      <calculatedColumnFormula>Inflation_Raw[[#This Row],[2064]]/Inflation_Raw[[#This Row],[2063]]*Inflation_Raw[[#This Row],[2064]]</calculatedColumnFormula>
    </tableColumn>
    <tableColumn id="100" name="2066" dataDxfId="189" dataCellStyle="Comma">
      <calculatedColumnFormula>Inflation_Raw[[#This Row],[2065]]/Inflation_Raw[[#This Row],[2064]]*Inflation_Raw[[#This Row],[2065]]</calculatedColumnFormula>
    </tableColumn>
    <tableColumn id="101" name="2067" dataDxfId="188" dataCellStyle="Comma">
      <calculatedColumnFormula>Inflation_Raw[[#This Row],[2066]]/Inflation_Raw[[#This Row],[2065]]*Inflation_Raw[[#This Row],[2066]]</calculatedColumnFormula>
    </tableColumn>
    <tableColumn id="102" name="2068" dataDxfId="187" dataCellStyle="Comma">
      <calculatedColumnFormula>Inflation_Raw[[#This Row],[2067]]/Inflation_Raw[[#This Row],[2066]]*Inflation_Raw[[#This Row],[2067]]</calculatedColumnFormula>
    </tableColumn>
    <tableColumn id="103" name="2069" dataDxfId="186" dataCellStyle="Comma">
      <calculatedColumnFormula>Inflation_Raw[[#This Row],[2068]]/Inflation_Raw[[#This Row],[2067]]*Inflation_Raw[[#This Row],[2068]]</calculatedColumnFormula>
    </tableColumn>
    <tableColumn id="104" name="2070" dataDxfId="185" dataCellStyle="Comma">
      <calculatedColumnFormula>Inflation_Raw[[#This Row],[2069]]/Inflation_Raw[[#This Row],[2068]]*Inflation_Raw[[#This Row],[2069]]</calculatedColumnFormula>
    </tableColumn>
    <tableColumn id="105" name="2071" dataDxfId="184" dataCellStyle="Comma">
      <calculatedColumnFormula>Inflation_Raw[[#This Row],[2070]]/Inflation_Raw[[#This Row],[2069]]*Inflation_Raw[[#This Row],[2070]]</calculatedColumnFormula>
    </tableColumn>
    <tableColumn id="106" name="2072" dataDxfId="183" dataCellStyle="Comma">
      <calculatedColumnFormula>Inflation_Raw[[#This Row],[2071]]/Inflation_Raw[[#This Row],[2070]]*Inflation_Raw[[#This Row],[2071]]</calculatedColumnFormula>
    </tableColumn>
    <tableColumn id="107" name="2073" dataDxfId="182" dataCellStyle="Comma">
      <calculatedColumnFormula>Inflation_Raw[[#This Row],[2072]]/Inflation_Raw[[#This Row],[2071]]*Inflation_Raw[[#This Row],[2072]]</calculatedColumnFormula>
    </tableColumn>
    <tableColumn id="108" name="2074" dataDxfId="181" dataCellStyle="Comma">
      <calculatedColumnFormula>Inflation_Raw[[#This Row],[2073]]/Inflation_Raw[[#This Row],[2072]]*Inflation_Raw[[#This Row],[2073]]</calculatedColumnFormula>
    </tableColumn>
    <tableColumn id="109" name="2075" dataDxfId="180" dataCellStyle="Comma">
      <calculatedColumnFormula>Inflation_Raw[[#This Row],[2074]]/Inflation_Raw[[#This Row],[2073]]*Inflation_Raw[[#This Row],[2074]]</calculatedColumnFormula>
    </tableColumn>
    <tableColumn id="110" name="2076" dataDxfId="179" dataCellStyle="Comma">
      <calculatedColumnFormula>Inflation_Raw[[#This Row],[2075]]/Inflation_Raw[[#This Row],[2074]]*Inflation_Raw[[#This Row],[2075]]</calculatedColumnFormula>
    </tableColumn>
    <tableColumn id="111" name="2077" dataDxfId="178" dataCellStyle="Comma">
      <calculatedColumnFormula>Inflation_Raw[[#This Row],[2076]]/Inflation_Raw[[#This Row],[2075]]*Inflation_Raw[[#This Row],[2076]]</calculatedColumnFormula>
    </tableColumn>
    <tableColumn id="112" name="2078" dataDxfId="177" dataCellStyle="Comma">
      <calculatedColumnFormula>Inflation_Raw[[#This Row],[2077]]/Inflation_Raw[[#This Row],[2076]]*Inflation_Raw[[#This Row],[2077]]</calculatedColumnFormula>
    </tableColumn>
    <tableColumn id="113" name="2079" dataDxfId="176" dataCellStyle="Comma">
      <calculatedColumnFormula>Inflation_Raw[[#This Row],[2078]]/Inflation_Raw[[#This Row],[2077]]*Inflation_Raw[[#This Row],[2078]]</calculatedColumnFormula>
    </tableColumn>
    <tableColumn id="114" name="2080" dataDxfId="175" dataCellStyle="Comma">
      <calculatedColumnFormula>Inflation_Raw[[#This Row],[2079]]/Inflation_Raw[[#This Row],[2078]]*Inflation_Raw[[#This Row],[2079]]</calculatedColumnFormula>
    </tableColumn>
    <tableColumn id="115" name="2081" dataDxfId="174" dataCellStyle="Comma">
      <calculatedColumnFormula>Inflation_Raw[[#This Row],[2080]]/Inflation_Raw[[#This Row],[2079]]*Inflation_Raw[[#This Row],[2080]]</calculatedColumnFormula>
    </tableColumn>
    <tableColumn id="116" name="2082" dataDxfId="173" dataCellStyle="Comma">
      <calculatedColumnFormula>Inflation_Raw[[#This Row],[2081]]/Inflation_Raw[[#This Row],[2080]]*Inflation_Raw[[#This Row],[2081]]</calculatedColumnFormula>
    </tableColumn>
    <tableColumn id="117" name="2083" dataDxfId="172" dataCellStyle="Comma">
      <calculatedColumnFormula>Inflation_Raw[[#This Row],[2082]]/Inflation_Raw[[#This Row],[2081]]*Inflation_Raw[[#This Row],[2082]]</calculatedColumnFormula>
    </tableColumn>
    <tableColumn id="118" name="2084" dataDxfId="171" dataCellStyle="Comma">
      <calculatedColumnFormula>Inflation_Raw[[#This Row],[2083]]/Inflation_Raw[[#This Row],[2082]]*Inflation_Raw[[#This Row],[2083]]</calculatedColumnFormula>
    </tableColumn>
    <tableColumn id="119" name="2085" dataDxfId="170" dataCellStyle="Comma">
      <calculatedColumnFormula>Inflation_Raw[[#This Row],[2084]]/Inflation_Raw[[#This Row],[2083]]*Inflation_Raw[[#This Row],[2084]]</calculatedColumnFormula>
    </tableColumn>
    <tableColumn id="120" name="2086" dataDxfId="169" dataCellStyle="Comma">
      <calculatedColumnFormula>Inflation_Raw[[#This Row],[2085]]/Inflation_Raw[[#This Row],[2084]]*Inflation_Raw[[#This Row],[2085]]</calculatedColumnFormula>
    </tableColumn>
    <tableColumn id="121" name="2087" dataDxfId="168" dataCellStyle="Comma">
      <calculatedColumnFormula>Inflation_Raw[[#This Row],[2086]]/Inflation_Raw[[#This Row],[2085]]*Inflation_Raw[[#This Row],[2086]]</calculatedColumnFormula>
    </tableColumn>
    <tableColumn id="122" name="2088" dataDxfId="167" dataCellStyle="Comma">
      <calculatedColumnFormula>Inflation_Raw[[#This Row],[2087]]/Inflation_Raw[[#This Row],[2086]]*Inflation_Raw[[#This Row],[2087]]</calculatedColumnFormula>
    </tableColumn>
    <tableColumn id="123" name="2089" dataDxfId="166" dataCellStyle="Comma">
      <calculatedColumnFormula>Inflation_Raw[[#This Row],[2088]]/Inflation_Raw[[#This Row],[2087]]*Inflation_Raw[[#This Row],[2088]]</calculatedColumnFormula>
    </tableColumn>
    <tableColumn id="124" name="2090" dataDxfId="165" dataCellStyle="Comma">
      <calculatedColumnFormula>Inflation_Raw[[#This Row],[2089]]/Inflation_Raw[[#This Row],[2088]]*Inflation_Raw[[#This Row],[2089]]</calculatedColumnFormula>
    </tableColumn>
    <tableColumn id="125" name="2091" dataDxfId="164" dataCellStyle="Comma">
      <calculatedColumnFormula>Inflation_Raw[[#This Row],[2090]]/Inflation_Raw[[#This Row],[2089]]*Inflation_Raw[[#This Row],[2090]]</calculatedColumnFormula>
    </tableColumn>
    <tableColumn id="126" name="2092" dataDxfId="163" dataCellStyle="Comma">
      <calculatedColumnFormula>Inflation_Raw[[#This Row],[2091]]/Inflation_Raw[[#This Row],[2090]]*Inflation_Raw[[#This Row],[2091]]</calculatedColumnFormula>
    </tableColumn>
    <tableColumn id="127" name="2093" dataDxfId="162" dataCellStyle="Comma">
      <calculatedColumnFormula>Inflation_Raw[[#This Row],[2092]]/Inflation_Raw[[#This Row],[2091]]*Inflation_Raw[[#This Row],[2092]]</calculatedColumnFormula>
    </tableColumn>
    <tableColumn id="128" name="2094" dataDxfId="161" dataCellStyle="Comma">
      <calculatedColumnFormula>Inflation_Raw[[#This Row],[2093]]/Inflation_Raw[[#This Row],[2092]]*Inflation_Raw[[#This Row],[2093]]</calculatedColumnFormula>
    </tableColumn>
    <tableColumn id="129" name="2095" dataDxfId="160" dataCellStyle="Comma">
      <calculatedColumnFormula>Inflation_Raw[[#This Row],[2094]]/Inflation_Raw[[#This Row],[2093]]*Inflation_Raw[[#This Row],[2094]]</calculatedColumnFormula>
    </tableColumn>
    <tableColumn id="130" name="2096" dataDxfId="159" dataCellStyle="Comma">
      <calculatedColumnFormula>Inflation_Raw[[#This Row],[2095]]/Inflation_Raw[[#This Row],[2094]]*Inflation_Raw[[#This Row],[2095]]</calculatedColumnFormula>
    </tableColumn>
    <tableColumn id="131" name="2097" dataDxfId="158" dataCellStyle="Comma">
      <calculatedColumnFormula>Inflation_Raw[[#This Row],[2096]]/Inflation_Raw[[#This Row],[2095]]*Inflation_Raw[[#This Row],[2096]]</calculatedColumnFormula>
    </tableColumn>
  </tableColumns>
  <tableStyleInfo name="TableStyleLight15" showFirstColumn="0" showLastColumn="0" showRowStripes="0" showColumnStripes="0"/>
</table>
</file>

<file path=xl/tables/table3.xml><?xml version="1.0" encoding="utf-8"?>
<table xmlns="http://schemas.openxmlformats.org/spreadsheetml/2006/main" id="3" name="Inflation_weighted" displayName="Inflation_weighted" ref="B65:EB84" totalsRowShown="0" headerRowDxfId="157" dataDxfId="156">
  <tableColumns count="131">
    <tableColumn id="1" name="Weighed Description" dataDxfId="155"/>
    <tableColumn id="2" name="Weighted Index" dataDxfId="154"/>
    <tableColumn id="3" name="1970" dataDxfId="153" dataCellStyle="Comma"/>
    <tableColumn id="4" name="1971" dataDxfId="152" dataCellStyle="Comma"/>
    <tableColumn id="5" name="1972" dataDxfId="151" dataCellStyle="Comma"/>
    <tableColumn id="6" name="1973" dataDxfId="150" dataCellStyle="Comma"/>
    <tableColumn id="7" name="1974" dataDxfId="149" dataCellStyle="Comma"/>
    <tableColumn id="8" name="1975" dataDxfId="148" dataCellStyle="Comma"/>
    <tableColumn id="9" name="1976" dataDxfId="147" dataCellStyle="Comma"/>
    <tableColumn id="10" name="197T" dataDxfId="146" dataCellStyle="Comma"/>
    <tableColumn id="11" name="1977" dataDxfId="145" dataCellStyle="Comma"/>
    <tableColumn id="12" name="1978" dataDxfId="144" dataCellStyle="Comma"/>
    <tableColumn id="13" name="1979" dataDxfId="143" dataCellStyle="Comma"/>
    <tableColumn id="14" name="1980" dataDxfId="142" dataCellStyle="Comma"/>
    <tableColumn id="15" name="1981" dataDxfId="141" dataCellStyle="Comma"/>
    <tableColumn id="16" name="1982" dataDxfId="140" dataCellStyle="Comma"/>
    <tableColumn id="17" name="1983" dataDxfId="139" dataCellStyle="Comma"/>
    <tableColumn id="18" name="1984" dataDxfId="138" dataCellStyle="Comma"/>
    <tableColumn id="19" name="1985" dataDxfId="137" dataCellStyle="Comma"/>
    <tableColumn id="20" name="1986" dataDxfId="136" dataCellStyle="Comma"/>
    <tableColumn id="21" name="1987" dataDxfId="135" dataCellStyle="Comma"/>
    <tableColumn id="22" name="1988" dataDxfId="134" dataCellStyle="Comma"/>
    <tableColumn id="23" name="1989" dataDxfId="133" dataCellStyle="Comma"/>
    <tableColumn id="24" name="1990" dataDxfId="132" dataCellStyle="Comma"/>
    <tableColumn id="25" name="1991" dataDxfId="131" dataCellStyle="Comma"/>
    <tableColumn id="26" name="1992" dataDxfId="130" dataCellStyle="Comma"/>
    <tableColumn id="27" name="1993" dataDxfId="129" dataCellStyle="Comma"/>
    <tableColumn id="28" name="1994" dataDxfId="128" dataCellStyle="Comma"/>
    <tableColumn id="29" name="1995" dataDxfId="127" dataCellStyle="Comma"/>
    <tableColumn id="30" name="1996" dataDxfId="126" dataCellStyle="Comma"/>
    <tableColumn id="31" name="1997" dataDxfId="125" dataCellStyle="Comma"/>
    <tableColumn id="32" name="1998" dataDxfId="124" dataCellStyle="Comma"/>
    <tableColumn id="33" name="1999" dataDxfId="123" dataCellStyle="Comma"/>
    <tableColumn id="34" name="2000" dataDxfId="122" dataCellStyle="Comma"/>
    <tableColumn id="35" name="2001" dataDxfId="121" dataCellStyle="Comma"/>
    <tableColumn id="36" name="2002" dataDxfId="120" dataCellStyle="Comma"/>
    <tableColumn id="37" name="2003" dataDxfId="119" dataCellStyle="Comma"/>
    <tableColumn id="38" name="2004" dataDxfId="118" dataCellStyle="Comma"/>
    <tableColumn id="39" name="2005" dataDxfId="117" dataCellStyle="Comma"/>
    <tableColumn id="40" name="2006" dataDxfId="116" dataCellStyle="Comma"/>
    <tableColumn id="41" name="2007" dataDxfId="115" dataCellStyle="Comma"/>
    <tableColumn id="42" name="2008" dataDxfId="114" dataCellStyle="Comma"/>
    <tableColumn id="43" name="2009" dataDxfId="113" dataCellStyle="Comma"/>
    <tableColumn id="44" name="2010" dataDxfId="112" dataCellStyle="Comma"/>
    <tableColumn id="45" name="2011" dataDxfId="111" dataCellStyle="Comma"/>
    <tableColumn id="46" name="2012" dataDxfId="110" dataCellStyle="Comma"/>
    <tableColumn id="47" name="2013" dataDxfId="109" dataCellStyle="Comma"/>
    <tableColumn id="48" name="2014" dataDxfId="108" dataCellStyle="Comma"/>
    <tableColumn id="49" name="2015" dataDxfId="107" dataCellStyle="Comma"/>
    <tableColumn id="50" name="2016" dataDxfId="106" dataCellStyle="Comma"/>
    <tableColumn id="51" name="2017" dataDxfId="105" dataCellStyle="Comma"/>
    <tableColumn id="52" name="2018" dataDxfId="104" dataCellStyle="Comma"/>
    <tableColumn id="53" name="2019" dataDxfId="103" dataCellStyle="Comma"/>
    <tableColumn id="54" name="2020" dataDxfId="102" dataCellStyle="Comma"/>
    <tableColumn id="55" name="2021" dataDxfId="101" dataCellStyle="Comma"/>
    <tableColumn id="56" name="2022" dataDxfId="100" dataCellStyle="Comma"/>
    <tableColumn id="57" name="2023" dataDxfId="99" dataCellStyle="Comma"/>
    <tableColumn id="58" name="2024" dataDxfId="98" dataCellStyle="Comma"/>
    <tableColumn id="59" name="2025" dataDxfId="97" dataCellStyle="Comma"/>
    <tableColumn id="60" name="2026" dataDxfId="96" dataCellStyle="Comma"/>
    <tableColumn id="61" name="2027" dataDxfId="95" dataCellStyle="Comma"/>
    <tableColumn id="62" name="2028" dataDxfId="94" dataCellStyle="Comma"/>
    <tableColumn id="63" name="2029" dataDxfId="93" dataCellStyle="Comma"/>
    <tableColumn id="64" name="2030" dataDxfId="92" dataCellStyle="Comma"/>
    <tableColumn id="65" name="2031" dataDxfId="91" dataCellStyle="Comma"/>
    <tableColumn id="66" name="2032" dataDxfId="90" dataCellStyle="Comma"/>
    <tableColumn id="67" name="2033" dataDxfId="89" dataCellStyle="Comma"/>
    <tableColumn id="68" name="2034" dataDxfId="88" dataCellStyle="Comma"/>
    <tableColumn id="69" name="2035" dataDxfId="87" dataCellStyle="Comma"/>
    <tableColumn id="70" name="2036" dataDxfId="86" dataCellStyle="Comma"/>
    <tableColumn id="71" name="2037" dataDxfId="85" dataCellStyle="Comma"/>
    <tableColumn id="72" name="2038" dataDxfId="84" dataCellStyle="Comma"/>
    <tableColumn id="73" name="2039" dataDxfId="83" dataCellStyle="Comma"/>
    <tableColumn id="74" name="2040" dataDxfId="82" dataCellStyle="Comma"/>
    <tableColumn id="75" name="2041" dataDxfId="81" dataCellStyle="Comma"/>
    <tableColumn id="76" name="2042" dataDxfId="80" dataCellStyle="Comma"/>
    <tableColumn id="77" name="2043" dataDxfId="79" dataCellStyle="Comma"/>
    <tableColumn id="78" name="2044" dataDxfId="78" dataCellStyle="Comma"/>
    <tableColumn id="79" name="2045" dataDxfId="77" dataCellStyle="Comma"/>
    <tableColumn id="80" name="2046" dataDxfId="76" dataCellStyle="Comma"/>
    <tableColumn id="81" name="2047" dataDxfId="75" dataCellStyle="Comma"/>
    <tableColumn id="82" name="2048" dataDxfId="74" dataCellStyle="Comma"/>
    <tableColumn id="83" name="2049" dataDxfId="73" dataCellStyle="Comma"/>
    <tableColumn id="84" name="2050" dataDxfId="72" dataCellStyle="Comma"/>
    <tableColumn id="85" name="2051" dataDxfId="71" dataCellStyle="Comma"/>
    <tableColumn id="86" name="2052" dataDxfId="70" dataCellStyle="Comma"/>
    <tableColumn id="87" name="2053" dataDxfId="69" dataCellStyle="Comma"/>
    <tableColumn id="88" name="2054" dataDxfId="68" dataCellStyle="Comma"/>
    <tableColumn id="89" name="2055" dataDxfId="67" dataCellStyle="Comma"/>
    <tableColumn id="90" name="2056" dataDxfId="66" dataCellStyle="Comma"/>
    <tableColumn id="91" name="2057" dataDxfId="65" dataCellStyle="Comma"/>
    <tableColumn id="92" name="2058" dataDxfId="64" dataCellStyle="Comma"/>
    <tableColumn id="93" name="2059" dataDxfId="63" dataCellStyle="Comma"/>
    <tableColumn id="94" name="2060" dataDxfId="62" dataCellStyle="Comma"/>
    <tableColumn id="95" name="2061" dataDxfId="61" dataCellStyle="Comma">
      <calculatedColumnFormula>Inflation_weighted[[#This Row],[2060]]/Inflation_weighted[[#This Row],[2059]]*Inflation_weighted[[#This Row],[2060]]</calculatedColumnFormula>
    </tableColumn>
    <tableColumn id="96" name="2062" dataDxfId="60" dataCellStyle="Comma"/>
    <tableColumn id="97" name="2063" dataDxfId="59" dataCellStyle="Comma"/>
    <tableColumn id="98" name="2064" dataDxfId="58" dataCellStyle="Comma"/>
    <tableColumn id="99" name="2065" dataDxfId="57" dataCellStyle="Comma"/>
    <tableColumn id="100" name="2066" dataDxfId="56" dataCellStyle="Comma"/>
    <tableColumn id="101" name="2067" dataDxfId="55" dataCellStyle="Comma"/>
    <tableColumn id="102" name="2068" dataDxfId="54" dataCellStyle="Comma"/>
    <tableColumn id="103" name="2069" dataDxfId="53" dataCellStyle="Comma"/>
    <tableColumn id="104" name="2070" dataDxfId="52" dataCellStyle="Comma"/>
    <tableColumn id="105" name="2071" dataDxfId="51" dataCellStyle="Comma"/>
    <tableColumn id="106" name="2072" dataDxfId="50" dataCellStyle="Comma"/>
    <tableColumn id="107" name="2073" dataDxfId="49" dataCellStyle="Comma"/>
    <tableColumn id="108" name="2074" dataDxfId="48" dataCellStyle="Comma"/>
    <tableColumn id="109" name="2075" dataDxfId="47" dataCellStyle="Comma"/>
    <tableColumn id="110" name="2076" dataDxfId="46" dataCellStyle="Comma"/>
    <tableColumn id="111" name="2077" dataDxfId="45" dataCellStyle="Comma"/>
    <tableColumn id="112" name="2078" dataDxfId="44" dataCellStyle="Comma"/>
    <tableColumn id="113" name="2079" dataDxfId="43" dataCellStyle="Comma"/>
    <tableColumn id="114" name="2080" dataDxfId="42" dataCellStyle="Comma"/>
    <tableColumn id="115" name="2081" dataDxfId="41" dataCellStyle="Comma"/>
    <tableColumn id="116" name="2082" dataDxfId="40" dataCellStyle="Comma"/>
    <tableColumn id="117" name="2083" dataDxfId="39" dataCellStyle="Comma"/>
    <tableColumn id="118" name="2084" dataDxfId="38" dataCellStyle="Comma"/>
    <tableColumn id="119" name="2085" dataDxfId="37" dataCellStyle="Comma"/>
    <tableColumn id="120" name="2086" dataDxfId="36" dataCellStyle="Comma"/>
    <tableColumn id="121" name="2087" dataDxfId="35" dataCellStyle="Comma"/>
    <tableColumn id="122" name="2088" dataDxfId="34" dataCellStyle="Comma"/>
    <tableColumn id="123" name="2089" dataDxfId="33" dataCellStyle="Comma"/>
    <tableColumn id="124" name="2090" dataDxfId="32" dataCellStyle="Comma"/>
    <tableColumn id="125" name="2091" dataDxfId="31" dataCellStyle="Comma"/>
    <tableColumn id="126" name="2092" dataDxfId="30" dataCellStyle="Comma"/>
    <tableColumn id="127" name="2093" dataDxfId="29" dataCellStyle="Comma"/>
    <tableColumn id="128" name="2094" dataDxfId="28" dataCellStyle="Comma"/>
    <tableColumn id="129" name="2095" dataDxfId="27" dataCellStyle="Comma"/>
    <tableColumn id="130" name="2096" dataDxfId="26" dataCellStyle="Comma"/>
    <tableColumn id="131" name="2097" dataDxfId="25" dataCellStyle="Comma"/>
  </tableColumns>
  <tableStyleInfo name="TableStyleLight15" showFirstColumn="0" showLastColumn="0" showRowStripes="0" showColumnStripes="0"/>
</table>
</file>

<file path=xl/tables/table4.xml><?xml version="1.0" encoding="utf-8"?>
<table xmlns="http://schemas.openxmlformats.org/spreadsheetml/2006/main" id="18" name="Table_WBS" displayName="Table_WBS" ref="B1:D1316" totalsRowShown="0" headerRowDxfId="24" dataDxfId="22" headerRowBorderDxfId="23" tableBorderDxfId="21" totalsRowBorderDxfId="20">
  <autoFilter ref="B1:D1316">
    <filterColumn colId="0">
      <filters>
        <filter val="APPENDIX E: SEA SYSTEMS"/>
      </filters>
    </filterColumn>
  </autoFilter>
  <tableColumns count="3">
    <tableColumn id="3" name="APPENDIX" dataDxfId="19"/>
    <tableColumn id="1" name="WBS Code" dataDxfId="18"/>
    <tableColumn id="2" name="Element Title:" dataDxfId="17"/>
  </tableColumns>
  <tableStyleInfo showFirstColumn="0" showLastColumn="0" showRowStripes="0" showColumnStripes="0"/>
</table>
</file>

<file path=xl/tables/table5.xml><?xml version="1.0" encoding="utf-8"?>
<table xmlns="http://schemas.openxmlformats.org/spreadsheetml/2006/main" id="17" name="UDFs" displayName="UDFs" ref="B2:O16" totalsRowShown="0" headerRowDxfId="16" dataDxfId="15" tableBorderDxfId="14" headerRowCellStyle="Normal 10 11">
  <autoFilter ref="B2:O16"/>
  <tableColumns count="14">
    <tableColumn id="1" name="ID" dataDxfId="13" dataCellStyle="Normal 10 11"/>
    <tableColumn id="2" name="Category" dataDxfId="12" dataCellStyle="Normal 10 11"/>
    <tableColumn id="3" name="Macro" dataDxfId="11" dataCellStyle="Normal 10 11">
      <calculatedColumnFormula>LEFT(E3,FIND("(",E3)-1)</calculatedColumnFormula>
    </tableColumn>
    <tableColumn id="4" name="Function" dataDxfId="10" dataCellStyle="Normal 10 11"/>
    <tableColumn id="5" name="Description" dataDxfId="9" dataCellStyle="Normal 10 11"/>
    <tableColumn id="6" name="CDF" dataDxfId="8" dataCellStyle="Normal 10 11"/>
    <tableColumn id="7" name="Notes" dataDxfId="7" dataCellStyle="Normal 10 11"/>
    <tableColumn id="8" name="Param 1" dataDxfId="6"/>
    <tableColumn id="9" name="Param 2" dataDxfId="5"/>
    <tableColumn id="10" name="Param 3" dataDxfId="4"/>
    <tableColumn id="11" name="Param 4" dataDxfId="3"/>
    <tableColumn id="12" name="Param 5" dataDxfId="2"/>
    <tableColumn id="13" name="Param 6" dataDxfId="1"/>
    <tableColumn id="14" name="Param 7" dataDxfId="0"/>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A1:E32"/>
  <sheetViews>
    <sheetView showGridLines="0" tabSelected="1" zoomScale="70" zoomScaleNormal="70" workbookViewId="0">
      <pane xSplit="1" ySplit="1" topLeftCell="B2" activePane="bottomRight" state="frozen"/>
      <selection pane="topRight" activeCell="B1" sqref="B1"/>
      <selection pane="bottomLeft" activeCell="A2" sqref="A2"/>
      <selection pane="bottomRight" activeCell="C23" sqref="C23"/>
    </sheetView>
  </sheetViews>
  <sheetFormatPr defaultRowHeight="15"/>
  <cols>
    <col min="1" max="1" width="11.140625" customWidth="1"/>
    <col min="2" max="2" width="23.140625" customWidth="1"/>
    <col min="3" max="3" width="39.85546875" bestFit="1" customWidth="1"/>
    <col min="4" max="4" width="37.140625" customWidth="1"/>
    <col min="5" max="5" width="199.28515625" customWidth="1"/>
    <col min="6" max="6" width="13.85546875" customWidth="1"/>
    <col min="7" max="7" width="115.7109375" customWidth="1"/>
  </cols>
  <sheetData>
    <row r="1" spans="1:5">
      <c r="A1" s="89" t="s">
        <v>264</v>
      </c>
      <c r="B1" s="10" t="s">
        <v>316</v>
      </c>
      <c r="C1" s="10" t="s">
        <v>317</v>
      </c>
      <c r="D1" s="10" t="s">
        <v>318</v>
      </c>
      <c r="E1" s="87" t="s">
        <v>263</v>
      </c>
    </row>
    <row r="2" spans="1:5">
      <c r="A2" s="2" t="s">
        <v>257</v>
      </c>
      <c r="B2" s="91"/>
      <c r="C2" s="91"/>
      <c r="D2" s="91"/>
      <c r="E2" s="90"/>
    </row>
    <row r="3" spans="1:5">
      <c r="A3" s="2" t="s">
        <v>257</v>
      </c>
      <c r="B3" s="2" t="s">
        <v>261</v>
      </c>
      <c r="C3" s="91"/>
      <c r="D3" s="91"/>
      <c r="E3" s="88" t="s">
        <v>265</v>
      </c>
    </row>
    <row r="4" spans="1:5">
      <c r="A4" s="2" t="s">
        <v>257</v>
      </c>
      <c r="B4" s="2" t="s">
        <v>258</v>
      </c>
      <c r="C4" s="2" t="s">
        <v>262</v>
      </c>
      <c r="D4" s="91"/>
      <c r="E4" s="1" t="s">
        <v>267</v>
      </c>
    </row>
    <row r="5" spans="1:5" ht="30">
      <c r="A5" s="2" t="s">
        <v>257</v>
      </c>
      <c r="B5" s="2" t="s">
        <v>258</v>
      </c>
      <c r="C5" s="2" t="s">
        <v>266</v>
      </c>
      <c r="D5" s="91"/>
      <c r="E5" s="1" t="s">
        <v>268</v>
      </c>
    </row>
    <row r="6" spans="1:5" ht="45">
      <c r="A6" s="2" t="s">
        <v>257</v>
      </c>
      <c r="B6" s="2" t="s">
        <v>259</v>
      </c>
      <c r="C6" s="2" t="s">
        <v>269</v>
      </c>
      <c r="D6" s="91"/>
      <c r="E6" s="1" t="s">
        <v>323</v>
      </c>
    </row>
    <row r="7" spans="1:5" ht="75">
      <c r="A7" s="2" t="s">
        <v>257</v>
      </c>
      <c r="B7" s="2" t="s">
        <v>259</v>
      </c>
      <c r="C7" s="2" t="s">
        <v>319</v>
      </c>
      <c r="D7" s="91"/>
      <c r="E7" s="1" t="s">
        <v>322</v>
      </c>
    </row>
    <row r="8" spans="1:5">
      <c r="A8" s="2" t="s">
        <v>257</v>
      </c>
      <c r="B8" s="2" t="s">
        <v>259</v>
      </c>
      <c r="C8" s="2" t="s">
        <v>270</v>
      </c>
      <c r="D8" s="2" t="s">
        <v>303</v>
      </c>
      <c r="E8" s="1" t="s">
        <v>306</v>
      </c>
    </row>
    <row r="9" spans="1:5" ht="30">
      <c r="A9" s="2" t="s">
        <v>257</v>
      </c>
      <c r="B9" s="2" t="s">
        <v>259</v>
      </c>
      <c r="C9" s="2" t="s">
        <v>270</v>
      </c>
      <c r="D9" s="2" t="s">
        <v>304</v>
      </c>
      <c r="E9" s="1" t="s">
        <v>307</v>
      </c>
    </row>
    <row r="10" spans="1:5" ht="30">
      <c r="A10" s="2" t="s">
        <v>257</v>
      </c>
      <c r="B10" s="2" t="s">
        <v>259</v>
      </c>
      <c r="C10" s="2" t="s">
        <v>270</v>
      </c>
      <c r="D10" s="2" t="s">
        <v>305</v>
      </c>
      <c r="E10" s="1" t="s">
        <v>308</v>
      </c>
    </row>
    <row r="11" spans="1:5" ht="30">
      <c r="A11" s="2" t="s">
        <v>257</v>
      </c>
      <c r="B11" s="2" t="s">
        <v>259</v>
      </c>
      <c r="C11" s="2" t="s">
        <v>271</v>
      </c>
      <c r="D11" s="2" t="s">
        <v>274</v>
      </c>
      <c r="E11" s="1" t="s">
        <v>321</v>
      </c>
    </row>
    <row r="12" spans="1:5">
      <c r="A12" s="2" t="s">
        <v>257</v>
      </c>
      <c r="B12" s="2" t="s">
        <v>259</v>
      </c>
      <c r="C12" s="2" t="s">
        <v>271</v>
      </c>
      <c r="D12" s="2" t="s">
        <v>275</v>
      </c>
      <c r="E12" s="1" t="s">
        <v>309</v>
      </c>
    </row>
    <row r="13" spans="1:5">
      <c r="A13" s="2" t="s">
        <v>257</v>
      </c>
      <c r="B13" s="2" t="s">
        <v>259</v>
      </c>
      <c r="C13" s="2" t="s">
        <v>271</v>
      </c>
      <c r="D13" s="2" t="s">
        <v>276</v>
      </c>
      <c r="E13" s="1" t="s">
        <v>310</v>
      </c>
    </row>
    <row r="14" spans="1:5">
      <c r="A14" s="2" t="s">
        <v>257</v>
      </c>
      <c r="B14" s="2" t="s">
        <v>259</v>
      </c>
      <c r="C14" s="2" t="s">
        <v>272</v>
      </c>
      <c r="D14" s="2" t="s">
        <v>277</v>
      </c>
      <c r="E14" s="1" t="s">
        <v>293</v>
      </c>
    </row>
    <row r="15" spans="1:5">
      <c r="A15" s="2" t="s">
        <v>257</v>
      </c>
      <c r="B15" s="2" t="s">
        <v>259</v>
      </c>
      <c r="C15" s="2" t="s">
        <v>272</v>
      </c>
      <c r="D15" s="2" t="s">
        <v>278</v>
      </c>
      <c r="E15" s="1" t="s">
        <v>294</v>
      </c>
    </row>
    <row r="16" spans="1:5">
      <c r="A16" s="2" t="s">
        <v>257</v>
      </c>
      <c r="B16" s="2" t="s">
        <v>259</v>
      </c>
      <c r="C16" s="2" t="s">
        <v>272</v>
      </c>
      <c r="D16" s="2" t="s">
        <v>279</v>
      </c>
      <c r="E16" s="1" t="s">
        <v>295</v>
      </c>
    </row>
    <row r="17" spans="1:5">
      <c r="A17" s="2" t="s">
        <v>257</v>
      </c>
      <c r="B17" s="2" t="s">
        <v>259</v>
      </c>
      <c r="C17" s="2" t="s">
        <v>272</v>
      </c>
      <c r="D17" s="2" t="s">
        <v>280</v>
      </c>
      <c r="E17" s="1" t="s">
        <v>296</v>
      </c>
    </row>
    <row r="18" spans="1:5">
      <c r="A18" s="2" t="s">
        <v>257</v>
      </c>
      <c r="B18" s="2" t="s">
        <v>259</v>
      </c>
      <c r="C18" s="2" t="s">
        <v>273</v>
      </c>
      <c r="D18" s="2" t="s">
        <v>281</v>
      </c>
      <c r="E18" s="1" t="s">
        <v>311</v>
      </c>
    </row>
    <row r="19" spans="1:5">
      <c r="A19" s="2" t="s">
        <v>257</v>
      </c>
      <c r="B19" s="2" t="s">
        <v>259</v>
      </c>
      <c r="C19" s="2" t="s">
        <v>273</v>
      </c>
      <c r="D19" s="2" t="s">
        <v>25</v>
      </c>
      <c r="E19" s="1" t="s">
        <v>312</v>
      </c>
    </row>
    <row r="20" spans="1:5">
      <c r="A20" s="2" t="s">
        <v>257</v>
      </c>
      <c r="B20" s="2" t="s">
        <v>259</v>
      </c>
      <c r="C20" s="2" t="s">
        <v>273</v>
      </c>
      <c r="D20" s="2" t="s">
        <v>282</v>
      </c>
      <c r="E20" s="1" t="s">
        <v>313</v>
      </c>
    </row>
    <row r="21" spans="1:5">
      <c r="A21" s="2" t="s">
        <v>257</v>
      </c>
      <c r="B21" s="2" t="s">
        <v>259</v>
      </c>
      <c r="C21" s="2" t="s">
        <v>273</v>
      </c>
      <c r="D21" s="2" t="s">
        <v>283</v>
      </c>
      <c r="E21" s="1" t="s">
        <v>314</v>
      </c>
    </row>
    <row r="22" spans="1:5">
      <c r="A22" s="2" t="s">
        <v>257</v>
      </c>
      <c r="B22" s="2" t="s">
        <v>259</v>
      </c>
      <c r="C22" s="2" t="s">
        <v>273</v>
      </c>
      <c r="D22" s="2" t="s">
        <v>284</v>
      </c>
      <c r="E22" s="1" t="s">
        <v>315</v>
      </c>
    </row>
    <row r="23" spans="1:5">
      <c r="A23" s="2" t="s">
        <v>257</v>
      </c>
      <c r="B23" s="2" t="s">
        <v>260</v>
      </c>
      <c r="C23" s="2" t="s">
        <v>285</v>
      </c>
      <c r="D23" s="2"/>
      <c r="E23" s="1" t="s">
        <v>297</v>
      </c>
    </row>
    <row r="24" spans="1:5">
      <c r="A24" s="2" t="s">
        <v>257</v>
      </c>
      <c r="B24" s="2" t="s">
        <v>260</v>
      </c>
      <c r="C24" s="2" t="s">
        <v>286</v>
      </c>
      <c r="D24" s="2" t="s">
        <v>288</v>
      </c>
      <c r="E24" s="1" t="s">
        <v>299</v>
      </c>
    </row>
    <row r="25" spans="1:5">
      <c r="A25" s="2" t="s">
        <v>257</v>
      </c>
      <c r="B25" s="2" t="s">
        <v>260</v>
      </c>
      <c r="C25" s="2" t="s">
        <v>287</v>
      </c>
      <c r="D25" s="2" t="s">
        <v>289</v>
      </c>
      <c r="E25" s="1" t="s">
        <v>301</v>
      </c>
    </row>
    <row r="26" spans="1:5">
      <c r="A26" s="2" t="s">
        <v>257</v>
      </c>
      <c r="B26" s="2" t="s">
        <v>260</v>
      </c>
      <c r="C26" s="2" t="s">
        <v>287</v>
      </c>
      <c r="D26" s="2" t="s">
        <v>290</v>
      </c>
      <c r="E26" s="1" t="s">
        <v>302</v>
      </c>
    </row>
    <row r="27" spans="1:5">
      <c r="A27" s="2" t="s">
        <v>257</v>
      </c>
      <c r="B27" s="2" t="s">
        <v>260</v>
      </c>
      <c r="C27" s="2" t="s">
        <v>287</v>
      </c>
      <c r="D27" s="2" t="s">
        <v>298</v>
      </c>
      <c r="E27" s="1" t="s">
        <v>300</v>
      </c>
    </row>
    <row r="28" spans="1:5" ht="30">
      <c r="A28" s="2" t="s">
        <v>257</v>
      </c>
      <c r="B28" s="2" t="s">
        <v>260</v>
      </c>
      <c r="C28" s="2" t="s">
        <v>287</v>
      </c>
      <c r="D28" s="2" t="s">
        <v>1460</v>
      </c>
      <c r="E28" s="1" t="s">
        <v>1461</v>
      </c>
    </row>
    <row r="29" spans="1:5" ht="60">
      <c r="A29" s="2" t="s">
        <v>257</v>
      </c>
      <c r="B29" s="2" t="s">
        <v>260</v>
      </c>
      <c r="C29" s="2" t="s">
        <v>291</v>
      </c>
      <c r="D29" s="91"/>
      <c r="E29" s="1" t="s">
        <v>320</v>
      </c>
    </row>
    <row r="30" spans="1:5">
      <c r="A30" s="2" t="s">
        <v>257</v>
      </c>
      <c r="B30" s="2" t="s">
        <v>260</v>
      </c>
      <c r="C30" s="2" t="s">
        <v>292</v>
      </c>
      <c r="D30" s="91"/>
      <c r="E30" s="1" t="s">
        <v>324</v>
      </c>
    </row>
    <row r="32" spans="1:5">
      <c r="B32" s="92" t="s">
        <v>325</v>
      </c>
    </row>
  </sheetData>
  <autoFilter ref="A1:E3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5"/>
  <sheetViews>
    <sheetView workbookViewId="0">
      <selection activeCell="C5" sqref="C5:C12"/>
    </sheetView>
  </sheetViews>
  <sheetFormatPr defaultRowHeight="15"/>
  <sheetData>
    <row r="5" spans="1:1"/>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C22:M38"/>
  <sheetViews>
    <sheetView topLeftCell="A13" workbookViewId="0">
      <selection activeCell="C5" sqref="C5:C12"/>
    </sheetView>
  </sheetViews>
  <sheetFormatPr defaultRowHeight="15"/>
  <sheetData>
    <row r="22" spans="3:3">
      <c r="C22" s="3"/>
    </row>
    <row r="23" spans="3:3">
      <c r="C23" s="4"/>
    </row>
    <row r="38" spans="13:13"/>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50"/>
  </sheetPr>
  <dimension ref="D17"/>
  <sheetViews>
    <sheetView workbookViewId="0">
      <selection activeCell="C5" sqref="C5:C12"/>
    </sheetView>
  </sheetViews>
  <sheetFormatPr defaultRowHeight="15"/>
  <sheetData>
    <row r="17" spans="4:4"/>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50"/>
  </sheetPr>
  <dimension ref="D3"/>
  <sheetViews>
    <sheetView workbookViewId="0">
      <selection activeCell="C5" sqref="C5:C12"/>
    </sheetView>
  </sheetViews>
  <sheetFormatPr defaultRowHeight="15"/>
  <sheetData>
    <row r="3" spans="4:4"/>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499984740745262"/>
  </sheetPr>
  <dimension ref="B1:P12"/>
  <sheetViews>
    <sheetView showGridLines="0" zoomScale="70" zoomScaleNormal="70" workbookViewId="0">
      <selection activeCell="K12" sqref="K12"/>
    </sheetView>
  </sheetViews>
  <sheetFormatPr defaultColWidth="9.140625" defaultRowHeight="15.75"/>
  <cols>
    <col min="1" max="1" width="3.140625" style="26" customWidth="1"/>
    <col min="2" max="2" width="3.42578125" style="26" bestFit="1" customWidth="1"/>
    <col min="3" max="3" width="16.5703125" style="26" bestFit="1" customWidth="1"/>
    <col min="4" max="5" width="12.28515625" style="26" customWidth="1"/>
    <col min="6" max="6" width="13" style="26" customWidth="1"/>
    <col min="7" max="7" width="24.5703125" style="26" customWidth="1"/>
    <col min="8" max="8" width="24.42578125" style="26" customWidth="1"/>
    <col min="9" max="9" width="20" style="26" customWidth="1"/>
    <col min="10" max="10" width="15.85546875" style="26" customWidth="1"/>
    <col min="11" max="11" width="16" style="26" customWidth="1"/>
    <col min="12" max="12" width="17.140625" style="26" bestFit="1" customWidth="1"/>
    <col min="13" max="13" width="10.28515625" style="26" customWidth="1"/>
    <col min="14" max="14" width="34.7109375" customWidth="1"/>
    <col min="15" max="15" width="43.85546875" style="26" customWidth="1"/>
    <col min="16" max="16" width="11.140625" style="26" bestFit="1" customWidth="1"/>
    <col min="17" max="17" width="11.28515625" style="26" customWidth="1"/>
    <col min="18" max="16384" width="9.140625" style="26"/>
  </cols>
  <sheetData>
    <row r="1" spans="2:16">
      <c r="N1" s="26"/>
    </row>
    <row r="2" spans="2:16">
      <c r="C2" s="69" t="s">
        <v>248</v>
      </c>
      <c r="D2" s="30" t="s">
        <v>235</v>
      </c>
      <c r="E2" s="30" t="s">
        <v>236</v>
      </c>
      <c r="F2" s="30" t="s">
        <v>237</v>
      </c>
      <c r="J2" s="70"/>
      <c r="N2" s="26"/>
    </row>
    <row r="3" spans="2:16">
      <c r="C3" s="71" t="s">
        <v>238</v>
      </c>
      <c r="D3" s="53">
        <f>COUNTIFS(Comment_Tracker[Comment], "&lt;&gt;",Comment_Tracker[Comment Type],C3, Comment_Tracker[Date Closed], "")</f>
        <v>0</v>
      </c>
      <c r="E3" s="53">
        <f>COUNTIFS(Comment_Tracker[Comment Type],C3, Comment_Tracker[Date Closed], "&lt;&gt;")</f>
        <v>0</v>
      </c>
      <c r="F3" s="72">
        <f t="shared" ref="F3:F8" si="0">IFERROR(D3/SUM(D3:E3), 0)</f>
        <v>0</v>
      </c>
      <c r="J3" s="70"/>
      <c r="N3" s="26"/>
    </row>
    <row r="4" spans="2:16">
      <c r="C4" s="71" t="s">
        <v>227</v>
      </c>
      <c r="D4" s="53">
        <f>COUNTIFS(Comment_Tracker[Comment], "&lt;&gt;",Comment_Tracker[Comment Type],C4, Comment_Tracker[Date Closed], "")</f>
        <v>0</v>
      </c>
      <c r="E4" s="53">
        <f>COUNTIFS(Comment_Tracker[Comment Type],C4, Comment_Tracker[Date Closed], "&lt;&gt;")</f>
        <v>0</v>
      </c>
      <c r="F4" s="72">
        <f t="shared" si="0"/>
        <v>0</v>
      </c>
      <c r="J4" s="70"/>
      <c r="N4" s="26"/>
    </row>
    <row r="5" spans="2:16">
      <c r="C5" s="71" t="s">
        <v>239</v>
      </c>
      <c r="D5" s="53">
        <f>COUNTIFS(Comment_Tracker[Comment], "&lt;&gt;",Comment_Tracker[Comment Type],C5, Comment_Tracker[Date Closed], "")</f>
        <v>0</v>
      </c>
      <c r="E5" s="53">
        <f>COUNTIFS(Comment_Tracker[Comment Type],C5, Comment_Tracker[Date Closed], "&lt;&gt;")</f>
        <v>0</v>
      </c>
      <c r="F5" s="72">
        <f t="shared" si="0"/>
        <v>0</v>
      </c>
      <c r="J5" s="70"/>
      <c r="N5" s="26"/>
    </row>
    <row r="6" spans="2:16">
      <c r="C6" s="71" t="s">
        <v>240</v>
      </c>
      <c r="D6" s="53">
        <f>COUNTIFS(Comment_Tracker[Comment], "&lt;&gt;",Comment_Tracker[Comment Type],C6, Comment_Tracker[Date Closed], "")</f>
        <v>0</v>
      </c>
      <c r="E6" s="53">
        <f>COUNTIFS(Comment_Tracker[Comment Type],C6, Comment_Tracker[Date Closed], "&lt;&gt;")</f>
        <v>0</v>
      </c>
      <c r="F6" s="72">
        <f t="shared" si="0"/>
        <v>0</v>
      </c>
      <c r="J6" s="70"/>
      <c r="N6" s="26"/>
    </row>
    <row r="7" spans="2:16">
      <c r="C7" s="71" t="s">
        <v>256</v>
      </c>
      <c r="D7" s="53">
        <f>COUNTIFS(Comment_Tracker[Comment], "&lt;&gt;", Comment_Tracker[Date Closed], "")-SUM(D3:D6)</f>
        <v>0</v>
      </c>
      <c r="E7" s="53">
        <f>COUNTIFS(Comment_Tracker[Comment], "&lt;&gt;", Comment_Tracker[Date Closed], "&lt;&gt;")-SUM(E3:E6)</f>
        <v>0</v>
      </c>
      <c r="F7" s="72">
        <f t="shared" si="0"/>
        <v>0</v>
      </c>
      <c r="J7" s="70"/>
      <c r="N7" s="26"/>
    </row>
    <row r="8" spans="2:16">
      <c r="C8" s="73" t="s">
        <v>1</v>
      </c>
      <c r="D8" s="74">
        <f>SUM(D3:D7)</f>
        <v>0</v>
      </c>
      <c r="E8" s="74">
        <f>SUM(E3:E7)</f>
        <v>0</v>
      </c>
      <c r="F8" s="75">
        <f t="shared" si="0"/>
        <v>0</v>
      </c>
      <c r="J8" s="76"/>
      <c r="N8" s="26"/>
    </row>
    <row r="9" spans="2:16">
      <c r="N9" s="26"/>
    </row>
    <row r="10" spans="2:16">
      <c r="N10" s="26"/>
    </row>
    <row r="11" spans="2:16" ht="31.5">
      <c r="B11" s="77" t="s">
        <v>249</v>
      </c>
      <c r="C11" s="78" t="s">
        <v>241</v>
      </c>
      <c r="D11" s="78" t="s">
        <v>251</v>
      </c>
      <c r="E11" s="78" t="s">
        <v>247</v>
      </c>
      <c r="F11" s="78" t="s">
        <v>253</v>
      </c>
      <c r="G11" s="78" t="s">
        <v>254</v>
      </c>
      <c r="H11" s="78" t="s">
        <v>255</v>
      </c>
      <c r="I11" s="78" t="s">
        <v>250</v>
      </c>
      <c r="J11" s="78" t="s">
        <v>242</v>
      </c>
      <c r="K11" s="78" t="s">
        <v>1747</v>
      </c>
      <c r="L11" s="78" t="s">
        <v>243</v>
      </c>
      <c r="M11" s="78" t="s">
        <v>244</v>
      </c>
      <c r="N11" s="78" t="s">
        <v>245</v>
      </c>
      <c r="O11" s="78" t="s">
        <v>246</v>
      </c>
      <c r="P11" s="79" t="s">
        <v>252</v>
      </c>
    </row>
    <row r="12" spans="2:16">
      <c r="B12" s="80"/>
      <c r="C12" s="81"/>
      <c r="D12" s="81"/>
      <c r="E12" s="81"/>
      <c r="F12" s="82"/>
      <c r="G12" s="86"/>
      <c r="H12" s="86"/>
      <c r="I12" s="83"/>
      <c r="J12" s="83"/>
      <c r="K12" s="82"/>
      <c r="L12" s="82"/>
      <c r="M12" s="82"/>
      <c r="N12" s="85"/>
      <c r="O12" s="85"/>
      <c r="P12" s="84"/>
    </row>
  </sheetData>
  <dataConsolid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sheetPr>
  <dimension ref="A1:B5"/>
  <sheetViews>
    <sheetView workbookViewId="0">
      <selection activeCell="B3" sqref="B3"/>
    </sheetView>
  </sheetViews>
  <sheetFormatPr defaultColWidth="9.140625" defaultRowHeight="15.75"/>
  <cols>
    <col min="1" max="1" width="17.7109375" style="6" bestFit="1" customWidth="1"/>
    <col min="2" max="5" width="9.140625" style="6"/>
    <col min="6" max="6" width="12.7109375" style="6" bestFit="1" customWidth="1"/>
    <col min="7" max="16384" width="9.140625" style="6"/>
  </cols>
  <sheetData>
    <row r="1" spans="1:2">
      <c r="A1" s="6" t="s">
        <v>2</v>
      </c>
    </row>
    <row r="2" spans="1:2">
      <c r="A2" s="6" t="s">
        <v>3</v>
      </c>
      <c r="B2" s="6">
        <v>0.15</v>
      </c>
    </row>
    <row r="3" spans="1:2">
      <c r="A3" s="6" t="s">
        <v>4</v>
      </c>
      <c r="B3" s="7">
        <v>0.05</v>
      </c>
    </row>
    <row r="4" spans="1:2">
      <c r="A4" s="6" t="s">
        <v>5</v>
      </c>
      <c r="B4" s="8">
        <v>115</v>
      </c>
    </row>
    <row r="5" spans="1:2">
      <c r="A5" s="6" t="s">
        <v>6</v>
      </c>
      <c r="B5" s="6">
        <v>225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C6"/>
  <sheetViews>
    <sheetView workbookViewId="0">
      <selection activeCell="B2" sqref="B2"/>
    </sheetView>
  </sheetViews>
  <sheetFormatPr defaultColWidth="9.140625" defaultRowHeight="15.75"/>
  <cols>
    <col min="1" max="1" width="8.85546875" style="6" bestFit="1" customWidth="1"/>
    <col min="2" max="2" width="30.140625" style="6" bestFit="1" customWidth="1"/>
    <col min="3" max="3" width="13.5703125" style="6" bestFit="1" customWidth="1"/>
    <col min="4" max="16384" width="9.140625" style="6"/>
  </cols>
  <sheetData>
    <row r="1" spans="1:3">
      <c r="A1" s="5" t="s">
        <v>7</v>
      </c>
      <c r="B1" s="5" t="s">
        <v>8</v>
      </c>
      <c r="C1" s="5" t="s">
        <v>9</v>
      </c>
    </row>
    <row r="2" spans="1:3">
      <c r="A2" s="6" t="s">
        <v>10</v>
      </c>
      <c r="B2" s="6" t="s">
        <v>11</v>
      </c>
      <c r="C2" s="9">
        <v>77875</v>
      </c>
    </row>
    <row r="3" spans="1:3">
      <c r="A3" s="6" t="s">
        <v>12</v>
      </c>
      <c r="B3" s="6" t="s">
        <v>13</v>
      </c>
      <c r="C3" s="9">
        <v>3893.75</v>
      </c>
    </row>
    <row r="4" spans="1:3">
      <c r="A4" s="6" t="s">
        <v>14</v>
      </c>
      <c r="B4" s="6" t="s">
        <v>15</v>
      </c>
      <c r="C4" s="9">
        <v>11681.25</v>
      </c>
    </row>
    <row r="5" spans="1:3">
      <c r="A5" s="6" t="s">
        <v>16</v>
      </c>
      <c r="B5" s="6" t="s">
        <v>17</v>
      </c>
      <c r="C5" s="9">
        <v>93450</v>
      </c>
    </row>
    <row r="6" spans="1:3">
      <c r="A6" s="6" t="s">
        <v>18</v>
      </c>
      <c r="B6" s="6" t="s">
        <v>19</v>
      </c>
      <c r="C6" s="6">
        <v>303225781.25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99"/>
  </sheetPr>
  <dimension ref="B1:EB84"/>
  <sheetViews>
    <sheetView showGridLines="0" zoomScale="70" zoomScaleNormal="70" workbookViewId="0">
      <pane xSplit="3" ySplit="7" topLeftCell="D8" activePane="bottomRight" state="frozen"/>
      <selection activeCell="G42" activeCellId="1" sqref="C23 G42"/>
      <selection pane="topRight" activeCell="G42" activeCellId="1" sqref="C23 G42"/>
      <selection pane="bottomLeft" activeCell="G42" activeCellId="1" sqref="C23 G42"/>
      <selection pane="bottomRight" activeCell="O4" sqref="O4"/>
    </sheetView>
  </sheetViews>
  <sheetFormatPr defaultColWidth="9.140625" defaultRowHeight="15"/>
  <cols>
    <col min="1" max="1" width="9.140625" style="11"/>
    <col min="2" max="2" width="78.42578125" style="11" bestFit="1" customWidth="1"/>
    <col min="3" max="3" width="16.28515625" style="11" bestFit="1" customWidth="1"/>
    <col min="4" max="95" width="8.5703125" style="11" bestFit="1" customWidth="1"/>
    <col min="96" max="98" width="9.140625" style="11"/>
    <col min="99" max="99" width="11" style="11" bestFit="1" customWidth="1"/>
    <col min="100" max="16384" width="9.140625" style="11"/>
  </cols>
  <sheetData>
    <row r="1" spans="2:132" ht="30">
      <c r="B1" s="24" t="str">
        <f ca="1">IF(TODAY()&gt;C4+365,"UPDATE INFLATION INDICES","INFLATION INDICES ARE UP TO DATE")</f>
        <v>INFLATION INDICES ARE UP TO DATE</v>
      </c>
      <c r="AX1" s="23"/>
    </row>
    <row r="2" spans="2:132">
      <c r="AX2" s="23"/>
    </row>
    <row r="3" spans="2:132">
      <c r="B3" s="68" t="s">
        <v>20</v>
      </c>
      <c r="C3" s="66">
        <v>2018</v>
      </c>
    </row>
    <row r="4" spans="2:132" ht="15.75">
      <c r="B4" s="68" t="s">
        <v>192</v>
      </c>
      <c r="C4" s="67">
        <v>42807</v>
      </c>
    </row>
    <row r="6" spans="2:132">
      <c r="D6" s="11" t="str">
        <f>Inflation_Raw[[#Headers],[1970]]</f>
        <v>1970</v>
      </c>
      <c r="E6" s="11" t="str">
        <f>Inflation_Raw[[#Headers],[1971]]</f>
        <v>1971</v>
      </c>
      <c r="F6" s="11" t="str">
        <f>Inflation_Raw[[#Headers],[1972]]</f>
        <v>1972</v>
      </c>
      <c r="G6" s="11" t="str">
        <f>Inflation_Raw[[#Headers],[1973]]</f>
        <v>1973</v>
      </c>
      <c r="H6" s="11" t="str">
        <f>Inflation_Raw[[#Headers],[1974]]</f>
        <v>1974</v>
      </c>
      <c r="I6" s="11" t="str">
        <f>Inflation_Raw[[#Headers],[1975]]</f>
        <v>1975</v>
      </c>
      <c r="J6" s="11" t="str">
        <f>Inflation_Raw[[#Headers],[1976]]</f>
        <v>1976</v>
      </c>
      <c r="K6" s="11" t="str">
        <f>Inflation_Raw[[#Headers],[197T]]</f>
        <v>197T</v>
      </c>
      <c r="L6" s="11" t="str">
        <f>Inflation_Raw[[#Headers],[1977]]</f>
        <v>1977</v>
      </c>
      <c r="M6" s="11" t="str">
        <f>Inflation_Raw[[#Headers],[1978]]</f>
        <v>1978</v>
      </c>
      <c r="N6" s="11" t="str">
        <f>Inflation_Raw[[#Headers],[1979]]</f>
        <v>1979</v>
      </c>
      <c r="O6" s="11" t="str">
        <f>Inflation_Raw[[#Headers],[1980]]</f>
        <v>1980</v>
      </c>
      <c r="P6" s="11" t="str">
        <f>Inflation_Raw[[#Headers],[1981]]</f>
        <v>1981</v>
      </c>
      <c r="Q6" s="11" t="str">
        <f>Inflation_Raw[[#Headers],[1982]]</f>
        <v>1982</v>
      </c>
      <c r="R6" s="11" t="str">
        <f>Inflation_Raw[[#Headers],[1983]]</f>
        <v>1983</v>
      </c>
      <c r="S6" s="11" t="str">
        <f>Inflation_Raw[[#Headers],[1984]]</f>
        <v>1984</v>
      </c>
      <c r="T6" s="11" t="str">
        <f>Inflation_Raw[[#Headers],[1985]]</f>
        <v>1985</v>
      </c>
      <c r="U6" s="11" t="str">
        <f>Inflation_Raw[[#Headers],[1986]]</f>
        <v>1986</v>
      </c>
      <c r="V6" s="11" t="str">
        <f>Inflation_Raw[[#Headers],[1987]]</f>
        <v>1987</v>
      </c>
      <c r="W6" s="11" t="str">
        <f>Inflation_Raw[[#Headers],[1988]]</f>
        <v>1988</v>
      </c>
      <c r="X6" s="11" t="str">
        <f>Inflation_Raw[[#Headers],[1989]]</f>
        <v>1989</v>
      </c>
      <c r="Y6" s="11" t="str">
        <f>Inflation_Raw[[#Headers],[1990]]</f>
        <v>1990</v>
      </c>
      <c r="Z6" s="11" t="str">
        <f>Inflation_Raw[[#Headers],[1991]]</f>
        <v>1991</v>
      </c>
      <c r="AA6" s="11" t="str">
        <f>Inflation_Raw[[#Headers],[1992]]</f>
        <v>1992</v>
      </c>
      <c r="AB6" s="11" t="str">
        <f>Inflation_Raw[[#Headers],[1993]]</f>
        <v>1993</v>
      </c>
      <c r="AC6" s="11" t="str">
        <f>Inflation_Raw[[#Headers],[1994]]</f>
        <v>1994</v>
      </c>
      <c r="AD6" s="11" t="str">
        <f>Inflation_Raw[[#Headers],[1995]]</f>
        <v>1995</v>
      </c>
      <c r="AE6" s="11" t="str">
        <f>Inflation_Raw[[#Headers],[1996]]</f>
        <v>1996</v>
      </c>
      <c r="AF6" s="11" t="str">
        <f>Inflation_Raw[[#Headers],[1997]]</f>
        <v>1997</v>
      </c>
      <c r="AG6" s="11" t="str">
        <f>Inflation_Raw[[#Headers],[1998]]</f>
        <v>1998</v>
      </c>
      <c r="AH6" s="11" t="str">
        <f>Inflation_Raw[[#Headers],[1999]]</f>
        <v>1999</v>
      </c>
      <c r="AI6" s="11" t="str">
        <f>Inflation_Raw[[#Headers],[2000]]</f>
        <v>2000</v>
      </c>
      <c r="AJ6" s="11" t="str">
        <f>Inflation_Raw[[#Headers],[2001]]</f>
        <v>2001</v>
      </c>
      <c r="AK6" s="11" t="str">
        <f>Inflation_Raw[[#Headers],[2002]]</f>
        <v>2002</v>
      </c>
      <c r="AL6" s="11" t="str">
        <f>Inflation_Raw[[#Headers],[2003]]</f>
        <v>2003</v>
      </c>
      <c r="AM6" s="11" t="str">
        <f>Inflation_Raw[[#Headers],[2004]]</f>
        <v>2004</v>
      </c>
      <c r="AN6" s="11" t="str">
        <f>Inflation_Raw[[#Headers],[2005]]</f>
        <v>2005</v>
      </c>
      <c r="AO6" s="11" t="str">
        <f>Inflation_Raw[[#Headers],[2006]]</f>
        <v>2006</v>
      </c>
      <c r="AP6" s="11" t="str">
        <f>Inflation_Raw[[#Headers],[2007]]</f>
        <v>2007</v>
      </c>
      <c r="AQ6" s="11" t="str">
        <f>Inflation_Raw[[#Headers],[2008]]</f>
        <v>2008</v>
      </c>
      <c r="AR6" s="11" t="str">
        <f>Inflation_Raw[[#Headers],[2009]]</f>
        <v>2009</v>
      </c>
      <c r="AS6" s="11" t="str">
        <f>Inflation_Raw[[#Headers],[2010]]</f>
        <v>2010</v>
      </c>
      <c r="AT6" s="11" t="str">
        <f>Inflation_Raw[[#Headers],[2011]]</f>
        <v>2011</v>
      </c>
      <c r="AU6" s="11" t="str">
        <f>Inflation_Raw[[#Headers],[2012]]</f>
        <v>2012</v>
      </c>
      <c r="AV6" s="11" t="str">
        <f>Inflation_Raw[[#Headers],[2013]]</f>
        <v>2013</v>
      </c>
      <c r="AW6" s="11" t="str">
        <f>Inflation_Raw[[#Headers],[2014]]</f>
        <v>2014</v>
      </c>
      <c r="AX6" s="11" t="str">
        <f>Inflation_Raw[[#Headers],[2015]]</f>
        <v>2015</v>
      </c>
      <c r="AY6" s="11" t="str">
        <f>Inflation_Raw[[#Headers],[2016]]</f>
        <v>2016</v>
      </c>
      <c r="AZ6" s="11" t="str">
        <f>Inflation_Raw[[#Headers],[2017]]</f>
        <v>2017</v>
      </c>
      <c r="BA6" s="11" t="str">
        <f>Inflation_Raw[[#Headers],[2018]]</f>
        <v>2018</v>
      </c>
      <c r="BB6" s="11" t="str">
        <f>Inflation_Raw[[#Headers],[2019]]</f>
        <v>2019</v>
      </c>
      <c r="BC6" s="11" t="str">
        <f>Inflation_Raw[[#Headers],[2020]]</f>
        <v>2020</v>
      </c>
      <c r="BD6" s="11" t="str">
        <f>Inflation_Raw[[#Headers],[2021]]</f>
        <v>2021</v>
      </c>
      <c r="BE6" s="11" t="str">
        <f>Inflation_Raw[[#Headers],[2022]]</f>
        <v>2022</v>
      </c>
      <c r="BF6" s="11" t="str">
        <f>Inflation_Raw[[#Headers],[2023]]</f>
        <v>2023</v>
      </c>
      <c r="BG6" s="11" t="str">
        <f>Inflation_Raw[[#Headers],[2024]]</f>
        <v>2024</v>
      </c>
      <c r="BH6" s="11" t="str">
        <f>Inflation_Raw[[#Headers],[2025]]</f>
        <v>2025</v>
      </c>
      <c r="BI6" s="11" t="str">
        <f>Inflation_Raw[[#Headers],[2026]]</f>
        <v>2026</v>
      </c>
      <c r="BJ6" s="11" t="str">
        <f>Inflation_Raw[[#Headers],[2027]]</f>
        <v>2027</v>
      </c>
      <c r="BK6" s="11" t="str">
        <f>Inflation_Raw[[#Headers],[2028]]</f>
        <v>2028</v>
      </c>
      <c r="BL6" s="11" t="str">
        <f>Inflation_Raw[[#Headers],[2029]]</f>
        <v>2029</v>
      </c>
      <c r="BM6" s="11" t="str">
        <f>Inflation_Raw[[#Headers],[2030]]</f>
        <v>2030</v>
      </c>
      <c r="BN6" s="11" t="str">
        <f>Inflation_Raw[[#Headers],[2031]]</f>
        <v>2031</v>
      </c>
      <c r="BO6" s="11" t="str">
        <f>Inflation_Raw[[#Headers],[2032]]</f>
        <v>2032</v>
      </c>
      <c r="BP6" s="11" t="str">
        <f>Inflation_Raw[[#Headers],[2033]]</f>
        <v>2033</v>
      </c>
      <c r="BQ6" s="11" t="str">
        <f>Inflation_Raw[[#Headers],[2034]]</f>
        <v>2034</v>
      </c>
      <c r="BR6" s="11" t="str">
        <f>Inflation_Raw[[#Headers],[2035]]</f>
        <v>2035</v>
      </c>
      <c r="BS6" s="11" t="str">
        <f>Inflation_Raw[[#Headers],[2036]]</f>
        <v>2036</v>
      </c>
      <c r="BT6" s="11" t="str">
        <f>Inflation_Raw[[#Headers],[2037]]</f>
        <v>2037</v>
      </c>
      <c r="BU6" s="11" t="str">
        <f>Inflation_Raw[[#Headers],[2038]]</f>
        <v>2038</v>
      </c>
      <c r="BV6" s="11" t="str">
        <f>Inflation_Raw[[#Headers],[2039]]</f>
        <v>2039</v>
      </c>
      <c r="BW6" s="11" t="str">
        <f>Inflation_Raw[[#Headers],[2040]]</f>
        <v>2040</v>
      </c>
      <c r="BX6" s="11" t="str">
        <f>Inflation_Raw[[#Headers],[2041]]</f>
        <v>2041</v>
      </c>
      <c r="BY6" s="11" t="str">
        <f>Inflation_Raw[[#Headers],[2042]]</f>
        <v>2042</v>
      </c>
      <c r="BZ6" s="11" t="str">
        <f>Inflation_Raw[[#Headers],[2043]]</f>
        <v>2043</v>
      </c>
      <c r="CA6" s="11" t="str">
        <f>Inflation_Raw[[#Headers],[2044]]</f>
        <v>2044</v>
      </c>
      <c r="CB6" s="11" t="str">
        <f>Inflation_Raw[[#Headers],[2045]]</f>
        <v>2045</v>
      </c>
      <c r="CC6" s="11" t="str">
        <f>Inflation_Raw[[#Headers],[2046]]</f>
        <v>2046</v>
      </c>
      <c r="CD6" s="11" t="str">
        <f>Inflation_Raw[[#Headers],[2047]]</f>
        <v>2047</v>
      </c>
      <c r="CE6" s="11" t="str">
        <f>Inflation_Raw[[#Headers],[2048]]</f>
        <v>2048</v>
      </c>
      <c r="CF6" s="11" t="str">
        <f>Inflation_Raw[[#Headers],[2049]]</f>
        <v>2049</v>
      </c>
      <c r="CG6" s="11" t="str">
        <f>Inflation_Raw[[#Headers],[2050]]</f>
        <v>2050</v>
      </c>
      <c r="CH6" s="11" t="str">
        <f>Inflation_Raw[[#Headers],[2051]]</f>
        <v>2051</v>
      </c>
      <c r="CI6" s="11" t="str">
        <f>Inflation_Raw[[#Headers],[2052]]</f>
        <v>2052</v>
      </c>
      <c r="CJ6" s="11" t="str">
        <f>Inflation_Raw[[#Headers],[2053]]</f>
        <v>2053</v>
      </c>
      <c r="CK6" s="11" t="str">
        <f>Inflation_Raw[[#Headers],[2054]]</f>
        <v>2054</v>
      </c>
      <c r="CL6" s="11" t="str">
        <f>Inflation_Raw[[#Headers],[2055]]</f>
        <v>2055</v>
      </c>
      <c r="CM6" s="11" t="str">
        <f>Inflation_Raw[[#Headers],[2056]]</f>
        <v>2056</v>
      </c>
      <c r="CN6" s="11" t="str">
        <f>Inflation_Raw[[#Headers],[2057]]</f>
        <v>2057</v>
      </c>
      <c r="CO6" s="11" t="str">
        <f>Inflation_Raw[[#Headers],[2058]]</f>
        <v>2058</v>
      </c>
      <c r="CP6" s="11" t="str">
        <f>Inflation_Raw[[#Headers],[2059]]</f>
        <v>2059</v>
      </c>
      <c r="CQ6" s="11" t="str">
        <f>Inflation_Raw[[#Headers],[2060]]</f>
        <v>2060</v>
      </c>
      <c r="CR6" s="11" t="str">
        <f>Inflation_Raw[[#Headers],[2061]]</f>
        <v>2061</v>
      </c>
      <c r="CS6" s="11" t="str">
        <f>Inflation_Raw[[#Headers],[2062]]</f>
        <v>2062</v>
      </c>
      <c r="CT6" s="11" t="str">
        <f>Inflation_Raw[[#Headers],[2063]]</f>
        <v>2063</v>
      </c>
      <c r="CU6" s="11" t="str">
        <f>Inflation_Raw[[#Headers],[2064]]</f>
        <v>2064</v>
      </c>
      <c r="CV6" s="11" t="str">
        <f>Inflation_Raw[[#Headers],[2065]]</f>
        <v>2065</v>
      </c>
      <c r="CW6" s="11" t="str">
        <f>Inflation_Raw[[#Headers],[2066]]</f>
        <v>2066</v>
      </c>
      <c r="CX6" s="11" t="str">
        <f>Inflation_Raw[[#Headers],[2067]]</f>
        <v>2067</v>
      </c>
      <c r="CY6" s="11" t="str">
        <f>Inflation_Raw[[#Headers],[2068]]</f>
        <v>2068</v>
      </c>
      <c r="CZ6" s="11" t="str">
        <f>Inflation_Raw[[#Headers],[2069]]</f>
        <v>2069</v>
      </c>
      <c r="DA6" s="11" t="str">
        <f>Inflation_Raw[[#Headers],[2070]]</f>
        <v>2070</v>
      </c>
      <c r="DB6" s="11" t="str">
        <f>Inflation_Raw[[#Headers],[2071]]</f>
        <v>2071</v>
      </c>
      <c r="DC6" s="11" t="str">
        <f>Inflation_Raw[[#Headers],[2072]]</f>
        <v>2072</v>
      </c>
      <c r="DD6" s="11" t="str">
        <f>Inflation_Raw[[#Headers],[2073]]</f>
        <v>2073</v>
      </c>
      <c r="DE6" s="11" t="str">
        <f>Inflation_Raw[[#Headers],[2074]]</f>
        <v>2074</v>
      </c>
      <c r="DF6" s="11" t="str">
        <f>Inflation_Raw[[#Headers],[2075]]</f>
        <v>2075</v>
      </c>
      <c r="DG6" s="11" t="str">
        <f>Inflation_Raw[[#Headers],[2076]]</f>
        <v>2076</v>
      </c>
      <c r="DH6" s="11" t="str">
        <f>Inflation_Raw[[#Headers],[2077]]</f>
        <v>2077</v>
      </c>
      <c r="DI6" s="11" t="str">
        <f>Inflation_Raw[[#Headers],[2078]]</f>
        <v>2078</v>
      </c>
      <c r="DJ6" s="11" t="str">
        <f>Inflation_Raw[[#Headers],[2079]]</f>
        <v>2079</v>
      </c>
      <c r="DK6" s="11" t="str">
        <f>Inflation_Raw[[#Headers],[2080]]</f>
        <v>2080</v>
      </c>
      <c r="DL6" s="11" t="str">
        <f>Inflation_Raw[[#Headers],[2081]]</f>
        <v>2081</v>
      </c>
      <c r="DM6" s="11" t="str">
        <f>Inflation_Raw[[#Headers],[2082]]</f>
        <v>2082</v>
      </c>
      <c r="DN6" s="11" t="str">
        <f>Inflation_Raw[[#Headers],[2083]]</f>
        <v>2083</v>
      </c>
      <c r="DO6" s="11" t="str">
        <f>Inflation_Raw[[#Headers],[2084]]</f>
        <v>2084</v>
      </c>
      <c r="DP6" s="11" t="str">
        <f>Inflation_Raw[[#Headers],[2085]]</f>
        <v>2085</v>
      </c>
      <c r="DQ6" s="11" t="str">
        <f>Inflation_Raw[[#Headers],[2086]]</f>
        <v>2086</v>
      </c>
      <c r="DR6" s="11" t="str">
        <f>Inflation_Raw[[#Headers],[2087]]</f>
        <v>2087</v>
      </c>
      <c r="DS6" s="11" t="str">
        <f>Inflation_Raw[[#Headers],[2088]]</f>
        <v>2088</v>
      </c>
      <c r="DT6" s="11" t="str">
        <f>Inflation_Raw[[#Headers],[2089]]</f>
        <v>2089</v>
      </c>
      <c r="DU6" s="11" t="str">
        <f>Inflation_Raw[[#Headers],[2090]]</f>
        <v>2090</v>
      </c>
      <c r="DV6" s="11" t="str">
        <f>Inflation_Raw[[#Headers],[2091]]</f>
        <v>2091</v>
      </c>
      <c r="DW6" s="11" t="str">
        <f>Inflation_Raw[[#Headers],[2092]]</f>
        <v>2092</v>
      </c>
      <c r="DX6" s="11" t="str">
        <f>Inflation_Raw[[#Headers],[2093]]</f>
        <v>2093</v>
      </c>
      <c r="DY6" s="11" t="str">
        <f>Inflation_Raw[[#Headers],[2094]]</f>
        <v>2094</v>
      </c>
      <c r="DZ6" s="11" t="str">
        <f>Inflation_Raw[[#Headers],[2095]]</f>
        <v>2095</v>
      </c>
      <c r="EA6" s="11" t="str">
        <f>Inflation_Raw[[#Headers],[2096]]</f>
        <v>2096</v>
      </c>
      <c r="EB6" s="11" t="str">
        <f>Inflation_Raw[[#Headers],[2097]]</f>
        <v>2097</v>
      </c>
    </row>
    <row r="7" spans="2:132">
      <c r="B7" s="15" t="s">
        <v>191</v>
      </c>
      <c r="C7" s="15" t="s">
        <v>190</v>
      </c>
      <c r="D7" s="15" t="s">
        <v>187</v>
      </c>
      <c r="E7" s="15" t="s">
        <v>186</v>
      </c>
      <c r="F7" s="15" t="s">
        <v>185</v>
      </c>
      <c r="G7" s="15" t="s">
        <v>184</v>
      </c>
      <c r="H7" s="15" t="s">
        <v>183</v>
      </c>
      <c r="I7" s="15" t="s">
        <v>182</v>
      </c>
      <c r="J7" s="15" t="s">
        <v>181</v>
      </c>
      <c r="K7" s="21" t="s">
        <v>180</v>
      </c>
      <c r="L7" s="15" t="s">
        <v>179</v>
      </c>
      <c r="M7" s="15" t="s">
        <v>178</v>
      </c>
      <c r="N7" s="15" t="s">
        <v>177</v>
      </c>
      <c r="O7" s="15" t="s">
        <v>176</v>
      </c>
      <c r="P7" s="15" t="s">
        <v>175</v>
      </c>
      <c r="Q7" s="15" t="s">
        <v>174</v>
      </c>
      <c r="R7" s="15" t="s">
        <v>173</v>
      </c>
      <c r="S7" s="15" t="s">
        <v>172</v>
      </c>
      <c r="T7" s="15" t="s">
        <v>171</v>
      </c>
      <c r="U7" s="15" t="s">
        <v>170</v>
      </c>
      <c r="V7" s="15" t="s">
        <v>169</v>
      </c>
      <c r="W7" s="15" t="s">
        <v>168</v>
      </c>
      <c r="X7" s="15" t="s">
        <v>167</v>
      </c>
      <c r="Y7" s="15" t="s">
        <v>166</v>
      </c>
      <c r="Z7" s="15" t="s">
        <v>165</v>
      </c>
      <c r="AA7" s="15" t="s">
        <v>164</v>
      </c>
      <c r="AB7" s="15" t="s">
        <v>163</v>
      </c>
      <c r="AC7" s="15" t="s">
        <v>162</v>
      </c>
      <c r="AD7" s="15" t="s">
        <v>161</v>
      </c>
      <c r="AE7" s="15" t="s">
        <v>160</v>
      </c>
      <c r="AF7" s="15" t="s">
        <v>159</v>
      </c>
      <c r="AG7" s="15" t="s">
        <v>158</v>
      </c>
      <c r="AH7" s="15" t="s">
        <v>157</v>
      </c>
      <c r="AI7" s="15" t="s">
        <v>156</v>
      </c>
      <c r="AJ7" s="15" t="s">
        <v>155</v>
      </c>
      <c r="AK7" s="15" t="s">
        <v>154</v>
      </c>
      <c r="AL7" s="15" t="s">
        <v>153</v>
      </c>
      <c r="AM7" s="15" t="s">
        <v>152</v>
      </c>
      <c r="AN7" s="15" t="s">
        <v>151</v>
      </c>
      <c r="AO7" s="15" t="s">
        <v>150</v>
      </c>
      <c r="AP7" s="15" t="s">
        <v>149</v>
      </c>
      <c r="AQ7" s="15" t="s">
        <v>148</v>
      </c>
      <c r="AR7" s="15" t="s">
        <v>147</v>
      </c>
      <c r="AS7" s="15" t="s">
        <v>146</v>
      </c>
      <c r="AT7" s="15" t="s">
        <v>145</v>
      </c>
      <c r="AU7" s="15" t="s">
        <v>144</v>
      </c>
      <c r="AV7" s="15" t="s">
        <v>143</v>
      </c>
      <c r="AW7" s="15" t="s">
        <v>142</v>
      </c>
      <c r="AX7" s="15" t="s">
        <v>141</v>
      </c>
      <c r="AY7" s="15" t="s">
        <v>140</v>
      </c>
      <c r="AZ7" s="15" t="s">
        <v>139</v>
      </c>
      <c r="BA7" s="15" t="s">
        <v>138</v>
      </c>
      <c r="BB7" s="15" t="s">
        <v>137</v>
      </c>
      <c r="BC7" s="15" t="s">
        <v>136</v>
      </c>
      <c r="BD7" s="15" t="s">
        <v>135</v>
      </c>
      <c r="BE7" s="15" t="s">
        <v>134</v>
      </c>
      <c r="BF7" s="15" t="s">
        <v>133</v>
      </c>
      <c r="BG7" s="15" t="s">
        <v>132</v>
      </c>
      <c r="BH7" s="15" t="s">
        <v>131</v>
      </c>
      <c r="BI7" s="15" t="s">
        <v>130</v>
      </c>
      <c r="BJ7" s="15" t="s">
        <v>129</v>
      </c>
      <c r="BK7" s="15" t="s">
        <v>128</v>
      </c>
      <c r="BL7" s="15" t="s">
        <v>127</v>
      </c>
      <c r="BM7" s="15" t="s">
        <v>126</v>
      </c>
      <c r="BN7" s="15" t="s">
        <v>125</v>
      </c>
      <c r="BO7" s="15" t="s">
        <v>124</v>
      </c>
      <c r="BP7" s="15" t="s">
        <v>123</v>
      </c>
      <c r="BQ7" s="15" t="s">
        <v>122</v>
      </c>
      <c r="BR7" s="15" t="s">
        <v>121</v>
      </c>
      <c r="BS7" s="15" t="s">
        <v>120</v>
      </c>
      <c r="BT7" s="15" t="s">
        <v>119</v>
      </c>
      <c r="BU7" s="15" t="s">
        <v>118</v>
      </c>
      <c r="BV7" s="15" t="s">
        <v>117</v>
      </c>
      <c r="BW7" s="15" t="s">
        <v>116</v>
      </c>
      <c r="BX7" s="15" t="s">
        <v>115</v>
      </c>
      <c r="BY7" s="15" t="s">
        <v>114</v>
      </c>
      <c r="BZ7" s="15" t="s">
        <v>113</v>
      </c>
      <c r="CA7" s="15" t="s">
        <v>112</v>
      </c>
      <c r="CB7" s="15" t="s">
        <v>111</v>
      </c>
      <c r="CC7" s="15" t="s">
        <v>110</v>
      </c>
      <c r="CD7" s="15" t="s">
        <v>109</v>
      </c>
      <c r="CE7" s="15" t="s">
        <v>108</v>
      </c>
      <c r="CF7" s="15" t="s">
        <v>107</v>
      </c>
      <c r="CG7" s="15" t="s">
        <v>106</v>
      </c>
      <c r="CH7" s="15" t="s">
        <v>105</v>
      </c>
      <c r="CI7" s="15" t="s">
        <v>104</v>
      </c>
      <c r="CJ7" s="15" t="s">
        <v>103</v>
      </c>
      <c r="CK7" s="15" t="s">
        <v>102</v>
      </c>
      <c r="CL7" s="15" t="s">
        <v>101</v>
      </c>
      <c r="CM7" s="15" t="s">
        <v>100</v>
      </c>
      <c r="CN7" s="15" t="s">
        <v>99</v>
      </c>
      <c r="CO7" s="15" t="s">
        <v>98</v>
      </c>
      <c r="CP7" s="15" t="s">
        <v>97</v>
      </c>
      <c r="CQ7" s="15" t="s">
        <v>96</v>
      </c>
      <c r="CR7" s="20" t="s">
        <v>95</v>
      </c>
      <c r="CS7" s="19" t="s">
        <v>94</v>
      </c>
      <c r="CT7" s="18" t="s">
        <v>93</v>
      </c>
      <c r="CU7" s="18" t="s">
        <v>92</v>
      </c>
      <c r="CV7" s="18" t="s">
        <v>91</v>
      </c>
      <c r="CW7" s="18" t="s">
        <v>90</v>
      </c>
      <c r="CX7" s="18" t="s">
        <v>89</v>
      </c>
      <c r="CY7" s="18" t="s">
        <v>88</v>
      </c>
      <c r="CZ7" s="18" t="s">
        <v>87</v>
      </c>
      <c r="DA7" s="18" t="s">
        <v>86</v>
      </c>
      <c r="DB7" s="18" t="s">
        <v>85</v>
      </c>
      <c r="DC7" s="18" t="s">
        <v>84</v>
      </c>
      <c r="DD7" s="18" t="s">
        <v>83</v>
      </c>
      <c r="DE7" s="18" t="s">
        <v>82</v>
      </c>
      <c r="DF7" s="18" t="s">
        <v>81</v>
      </c>
      <c r="DG7" s="18" t="s">
        <v>80</v>
      </c>
      <c r="DH7" s="18" t="s">
        <v>79</v>
      </c>
      <c r="DI7" s="18" t="s">
        <v>78</v>
      </c>
      <c r="DJ7" s="18" t="s">
        <v>77</v>
      </c>
      <c r="DK7" s="18" t="s">
        <v>76</v>
      </c>
      <c r="DL7" s="18" t="s">
        <v>75</v>
      </c>
      <c r="DM7" s="18" t="s">
        <v>74</v>
      </c>
      <c r="DN7" s="18" t="s">
        <v>73</v>
      </c>
      <c r="DO7" s="18" t="s">
        <v>72</v>
      </c>
      <c r="DP7" s="18" t="s">
        <v>71</v>
      </c>
      <c r="DQ7" s="18" t="s">
        <v>70</v>
      </c>
      <c r="DR7" s="18" t="s">
        <v>69</v>
      </c>
      <c r="DS7" s="18" t="s">
        <v>68</v>
      </c>
      <c r="DT7" s="18" t="s">
        <v>67</v>
      </c>
      <c r="DU7" s="18" t="s">
        <v>66</v>
      </c>
      <c r="DV7" s="18" t="s">
        <v>65</v>
      </c>
      <c r="DW7" s="18" t="s">
        <v>64</v>
      </c>
      <c r="DX7" s="18" t="s">
        <v>63</v>
      </c>
      <c r="DY7" s="18" t="s">
        <v>62</v>
      </c>
      <c r="DZ7" s="18" t="s">
        <v>61</v>
      </c>
      <c r="EA7" s="18" t="s">
        <v>60</v>
      </c>
      <c r="EB7" s="17" t="s">
        <v>59</v>
      </c>
    </row>
    <row r="8" spans="2:132">
      <c r="B8" s="15" t="s">
        <v>58</v>
      </c>
      <c r="C8" s="15" t="s">
        <v>57</v>
      </c>
      <c r="D8" s="13">
        <v>0.16852203780288577</v>
      </c>
      <c r="E8" s="13">
        <v>0.17618979052291711</v>
      </c>
      <c r="F8" s="13">
        <v>0.18293785949994482</v>
      </c>
      <c r="G8" s="13">
        <v>0.19054807445514252</v>
      </c>
      <c r="H8" s="13">
        <v>0.20154269835120422</v>
      </c>
      <c r="I8" s="13">
        <v>0.21929861007594537</v>
      </c>
      <c r="J8" s="13">
        <v>0.23375038847995019</v>
      </c>
      <c r="K8" s="13">
        <v>0.24207190230983641</v>
      </c>
      <c r="L8" s="13">
        <v>0.25122222021714824</v>
      </c>
      <c r="M8" s="13">
        <v>0.26830533119191435</v>
      </c>
      <c r="N8" s="13">
        <v>0.29170155607184928</v>
      </c>
      <c r="O8" s="13">
        <v>0.32612233968832749</v>
      </c>
      <c r="P8" s="13">
        <v>0.36395253109217351</v>
      </c>
      <c r="Q8" s="13">
        <v>0.41599774303835435</v>
      </c>
      <c r="R8" s="13">
        <v>0.4534375399118063</v>
      </c>
      <c r="S8" s="13">
        <v>0.48971254310475082</v>
      </c>
      <c r="T8" s="13">
        <v>0.50636276957031234</v>
      </c>
      <c r="U8" s="13">
        <v>0.52054092711828115</v>
      </c>
      <c r="V8" s="13">
        <v>0.53459553215047473</v>
      </c>
      <c r="W8" s="13">
        <v>0.5506333981149889</v>
      </c>
      <c r="X8" s="13">
        <v>0.57376000083581835</v>
      </c>
      <c r="Y8" s="13">
        <v>0.5967104008692512</v>
      </c>
      <c r="Z8" s="13">
        <v>0.62236894810662902</v>
      </c>
      <c r="AA8" s="13">
        <v>0.63979527865361463</v>
      </c>
      <c r="AB8" s="13">
        <v>0.65706975117726207</v>
      </c>
      <c r="AC8" s="13">
        <v>0.67021114620080746</v>
      </c>
      <c r="AD8" s="13">
        <v>0.68294515797862276</v>
      </c>
      <c r="AE8" s="13">
        <v>0.69660406113819506</v>
      </c>
      <c r="AF8" s="13">
        <v>0.70914293423868269</v>
      </c>
      <c r="AG8" s="13">
        <v>0.71410693477835341</v>
      </c>
      <c r="AH8" s="13">
        <v>0.71981979025658016</v>
      </c>
      <c r="AI8" s="13">
        <v>0.72989726732017246</v>
      </c>
      <c r="AJ8" s="13">
        <v>0.74303541813193541</v>
      </c>
      <c r="AK8" s="13">
        <v>0.748979701476991</v>
      </c>
      <c r="AL8" s="13">
        <v>0.75646949849176082</v>
      </c>
      <c r="AM8" s="13">
        <v>0.77159888846159619</v>
      </c>
      <c r="AN8" s="13">
        <v>0.79320365733852083</v>
      </c>
      <c r="AO8" s="13">
        <v>0.81779297071601509</v>
      </c>
      <c r="AP8" s="13">
        <v>0.83987338092534736</v>
      </c>
      <c r="AQ8" s="13">
        <v>0.86003034206755569</v>
      </c>
      <c r="AR8" s="13">
        <v>0.87293079719856914</v>
      </c>
      <c r="AS8" s="13">
        <v>0.87991424357615755</v>
      </c>
      <c r="AT8" s="13">
        <v>0.89751252844768081</v>
      </c>
      <c r="AU8" s="13">
        <v>0.91366775395973898</v>
      </c>
      <c r="AV8" s="13">
        <v>0.927372770269135</v>
      </c>
      <c r="AW8" s="13">
        <v>0.94128336182317185</v>
      </c>
      <c r="AX8" s="13">
        <v>0.95163747880322669</v>
      </c>
      <c r="AY8" s="13">
        <v>0.96305712854886549</v>
      </c>
      <c r="AZ8" s="13">
        <v>0.98039215686274506</v>
      </c>
      <c r="BA8" s="13">
        <v>1</v>
      </c>
      <c r="BB8" s="13">
        <v>1.02</v>
      </c>
      <c r="BC8" s="13">
        <v>1.0404000000000002</v>
      </c>
      <c r="BD8" s="13">
        <v>1.0612080000000002</v>
      </c>
      <c r="BE8" s="13">
        <v>1.0824321600000002</v>
      </c>
      <c r="BF8" s="13">
        <v>1.1040808032000002</v>
      </c>
      <c r="BG8" s="13">
        <v>1.1261624192640003</v>
      </c>
      <c r="BH8" s="12">
        <v>1.1486856676492803</v>
      </c>
      <c r="BI8" s="12">
        <v>1.171659381002266</v>
      </c>
      <c r="BJ8" s="12">
        <v>1.1950925686223113</v>
      </c>
      <c r="BK8" s="12">
        <v>1.2189944199947575</v>
      </c>
      <c r="BL8" s="12">
        <v>1.2433743083946527</v>
      </c>
      <c r="BM8" s="12">
        <v>1.2682417945625457</v>
      </c>
      <c r="BN8" s="12">
        <v>1.2936066304537968</v>
      </c>
      <c r="BO8" s="12">
        <v>1.3194787630628728</v>
      </c>
      <c r="BP8" s="12">
        <v>1.3458683383241303</v>
      </c>
      <c r="BQ8" s="12">
        <v>1.3727857050906129</v>
      </c>
      <c r="BR8" s="12">
        <v>1.4002414191924253</v>
      </c>
      <c r="BS8" s="12">
        <v>1.4282462475762738</v>
      </c>
      <c r="BT8" s="12">
        <v>1.4568111725277992</v>
      </c>
      <c r="BU8" s="12">
        <v>1.4859473959783553</v>
      </c>
      <c r="BV8" s="12">
        <v>1.5156663438979225</v>
      </c>
      <c r="BW8" s="12">
        <v>1.5459796707758811</v>
      </c>
      <c r="BX8" s="12">
        <v>1.5768992641913988</v>
      </c>
      <c r="BY8" s="12">
        <v>1.6084372494752268</v>
      </c>
      <c r="BZ8" s="12">
        <v>1.6406059944647313</v>
      </c>
      <c r="CA8" s="12">
        <v>1.6734181143540259</v>
      </c>
      <c r="CB8" s="12">
        <v>1.7068864766411065</v>
      </c>
      <c r="CC8" s="12">
        <v>1.7410242061739287</v>
      </c>
      <c r="CD8" s="12">
        <v>1.7758446902974074</v>
      </c>
      <c r="CE8" s="12">
        <v>1.8113615841033557</v>
      </c>
      <c r="CF8" s="12">
        <v>1.8475888157854228</v>
      </c>
      <c r="CG8" s="12">
        <v>1.8845405921011313</v>
      </c>
      <c r="CH8" s="12">
        <v>1.9222314039431541</v>
      </c>
      <c r="CI8" s="12">
        <v>1.9606760320220171</v>
      </c>
      <c r="CJ8" s="12">
        <v>1.9998895526624576</v>
      </c>
      <c r="CK8" s="12">
        <v>2.0398873437157068</v>
      </c>
      <c r="CL8" s="12">
        <v>2.0806850905900212</v>
      </c>
      <c r="CM8" s="12">
        <v>2.1222987924018217</v>
      </c>
      <c r="CN8" s="12">
        <v>2.1647447682498582</v>
      </c>
      <c r="CO8" s="12">
        <v>2.2080396636148554</v>
      </c>
      <c r="CP8" s="12">
        <v>2.2522004568871523</v>
      </c>
      <c r="CQ8" s="12">
        <v>2.2972444660248952</v>
      </c>
      <c r="CR8" s="12">
        <f>Inflation_Raw[[#This Row],[2060]]/Inflation_Raw[[#This Row],[2059]]*Inflation_Raw[[#This Row],[2060]]</f>
        <v>2.3431893553453933</v>
      </c>
      <c r="CS8" s="12">
        <f>Inflation_Raw[[#This Row],[2061]]/Inflation_Raw[[#This Row],[2060]]*Inflation_Raw[[#This Row],[2061]]</f>
        <v>2.390053142452301</v>
      </c>
      <c r="CT8" s="12">
        <f>Inflation_Raw[[#This Row],[2062]]/Inflation_Raw[[#This Row],[2061]]*Inflation_Raw[[#This Row],[2062]]</f>
        <v>2.4378542053013472</v>
      </c>
      <c r="CU8" s="12">
        <f>Inflation_Raw[[#This Row],[2063]]/Inflation_Raw[[#This Row],[2062]]*Inflation_Raw[[#This Row],[2063]]</f>
        <v>2.4866112894073744</v>
      </c>
      <c r="CV8" s="12">
        <f>Inflation_Raw[[#This Row],[2064]]/Inflation_Raw[[#This Row],[2063]]*Inflation_Raw[[#This Row],[2064]]</f>
        <v>2.5363435151955218</v>
      </c>
      <c r="CW8" s="12">
        <f>Inflation_Raw[[#This Row],[2065]]/Inflation_Raw[[#This Row],[2064]]*Inflation_Raw[[#This Row],[2065]]</f>
        <v>2.5870703854994321</v>
      </c>
      <c r="CX8" s="12">
        <f>Inflation_Raw[[#This Row],[2066]]/Inflation_Raw[[#This Row],[2065]]*Inflation_Raw[[#This Row],[2066]]</f>
        <v>2.6388117932094208</v>
      </c>
      <c r="CY8" s="12">
        <f>Inflation_Raw[[#This Row],[2067]]/Inflation_Raw[[#This Row],[2066]]*Inflation_Raw[[#This Row],[2067]]</f>
        <v>2.6915880290736092</v>
      </c>
      <c r="CZ8" s="12">
        <f>Inflation_Raw[[#This Row],[2068]]/Inflation_Raw[[#This Row],[2067]]*Inflation_Raw[[#This Row],[2068]]</f>
        <v>2.7454197896550814</v>
      </c>
      <c r="DA8" s="12">
        <f>Inflation_Raw[[#This Row],[2069]]/Inflation_Raw[[#This Row],[2068]]*Inflation_Raw[[#This Row],[2069]]</f>
        <v>2.800328185448183</v>
      </c>
      <c r="DB8" s="12">
        <f>Inflation_Raw[[#This Row],[2070]]/Inflation_Raw[[#This Row],[2069]]*Inflation_Raw[[#This Row],[2070]]</f>
        <v>2.8563347491571465</v>
      </c>
      <c r="DC8" s="12">
        <f>Inflation_Raw[[#This Row],[2071]]/Inflation_Raw[[#This Row],[2070]]*Inflation_Raw[[#This Row],[2071]]</f>
        <v>2.9134614441402893</v>
      </c>
      <c r="DD8" s="12">
        <f>Inflation_Raw[[#This Row],[2072]]/Inflation_Raw[[#This Row],[2071]]*Inflation_Raw[[#This Row],[2072]]</f>
        <v>2.971730673023095</v>
      </c>
      <c r="DE8" s="12">
        <f>Inflation_Raw[[#This Row],[2073]]/Inflation_Raw[[#This Row],[2072]]*Inflation_Raw[[#This Row],[2073]]</f>
        <v>3.031165286483557</v>
      </c>
      <c r="DF8" s="12">
        <f>Inflation_Raw[[#This Row],[2074]]/Inflation_Raw[[#This Row],[2073]]*Inflation_Raw[[#This Row],[2074]]</f>
        <v>3.091788592213228</v>
      </c>
      <c r="DG8" s="12">
        <f>Inflation_Raw[[#This Row],[2075]]/Inflation_Raw[[#This Row],[2074]]*Inflation_Raw[[#This Row],[2075]]</f>
        <v>3.1536243640574928</v>
      </c>
      <c r="DH8" s="12">
        <f>Inflation_Raw[[#This Row],[2076]]/Inflation_Raw[[#This Row],[2075]]*Inflation_Raw[[#This Row],[2076]]</f>
        <v>3.2166968513386429</v>
      </c>
      <c r="DI8" s="12">
        <f>Inflation_Raw[[#This Row],[2077]]/Inflation_Raw[[#This Row],[2076]]*Inflation_Raw[[#This Row],[2077]]</f>
        <v>3.281030788365416</v>
      </c>
      <c r="DJ8" s="12">
        <f>Inflation_Raw[[#This Row],[2078]]/Inflation_Raw[[#This Row],[2077]]*Inflation_Raw[[#This Row],[2078]]</f>
        <v>3.3466514041327242</v>
      </c>
      <c r="DK8" s="12">
        <f>Inflation_Raw[[#This Row],[2079]]/Inflation_Raw[[#This Row],[2078]]*Inflation_Raw[[#This Row],[2079]]</f>
        <v>3.4135844322153788</v>
      </c>
      <c r="DL8" s="12">
        <f>Inflation_Raw[[#This Row],[2080]]/Inflation_Raw[[#This Row],[2079]]*Inflation_Raw[[#This Row],[2080]]</f>
        <v>3.4818561208596863</v>
      </c>
      <c r="DM8" s="12">
        <f>Inflation_Raw[[#This Row],[2081]]/Inflation_Raw[[#This Row],[2080]]*Inflation_Raw[[#This Row],[2081]]</f>
        <v>3.5514932432768802</v>
      </c>
      <c r="DN8" s="12">
        <f>Inflation_Raw[[#This Row],[2082]]/Inflation_Raw[[#This Row],[2081]]*Inflation_Raw[[#This Row],[2082]]</f>
        <v>3.6225231081424178</v>
      </c>
      <c r="DO8" s="12">
        <f>Inflation_Raw[[#This Row],[2083]]/Inflation_Raw[[#This Row],[2082]]*Inflation_Raw[[#This Row],[2083]]</f>
        <v>3.6949735703052662</v>
      </c>
      <c r="DP8" s="12">
        <f>Inflation_Raw[[#This Row],[2084]]/Inflation_Raw[[#This Row],[2083]]*Inflation_Raw[[#This Row],[2084]]</f>
        <v>3.7688730417113714</v>
      </c>
      <c r="DQ8" s="12">
        <f>Inflation_Raw[[#This Row],[2085]]/Inflation_Raw[[#This Row],[2084]]*Inflation_Raw[[#This Row],[2085]]</f>
        <v>3.8442505025455991</v>
      </c>
      <c r="DR8" s="12">
        <f>Inflation_Raw[[#This Row],[2086]]/Inflation_Raw[[#This Row],[2085]]*Inflation_Raw[[#This Row],[2086]]</f>
        <v>3.9211355125965111</v>
      </c>
      <c r="DS8" s="12">
        <f>Inflation_Raw[[#This Row],[2087]]/Inflation_Raw[[#This Row],[2086]]*Inflation_Raw[[#This Row],[2087]]</f>
        <v>3.9995582228484414</v>
      </c>
      <c r="DT8" s="12">
        <f>Inflation_Raw[[#This Row],[2088]]/Inflation_Raw[[#This Row],[2087]]*Inflation_Raw[[#This Row],[2088]]</f>
        <v>4.0795493873054101</v>
      </c>
      <c r="DU8" s="12">
        <f>Inflation_Raw[[#This Row],[2089]]/Inflation_Raw[[#This Row],[2088]]*Inflation_Raw[[#This Row],[2089]]</f>
        <v>4.1611403750515183</v>
      </c>
      <c r="DV8" s="12">
        <f>Inflation_Raw[[#This Row],[2090]]/Inflation_Raw[[#This Row],[2089]]*Inflation_Raw[[#This Row],[2090]]</f>
        <v>4.244363182552549</v>
      </c>
      <c r="DW8" s="12">
        <f>Inflation_Raw[[#This Row],[2091]]/Inflation_Raw[[#This Row],[2090]]*Inflation_Raw[[#This Row],[2091]]</f>
        <v>4.3292504462036003</v>
      </c>
      <c r="DX8" s="12">
        <f>Inflation_Raw[[#This Row],[2092]]/Inflation_Raw[[#This Row],[2091]]*Inflation_Raw[[#This Row],[2092]]</f>
        <v>4.4158354551276728</v>
      </c>
      <c r="DY8" s="12">
        <f>Inflation_Raw[[#This Row],[2093]]/Inflation_Raw[[#This Row],[2092]]*Inflation_Raw[[#This Row],[2093]]</f>
        <v>4.5041521642302262</v>
      </c>
      <c r="DZ8" s="12">
        <f>Inflation_Raw[[#This Row],[2094]]/Inflation_Raw[[#This Row],[2093]]*Inflation_Raw[[#This Row],[2094]]</f>
        <v>4.5942352075148305</v>
      </c>
      <c r="EA8" s="12">
        <f>Inflation_Raw[[#This Row],[2095]]/Inflation_Raw[[#This Row],[2094]]*Inflation_Raw[[#This Row],[2095]]</f>
        <v>4.6861199116651271</v>
      </c>
      <c r="EB8" s="12">
        <f>Inflation_Raw[[#This Row],[2096]]/Inflation_Raw[[#This Row],[2095]]*Inflation_Raw[[#This Row],[2096]]</f>
        <v>4.77984230989843</v>
      </c>
    </row>
    <row r="9" spans="2:132">
      <c r="B9" s="15" t="s">
        <v>56</v>
      </c>
      <c r="C9" s="15" t="s">
        <v>55</v>
      </c>
      <c r="D9" s="13">
        <v>0.1606536985867538</v>
      </c>
      <c r="E9" s="13">
        <v>0.1748876162815402</v>
      </c>
      <c r="F9" s="13">
        <v>0.1897180861422148</v>
      </c>
      <c r="G9" s="13">
        <v>0.20104425588490504</v>
      </c>
      <c r="H9" s="13">
        <v>0.21933928317043136</v>
      </c>
      <c r="I9" s="13">
        <v>0.23741284010367494</v>
      </c>
      <c r="J9" s="13">
        <v>0.2569993994122281</v>
      </c>
      <c r="K9" s="13">
        <v>0.26455518175494763</v>
      </c>
      <c r="L9" s="13">
        <v>0.27987292677855913</v>
      </c>
      <c r="M9" s="13">
        <v>0.30153509131121958</v>
      </c>
      <c r="N9" s="13">
        <v>0.31974781082641729</v>
      </c>
      <c r="O9" s="13">
        <v>0.34158658630586158</v>
      </c>
      <c r="P9" s="13">
        <v>0.37130461931447151</v>
      </c>
      <c r="Q9" s="13">
        <v>0.39168924291483598</v>
      </c>
      <c r="R9" s="13">
        <v>0.4085318803601739</v>
      </c>
      <c r="S9" s="13">
        <v>0.42078783677097914</v>
      </c>
      <c r="T9" s="13">
        <v>0.43602035646208864</v>
      </c>
      <c r="U9" s="13">
        <v>0.43602035646208864</v>
      </c>
      <c r="V9" s="13">
        <v>0.44583081448248563</v>
      </c>
      <c r="W9" s="13">
        <v>0.45581742472689335</v>
      </c>
      <c r="X9" s="13">
        <v>0.47213568853211613</v>
      </c>
      <c r="Y9" s="13">
        <v>0.4896991361455108</v>
      </c>
      <c r="Z9" s="13">
        <v>0.50918916176410212</v>
      </c>
      <c r="AA9" s="13">
        <v>0.53047326872584166</v>
      </c>
      <c r="AB9" s="13">
        <v>0.55073734759116877</v>
      </c>
      <c r="AC9" s="13">
        <v>0.5556939837194893</v>
      </c>
      <c r="AD9" s="13">
        <v>0.56402939347528147</v>
      </c>
      <c r="AE9" s="13">
        <v>0.57530998134478717</v>
      </c>
      <c r="AF9" s="13">
        <v>0.59113100583176881</v>
      </c>
      <c r="AG9" s="13">
        <v>0.60797823949797425</v>
      </c>
      <c r="AH9" s="13">
        <v>0.62864949964090544</v>
      </c>
      <c r="AI9" s="13">
        <v>0.65698830902296512</v>
      </c>
      <c r="AJ9" s="13">
        <v>0.68304081260528304</v>
      </c>
      <c r="AK9" s="13">
        <v>0.71296534400763933</v>
      </c>
      <c r="AL9" s="13">
        <v>0.74305840854453764</v>
      </c>
      <c r="AM9" s="13">
        <v>0.7735238032948637</v>
      </c>
      <c r="AN9" s="13">
        <v>0.80172280772227922</v>
      </c>
      <c r="AO9" s="13">
        <v>0.82735743065226397</v>
      </c>
      <c r="AP9" s="13">
        <v>0.84737855063183487</v>
      </c>
      <c r="AQ9" s="13">
        <v>0.87432752268845138</v>
      </c>
      <c r="AR9" s="13">
        <v>0.90757433259199671</v>
      </c>
      <c r="AS9" s="13">
        <v>0.92991428470879856</v>
      </c>
      <c r="AT9" s="13">
        <v>0.93449514325416205</v>
      </c>
      <c r="AU9" s="13">
        <v>0.93449514325416205</v>
      </c>
      <c r="AV9" s="13">
        <v>0.93449514325416205</v>
      </c>
      <c r="AW9" s="13">
        <v>0.9415038568285683</v>
      </c>
      <c r="AX9" s="13">
        <v>0.95091889539685392</v>
      </c>
      <c r="AY9" s="13">
        <v>0.96257296096599787</v>
      </c>
      <c r="AZ9" s="13">
        <v>0.98088043615501641</v>
      </c>
      <c r="BA9" s="13">
        <v>1</v>
      </c>
      <c r="BB9" s="13">
        <v>1.0189999999999999</v>
      </c>
      <c r="BC9" s="13">
        <v>1.0383609999999999</v>
      </c>
      <c r="BD9" s="13">
        <v>1.0596546948772487</v>
      </c>
      <c r="BE9" s="13">
        <v>1.0819074434696707</v>
      </c>
      <c r="BF9" s="13">
        <v>1.1046274997825338</v>
      </c>
      <c r="BG9" s="13">
        <v>1.127824677277967</v>
      </c>
      <c r="BH9" s="12">
        <v>1.151508995500804</v>
      </c>
      <c r="BI9" s="12">
        <v>1.1756906844063209</v>
      </c>
      <c r="BJ9" s="12">
        <v>1.2003801887788534</v>
      </c>
      <c r="BK9" s="12">
        <v>1.2255881727432092</v>
      </c>
      <c r="BL9" s="12">
        <v>1.2513255243708166</v>
      </c>
      <c r="BM9" s="12">
        <v>1.2776033603826034</v>
      </c>
      <c r="BN9" s="12">
        <v>1.3044330309506382</v>
      </c>
      <c r="BO9" s="12">
        <v>1.3318261246006013</v>
      </c>
      <c r="BP9" s="12">
        <v>1.3597944732172138</v>
      </c>
      <c r="BQ9" s="12">
        <v>1.3883501571547754</v>
      </c>
      <c r="BR9" s="12">
        <v>1.4175055104550254</v>
      </c>
      <c r="BS9" s="12">
        <v>1.4472731261745808</v>
      </c>
      <c r="BT9" s="12">
        <v>1.4776658618242471</v>
      </c>
      <c r="BU9" s="12">
        <v>1.508696844922556</v>
      </c>
      <c r="BV9" s="12">
        <v>1.5403794786659295</v>
      </c>
      <c r="BW9" s="12">
        <v>1.5727274477179138</v>
      </c>
      <c r="BX9" s="12">
        <v>1.6057547241199899</v>
      </c>
      <c r="BY9" s="12">
        <v>1.6394755733265096</v>
      </c>
      <c r="BZ9" s="12">
        <v>1.6739045603663663</v>
      </c>
      <c r="CA9" s="12">
        <v>1.7090565561340598</v>
      </c>
      <c r="CB9" s="12">
        <v>1.744946743812875</v>
      </c>
      <c r="CC9" s="12">
        <v>1.781590625432945</v>
      </c>
      <c r="CD9" s="12">
        <v>1.8190040285670366</v>
      </c>
      <c r="CE9" s="12">
        <v>1.8572031131669442</v>
      </c>
      <c r="CF9" s="12">
        <v>1.8962043785434499</v>
      </c>
      <c r="CG9" s="12">
        <v>1.9360246704928623</v>
      </c>
      <c r="CH9" s="12">
        <v>1.9766811885732121</v>
      </c>
      <c r="CI9" s="12">
        <v>2.0181914935332492</v>
      </c>
      <c r="CJ9" s="12">
        <v>2.0605735148974471</v>
      </c>
      <c r="CK9" s="12">
        <v>2.1038455587102933</v>
      </c>
      <c r="CL9" s="12">
        <v>2.1480263154432095</v>
      </c>
      <c r="CM9" s="12">
        <v>2.1931348680675167</v>
      </c>
      <c r="CN9" s="12">
        <v>2.2391907002969345</v>
      </c>
      <c r="CO9" s="12">
        <v>2.2862137050031697</v>
      </c>
      <c r="CP9" s="12">
        <v>2.3342241928082363</v>
      </c>
      <c r="CQ9" s="12">
        <v>2.3832429008572094</v>
      </c>
      <c r="CR9" s="12">
        <f>Inflation_Raw[[#This Row],[2060]]/Inflation_Raw[[#This Row],[2059]]*Inflation_Raw[[#This Row],[2060]]</f>
        <v>2.4332910017752112</v>
      </c>
      <c r="CS9" s="12">
        <f>Inflation_Raw[[#This Row],[2061]]/Inflation_Raw[[#This Row],[2060]]*Inflation_Raw[[#This Row],[2061]]</f>
        <v>2.4843901128124908</v>
      </c>
      <c r="CT9" s="12">
        <f>Inflation_Raw[[#This Row],[2062]]/Inflation_Raw[[#This Row],[2061]]*Inflation_Raw[[#This Row],[2062]]</f>
        <v>2.5365623051815533</v>
      </c>
      <c r="CU9" s="12">
        <f>Inflation_Raw[[#This Row],[2063]]/Inflation_Raw[[#This Row],[2062]]*Inflation_Raw[[#This Row],[2063]]</f>
        <v>2.5898301135903661</v>
      </c>
      <c r="CV9" s="12">
        <f>Inflation_Raw[[#This Row],[2064]]/Inflation_Raw[[#This Row],[2063]]*Inflation_Raw[[#This Row],[2064]]</f>
        <v>2.6442165459757643</v>
      </c>
      <c r="CW9" s="12">
        <f>Inflation_Raw[[#This Row],[2065]]/Inflation_Raw[[#This Row],[2064]]*Inflation_Raw[[#This Row],[2065]]</f>
        <v>2.6997450934412557</v>
      </c>
      <c r="CX9" s="12">
        <f>Inflation_Raw[[#This Row],[2066]]/Inflation_Raw[[#This Row],[2065]]*Inflation_Raw[[#This Row],[2066]]</f>
        <v>2.7564397404035224</v>
      </c>
      <c r="CY9" s="12">
        <f>Inflation_Raw[[#This Row],[2067]]/Inflation_Raw[[#This Row],[2066]]*Inflation_Raw[[#This Row],[2067]]</f>
        <v>2.8143249749519965</v>
      </c>
      <c r="CZ9" s="12">
        <f>Inflation_Raw[[#This Row],[2068]]/Inflation_Raw[[#This Row],[2067]]*Inflation_Raw[[#This Row],[2068]]</f>
        <v>2.8734257994259886</v>
      </c>
      <c r="DA9" s="12">
        <f>Inflation_Raw[[#This Row],[2069]]/Inflation_Raw[[#This Row],[2068]]*Inflation_Raw[[#This Row],[2069]]</f>
        <v>2.9337677412139347</v>
      </c>
      <c r="DB9" s="12">
        <f>Inflation_Raw[[#This Row],[2070]]/Inflation_Raw[[#This Row],[2069]]*Inflation_Raw[[#This Row],[2070]]</f>
        <v>2.9953768637794278</v>
      </c>
      <c r="DC9" s="12">
        <f>Inflation_Raw[[#This Row],[2071]]/Inflation_Raw[[#This Row],[2070]]*Inflation_Raw[[#This Row],[2071]]</f>
        <v>3.0582797779187962</v>
      </c>
      <c r="DD9" s="12">
        <f>Inflation_Raw[[#This Row],[2072]]/Inflation_Raw[[#This Row],[2071]]*Inflation_Raw[[#This Row],[2072]]</f>
        <v>3.1225036532550914</v>
      </c>
      <c r="DE9" s="12">
        <f>Inflation_Raw[[#This Row],[2073]]/Inflation_Raw[[#This Row],[2072]]*Inflation_Raw[[#This Row],[2073]]</f>
        <v>3.1880762299734489</v>
      </c>
      <c r="DF9" s="12">
        <f>Inflation_Raw[[#This Row],[2074]]/Inflation_Raw[[#This Row],[2073]]*Inflation_Raw[[#This Row],[2074]]</f>
        <v>3.2550258308028917</v>
      </c>
      <c r="DG9" s="12">
        <f>Inflation_Raw[[#This Row],[2075]]/Inflation_Raw[[#This Row],[2074]]*Inflation_Raw[[#This Row],[2075]]</f>
        <v>3.3233813732497528</v>
      </c>
      <c r="DH9" s="12">
        <f>Inflation_Raw[[#This Row],[2076]]/Inflation_Raw[[#This Row],[2075]]*Inflation_Raw[[#This Row],[2076]]</f>
        <v>3.393172382087998</v>
      </c>
      <c r="DI9" s="12">
        <f>Inflation_Raw[[#This Row],[2077]]/Inflation_Raw[[#This Row],[2076]]*Inflation_Raw[[#This Row],[2077]]</f>
        <v>3.4644290021118462</v>
      </c>
      <c r="DJ9" s="12">
        <f>Inflation_Raw[[#This Row],[2078]]/Inflation_Raw[[#This Row],[2077]]*Inflation_Raw[[#This Row],[2078]]</f>
        <v>3.5371820111561956</v>
      </c>
      <c r="DK9" s="12">
        <f>Inflation_Raw[[#This Row],[2079]]/Inflation_Raw[[#This Row],[2078]]*Inflation_Raw[[#This Row],[2079]]</f>
        <v>3.6114628333904761</v>
      </c>
      <c r="DL9" s="12">
        <f>Inflation_Raw[[#This Row],[2080]]/Inflation_Raw[[#This Row],[2079]]*Inflation_Raw[[#This Row],[2080]]</f>
        <v>3.6873035528916764</v>
      </c>
      <c r="DM9" s="12">
        <f>Inflation_Raw[[#This Row],[2081]]/Inflation_Raw[[#This Row],[2080]]*Inflation_Raw[[#This Row],[2081]]</f>
        <v>3.7647369275024021</v>
      </c>
      <c r="DN9" s="12">
        <f>Inflation_Raw[[#This Row],[2082]]/Inflation_Raw[[#This Row],[2081]]*Inflation_Raw[[#This Row],[2082]]</f>
        <v>3.8437964029799532</v>
      </c>
      <c r="DO9" s="12">
        <f>Inflation_Raw[[#This Row],[2083]]/Inflation_Raw[[#This Row],[2082]]*Inflation_Raw[[#This Row],[2083]]</f>
        <v>3.9245161274425326</v>
      </c>
      <c r="DP9" s="12">
        <f>Inflation_Raw[[#This Row],[2084]]/Inflation_Raw[[#This Row],[2083]]*Inflation_Raw[[#This Row],[2084]]</f>
        <v>4.0069309661188264</v>
      </c>
      <c r="DQ9" s="12">
        <f>Inflation_Raw[[#This Row],[2085]]/Inflation_Raw[[#This Row],[2084]]*Inflation_Raw[[#This Row],[2085]]</f>
        <v>4.0910765164073224</v>
      </c>
      <c r="DR9" s="12">
        <f>Inflation_Raw[[#This Row],[2086]]/Inflation_Raw[[#This Row],[2085]]*Inflation_Raw[[#This Row],[2086]]</f>
        <v>4.176989123251877</v>
      </c>
      <c r="DS9" s="12">
        <f>Inflation_Raw[[#This Row],[2087]]/Inflation_Raw[[#This Row],[2086]]*Inflation_Raw[[#This Row],[2087]]</f>
        <v>4.2647058948401666</v>
      </c>
      <c r="DT9" s="12">
        <f>Inflation_Raw[[#This Row],[2088]]/Inflation_Raw[[#This Row],[2087]]*Inflation_Raw[[#This Row],[2088]]</f>
        <v>4.3542647186318106</v>
      </c>
      <c r="DU9" s="12">
        <f>Inflation_Raw[[#This Row],[2089]]/Inflation_Raw[[#This Row],[2088]]*Inflation_Raw[[#This Row],[2089]]</f>
        <v>4.4457042777230793</v>
      </c>
      <c r="DV9" s="12">
        <f>Inflation_Raw[[#This Row],[2090]]/Inflation_Raw[[#This Row],[2089]]*Inflation_Raw[[#This Row],[2090]]</f>
        <v>4.5390640675552643</v>
      </c>
      <c r="DW9" s="12">
        <f>Inflation_Raw[[#This Row],[2091]]/Inflation_Raw[[#This Row],[2090]]*Inflation_Raw[[#This Row],[2091]]</f>
        <v>4.6343844129739251</v>
      </c>
      <c r="DX9" s="12">
        <f>Inflation_Raw[[#This Row],[2092]]/Inflation_Raw[[#This Row],[2091]]*Inflation_Raw[[#This Row],[2092]]</f>
        <v>4.7317064856463782</v>
      </c>
      <c r="DY9" s="12">
        <f>Inflation_Raw[[#This Row],[2093]]/Inflation_Raw[[#This Row],[2092]]*Inflation_Raw[[#This Row],[2093]]</f>
        <v>4.8310723218449532</v>
      </c>
      <c r="DZ9" s="12">
        <f>Inflation_Raw[[#This Row],[2094]]/Inflation_Raw[[#This Row],[2093]]*Inflation_Raw[[#This Row],[2094]]</f>
        <v>4.9325248406036977</v>
      </c>
      <c r="EA9" s="12">
        <f>Inflation_Raw[[#This Row],[2095]]/Inflation_Raw[[#This Row],[2094]]*Inflation_Raw[[#This Row],[2095]]</f>
        <v>5.036107862256376</v>
      </c>
      <c r="EB9" s="12">
        <f>Inflation_Raw[[#This Row],[2096]]/Inflation_Raw[[#This Row],[2095]]*Inflation_Raw[[#This Row],[2096]]</f>
        <v>5.1418661273637607</v>
      </c>
    </row>
    <row r="10" spans="2:132">
      <c r="B10" s="15" t="s">
        <v>54</v>
      </c>
      <c r="C10" s="15" t="s">
        <v>53</v>
      </c>
      <c r="D10" s="13">
        <v>0.12988240827922204</v>
      </c>
      <c r="E10" s="13">
        <v>0.13580240792241696</v>
      </c>
      <c r="F10" s="13">
        <v>0.14100723982348093</v>
      </c>
      <c r="G10" s="13">
        <v>0.14684777638421681</v>
      </c>
      <c r="H10" s="13">
        <v>0.15550925237224691</v>
      </c>
      <c r="I10" s="13">
        <v>0.17895086169764945</v>
      </c>
      <c r="J10" s="13">
        <v>0.19234039109198958</v>
      </c>
      <c r="K10" s="13">
        <v>0.19234039109198958</v>
      </c>
      <c r="L10" s="13">
        <v>0.20811381296009943</v>
      </c>
      <c r="M10" s="13">
        <v>0.22289394629747189</v>
      </c>
      <c r="N10" s="13">
        <v>0.25765904487328073</v>
      </c>
      <c r="O10" s="13">
        <v>0.48055299117075262</v>
      </c>
      <c r="P10" s="13">
        <v>0.55651969800154877</v>
      </c>
      <c r="Q10" s="13">
        <v>0.61925580160292282</v>
      </c>
      <c r="R10" s="13">
        <v>0.55802949656826961</v>
      </c>
      <c r="S10" s="13">
        <v>0.48095030658304755</v>
      </c>
      <c r="T10" s="13">
        <v>0.44610574492477967</v>
      </c>
      <c r="U10" s="13">
        <v>0.38654816462176533</v>
      </c>
      <c r="V10" s="13">
        <v>0.35492185780308655</v>
      </c>
      <c r="W10" s="13">
        <v>0.29750978072646506</v>
      </c>
      <c r="X10" s="13">
        <v>0.29774816997384207</v>
      </c>
      <c r="Y10" s="13">
        <v>0.26564508466040937</v>
      </c>
      <c r="Z10" s="13">
        <v>0.49731970156959981</v>
      </c>
      <c r="AA10" s="13">
        <v>0.33171863772506099</v>
      </c>
      <c r="AB10" s="13">
        <v>0.33632749650768246</v>
      </c>
      <c r="AC10" s="13">
        <v>0.38376695673570055</v>
      </c>
      <c r="AD10" s="13">
        <v>0.33616857034276454</v>
      </c>
      <c r="AE10" s="13">
        <v>0.35500132088554553</v>
      </c>
      <c r="AF10" s="13">
        <v>0.35961017966816711</v>
      </c>
      <c r="AG10" s="13">
        <v>0.43045151768035816</v>
      </c>
      <c r="AH10" s="13">
        <v>0.3925873588886486</v>
      </c>
      <c r="AI10" s="13">
        <v>0.29326275708982052</v>
      </c>
      <c r="AJ10" s="13">
        <v>0.47772503129931759</v>
      </c>
      <c r="AK10" s="13">
        <v>0.47294778098632434</v>
      </c>
      <c r="AL10" s="13">
        <v>0.39727613602851247</v>
      </c>
      <c r="AM10" s="13">
        <v>0.430250055318879</v>
      </c>
      <c r="AN10" s="13">
        <v>0.57223257357410906</v>
      </c>
      <c r="AO10" s="13">
        <v>0.91385541999785225</v>
      </c>
      <c r="AP10" s="13">
        <v>0.92664939587782214</v>
      </c>
      <c r="AQ10" s="13">
        <v>1.2519033338309378</v>
      </c>
      <c r="AR10" s="13">
        <v>0.86130949367568499</v>
      </c>
      <c r="AS10" s="13">
        <v>1.0792207955756334</v>
      </c>
      <c r="AT10" s="13">
        <v>1.3403922281049365</v>
      </c>
      <c r="AU10" s="13">
        <v>1.3819443871761896</v>
      </c>
      <c r="AV10" s="13">
        <v>1.4980277156989898</v>
      </c>
      <c r="AW10" s="13">
        <v>1.4545849119437191</v>
      </c>
      <c r="AX10" s="13">
        <v>1.3687644021390395</v>
      </c>
      <c r="AY10" s="13">
        <v>0.9471849662802152</v>
      </c>
      <c r="AZ10" s="13">
        <v>1.0040160642570282</v>
      </c>
      <c r="BA10" s="13">
        <v>1</v>
      </c>
      <c r="BB10" s="13">
        <v>1.004</v>
      </c>
      <c r="BC10" s="13">
        <v>1.012032</v>
      </c>
      <c r="BD10" s="13">
        <v>1.024176384</v>
      </c>
      <c r="BE10" s="13">
        <v>1.0487566172160001</v>
      </c>
      <c r="BF10" s="13">
        <v>1.0749755326463999</v>
      </c>
      <c r="BG10" s="13">
        <v>1.1018499209625598</v>
      </c>
      <c r="BH10" s="12">
        <v>1.1293961689866236</v>
      </c>
      <c r="BI10" s="12">
        <v>1.1576310732112891</v>
      </c>
      <c r="BJ10" s="12">
        <v>1.1865718500415714</v>
      </c>
      <c r="BK10" s="12">
        <v>1.2162361462926108</v>
      </c>
      <c r="BL10" s="12">
        <v>1.246642049949926</v>
      </c>
      <c r="BM10" s="12">
        <v>1.2778081011986739</v>
      </c>
      <c r="BN10" s="12">
        <v>1.3097533037286406</v>
      </c>
      <c r="BO10" s="12">
        <v>1.3424971363218565</v>
      </c>
      <c r="BP10" s="12">
        <v>1.376059564729903</v>
      </c>
      <c r="BQ10" s="12">
        <v>1.4104610538481506</v>
      </c>
      <c r="BR10" s="12">
        <v>1.4457225801943543</v>
      </c>
      <c r="BS10" s="12">
        <v>1.4818656446992129</v>
      </c>
      <c r="BT10" s="12">
        <v>1.518912285816693</v>
      </c>
      <c r="BU10" s="12">
        <v>1.5568850929621101</v>
      </c>
      <c r="BV10" s="12">
        <v>1.5958072202861628</v>
      </c>
      <c r="BW10" s="12">
        <v>1.6357024007933167</v>
      </c>
      <c r="BX10" s="12">
        <v>1.6765949608131494</v>
      </c>
      <c r="BY10" s="12">
        <v>1.718509834833478</v>
      </c>
      <c r="BZ10" s="12">
        <v>1.7614725807043148</v>
      </c>
      <c r="CA10" s="12">
        <v>1.8055093952219226</v>
      </c>
      <c r="CB10" s="12">
        <v>1.8506471301024703</v>
      </c>
      <c r="CC10" s="12">
        <v>1.8969133083550318</v>
      </c>
      <c r="CD10" s="12">
        <v>1.9443361410639075</v>
      </c>
      <c r="CE10" s="12">
        <v>1.9929445445905047</v>
      </c>
      <c r="CF10" s="12">
        <v>2.0427681582052672</v>
      </c>
      <c r="CG10" s="12">
        <v>2.0938373621603987</v>
      </c>
      <c r="CH10" s="12">
        <v>2.1461832962144087</v>
      </c>
      <c r="CI10" s="12">
        <v>2.1998378786197685</v>
      </c>
      <c r="CJ10" s="12">
        <v>2.2548338255852625</v>
      </c>
      <c r="CK10" s="12">
        <v>2.3112046712248939</v>
      </c>
      <c r="CL10" s="12">
        <v>2.3689847880055162</v>
      </c>
      <c r="CM10" s="12">
        <v>2.4282094077056535</v>
      </c>
      <c r="CN10" s="12">
        <v>2.4889146428982944</v>
      </c>
      <c r="CO10" s="12">
        <v>2.5511375089707515</v>
      </c>
      <c r="CP10" s="12">
        <v>2.6149159466950205</v>
      </c>
      <c r="CQ10" s="12">
        <v>2.6802888453623956</v>
      </c>
      <c r="CR10" s="12">
        <f>Inflation_Raw[[#This Row],[2060]]/Inflation_Raw[[#This Row],[2059]]*Inflation_Raw[[#This Row],[2060]]</f>
        <v>2.7472960664964554</v>
      </c>
      <c r="CS10" s="12">
        <f>Inflation_Raw[[#This Row],[2061]]/Inflation_Raw[[#This Row],[2060]]*Inflation_Raw[[#This Row],[2061]]</f>
        <v>2.8159784681588667</v>
      </c>
      <c r="CT10" s="12">
        <f>Inflation_Raw[[#This Row],[2062]]/Inflation_Raw[[#This Row],[2061]]*Inflation_Raw[[#This Row],[2062]]</f>
        <v>2.8863779298628383</v>
      </c>
      <c r="CU10" s="12">
        <f>Inflation_Raw[[#This Row],[2063]]/Inflation_Raw[[#This Row],[2062]]*Inflation_Raw[[#This Row],[2063]]</f>
        <v>2.9585373781094089</v>
      </c>
      <c r="CV10" s="12">
        <f>Inflation_Raw[[#This Row],[2064]]/Inflation_Raw[[#This Row],[2063]]*Inflation_Raw[[#This Row],[2064]]</f>
        <v>3.032500812562144</v>
      </c>
      <c r="CW10" s="12">
        <f>Inflation_Raw[[#This Row],[2065]]/Inflation_Raw[[#This Row],[2064]]*Inflation_Raw[[#This Row],[2065]]</f>
        <v>3.1083133328761972</v>
      </c>
      <c r="CX10" s="12">
        <f>Inflation_Raw[[#This Row],[2066]]/Inflation_Raw[[#This Row],[2065]]*Inflation_Raw[[#This Row],[2066]]</f>
        <v>3.1860211661981017</v>
      </c>
      <c r="CY10" s="12">
        <f>Inflation_Raw[[#This Row],[2067]]/Inflation_Raw[[#This Row],[2066]]*Inflation_Raw[[#This Row],[2067]]</f>
        <v>3.265671695353054</v>
      </c>
      <c r="CZ10" s="12">
        <f>Inflation_Raw[[#This Row],[2068]]/Inflation_Raw[[#This Row],[2067]]*Inflation_Raw[[#This Row],[2068]]</f>
        <v>3.34731348773688</v>
      </c>
      <c r="DA10" s="12">
        <f>Inflation_Raw[[#This Row],[2069]]/Inflation_Raw[[#This Row],[2068]]*Inflation_Raw[[#This Row],[2069]]</f>
        <v>3.4309963249303017</v>
      </c>
      <c r="DB10" s="12">
        <f>Inflation_Raw[[#This Row],[2070]]/Inflation_Raw[[#This Row],[2069]]*Inflation_Raw[[#This Row],[2070]]</f>
        <v>3.516771233053559</v>
      </c>
      <c r="DC10" s="12">
        <f>Inflation_Raw[[#This Row],[2071]]/Inflation_Raw[[#This Row],[2070]]*Inflation_Raw[[#This Row],[2071]]</f>
        <v>3.6046905138798975</v>
      </c>
      <c r="DD10" s="12">
        <f>Inflation_Raw[[#This Row],[2072]]/Inflation_Raw[[#This Row],[2071]]*Inflation_Raw[[#This Row],[2072]]</f>
        <v>3.6948077767268948</v>
      </c>
      <c r="DE10" s="12">
        <f>Inflation_Raw[[#This Row],[2073]]/Inflation_Raw[[#This Row],[2072]]*Inflation_Raw[[#This Row],[2073]]</f>
        <v>3.7871779711450668</v>
      </c>
      <c r="DF10" s="12">
        <f>Inflation_Raw[[#This Row],[2074]]/Inflation_Raw[[#This Row],[2073]]*Inflation_Raw[[#This Row],[2074]]</f>
        <v>3.8818574204236933</v>
      </c>
      <c r="DG10" s="12">
        <f>Inflation_Raw[[#This Row],[2075]]/Inflation_Raw[[#This Row],[2074]]*Inflation_Raw[[#This Row],[2075]]</f>
        <v>3.9789038559342851</v>
      </c>
      <c r="DH10" s="12">
        <f>Inflation_Raw[[#This Row],[2076]]/Inflation_Raw[[#This Row],[2075]]*Inflation_Raw[[#This Row],[2076]]</f>
        <v>4.078376452332642</v>
      </c>
      <c r="DI10" s="12">
        <f>Inflation_Raw[[#This Row],[2077]]/Inflation_Raw[[#This Row],[2076]]*Inflation_Raw[[#This Row],[2077]]</f>
        <v>4.1803358636409573</v>
      </c>
      <c r="DJ10" s="12">
        <f>Inflation_Raw[[#This Row],[2078]]/Inflation_Raw[[#This Row],[2077]]*Inflation_Raw[[#This Row],[2078]]</f>
        <v>4.2848442602319805</v>
      </c>
      <c r="DK10" s="12">
        <f>Inflation_Raw[[#This Row],[2079]]/Inflation_Raw[[#This Row],[2078]]*Inflation_Raw[[#This Row],[2079]]</f>
        <v>4.3919653667377796</v>
      </c>
      <c r="DL10" s="12">
        <f>Inflation_Raw[[#This Row],[2080]]/Inflation_Raw[[#This Row],[2079]]*Inflation_Raw[[#This Row],[2080]]</f>
        <v>4.5017645009062237</v>
      </c>
      <c r="DM10" s="12">
        <f>Inflation_Raw[[#This Row],[2081]]/Inflation_Raw[[#This Row],[2080]]*Inflation_Raw[[#This Row],[2081]]</f>
        <v>4.6143086134288787</v>
      </c>
      <c r="DN10" s="12">
        <f>Inflation_Raw[[#This Row],[2082]]/Inflation_Raw[[#This Row],[2081]]*Inflation_Raw[[#This Row],[2082]]</f>
        <v>4.7296663287646004</v>
      </c>
      <c r="DO10" s="12">
        <f>Inflation_Raw[[#This Row],[2083]]/Inflation_Raw[[#This Row],[2082]]*Inflation_Raw[[#This Row],[2083]]</f>
        <v>4.8479079869837154</v>
      </c>
      <c r="DP10" s="12">
        <f>Inflation_Raw[[#This Row],[2084]]/Inflation_Raw[[#This Row],[2083]]*Inflation_Raw[[#This Row],[2084]]</f>
        <v>4.9691056866583079</v>
      </c>
      <c r="DQ10" s="12">
        <f>Inflation_Raw[[#This Row],[2085]]/Inflation_Raw[[#This Row],[2084]]*Inflation_Raw[[#This Row],[2085]]</f>
        <v>5.0933333288247651</v>
      </c>
      <c r="DR10" s="12">
        <f>Inflation_Raw[[#This Row],[2086]]/Inflation_Raw[[#This Row],[2085]]*Inflation_Raw[[#This Row],[2086]]</f>
        <v>5.2206666620453834</v>
      </c>
      <c r="DS10" s="12">
        <f>Inflation_Raw[[#This Row],[2087]]/Inflation_Raw[[#This Row],[2086]]*Inflation_Raw[[#This Row],[2087]]</f>
        <v>5.3511833285965178</v>
      </c>
      <c r="DT10" s="12">
        <f>Inflation_Raw[[#This Row],[2088]]/Inflation_Raw[[#This Row],[2087]]*Inflation_Raw[[#This Row],[2088]]</f>
        <v>5.4849629118114303</v>
      </c>
      <c r="DU10" s="12">
        <f>Inflation_Raw[[#This Row],[2089]]/Inflation_Raw[[#This Row],[2088]]*Inflation_Raw[[#This Row],[2089]]</f>
        <v>5.6220869846067156</v>
      </c>
      <c r="DV10" s="12">
        <f>Inflation_Raw[[#This Row],[2090]]/Inflation_Raw[[#This Row],[2089]]*Inflation_Raw[[#This Row],[2090]]</f>
        <v>5.7626391592218829</v>
      </c>
      <c r="DW10" s="12">
        <f>Inflation_Raw[[#This Row],[2091]]/Inflation_Raw[[#This Row],[2090]]*Inflation_Raw[[#This Row],[2091]]</f>
        <v>5.9067051382024296</v>
      </c>
      <c r="DX10" s="12">
        <f>Inflation_Raw[[#This Row],[2092]]/Inflation_Raw[[#This Row],[2091]]*Inflation_Raw[[#This Row],[2092]]</f>
        <v>6.0543727666574902</v>
      </c>
      <c r="DY10" s="12">
        <f>Inflation_Raw[[#This Row],[2093]]/Inflation_Raw[[#This Row],[2092]]*Inflation_Raw[[#This Row],[2093]]</f>
        <v>6.2057320858239269</v>
      </c>
      <c r="DZ10" s="12">
        <f>Inflation_Raw[[#This Row],[2094]]/Inflation_Raw[[#This Row],[2093]]*Inflation_Raw[[#This Row],[2094]]</f>
        <v>6.3608753879695241</v>
      </c>
      <c r="EA10" s="12">
        <f>Inflation_Raw[[#This Row],[2095]]/Inflation_Raw[[#This Row],[2094]]*Inflation_Raw[[#This Row],[2095]]</f>
        <v>6.5198972726687616</v>
      </c>
      <c r="EB10" s="12">
        <f>Inflation_Raw[[#This Row],[2096]]/Inflation_Raw[[#This Row],[2095]]*Inflation_Raw[[#This Row],[2096]]</f>
        <v>6.6828947044854798</v>
      </c>
    </row>
    <row r="11" spans="2:132">
      <c r="B11" s="15" t="s">
        <v>52</v>
      </c>
      <c r="C11" s="15" t="s">
        <v>51</v>
      </c>
      <c r="D11" s="13">
        <v>0.11720500304092471</v>
      </c>
      <c r="E11" s="13">
        <v>0.12695645929392962</v>
      </c>
      <c r="F11" s="13">
        <v>0.1481327967041571</v>
      </c>
      <c r="G11" s="13">
        <v>0.1665753298938247</v>
      </c>
      <c r="H11" s="13">
        <v>0.17788579479361541</v>
      </c>
      <c r="I11" s="13">
        <v>0.18966183440895276</v>
      </c>
      <c r="J11" s="13">
        <v>0.19933458796380935</v>
      </c>
      <c r="K11" s="13">
        <v>0.20180633685456059</v>
      </c>
      <c r="L11" s="13">
        <v>0.21068581567616126</v>
      </c>
      <c r="M11" s="13">
        <v>0.22539168561035733</v>
      </c>
      <c r="N11" s="13">
        <v>0.2388024909041736</v>
      </c>
      <c r="O11" s="13">
        <v>0.25587686900382201</v>
      </c>
      <c r="P11" s="13">
        <v>0.29645894042782817</v>
      </c>
      <c r="Q11" s="13">
        <v>0.33710346116048345</v>
      </c>
      <c r="R11" s="13">
        <v>0.35058759960690278</v>
      </c>
      <c r="S11" s="13">
        <v>0.36110522759510993</v>
      </c>
      <c r="T11" s="13">
        <v>0.37554943669891427</v>
      </c>
      <c r="U11" s="13">
        <v>0.38681591979988178</v>
      </c>
      <c r="V11" s="13">
        <v>0.39551927799537906</v>
      </c>
      <c r="W11" s="13">
        <v>0.40437890982247549</v>
      </c>
      <c r="X11" s="13">
        <v>0.41885567479412011</v>
      </c>
      <c r="Y11" s="13">
        <v>0.4344371058964614</v>
      </c>
      <c r="Z11" s="13">
        <v>0.4517277027111406</v>
      </c>
      <c r="AA11" s="13">
        <v>0.47060992068446628</v>
      </c>
      <c r="AB11" s="13">
        <v>0.48858721965461294</v>
      </c>
      <c r="AC11" s="13">
        <v>0.50109505247777097</v>
      </c>
      <c r="AD11" s="13">
        <v>0.5136224287897152</v>
      </c>
      <c r="AE11" s="13">
        <v>0.52620617829506333</v>
      </c>
      <c r="AF11" s="13">
        <v>0.54120305437647243</v>
      </c>
      <c r="AG11" s="13">
        <v>0.55662734142620196</v>
      </c>
      <c r="AH11" s="13">
        <v>0.57555267103469288</v>
      </c>
      <c r="AI11" s="13">
        <v>0.60149793535623342</v>
      </c>
      <c r="AJ11" s="13">
        <v>0.62534999923683654</v>
      </c>
      <c r="AK11" s="13">
        <v>0.66363142844090928</v>
      </c>
      <c r="AL11" s="13">
        <v>0.69829248623503626</v>
      </c>
      <c r="AM11" s="13">
        <v>0.72819908364448172</v>
      </c>
      <c r="AN11" s="13">
        <v>0.75483365589830576</v>
      </c>
      <c r="AO11" s="13">
        <v>0.77896902532703471</v>
      </c>
      <c r="AP11" s="13">
        <v>0.79781920028001319</v>
      </c>
      <c r="AQ11" s="13">
        <v>0.82319204848173688</v>
      </c>
      <c r="AR11" s="13">
        <v>0.85449440239349239</v>
      </c>
      <c r="AS11" s="13">
        <v>0.88458497549774395</v>
      </c>
      <c r="AT11" s="13">
        <v>0.90128210994017199</v>
      </c>
      <c r="AU11" s="13">
        <v>0.91525666520839821</v>
      </c>
      <c r="AV11" s="13">
        <v>0.93058992756209713</v>
      </c>
      <c r="AW11" s="13">
        <v>0.94150385682856841</v>
      </c>
      <c r="AX11" s="13">
        <v>0.95091889539685404</v>
      </c>
      <c r="AY11" s="13">
        <v>0.96257296096599787</v>
      </c>
      <c r="AZ11" s="13">
        <v>0.98088043615501641</v>
      </c>
      <c r="BA11" s="13">
        <v>1</v>
      </c>
      <c r="BB11" s="13">
        <v>1.0189999999999999</v>
      </c>
      <c r="BC11" s="13">
        <v>1.0383609999999999</v>
      </c>
      <c r="BD11" s="13">
        <v>1.0596546948772487</v>
      </c>
      <c r="BE11" s="13">
        <v>1.0819074434696709</v>
      </c>
      <c r="BF11" s="13">
        <v>1.1046274997825341</v>
      </c>
      <c r="BG11" s="13">
        <v>1.1278246772779672</v>
      </c>
      <c r="BH11" s="12">
        <v>1.1515089955008042</v>
      </c>
      <c r="BI11" s="12">
        <v>1.1756906844063211</v>
      </c>
      <c r="BJ11" s="12">
        <v>1.2003801887788537</v>
      </c>
      <c r="BK11" s="12">
        <v>1.2255881727432094</v>
      </c>
      <c r="BL11" s="12">
        <v>1.2513255243708168</v>
      </c>
      <c r="BM11" s="12">
        <v>1.2776033603826036</v>
      </c>
      <c r="BN11" s="12">
        <v>1.3044330309506382</v>
      </c>
      <c r="BO11" s="12">
        <v>1.3318261246006016</v>
      </c>
      <c r="BP11" s="12">
        <v>1.359794473217214</v>
      </c>
      <c r="BQ11" s="12">
        <v>1.3883501571547756</v>
      </c>
      <c r="BR11" s="12">
        <v>1.4175055104550256</v>
      </c>
      <c r="BS11" s="12">
        <v>1.447273126174581</v>
      </c>
      <c r="BT11" s="12">
        <v>1.4776658618242473</v>
      </c>
      <c r="BU11" s="12">
        <v>1.5086968449225562</v>
      </c>
      <c r="BV11" s="12">
        <v>1.5403794786659299</v>
      </c>
      <c r="BW11" s="12">
        <v>1.5727274477179143</v>
      </c>
      <c r="BX11" s="12">
        <v>1.6057547241199903</v>
      </c>
      <c r="BY11" s="12">
        <v>1.6394755733265101</v>
      </c>
      <c r="BZ11" s="12">
        <v>1.6739045603663667</v>
      </c>
      <c r="CA11" s="12">
        <v>1.7090565561340603</v>
      </c>
      <c r="CB11" s="12">
        <v>1.7449467438128754</v>
      </c>
      <c r="CC11" s="12">
        <v>1.7815906254329454</v>
      </c>
      <c r="CD11" s="12">
        <v>1.819004028567037</v>
      </c>
      <c r="CE11" s="12">
        <v>1.8572031131669446</v>
      </c>
      <c r="CF11" s="12">
        <v>1.8962043785434504</v>
      </c>
      <c r="CG11" s="12">
        <v>1.9360246704928628</v>
      </c>
      <c r="CH11" s="12">
        <v>1.9766811885732125</v>
      </c>
      <c r="CI11" s="12">
        <v>2.0181914935332497</v>
      </c>
      <c r="CJ11" s="12">
        <v>2.0605735148974476</v>
      </c>
      <c r="CK11" s="12">
        <v>2.1038455587102938</v>
      </c>
      <c r="CL11" s="12">
        <v>2.14802631544321</v>
      </c>
      <c r="CM11" s="12">
        <v>2.1931348680675171</v>
      </c>
      <c r="CN11" s="12">
        <v>2.2391907002969349</v>
      </c>
      <c r="CO11" s="12">
        <v>2.2862137050031701</v>
      </c>
      <c r="CP11" s="12">
        <v>2.3342241928082368</v>
      </c>
      <c r="CQ11" s="12">
        <v>2.3832429008572098</v>
      </c>
      <c r="CR11" s="12">
        <f>Inflation_Raw[[#This Row],[2060]]/Inflation_Raw[[#This Row],[2059]]*Inflation_Raw[[#This Row],[2060]]</f>
        <v>2.4332910017752112</v>
      </c>
      <c r="CS11" s="12">
        <f>Inflation_Raw[[#This Row],[2061]]/Inflation_Raw[[#This Row],[2060]]*Inflation_Raw[[#This Row],[2061]]</f>
        <v>2.4843901128124903</v>
      </c>
      <c r="CT11" s="12">
        <f>Inflation_Raw[[#This Row],[2062]]/Inflation_Raw[[#This Row],[2061]]*Inflation_Raw[[#This Row],[2062]]</f>
        <v>2.5365623051815525</v>
      </c>
      <c r="CU11" s="12">
        <f>Inflation_Raw[[#This Row],[2063]]/Inflation_Raw[[#This Row],[2062]]*Inflation_Raw[[#This Row],[2063]]</f>
        <v>2.5898301135903647</v>
      </c>
      <c r="CV11" s="12">
        <f>Inflation_Raw[[#This Row],[2064]]/Inflation_Raw[[#This Row],[2063]]*Inflation_Raw[[#This Row],[2064]]</f>
        <v>2.6442165459757621</v>
      </c>
      <c r="CW11" s="12">
        <f>Inflation_Raw[[#This Row],[2065]]/Inflation_Raw[[#This Row],[2064]]*Inflation_Raw[[#This Row],[2065]]</f>
        <v>2.699745093441253</v>
      </c>
      <c r="CX11" s="12">
        <f>Inflation_Raw[[#This Row],[2066]]/Inflation_Raw[[#This Row],[2065]]*Inflation_Raw[[#This Row],[2066]]</f>
        <v>2.7564397404035192</v>
      </c>
      <c r="CY11" s="12">
        <f>Inflation_Raw[[#This Row],[2067]]/Inflation_Raw[[#This Row],[2066]]*Inflation_Raw[[#This Row],[2067]]</f>
        <v>2.814324974951993</v>
      </c>
      <c r="CZ11" s="12">
        <f>Inflation_Raw[[#This Row],[2068]]/Inflation_Raw[[#This Row],[2067]]*Inflation_Raw[[#This Row],[2068]]</f>
        <v>2.8734257994259846</v>
      </c>
      <c r="DA11" s="12">
        <f>Inflation_Raw[[#This Row],[2069]]/Inflation_Raw[[#This Row],[2068]]*Inflation_Raw[[#This Row],[2069]]</f>
        <v>2.9337677412139302</v>
      </c>
      <c r="DB11" s="12">
        <f>Inflation_Raw[[#This Row],[2070]]/Inflation_Raw[[#This Row],[2069]]*Inflation_Raw[[#This Row],[2070]]</f>
        <v>2.9953768637794225</v>
      </c>
      <c r="DC11" s="12">
        <f>Inflation_Raw[[#This Row],[2071]]/Inflation_Raw[[#This Row],[2070]]*Inflation_Raw[[#This Row],[2071]]</f>
        <v>3.05827977791879</v>
      </c>
      <c r="DD11" s="12">
        <f>Inflation_Raw[[#This Row],[2072]]/Inflation_Raw[[#This Row],[2071]]*Inflation_Raw[[#This Row],[2072]]</f>
        <v>3.1225036532550843</v>
      </c>
      <c r="DE11" s="12">
        <f>Inflation_Raw[[#This Row],[2073]]/Inflation_Raw[[#This Row],[2072]]*Inflation_Raw[[#This Row],[2073]]</f>
        <v>3.1880762299734409</v>
      </c>
      <c r="DF11" s="12">
        <f>Inflation_Raw[[#This Row],[2074]]/Inflation_Raw[[#This Row],[2073]]*Inflation_Raw[[#This Row],[2074]]</f>
        <v>3.2550258308028828</v>
      </c>
      <c r="DG11" s="12">
        <f>Inflation_Raw[[#This Row],[2075]]/Inflation_Raw[[#This Row],[2074]]*Inflation_Raw[[#This Row],[2075]]</f>
        <v>3.323381373249743</v>
      </c>
      <c r="DH11" s="12">
        <f>Inflation_Raw[[#This Row],[2076]]/Inflation_Raw[[#This Row],[2075]]*Inflation_Raw[[#This Row],[2076]]</f>
        <v>3.3931723820879873</v>
      </c>
      <c r="DI11" s="12">
        <f>Inflation_Raw[[#This Row],[2077]]/Inflation_Raw[[#This Row],[2076]]*Inflation_Raw[[#This Row],[2077]]</f>
        <v>3.4644290021118347</v>
      </c>
      <c r="DJ11" s="12">
        <f>Inflation_Raw[[#This Row],[2078]]/Inflation_Raw[[#This Row],[2077]]*Inflation_Raw[[#This Row],[2078]]</f>
        <v>3.5371820111561827</v>
      </c>
      <c r="DK11" s="12">
        <f>Inflation_Raw[[#This Row],[2079]]/Inflation_Raw[[#This Row],[2078]]*Inflation_Raw[[#This Row],[2079]]</f>
        <v>3.6114628333904624</v>
      </c>
      <c r="DL11" s="12">
        <f>Inflation_Raw[[#This Row],[2080]]/Inflation_Raw[[#This Row],[2079]]*Inflation_Raw[[#This Row],[2080]]</f>
        <v>3.6873035528916618</v>
      </c>
      <c r="DM11" s="12">
        <f>Inflation_Raw[[#This Row],[2081]]/Inflation_Raw[[#This Row],[2080]]*Inflation_Raw[[#This Row],[2081]]</f>
        <v>3.7647369275023865</v>
      </c>
      <c r="DN11" s="12">
        <f>Inflation_Raw[[#This Row],[2082]]/Inflation_Raw[[#This Row],[2081]]*Inflation_Raw[[#This Row],[2082]]</f>
        <v>3.8437964029799363</v>
      </c>
      <c r="DO11" s="12">
        <f>Inflation_Raw[[#This Row],[2083]]/Inflation_Raw[[#This Row],[2082]]*Inflation_Raw[[#This Row],[2083]]</f>
        <v>3.9245161274425144</v>
      </c>
      <c r="DP11" s="12">
        <f>Inflation_Raw[[#This Row],[2084]]/Inflation_Raw[[#This Row],[2083]]*Inflation_Raw[[#This Row],[2084]]</f>
        <v>4.0069309661188068</v>
      </c>
      <c r="DQ11" s="12">
        <f>Inflation_Raw[[#This Row],[2085]]/Inflation_Raw[[#This Row],[2084]]*Inflation_Raw[[#This Row],[2085]]</f>
        <v>4.0910765164073011</v>
      </c>
      <c r="DR11" s="12">
        <f>Inflation_Raw[[#This Row],[2086]]/Inflation_Raw[[#This Row],[2085]]*Inflation_Raw[[#This Row],[2086]]</f>
        <v>4.1769891232518539</v>
      </c>
      <c r="DS11" s="12">
        <f>Inflation_Raw[[#This Row],[2087]]/Inflation_Raw[[#This Row],[2086]]*Inflation_Raw[[#This Row],[2087]]</f>
        <v>4.2647058948401426</v>
      </c>
      <c r="DT11" s="12">
        <f>Inflation_Raw[[#This Row],[2088]]/Inflation_Raw[[#This Row],[2087]]*Inflation_Raw[[#This Row],[2088]]</f>
        <v>4.3542647186317849</v>
      </c>
      <c r="DU11" s="12">
        <f>Inflation_Raw[[#This Row],[2089]]/Inflation_Raw[[#This Row],[2088]]*Inflation_Raw[[#This Row],[2089]]</f>
        <v>4.4457042777230518</v>
      </c>
      <c r="DV11" s="12">
        <f>Inflation_Raw[[#This Row],[2090]]/Inflation_Raw[[#This Row],[2089]]*Inflation_Raw[[#This Row],[2090]]</f>
        <v>4.5390640675552358</v>
      </c>
      <c r="DW11" s="12">
        <f>Inflation_Raw[[#This Row],[2091]]/Inflation_Raw[[#This Row],[2090]]*Inflation_Raw[[#This Row],[2091]]</f>
        <v>4.6343844129738958</v>
      </c>
      <c r="DX11" s="12">
        <f>Inflation_Raw[[#This Row],[2092]]/Inflation_Raw[[#This Row],[2091]]*Inflation_Raw[[#This Row],[2092]]</f>
        <v>4.7317064856463471</v>
      </c>
      <c r="DY11" s="12">
        <f>Inflation_Raw[[#This Row],[2093]]/Inflation_Raw[[#This Row],[2092]]*Inflation_Raw[[#This Row],[2093]]</f>
        <v>4.8310723218449203</v>
      </c>
      <c r="DZ11" s="12">
        <f>Inflation_Raw[[#This Row],[2094]]/Inflation_Raw[[#This Row],[2093]]*Inflation_Raw[[#This Row],[2094]]</f>
        <v>4.932524840603663</v>
      </c>
      <c r="EA11" s="12">
        <f>Inflation_Raw[[#This Row],[2095]]/Inflation_Raw[[#This Row],[2094]]*Inflation_Raw[[#This Row],[2095]]</f>
        <v>5.0361078622563396</v>
      </c>
      <c r="EB11" s="12">
        <f>Inflation_Raw[[#This Row],[2096]]/Inflation_Raw[[#This Row],[2095]]*Inflation_Raw[[#This Row],[2096]]</f>
        <v>5.1418661273637225</v>
      </c>
    </row>
    <row r="12" spans="2:132">
      <c r="B12" s="15" t="s">
        <v>50</v>
      </c>
      <c r="C12" s="15" t="s">
        <v>49</v>
      </c>
      <c r="D12" s="13">
        <v>0.16436732013850691</v>
      </c>
      <c r="E12" s="13">
        <v>0.17867091236839236</v>
      </c>
      <c r="F12" s="13">
        <v>0.18960996351287715</v>
      </c>
      <c r="G12" s="13">
        <v>0.2001905221575587</v>
      </c>
      <c r="H12" s="13">
        <v>0.22335040788816488</v>
      </c>
      <c r="I12" s="13">
        <v>0.25809021850439673</v>
      </c>
      <c r="J12" s="13">
        <v>0.26685416376967197</v>
      </c>
      <c r="K12" s="13">
        <v>0.27128162284649909</v>
      </c>
      <c r="L12" s="13">
        <v>0.27946017497811276</v>
      </c>
      <c r="M12" s="13">
        <v>0.30093476122234564</v>
      </c>
      <c r="N12" s="13">
        <v>0.32824490253739547</v>
      </c>
      <c r="O12" s="13">
        <v>0.36211946479029794</v>
      </c>
      <c r="P12" s="13">
        <v>0.4000435030782456</v>
      </c>
      <c r="Q12" s="13">
        <v>0.42984046639870621</v>
      </c>
      <c r="R12" s="13">
        <v>0.45071738689806062</v>
      </c>
      <c r="S12" s="13">
        <v>0.46758563378554324</v>
      </c>
      <c r="T12" s="13">
        <v>0.48355743989457928</v>
      </c>
      <c r="U12" s="13">
        <v>0.49612444717023152</v>
      </c>
      <c r="V12" s="13">
        <v>0.50932969206827206</v>
      </c>
      <c r="W12" s="13">
        <v>0.52423465001234293</v>
      </c>
      <c r="X12" s="13">
        <v>0.545954748120135</v>
      </c>
      <c r="Y12" s="13">
        <v>0.5675939078744664</v>
      </c>
      <c r="Z12" s="13">
        <v>0.59177703640115675</v>
      </c>
      <c r="AA12" s="13">
        <v>0.60971811887053806</v>
      </c>
      <c r="AB12" s="13">
        <v>0.62933228174066558</v>
      </c>
      <c r="AC12" s="13">
        <v>0.64036340677470049</v>
      </c>
      <c r="AD12" s="13">
        <v>0.651608444343027</v>
      </c>
      <c r="AE12" s="13">
        <v>0.66464061322988754</v>
      </c>
      <c r="AF12" s="13">
        <v>0.67818392854161169</v>
      </c>
      <c r="AG12" s="13">
        <v>0.68663769466606128</v>
      </c>
      <c r="AH12" s="13">
        <v>0.69733303805325786</v>
      </c>
      <c r="AI12" s="13">
        <v>0.7115710353232213</v>
      </c>
      <c r="AJ12" s="13">
        <v>0.72733003473952207</v>
      </c>
      <c r="AK12" s="13">
        <v>0.7374421212713087</v>
      </c>
      <c r="AL12" s="13">
        <v>0.7482082743092735</v>
      </c>
      <c r="AM12" s="13">
        <v>0.76585148012422022</v>
      </c>
      <c r="AN12" s="13">
        <v>0.78830945338883573</v>
      </c>
      <c r="AO12" s="13">
        <v>0.81286123572885116</v>
      </c>
      <c r="AP12" s="13">
        <v>0.83447848567217864</v>
      </c>
      <c r="AQ12" s="13">
        <v>0.85570410816843001</v>
      </c>
      <c r="AR12" s="13">
        <v>0.87293079719856892</v>
      </c>
      <c r="AS12" s="13">
        <v>0.87991424357615755</v>
      </c>
      <c r="AT12" s="13">
        <v>0.8975125284476807</v>
      </c>
      <c r="AU12" s="13">
        <v>0.91366775395973887</v>
      </c>
      <c r="AV12" s="13">
        <v>0.92737277026913489</v>
      </c>
      <c r="AW12" s="13">
        <v>0.94128336182317185</v>
      </c>
      <c r="AX12" s="13">
        <v>0.95163747880322669</v>
      </c>
      <c r="AY12" s="13">
        <v>0.96305712854886549</v>
      </c>
      <c r="AZ12" s="13">
        <v>0.98039215686274506</v>
      </c>
      <c r="BA12" s="13">
        <v>1</v>
      </c>
      <c r="BB12" s="13">
        <v>1.02</v>
      </c>
      <c r="BC12" s="13">
        <v>1.0404</v>
      </c>
      <c r="BD12" s="13">
        <v>1.0612079999999999</v>
      </c>
      <c r="BE12" s="13">
        <v>1.08243216</v>
      </c>
      <c r="BF12" s="13">
        <v>1.1040808031999998</v>
      </c>
      <c r="BG12" s="13">
        <v>1.1261624192639998</v>
      </c>
      <c r="BH12" s="12">
        <v>1.1486856676492798</v>
      </c>
      <c r="BI12" s="12">
        <v>1.1716593810022655</v>
      </c>
      <c r="BJ12" s="12">
        <v>1.1950925686223108</v>
      </c>
      <c r="BK12" s="12">
        <v>1.2189944199947571</v>
      </c>
      <c r="BL12" s="12">
        <v>1.2433743083946522</v>
      </c>
      <c r="BM12" s="12">
        <v>1.2682417945625453</v>
      </c>
      <c r="BN12" s="12">
        <v>1.2936066304537961</v>
      </c>
      <c r="BO12" s="12">
        <v>1.3194787630628719</v>
      </c>
      <c r="BP12" s="12">
        <v>1.3458683383241294</v>
      </c>
      <c r="BQ12" s="12">
        <v>1.372785705090612</v>
      </c>
      <c r="BR12" s="12">
        <v>1.4002414191924244</v>
      </c>
      <c r="BS12" s="12">
        <v>1.4282462475762729</v>
      </c>
      <c r="BT12" s="12">
        <v>1.4568111725277983</v>
      </c>
      <c r="BU12" s="12">
        <v>1.4859473959783542</v>
      </c>
      <c r="BV12" s="12">
        <v>1.5156663438979214</v>
      </c>
      <c r="BW12" s="12">
        <v>1.5459796707758799</v>
      </c>
      <c r="BX12" s="12">
        <v>1.5768992641913975</v>
      </c>
      <c r="BY12" s="12">
        <v>1.6084372494752255</v>
      </c>
      <c r="BZ12" s="12">
        <v>1.64060599446473</v>
      </c>
      <c r="CA12" s="12">
        <v>1.6734181143540245</v>
      </c>
      <c r="CB12" s="12">
        <v>1.7068864766411052</v>
      </c>
      <c r="CC12" s="12">
        <v>1.7410242061739274</v>
      </c>
      <c r="CD12" s="12">
        <v>1.7758446902974059</v>
      </c>
      <c r="CE12" s="12">
        <v>1.8113615841033541</v>
      </c>
      <c r="CF12" s="12">
        <v>1.8475888157854212</v>
      </c>
      <c r="CG12" s="12">
        <v>1.8845405921011298</v>
      </c>
      <c r="CH12" s="12">
        <v>1.9222314039431525</v>
      </c>
      <c r="CI12" s="12">
        <v>1.9606760320220156</v>
      </c>
      <c r="CJ12" s="12">
        <v>1.9998895526624558</v>
      </c>
      <c r="CK12" s="12">
        <v>2.039887343715705</v>
      </c>
      <c r="CL12" s="12">
        <v>2.0806850905900189</v>
      </c>
      <c r="CM12" s="12">
        <v>2.1222987924018195</v>
      </c>
      <c r="CN12" s="12">
        <v>2.164744768249856</v>
      </c>
      <c r="CO12" s="12">
        <v>2.2080396636148532</v>
      </c>
      <c r="CP12" s="12">
        <v>2.2522004568871501</v>
      </c>
      <c r="CQ12" s="12">
        <v>2.297244466024893</v>
      </c>
      <c r="CR12" s="12">
        <f>Inflation_Raw[[#This Row],[2060]]/Inflation_Raw[[#This Row],[2059]]*Inflation_Raw[[#This Row],[2060]]</f>
        <v>2.3431893553453911</v>
      </c>
      <c r="CS12" s="12">
        <f>Inflation_Raw[[#This Row],[2061]]/Inflation_Raw[[#This Row],[2060]]*Inflation_Raw[[#This Row],[2061]]</f>
        <v>2.3900531424522988</v>
      </c>
      <c r="CT12" s="12">
        <f>Inflation_Raw[[#This Row],[2062]]/Inflation_Raw[[#This Row],[2061]]*Inflation_Raw[[#This Row],[2062]]</f>
        <v>2.437854205301345</v>
      </c>
      <c r="CU12" s="12">
        <f>Inflation_Raw[[#This Row],[2063]]/Inflation_Raw[[#This Row],[2062]]*Inflation_Raw[[#This Row],[2063]]</f>
        <v>2.4866112894073717</v>
      </c>
      <c r="CV12" s="12">
        <f>Inflation_Raw[[#This Row],[2064]]/Inflation_Raw[[#This Row],[2063]]*Inflation_Raw[[#This Row],[2064]]</f>
        <v>2.5363435151955191</v>
      </c>
      <c r="CW12" s="12">
        <f>Inflation_Raw[[#This Row],[2065]]/Inflation_Raw[[#This Row],[2064]]*Inflation_Raw[[#This Row],[2065]]</f>
        <v>2.5870703854994295</v>
      </c>
      <c r="CX12" s="12">
        <f>Inflation_Raw[[#This Row],[2066]]/Inflation_Raw[[#This Row],[2065]]*Inflation_Raw[[#This Row],[2066]]</f>
        <v>2.6388117932094182</v>
      </c>
      <c r="CY12" s="12">
        <f>Inflation_Raw[[#This Row],[2067]]/Inflation_Raw[[#This Row],[2066]]*Inflation_Raw[[#This Row],[2067]]</f>
        <v>2.6915880290736065</v>
      </c>
      <c r="CZ12" s="12">
        <f>Inflation_Raw[[#This Row],[2068]]/Inflation_Raw[[#This Row],[2067]]*Inflation_Raw[[#This Row],[2068]]</f>
        <v>2.7454197896550787</v>
      </c>
      <c r="DA12" s="12">
        <f>Inflation_Raw[[#This Row],[2069]]/Inflation_Raw[[#This Row],[2068]]*Inflation_Raw[[#This Row],[2069]]</f>
        <v>2.8003281854481803</v>
      </c>
      <c r="DB12" s="12">
        <f>Inflation_Raw[[#This Row],[2070]]/Inflation_Raw[[#This Row],[2069]]*Inflation_Raw[[#This Row],[2070]]</f>
        <v>2.8563347491571438</v>
      </c>
      <c r="DC12" s="12">
        <f>Inflation_Raw[[#This Row],[2071]]/Inflation_Raw[[#This Row],[2070]]*Inflation_Raw[[#This Row],[2071]]</f>
        <v>2.9134614441402866</v>
      </c>
      <c r="DD12" s="12">
        <f>Inflation_Raw[[#This Row],[2072]]/Inflation_Raw[[#This Row],[2071]]*Inflation_Raw[[#This Row],[2072]]</f>
        <v>2.9717306730230924</v>
      </c>
      <c r="DE12" s="12">
        <f>Inflation_Raw[[#This Row],[2073]]/Inflation_Raw[[#This Row],[2072]]*Inflation_Raw[[#This Row],[2073]]</f>
        <v>3.0311652864835543</v>
      </c>
      <c r="DF12" s="12">
        <f>Inflation_Raw[[#This Row],[2074]]/Inflation_Raw[[#This Row],[2073]]*Inflation_Raw[[#This Row],[2074]]</f>
        <v>3.0917885922132253</v>
      </c>
      <c r="DG12" s="12">
        <f>Inflation_Raw[[#This Row],[2075]]/Inflation_Raw[[#This Row],[2074]]*Inflation_Raw[[#This Row],[2075]]</f>
        <v>3.1536243640574897</v>
      </c>
      <c r="DH12" s="12">
        <f>Inflation_Raw[[#This Row],[2076]]/Inflation_Raw[[#This Row],[2075]]*Inflation_Raw[[#This Row],[2076]]</f>
        <v>3.2166968513386394</v>
      </c>
      <c r="DI12" s="12">
        <f>Inflation_Raw[[#This Row],[2077]]/Inflation_Raw[[#This Row],[2076]]*Inflation_Raw[[#This Row],[2077]]</f>
        <v>3.2810307883654124</v>
      </c>
      <c r="DJ12" s="12">
        <f>Inflation_Raw[[#This Row],[2078]]/Inflation_Raw[[#This Row],[2077]]*Inflation_Raw[[#This Row],[2078]]</f>
        <v>3.3466514041327207</v>
      </c>
      <c r="DK12" s="12">
        <f>Inflation_Raw[[#This Row],[2079]]/Inflation_Raw[[#This Row],[2078]]*Inflation_Raw[[#This Row],[2079]]</f>
        <v>3.4135844322153752</v>
      </c>
      <c r="DL12" s="12">
        <f>Inflation_Raw[[#This Row],[2080]]/Inflation_Raw[[#This Row],[2079]]*Inflation_Raw[[#This Row],[2080]]</f>
        <v>3.4818561208596828</v>
      </c>
      <c r="DM12" s="12">
        <f>Inflation_Raw[[#This Row],[2081]]/Inflation_Raw[[#This Row],[2080]]*Inflation_Raw[[#This Row],[2081]]</f>
        <v>3.5514932432768767</v>
      </c>
      <c r="DN12" s="12">
        <f>Inflation_Raw[[#This Row],[2082]]/Inflation_Raw[[#This Row],[2081]]*Inflation_Raw[[#This Row],[2082]]</f>
        <v>3.6225231081424143</v>
      </c>
      <c r="DO12" s="12">
        <f>Inflation_Raw[[#This Row],[2083]]/Inflation_Raw[[#This Row],[2082]]*Inflation_Raw[[#This Row],[2083]]</f>
        <v>3.6949735703052626</v>
      </c>
      <c r="DP12" s="12">
        <f>Inflation_Raw[[#This Row],[2084]]/Inflation_Raw[[#This Row],[2083]]*Inflation_Raw[[#This Row],[2084]]</f>
        <v>3.7688730417113678</v>
      </c>
      <c r="DQ12" s="12">
        <f>Inflation_Raw[[#This Row],[2085]]/Inflation_Raw[[#This Row],[2084]]*Inflation_Raw[[#This Row],[2085]]</f>
        <v>3.8442505025455951</v>
      </c>
      <c r="DR12" s="12">
        <f>Inflation_Raw[[#This Row],[2086]]/Inflation_Raw[[#This Row],[2085]]*Inflation_Raw[[#This Row],[2086]]</f>
        <v>3.9211355125965071</v>
      </c>
      <c r="DS12" s="12">
        <f>Inflation_Raw[[#This Row],[2087]]/Inflation_Raw[[#This Row],[2086]]*Inflation_Raw[[#This Row],[2087]]</f>
        <v>3.9995582228484374</v>
      </c>
      <c r="DT12" s="12">
        <f>Inflation_Raw[[#This Row],[2088]]/Inflation_Raw[[#This Row],[2087]]*Inflation_Raw[[#This Row],[2088]]</f>
        <v>4.0795493873054065</v>
      </c>
      <c r="DU12" s="12">
        <f>Inflation_Raw[[#This Row],[2089]]/Inflation_Raw[[#This Row],[2088]]*Inflation_Raw[[#This Row],[2089]]</f>
        <v>4.1611403750515148</v>
      </c>
      <c r="DV12" s="12">
        <f>Inflation_Raw[[#This Row],[2090]]/Inflation_Raw[[#This Row],[2089]]*Inflation_Raw[[#This Row],[2090]]</f>
        <v>4.2443631825525454</v>
      </c>
      <c r="DW12" s="12">
        <f>Inflation_Raw[[#This Row],[2091]]/Inflation_Raw[[#This Row],[2090]]*Inflation_Raw[[#This Row],[2091]]</f>
        <v>4.3292504462035968</v>
      </c>
      <c r="DX12" s="12">
        <f>Inflation_Raw[[#This Row],[2092]]/Inflation_Raw[[#This Row],[2091]]*Inflation_Raw[[#This Row],[2092]]</f>
        <v>4.4158354551276684</v>
      </c>
      <c r="DY12" s="12">
        <f>Inflation_Raw[[#This Row],[2093]]/Inflation_Raw[[#This Row],[2092]]*Inflation_Raw[[#This Row],[2093]]</f>
        <v>4.5041521642302218</v>
      </c>
      <c r="DZ12" s="12">
        <f>Inflation_Raw[[#This Row],[2094]]/Inflation_Raw[[#This Row],[2093]]*Inflation_Raw[[#This Row],[2094]]</f>
        <v>4.5942352075148261</v>
      </c>
      <c r="EA12" s="12">
        <f>Inflation_Raw[[#This Row],[2095]]/Inflation_Raw[[#This Row],[2094]]*Inflation_Raw[[#This Row],[2095]]</f>
        <v>4.6861199116651227</v>
      </c>
      <c r="EB12" s="12">
        <f>Inflation_Raw[[#This Row],[2096]]/Inflation_Raw[[#This Row],[2095]]*Inflation_Raw[[#This Row],[2096]]</f>
        <v>4.7798423098984255</v>
      </c>
    </row>
    <row r="13" spans="2:132">
      <c r="B13" s="15" t="s">
        <v>48</v>
      </c>
      <c r="C13" s="15" t="s">
        <v>47</v>
      </c>
      <c r="D13" s="13">
        <v>0.12018393180165224</v>
      </c>
      <c r="E13" s="13">
        <v>0.12983580721749749</v>
      </c>
      <c r="F13" s="13">
        <v>0.15032272907415362</v>
      </c>
      <c r="G13" s="13">
        <v>0.16839203220614576</v>
      </c>
      <c r="H13" s="13">
        <v>0.18001145289084064</v>
      </c>
      <c r="I13" s="13">
        <v>0.19184742193215687</v>
      </c>
      <c r="J13" s="13">
        <v>0.2017139429947058</v>
      </c>
      <c r="K13" s="13">
        <v>0.20478100349794026</v>
      </c>
      <c r="L13" s="13">
        <v>0.21316289475211445</v>
      </c>
      <c r="M13" s="13">
        <v>0.22785455041679867</v>
      </c>
      <c r="N13" s="13">
        <v>0.24170664881301734</v>
      </c>
      <c r="O13" s="13">
        <v>0.25902696053632013</v>
      </c>
      <c r="P13" s="13">
        <v>0.30151219996574252</v>
      </c>
      <c r="Q13" s="13">
        <v>0.34163364448346401</v>
      </c>
      <c r="R13" s="13">
        <v>0.35550192064762576</v>
      </c>
      <c r="S13" s="13">
        <v>0.3663546832811565</v>
      </c>
      <c r="T13" s="13">
        <v>0.38086379415782334</v>
      </c>
      <c r="U13" s="13">
        <v>0.39224171914449413</v>
      </c>
      <c r="V13" s="13">
        <v>0.40118541870356728</v>
      </c>
      <c r="W13" s="13">
        <v>0.4103423660844106</v>
      </c>
      <c r="X13" s="13">
        <v>0.42521664318346464</v>
      </c>
      <c r="Y13" s="13">
        <v>0.44112515087915799</v>
      </c>
      <c r="Z13" s="13">
        <v>0.45905130051796145</v>
      </c>
      <c r="AA13" s="13">
        <v>0.47783013029721583</v>
      </c>
      <c r="AB13" s="13">
        <v>0.49573196354984572</v>
      </c>
      <c r="AC13" s="13">
        <v>0.50824808518988096</v>
      </c>
      <c r="AD13" s="13">
        <v>0.52076277944112848</v>
      </c>
      <c r="AE13" s="13">
        <v>0.53337219088670929</v>
      </c>
      <c r="AF13" s="13">
        <v>0.54811910523783103</v>
      </c>
      <c r="AG13" s="13">
        <v>0.56300160777729324</v>
      </c>
      <c r="AH13" s="13">
        <v>0.58127269895448974</v>
      </c>
      <c r="AI13" s="13">
        <v>0.60642802833569098</v>
      </c>
      <c r="AJ13" s="13">
        <v>0.6299728374256498</v>
      </c>
      <c r="AK13" s="13">
        <v>0.66715021848473699</v>
      </c>
      <c r="AL13" s="13">
        <v>0.7009357449215563</v>
      </c>
      <c r="AM13" s="13">
        <v>0.73027680617254342</v>
      </c>
      <c r="AN13" s="13">
        <v>0.75599962405963561</v>
      </c>
      <c r="AO13" s="13">
        <v>0.78014017755165688</v>
      </c>
      <c r="AP13" s="13">
        <v>0.79915948372132262</v>
      </c>
      <c r="AQ13" s="13">
        <v>0.82427463701312731</v>
      </c>
      <c r="AR13" s="13">
        <v>0.85472631927550224</v>
      </c>
      <c r="AS13" s="13">
        <v>0.88361333806734343</v>
      </c>
      <c r="AT13" s="13">
        <v>0.90050880366378128</v>
      </c>
      <c r="AU13" s="13">
        <v>0.91494712540405754</v>
      </c>
      <c r="AV13" s="13">
        <v>0.92994430384268678</v>
      </c>
      <c r="AW13" s="13">
        <v>0.94145291172688261</v>
      </c>
      <c r="AX13" s="13">
        <v>0.95105470950387094</v>
      </c>
      <c r="AY13" s="13">
        <v>0.96266066010156259</v>
      </c>
      <c r="AZ13" s="13">
        <v>0.98076929641797272</v>
      </c>
      <c r="BA13" s="13">
        <v>1</v>
      </c>
      <c r="BB13" s="13">
        <v>1.0192424396260149</v>
      </c>
      <c r="BC13" s="13">
        <v>1.0388716117137247</v>
      </c>
      <c r="BD13" s="13">
        <v>1.0600314258120296</v>
      </c>
      <c r="BE13" s="13">
        <v>1.0819824882424962</v>
      </c>
      <c r="BF13" s="13">
        <v>1.1043881118586911</v>
      </c>
      <c r="BG13" s="13">
        <v>1.127257709684345</v>
      </c>
      <c r="BH13" s="12">
        <v>1.1506008896674764</v>
      </c>
      <c r="BI13" s="12">
        <v>1.1744274587168737</v>
      </c>
      <c r="BJ13" s="12">
        <v>1.1987474268221587</v>
      </c>
      <c r="BK13" s="12">
        <v>1.223571011259174</v>
      </c>
      <c r="BL13" s="12">
        <v>1.248908640882451</v>
      </c>
      <c r="BM13" s="12">
        <v>1.2747709605065687</v>
      </c>
      <c r="BN13" s="12">
        <v>1.3011688353782402</v>
      </c>
      <c r="BO13" s="12">
        <v>1.3281133557410074</v>
      </c>
      <c r="BP13" s="12">
        <v>1.3556158414944601</v>
      </c>
      <c r="BQ13" s="12">
        <v>1.3836878469499392</v>
      </c>
      <c r="BR13" s="12">
        <v>1.41234116568472</v>
      </c>
      <c r="BS13" s="12">
        <v>1.4415878354967155</v>
      </c>
      <c r="BT13" s="12">
        <v>1.4714401434617825</v>
      </c>
      <c r="BU13" s="12">
        <v>1.501910631095752</v>
      </c>
      <c r="BV13" s="12">
        <v>1.5330120996233563</v>
      </c>
      <c r="BW13" s="12">
        <v>1.5647576153562646</v>
      </c>
      <c r="BX13" s="12">
        <v>1.5971605151824855</v>
      </c>
      <c r="BY13" s="12">
        <v>1.6302344121694452</v>
      </c>
      <c r="BZ13" s="12">
        <v>1.663993201283092</v>
      </c>
      <c r="CA13" s="12">
        <v>1.6984510652254334</v>
      </c>
      <c r="CB13" s="12">
        <v>1.7336224803929563</v>
      </c>
      <c r="CC13" s="12">
        <v>1.7695222229584322</v>
      </c>
      <c r="CD13" s="12">
        <v>1.8061653750786661</v>
      </c>
      <c r="CE13" s="12">
        <v>1.8435673312307941</v>
      </c>
      <c r="CF13" s="12">
        <v>1.8817438046797916</v>
      </c>
      <c r="CG13" s="12">
        <v>1.9207108340799131</v>
      </c>
      <c r="CH13" s="12">
        <v>1.9604847902128308</v>
      </c>
      <c r="CI13" s="12">
        <v>2.0010823828653086</v>
      </c>
      <c r="CJ13" s="12">
        <v>2.0425206678492982</v>
      </c>
      <c r="CK13" s="12">
        <v>2.0848170541674045</v>
      </c>
      <c r="CL13" s="12">
        <v>2.1279893113267363</v>
      </c>
      <c r="CM13" s="12">
        <v>2.1720555768042114</v>
      </c>
      <c r="CN13" s="12">
        <v>2.217034363666448</v>
      </c>
      <c r="CO13" s="12">
        <v>2.2629445683474572</v>
      </c>
      <c r="CP13" s="12">
        <v>2.3098054785873852</v>
      </c>
      <c r="CQ13" s="12">
        <v>2.3576367815356591</v>
      </c>
      <c r="CR13" s="12">
        <f>Inflation_Raw[[#This Row],[2060]]/Inflation_Raw[[#This Row],[2059]]*Inflation_Raw[[#This Row],[2060]]</f>
        <v>2.4064585720219265</v>
      </c>
      <c r="CS13" s="12">
        <f>Inflation_Raw[[#This Row],[2061]]/Inflation_Raw[[#This Row],[2060]]*Inflation_Raw[[#This Row],[2061]]</f>
        <v>2.4562913609982719</v>
      </c>
      <c r="CT13" s="12">
        <f>Inflation_Raw[[#This Row],[2062]]/Inflation_Raw[[#This Row],[2061]]*Inflation_Raw[[#This Row],[2062]]</f>
        <v>2.5071560841562537</v>
      </c>
      <c r="CU13" s="12">
        <f>Inflation_Raw[[#This Row],[2063]]/Inflation_Raw[[#This Row],[2062]]*Inflation_Raw[[#This Row],[2063]]</f>
        <v>2.5590741107223809</v>
      </c>
      <c r="CV13" s="12">
        <f>Inflation_Raw[[#This Row],[2064]]/Inflation_Raw[[#This Row],[2063]]*Inflation_Raw[[#This Row],[2064]]</f>
        <v>2.612067252435728</v>
      </c>
      <c r="CW13" s="12">
        <f>Inflation_Raw[[#This Row],[2065]]/Inflation_Raw[[#This Row],[2064]]*Inflation_Raw[[#This Row],[2065]]</f>
        <v>2.6661577727114563</v>
      </c>
      <c r="CX13" s="12">
        <f>Inflation_Raw[[#This Row],[2066]]/Inflation_Raw[[#This Row],[2065]]*Inflation_Raw[[#This Row],[2066]]</f>
        <v>2.7213683959940926</v>
      </c>
      <c r="CY13" s="12">
        <f>Inflation_Raw[[#This Row],[2067]]/Inflation_Raw[[#This Row],[2066]]*Inflation_Raw[[#This Row],[2067]]</f>
        <v>2.7777223173044963</v>
      </c>
      <c r="CZ13" s="12">
        <f>Inflation_Raw[[#This Row],[2068]]/Inflation_Raw[[#This Row],[2067]]*Inflation_Raw[[#This Row],[2068]]</f>
        <v>2.835243211984523</v>
      </c>
      <c r="DA13" s="12">
        <f>Inflation_Raw[[#This Row],[2069]]/Inflation_Raw[[#This Row],[2068]]*Inflation_Raw[[#This Row],[2069]]</f>
        <v>2.8939552456434816</v>
      </c>
      <c r="DB13" s="12">
        <f>Inflation_Raw[[#This Row],[2070]]/Inflation_Raw[[#This Row],[2069]]*Inflation_Raw[[#This Row],[2070]]</f>
        <v>2.9538830843105606</v>
      </c>
      <c r="DC13" s="12">
        <f>Inflation_Raw[[#This Row],[2071]]/Inflation_Raw[[#This Row],[2070]]*Inflation_Raw[[#This Row],[2071]]</f>
        <v>3.0150519047974913</v>
      </c>
      <c r="DD13" s="12">
        <f>Inflation_Raw[[#This Row],[2072]]/Inflation_Raw[[#This Row],[2071]]*Inflation_Raw[[#This Row],[2072]]</f>
        <v>3.0774874052757988</v>
      </c>
      <c r="DE13" s="12">
        <f>Inflation_Raw[[#This Row],[2073]]/Inflation_Raw[[#This Row],[2072]]*Inflation_Raw[[#This Row],[2073]]</f>
        <v>3.1412158160730872</v>
      </c>
      <c r="DF13" s="12">
        <f>Inflation_Raw[[#This Row],[2074]]/Inflation_Raw[[#This Row],[2073]]*Inflation_Raw[[#This Row],[2074]]</f>
        <v>3.2062639106928947</v>
      </c>
      <c r="DG13" s="12">
        <f>Inflation_Raw[[#This Row],[2075]]/Inflation_Raw[[#This Row],[2074]]*Inflation_Raw[[#This Row],[2075]]</f>
        <v>3.2726590170627441</v>
      </c>
      <c r="DH13" s="12">
        <f>Inflation_Raw[[#This Row],[2076]]/Inflation_Raw[[#This Row],[2075]]*Inflation_Raw[[#This Row],[2076]]</f>
        <v>3.3404290290151195</v>
      </c>
      <c r="DI13" s="12">
        <f>Inflation_Raw[[#This Row],[2077]]/Inflation_Raw[[#This Row],[2076]]*Inflation_Raw[[#This Row],[2077]]</f>
        <v>3.4096024180061901</v>
      </c>
      <c r="DJ13" s="12">
        <f>Inflation_Raw[[#This Row],[2078]]/Inflation_Raw[[#This Row],[2077]]*Inflation_Raw[[#This Row],[2078]]</f>
        <v>3.4802082450772045</v>
      </c>
      <c r="DK13" s="12">
        <f>Inflation_Raw[[#This Row],[2079]]/Inflation_Raw[[#This Row],[2078]]*Inflation_Raw[[#This Row],[2079]]</f>
        <v>3.552276173063579</v>
      </c>
      <c r="DL13" s="12">
        <f>Inflation_Raw[[#This Row],[2080]]/Inflation_Raw[[#This Row],[2079]]*Inflation_Raw[[#This Row],[2080]]</f>
        <v>3.6258364790568147</v>
      </c>
      <c r="DM13" s="12">
        <f>Inflation_Raw[[#This Row],[2081]]/Inflation_Raw[[#This Row],[2080]]*Inflation_Raw[[#This Row],[2081]]</f>
        <v>3.7009200671244704</v>
      </c>
      <c r="DN13" s="12">
        <f>Inflation_Raw[[#This Row],[2082]]/Inflation_Raw[[#This Row],[2081]]*Inflation_Raw[[#This Row],[2082]]</f>
        <v>3.777558481293545</v>
      </c>
      <c r="DO13" s="12">
        <f>Inflation_Raw[[#This Row],[2083]]/Inflation_Raw[[#This Row],[2082]]*Inflation_Raw[[#This Row],[2083]]</f>
        <v>3.8557839188027141</v>
      </c>
      <c r="DP13" s="12">
        <f>Inflation_Raw[[#This Row],[2084]]/Inflation_Raw[[#This Row],[2083]]*Inflation_Raw[[#This Row],[2084]]</f>
        <v>3.9356292436289966</v>
      </c>
      <c r="DQ13" s="12">
        <f>Inflation_Raw[[#This Row],[2085]]/Inflation_Raw[[#This Row],[2084]]*Inflation_Raw[[#This Row],[2085]]</f>
        <v>4.0171280002945284</v>
      </c>
      <c r="DR13" s="12">
        <f>Inflation_Raw[[#This Row],[2086]]/Inflation_Raw[[#This Row],[2085]]*Inflation_Raw[[#This Row],[2086]]</f>
        <v>4.1003144279592476</v>
      </c>
      <c r="DS13" s="12">
        <f>Inflation_Raw[[#This Row],[2087]]/Inflation_Raw[[#This Row],[2086]]*Inflation_Raw[[#This Row],[2087]]</f>
        <v>4.1852234748054098</v>
      </c>
      <c r="DT13" s="12">
        <f>Inflation_Raw[[#This Row],[2088]]/Inflation_Raw[[#This Row],[2087]]*Inflation_Raw[[#This Row],[2088]]</f>
        <v>4.2718908127199748</v>
      </c>
      <c r="DU13" s="12">
        <f>Inflation_Raw[[#This Row],[2089]]/Inflation_Raw[[#This Row],[2088]]*Inflation_Raw[[#This Row],[2089]]</f>
        <v>4.3603528522810384</v>
      </c>
      <c r="DV13" s="12">
        <f>Inflation_Raw[[#This Row],[2090]]/Inflation_Raw[[#This Row],[2089]]*Inflation_Raw[[#This Row],[2090]]</f>
        <v>4.4506467580546003</v>
      </c>
      <c r="DW13" s="12">
        <f>Inflation_Raw[[#This Row],[2091]]/Inflation_Raw[[#This Row],[2090]]*Inflation_Raw[[#This Row],[2091]]</f>
        <v>4.5428104642080962</v>
      </c>
      <c r="DX13" s="12">
        <f>Inflation_Raw[[#This Row],[2092]]/Inflation_Raw[[#This Row],[2091]]*Inflation_Raw[[#This Row],[2092]]</f>
        <v>4.6368826904472575</v>
      </c>
      <c r="DY13" s="12">
        <f>Inflation_Raw[[#This Row],[2093]]/Inflation_Raw[[#This Row],[2092]]*Inflation_Raw[[#This Row],[2093]]</f>
        <v>4.7329029582829847</v>
      </c>
      <c r="DZ13" s="12">
        <f>Inflation_Raw[[#This Row],[2094]]/Inflation_Raw[[#This Row],[2093]]*Inflation_Raw[[#This Row],[2094]]</f>
        <v>4.8309116076350787</v>
      </c>
      <c r="EA13" s="12">
        <f>Inflation_Raw[[#This Row],[2095]]/Inflation_Raw[[#This Row],[2094]]*Inflation_Raw[[#This Row],[2095]]</f>
        <v>4.9309498137797982</v>
      </c>
      <c r="EB13" s="12">
        <f>Inflation_Raw[[#This Row],[2096]]/Inflation_Raw[[#This Row],[2095]]*Inflation_Raw[[#This Row],[2096]]</f>
        <v>5.0330596046483693</v>
      </c>
    </row>
    <row r="14" spans="2:132">
      <c r="B14" s="15" t="s">
        <v>46</v>
      </c>
      <c r="C14" s="15" t="s">
        <v>45</v>
      </c>
      <c r="D14" s="13">
        <v>0.122609647890091</v>
      </c>
      <c r="E14" s="13">
        <v>0.13185002346341645</v>
      </c>
      <c r="F14" s="13">
        <v>0.15062284958164118</v>
      </c>
      <c r="G14" s="13">
        <v>0.16762118190541639</v>
      </c>
      <c r="H14" s="13">
        <v>0.17950345022849026</v>
      </c>
      <c r="I14" s="13">
        <v>0.19116820909634433</v>
      </c>
      <c r="J14" s="13">
        <v>0.2011400877122056</v>
      </c>
      <c r="K14" s="13">
        <v>0.2051635431717348</v>
      </c>
      <c r="L14" s="13">
        <v>0.21248401433017697</v>
      </c>
      <c r="M14" s="13">
        <v>0.22680982044124648</v>
      </c>
      <c r="N14" s="13">
        <v>0.24110029978428868</v>
      </c>
      <c r="O14" s="13">
        <v>0.25844249004358066</v>
      </c>
      <c r="P14" s="13">
        <v>0.30322739214108069</v>
      </c>
      <c r="Q14" s="13">
        <v>0.34204116846767568</v>
      </c>
      <c r="R14" s="13">
        <v>0.35622428176347321</v>
      </c>
      <c r="S14" s="13">
        <v>0.36736868717358712</v>
      </c>
      <c r="T14" s="13">
        <v>0.38176481090589126</v>
      </c>
      <c r="U14" s="13">
        <v>0.39311740085182251</v>
      </c>
      <c r="V14" s="13">
        <v>0.40215424542175782</v>
      </c>
      <c r="W14" s="13">
        <v>0.41130356488587372</v>
      </c>
      <c r="X14" s="13">
        <v>0.42614680612054739</v>
      </c>
      <c r="Y14" s="13">
        <v>0.4420548521535132</v>
      </c>
      <c r="Z14" s="13">
        <v>0.4597007784823321</v>
      </c>
      <c r="AA14" s="13">
        <v>0.47867901452752959</v>
      </c>
      <c r="AB14" s="13">
        <v>0.49673884615355118</v>
      </c>
      <c r="AC14" s="13">
        <v>0.50933713676969761</v>
      </c>
      <c r="AD14" s="13">
        <v>0.5219526027080641</v>
      </c>
      <c r="AE14" s="13">
        <v>0.53465353636606072</v>
      </c>
      <c r="AF14" s="13">
        <v>0.54968906311574706</v>
      </c>
      <c r="AG14" s="13">
        <v>0.56484701387569536</v>
      </c>
      <c r="AH14" s="13">
        <v>0.58343940521502513</v>
      </c>
      <c r="AI14" s="13">
        <v>0.60902214215171735</v>
      </c>
      <c r="AJ14" s="13">
        <v>0.63266380840383418</v>
      </c>
      <c r="AK14" s="13">
        <v>0.67023086424155809</v>
      </c>
      <c r="AL14" s="13">
        <v>0.70138408511306682</v>
      </c>
      <c r="AM14" s="13">
        <v>0.72978649964236586</v>
      </c>
      <c r="AN14" s="13">
        <v>0.75557411277025133</v>
      </c>
      <c r="AO14" s="13">
        <v>0.77967619392928</v>
      </c>
      <c r="AP14" s="13">
        <v>0.79863439848721696</v>
      </c>
      <c r="AQ14" s="13">
        <v>0.82388267180023822</v>
      </c>
      <c r="AR14" s="13">
        <v>0.85448280211354533</v>
      </c>
      <c r="AS14" s="13">
        <v>0.88349505685329477</v>
      </c>
      <c r="AT14" s="13">
        <v>0.90040205164361498</v>
      </c>
      <c r="AU14" s="13">
        <v>0.91488915462082698</v>
      </c>
      <c r="AV14" s="13">
        <v>0.92985861552162841</v>
      </c>
      <c r="AW14" s="13">
        <v>0.94144183848459373</v>
      </c>
      <c r="AX14" s="13">
        <v>0.95107036367881037</v>
      </c>
      <c r="AY14" s="13">
        <v>0.96267420128820047</v>
      </c>
      <c r="AZ14" s="13">
        <v>0.98076856440667859</v>
      </c>
      <c r="BA14" s="13">
        <v>1</v>
      </c>
      <c r="BB14" s="13">
        <v>1.0192296071932543</v>
      </c>
      <c r="BC14" s="13">
        <v>1.0388363347106717</v>
      </c>
      <c r="BD14" s="13">
        <v>1.0600126290468195</v>
      </c>
      <c r="BE14" s="13">
        <v>1.0820123418998773</v>
      </c>
      <c r="BF14" s="13">
        <v>1.1044686411674309</v>
      </c>
      <c r="BG14" s="13">
        <v>1.127391002934705</v>
      </c>
      <c r="BH14" s="12">
        <v>1.15078909995548</v>
      </c>
      <c r="BI14" s="12">
        <v>1.1746728057337918</v>
      </c>
      <c r="BJ14" s="12">
        <v>1.1990521986903426</v>
      </c>
      <c r="BK14" s="12">
        <v>1.2239375664153813</v>
      </c>
      <c r="BL14" s="12">
        <v>1.2493394100098496</v>
      </c>
      <c r="BM14" s="12">
        <v>1.2752684485166268</v>
      </c>
      <c r="BN14" s="12">
        <v>1.3017356234437387</v>
      </c>
      <c r="BO14" s="12">
        <v>1.3287521033814444</v>
      </c>
      <c r="BP14" s="12">
        <v>1.3563292887151457</v>
      </c>
      <c r="BQ14" s="12">
        <v>1.3844788164361093</v>
      </c>
      <c r="BR14" s="12">
        <v>1.4132125650520326</v>
      </c>
      <c r="BS14" s="12">
        <v>1.4425426595995237</v>
      </c>
      <c r="BT14" s="12">
        <v>1.4724814767606103</v>
      </c>
      <c r="BU14" s="12">
        <v>1.5030416500854402</v>
      </c>
      <c r="BV14" s="12">
        <v>1.534236075323373</v>
      </c>
      <c r="BW14" s="12">
        <v>1.5660779158647138</v>
      </c>
      <c r="BX14" s="12">
        <v>1.5985806082953877</v>
      </c>
      <c r="BY14" s="12">
        <v>1.6317578680668949</v>
      </c>
      <c r="BZ14" s="12">
        <v>1.6656236952839438</v>
      </c>
      <c r="CA14" s="12">
        <v>1.7001923806121986</v>
      </c>
      <c r="CB14" s="12">
        <v>1.7354785113086402</v>
      </c>
      <c r="CC14" s="12">
        <v>1.7714969773770812</v>
      </c>
      <c r="CD14" s="12">
        <v>1.8082629778514341</v>
      </c>
      <c r="CE14" s="12">
        <v>1.8457920272093822</v>
      </c>
      <c r="CF14" s="12">
        <v>1.8840999619191636</v>
      </c>
      <c r="CG14" s="12">
        <v>1.9232029471222272</v>
      </c>
      <c r="CH14" s="12">
        <v>1.9631174834545808</v>
      </c>
      <c r="CI14" s="12">
        <v>2.0038604140097132</v>
      </c>
      <c r="CJ14" s="12">
        <v>2.0454489314460234</v>
      </c>
      <c r="CK14" s="12">
        <v>2.0879005852417616</v>
      </c>
      <c r="CL14" s="12">
        <v>2.131233289100539</v>
      </c>
      <c r="CM14" s="12">
        <v>2.1754653285105321</v>
      </c>
      <c r="CN14" s="12">
        <v>2.2206153684605754</v>
      </c>
      <c r="CO14" s="12">
        <v>2.2667024613163922</v>
      </c>
      <c r="CP14" s="12">
        <v>2.3137460548602924</v>
      </c>
      <c r="CQ14" s="12">
        <v>2.3617660004977257</v>
      </c>
      <c r="CR14" s="12">
        <f>Inflation_Raw[[#This Row],[2060]]/Inflation_Raw[[#This Row],[2059]]*Inflation_Raw[[#This Row],[2060]]</f>
        <v>2.4107825616341585</v>
      </c>
      <c r="CS14" s="12">
        <f>Inflation_Raw[[#This Row],[2061]]/Inflation_Raw[[#This Row],[2060]]*Inflation_Raw[[#This Row],[2061]]</f>
        <v>2.4608164222258022</v>
      </c>
      <c r="CT14" s="12">
        <f>Inflation_Raw[[#This Row],[2062]]/Inflation_Raw[[#This Row],[2061]]*Inflation_Raw[[#This Row],[2062]]</f>
        <v>2.5118886955078077</v>
      </c>
      <c r="CU14" s="12">
        <f>Inflation_Raw[[#This Row],[2063]]/Inflation_Raw[[#This Row],[2062]]*Inflation_Raw[[#This Row],[2063]]</f>
        <v>2.5640209329036061</v>
      </c>
      <c r="CV14" s="12">
        <f>Inflation_Raw[[#This Row],[2064]]/Inflation_Raw[[#This Row],[2063]]*Inflation_Raw[[#This Row],[2064]]</f>
        <v>2.6172351331191552</v>
      </c>
      <c r="CW14" s="12">
        <f>Inflation_Raw[[#This Row],[2065]]/Inflation_Raw[[#This Row],[2064]]*Inflation_Raw[[#This Row],[2065]]</f>
        <v>2.6715537514259302</v>
      </c>
      <c r="CX14" s="12">
        <f>Inflation_Raw[[#This Row],[2066]]/Inflation_Raw[[#This Row],[2065]]*Inflation_Raw[[#This Row],[2066]]</f>
        <v>2.726999709136575</v>
      </c>
      <c r="CY14" s="12">
        <f>Inflation_Raw[[#This Row],[2067]]/Inflation_Raw[[#This Row],[2066]]*Inflation_Raw[[#This Row],[2067]]</f>
        <v>2.7835964032772127</v>
      </c>
      <c r="CZ14" s="12">
        <f>Inflation_Raw[[#This Row],[2068]]/Inflation_Raw[[#This Row],[2067]]*Inflation_Raw[[#This Row],[2068]]</f>
        <v>2.8413677164604989</v>
      </c>
      <c r="DA14" s="12">
        <f>Inflation_Raw[[#This Row],[2069]]/Inflation_Raw[[#This Row],[2068]]*Inflation_Raw[[#This Row],[2069]]</f>
        <v>2.9003380269635808</v>
      </c>
      <c r="DB14" s="12">
        <f>Inflation_Raw[[#This Row],[2070]]/Inflation_Raw[[#This Row],[2069]]*Inflation_Raw[[#This Row],[2070]]</f>
        <v>2.9605322190152155</v>
      </c>
      <c r="DC14" s="12">
        <f>Inflation_Raw[[#This Row],[2071]]/Inflation_Raw[[#This Row],[2070]]*Inflation_Raw[[#This Row],[2071]]</f>
        <v>3.0219756932963917</v>
      </c>
      <c r="DD14" s="12">
        <f>Inflation_Raw[[#This Row],[2072]]/Inflation_Raw[[#This Row],[2071]]*Inflation_Raw[[#This Row],[2072]]</f>
        <v>3.0846943776588813</v>
      </c>
      <c r="DE14" s="12">
        <f>Inflation_Raw[[#This Row],[2073]]/Inflation_Raw[[#This Row],[2072]]*Inflation_Raw[[#This Row],[2073]]</f>
        <v>3.1487147380662468</v>
      </c>
      <c r="DF14" s="12">
        <f>Inflation_Raw[[#This Row],[2074]]/Inflation_Raw[[#This Row],[2073]]*Inflation_Raw[[#This Row],[2074]]</f>
        <v>3.2140637897619206</v>
      </c>
      <c r="DG14" s="12">
        <f>Inflation_Raw[[#This Row],[2075]]/Inflation_Raw[[#This Row],[2074]]*Inflation_Raw[[#This Row],[2075]]</f>
        <v>3.2807691086690687</v>
      </c>
      <c r="DH14" s="12">
        <f>Inflation_Raw[[#This Row],[2076]]/Inflation_Raw[[#This Row],[2075]]*Inflation_Raw[[#This Row],[2076]]</f>
        <v>3.3488588430270481</v>
      </c>
      <c r="DI14" s="12">
        <f>Inflation_Raw[[#This Row],[2077]]/Inflation_Raw[[#This Row],[2076]]*Inflation_Raw[[#This Row],[2077]]</f>
        <v>3.4183617252693725</v>
      </c>
      <c r="DJ14" s="12">
        <f>Inflation_Raw[[#This Row],[2078]]/Inflation_Raw[[#This Row],[2077]]*Inflation_Raw[[#This Row],[2078]]</f>
        <v>3.489307084148193</v>
      </c>
      <c r="DK14" s="12">
        <f>Inflation_Raw[[#This Row],[2079]]/Inflation_Raw[[#This Row],[2078]]*Inflation_Raw[[#This Row],[2079]]</f>
        <v>3.5617248571104145</v>
      </c>
      <c r="DL14" s="12">
        <f>Inflation_Raw[[#This Row],[2080]]/Inflation_Raw[[#This Row],[2079]]*Inflation_Raw[[#This Row],[2080]]</f>
        <v>3.6356456029306661</v>
      </c>
      <c r="DM14" s="12">
        <f>Inflation_Raw[[#This Row],[2081]]/Inflation_Raw[[#This Row],[2080]]*Inflation_Raw[[#This Row],[2081]]</f>
        <v>3.711100514606462</v>
      </c>
      <c r="DN14" s="12">
        <f>Inflation_Raw[[#This Row],[2082]]/Inflation_Raw[[#This Row],[2081]]*Inflation_Raw[[#This Row],[2082]]</f>
        <v>3.7881214325209882</v>
      </c>
      <c r="DO14" s="12">
        <f>Inflation_Raw[[#This Row],[2083]]/Inflation_Raw[[#This Row],[2082]]*Inflation_Raw[[#This Row],[2083]]</f>
        <v>3.8667408578790741</v>
      </c>
      <c r="DP14" s="12">
        <f>Inflation_Raw[[#This Row],[2084]]/Inflation_Raw[[#This Row],[2083]]*Inflation_Raw[[#This Row],[2084]]</f>
        <v>3.9469919664220159</v>
      </c>
      <c r="DQ14" s="12">
        <f>Inflation_Raw[[#This Row],[2085]]/Inflation_Raw[[#This Row],[2084]]*Inflation_Raw[[#This Row],[2085]]</f>
        <v>4.0289086224270401</v>
      </c>
      <c r="DR14" s="12">
        <f>Inflation_Raw[[#This Row],[2086]]/Inflation_Raw[[#This Row],[2085]]*Inflation_Raw[[#This Row],[2086]]</f>
        <v>4.1125253929973162</v>
      </c>
      <c r="DS14" s="12">
        <f>Inflation_Raw[[#This Row],[2087]]/Inflation_Raw[[#This Row],[2086]]*Inflation_Raw[[#This Row],[2087]]</f>
        <v>4.1978775626485447</v>
      </c>
      <c r="DT14" s="12">
        <f>Inflation_Raw[[#This Row],[2088]]/Inflation_Raw[[#This Row],[2087]]*Inflation_Raw[[#This Row],[2088]]</f>
        <v>4.2850011481982806</v>
      </c>
      <c r="DU14" s="12">
        <f>Inflation_Raw[[#This Row],[2089]]/Inflation_Raw[[#This Row],[2088]]*Inflation_Raw[[#This Row],[2089]]</f>
        <v>4.3739329139642722</v>
      </c>
      <c r="DV14" s="12">
        <f>Inflation_Raw[[#This Row],[2090]]/Inflation_Raw[[#This Row],[2089]]*Inflation_Raw[[#This Row],[2090]]</f>
        <v>4.4647103872782257</v>
      </c>
      <c r="DW14" s="12">
        <f>Inflation_Raw[[#This Row],[2091]]/Inflation_Raw[[#This Row],[2090]]*Inflation_Raw[[#This Row],[2091]]</f>
        <v>4.5573718743215528</v>
      </c>
      <c r="DX14" s="12">
        <f>Inflation_Raw[[#This Row],[2092]]/Inflation_Raw[[#This Row],[2091]]*Inflation_Raw[[#This Row],[2092]]</f>
        <v>4.6519564762897678</v>
      </c>
      <c r="DY14" s="12">
        <f>Inflation_Raw[[#This Row],[2093]]/Inflation_Raw[[#This Row],[2092]]*Inflation_Raw[[#This Row],[2093]]</f>
        <v>4.7485041058923736</v>
      </c>
      <c r="DZ14" s="12">
        <f>Inflation_Raw[[#This Row],[2094]]/Inflation_Raw[[#This Row],[2093]]*Inflation_Raw[[#This Row],[2094]]</f>
        <v>4.8470555041951791</v>
      </c>
      <c r="EA14" s="12">
        <f>Inflation_Raw[[#This Row],[2095]]/Inflation_Raw[[#This Row],[2094]]*Inflation_Raw[[#This Row],[2095]]</f>
        <v>4.947652257812174</v>
      </c>
      <c r="EB14" s="12">
        <f>Inflation_Raw[[#This Row],[2096]]/Inflation_Raw[[#This Row],[2095]]*Inflation_Raw[[#This Row],[2096]]</f>
        <v>5.0503368164542035</v>
      </c>
    </row>
    <row r="15" spans="2:132">
      <c r="B15" s="15" t="s">
        <v>231</v>
      </c>
      <c r="C15" s="15" t="s">
        <v>232</v>
      </c>
      <c r="D15" s="13">
        <v>0.16848863054807278</v>
      </c>
      <c r="E15" s="13">
        <v>0.17524502463305053</v>
      </c>
      <c r="F15" s="13">
        <v>0.18241254614054228</v>
      </c>
      <c r="G15" s="13">
        <v>0.18675396473868722</v>
      </c>
      <c r="H15" s="13">
        <v>0.21019158731339244</v>
      </c>
      <c r="I15" s="13">
        <v>0.25422672485554809</v>
      </c>
      <c r="J15" s="13">
        <v>0.27141245145578324</v>
      </c>
      <c r="K15" s="13">
        <v>0.27925627130285535</v>
      </c>
      <c r="L15" s="13">
        <v>0.29240924168121979</v>
      </c>
      <c r="M15" s="13">
        <v>0.31319953876475454</v>
      </c>
      <c r="N15" s="13">
        <v>0.34170069679234721</v>
      </c>
      <c r="O15" s="13">
        <v>0.37788680058265678</v>
      </c>
      <c r="P15" s="13">
        <v>0.41798059012447669</v>
      </c>
      <c r="Q15" s="13">
        <v>0.44974711497393699</v>
      </c>
      <c r="R15" s="13">
        <v>0.47178472360765988</v>
      </c>
      <c r="S15" s="13">
        <v>0.48971254310475099</v>
      </c>
      <c r="T15" s="13">
        <v>0.50636276957031245</v>
      </c>
      <c r="U15" s="13">
        <v>0.52054092711828126</v>
      </c>
      <c r="V15" s="13">
        <v>0.53459553215047484</v>
      </c>
      <c r="W15" s="13">
        <v>0.55063339811498913</v>
      </c>
      <c r="X15" s="13">
        <v>0.57376000083581868</v>
      </c>
      <c r="Y15" s="13">
        <v>0.59671040086925142</v>
      </c>
      <c r="Z15" s="13">
        <v>0.62236894810662924</v>
      </c>
      <c r="AA15" s="13">
        <v>0.63979527865361485</v>
      </c>
      <c r="AB15" s="13">
        <v>0.65706975117726241</v>
      </c>
      <c r="AC15" s="13">
        <v>0.67021114620080757</v>
      </c>
      <c r="AD15" s="13">
        <v>0.68294515797862299</v>
      </c>
      <c r="AE15" s="13">
        <v>0.6966040611381954</v>
      </c>
      <c r="AF15" s="13">
        <v>0.70914293423868291</v>
      </c>
      <c r="AG15" s="13">
        <v>0.71410693477835352</v>
      </c>
      <c r="AH15" s="13">
        <v>0.71981979025658038</v>
      </c>
      <c r="AI15" s="13">
        <v>0.72989726732017246</v>
      </c>
      <c r="AJ15" s="13">
        <v>0.74303541813193552</v>
      </c>
      <c r="AK15" s="13">
        <v>0.748979701476991</v>
      </c>
      <c r="AL15" s="13">
        <v>0.75646949849176093</v>
      </c>
      <c r="AM15" s="13">
        <v>0.7715988884615963</v>
      </c>
      <c r="AN15" s="13">
        <v>0.79320365733852105</v>
      </c>
      <c r="AO15" s="13">
        <v>0.81779297071601509</v>
      </c>
      <c r="AP15" s="13">
        <v>0.83987338092534736</v>
      </c>
      <c r="AQ15" s="13">
        <v>0.8600303420675558</v>
      </c>
      <c r="AR15" s="13">
        <v>0.87293079719856903</v>
      </c>
      <c r="AS15" s="13">
        <v>0.87991424357615766</v>
      </c>
      <c r="AT15" s="13">
        <v>0.89751252844768081</v>
      </c>
      <c r="AU15" s="13">
        <v>0.91366775395973909</v>
      </c>
      <c r="AV15" s="13">
        <v>0.92737277026913512</v>
      </c>
      <c r="AW15" s="13">
        <v>0.94128336182317196</v>
      </c>
      <c r="AX15" s="13">
        <v>0.95163747880322669</v>
      </c>
      <c r="AY15" s="13">
        <v>0.96305712854886549</v>
      </c>
      <c r="AZ15" s="13">
        <v>0.98039215686274506</v>
      </c>
      <c r="BA15" s="13">
        <v>1</v>
      </c>
      <c r="BB15" s="13">
        <v>1.02</v>
      </c>
      <c r="BC15" s="13">
        <v>1.0404000000000002</v>
      </c>
      <c r="BD15" s="13">
        <v>1.0612080000000002</v>
      </c>
      <c r="BE15" s="13">
        <v>1.08243216</v>
      </c>
      <c r="BF15" s="13">
        <v>1.1040808032</v>
      </c>
      <c r="BG15" s="13">
        <v>1.1261624192640001</v>
      </c>
      <c r="BH15" s="12">
        <v>1.14868566764928</v>
      </c>
      <c r="BI15" s="12">
        <v>1.1716593810022657</v>
      </c>
      <c r="BJ15" s="12">
        <v>1.1950925686223111</v>
      </c>
      <c r="BK15" s="12">
        <v>1.2189944199947573</v>
      </c>
      <c r="BL15" s="12">
        <v>1.2433743083946525</v>
      </c>
      <c r="BM15" s="12">
        <v>1.2682417945625455</v>
      </c>
      <c r="BN15" s="12">
        <v>1.2936066304537963</v>
      </c>
      <c r="BO15" s="12">
        <v>1.3194787630628724</v>
      </c>
      <c r="BP15" s="12">
        <v>1.3458683383241299</v>
      </c>
      <c r="BQ15" s="12">
        <v>1.3727857050906125</v>
      </c>
      <c r="BR15" s="12">
        <v>1.4002414191924248</v>
      </c>
      <c r="BS15" s="12">
        <v>1.4282462475762734</v>
      </c>
      <c r="BT15" s="12">
        <v>1.4568111725277988</v>
      </c>
      <c r="BU15" s="12">
        <v>1.4859473959783549</v>
      </c>
      <c r="BV15" s="12">
        <v>1.5156663438979221</v>
      </c>
      <c r="BW15" s="12">
        <v>1.5459796707758806</v>
      </c>
      <c r="BX15" s="12">
        <v>1.5768992641913981</v>
      </c>
      <c r="BY15" s="12">
        <v>1.6084372494752261</v>
      </c>
      <c r="BZ15" s="12">
        <v>1.6406059944647307</v>
      </c>
      <c r="CA15" s="12">
        <v>1.6734181143540252</v>
      </c>
      <c r="CB15" s="12">
        <v>1.7068864766411058</v>
      </c>
      <c r="CC15" s="12">
        <v>1.7410242061739281</v>
      </c>
      <c r="CD15" s="12">
        <v>1.7758446902974065</v>
      </c>
      <c r="CE15" s="12">
        <v>1.8113615841033548</v>
      </c>
      <c r="CF15" s="12">
        <v>1.8475888157854219</v>
      </c>
      <c r="CG15" s="12">
        <v>1.8845405921011305</v>
      </c>
      <c r="CH15" s="12">
        <v>1.9222314039431532</v>
      </c>
      <c r="CI15" s="12">
        <v>1.9606760320220162</v>
      </c>
      <c r="CJ15" s="12">
        <v>1.9998895526624563</v>
      </c>
      <c r="CK15" s="12">
        <v>2.0398873437157055</v>
      </c>
      <c r="CL15" s="12">
        <v>2.0806850905900198</v>
      </c>
      <c r="CM15" s="12">
        <v>2.1222987924018204</v>
      </c>
      <c r="CN15" s="12">
        <v>2.1647447682498568</v>
      </c>
      <c r="CO15" s="12">
        <v>2.208039663614854</v>
      </c>
      <c r="CP15" s="12">
        <v>2.252200456887151</v>
      </c>
      <c r="CQ15" s="12">
        <v>2.2972444660248938</v>
      </c>
      <c r="CR15" s="12">
        <f>Inflation_Raw[[#This Row],[2060]]/Inflation_Raw[[#This Row],[2059]]*Inflation_Raw[[#This Row],[2060]]</f>
        <v>2.343189355345392</v>
      </c>
      <c r="CS15" s="12">
        <f>Inflation_Raw[[#This Row],[2061]]/Inflation_Raw[[#This Row],[2060]]*Inflation_Raw[[#This Row],[2061]]</f>
        <v>2.3900531424522997</v>
      </c>
      <c r="CT15" s="12">
        <f>Inflation_Raw[[#This Row],[2062]]/Inflation_Raw[[#This Row],[2061]]*Inflation_Raw[[#This Row],[2062]]</f>
        <v>2.4378542053013459</v>
      </c>
      <c r="CU15" s="12">
        <f>Inflation_Raw[[#This Row],[2063]]/Inflation_Raw[[#This Row],[2062]]*Inflation_Raw[[#This Row],[2063]]</f>
        <v>2.4866112894073726</v>
      </c>
      <c r="CV15" s="12">
        <f>Inflation_Raw[[#This Row],[2064]]/Inflation_Raw[[#This Row],[2063]]*Inflation_Raw[[#This Row],[2064]]</f>
        <v>2.53634351519552</v>
      </c>
      <c r="CW15" s="12">
        <f>Inflation_Raw[[#This Row],[2065]]/Inflation_Raw[[#This Row],[2064]]*Inflation_Raw[[#This Row],[2065]]</f>
        <v>2.5870703854994304</v>
      </c>
      <c r="CX15" s="12">
        <f>Inflation_Raw[[#This Row],[2066]]/Inflation_Raw[[#This Row],[2065]]*Inflation_Raw[[#This Row],[2066]]</f>
        <v>2.6388117932094191</v>
      </c>
      <c r="CY15" s="12">
        <f>Inflation_Raw[[#This Row],[2067]]/Inflation_Raw[[#This Row],[2066]]*Inflation_Raw[[#This Row],[2067]]</f>
        <v>2.6915880290736074</v>
      </c>
      <c r="CZ15" s="12">
        <f>Inflation_Raw[[#This Row],[2068]]/Inflation_Raw[[#This Row],[2067]]*Inflation_Raw[[#This Row],[2068]]</f>
        <v>2.7454197896550796</v>
      </c>
      <c r="DA15" s="12">
        <f>Inflation_Raw[[#This Row],[2069]]/Inflation_Raw[[#This Row],[2068]]*Inflation_Raw[[#This Row],[2069]]</f>
        <v>2.8003281854481812</v>
      </c>
      <c r="DB15" s="12">
        <f>Inflation_Raw[[#This Row],[2070]]/Inflation_Raw[[#This Row],[2069]]*Inflation_Raw[[#This Row],[2070]]</f>
        <v>2.8563347491571447</v>
      </c>
      <c r="DC15" s="12">
        <f>Inflation_Raw[[#This Row],[2071]]/Inflation_Raw[[#This Row],[2070]]*Inflation_Raw[[#This Row],[2071]]</f>
        <v>2.9134614441402875</v>
      </c>
      <c r="DD15" s="12">
        <f>Inflation_Raw[[#This Row],[2072]]/Inflation_Raw[[#This Row],[2071]]*Inflation_Raw[[#This Row],[2072]]</f>
        <v>2.9717306730230932</v>
      </c>
      <c r="DE15" s="12">
        <f>Inflation_Raw[[#This Row],[2073]]/Inflation_Raw[[#This Row],[2072]]*Inflation_Raw[[#This Row],[2073]]</f>
        <v>3.0311652864835552</v>
      </c>
      <c r="DF15" s="12">
        <f>Inflation_Raw[[#This Row],[2074]]/Inflation_Raw[[#This Row],[2073]]*Inflation_Raw[[#This Row],[2074]]</f>
        <v>3.0917885922132262</v>
      </c>
      <c r="DG15" s="12">
        <f>Inflation_Raw[[#This Row],[2075]]/Inflation_Raw[[#This Row],[2074]]*Inflation_Raw[[#This Row],[2075]]</f>
        <v>3.1536243640574906</v>
      </c>
      <c r="DH15" s="12">
        <f>Inflation_Raw[[#This Row],[2076]]/Inflation_Raw[[#This Row],[2075]]*Inflation_Raw[[#This Row],[2076]]</f>
        <v>3.2166968513386403</v>
      </c>
      <c r="DI15" s="12">
        <f>Inflation_Raw[[#This Row],[2077]]/Inflation_Raw[[#This Row],[2076]]*Inflation_Raw[[#This Row],[2077]]</f>
        <v>3.2810307883654133</v>
      </c>
      <c r="DJ15" s="12">
        <f>Inflation_Raw[[#This Row],[2078]]/Inflation_Raw[[#This Row],[2077]]*Inflation_Raw[[#This Row],[2078]]</f>
        <v>3.3466514041327216</v>
      </c>
      <c r="DK15" s="12">
        <f>Inflation_Raw[[#This Row],[2079]]/Inflation_Raw[[#This Row],[2078]]*Inflation_Raw[[#This Row],[2079]]</f>
        <v>3.4135844322153761</v>
      </c>
      <c r="DL15" s="12">
        <f>Inflation_Raw[[#This Row],[2080]]/Inflation_Raw[[#This Row],[2079]]*Inflation_Raw[[#This Row],[2080]]</f>
        <v>3.4818561208596837</v>
      </c>
      <c r="DM15" s="12">
        <f>Inflation_Raw[[#This Row],[2081]]/Inflation_Raw[[#This Row],[2080]]*Inflation_Raw[[#This Row],[2081]]</f>
        <v>3.5514932432768775</v>
      </c>
      <c r="DN15" s="12">
        <f>Inflation_Raw[[#This Row],[2082]]/Inflation_Raw[[#This Row],[2081]]*Inflation_Raw[[#This Row],[2082]]</f>
        <v>3.6225231081424152</v>
      </c>
      <c r="DO15" s="12">
        <f>Inflation_Raw[[#This Row],[2083]]/Inflation_Raw[[#This Row],[2082]]*Inflation_Raw[[#This Row],[2083]]</f>
        <v>3.6949735703052635</v>
      </c>
      <c r="DP15" s="12">
        <f>Inflation_Raw[[#This Row],[2084]]/Inflation_Raw[[#This Row],[2083]]*Inflation_Raw[[#This Row],[2084]]</f>
        <v>3.7688730417113687</v>
      </c>
      <c r="DQ15" s="12">
        <f>Inflation_Raw[[#This Row],[2085]]/Inflation_Raw[[#This Row],[2084]]*Inflation_Raw[[#This Row],[2085]]</f>
        <v>3.844250502545596</v>
      </c>
      <c r="DR15" s="12">
        <f>Inflation_Raw[[#This Row],[2086]]/Inflation_Raw[[#This Row],[2085]]*Inflation_Raw[[#This Row],[2086]]</f>
        <v>3.9211355125965079</v>
      </c>
      <c r="DS15" s="12">
        <f>Inflation_Raw[[#This Row],[2087]]/Inflation_Raw[[#This Row],[2086]]*Inflation_Raw[[#This Row],[2087]]</f>
        <v>3.9995582228484383</v>
      </c>
      <c r="DT15" s="12">
        <f>Inflation_Raw[[#This Row],[2088]]/Inflation_Raw[[#This Row],[2087]]*Inflation_Raw[[#This Row],[2088]]</f>
        <v>4.0795493873054074</v>
      </c>
      <c r="DU15" s="12">
        <f>Inflation_Raw[[#This Row],[2089]]/Inflation_Raw[[#This Row],[2088]]*Inflation_Raw[[#This Row],[2089]]</f>
        <v>4.1611403750515157</v>
      </c>
      <c r="DV15" s="12">
        <f>Inflation_Raw[[#This Row],[2090]]/Inflation_Raw[[#This Row],[2089]]*Inflation_Raw[[#This Row],[2090]]</f>
        <v>4.2443631825525463</v>
      </c>
      <c r="DW15" s="12">
        <f>Inflation_Raw[[#This Row],[2091]]/Inflation_Raw[[#This Row],[2090]]*Inflation_Raw[[#This Row],[2091]]</f>
        <v>4.3292504462035977</v>
      </c>
      <c r="DX15" s="12">
        <f>Inflation_Raw[[#This Row],[2092]]/Inflation_Raw[[#This Row],[2091]]*Inflation_Raw[[#This Row],[2092]]</f>
        <v>4.4158354551276693</v>
      </c>
      <c r="DY15" s="12">
        <f>Inflation_Raw[[#This Row],[2093]]/Inflation_Raw[[#This Row],[2092]]*Inflation_Raw[[#This Row],[2093]]</f>
        <v>4.5041521642302227</v>
      </c>
      <c r="DZ15" s="12">
        <f>Inflation_Raw[[#This Row],[2094]]/Inflation_Raw[[#This Row],[2093]]*Inflation_Raw[[#This Row],[2094]]</f>
        <v>4.5942352075148269</v>
      </c>
      <c r="EA15" s="12">
        <f>Inflation_Raw[[#This Row],[2095]]/Inflation_Raw[[#This Row],[2094]]*Inflation_Raw[[#This Row],[2095]]</f>
        <v>4.6861199116651235</v>
      </c>
      <c r="EB15" s="12">
        <f>Inflation_Raw[[#This Row],[2096]]/Inflation_Raw[[#This Row],[2095]]*Inflation_Raw[[#This Row],[2096]]</f>
        <v>4.7798423098984264</v>
      </c>
    </row>
    <row r="16" spans="2:132">
      <c r="B16" s="15" t="s">
        <v>44</v>
      </c>
      <c r="C16" s="15" t="s">
        <v>43</v>
      </c>
      <c r="D16" s="13">
        <v>0.16633328562624017</v>
      </c>
      <c r="E16" s="13">
        <v>0.17701101763035954</v>
      </c>
      <c r="F16" s="13">
        <v>0.18811129358067097</v>
      </c>
      <c r="G16" s="13">
        <v>0.1959433298622574</v>
      </c>
      <c r="H16" s="13">
        <v>0.21717582746346356</v>
      </c>
      <c r="I16" s="13">
        <v>0.24896096923430197</v>
      </c>
      <c r="J16" s="13">
        <v>0.26763361951632331</v>
      </c>
      <c r="K16" s="13">
        <v>0.27543471131143288</v>
      </c>
      <c r="L16" s="13">
        <v>0.28988551463166018</v>
      </c>
      <c r="M16" s="13">
        <v>0.31140367000108599</v>
      </c>
      <c r="N16" s="13">
        <v>0.33500742046753468</v>
      </c>
      <c r="O16" s="13">
        <v>0.36422687488308758</v>
      </c>
      <c r="P16" s="13">
        <v>0.39941524119964256</v>
      </c>
      <c r="Q16" s="13">
        <v>0.42577187410668665</v>
      </c>
      <c r="R16" s="13">
        <v>0.4454115384979806</v>
      </c>
      <c r="S16" s="13">
        <v>0.46075792581000541</v>
      </c>
      <c r="T16" s="13">
        <v>0.47684507682069638</v>
      </c>
      <c r="U16" s="13">
        <v>0.48429481369658528</v>
      </c>
      <c r="V16" s="13">
        <v>0.49637856103456046</v>
      </c>
      <c r="W16" s="13">
        <v>0.5097708899838076</v>
      </c>
      <c r="X16" s="13">
        <v>0.52984877054023294</v>
      </c>
      <c r="Y16" s="13">
        <v>0.5504013898022585</v>
      </c>
      <c r="Z16" s="13">
        <v>0.5732522024978226</v>
      </c>
      <c r="AA16" s="13">
        <v>0.59292127073601986</v>
      </c>
      <c r="AB16" s="13">
        <v>0.61216416430869469</v>
      </c>
      <c r="AC16" s="13">
        <v>0.62122976463435853</v>
      </c>
      <c r="AD16" s="13">
        <v>0.63190696484508213</v>
      </c>
      <c r="AE16" s="13">
        <v>0.64454510414198385</v>
      </c>
      <c r="AF16" s="13">
        <v>0.6590639982488653</v>
      </c>
      <c r="AG16" s="13">
        <v>0.67049457356209419</v>
      </c>
      <c r="AH16" s="13">
        <v>0.68359871950779172</v>
      </c>
      <c r="AI16" s="13">
        <v>0.7027720567668998</v>
      </c>
      <c r="AJ16" s="13">
        <v>0.72214994853203252</v>
      </c>
      <c r="AK16" s="13">
        <v>0.73827489548349956</v>
      </c>
      <c r="AL16" s="13">
        <v>0.75462555211655191</v>
      </c>
      <c r="AM16" s="13">
        <v>0.77599389075751335</v>
      </c>
      <c r="AN16" s="13">
        <v>0.80014027913313956</v>
      </c>
      <c r="AO16" s="13">
        <v>0.82529467242675802</v>
      </c>
      <c r="AP16" s="13">
        <v>0.84674015673796132</v>
      </c>
      <c r="AQ16" s="13">
        <v>0.87011297488075778</v>
      </c>
      <c r="AR16" s="13">
        <v>0.8915222256121218</v>
      </c>
      <c r="AS16" s="13">
        <v>0.90453080974887889</v>
      </c>
      <c r="AT16" s="13">
        <v>0.91688889347684877</v>
      </c>
      <c r="AU16" s="13">
        <v>0.92469640071833492</v>
      </c>
      <c r="AV16" s="13">
        <v>0.93110222682244859</v>
      </c>
      <c r="AW16" s="13">
        <v>0.94131828170387444</v>
      </c>
      <c r="AX16" s="13">
        <v>0.95112699763610553</v>
      </c>
      <c r="AY16" s="13">
        <v>0.96268311987348765</v>
      </c>
      <c r="AZ16" s="13">
        <v>0.98073198415537399</v>
      </c>
      <c r="BA16" s="13">
        <v>1</v>
      </c>
      <c r="BB16" s="13">
        <v>1.0193009874191525</v>
      </c>
      <c r="BC16" s="13">
        <v>1.0389857039719093</v>
      </c>
      <c r="BD16" s="13">
        <v>1.060125419289073</v>
      </c>
      <c r="BE16" s="13">
        <v>1.0820560750320849</v>
      </c>
      <c r="BF16" s="13">
        <v>1.1044404069652605</v>
      </c>
      <c r="BG16" s="13">
        <v>1.1272878002199849</v>
      </c>
      <c r="BH16" s="12">
        <v>1.150607834076451</v>
      </c>
      <c r="BI16" s="12">
        <v>1.1744102859799863</v>
      </c>
      <c r="BJ16" s="12">
        <v>1.1987051356404643</v>
      </c>
      <c r="BK16" s="12">
        <v>1.2235025692165225</v>
      </c>
      <c r="BL16" s="12">
        <v>1.2488129835863353</v>
      </c>
      <c r="BM16" s="12">
        <v>1.2746469907067397</v>
      </c>
      <c r="BN16" s="12">
        <v>1.301015422062533</v>
      </c>
      <c r="BO16" s="12">
        <v>1.3279293332078168</v>
      </c>
      <c r="BP16" s="12">
        <v>1.3554000084012836</v>
      </c>
      <c r="BQ16" s="12">
        <v>1.3834389653373957</v>
      </c>
      <c r="BR16" s="12">
        <v>1.4120579599754348</v>
      </c>
      <c r="BS16" s="12">
        <v>1.441268991468452</v>
      </c>
      <c r="BT16" s="12">
        <v>1.471084307194179</v>
      </c>
      <c r="BU16" s="12">
        <v>1.5015164078900174</v>
      </c>
      <c r="BV16" s="12">
        <v>1.5325780528942494</v>
      </c>
      <c r="BW16" s="12">
        <v>1.5642822654956778</v>
      </c>
      <c r="BX16" s="12">
        <v>1.5966423383939301</v>
      </c>
      <c r="BY16" s="12">
        <v>1.629671839272719</v>
      </c>
      <c r="BZ16" s="12">
        <v>1.6633846164883981</v>
      </c>
      <c r="CA16" s="12">
        <v>1.6977948048761948</v>
      </c>
      <c r="CB16" s="12">
        <v>1.7329168316765551</v>
      </c>
      <c r="CC16" s="12">
        <v>1.768765422584087</v>
      </c>
      <c r="CD16" s="12">
        <v>1.8053556079216366</v>
      </c>
      <c r="CE16" s="12">
        <v>1.8427027289420876</v>
      </c>
      <c r="CF16" s="12">
        <v>1.8808224442605239</v>
      </c>
      <c r="CG16" s="12">
        <v>1.9197307364194545</v>
      </c>
      <c r="CH16" s="12">
        <v>1.9594439185898498</v>
      </c>
      <c r="CI16" s="12">
        <v>1.9999786414108058</v>
      </c>
      <c r="CJ16" s="12">
        <v>2.0413518999706941</v>
      </c>
      <c r="CK16" s="12">
        <v>2.0835810409327347</v>
      </c>
      <c r="CL16" s="12">
        <v>2.1266837698079701</v>
      </c>
      <c r="CM16" s="12">
        <v>2.1706781583786983</v>
      </c>
      <c r="CN16" s="12">
        <v>2.2155826522754696</v>
      </c>
      <c r="CO16" s="12">
        <v>2.2614160787108313</v>
      </c>
      <c r="CP16" s="12">
        <v>2.308197654373056</v>
      </c>
      <c r="CQ16" s="12">
        <v>2.3559469934831676</v>
      </c>
      <c r="CR16" s="12">
        <f>Inflation_Raw[[#This Row],[2060]]/Inflation_Raw[[#This Row],[2059]]*Inflation_Raw[[#This Row],[2060]]</f>
        <v>2.4046841160186427</v>
      </c>
      <c r="CS16" s="12">
        <f>Inflation_Raw[[#This Row],[2061]]/Inflation_Raw[[#This Row],[2060]]*Inflation_Raw[[#This Row],[2061]]</f>
        <v>2.4544294561072326</v>
      </c>
      <c r="CT16" s="12">
        <f>Inflation_Raw[[#This Row],[2062]]/Inflation_Raw[[#This Row],[2061]]*Inflation_Raw[[#This Row],[2062]]</f>
        <v>2.5052038705944284</v>
      </c>
      <c r="CU16" s="12">
        <f>Inflation_Raw[[#This Row],[2063]]/Inflation_Raw[[#This Row],[2062]]*Inflation_Raw[[#This Row],[2063]]</f>
        <v>2.5570286477881599</v>
      </c>
      <c r="CV16" s="12">
        <f>Inflation_Raw[[#This Row],[2064]]/Inflation_Raw[[#This Row],[2063]]*Inflation_Raw[[#This Row],[2064]]</f>
        <v>2.609925516384394</v>
      </c>
      <c r="CW16" s="12">
        <f>Inflation_Raw[[#This Row],[2065]]/Inflation_Raw[[#This Row],[2064]]*Inflation_Raw[[#This Row],[2065]]</f>
        <v>2.6639166545773754</v>
      </c>
      <c r="CX16" s="12">
        <f>Inflation_Raw[[#This Row],[2066]]/Inflation_Raw[[#This Row],[2065]]*Inflation_Raw[[#This Row],[2066]]</f>
        <v>2.7190246993583318</v>
      </c>
      <c r="CY16" s="12">
        <f>Inflation_Raw[[#This Row],[2067]]/Inflation_Raw[[#This Row],[2066]]*Inflation_Raw[[#This Row],[2067]]</f>
        <v>2.7752727560065371</v>
      </c>
      <c r="CZ16" s="12">
        <f>Inflation_Raw[[#This Row],[2068]]/Inflation_Raw[[#This Row],[2067]]*Inflation_Raw[[#This Row],[2068]]</f>
        <v>2.8326844077767164</v>
      </c>
      <c r="DA16" s="12">
        <f>Inflation_Raw[[#This Row],[2069]]/Inflation_Raw[[#This Row],[2068]]*Inflation_Raw[[#This Row],[2069]]</f>
        <v>2.891283725786852</v>
      </c>
      <c r="DB16" s="12">
        <f>Inflation_Raw[[#This Row],[2070]]/Inflation_Raw[[#This Row],[2069]]*Inflation_Raw[[#This Row],[2070]]</f>
        <v>2.9510952791105391</v>
      </c>
      <c r="DC16" s="12">
        <f>Inflation_Raw[[#This Row],[2071]]/Inflation_Raw[[#This Row],[2070]]*Inflation_Raw[[#This Row],[2071]]</f>
        <v>3.0121441450781172</v>
      </c>
      <c r="DD16" s="12">
        <f>Inflation_Raw[[#This Row],[2072]]/Inflation_Raw[[#This Row],[2071]]*Inflation_Raw[[#This Row],[2072]]</f>
        <v>3.074455919790902</v>
      </c>
      <c r="DE16" s="12">
        <f>Inflation_Raw[[#This Row],[2073]]/Inflation_Raw[[#This Row],[2072]]*Inflation_Raw[[#This Row],[2073]]</f>
        <v>3.1380567288529231</v>
      </c>
      <c r="DF16" s="12">
        <f>Inflation_Raw[[#This Row],[2074]]/Inflation_Raw[[#This Row],[2073]]*Inflation_Raw[[#This Row],[2074]]</f>
        <v>3.2029732383246672</v>
      </c>
      <c r="DG16" s="12">
        <f>Inflation_Raw[[#This Row],[2075]]/Inflation_Raw[[#This Row],[2074]]*Inflation_Raw[[#This Row],[2075]]</f>
        <v>3.2692326659034192</v>
      </c>
      <c r="DH16" s="12">
        <f>Inflation_Raw[[#This Row],[2076]]/Inflation_Raw[[#This Row],[2075]]*Inflation_Raw[[#This Row],[2076]]</f>
        <v>3.336862792334891</v>
      </c>
      <c r="DI16" s="12">
        <f>Inflation_Raw[[#This Row],[2077]]/Inflation_Raw[[#This Row],[2076]]*Inflation_Raw[[#This Row],[2077]]</f>
        <v>3.4058919730609194</v>
      </c>
      <c r="DJ16" s="12">
        <f>Inflation_Raw[[#This Row],[2078]]/Inflation_Raw[[#This Row],[2077]]*Inflation_Raw[[#This Row],[2078]]</f>
        <v>3.4763491501081187</v>
      </c>
      <c r="DK16" s="12">
        <f>Inflation_Raw[[#This Row],[2079]]/Inflation_Raw[[#This Row],[2078]]*Inflation_Raw[[#This Row],[2079]]</f>
        <v>3.5482638642224726</v>
      </c>
      <c r="DL16" s="12">
        <f>Inflation_Raw[[#This Row],[2080]]/Inflation_Raw[[#This Row],[2079]]*Inflation_Raw[[#This Row],[2080]]</f>
        <v>3.6216662672549518</v>
      </c>
      <c r="DM16" s="12">
        <f>Inflation_Raw[[#This Row],[2081]]/Inflation_Raw[[#This Row],[2080]]*Inflation_Raw[[#This Row],[2081]]</f>
        <v>3.6965871348033508</v>
      </c>
      <c r="DN16" s="12">
        <f>Inflation_Raw[[#This Row],[2082]]/Inflation_Raw[[#This Row],[2081]]*Inflation_Raw[[#This Row],[2082]]</f>
        <v>3.7730578791156457</v>
      </c>
      <c r="DO16" s="12">
        <f>Inflation_Raw[[#This Row],[2083]]/Inflation_Raw[[#This Row],[2082]]*Inflation_Raw[[#This Row],[2083]]</f>
        <v>3.8511105622602813</v>
      </c>
      <c r="DP16" s="12">
        <f>Inflation_Raw[[#This Row],[2084]]/Inflation_Raw[[#This Row],[2083]]*Inflation_Raw[[#This Row],[2084]]</f>
        <v>3.930777909568909</v>
      </c>
      <c r="DQ16" s="12">
        <f>Inflation_Raw[[#This Row],[2085]]/Inflation_Raw[[#This Row],[2084]]*Inflation_Raw[[#This Row],[2085]]</f>
        <v>4.0120933233572149</v>
      </c>
      <c r="DR16" s="12">
        <f>Inflation_Raw[[#This Row],[2086]]/Inflation_Raw[[#This Row],[2085]]*Inflation_Raw[[#This Row],[2086]]</f>
        <v>4.0950908969295847</v>
      </c>
      <c r="DS16" s="12">
        <f>Inflation_Raw[[#This Row],[2087]]/Inflation_Raw[[#This Row],[2086]]*Inflation_Raw[[#This Row],[2087]]</f>
        <v>4.1798054288734852</v>
      </c>
      <c r="DT16" s="12">
        <f>Inflation_Raw[[#This Row],[2088]]/Inflation_Raw[[#This Row],[2087]]*Inflation_Raw[[#This Row],[2088]]</f>
        <v>4.2662724376495493</v>
      </c>
      <c r="DU16" s="12">
        <f>Inflation_Raw[[#This Row],[2089]]/Inflation_Raw[[#This Row],[2088]]*Inflation_Raw[[#This Row],[2089]]</f>
        <v>4.3545281764834849</v>
      </c>
      <c r="DV16" s="12">
        <f>Inflation_Raw[[#This Row],[2090]]/Inflation_Raw[[#This Row],[2089]]*Inflation_Raw[[#This Row],[2090]]</f>
        <v>4.4446096485660487</v>
      </c>
      <c r="DW16" s="12">
        <f>Inflation_Raw[[#This Row],[2091]]/Inflation_Raw[[#This Row],[2090]]*Inflation_Raw[[#This Row],[2091]]</f>
        <v>4.5365546225674622</v>
      </c>
      <c r="DX16" s="12">
        <f>Inflation_Raw[[#This Row],[2092]]/Inflation_Raw[[#This Row],[2091]]*Inflation_Raw[[#This Row],[2092]]</f>
        <v>4.6304016484727697</v>
      </c>
      <c r="DY16" s="12">
        <f>Inflation_Raw[[#This Row],[2093]]/Inflation_Raw[[#This Row],[2092]]*Inflation_Raw[[#This Row],[2093]]</f>
        <v>4.7261900737447817</v>
      </c>
      <c r="DZ16" s="12">
        <f>Inflation_Raw[[#This Row],[2094]]/Inflation_Raw[[#This Row],[2093]]*Inflation_Raw[[#This Row],[2094]]</f>
        <v>4.8239600598213768</v>
      </c>
      <c r="EA16" s="12">
        <f>Inflation_Raw[[#This Row],[2095]]/Inflation_Raw[[#This Row],[2094]]*Inflation_Raw[[#This Row],[2095]]</f>
        <v>4.9237525989540831</v>
      </c>
      <c r="EB16" s="12">
        <f>Inflation_Raw[[#This Row],[2096]]/Inflation_Raw[[#This Row],[2095]]*Inflation_Raw[[#This Row],[2096]]</f>
        <v>5.0256095313949967</v>
      </c>
    </row>
    <row r="17" spans="2:132">
      <c r="B17" s="15" t="s">
        <v>42</v>
      </c>
      <c r="C17" s="15" t="s">
        <v>41</v>
      </c>
      <c r="D17" s="13">
        <v>0.19740757658891817</v>
      </c>
      <c r="E17" s="13">
        <v>0.20638962132371394</v>
      </c>
      <c r="F17" s="13">
        <v>0.21429434382041218</v>
      </c>
      <c r="G17" s="13">
        <v>0.22320898852334131</v>
      </c>
      <c r="H17" s="13">
        <v>0.2360881471611381</v>
      </c>
      <c r="I17" s="13">
        <v>0.2568875129260344</v>
      </c>
      <c r="J17" s="13">
        <v>0.27381640002786012</v>
      </c>
      <c r="K17" s="13">
        <v>0.28356426386885197</v>
      </c>
      <c r="L17" s="13">
        <v>0.29428299304309458</v>
      </c>
      <c r="M17" s="13">
        <v>0.31429423657002503</v>
      </c>
      <c r="N17" s="13">
        <v>0.34170069399893122</v>
      </c>
      <c r="O17" s="13">
        <v>0.37792096756281801</v>
      </c>
      <c r="P17" s="13">
        <v>0.41798059012447669</v>
      </c>
      <c r="Q17" s="13">
        <v>0.44974711497393699</v>
      </c>
      <c r="R17" s="13">
        <v>0.47178472360765988</v>
      </c>
      <c r="S17" s="13">
        <v>0.48971254310475099</v>
      </c>
      <c r="T17" s="13">
        <v>0.50636276957031245</v>
      </c>
      <c r="U17" s="13">
        <v>0.52054092711828126</v>
      </c>
      <c r="V17" s="13">
        <v>0.53459553215047484</v>
      </c>
      <c r="W17" s="13">
        <v>0.55063339811498901</v>
      </c>
      <c r="X17" s="13">
        <v>0.57376000083581846</v>
      </c>
      <c r="Y17" s="13">
        <v>0.59671040086925131</v>
      </c>
      <c r="Z17" s="13">
        <v>0.62236894810662913</v>
      </c>
      <c r="AA17" s="13">
        <v>0.63979527865361474</v>
      </c>
      <c r="AB17" s="13">
        <v>0.65706975117726218</v>
      </c>
      <c r="AC17" s="13">
        <v>0.67021114620080757</v>
      </c>
      <c r="AD17" s="13">
        <v>0.68294515797862276</v>
      </c>
      <c r="AE17" s="13">
        <v>0.69660406113819517</v>
      </c>
      <c r="AF17" s="13">
        <v>0.70914293423868269</v>
      </c>
      <c r="AG17" s="13">
        <v>0.71410693477835341</v>
      </c>
      <c r="AH17" s="13">
        <v>0.71981979025658027</v>
      </c>
      <c r="AI17" s="13">
        <v>0.72989726732017246</v>
      </c>
      <c r="AJ17" s="13">
        <v>0.74303541813193552</v>
      </c>
      <c r="AK17" s="13">
        <v>0.748979701476991</v>
      </c>
      <c r="AL17" s="13">
        <v>0.75646949849176082</v>
      </c>
      <c r="AM17" s="13">
        <v>0.77159888846159619</v>
      </c>
      <c r="AN17" s="13">
        <v>0.79320365733852083</v>
      </c>
      <c r="AO17" s="13">
        <v>0.81779297071601498</v>
      </c>
      <c r="AP17" s="13">
        <v>0.83987338092534725</v>
      </c>
      <c r="AQ17" s="13">
        <v>0.86003034206755569</v>
      </c>
      <c r="AR17" s="13">
        <v>0.87293079719856892</v>
      </c>
      <c r="AS17" s="13">
        <v>0.87991424357615755</v>
      </c>
      <c r="AT17" s="13">
        <v>0.89751252844768081</v>
      </c>
      <c r="AU17" s="13">
        <v>0.91366775395973898</v>
      </c>
      <c r="AV17" s="13">
        <v>0.927372770269135</v>
      </c>
      <c r="AW17" s="13">
        <v>0.94128336182317185</v>
      </c>
      <c r="AX17" s="13">
        <v>0.95163747880322669</v>
      </c>
      <c r="AY17" s="13">
        <v>0.96305712854886538</v>
      </c>
      <c r="AZ17" s="13">
        <v>0.98039215686274506</v>
      </c>
      <c r="BA17" s="13">
        <v>1</v>
      </c>
      <c r="BB17" s="13">
        <v>1.0200000000000002</v>
      </c>
      <c r="BC17" s="13">
        <v>1.0404000000000002</v>
      </c>
      <c r="BD17" s="13">
        <v>1.0612080000000002</v>
      </c>
      <c r="BE17" s="13">
        <v>1.0824321600000002</v>
      </c>
      <c r="BF17" s="13">
        <v>1.1040808032</v>
      </c>
      <c r="BG17" s="13">
        <v>1.1261624192640003</v>
      </c>
      <c r="BH17" s="12">
        <v>1.1486856676492805</v>
      </c>
      <c r="BI17" s="12">
        <v>1.1716593810022664</v>
      </c>
      <c r="BJ17" s="12">
        <v>1.1950925686223119</v>
      </c>
      <c r="BK17" s="12">
        <v>1.2189944199947584</v>
      </c>
      <c r="BL17" s="12">
        <v>1.243374308394654</v>
      </c>
      <c r="BM17" s="12">
        <v>1.2682417945625473</v>
      </c>
      <c r="BN17" s="12">
        <v>1.2936066304537985</v>
      </c>
      <c r="BO17" s="12">
        <v>1.3194787630628748</v>
      </c>
      <c r="BP17" s="12">
        <v>1.3458683383241328</v>
      </c>
      <c r="BQ17" s="12">
        <v>1.3727857050906156</v>
      </c>
      <c r="BR17" s="12">
        <v>1.4002414191924284</v>
      </c>
      <c r="BS17" s="12">
        <v>1.4282462475762772</v>
      </c>
      <c r="BT17" s="12">
        <v>1.456811172527803</v>
      </c>
      <c r="BU17" s="12">
        <v>1.4859473959783596</v>
      </c>
      <c r="BV17" s="12">
        <v>1.5156663438979272</v>
      </c>
      <c r="BW17" s="12">
        <v>1.5459796707758859</v>
      </c>
      <c r="BX17" s="12">
        <v>1.5768992641914041</v>
      </c>
      <c r="BY17" s="12">
        <v>1.6084372494752324</v>
      </c>
      <c r="BZ17" s="12">
        <v>1.6406059944647375</v>
      </c>
      <c r="CA17" s="12">
        <v>1.6734181143540328</v>
      </c>
      <c r="CB17" s="12">
        <v>1.7068864766411138</v>
      </c>
      <c r="CC17" s="12">
        <v>1.7410242061739365</v>
      </c>
      <c r="CD17" s="12">
        <v>1.7758446902974157</v>
      </c>
      <c r="CE17" s="12">
        <v>1.8113615841033643</v>
      </c>
      <c r="CF17" s="12">
        <v>1.8475888157854321</v>
      </c>
      <c r="CG17" s="12">
        <v>1.8845405921011409</v>
      </c>
      <c r="CH17" s="12">
        <v>1.9222314039431643</v>
      </c>
      <c r="CI17" s="12">
        <v>1.9606760320220278</v>
      </c>
      <c r="CJ17" s="12">
        <v>1.9998895526624689</v>
      </c>
      <c r="CK17" s="12">
        <v>2.0398873437157188</v>
      </c>
      <c r="CL17" s="12">
        <v>2.0806850905900336</v>
      </c>
      <c r="CM17" s="12">
        <v>2.1222987924018346</v>
      </c>
      <c r="CN17" s="12">
        <v>2.1647447682498719</v>
      </c>
      <c r="CO17" s="12">
        <v>2.20803966361487</v>
      </c>
      <c r="CP17" s="12">
        <v>2.2522004568871679</v>
      </c>
      <c r="CQ17" s="12">
        <v>2.2972444660249116</v>
      </c>
      <c r="CR17" s="12">
        <f>Inflation_Raw[[#This Row],[2060]]/Inflation_Raw[[#This Row],[2059]]*Inflation_Raw[[#This Row],[2060]]</f>
        <v>2.3431893553454106</v>
      </c>
      <c r="CS17" s="12">
        <f>Inflation_Raw[[#This Row],[2061]]/Inflation_Raw[[#This Row],[2060]]*Inflation_Raw[[#This Row],[2061]]</f>
        <v>2.3900531424523193</v>
      </c>
      <c r="CT17" s="12">
        <f>Inflation_Raw[[#This Row],[2062]]/Inflation_Raw[[#This Row],[2061]]*Inflation_Raw[[#This Row],[2062]]</f>
        <v>2.4378542053013663</v>
      </c>
      <c r="CU17" s="12">
        <f>Inflation_Raw[[#This Row],[2063]]/Inflation_Raw[[#This Row],[2062]]*Inflation_Raw[[#This Row],[2063]]</f>
        <v>2.4866112894073944</v>
      </c>
      <c r="CV17" s="12">
        <f>Inflation_Raw[[#This Row],[2064]]/Inflation_Raw[[#This Row],[2063]]*Inflation_Raw[[#This Row],[2064]]</f>
        <v>2.5363435151955427</v>
      </c>
      <c r="CW17" s="12">
        <f>Inflation_Raw[[#This Row],[2065]]/Inflation_Raw[[#This Row],[2064]]*Inflation_Raw[[#This Row],[2065]]</f>
        <v>2.5870703854994543</v>
      </c>
      <c r="CX17" s="12">
        <f>Inflation_Raw[[#This Row],[2066]]/Inflation_Raw[[#This Row],[2065]]*Inflation_Raw[[#This Row],[2066]]</f>
        <v>2.6388117932094439</v>
      </c>
      <c r="CY17" s="12">
        <f>Inflation_Raw[[#This Row],[2067]]/Inflation_Raw[[#This Row],[2066]]*Inflation_Raw[[#This Row],[2067]]</f>
        <v>2.6915880290736336</v>
      </c>
      <c r="CZ17" s="12">
        <f>Inflation_Raw[[#This Row],[2068]]/Inflation_Raw[[#This Row],[2067]]*Inflation_Raw[[#This Row],[2068]]</f>
        <v>2.7454197896551067</v>
      </c>
      <c r="DA17" s="12">
        <f>Inflation_Raw[[#This Row],[2069]]/Inflation_Raw[[#This Row],[2068]]*Inflation_Raw[[#This Row],[2069]]</f>
        <v>2.8003281854482096</v>
      </c>
      <c r="DB17" s="12">
        <f>Inflation_Raw[[#This Row],[2070]]/Inflation_Raw[[#This Row],[2069]]*Inflation_Raw[[#This Row],[2070]]</f>
        <v>2.8563347491571744</v>
      </c>
      <c r="DC17" s="12">
        <f>Inflation_Raw[[#This Row],[2071]]/Inflation_Raw[[#This Row],[2070]]*Inflation_Raw[[#This Row],[2071]]</f>
        <v>2.9134614441403186</v>
      </c>
      <c r="DD17" s="12">
        <f>Inflation_Raw[[#This Row],[2072]]/Inflation_Raw[[#This Row],[2071]]*Inflation_Raw[[#This Row],[2072]]</f>
        <v>2.9717306730231257</v>
      </c>
      <c r="DE17" s="12">
        <f>Inflation_Raw[[#This Row],[2073]]/Inflation_Raw[[#This Row],[2072]]*Inflation_Raw[[#This Row],[2073]]</f>
        <v>3.031165286483589</v>
      </c>
      <c r="DF17" s="12">
        <f>Inflation_Raw[[#This Row],[2074]]/Inflation_Raw[[#This Row],[2073]]*Inflation_Raw[[#This Row],[2074]]</f>
        <v>3.0917885922132613</v>
      </c>
      <c r="DG17" s="12">
        <f>Inflation_Raw[[#This Row],[2075]]/Inflation_Raw[[#This Row],[2074]]*Inflation_Raw[[#This Row],[2075]]</f>
        <v>3.1536243640575274</v>
      </c>
      <c r="DH17" s="12">
        <f>Inflation_Raw[[#This Row],[2076]]/Inflation_Raw[[#This Row],[2075]]*Inflation_Raw[[#This Row],[2076]]</f>
        <v>3.2166968513386789</v>
      </c>
      <c r="DI17" s="12">
        <f>Inflation_Raw[[#This Row],[2077]]/Inflation_Raw[[#This Row],[2076]]*Inflation_Raw[[#This Row],[2077]]</f>
        <v>3.2810307883654533</v>
      </c>
      <c r="DJ17" s="12">
        <f>Inflation_Raw[[#This Row],[2078]]/Inflation_Raw[[#This Row],[2077]]*Inflation_Raw[[#This Row],[2078]]</f>
        <v>3.3466514041327633</v>
      </c>
      <c r="DK17" s="12">
        <f>Inflation_Raw[[#This Row],[2079]]/Inflation_Raw[[#This Row],[2078]]*Inflation_Raw[[#This Row],[2079]]</f>
        <v>3.4135844322154192</v>
      </c>
      <c r="DL17" s="12">
        <f>Inflation_Raw[[#This Row],[2080]]/Inflation_Raw[[#This Row],[2079]]*Inflation_Raw[[#This Row],[2080]]</f>
        <v>3.4818561208597285</v>
      </c>
      <c r="DM17" s="12">
        <f>Inflation_Raw[[#This Row],[2081]]/Inflation_Raw[[#This Row],[2080]]*Inflation_Raw[[#This Row],[2081]]</f>
        <v>3.5514932432769237</v>
      </c>
      <c r="DN17" s="12">
        <f>Inflation_Raw[[#This Row],[2082]]/Inflation_Raw[[#This Row],[2081]]*Inflation_Raw[[#This Row],[2082]]</f>
        <v>3.6225231081424631</v>
      </c>
      <c r="DO17" s="12">
        <f>Inflation_Raw[[#This Row],[2083]]/Inflation_Raw[[#This Row],[2082]]*Inflation_Raw[[#This Row],[2083]]</f>
        <v>3.6949735703053133</v>
      </c>
      <c r="DP17" s="12">
        <f>Inflation_Raw[[#This Row],[2084]]/Inflation_Raw[[#This Row],[2083]]*Inflation_Raw[[#This Row],[2084]]</f>
        <v>3.7688730417114202</v>
      </c>
      <c r="DQ17" s="12">
        <f>Inflation_Raw[[#This Row],[2085]]/Inflation_Raw[[#This Row],[2084]]*Inflation_Raw[[#This Row],[2085]]</f>
        <v>3.8442505025456497</v>
      </c>
      <c r="DR17" s="12">
        <f>Inflation_Raw[[#This Row],[2086]]/Inflation_Raw[[#This Row],[2085]]*Inflation_Raw[[#This Row],[2086]]</f>
        <v>3.9211355125965635</v>
      </c>
      <c r="DS17" s="12">
        <f>Inflation_Raw[[#This Row],[2087]]/Inflation_Raw[[#This Row],[2086]]*Inflation_Raw[[#This Row],[2087]]</f>
        <v>3.9995582228484956</v>
      </c>
      <c r="DT17" s="12">
        <f>Inflation_Raw[[#This Row],[2088]]/Inflation_Raw[[#This Row],[2087]]*Inflation_Raw[[#This Row],[2088]]</f>
        <v>4.0795493873054669</v>
      </c>
      <c r="DU17" s="12">
        <f>Inflation_Raw[[#This Row],[2089]]/Inflation_Raw[[#This Row],[2088]]*Inflation_Raw[[#This Row],[2089]]</f>
        <v>4.161140375051577</v>
      </c>
      <c r="DV17" s="12">
        <f>Inflation_Raw[[#This Row],[2090]]/Inflation_Raw[[#This Row],[2089]]*Inflation_Raw[[#This Row],[2090]]</f>
        <v>4.2443631825526094</v>
      </c>
      <c r="DW17" s="12">
        <f>Inflation_Raw[[#This Row],[2091]]/Inflation_Raw[[#This Row],[2090]]*Inflation_Raw[[#This Row],[2091]]</f>
        <v>4.3292504462036625</v>
      </c>
      <c r="DX17" s="12">
        <f>Inflation_Raw[[#This Row],[2092]]/Inflation_Raw[[#This Row],[2091]]*Inflation_Raw[[#This Row],[2092]]</f>
        <v>4.4158354551277368</v>
      </c>
      <c r="DY17" s="12">
        <f>Inflation_Raw[[#This Row],[2093]]/Inflation_Raw[[#This Row],[2092]]*Inflation_Raw[[#This Row],[2093]]</f>
        <v>4.5041521642302929</v>
      </c>
      <c r="DZ17" s="12">
        <f>Inflation_Raw[[#This Row],[2094]]/Inflation_Raw[[#This Row],[2093]]*Inflation_Raw[[#This Row],[2094]]</f>
        <v>4.5942352075148998</v>
      </c>
      <c r="EA17" s="12">
        <f>Inflation_Raw[[#This Row],[2095]]/Inflation_Raw[[#This Row],[2094]]*Inflation_Raw[[#This Row],[2095]]</f>
        <v>4.686119911665199</v>
      </c>
      <c r="EB17" s="12">
        <f>Inflation_Raw[[#This Row],[2096]]/Inflation_Raw[[#This Row],[2095]]*Inflation_Raw[[#This Row],[2096]]</f>
        <v>4.7798423098985046</v>
      </c>
    </row>
    <row r="18" spans="2:132">
      <c r="B18" s="15" t="s">
        <v>40</v>
      </c>
      <c r="C18" s="15" t="s">
        <v>39</v>
      </c>
      <c r="D18" s="13">
        <v>0.12187974510663295</v>
      </c>
      <c r="E18" s="13">
        <v>0.13284892216622993</v>
      </c>
      <c r="F18" s="13">
        <v>0.1425601783765813</v>
      </c>
      <c r="G18" s="13">
        <v>0.15295281538023406</v>
      </c>
      <c r="H18" s="13">
        <v>0.17664520648263235</v>
      </c>
      <c r="I18" s="13">
        <v>0.20543837513930144</v>
      </c>
      <c r="J18" s="13">
        <v>0.23771274387368568</v>
      </c>
      <c r="K18" s="13">
        <v>0.24272848276942041</v>
      </c>
      <c r="L18" s="13">
        <v>0.25697664470798537</v>
      </c>
      <c r="M18" s="13">
        <v>0.27856268286345615</v>
      </c>
      <c r="N18" s="13">
        <v>0.30586182578407489</v>
      </c>
      <c r="O18" s="13">
        <v>0.34195352122659578</v>
      </c>
      <c r="P18" s="13">
        <v>0.38162012968888098</v>
      </c>
      <c r="Q18" s="13">
        <v>0.43619180823439097</v>
      </c>
      <c r="R18" s="13">
        <v>0.47544907097548617</v>
      </c>
      <c r="S18" s="13">
        <v>0.48971254310475076</v>
      </c>
      <c r="T18" s="13">
        <v>0.50636276957031234</v>
      </c>
      <c r="U18" s="13">
        <v>0.52054092711828104</v>
      </c>
      <c r="V18" s="13">
        <v>0.53459553215047462</v>
      </c>
      <c r="W18" s="13">
        <v>0.55063339811498879</v>
      </c>
      <c r="X18" s="13">
        <v>0.57376000083581835</v>
      </c>
      <c r="Y18" s="13">
        <v>0.5967104008692512</v>
      </c>
      <c r="Z18" s="13">
        <v>0.62236894810662891</v>
      </c>
      <c r="AA18" s="13">
        <v>0.63979527865361452</v>
      </c>
      <c r="AB18" s="13">
        <v>0.65706975117726207</v>
      </c>
      <c r="AC18" s="13">
        <v>0.67021114620080746</v>
      </c>
      <c r="AD18" s="13">
        <v>0.68294515797862276</v>
      </c>
      <c r="AE18" s="13">
        <v>0.69660406113819517</v>
      </c>
      <c r="AF18" s="13">
        <v>0.70914293423868269</v>
      </c>
      <c r="AG18" s="13">
        <v>0.71410693477835341</v>
      </c>
      <c r="AH18" s="13">
        <v>0.71981979025658027</v>
      </c>
      <c r="AI18" s="13">
        <v>0.72989726732017246</v>
      </c>
      <c r="AJ18" s="13">
        <v>0.74303541813193552</v>
      </c>
      <c r="AK18" s="13">
        <v>0.74897970147699111</v>
      </c>
      <c r="AL18" s="13">
        <v>0.75646949849176093</v>
      </c>
      <c r="AM18" s="13">
        <v>0.7715988884615963</v>
      </c>
      <c r="AN18" s="13">
        <v>0.79320365733852094</v>
      </c>
      <c r="AO18" s="13">
        <v>0.81779297071601509</v>
      </c>
      <c r="AP18" s="13">
        <v>0.83987338092534736</v>
      </c>
      <c r="AQ18" s="13">
        <v>0.86003034206755569</v>
      </c>
      <c r="AR18" s="13">
        <v>0.87293079719856903</v>
      </c>
      <c r="AS18" s="13">
        <v>0.87991424357615755</v>
      </c>
      <c r="AT18" s="13">
        <v>0.89751252844768081</v>
      </c>
      <c r="AU18" s="13">
        <v>0.91366775395973898</v>
      </c>
      <c r="AV18" s="13">
        <v>0.927372770269135</v>
      </c>
      <c r="AW18" s="13">
        <v>0.94128336182317196</v>
      </c>
      <c r="AX18" s="13">
        <v>0.95163747880322669</v>
      </c>
      <c r="AY18" s="13">
        <v>0.96305712854886549</v>
      </c>
      <c r="AZ18" s="13">
        <v>0.98039215686274506</v>
      </c>
      <c r="BA18" s="13">
        <v>1</v>
      </c>
      <c r="BB18" s="13">
        <v>1.0199999999999998</v>
      </c>
      <c r="BC18" s="13">
        <v>1.0404</v>
      </c>
      <c r="BD18" s="13">
        <v>1.0612079999999999</v>
      </c>
      <c r="BE18" s="13">
        <v>1.08243216</v>
      </c>
      <c r="BF18" s="13">
        <v>1.1040808032</v>
      </c>
      <c r="BG18" s="13">
        <v>1.1261624192640001</v>
      </c>
      <c r="BH18" s="12">
        <v>1.14868566764928</v>
      </c>
      <c r="BI18" s="12">
        <v>1.1716593810022657</v>
      </c>
      <c r="BJ18" s="12">
        <v>1.1950925686223111</v>
      </c>
      <c r="BK18" s="12">
        <v>1.2189944199947573</v>
      </c>
      <c r="BL18" s="12">
        <v>1.2433743083946525</v>
      </c>
      <c r="BM18" s="12">
        <v>1.2682417945625455</v>
      </c>
      <c r="BN18" s="12">
        <v>1.2936066304537963</v>
      </c>
      <c r="BO18" s="12">
        <v>1.3194787630628724</v>
      </c>
      <c r="BP18" s="12">
        <v>1.3458683383241299</v>
      </c>
      <c r="BQ18" s="12">
        <v>1.3727857050906125</v>
      </c>
      <c r="BR18" s="12">
        <v>1.4002414191924248</v>
      </c>
      <c r="BS18" s="12">
        <v>1.4282462475762734</v>
      </c>
      <c r="BT18" s="12">
        <v>1.4568111725277988</v>
      </c>
      <c r="BU18" s="12">
        <v>1.4859473959783549</v>
      </c>
      <c r="BV18" s="12">
        <v>1.5156663438979221</v>
      </c>
      <c r="BW18" s="12">
        <v>1.5459796707758806</v>
      </c>
      <c r="BX18" s="12">
        <v>1.5768992641913981</v>
      </c>
      <c r="BY18" s="12">
        <v>1.6084372494752261</v>
      </c>
      <c r="BZ18" s="12">
        <v>1.6406059944647307</v>
      </c>
      <c r="CA18" s="12">
        <v>1.6734181143540252</v>
      </c>
      <c r="CB18" s="12">
        <v>1.7068864766411058</v>
      </c>
      <c r="CC18" s="12">
        <v>1.7410242061739281</v>
      </c>
      <c r="CD18" s="12">
        <v>1.7758446902974065</v>
      </c>
      <c r="CE18" s="12">
        <v>1.8113615841033548</v>
      </c>
      <c r="CF18" s="12">
        <v>1.8475888157854219</v>
      </c>
      <c r="CG18" s="12">
        <v>1.8845405921011305</v>
      </c>
      <c r="CH18" s="12">
        <v>1.9222314039431532</v>
      </c>
      <c r="CI18" s="12">
        <v>1.9606760320220162</v>
      </c>
      <c r="CJ18" s="12">
        <v>1.9998895526624563</v>
      </c>
      <c r="CK18" s="12">
        <v>2.0398873437157055</v>
      </c>
      <c r="CL18" s="12">
        <v>2.0806850905900198</v>
      </c>
      <c r="CM18" s="12">
        <v>2.1222987924018204</v>
      </c>
      <c r="CN18" s="12">
        <v>2.1647447682498568</v>
      </c>
      <c r="CO18" s="12">
        <v>2.208039663614854</v>
      </c>
      <c r="CP18" s="12">
        <v>2.252200456887151</v>
      </c>
      <c r="CQ18" s="12">
        <v>2.2972444660248938</v>
      </c>
      <c r="CR18" s="12">
        <f>Inflation_Raw[[#This Row],[2060]]/Inflation_Raw[[#This Row],[2059]]*Inflation_Raw[[#This Row],[2060]]</f>
        <v>2.343189355345392</v>
      </c>
      <c r="CS18" s="12">
        <f>Inflation_Raw[[#This Row],[2061]]/Inflation_Raw[[#This Row],[2060]]*Inflation_Raw[[#This Row],[2061]]</f>
        <v>2.3900531424522997</v>
      </c>
      <c r="CT18" s="12">
        <f>Inflation_Raw[[#This Row],[2062]]/Inflation_Raw[[#This Row],[2061]]*Inflation_Raw[[#This Row],[2062]]</f>
        <v>2.4378542053013459</v>
      </c>
      <c r="CU18" s="12">
        <f>Inflation_Raw[[#This Row],[2063]]/Inflation_Raw[[#This Row],[2062]]*Inflation_Raw[[#This Row],[2063]]</f>
        <v>2.4866112894073726</v>
      </c>
      <c r="CV18" s="12">
        <f>Inflation_Raw[[#This Row],[2064]]/Inflation_Raw[[#This Row],[2063]]*Inflation_Raw[[#This Row],[2064]]</f>
        <v>2.53634351519552</v>
      </c>
      <c r="CW18" s="12">
        <f>Inflation_Raw[[#This Row],[2065]]/Inflation_Raw[[#This Row],[2064]]*Inflation_Raw[[#This Row],[2065]]</f>
        <v>2.5870703854994304</v>
      </c>
      <c r="CX18" s="12">
        <f>Inflation_Raw[[#This Row],[2066]]/Inflation_Raw[[#This Row],[2065]]*Inflation_Raw[[#This Row],[2066]]</f>
        <v>2.6388117932094191</v>
      </c>
      <c r="CY18" s="12">
        <f>Inflation_Raw[[#This Row],[2067]]/Inflation_Raw[[#This Row],[2066]]*Inflation_Raw[[#This Row],[2067]]</f>
        <v>2.6915880290736074</v>
      </c>
      <c r="CZ18" s="12">
        <f>Inflation_Raw[[#This Row],[2068]]/Inflation_Raw[[#This Row],[2067]]*Inflation_Raw[[#This Row],[2068]]</f>
        <v>2.7454197896550796</v>
      </c>
      <c r="DA18" s="12">
        <f>Inflation_Raw[[#This Row],[2069]]/Inflation_Raw[[#This Row],[2068]]*Inflation_Raw[[#This Row],[2069]]</f>
        <v>2.8003281854481812</v>
      </c>
      <c r="DB18" s="12">
        <f>Inflation_Raw[[#This Row],[2070]]/Inflation_Raw[[#This Row],[2069]]*Inflation_Raw[[#This Row],[2070]]</f>
        <v>2.8563347491571447</v>
      </c>
      <c r="DC18" s="12">
        <f>Inflation_Raw[[#This Row],[2071]]/Inflation_Raw[[#This Row],[2070]]*Inflation_Raw[[#This Row],[2071]]</f>
        <v>2.9134614441402875</v>
      </c>
      <c r="DD18" s="12">
        <f>Inflation_Raw[[#This Row],[2072]]/Inflation_Raw[[#This Row],[2071]]*Inflation_Raw[[#This Row],[2072]]</f>
        <v>2.9717306730230932</v>
      </c>
      <c r="DE18" s="12">
        <f>Inflation_Raw[[#This Row],[2073]]/Inflation_Raw[[#This Row],[2072]]*Inflation_Raw[[#This Row],[2073]]</f>
        <v>3.0311652864835552</v>
      </c>
      <c r="DF18" s="12">
        <f>Inflation_Raw[[#This Row],[2074]]/Inflation_Raw[[#This Row],[2073]]*Inflation_Raw[[#This Row],[2074]]</f>
        <v>3.0917885922132262</v>
      </c>
      <c r="DG18" s="12">
        <f>Inflation_Raw[[#This Row],[2075]]/Inflation_Raw[[#This Row],[2074]]*Inflation_Raw[[#This Row],[2075]]</f>
        <v>3.1536243640574906</v>
      </c>
      <c r="DH18" s="12">
        <f>Inflation_Raw[[#This Row],[2076]]/Inflation_Raw[[#This Row],[2075]]*Inflation_Raw[[#This Row],[2076]]</f>
        <v>3.2166968513386403</v>
      </c>
      <c r="DI18" s="12">
        <f>Inflation_Raw[[#This Row],[2077]]/Inflation_Raw[[#This Row],[2076]]*Inflation_Raw[[#This Row],[2077]]</f>
        <v>3.2810307883654133</v>
      </c>
      <c r="DJ18" s="12">
        <f>Inflation_Raw[[#This Row],[2078]]/Inflation_Raw[[#This Row],[2077]]*Inflation_Raw[[#This Row],[2078]]</f>
        <v>3.3466514041327216</v>
      </c>
      <c r="DK18" s="12">
        <f>Inflation_Raw[[#This Row],[2079]]/Inflation_Raw[[#This Row],[2078]]*Inflation_Raw[[#This Row],[2079]]</f>
        <v>3.4135844322153761</v>
      </c>
      <c r="DL18" s="12">
        <f>Inflation_Raw[[#This Row],[2080]]/Inflation_Raw[[#This Row],[2079]]*Inflation_Raw[[#This Row],[2080]]</f>
        <v>3.4818561208596837</v>
      </c>
      <c r="DM18" s="12">
        <f>Inflation_Raw[[#This Row],[2081]]/Inflation_Raw[[#This Row],[2080]]*Inflation_Raw[[#This Row],[2081]]</f>
        <v>3.5514932432768775</v>
      </c>
      <c r="DN18" s="12">
        <f>Inflation_Raw[[#This Row],[2082]]/Inflation_Raw[[#This Row],[2081]]*Inflation_Raw[[#This Row],[2082]]</f>
        <v>3.6225231081424152</v>
      </c>
      <c r="DO18" s="12">
        <f>Inflation_Raw[[#This Row],[2083]]/Inflation_Raw[[#This Row],[2082]]*Inflation_Raw[[#This Row],[2083]]</f>
        <v>3.6949735703052635</v>
      </c>
      <c r="DP18" s="12">
        <f>Inflation_Raw[[#This Row],[2084]]/Inflation_Raw[[#This Row],[2083]]*Inflation_Raw[[#This Row],[2084]]</f>
        <v>3.7688730417113687</v>
      </c>
      <c r="DQ18" s="12">
        <f>Inflation_Raw[[#This Row],[2085]]/Inflation_Raw[[#This Row],[2084]]*Inflation_Raw[[#This Row],[2085]]</f>
        <v>3.844250502545596</v>
      </c>
      <c r="DR18" s="12">
        <f>Inflation_Raw[[#This Row],[2086]]/Inflation_Raw[[#This Row],[2085]]*Inflation_Raw[[#This Row],[2086]]</f>
        <v>3.9211355125965079</v>
      </c>
      <c r="DS18" s="12">
        <f>Inflation_Raw[[#This Row],[2087]]/Inflation_Raw[[#This Row],[2086]]*Inflation_Raw[[#This Row],[2087]]</f>
        <v>3.9995582228484383</v>
      </c>
      <c r="DT18" s="12">
        <f>Inflation_Raw[[#This Row],[2088]]/Inflation_Raw[[#This Row],[2087]]*Inflation_Raw[[#This Row],[2088]]</f>
        <v>4.0795493873054074</v>
      </c>
      <c r="DU18" s="12">
        <f>Inflation_Raw[[#This Row],[2089]]/Inflation_Raw[[#This Row],[2088]]*Inflation_Raw[[#This Row],[2089]]</f>
        <v>4.1611403750515157</v>
      </c>
      <c r="DV18" s="12">
        <f>Inflation_Raw[[#This Row],[2090]]/Inflation_Raw[[#This Row],[2089]]*Inflation_Raw[[#This Row],[2090]]</f>
        <v>4.2443631825525463</v>
      </c>
      <c r="DW18" s="12">
        <f>Inflation_Raw[[#This Row],[2091]]/Inflation_Raw[[#This Row],[2090]]*Inflation_Raw[[#This Row],[2091]]</f>
        <v>4.3292504462035977</v>
      </c>
      <c r="DX18" s="12">
        <f>Inflation_Raw[[#This Row],[2092]]/Inflation_Raw[[#This Row],[2091]]*Inflation_Raw[[#This Row],[2092]]</f>
        <v>4.4158354551276693</v>
      </c>
      <c r="DY18" s="12">
        <f>Inflation_Raw[[#This Row],[2093]]/Inflation_Raw[[#This Row],[2092]]*Inflation_Raw[[#This Row],[2093]]</f>
        <v>4.5041521642302227</v>
      </c>
      <c r="DZ18" s="12">
        <f>Inflation_Raw[[#This Row],[2094]]/Inflation_Raw[[#This Row],[2093]]*Inflation_Raw[[#This Row],[2094]]</f>
        <v>4.5942352075148269</v>
      </c>
      <c r="EA18" s="12">
        <f>Inflation_Raw[[#This Row],[2095]]/Inflation_Raw[[#This Row],[2094]]*Inflation_Raw[[#This Row],[2095]]</f>
        <v>4.6861199116651235</v>
      </c>
      <c r="EB18" s="12">
        <f>Inflation_Raw[[#This Row],[2096]]/Inflation_Raw[[#This Row],[2095]]*Inflation_Raw[[#This Row],[2096]]</f>
        <v>4.7798423098984264</v>
      </c>
    </row>
    <row r="19" spans="2:132">
      <c r="B19" s="15" t="s">
        <v>38</v>
      </c>
      <c r="C19" s="15" t="s">
        <v>37</v>
      </c>
      <c r="D19" s="13">
        <v>0.16852203780288577</v>
      </c>
      <c r="E19" s="13">
        <v>0.17618979052291711</v>
      </c>
      <c r="F19" s="13">
        <v>0.18293785949994482</v>
      </c>
      <c r="G19" s="13">
        <v>0.19054807445514252</v>
      </c>
      <c r="H19" s="13">
        <v>0.20154269835120422</v>
      </c>
      <c r="I19" s="13">
        <v>0.21929861007594537</v>
      </c>
      <c r="J19" s="13">
        <v>0.23375038847995019</v>
      </c>
      <c r="K19" s="13">
        <v>0.24207190230983641</v>
      </c>
      <c r="L19" s="13">
        <v>0.25122222021714824</v>
      </c>
      <c r="M19" s="13">
        <v>0.26830533119191435</v>
      </c>
      <c r="N19" s="13">
        <v>0.29170155607184928</v>
      </c>
      <c r="O19" s="13">
        <v>0.32612233968832749</v>
      </c>
      <c r="P19" s="13">
        <v>0.36395253109217351</v>
      </c>
      <c r="Q19" s="13">
        <v>0.41599774303835435</v>
      </c>
      <c r="R19" s="13">
        <v>0.4534375399118063</v>
      </c>
      <c r="S19" s="13">
        <v>0.48971254310475082</v>
      </c>
      <c r="T19" s="13">
        <v>0.50636276957031234</v>
      </c>
      <c r="U19" s="13">
        <v>0.52054092711828115</v>
      </c>
      <c r="V19" s="13">
        <v>0.53459553215047473</v>
      </c>
      <c r="W19" s="13">
        <v>0.5506333981149889</v>
      </c>
      <c r="X19" s="13">
        <v>0.57376000083581835</v>
      </c>
      <c r="Y19" s="13">
        <v>0.5967104008692512</v>
      </c>
      <c r="Z19" s="13">
        <v>0.62236894810662902</v>
      </c>
      <c r="AA19" s="13">
        <v>0.63979527865361463</v>
      </c>
      <c r="AB19" s="13">
        <v>0.65706975117726207</v>
      </c>
      <c r="AC19" s="13">
        <v>0.67021114620080746</v>
      </c>
      <c r="AD19" s="13">
        <v>0.68294515797862276</v>
      </c>
      <c r="AE19" s="13">
        <v>0.69660406113819506</v>
      </c>
      <c r="AF19" s="13">
        <v>0.70914293423868269</v>
      </c>
      <c r="AG19" s="13">
        <v>0.71410693477835341</v>
      </c>
      <c r="AH19" s="13">
        <v>0.71981979025658016</v>
      </c>
      <c r="AI19" s="13">
        <v>0.72989726732017246</v>
      </c>
      <c r="AJ19" s="13">
        <v>0.74303541813193541</v>
      </c>
      <c r="AK19" s="13">
        <v>0.748979701476991</v>
      </c>
      <c r="AL19" s="13">
        <v>0.75646949849176082</v>
      </c>
      <c r="AM19" s="13">
        <v>0.77159888846159619</v>
      </c>
      <c r="AN19" s="13">
        <v>0.79320365733852083</v>
      </c>
      <c r="AO19" s="13">
        <v>0.81779297071601509</v>
      </c>
      <c r="AP19" s="13">
        <v>0.83987338092534736</v>
      </c>
      <c r="AQ19" s="13">
        <v>0.86003034206755569</v>
      </c>
      <c r="AR19" s="13">
        <v>0.87293079719856914</v>
      </c>
      <c r="AS19" s="13">
        <v>0.87991424357615755</v>
      </c>
      <c r="AT19" s="13">
        <v>0.89751252844768081</v>
      </c>
      <c r="AU19" s="13">
        <v>0.91366775395973898</v>
      </c>
      <c r="AV19" s="13">
        <v>0.927372770269135</v>
      </c>
      <c r="AW19" s="13">
        <v>0.94128336182317185</v>
      </c>
      <c r="AX19" s="13">
        <v>0.95163747880322669</v>
      </c>
      <c r="AY19" s="13">
        <v>0.96305712854886549</v>
      </c>
      <c r="AZ19" s="13">
        <v>0.98039215686274506</v>
      </c>
      <c r="BA19" s="13">
        <v>1</v>
      </c>
      <c r="BB19" s="13">
        <v>1.02</v>
      </c>
      <c r="BC19" s="13">
        <v>1.0404000000000002</v>
      </c>
      <c r="BD19" s="13">
        <v>1.0612080000000002</v>
      </c>
      <c r="BE19" s="13">
        <v>1.0824321600000002</v>
      </c>
      <c r="BF19" s="13">
        <v>1.1040808032000002</v>
      </c>
      <c r="BG19" s="13">
        <v>1.1261624192640003</v>
      </c>
      <c r="BH19" s="12">
        <v>1.1486856676492803</v>
      </c>
      <c r="BI19" s="12">
        <v>1.171659381002266</v>
      </c>
      <c r="BJ19" s="12">
        <v>1.1950925686223113</v>
      </c>
      <c r="BK19" s="12">
        <v>1.2189944199947575</v>
      </c>
      <c r="BL19" s="12">
        <v>1.2433743083946527</v>
      </c>
      <c r="BM19" s="12">
        <v>1.2682417945625457</v>
      </c>
      <c r="BN19" s="12">
        <v>1.2936066304537968</v>
      </c>
      <c r="BO19" s="12">
        <v>1.3194787630628728</v>
      </c>
      <c r="BP19" s="12">
        <v>1.3458683383241303</v>
      </c>
      <c r="BQ19" s="12">
        <v>1.3727857050906129</v>
      </c>
      <c r="BR19" s="12">
        <v>1.4002414191924253</v>
      </c>
      <c r="BS19" s="12">
        <v>1.4282462475762738</v>
      </c>
      <c r="BT19" s="12">
        <v>1.4568111725277992</v>
      </c>
      <c r="BU19" s="12">
        <v>1.4859473959783553</v>
      </c>
      <c r="BV19" s="12">
        <v>1.5156663438979225</v>
      </c>
      <c r="BW19" s="12">
        <v>1.5459796707758811</v>
      </c>
      <c r="BX19" s="12">
        <v>1.5768992641913988</v>
      </c>
      <c r="BY19" s="12">
        <v>1.6084372494752268</v>
      </c>
      <c r="BZ19" s="12">
        <v>1.6406059944647313</v>
      </c>
      <c r="CA19" s="12">
        <v>1.6734181143540259</v>
      </c>
      <c r="CB19" s="12">
        <v>1.7068864766411065</v>
      </c>
      <c r="CC19" s="12">
        <v>1.7410242061739287</v>
      </c>
      <c r="CD19" s="12">
        <v>1.7758446902974074</v>
      </c>
      <c r="CE19" s="12">
        <v>1.8113615841033557</v>
      </c>
      <c r="CF19" s="12">
        <v>1.8475888157854228</v>
      </c>
      <c r="CG19" s="12">
        <v>1.8845405921011313</v>
      </c>
      <c r="CH19" s="12">
        <v>1.9222314039431541</v>
      </c>
      <c r="CI19" s="12">
        <v>1.9606760320220171</v>
      </c>
      <c r="CJ19" s="12">
        <v>1.9998895526624576</v>
      </c>
      <c r="CK19" s="12">
        <v>2.0398873437157068</v>
      </c>
      <c r="CL19" s="12">
        <v>2.0806850905900212</v>
      </c>
      <c r="CM19" s="12">
        <v>2.1222987924018217</v>
      </c>
      <c r="CN19" s="12">
        <v>2.1647447682498582</v>
      </c>
      <c r="CO19" s="12">
        <v>2.2080396636148554</v>
      </c>
      <c r="CP19" s="12">
        <v>2.2522004568871523</v>
      </c>
      <c r="CQ19" s="12">
        <v>2.2972444660248952</v>
      </c>
      <c r="CR19" s="12">
        <f>Inflation_Raw[[#This Row],[2060]]/Inflation_Raw[[#This Row],[2059]]*Inflation_Raw[[#This Row],[2060]]</f>
        <v>2.3431893553453933</v>
      </c>
      <c r="CS19" s="12">
        <f>Inflation_Raw[[#This Row],[2061]]/Inflation_Raw[[#This Row],[2060]]*Inflation_Raw[[#This Row],[2061]]</f>
        <v>2.390053142452301</v>
      </c>
      <c r="CT19" s="12">
        <f>Inflation_Raw[[#This Row],[2062]]/Inflation_Raw[[#This Row],[2061]]*Inflation_Raw[[#This Row],[2062]]</f>
        <v>2.4378542053013472</v>
      </c>
      <c r="CU19" s="12">
        <f>Inflation_Raw[[#This Row],[2063]]/Inflation_Raw[[#This Row],[2062]]*Inflation_Raw[[#This Row],[2063]]</f>
        <v>2.4866112894073744</v>
      </c>
      <c r="CV19" s="12">
        <f>Inflation_Raw[[#This Row],[2064]]/Inflation_Raw[[#This Row],[2063]]*Inflation_Raw[[#This Row],[2064]]</f>
        <v>2.5363435151955218</v>
      </c>
      <c r="CW19" s="12">
        <f>Inflation_Raw[[#This Row],[2065]]/Inflation_Raw[[#This Row],[2064]]*Inflation_Raw[[#This Row],[2065]]</f>
        <v>2.5870703854994321</v>
      </c>
      <c r="CX19" s="12">
        <f>Inflation_Raw[[#This Row],[2066]]/Inflation_Raw[[#This Row],[2065]]*Inflation_Raw[[#This Row],[2066]]</f>
        <v>2.6388117932094208</v>
      </c>
      <c r="CY19" s="12">
        <f>Inflation_Raw[[#This Row],[2067]]/Inflation_Raw[[#This Row],[2066]]*Inflation_Raw[[#This Row],[2067]]</f>
        <v>2.6915880290736092</v>
      </c>
      <c r="CZ19" s="12">
        <f>Inflation_Raw[[#This Row],[2068]]/Inflation_Raw[[#This Row],[2067]]*Inflation_Raw[[#This Row],[2068]]</f>
        <v>2.7454197896550814</v>
      </c>
      <c r="DA19" s="12">
        <f>Inflation_Raw[[#This Row],[2069]]/Inflation_Raw[[#This Row],[2068]]*Inflation_Raw[[#This Row],[2069]]</f>
        <v>2.800328185448183</v>
      </c>
      <c r="DB19" s="12">
        <f>Inflation_Raw[[#This Row],[2070]]/Inflation_Raw[[#This Row],[2069]]*Inflation_Raw[[#This Row],[2070]]</f>
        <v>2.8563347491571465</v>
      </c>
      <c r="DC19" s="12">
        <f>Inflation_Raw[[#This Row],[2071]]/Inflation_Raw[[#This Row],[2070]]*Inflation_Raw[[#This Row],[2071]]</f>
        <v>2.9134614441402893</v>
      </c>
      <c r="DD19" s="12">
        <f>Inflation_Raw[[#This Row],[2072]]/Inflation_Raw[[#This Row],[2071]]*Inflation_Raw[[#This Row],[2072]]</f>
        <v>2.971730673023095</v>
      </c>
      <c r="DE19" s="12">
        <f>Inflation_Raw[[#This Row],[2073]]/Inflation_Raw[[#This Row],[2072]]*Inflation_Raw[[#This Row],[2073]]</f>
        <v>3.031165286483557</v>
      </c>
      <c r="DF19" s="12">
        <f>Inflation_Raw[[#This Row],[2074]]/Inflation_Raw[[#This Row],[2073]]*Inflation_Raw[[#This Row],[2074]]</f>
        <v>3.091788592213228</v>
      </c>
      <c r="DG19" s="12">
        <f>Inflation_Raw[[#This Row],[2075]]/Inflation_Raw[[#This Row],[2074]]*Inflation_Raw[[#This Row],[2075]]</f>
        <v>3.1536243640574928</v>
      </c>
      <c r="DH19" s="12">
        <f>Inflation_Raw[[#This Row],[2076]]/Inflation_Raw[[#This Row],[2075]]*Inflation_Raw[[#This Row],[2076]]</f>
        <v>3.2166968513386429</v>
      </c>
      <c r="DI19" s="12">
        <f>Inflation_Raw[[#This Row],[2077]]/Inflation_Raw[[#This Row],[2076]]*Inflation_Raw[[#This Row],[2077]]</f>
        <v>3.281030788365416</v>
      </c>
      <c r="DJ19" s="12">
        <f>Inflation_Raw[[#This Row],[2078]]/Inflation_Raw[[#This Row],[2077]]*Inflation_Raw[[#This Row],[2078]]</f>
        <v>3.3466514041327242</v>
      </c>
      <c r="DK19" s="12">
        <f>Inflation_Raw[[#This Row],[2079]]/Inflation_Raw[[#This Row],[2078]]*Inflation_Raw[[#This Row],[2079]]</f>
        <v>3.4135844322153788</v>
      </c>
      <c r="DL19" s="12">
        <f>Inflation_Raw[[#This Row],[2080]]/Inflation_Raw[[#This Row],[2079]]*Inflation_Raw[[#This Row],[2080]]</f>
        <v>3.4818561208596863</v>
      </c>
      <c r="DM19" s="12">
        <f>Inflation_Raw[[#This Row],[2081]]/Inflation_Raw[[#This Row],[2080]]*Inflation_Raw[[#This Row],[2081]]</f>
        <v>3.5514932432768802</v>
      </c>
      <c r="DN19" s="12">
        <f>Inflation_Raw[[#This Row],[2082]]/Inflation_Raw[[#This Row],[2081]]*Inflation_Raw[[#This Row],[2082]]</f>
        <v>3.6225231081424178</v>
      </c>
      <c r="DO19" s="12">
        <f>Inflation_Raw[[#This Row],[2083]]/Inflation_Raw[[#This Row],[2082]]*Inflation_Raw[[#This Row],[2083]]</f>
        <v>3.6949735703052662</v>
      </c>
      <c r="DP19" s="12">
        <f>Inflation_Raw[[#This Row],[2084]]/Inflation_Raw[[#This Row],[2083]]*Inflation_Raw[[#This Row],[2084]]</f>
        <v>3.7688730417113714</v>
      </c>
      <c r="DQ19" s="12">
        <f>Inflation_Raw[[#This Row],[2085]]/Inflation_Raw[[#This Row],[2084]]*Inflation_Raw[[#This Row],[2085]]</f>
        <v>3.8442505025455991</v>
      </c>
      <c r="DR19" s="12">
        <f>Inflation_Raw[[#This Row],[2086]]/Inflation_Raw[[#This Row],[2085]]*Inflation_Raw[[#This Row],[2086]]</f>
        <v>3.9211355125965111</v>
      </c>
      <c r="DS19" s="12">
        <f>Inflation_Raw[[#This Row],[2087]]/Inflation_Raw[[#This Row],[2086]]*Inflation_Raw[[#This Row],[2087]]</f>
        <v>3.9995582228484414</v>
      </c>
      <c r="DT19" s="12">
        <f>Inflation_Raw[[#This Row],[2088]]/Inflation_Raw[[#This Row],[2087]]*Inflation_Raw[[#This Row],[2088]]</f>
        <v>4.0795493873054101</v>
      </c>
      <c r="DU19" s="12">
        <f>Inflation_Raw[[#This Row],[2089]]/Inflation_Raw[[#This Row],[2088]]*Inflation_Raw[[#This Row],[2089]]</f>
        <v>4.1611403750515183</v>
      </c>
      <c r="DV19" s="12">
        <f>Inflation_Raw[[#This Row],[2090]]/Inflation_Raw[[#This Row],[2089]]*Inflation_Raw[[#This Row],[2090]]</f>
        <v>4.244363182552549</v>
      </c>
      <c r="DW19" s="12">
        <f>Inflation_Raw[[#This Row],[2091]]/Inflation_Raw[[#This Row],[2090]]*Inflation_Raw[[#This Row],[2091]]</f>
        <v>4.3292504462036003</v>
      </c>
      <c r="DX19" s="12">
        <f>Inflation_Raw[[#This Row],[2092]]/Inflation_Raw[[#This Row],[2091]]*Inflation_Raw[[#This Row],[2092]]</f>
        <v>4.4158354551276728</v>
      </c>
      <c r="DY19" s="12">
        <f>Inflation_Raw[[#This Row],[2093]]/Inflation_Raw[[#This Row],[2092]]*Inflation_Raw[[#This Row],[2093]]</f>
        <v>4.5041521642302262</v>
      </c>
      <c r="DZ19" s="12">
        <f>Inflation_Raw[[#This Row],[2094]]/Inflation_Raw[[#This Row],[2093]]*Inflation_Raw[[#This Row],[2094]]</f>
        <v>4.5942352075148305</v>
      </c>
      <c r="EA19" s="12">
        <f>Inflation_Raw[[#This Row],[2095]]/Inflation_Raw[[#This Row],[2094]]*Inflation_Raw[[#This Row],[2095]]</f>
        <v>4.6861199116651271</v>
      </c>
      <c r="EB19" s="12">
        <f>Inflation_Raw[[#This Row],[2096]]/Inflation_Raw[[#This Row],[2095]]*Inflation_Raw[[#This Row],[2096]]</f>
        <v>4.77984230989843</v>
      </c>
    </row>
    <row r="20" spans="2:132">
      <c r="B20" s="15" t="s">
        <v>233</v>
      </c>
      <c r="C20" s="15" t="s">
        <v>36</v>
      </c>
      <c r="D20" s="13">
        <v>0.18971788247432875</v>
      </c>
      <c r="E20" s="13">
        <v>0.20027746598212037</v>
      </c>
      <c r="F20" s="13">
        <v>0.21039771665728282</v>
      </c>
      <c r="G20" s="13">
        <v>0.21994028405650221</v>
      </c>
      <c r="H20" s="13">
        <v>0.23775409443233195</v>
      </c>
      <c r="I20" s="13">
        <v>0.26302937558029149</v>
      </c>
      <c r="J20" s="13">
        <v>0.28090953386761341</v>
      </c>
      <c r="K20" s="13">
        <v>0.28901902692797743</v>
      </c>
      <c r="L20" s="13">
        <v>0.29753799280524168</v>
      </c>
      <c r="M20" s="13">
        <v>0.31809081645765447</v>
      </c>
      <c r="N20" s="13">
        <v>0.34395090003586554</v>
      </c>
      <c r="O20" s="13">
        <v>0.37889452293482934</v>
      </c>
      <c r="P20" s="13">
        <v>0.41826660844128233</v>
      </c>
      <c r="Q20" s="13">
        <v>0.44911672795874863</v>
      </c>
      <c r="R20" s="13">
        <v>0.471090302814204</v>
      </c>
      <c r="S20" s="13">
        <v>0.4889529164801919</v>
      </c>
      <c r="T20" s="13">
        <v>0.50558752997554712</v>
      </c>
      <c r="U20" s="13">
        <v>0.51960510607524835</v>
      </c>
      <c r="V20" s="13">
        <v>0.53361029384105851</v>
      </c>
      <c r="W20" s="13">
        <v>0.54957778514218514</v>
      </c>
      <c r="X20" s="13">
        <v>0.57262232903737087</v>
      </c>
      <c r="Y20" s="13">
        <v>0.59550852752141747</v>
      </c>
      <c r="Z20" s="13">
        <v>0.62108881425273044</v>
      </c>
      <c r="AA20" s="13">
        <v>0.63860256737290755</v>
      </c>
      <c r="AB20" s="13">
        <v>0.65592329756150625</v>
      </c>
      <c r="AC20" s="13">
        <v>0.66895373860620366</v>
      </c>
      <c r="AD20" s="13">
        <v>0.68163174986026853</v>
      </c>
      <c r="AE20" s="13">
        <v>0.69526438485747388</v>
      </c>
      <c r="AF20" s="13">
        <v>0.70786831144226636</v>
      </c>
      <c r="AG20" s="13">
        <v>0.71303037031662808</v>
      </c>
      <c r="AH20" s="13">
        <v>0.71901454900254747</v>
      </c>
      <c r="AI20" s="13">
        <v>0.72930868352112987</v>
      </c>
      <c r="AJ20" s="13">
        <v>0.74260250810555073</v>
      </c>
      <c r="AK20" s="13">
        <v>0.7487738410321062</v>
      </c>
      <c r="AL20" s="13">
        <v>0.75644437736260373</v>
      </c>
      <c r="AM20" s="13">
        <v>0.77169024813235032</v>
      </c>
      <c r="AN20" s="13">
        <v>0.79334106698628948</v>
      </c>
      <c r="AO20" s="13">
        <v>0.81793956644663735</v>
      </c>
      <c r="AP20" s="13">
        <v>0.84000936209516364</v>
      </c>
      <c r="AQ20" s="13">
        <v>0.86021205286970392</v>
      </c>
      <c r="AR20" s="13">
        <v>0.87322788355167613</v>
      </c>
      <c r="AS20" s="13">
        <v>0.88030289908456338</v>
      </c>
      <c r="AT20" s="13">
        <v>0.89780810379922493</v>
      </c>
      <c r="AU20" s="13">
        <v>0.91385932273778481</v>
      </c>
      <c r="AV20" s="13">
        <v>0.92744905763200636</v>
      </c>
      <c r="AW20" s="13">
        <v>0.94128619547191439</v>
      </c>
      <c r="AX20" s="13">
        <v>0.95163171723985374</v>
      </c>
      <c r="AY20" s="13">
        <v>0.96305329816064655</v>
      </c>
      <c r="AZ20" s="13">
        <v>0.98039669106264304</v>
      </c>
      <c r="BA20" s="13">
        <v>1</v>
      </c>
      <c r="BB20" s="13">
        <v>1.0199897954370365</v>
      </c>
      <c r="BC20" s="13">
        <v>1.0403779145346996</v>
      </c>
      <c r="BD20" s="13">
        <v>1.0611920204316145</v>
      </c>
      <c r="BE20" s="13">
        <v>1.0824290747030332</v>
      </c>
      <c r="BF20" s="13">
        <v>1.104091134501674</v>
      </c>
      <c r="BG20" s="13">
        <v>1.1261867052302095</v>
      </c>
      <c r="BH20" s="12">
        <v>1.148724462505275</v>
      </c>
      <c r="BI20" s="12">
        <v>1.1717132555638665</v>
      </c>
      <c r="BJ20" s="12">
        <v>1.1951621107379091</v>
      </c>
      <c r="BK20" s="12">
        <v>1.219080234998362</v>
      </c>
      <c r="BL20" s="12">
        <v>1.2434770195702476</v>
      </c>
      <c r="BM20" s="12">
        <v>1.2683620436200278</v>
      </c>
      <c r="BN20" s="12">
        <v>1.2937450780167721</v>
      </c>
      <c r="BO20" s="12">
        <v>1.3196360891685974</v>
      </c>
      <c r="BP20" s="12">
        <v>1.3460452429358842</v>
      </c>
      <c r="BQ20" s="12">
        <v>1.3729829086228047</v>
      </c>
      <c r="BR20" s="12">
        <v>1.4004596630487316</v>
      </c>
      <c r="BS20" s="12">
        <v>1.4284862947011276</v>
      </c>
      <c r="BT20" s="12">
        <v>1.4570738079715411</v>
      </c>
      <c r="BU20" s="12">
        <v>1.4862334274763773</v>
      </c>
      <c r="BV20" s="12">
        <v>1.5159766024641379</v>
      </c>
      <c r="BW20" s="12">
        <v>1.5463150113108584</v>
      </c>
      <c r="BX20" s="12">
        <v>1.5772605661055143</v>
      </c>
      <c r="BY20" s="12">
        <v>1.6088254173271881</v>
      </c>
      <c r="BZ20" s="12">
        <v>1.641021958615841</v>
      </c>
      <c r="CA20" s="12">
        <v>1.6738628316385573</v>
      </c>
      <c r="CB20" s="12">
        <v>1.7073609310531763</v>
      </c>
      <c r="CC20" s="12">
        <v>1.7415294095712572</v>
      </c>
      <c r="CD20" s="12">
        <v>1.7763816831223662</v>
      </c>
      <c r="CE20" s="12">
        <v>1.8119314361217151</v>
      </c>
      <c r="CF20" s="12">
        <v>1.8481926268432169</v>
      </c>
      <c r="CG20" s="12">
        <v>1.8851794929000698</v>
      </c>
      <c r="CH20" s="12">
        <v>1.9229065568350219</v>
      </c>
      <c r="CI20" s="12">
        <v>1.9613886318225089</v>
      </c>
      <c r="CJ20" s="12">
        <v>2.0006408274849079</v>
      </c>
      <c r="CK20" s="12">
        <v>2.0406785558251874</v>
      </c>
      <c r="CL20" s="12">
        <v>2.0815175372782835</v>
      </c>
      <c r="CM20" s="12">
        <v>2.1231738068835799</v>
      </c>
      <c r="CN20" s="12">
        <v>2.1656637205809162</v>
      </c>
      <c r="CO20" s="12">
        <v>2.2090039616325905</v>
      </c>
      <c r="CP20" s="12">
        <v>2.2532115471738856</v>
      </c>
      <c r="CQ20" s="12">
        <v>2.2983038348946851</v>
      </c>
      <c r="CR20" s="12">
        <f>Inflation_Raw[[#This Row],[2060]]/Inflation_Raw[[#This Row],[2059]]*Inflation_Raw[[#This Row],[2060]]</f>
        <v>2.3442985298548078</v>
      </c>
      <c r="CS20" s="12">
        <f>Inflation_Raw[[#This Row],[2061]]/Inflation_Raw[[#This Row],[2060]]*Inflation_Raw[[#This Row],[2061]]</f>
        <v>2.3912136914357291</v>
      </c>
      <c r="CT20" s="12">
        <f>Inflation_Raw[[#This Row],[2062]]/Inflation_Raw[[#This Row],[2061]]*Inflation_Raw[[#This Row],[2062]]</f>
        <v>2.4390677404314292</v>
      </c>
      <c r="CU20" s="12">
        <f>Inflation_Raw[[#This Row],[2063]]/Inflation_Raw[[#This Row],[2062]]*Inflation_Raw[[#This Row],[2063]]</f>
        <v>2.4878794662811403</v>
      </c>
      <c r="CV20" s="12">
        <f>Inflation_Raw[[#This Row],[2064]]/Inflation_Raw[[#This Row],[2063]]*Inflation_Raw[[#This Row],[2064]]</f>
        <v>2.5376680344468445</v>
      </c>
      <c r="CW20" s="12">
        <f>Inflation_Raw[[#This Row],[2065]]/Inflation_Raw[[#This Row],[2064]]*Inflation_Raw[[#This Row],[2065]]</f>
        <v>2.58845299393841</v>
      </c>
      <c r="CX20" s="12">
        <f>Inflation_Raw[[#This Row],[2066]]/Inflation_Raw[[#This Row],[2065]]*Inflation_Raw[[#This Row],[2066]]</f>
        <v>2.6402542849893247</v>
      </c>
      <c r="CY20" s="12">
        <f>Inflation_Raw[[#This Row],[2067]]/Inflation_Raw[[#This Row],[2066]]*Inflation_Raw[[#This Row],[2067]]</f>
        <v>2.6930922468860401</v>
      </c>
      <c r="CZ20" s="12">
        <f>Inflation_Raw[[#This Row],[2068]]/Inflation_Raw[[#This Row],[2067]]*Inflation_Raw[[#This Row],[2068]]</f>
        <v>2.7469876259539996</v>
      </c>
      <c r="DA20" s="12">
        <f>Inflation_Raw[[#This Row],[2069]]/Inflation_Raw[[#This Row],[2068]]*Inflation_Raw[[#This Row],[2069]]</f>
        <v>2.8019615837034872</v>
      </c>
      <c r="DB20" s="12">
        <f>Inflation_Raw[[#This Row],[2070]]/Inflation_Raw[[#This Row],[2069]]*Inflation_Raw[[#This Row],[2070]]</f>
        <v>2.858035705138493</v>
      </c>
      <c r="DC20" s="12">
        <f>Inflation_Raw[[#This Row],[2071]]/Inflation_Raw[[#This Row],[2070]]*Inflation_Raw[[#This Row],[2071]]</f>
        <v>2.9152320072318614</v>
      </c>
      <c r="DD20" s="12">
        <f>Inflation_Raw[[#This Row],[2072]]/Inflation_Raw[[#This Row],[2071]]*Inflation_Raw[[#This Row],[2072]]</f>
        <v>2.9735729475700476</v>
      </c>
      <c r="DE20" s="12">
        <f>Inflation_Raw[[#This Row],[2073]]/Inflation_Raw[[#This Row],[2072]]*Inflation_Raw[[#This Row],[2073]]</f>
        <v>3.0330814331708749</v>
      </c>
      <c r="DF20" s="12">
        <f>Inflation_Raw[[#This Row],[2074]]/Inflation_Raw[[#This Row],[2073]]*Inflation_Raw[[#This Row],[2074]]</f>
        <v>3.0937808294777596</v>
      </c>
      <c r="DG20" s="12">
        <f>Inflation_Raw[[#This Row],[2075]]/Inflation_Raw[[#This Row],[2074]]*Inflation_Raw[[#This Row],[2075]]</f>
        <v>3.1556949695339305</v>
      </c>
      <c r="DH20" s="12">
        <f>Inflation_Raw[[#This Row],[2076]]/Inflation_Raw[[#This Row],[2075]]*Inflation_Raw[[#This Row],[2076]]</f>
        <v>3.2188481633402479</v>
      </c>
      <c r="DI20" s="12">
        <f>Inflation_Raw[[#This Row],[2077]]/Inflation_Raw[[#This Row],[2076]]*Inflation_Raw[[#This Row],[2077]]</f>
        <v>3.2832652074002948</v>
      </c>
      <c r="DJ20" s="12">
        <f>Inflation_Raw[[#This Row],[2078]]/Inflation_Raw[[#This Row],[2077]]*Inflation_Raw[[#This Row],[2078]]</f>
        <v>3.3489713944564898</v>
      </c>
      <c r="DK20" s="12">
        <f>Inflation_Raw[[#This Row],[2079]]/Inflation_Raw[[#This Row],[2078]]*Inflation_Raw[[#This Row],[2079]]</f>
        <v>3.4159925234210426</v>
      </c>
      <c r="DL20" s="12">
        <f>Inflation_Raw[[#This Row],[2080]]/Inflation_Raw[[#This Row],[2079]]*Inflation_Raw[[#This Row],[2080]]</f>
        <v>3.4843549095056527</v>
      </c>
      <c r="DM20" s="12">
        <f>Inflation_Raw[[#This Row],[2081]]/Inflation_Raw[[#This Row],[2080]]*Inflation_Raw[[#This Row],[2081]]</f>
        <v>3.5540853945539284</v>
      </c>
      <c r="DN20" s="12">
        <f>Inflation_Raw[[#This Row],[2082]]/Inflation_Raw[[#This Row],[2081]]*Inflation_Raw[[#This Row],[2082]]</f>
        <v>3.6252113575805818</v>
      </c>
      <c r="DO20" s="12">
        <f>Inflation_Raw[[#This Row],[2083]]/Inflation_Raw[[#This Row],[2082]]*Inflation_Raw[[#This Row],[2083]]</f>
        <v>3.6977607255215403</v>
      </c>
      <c r="DP20" s="12">
        <f>Inflation_Raw[[#This Row],[2084]]/Inflation_Raw[[#This Row],[2083]]*Inflation_Raw[[#This Row],[2084]]</f>
        <v>3.7717619841991938</v>
      </c>
      <c r="DQ20" s="12">
        <f>Inflation_Raw[[#This Row],[2085]]/Inflation_Raw[[#This Row],[2084]]*Inflation_Raw[[#This Row],[2085]]</f>
        <v>3.8472441895070824</v>
      </c>
      <c r="DR20" s="12">
        <f>Inflation_Raw[[#This Row],[2086]]/Inflation_Raw[[#This Row],[2085]]*Inflation_Raw[[#This Row],[2086]]</f>
        <v>3.9242369788184184</v>
      </c>
      <c r="DS20" s="12">
        <f>Inflation_Raw[[#This Row],[2087]]/Inflation_Raw[[#This Row],[2086]]*Inflation_Raw[[#This Row],[2087]]</f>
        <v>4.0027705826229196</v>
      </c>
      <c r="DT20" s="12">
        <f>Inflation_Raw[[#This Row],[2088]]/Inflation_Raw[[#This Row],[2087]]*Inflation_Raw[[#This Row],[2088]]</f>
        <v>4.0828758363965258</v>
      </c>
      <c r="DU20" s="12">
        <f>Inflation_Raw[[#This Row],[2089]]/Inflation_Raw[[#This Row],[2088]]*Inflation_Raw[[#This Row],[2089]]</f>
        <v>4.1645841927086567</v>
      </c>
      <c r="DV20" s="12">
        <f>Inflation_Raw[[#This Row],[2090]]/Inflation_Raw[[#This Row],[2089]]*Inflation_Raw[[#This Row],[2090]]</f>
        <v>4.247927733571764</v>
      </c>
      <c r="DW20" s="12">
        <f>Inflation_Raw[[#This Row],[2091]]/Inflation_Raw[[#This Row],[2090]]*Inflation_Raw[[#This Row],[2091]]</f>
        <v>4.3329391830380306</v>
      </c>
      <c r="DX20" s="12">
        <f>Inflation_Raw[[#This Row],[2092]]/Inflation_Raw[[#This Row],[2091]]*Inflation_Raw[[#This Row],[2092]]</f>
        <v>4.4196519200481603</v>
      </c>
      <c r="DY20" s="12">
        <f>Inflation_Raw[[#This Row],[2093]]/Inflation_Raw[[#This Row],[2092]]*Inflation_Raw[[#This Row],[2093]]</f>
        <v>4.5080999915373017</v>
      </c>
      <c r="DZ20" s="12">
        <f>Inflation_Raw[[#This Row],[2094]]/Inflation_Raw[[#This Row],[2093]]*Inflation_Raw[[#This Row],[2094]]</f>
        <v>4.5983181258032566</v>
      </c>
      <c r="EA20" s="12">
        <f>Inflation_Raw[[#This Row],[2095]]/Inflation_Raw[[#This Row],[2094]]*Inflation_Raw[[#This Row],[2095]]</f>
        <v>4.6903417461422148</v>
      </c>
      <c r="EB20" s="12">
        <f>Inflation_Raw[[#This Row],[2096]]/Inflation_Raw[[#This Row],[2095]]*Inflation_Raw[[#This Row],[2096]]</f>
        <v>4.7842069847573789</v>
      </c>
    </row>
    <row r="21" spans="2:132">
      <c r="B21" s="15" t="s">
        <v>234</v>
      </c>
      <c r="C21" s="15" t="s">
        <v>35</v>
      </c>
      <c r="D21" s="13">
        <v>0.19082217636582186</v>
      </c>
      <c r="E21" s="13">
        <v>0.20063043623102508</v>
      </c>
      <c r="F21" s="13">
        <v>0.20987949934127531</v>
      </c>
      <c r="G21" s="13">
        <v>0.21900925756262082</v>
      </c>
      <c r="H21" s="13">
        <v>0.23646429539036168</v>
      </c>
      <c r="I21" s="13">
        <v>0.2623334893060672</v>
      </c>
      <c r="J21" s="13">
        <v>0.27967373294919828</v>
      </c>
      <c r="K21" s="13">
        <v>0.28772833645813517</v>
      </c>
      <c r="L21" s="13">
        <v>0.29515172753875502</v>
      </c>
      <c r="M21" s="13">
        <v>0.31522204501139039</v>
      </c>
      <c r="N21" s="13">
        <v>0.34170069679234727</v>
      </c>
      <c r="O21" s="13">
        <v>0.37788680058265683</v>
      </c>
      <c r="P21" s="13">
        <v>0.41798059012447675</v>
      </c>
      <c r="Q21" s="13">
        <v>0.44974711497393705</v>
      </c>
      <c r="R21" s="13">
        <v>0.47178472360765988</v>
      </c>
      <c r="S21" s="13">
        <v>0.48971254310475099</v>
      </c>
      <c r="T21" s="13">
        <v>0.50636276957031257</v>
      </c>
      <c r="U21" s="13">
        <v>0.52054092711828137</v>
      </c>
      <c r="V21" s="13">
        <v>0.53459553215047484</v>
      </c>
      <c r="W21" s="13">
        <v>0.55063339811498913</v>
      </c>
      <c r="X21" s="13">
        <v>0.57376000083581868</v>
      </c>
      <c r="Y21" s="13">
        <v>0.59671040086925142</v>
      </c>
      <c r="Z21" s="13">
        <v>0.62236894810662924</v>
      </c>
      <c r="AA21" s="13">
        <v>0.63979527865361485</v>
      </c>
      <c r="AB21" s="13">
        <v>0.6570697511772623</v>
      </c>
      <c r="AC21" s="13">
        <v>0.67021114620080757</v>
      </c>
      <c r="AD21" s="13">
        <v>0.68294515797862287</v>
      </c>
      <c r="AE21" s="13">
        <v>0.6966040611381954</v>
      </c>
      <c r="AF21" s="13">
        <v>0.70914293423868302</v>
      </c>
      <c r="AG21" s="13">
        <v>0.71410693477835374</v>
      </c>
      <c r="AH21" s="13">
        <v>0.71981979025658049</v>
      </c>
      <c r="AI21" s="13">
        <v>0.72989726732017268</v>
      </c>
      <c r="AJ21" s="13">
        <v>0.74303541813193574</v>
      </c>
      <c r="AK21" s="13">
        <v>0.74897970147699133</v>
      </c>
      <c r="AL21" s="13">
        <v>0.75646949849176126</v>
      </c>
      <c r="AM21" s="13">
        <v>0.77159888846159641</v>
      </c>
      <c r="AN21" s="13">
        <v>0.79320365733852116</v>
      </c>
      <c r="AO21" s="13">
        <v>0.8177929707160152</v>
      </c>
      <c r="AP21" s="13">
        <v>0.83987338092534747</v>
      </c>
      <c r="AQ21" s="13">
        <v>0.8600303420675558</v>
      </c>
      <c r="AR21" s="13">
        <v>0.87293079719856903</v>
      </c>
      <c r="AS21" s="13">
        <v>0.87991424357615755</v>
      </c>
      <c r="AT21" s="13">
        <v>0.89751252844768081</v>
      </c>
      <c r="AU21" s="13">
        <v>0.91366775395973909</v>
      </c>
      <c r="AV21" s="13">
        <v>0.92737277026913512</v>
      </c>
      <c r="AW21" s="13">
        <v>0.94128336182317196</v>
      </c>
      <c r="AX21" s="13">
        <v>0.95163747880322669</v>
      </c>
      <c r="AY21" s="13">
        <v>0.96305712854886549</v>
      </c>
      <c r="AZ21" s="13">
        <v>0.98039215686274506</v>
      </c>
      <c r="BA21" s="13">
        <v>1</v>
      </c>
      <c r="BB21" s="13">
        <v>1.02</v>
      </c>
      <c r="BC21" s="13">
        <v>1.0404</v>
      </c>
      <c r="BD21" s="13">
        <v>1.0612079999999999</v>
      </c>
      <c r="BE21" s="13">
        <v>1.08243216</v>
      </c>
      <c r="BF21" s="13">
        <v>1.1040808032</v>
      </c>
      <c r="BG21" s="13">
        <v>1.1261624192640001</v>
      </c>
      <c r="BH21" s="12">
        <v>1.14868566764928</v>
      </c>
      <c r="BI21" s="12">
        <v>1.1716593810022657</v>
      </c>
      <c r="BJ21" s="12">
        <v>1.1950925686223111</v>
      </c>
      <c r="BK21" s="12">
        <v>1.2189944199947573</v>
      </c>
      <c r="BL21" s="12">
        <v>1.2433743083946525</v>
      </c>
      <c r="BM21" s="12">
        <v>1.2682417945625455</v>
      </c>
      <c r="BN21" s="12">
        <v>1.2936066304537963</v>
      </c>
      <c r="BO21" s="12">
        <v>1.3194787630628724</v>
      </c>
      <c r="BP21" s="12">
        <v>1.3458683383241299</v>
      </c>
      <c r="BQ21" s="12">
        <v>1.3727857050906125</v>
      </c>
      <c r="BR21" s="12">
        <v>1.4002414191924248</v>
      </c>
      <c r="BS21" s="12">
        <v>1.4282462475762734</v>
      </c>
      <c r="BT21" s="12">
        <v>1.4568111725277988</v>
      </c>
      <c r="BU21" s="12">
        <v>1.4859473959783549</v>
      </c>
      <c r="BV21" s="12">
        <v>1.5156663438979221</v>
      </c>
      <c r="BW21" s="12">
        <v>1.5459796707758806</v>
      </c>
      <c r="BX21" s="12">
        <v>1.5768992641913981</v>
      </c>
      <c r="BY21" s="12">
        <v>1.6084372494752261</v>
      </c>
      <c r="BZ21" s="12">
        <v>1.6406059944647307</v>
      </c>
      <c r="CA21" s="12">
        <v>1.6734181143540252</v>
      </c>
      <c r="CB21" s="12">
        <v>1.7068864766411058</v>
      </c>
      <c r="CC21" s="12">
        <v>1.7410242061739281</v>
      </c>
      <c r="CD21" s="12">
        <v>1.7758446902974065</v>
      </c>
      <c r="CE21" s="12">
        <v>1.8113615841033548</v>
      </c>
      <c r="CF21" s="12">
        <v>1.8475888157854219</v>
      </c>
      <c r="CG21" s="12">
        <v>1.8845405921011305</v>
      </c>
      <c r="CH21" s="12">
        <v>1.9222314039431532</v>
      </c>
      <c r="CI21" s="12">
        <v>1.9606760320220162</v>
      </c>
      <c r="CJ21" s="12">
        <v>1.9998895526624563</v>
      </c>
      <c r="CK21" s="12">
        <v>2.0398873437157055</v>
      </c>
      <c r="CL21" s="12">
        <v>2.0806850905900198</v>
      </c>
      <c r="CM21" s="12">
        <v>2.1222987924018204</v>
      </c>
      <c r="CN21" s="12">
        <v>2.1647447682498568</v>
      </c>
      <c r="CO21" s="12">
        <v>2.208039663614854</v>
      </c>
      <c r="CP21" s="12">
        <v>2.252200456887151</v>
      </c>
      <c r="CQ21" s="12">
        <v>2.2972444660248938</v>
      </c>
      <c r="CR21" s="12">
        <f>Inflation_Raw[[#This Row],[2060]]/Inflation_Raw[[#This Row],[2059]]*Inflation_Raw[[#This Row],[2060]]</f>
        <v>2.343189355345392</v>
      </c>
      <c r="CS21" s="12">
        <f>Inflation_Raw[[#This Row],[2061]]/Inflation_Raw[[#This Row],[2060]]*Inflation_Raw[[#This Row],[2061]]</f>
        <v>2.3900531424522997</v>
      </c>
      <c r="CT21" s="12">
        <f>Inflation_Raw[[#This Row],[2062]]/Inflation_Raw[[#This Row],[2061]]*Inflation_Raw[[#This Row],[2062]]</f>
        <v>2.4378542053013459</v>
      </c>
      <c r="CU21" s="12">
        <f>Inflation_Raw[[#This Row],[2063]]/Inflation_Raw[[#This Row],[2062]]*Inflation_Raw[[#This Row],[2063]]</f>
        <v>2.4866112894073726</v>
      </c>
      <c r="CV21" s="12">
        <f>Inflation_Raw[[#This Row],[2064]]/Inflation_Raw[[#This Row],[2063]]*Inflation_Raw[[#This Row],[2064]]</f>
        <v>2.53634351519552</v>
      </c>
      <c r="CW21" s="12">
        <f>Inflation_Raw[[#This Row],[2065]]/Inflation_Raw[[#This Row],[2064]]*Inflation_Raw[[#This Row],[2065]]</f>
        <v>2.5870703854994304</v>
      </c>
      <c r="CX21" s="12">
        <f>Inflation_Raw[[#This Row],[2066]]/Inflation_Raw[[#This Row],[2065]]*Inflation_Raw[[#This Row],[2066]]</f>
        <v>2.6388117932094191</v>
      </c>
      <c r="CY21" s="12">
        <f>Inflation_Raw[[#This Row],[2067]]/Inflation_Raw[[#This Row],[2066]]*Inflation_Raw[[#This Row],[2067]]</f>
        <v>2.6915880290736074</v>
      </c>
      <c r="CZ21" s="12">
        <f>Inflation_Raw[[#This Row],[2068]]/Inflation_Raw[[#This Row],[2067]]*Inflation_Raw[[#This Row],[2068]]</f>
        <v>2.7454197896550796</v>
      </c>
      <c r="DA21" s="12">
        <f>Inflation_Raw[[#This Row],[2069]]/Inflation_Raw[[#This Row],[2068]]*Inflation_Raw[[#This Row],[2069]]</f>
        <v>2.8003281854481812</v>
      </c>
      <c r="DB21" s="12">
        <f>Inflation_Raw[[#This Row],[2070]]/Inflation_Raw[[#This Row],[2069]]*Inflation_Raw[[#This Row],[2070]]</f>
        <v>2.8563347491571447</v>
      </c>
      <c r="DC21" s="12">
        <f>Inflation_Raw[[#This Row],[2071]]/Inflation_Raw[[#This Row],[2070]]*Inflation_Raw[[#This Row],[2071]]</f>
        <v>2.9134614441402875</v>
      </c>
      <c r="DD21" s="12">
        <f>Inflation_Raw[[#This Row],[2072]]/Inflation_Raw[[#This Row],[2071]]*Inflation_Raw[[#This Row],[2072]]</f>
        <v>2.9717306730230932</v>
      </c>
      <c r="DE21" s="12">
        <f>Inflation_Raw[[#This Row],[2073]]/Inflation_Raw[[#This Row],[2072]]*Inflation_Raw[[#This Row],[2073]]</f>
        <v>3.0311652864835552</v>
      </c>
      <c r="DF21" s="12">
        <f>Inflation_Raw[[#This Row],[2074]]/Inflation_Raw[[#This Row],[2073]]*Inflation_Raw[[#This Row],[2074]]</f>
        <v>3.0917885922132262</v>
      </c>
      <c r="DG21" s="12">
        <f>Inflation_Raw[[#This Row],[2075]]/Inflation_Raw[[#This Row],[2074]]*Inflation_Raw[[#This Row],[2075]]</f>
        <v>3.1536243640574906</v>
      </c>
      <c r="DH21" s="12">
        <f>Inflation_Raw[[#This Row],[2076]]/Inflation_Raw[[#This Row],[2075]]*Inflation_Raw[[#This Row],[2076]]</f>
        <v>3.2166968513386403</v>
      </c>
      <c r="DI21" s="12">
        <f>Inflation_Raw[[#This Row],[2077]]/Inflation_Raw[[#This Row],[2076]]*Inflation_Raw[[#This Row],[2077]]</f>
        <v>3.2810307883654133</v>
      </c>
      <c r="DJ21" s="12">
        <f>Inflation_Raw[[#This Row],[2078]]/Inflation_Raw[[#This Row],[2077]]*Inflation_Raw[[#This Row],[2078]]</f>
        <v>3.3466514041327216</v>
      </c>
      <c r="DK21" s="12">
        <f>Inflation_Raw[[#This Row],[2079]]/Inflation_Raw[[#This Row],[2078]]*Inflation_Raw[[#This Row],[2079]]</f>
        <v>3.4135844322153761</v>
      </c>
      <c r="DL21" s="12">
        <f>Inflation_Raw[[#This Row],[2080]]/Inflation_Raw[[#This Row],[2079]]*Inflation_Raw[[#This Row],[2080]]</f>
        <v>3.4818561208596837</v>
      </c>
      <c r="DM21" s="12">
        <f>Inflation_Raw[[#This Row],[2081]]/Inflation_Raw[[#This Row],[2080]]*Inflation_Raw[[#This Row],[2081]]</f>
        <v>3.5514932432768775</v>
      </c>
      <c r="DN21" s="12">
        <f>Inflation_Raw[[#This Row],[2082]]/Inflation_Raw[[#This Row],[2081]]*Inflation_Raw[[#This Row],[2082]]</f>
        <v>3.6225231081424152</v>
      </c>
      <c r="DO21" s="12">
        <f>Inflation_Raw[[#This Row],[2083]]/Inflation_Raw[[#This Row],[2082]]*Inflation_Raw[[#This Row],[2083]]</f>
        <v>3.6949735703052635</v>
      </c>
      <c r="DP21" s="12">
        <f>Inflation_Raw[[#This Row],[2084]]/Inflation_Raw[[#This Row],[2083]]*Inflation_Raw[[#This Row],[2084]]</f>
        <v>3.7688730417113687</v>
      </c>
      <c r="DQ21" s="12">
        <f>Inflation_Raw[[#This Row],[2085]]/Inflation_Raw[[#This Row],[2084]]*Inflation_Raw[[#This Row],[2085]]</f>
        <v>3.844250502545596</v>
      </c>
      <c r="DR21" s="12">
        <f>Inflation_Raw[[#This Row],[2086]]/Inflation_Raw[[#This Row],[2085]]*Inflation_Raw[[#This Row],[2086]]</f>
        <v>3.9211355125965079</v>
      </c>
      <c r="DS21" s="12">
        <f>Inflation_Raw[[#This Row],[2087]]/Inflation_Raw[[#This Row],[2086]]*Inflation_Raw[[#This Row],[2087]]</f>
        <v>3.9995582228484383</v>
      </c>
      <c r="DT21" s="12">
        <f>Inflation_Raw[[#This Row],[2088]]/Inflation_Raw[[#This Row],[2087]]*Inflation_Raw[[#This Row],[2088]]</f>
        <v>4.0795493873054074</v>
      </c>
      <c r="DU21" s="12">
        <f>Inflation_Raw[[#This Row],[2089]]/Inflation_Raw[[#This Row],[2088]]*Inflation_Raw[[#This Row],[2089]]</f>
        <v>4.1611403750515157</v>
      </c>
      <c r="DV21" s="12">
        <f>Inflation_Raw[[#This Row],[2090]]/Inflation_Raw[[#This Row],[2089]]*Inflation_Raw[[#This Row],[2090]]</f>
        <v>4.2443631825525463</v>
      </c>
      <c r="DW21" s="12">
        <f>Inflation_Raw[[#This Row],[2091]]/Inflation_Raw[[#This Row],[2090]]*Inflation_Raw[[#This Row],[2091]]</f>
        <v>4.3292504462035977</v>
      </c>
      <c r="DX21" s="12">
        <f>Inflation_Raw[[#This Row],[2092]]/Inflation_Raw[[#This Row],[2091]]*Inflation_Raw[[#This Row],[2092]]</f>
        <v>4.4158354551276693</v>
      </c>
      <c r="DY21" s="12">
        <f>Inflation_Raw[[#This Row],[2093]]/Inflation_Raw[[#This Row],[2092]]*Inflation_Raw[[#This Row],[2093]]</f>
        <v>4.5041521642302227</v>
      </c>
      <c r="DZ21" s="12">
        <f>Inflation_Raw[[#This Row],[2094]]/Inflation_Raw[[#This Row],[2093]]*Inflation_Raw[[#This Row],[2094]]</f>
        <v>4.5942352075148269</v>
      </c>
      <c r="EA21" s="12">
        <f>Inflation_Raw[[#This Row],[2095]]/Inflation_Raw[[#This Row],[2094]]*Inflation_Raw[[#This Row],[2095]]</f>
        <v>4.6861199116651235</v>
      </c>
      <c r="EB21" s="12">
        <f>Inflation_Raw[[#This Row],[2096]]/Inflation_Raw[[#This Row],[2095]]*Inflation_Raw[[#This Row],[2096]]</f>
        <v>4.7798423098984264</v>
      </c>
    </row>
    <row r="22" spans="2:132">
      <c r="B22" s="15" t="s">
        <v>34</v>
      </c>
      <c r="C22" s="15" t="s">
        <v>33</v>
      </c>
      <c r="D22" s="13">
        <v>0.1247505280029321</v>
      </c>
      <c r="E22" s="13">
        <v>0.1339659243568255</v>
      </c>
      <c r="F22" s="13">
        <v>0.15241644827183146</v>
      </c>
      <c r="G22" s="13">
        <v>0.16927884388500278</v>
      </c>
      <c r="H22" s="13">
        <v>0.18137501916037782</v>
      </c>
      <c r="I22" s="13">
        <v>0.1931193418510429</v>
      </c>
      <c r="J22" s="13">
        <v>0.20323580201423888</v>
      </c>
      <c r="K22" s="13">
        <v>0.20759571805694937</v>
      </c>
      <c r="L22" s="13">
        <v>0.21467379786196011</v>
      </c>
      <c r="M22" s="13">
        <v>0.22904987955076178</v>
      </c>
      <c r="N22" s="13">
        <v>0.24363458482118061</v>
      </c>
      <c r="O22" s="13">
        <v>0.2611790036356556</v>
      </c>
      <c r="P22" s="13">
        <v>0.30716930920254837</v>
      </c>
      <c r="Q22" s="13">
        <v>0.3452846279534631</v>
      </c>
      <c r="R22" s="13">
        <v>0.35975792370338838</v>
      </c>
      <c r="S22" s="13">
        <v>0.37116368891648061</v>
      </c>
      <c r="T22" s="13">
        <v>0.38553588927870452</v>
      </c>
      <c r="U22" s="13">
        <v>0.39693233016578305</v>
      </c>
      <c r="V22" s="13">
        <v>0.40625984299234874</v>
      </c>
      <c r="W22" s="13">
        <v>0.41575791984247196</v>
      </c>
      <c r="X22" s="13">
        <v>0.43102011590794248</v>
      </c>
      <c r="Y22" s="13">
        <v>0.44729099167920028</v>
      </c>
      <c r="Z22" s="13">
        <v>0.46537220212431418</v>
      </c>
      <c r="AA22" s="13">
        <v>0.48342930301075226</v>
      </c>
      <c r="AB22" s="13">
        <v>0.5007126962308176</v>
      </c>
      <c r="AC22" s="13">
        <v>0.51301893247966868</v>
      </c>
      <c r="AD22" s="13">
        <v>0.52530912183751122</v>
      </c>
      <c r="AE22" s="13">
        <v>0.53780026358749267</v>
      </c>
      <c r="AF22" s="13">
        <v>0.55215178630148309</v>
      </c>
      <c r="AG22" s="13">
        <v>0.56579164709366725</v>
      </c>
      <c r="AH22" s="13">
        <v>0.58230857633061384</v>
      </c>
      <c r="AI22" s="13">
        <v>0.60521759205513537</v>
      </c>
      <c r="AJ22" s="13">
        <v>0.62921715683970025</v>
      </c>
      <c r="AK22" s="13">
        <v>0.66737344356301898</v>
      </c>
      <c r="AL22" s="13">
        <v>0.70202065511302436</v>
      </c>
      <c r="AM22" s="13">
        <v>0.73203097920077598</v>
      </c>
      <c r="AN22" s="13">
        <v>0.75738631468949535</v>
      </c>
      <c r="AO22" s="13">
        <v>0.78162737831606643</v>
      </c>
      <c r="AP22" s="13">
        <v>0.80080821125909218</v>
      </c>
      <c r="AQ22" s="13">
        <v>0.82570191726696096</v>
      </c>
      <c r="AR22" s="13">
        <v>0.85533104992162179</v>
      </c>
      <c r="AS22" s="13">
        <v>0.88362777631930089</v>
      </c>
      <c r="AT22" s="13">
        <v>0.90039752084059821</v>
      </c>
      <c r="AU22" s="13">
        <v>0.91487911010779632</v>
      </c>
      <c r="AV22" s="13">
        <v>0.92991367393662183</v>
      </c>
      <c r="AW22" s="13">
        <v>0.94146000553534603</v>
      </c>
      <c r="AX22" s="13">
        <v>0.9510645213128146</v>
      </c>
      <c r="AY22" s="13">
        <v>0.96266849660598808</v>
      </c>
      <c r="AZ22" s="13">
        <v>0.98077758819080929</v>
      </c>
      <c r="BA22" s="13">
        <v>1</v>
      </c>
      <c r="BB22" s="13">
        <v>1.01923005671372</v>
      </c>
      <c r="BC22" s="13">
        <v>1.0388455202686711</v>
      </c>
      <c r="BD22" s="13">
        <v>1.0600143723835416</v>
      </c>
      <c r="BE22" s="13">
        <v>1.0819879667590098</v>
      </c>
      <c r="BF22" s="13">
        <v>1.1044170633072379</v>
      </c>
      <c r="BG22" s="13">
        <v>1.1273111043718793</v>
      </c>
      <c r="BH22" s="12">
        <v>1.1506797280318857</v>
      </c>
      <c r="BI22" s="12">
        <v>1.1745327721590062</v>
      </c>
      <c r="BJ22" s="12">
        <v>1.1988802785593984</v>
      </c>
      <c r="BK22" s="12">
        <v>1.223732497201091</v>
      </c>
      <c r="BL22" s="12">
        <v>1.2490998905290807</v>
      </c>
      <c r="BM22" s="12">
        <v>1.2749931378698787</v>
      </c>
      <c r="BN22" s="12">
        <v>1.301423139927361</v>
      </c>
      <c r="BO22" s="12">
        <v>1.3284010233718178</v>
      </c>
      <c r="BP22" s="12">
        <v>1.3559381455241268</v>
      </c>
      <c r="BQ22" s="12">
        <v>1.3840460991370342</v>
      </c>
      <c r="BR22" s="12">
        <v>1.4127367172755418</v>
      </c>
      <c r="BS22" s="12">
        <v>1.4420220782984685</v>
      </c>
      <c r="BT22" s="12">
        <v>1.4719145109432734</v>
      </c>
      <c r="BU22" s="12">
        <v>1.502426599516286</v>
      </c>
      <c r="BV22" s="12">
        <v>1.5335711891905284</v>
      </c>
      <c r="BW22" s="12">
        <v>1.5653613914133564</v>
      </c>
      <c r="BX22" s="12">
        <v>1.5978105894262016</v>
      </c>
      <c r="BY22" s="12">
        <v>1.6309324438987327</v>
      </c>
      <c r="BZ22" s="12">
        <v>1.6647408986798107</v>
      </c>
      <c r="CA22" s="12">
        <v>1.6992501866676593</v>
      </c>
      <c r="CB22" s="12">
        <v>1.7344748358017215</v>
      </c>
      <c r="CC22" s="12">
        <v>1.7704296751787234</v>
      </c>
      <c r="CD22" s="12">
        <v>1.807129841295521</v>
      </c>
      <c r="CE22" s="12">
        <v>1.84459078442136</v>
      </c>
      <c r="CF22" s="12">
        <v>1.8828282751022276</v>
      </c>
      <c r="CG22" s="12">
        <v>1.9218584108000376</v>
      </c>
      <c r="CH22" s="12">
        <v>1.9616976226694423</v>
      </c>
      <c r="CI22" s="12">
        <v>2.0023626824751237</v>
      </c>
      <c r="CJ22" s="12">
        <v>2.0438707096524782</v>
      </c>
      <c r="CK22" s="12">
        <v>2.0862391785146661</v>
      </c>
      <c r="CL22" s="12">
        <v>2.1294859256090573</v>
      </c>
      <c r="CM22" s="12">
        <v>2.1736291572261761</v>
      </c>
      <c r="CN22" s="12">
        <v>2.2186874570643003</v>
      </c>
      <c r="CO22" s="12">
        <v>2.2646797940529444</v>
      </c>
      <c r="CP22" s="12">
        <v>2.3116255303385205</v>
      </c>
      <c r="CQ22" s="12">
        <v>2.3595444294355379</v>
      </c>
      <c r="CR22" s="12">
        <f>Inflation_Raw[[#This Row],[2060]]/Inflation_Raw[[#This Row],[2059]]*Inflation_Raw[[#This Row],[2060]]</f>
        <v>2.4084566645467729</v>
      </c>
      <c r="CS22" s="12">
        <f>Inflation_Raw[[#This Row],[2061]]/Inflation_Raw[[#This Row],[2060]]*Inflation_Raw[[#This Row],[2061]]</f>
        <v>2.458382827055912</v>
      </c>
      <c r="CT22" s="12">
        <f>Inflation_Raw[[#This Row],[2062]]/Inflation_Raw[[#This Row],[2061]]*Inflation_Raw[[#This Row],[2062]]</f>
        <v>2.5093439351962434</v>
      </c>
      <c r="CU22" s="12">
        <f>Inflation_Raw[[#This Row],[2063]]/Inflation_Raw[[#This Row],[2062]]*Inflation_Raw[[#This Row],[2063]]</f>
        <v>2.561361442899047</v>
      </c>
      <c r="CV22" s="12">
        <f>Inflation_Raw[[#This Row],[2064]]/Inflation_Raw[[#This Row],[2063]]*Inflation_Raw[[#This Row],[2064]]</f>
        <v>2.6144572488254054</v>
      </c>
      <c r="CW22" s="12">
        <f>Inflation_Raw[[#This Row],[2065]]/Inflation_Raw[[#This Row],[2064]]*Inflation_Raw[[#This Row],[2065]]</f>
        <v>2.6686537055852435</v>
      </c>
      <c r="CX22" s="12">
        <f>Inflation_Raw[[#This Row],[2066]]/Inflation_Raw[[#This Row],[2065]]*Inflation_Raw[[#This Row],[2066]]</f>
        <v>2.723973629147471</v>
      </c>
      <c r="CY22" s="12">
        <f>Inflation_Raw[[#This Row],[2067]]/Inflation_Raw[[#This Row],[2066]]*Inflation_Raw[[#This Row],[2067]]</f>
        <v>2.7804403084451939</v>
      </c>
      <c r="CZ22" s="12">
        <f>Inflation_Raw[[#This Row],[2068]]/Inflation_Raw[[#This Row],[2067]]*Inflation_Raw[[#This Row],[2068]]</f>
        <v>2.8380775151800379</v>
      </c>
      <c r="DA22" s="12">
        <f>Inflation_Raw[[#This Row],[2069]]/Inflation_Raw[[#This Row],[2068]]*Inflation_Raw[[#This Row],[2069]]</f>
        <v>2.8969095138297112</v>
      </c>
      <c r="DB22" s="12">
        <f>Inflation_Raw[[#This Row],[2070]]/Inflation_Raw[[#This Row],[2069]]*Inflation_Raw[[#This Row],[2070]]</f>
        <v>2.956961071863017</v>
      </c>
      <c r="DC22" s="12">
        <f>Inflation_Raw[[#This Row],[2071]]/Inflation_Raw[[#This Row],[2070]]*Inflation_Raw[[#This Row],[2071]]</f>
        <v>3.0182574701666218</v>
      </c>
      <c r="DD22" s="12">
        <f>Inflation_Raw[[#This Row],[2072]]/Inflation_Raw[[#This Row],[2071]]*Inflation_Raw[[#This Row],[2072]]</f>
        <v>3.0808245136879626</v>
      </c>
      <c r="DE22" s="12">
        <f>Inflation_Raw[[#This Row],[2073]]/Inflation_Raw[[#This Row],[2072]]*Inflation_Raw[[#This Row],[2073]]</f>
        <v>3.1446885422987783</v>
      </c>
      <c r="DF22" s="12">
        <f>Inflation_Raw[[#This Row],[2074]]/Inflation_Raw[[#This Row],[2073]]*Inflation_Raw[[#This Row],[2074]]</f>
        <v>3.2098764418838353</v>
      </c>
      <c r="DG22" s="12">
        <f>Inflation_Raw[[#This Row],[2075]]/Inflation_Raw[[#This Row],[2074]]*Inflation_Raw[[#This Row],[2075]]</f>
        <v>3.2764156556595196</v>
      </c>
      <c r="DH22" s="12">
        <f>Inflation_Raw[[#This Row],[2076]]/Inflation_Raw[[#This Row],[2075]]*Inflation_Raw[[#This Row],[2076]]</f>
        <v>3.3443341957270558</v>
      </c>
      <c r="DI22" s="12">
        <f>Inflation_Raw[[#This Row],[2077]]/Inflation_Raw[[#This Row],[2076]]*Inflation_Raw[[#This Row],[2077]]</f>
        <v>3.4136606548652195</v>
      </c>
      <c r="DJ22" s="12">
        <f>Inflation_Raw[[#This Row],[2078]]/Inflation_Raw[[#This Row],[2077]]*Inflation_Raw[[#This Row],[2078]]</f>
        <v>3.4844242185675069</v>
      </c>
      <c r="DK22" s="12">
        <f>Inflation_Raw[[#This Row],[2079]]/Inflation_Raw[[#This Row],[2078]]*Inflation_Raw[[#This Row],[2079]]</f>
        <v>3.5566546773288308</v>
      </c>
      <c r="DL22" s="12">
        <f>Inflation_Raw[[#This Row],[2080]]/Inflation_Raw[[#This Row],[2079]]*Inflation_Raw[[#This Row],[2080]]</f>
        <v>3.6303824391869099</v>
      </c>
      <c r="DM22" s="12">
        <f>Inflation_Raw[[#This Row],[2081]]/Inflation_Raw[[#This Row],[2080]]*Inflation_Raw[[#This Row],[2081]]</f>
        <v>3.7056385425236407</v>
      </c>
      <c r="DN22" s="12">
        <f>Inflation_Raw[[#This Row],[2082]]/Inflation_Raw[[#This Row],[2081]]*Inflation_Raw[[#This Row],[2082]]</f>
        <v>3.7824546691318308</v>
      </c>
      <c r="DO22" s="12">
        <f>Inflation_Raw[[#This Row],[2083]]/Inflation_Raw[[#This Row],[2082]]*Inflation_Raw[[#This Row],[2083]]</f>
        <v>3.8608631575528025</v>
      </c>
      <c r="DP22" s="12">
        <f>Inflation_Raw[[#This Row],[2084]]/Inflation_Raw[[#This Row],[2083]]*Inflation_Raw[[#This Row],[2084]]</f>
        <v>3.9408970166904767</v>
      </c>
      <c r="DQ22" s="12">
        <f>Inflation_Raw[[#This Row],[2085]]/Inflation_Raw[[#This Row],[2084]]*Inflation_Raw[[#This Row],[2085]]</f>
        <v>4.0225899397076716</v>
      </c>
      <c r="DR22" s="12">
        <f>Inflation_Raw[[#This Row],[2086]]/Inflation_Raw[[#This Row],[2085]]*Inflation_Raw[[#This Row],[2086]]</f>
        <v>4.1059763182104652</v>
      </c>
      <c r="DS22" s="12">
        <f>Inflation_Raw[[#This Row],[2087]]/Inflation_Raw[[#This Row],[2086]]*Inflation_Raw[[#This Row],[2087]]</f>
        <v>4.1910912567265912</v>
      </c>
      <c r="DT22" s="12">
        <f>Inflation_Raw[[#This Row],[2088]]/Inflation_Raw[[#This Row],[2087]]*Inflation_Raw[[#This Row],[2088]]</f>
        <v>4.2779705874839662</v>
      </c>
      <c r="DU22" s="12">
        <f>Inflation_Raw[[#This Row],[2089]]/Inflation_Raw[[#This Row],[2088]]*Inflation_Raw[[#This Row],[2089]]</f>
        <v>4.3666508854955701</v>
      </c>
      <c r="DV22" s="12">
        <f>Inflation_Raw[[#This Row],[2090]]/Inflation_Raw[[#This Row],[2089]]*Inflation_Raw[[#This Row],[2090]]</f>
        <v>4.4571694839570259</v>
      </c>
      <c r="DW22" s="12">
        <f>Inflation_Raw[[#This Row],[2091]]/Inflation_Raw[[#This Row],[2090]]*Inflation_Raw[[#This Row],[2091]]</f>
        <v>4.5495644899633678</v>
      </c>
      <c r="DX22" s="12">
        <f>Inflation_Raw[[#This Row],[2092]]/Inflation_Raw[[#This Row],[2091]]*Inflation_Raw[[#This Row],[2092]]</f>
        <v>4.6438748005516066</v>
      </c>
      <c r="DY22" s="12">
        <f>Inflation_Raw[[#This Row],[2093]]/Inflation_Raw[[#This Row],[2092]]*Inflation_Raw[[#This Row],[2093]]</f>
        <v>4.7401401190758516</v>
      </c>
      <c r="DZ22" s="12">
        <f>Inflation_Raw[[#This Row],[2094]]/Inflation_Raw[[#This Row],[2093]]*Inflation_Raw[[#This Row],[2094]]</f>
        <v>4.8384009719218817</v>
      </c>
      <c r="EA22" s="12">
        <f>Inflation_Raw[[#This Row],[2095]]/Inflation_Raw[[#This Row],[2094]]*Inflation_Raw[[#This Row],[2095]]</f>
        <v>4.9386987255682007</v>
      </c>
      <c r="EB22" s="12">
        <f>Inflation_Raw[[#This Row],[2096]]/Inflation_Raw[[#This Row],[2095]]*Inflation_Raw[[#This Row],[2096]]</f>
        <v>5.0410756040007616</v>
      </c>
    </row>
    <row r="23" spans="2:132">
      <c r="B23" s="15" t="s">
        <v>32</v>
      </c>
      <c r="C23" s="15" t="s">
        <v>31</v>
      </c>
      <c r="D23" s="13">
        <v>0.1253625999298956</v>
      </c>
      <c r="E23" s="13">
        <v>0.13495886146640915</v>
      </c>
      <c r="F23" s="13">
        <v>0.15467224598112647</v>
      </c>
      <c r="G23" s="13">
        <v>0.17239972478268425</v>
      </c>
      <c r="H23" s="13">
        <v>0.18454291470985448</v>
      </c>
      <c r="I23" s="13">
        <v>0.19656907374668017</v>
      </c>
      <c r="J23" s="13">
        <v>0.20678814217520833</v>
      </c>
      <c r="K23" s="13">
        <v>0.21068703451103291</v>
      </c>
      <c r="L23" s="13">
        <v>0.21846938999141463</v>
      </c>
      <c r="M23" s="13">
        <v>0.23327726996306639</v>
      </c>
      <c r="N23" s="13">
        <v>0.24785165822972235</v>
      </c>
      <c r="O23" s="13">
        <v>0.26566339145760931</v>
      </c>
      <c r="P23" s="13">
        <v>0.31111006251819767</v>
      </c>
      <c r="Q23" s="13">
        <v>0.35087635919904575</v>
      </c>
      <c r="R23" s="13">
        <v>0.36539100566633059</v>
      </c>
      <c r="S23" s="13">
        <v>0.37679667477793077</v>
      </c>
      <c r="T23" s="13">
        <v>0.39152519440743577</v>
      </c>
      <c r="U23" s="13">
        <v>0.40312863099348589</v>
      </c>
      <c r="V23" s="13">
        <v>0.41253360171137582</v>
      </c>
      <c r="W23" s="13">
        <v>0.42208056737803629</v>
      </c>
      <c r="X23" s="13">
        <v>0.43745267574167951</v>
      </c>
      <c r="Y23" s="13">
        <v>0.45385874819327526</v>
      </c>
      <c r="Z23" s="13">
        <v>0.47207903635667248</v>
      </c>
      <c r="AA23" s="13">
        <v>0.49112437578889734</v>
      </c>
      <c r="AB23" s="13">
        <v>0.50923784605876865</v>
      </c>
      <c r="AC23" s="13">
        <v>0.52192670879463943</v>
      </c>
      <c r="AD23" s="13">
        <v>0.53461568655351299</v>
      </c>
      <c r="AE23" s="13">
        <v>0.54745202303393758</v>
      </c>
      <c r="AF23" s="13">
        <v>0.56240542868969934</v>
      </c>
      <c r="AG23" s="13">
        <v>0.57700957917811335</v>
      </c>
      <c r="AH23" s="13">
        <v>0.59472561968953486</v>
      </c>
      <c r="AI23" s="13">
        <v>0.61905840321146977</v>
      </c>
      <c r="AJ23" s="13">
        <v>0.64179740326095491</v>
      </c>
      <c r="AK23" s="13">
        <v>0.67624367743175207</v>
      </c>
      <c r="AL23" s="13">
        <v>0.70609934185466572</v>
      </c>
      <c r="AM23" s="13">
        <v>0.73336963540709488</v>
      </c>
      <c r="AN23" s="13">
        <v>0.75886925054313936</v>
      </c>
      <c r="AO23" s="13">
        <v>0.78308122018824311</v>
      </c>
      <c r="AP23" s="13">
        <v>0.80225911264324468</v>
      </c>
      <c r="AQ23" s="13">
        <v>0.82721046881248073</v>
      </c>
      <c r="AR23" s="13">
        <v>0.85663874609405088</v>
      </c>
      <c r="AS23" s="13">
        <v>0.88307057047020265</v>
      </c>
      <c r="AT23" s="13">
        <v>0.90005329351954722</v>
      </c>
      <c r="AU23" s="13">
        <v>0.91469219627776099</v>
      </c>
      <c r="AV23" s="13">
        <v>0.92950533128318558</v>
      </c>
      <c r="AW23" s="13">
        <v>0.94142090627019981</v>
      </c>
      <c r="AX23" s="13">
        <v>0.95116412503040304</v>
      </c>
      <c r="AY23" s="13">
        <v>0.9627387106945795</v>
      </c>
      <c r="AZ23" s="13">
        <v>0.9807179327913349</v>
      </c>
      <c r="BA23" s="13">
        <v>1</v>
      </c>
      <c r="BB23" s="13">
        <v>1.0193371217552172</v>
      </c>
      <c r="BC23" s="13">
        <v>1.0390501737188569</v>
      </c>
      <c r="BD23" s="13">
        <v>1.0601790647859743</v>
      </c>
      <c r="BE23" s="13">
        <v>1.0820820647549236</v>
      </c>
      <c r="BF23" s="13">
        <v>1.1044375745154495</v>
      </c>
      <c r="BG23" s="13">
        <v>1.1272549427920073</v>
      </c>
      <c r="BH23" s="12">
        <v>1.1505437114510602</v>
      </c>
      <c r="BI23" s="12">
        <v>1.1743136194913353</v>
      </c>
      <c r="BJ23" s="12">
        <v>1.1985746071165231</v>
      </c>
      <c r="BK23" s="12">
        <v>1.2233368198921135</v>
      </c>
      <c r="BL23" s="12">
        <v>1.2486106129881136</v>
      </c>
      <c r="BM23" s="12">
        <v>1.2744065555094173</v>
      </c>
      <c r="BN23" s="12">
        <v>1.3007354349156397</v>
      </c>
      <c r="BO23" s="12">
        <v>1.3276082615322644</v>
      </c>
      <c r="BP23" s="12">
        <v>1.3550362731549881</v>
      </c>
      <c r="BQ23" s="12">
        <v>1.3830309397491929</v>
      </c>
      <c r="BR23" s="12">
        <v>1.4116039682465042</v>
      </c>
      <c r="BS23" s="12">
        <v>1.4407673074404483</v>
      </c>
      <c r="BT23" s="12">
        <v>1.4705331529832502</v>
      </c>
      <c r="BU23" s="12">
        <v>1.5009139524858639</v>
      </c>
      <c r="BV23" s="12">
        <v>1.5319224107233695</v>
      </c>
      <c r="BW23" s="12">
        <v>1.5635714949479109</v>
      </c>
      <c r="BX23" s="12">
        <v>1.5958744403113982</v>
      </c>
      <c r="BY23" s="12">
        <v>1.6288447554002405</v>
      </c>
      <c r="BZ23" s="12">
        <v>1.662496227884426</v>
      </c>
      <c r="CA23" s="12">
        <v>1.6968429302833099</v>
      </c>
      <c r="CB23" s="12">
        <v>1.7318992258505217</v>
      </c>
      <c r="CC23" s="12">
        <v>1.7676797745804529</v>
      </c>
      <c r="CD23" s="12">
        <v>1.8041995393388377</v>
      </c>
      <c r="CE23" s="12">
        <v>1.8414737921199891</v>
      </c>
      <c r="CF23" s="12">
        <v>1.8795181204333082</v>
      </c>
      <c r="CG23" s="12">
        <v>1.9183484338217367</v>
      </c>
      <c r="CH23" s="12">
        <v>1.9579809705148792</v>
      </c>
      <c r="CI23" s="12">
        <v>1.998432304219576</v>
      </c>
      <c r="CJ23" s="12">
        <v>2.0397193510507687</v>
      </c>
      <c r="CK23" s="12">
        <v>2.0818593766055553</v>
      </c>
      <c r="CL23" s="12">
        <v>2.1248700031833905</v>
      </c>
      <c r="CM23" s="12">
        <v>2.1687692171554591</v>
      </c>
      <c r="CN23" s="12">
        <v>2.2135753764862929</v>
      </c>
      <c r="CO23" s="12">
        <v>2.259307218410783</v>
      </c>
      <c r="CP23" s="12">
        <v>2.3059838672698025</v>
      </c>
      <c r="CQ23" s="12">
        <v>2.3536248425077022</v>
      </c>
      <c r="CR23" s="12">
        <f>Inflation_Raw[[#This Row],[2060]]/Inflation_Raw[[#This Row],[2059]]*Inflation_Raw[[#This Row],[2060]]</f>
        <v>2.4022500668350397</v>
      </c>
      <c r="CS23" s="12">
        <f>Inflation_Raw[[#This Row],[2061]]/Inflation_Raw[[#This Row],[2060]]*Inflation_Raw[[#This Row],[2061]]</f>
        <v>2.4518798745599439</v>
      </c>
      <c r="CT23" s="12">
        <f>Inflation_Raw[[#This Row],[2062]]/Inflation_Raw[[#This Row],[2061]]*Inflation_Raw[[#This Row],[2062]]</f>
        <v>2.5025350200916052</v>
      </c>
      <c r="CU23" s="12">
        <f>Inflation_Raw[[#This Row],[2063]]/Inflation_Raw[[#This Row],[2062]]*Inflation_Raw[[#This Row],[2063]]</f>
        <v>2.5542366866194448</v>
      </c>
      <c r="CV23" s="12">
        <f>Inflation_Raw[[#This Row],[2064]]/Inflation_Raw[[#This Row],[2063]]*Inflation_Raw[[#This Row],[2064]]</f>
        <v>2.6070064949715923</v>
      </c>
      <c r="CW23" s="12">
        <f>Inflation_Raw[[#This Row],[2065]]/Inflation_Raw[[#This Row],[2064]]*Inflation_Raw[[#This Row],[2065]]</f>
        <v>2.6608665126563795</v>
      </c>
      <c r="CX23" s="12">
        <f>Inflation_Raw[[#This Row],[2066]]/Inflation_Raw[[#This Row],[2065]]*Inflation_Raw[[#This Row],[2066]]</f>
        <v>2.7158392630906252</v>
      </c>
      <c r="CY23" s="12">
        <f>Inflation_Raw[[#This Row],[2067]]/Inflation_Raw[[#This Row],[2066]]*Inflation_Raw[[#This Row],[2067]]</f>
        <v>2.7719477350185766</v>
      </c>
      <c r="CZ23" s="12">
        <f>Inflation_Raw[[#This Row],[2068]]/Inflation_Raw[[#This Row],[2067]]*Inflation_Raw[[#This Row],[2068]]</f>
        <v>2.8292153921254428</v>
      </c>
      <c r="DA23" s="12">
        <f>Inflation_Raw[[#This Row],[2069]]/Inflation_Raw[[#This Row],[2068]]*Inflation_Raw[[#This Row],[2069]]</f>
        <v>2.8876661828495407</v>
      </c>
      <c r="DB23" s="12">
        <f>Inflation_Raw[[#This Row],[2070]]/Inflation_Raw[[#This Row],[2069]]*Inflation_Raw[[#This Row],[2070]]</f>
        <v>2.9473245503971568</v>
      </c>
      <c r="DC23" s="12">
        <f>Inflation_Raw[[#This Row],[2071]]/Inflation_Raw[[#This Row],[2070]]*Inflation_Raw[[#This Row],[2071]]</f>
        <v>3.0082154429643149</v>
      </c>
      <c r="DD23" s="12">
        <f>Inflation_Raw[[#This Row],[2072]]/Inflation_Raw[[#This Row],[2071]]*Inflation_Raw[[#This Row],[2072]]</f>
        <v>3.0703643241697196</v>
      </c>
      <c r="DE23" s="12">
        <f>Inflation_Raw[[#This Row],[2073]]/Inflation_Raw[[#This Row],[2072]]*Inflation_Raw[[#This Row],[2073]]</f>
        <v>3.1337971837032446</v>
      </c>
      <c r="DF23" s="12">
        <f>Inflation_Raw[[#This Row],[2074]]/Inflation_Raw[[#This Row],[2073]]*Inflation_Raw[[#This Row],[2074]]</f>
        <v>3.1985405481944142</v>
      </c>
      <c r="DG23" s="12">
        <f>Inflation_Raw[[#This Row],[2075]]/Inflation_Raw[[#This Row],[2074]]*Inflation_Raw[[#This Row],[2075]]</f>
        <v>3.2646214923054249</v>
      </c>
      <c r="DH23" s="12">
        <f>Inflation_Raw[[#This Row],[2076]]/Inflation_Raw[[#This Row],[2075]]*Inflation_Raw[[#This Row],[2076]]</f>
        <v>3.3320676500533448</v>
      </c>
      <c r="DI23" s="12">
        <f>Inflation_Raw[[#This Row],[2077]]/Inflation_Raw[[#This Row],[2076]]*Inflation_Raw[[#This Row],[2077]]</f>
        <v>3.4009072263662286</v>
      </c>
      <c r="DJ23" s="12">
        <f>Inflation_Raw[[#This Row],[2078]]/Inflation_Raw[[#This Row],[2077]]*Inflation_Raw[[#This Row],[2078]]</f>
        <v>3.4711690088779754</v>
      </c>
      <c r="DK23" s="12">
        <f>Inflation_Raw[[#This Row],[2079]]/Inflation_Raw[[#This Row],[2078]]*Inflation_Raw[[#This Row],[2079]]</f>
        <v>3.5428823799668687</v>
      </c>
      <c r="DL23" s="12">
        <f>Inflation_Raw[[#This Row],[2080]]/Inflation_Raw[[#This Row],[2079]]*Inflation_Raw[[#This Row],[2080]]</f>
        <v>3.6160773290428261</v>
      </c>
      <c r="DM23" s="12">
        <f>Inflation_Raw[[#This Row],[2081]]/Inflation_Raw[[#This Row],[2080]]*Inflation_Raw[[#This Row],[2081]]</f>
        <v>3.6907844650885022</v>
      </c>
      <c r="DN23" s="12">
        <f>Inflation_Raw[[#This Row],[2082]]/Inflation_Raw[[#This Row],[2081]]*Inflation_Raw[[#This Row],[2082]]</f>
        <v>3.7670350294594859</v>
      </c>
      <c r="DO23" s="12">
        <f>Inflation_Raw[[#This Row],[2083]]/Inflation_Raw[[#This Row],[2082]]*Inflation_Raw[[#This Row],[2083]]</f>
        <v>3.8448609089489465</v>
      </c>
      <c r="DP23" s="12">
        <f>Inflation_Raw[[#This Row],[2084]]/Inflation_Raw[[#This Row],[2083]]*Inflation_Raw[[#This Row],[2084]]</f>
        <v>3.9242946491221922</v>
      </c>
      <c r="DQ23" s="12">
        <f>Inflation_Raw[[#This Row],[2085]]/Inflation_Raw[[#This Row],[2084]]*Inflation_Raw[[#This Row],[2085]]</f>
        <v>4.0053694679267151</v>
      </c>
      <c r="DR23" s="12">
        <f>Inflation_Raw[[#This Row],[2086]]/Inflation_Raw[[#This Row],[2085]]*Inflation_Raw[[#This Row],[2086]]</f>
        <v>4.0881192695834194</v>
      </c>
      <c r="DS23" s="12">
        <f>Inflation_Raw[[#This Row],[2087]]/Inflation_Raw[[#This Row],[2086]]*Inflation_Raw[[#This Row],[2087]]</f>
        <v>4.1725786587648344</v>
      </c>
      <c r="DT23" s="12">
        <f>Inflation_Raw[[#This Row],[2088]]/Inflation_Raw[[#This Row],[2087]]*Inflation_Raw[[#This Row],[2088]]</f>
        <v>4.2587829550662475</v>
      </c>
      <c r="DU23" s="12">
        <f>Inflation_Raw[[#This Row],[2089]]/Inflation_Raw[[#This Row],[2088]]*Inflation_Raw[[#This Row],[2089]]</f>
        <v>4.3467682077758072</v>
      </c>
      <c r="DV23" s="12">
        <f>Inflation_Raw[[#This Row],[2090]]/Inflation_Raw[[#This Row],[2089]]*Inflation_Raw[[#This Row],[2090]]</f>
        <v>4.4365712109497695</v>
      </c>
      <c r="DW23" s="12">
        <f>Inflation_Raw[[#This Row],[2091]]/Inflation_Raw[[#This Row],[2090]]*Inflation_Raw[[#This Row],[2091]]</f>
        <v>4.5282295187992005</v>
      </c>
      <c r="DX23" s="12">
        <f>Inflation_Raw[[#This Row],[2092]]/Inflation_Raw[[#This Row],[2091]]*Inflation_Raw[[#This Row],[2092]]</f>
        <v>4.6217814613945558</v>
      </c>
      <c r="DY23" s="12">
        <f>Inflation_Raw[[#This Row],[2093]]/Inflation_Raw[[#This Row],[2092]]*Inflation_Raw[[#This Row],[2093]]</f>
        <v>4.7172661606947175</v>
      </c>
      <c r="DZ23" s="12">
        <f>Inflation_Raw[[#This Row],[2094]]/Inflation_Raw[[#This Row],[2093]]*Inflation_Raw[[#This Row],[2094]]</f>
        <v>4.8147235469071878</v>
      </c>
      <c r="EA23" s="12">
        <f>Inflation_Raw[[#This Row],[2095]]/Inflation_Raw[[#This Row],[2094]]*Inflation_Raw[[#This Row],[2095]]</f>
        <v>4.9141943751862742</v>
      </c>
      <c r="EB23" s="12">
        <f>Inflation_Raw[[#This Row],[2096]]/Inflation_Raw[[#This Row],[2095]]*Inflation_Raw[[#This Row],[2096]]</f>
        <v>5.0157202426762586</v>
      </c>
    </row>
    <row r="24" spans="2:132">
      <c r="B24" s="15" t="s">
        <v>30</v>
      </c>
      <c r="C24" s="15" t="s">
        <v>29</v>
      </c>
      <c r="D24" s="22">
        <v>0.12187974510663295</v>
      </c>
      <c r="E24" s="22">
        <v>0.13284892216622993</v>
      </c>
      <c r="F24" s="22">
        <v>0.1425601783765813</v>
      </c>
      <c r="G24" s="22">
        <v>0.15295281538023406</v>
      </c>
      <c r="H24" s="22">
        <v>0.17664520648263235</v>
      </c>
      <c r="I24" s="22">
        <v>0.20543837513930144</v>
      </c>
      <c r="J24" s="22">
        <v>0.23771274387368568</v>
      </c>
      <c r="K24" s="22">
        <v>0.24272848276942041</v>
      </c>
      <c r="L24" s="22">
        <v>0.25697664470798537</v>
      </c>
      <c r="M24" s="22">
        <v>0.27856268286345615</v>
      </c>
      <c r="N24" s="22">
        <v>0.30586182578407489</v>
      </c>
      <c r="O24" s="22">
        <v>0.34195352122659578</v>
      </c>
      <c r="P24" s="22">
        <v>0.38162012968888098</v>
      </c>
      <c r="Q24" s="22">
        <v>0.43619180823439097</v>
      </c>
      <c r="R24" s="22">
        <v>0.47544907097548617</v>
      </c>
      <c r="S24" s="22">
        <v>0.48971254310475076</v>
      </c>
      <c r="T24" s="22">
        <v>0.50636276957031234</v>
      </c>
      <c r="U24" s="22">
        <v>0.52054092711828104</v>
      </c>
      <c r="V24" s="22">
        <v>0.53459553215047462</v>
      </c>
      <c r="W24" s="22">
        <v>0.55063339811498879</v>
      </c>
      <c r="X24" s="22">
        <v>0.57376000083581835</v>
      </c>
      <c r="Y24" s="22">
        <v>0.5967104008692512</v>
      </c>
      <c r="Z24" s="22">
        <v>0.62236894810662891</v>
      </c>
      <c r="AA24" s="22">
        <v>0.63979527865361452</v>
      </c>
      <c r="AB24" s="22">
        <v>0.65706975117726207</v>
      </c>
      <c r="AC24" s="22">
        <v>0.67021114620080746</v>
      </c>
      <c r="AD24" s="22">
        <v>0.68294515797862276</v>
      </c>
      <c r="AE24" s="22">
        <v>0.69660406113819517</v>
      </c>
      <c r="AF24" s="22">
        <v>0.70914293423868269</v>
      </c>
      <c r="AG24" s="22">
        <v>0.71410693477835341</v>
      </c>
      <c r="AH24" s="22">
        <v>0.71981979025658027</v>
      </c>
      <c r="AI24" s="22">
        <v>0.72989726732017246</v>
      </c>
      <c r="AJ24" s="22">
        <v>0.74303541813193552</v>
      </c>
      <c r="AK24" s="22">
        <v>0.74897970147699111</v>
      </c>
      <c r="AL24" s="22">
        <v>0.75646949849176093</v>
      </c>
      <c r="AM24" s="22">
        <v>0.7715988884615963</v>
      </c>
      <c r="AN24" s="22">
        <v>0.79320365733852094</v>
      </c>
      <c r="AO24" s="22">
        <v>0.81779297071601509</v>
      </c>
      <c r="AP24" s="22">
        <v>0.83987338092534736</v>
      </c>
      <c r="AQ24" s="22">
        <v>0.86003034206755569</v>
      </c>
      <c r="AR24" s="22">
        <v>0.87293079719856903</v>
      </c>
      <c r="AS24" s="22">
        <v>0.87991424357615755</v>
      </c>
      <c r="AT24" s="22">
        <v>0.89751252844768081</v>
      </c>
      <c r="AU24" s="22">
        <v>0.91366775395973898</v>
      </c>
      <c r="AV24" s="22">
        <v>0.927372770269135</v>
      </c>
      <c r="AW24" s="22">
        <v>0.94128336182317196</v>
      </c>
      <c r="AX24" s="22">
        <v>0.95163747880322669</v>
      </c>
      <c r="AY24" s="22">
        <v>0.96305712854886549</v>
      </c>
      <c r="AZ24" s="22">
        <v>0.98039215686274506</v>
      </c>
      <c r="BA24" s="22">
        <v>1</v>
      </c>
      <c r="BB24" s="22">
        <v>1.0199999999999998</v>
      </c>
      <c r="BC24" s="22">
        <v>1.0404</v>
      </c>
      <c r="BD24" s="22">
        <v>1.0612079999999999</v>
      </c>
      <c r="BE24" s="22">
        <v>1.08243216</v>
      </c>
      <c r="BF24" s="22">
        <v>1.1040808032</v>
      </c>
      <c r="BG24" s="22">
        <v>1.1261624192640001</v>
      </c>
      <c r="BH24" s="22">
        <v>1.14868566764928</v>
      </c>
      <c r="BI24" s="22">
        <v>1.1716593810022657</v>
      </c>
      <c r="BJ24" s="22">
        <v>1.1950925686223111</v>
      </c>
      <c r="BK24" s="22">
        <v>1.2189944199947573</v>
      </c>
      <c r="BL24" s="22">
        <v>1.2433743083946525</v>
      </c>
      <c r="BM24" s="22">
        <v>1.2682417945625455</v>
      </c>
      <c r="BN24" s="22">
        <v>1.2936066304537963</v>
      </c>
      <c r="BO24" s="22">
        <v>1.3194787630628724</v>
      </c>
      <c r="BP24" s="22">
        <v>1.3458683383241299</v>
      </c>
      <c r="BQ24" s="22">
        <v>1.3727857050906125</v>
      </c>
      <c r="BR24" s="22">
        <v>1.4002414191924248</v>
      </c>
      <c r="BS24" s="22">
        <v>1.4282462475762734</v>
      </c>
      <c r="BT24" s="22">
        <v>1.4568111725277988</v>
      </c>
      <c r="BU24" s="22">
        <v>1.4859473959783549</v>
      </c>
      <c r="BV24" s="22">
        <v>1.5156663438979221</v>
      </c>
      <c r="BW24" s="22">
        <v>1.5459796707758806</v>
      </c>
      <c r="BX24" s="22">
        <v>1.5768992641913981</v>
      </c>
      <c r="BY24" s="22">
        <v>1.6084372494752261</v>
      </c>
      <c r="BZ24" s="22">
        <v>1.6406059944647307</v>
      </c>
      <c r="CA24" s="22">
        <v>1.6734181143540252</v>
      </c>
      <c r="CB24" s="22">
        <v>1.7068864766411058</v>
      </c>
      <c r="CC24" s="22">
        <v>1.7410242061739281</v>
      </c>
      <c r="CD24" s="22">
        <v>1.7758446902974065</v>
      </c>
      <c r="CE24" s="22">
        <v>1.8113615841033548</v>
      </c>
      <c r="CF24" s="22">
        <v>1.8475888157854219</v>
      </c>
      <c r="CG24" s="22">
        <v>1.8845405921011305</v>
      </c>
      <c r="CH24" s="22">
        <v>1.9222314039431532</v>
      </c>
      <c r="CI24" s="22">
        <v>1.9606760320220162</v>
      </c>
      <c r="CJ24" s="22">
        <v>1.9998895526624563</v>
      </c>
      <c r="CK24" s="22">
        <v>2.0398873437157055</v>
      </c>
      <c r="CL24" s="22">
        <v>2.0806850905900198</v>
      </c>
      <c r="CM24" s="22">
        <v>2.1222987924018204</v>
      </c>
      <c r="CN24" s="22">
        <v>2.1647447682498568</v>
      </c>
      <c r="CO24" s="22">
        <v>2.208039663614854</v>
      </c>
      <c r="CP24" s="22">
        <v>2.252200456887151</v>
      </c>
      <c r="CQ24" s="22">
        <v>2.2972444660248938</v>
      </c>
      <c r="CR24" s="12">
        <f>Inflation_Raw[[#This Row],[2060]]/Inflation_Raw[[#This Row],[2059]]*Inflation_Raw[[#This Row],[2060]]</f>
        <v>2.343189355345392</v>
      </c>
      <c r="CS24" s="12">
        <f>Inflation_Raw[[#This Row],[2061]]/Inflation_Raw[[#This Row],[2060]]*Inflation_Raw[[#This Row],[2061]]</f>
        <v>2.3900531424522997</v>
      </c>
      <c r="CT24" s="12">
        <f>Inflation_Raw[[#This Row],[2062]]/Inflation_Raw[[#This Row],[2061]]*Inflation_Raw[[#This Row],[2062]]</f>
        <v>2.4378542053013459</v>
      </c>
      <c r="CU24" s="12">
        <f>Inflation_Raw[[#This Row],[2063]]/Inflation_Raw[[#This Row],[2062]]*Inflation_Raw[[#This Row],[2063]]</f>
        <v>2.4866112894073726</v>
      </c>
      <c r="CV24" s="12">
        <f>Inflation_Raw[[#This Row],[2064]]/Inflation_Raw[[#This Row],[2063]]*Inflation_Raw[[#This Row],[2064]]</f>
        <v>2.53634351519552</v>
      </c>
      <c r="CW24" s="12">
        <f>Inflation_Raw[[#This Row],[2065]]/Inflation_Raw[[#This Row],[2064]]*Inflation_Raw[[#This Row],[2065]]</f>
        <v>2.5870703854994304</v>
      </c>
      <c r="CX24" s="12">
        <f>Inflation_Raw[[#This Row],[2066]]/Inflation_Raw[[#This Row],[2065]]*Inflation_Raw[[#This Row],[2066]]</f>
        <v>2.6388117932094191</v>
      </c>
      <c r="CY24" s="12">
        <f>Inflation_Raw[[#This Row],[2067]]/Inflation_Raw[[#This Row],[2066]]*Inflation_Raw[[#This Row],[2067]]</f>
        <v>2.6915880290736074</v>
      </c>
      <c r="CZ24" s="12">
        <f>Inflation_Raw[[#This Row],[2068]]/Inflation_Raw[[#This Row],[2067]]*Inflation_Raw[[#This Row],[2068]]</f>
        <v>2.7454197896550796</v>
      </c>
      <c r="DA24" s="12">
        <f>Inflation_Raw[[#This Row],[2069]]/Inflation_Raw[[#This Row],[2068]]*Inflation_Raw[[#This Row],[2069]]</f>
        <v>2.8003281854481812</v>
      </c>
      <c r="DB24" s="12">
        <f>Inflation_Raw[[#This Row],[2070]]/Inflation_Raw[[#This Row],[2069]]*Inflation_Raw[[#This Row],[2070]]</f>
        <v>2.8563347491571447</v>
      </c>
      <c r="DC24" s="12">
        <f>Inflation_Raw[[#This Row],[2071]]/Inflation_Raw[[#This Row],[2070]]*Inflation_Raw[[#This Row],[2071]]</f>
        <v>2.9134614441402875</v>
      </c>
      <c r="DD24" s="12">
        <f>Inflation_Raw[[#This Row],[2072]]/Inflation_Raw[[#This Row],[2071]]*Inflation_Raw[[#This Row],[2072]]</f>
        <v>2.9717306730230932</v>
      </c>
      <c r="DE24" s="12">
        <f>Inflation_Raw[[#This Row],[2073]]/Inflation_Raw[[#This Row],[2072]]*Inflation_Raw[[#This Row],[2073]]</f>
        <v>3.0311652864835552</v>
      </c>
      <c r="DF24" s="12">
        <f>Inflation_Raw[[#This Row],[2074]]/Inflation_Raw[[#This Row],[2073]]*Inflation_Raw[[#This Row],[2074]]</f>
        <v>3.0917885922132262</v>
      </c>
      <c r="DG24" s="12">
        <f>Inflation_Raw[[#This Row],[2075]]/Inflation_Raw[[#This Row],[2074]]*Inflation_Raw[[#This Row],[2075]]</f>
        <v>3.1536243640574906</v>
      </c>
      <c r="DH24" s="12">
        <f>Inflation_Raw[[#This Row],[2076]]/Inflation_Raw[[#This Row],[2075]]*Inflation_Raw[[#This Row],[2076]]</f>
        <v>3.2166968513386403</v>
      </c>
      <c r="DI24" s="12">
        <f>Inflation_Raw[[#This Row],[2077]]/Inflation_Raw[[#This Row],[2076]]*Inflation_Raw[[#This Row],[2077]]</f>
        <v>3.2810307883654133</v>
      </c>
      <c r="DJ24" s="12">
        <f>Inflation_Raw[[#This Row],[2078]]/Inflation_Raw[[#This Row],[2077]]*Inflation_Raw[[#This Row],[2078]]</f>
        <v>3.3466514041327216</v>
      </c>
      <c r="DK24" s="12">
        <f>Inflation_Raw[[#This Row],[2079]]/Inflation_Raw[[#This Row],[2078]]*Inflation_Raw[[#This Row],[2079]]</f>
        <v>3.4135844322153761</v>
      </c>
      <c r="DL24" s="12">
        <f>Inflation_Raw[[#This Row],[2080]]/Inflation_Raw[[#This Row],[2079]]*Inflation_Raw[[#This Row],[2080]]</f>
        <v>3.4818561208596837</v>
      </c>
      <c r="DM24" s="12">
        <f>Inflation_Raw[[#This Row],[2081]]/Inflation_Raw[[#This Row],[2080]]*Inflation_Raw[[#This Row],[2081]]</f>
        <v>3.5514932432768775</v>
      </c>
      <c r="DN24" s="12">
        <f>Inflation_Raw[[#This Row],[2082]]/Inflation_Raw[[#This Row],[2081]]*Inflation_Raw[[#This Row],[2082]]</f>
        <v>3.6225231081424152</v>
      </c>
      <c r="DO24" s="12">
        <f>Inflation_Raw[[#This Row],[2083]]/Inflation_Raw[[#This Row],[2082]]*Inflation_Raw[[#This Row],[2083]]</f>
        <v>3.6949735703052635</v>
      </c>
      <c r="DP24" s="12">
        <f>Inflation_Raw[[#This Row],[2084]]/Inflation_Raw[[#This Row],[2083]]*Inflation_Raw[[#This Row],[2084]]</f>
        <v>3.7688730417113687</v>
      </c>
      <c r="DQ24" s="12">
        <f>Inflation_Raw[[#This Row],[2085]]/Inflation_Raw[[#This Row],[2084]]*Inflation_Raw[[#This Row],[2085]]</f>
        <v>3.844250502545596</v>
      </c>
      <c r="DR24" s="12">
        <f>Inflation_Raw[[#This Row],[2086]]/Inflation_Raw[[#This Row],[2085]]*Inflation_Raw[[#This Row],[2086]]</f>
        <v>3.9211355125965079</v>
      </c>
      <c r="DS24" s="12">
        <f>Inflation_Raw[[#This Row],[2087]]/Inflation_Raw[[#This Row],[2086]]*Inflation_Raw[[#This Row],[2087]]</f>
        <v>3.9995582228484383</v>
      </c>
      <c r="DT24" s="12">
        <f>Inflation_Raw[[#This Row],[2088]]/Inflation_Raw[[#This Row],[2087]]*Inflation_Raw[[#This Row],[2088]]</f>
        <v>4.0795493873054074</v>
      </c>
      <c r="DU24" s="12">
        <f>Inflation_Raw[[#This Row],[2089]]/Inflation_Raw[[#This Row],[2088]]*Inflation_Raw[[#This Row],[2089]]</f>
        <v>4.1611403750515157</v>
      </c>
      <c r="DV24" s="12">
        <f>Inflation_Raw[[#This Row],[2090]]/Inflation_Raw[[#This Row],[2089]]*Inflation_Raw[[#This Row],[2090]]</f>
        <v>4.2443631825525463</v>
      </c>
      <c r="DW24" s="12">
        <f>Inflation_Raw[[#This Row],[2091]]/Inflation_Raw[[#This Row],[2090]]*Inflation_Raw[[#This Row],[2091]]</f>
        <v>4.3292504462035977</v>
      </c>
      <c r="DX24" s="12">
        <f>Inflation_Raw[[#This Row],[2092]]/Inflation_Raw[[#This Row],[2091]]*Inflation_Raw[[#This Row],[2092]]</f>
        <v>4.4158354551276693</v>
      </c>
      <c r="DY24" s="12">
        <f>Inflation_Raw[[#This Row],[2093]]/Inflation_Raw[[#This Row],[2092]]*Inflation_Raw[[#This Row],[2093]]</f>
        <v>4.5041521642302227</v>
      </c>
      <c r="DZ24" s="12">
        <f>Inflation_Raw[[#This Row],[2094]]/Inflation_Raw[[#This Row],[2093]]*Inflation_Raw[[#This Row],[2094]]</f>
        <v>4.5942352075148269</v>
      </c>
      <c r="EA24" s="12">
        <f>Inflation_Raw[[#This Row],[2095]]/Inflation_Raw[[#This Row],[2094]]*Inflation_Raw[[#This Row],[2095]]</f>
        <v>4.6861199116651235</v>
      </c>
      <c r="EB24" s="12">
        <f>Inflation_Raw[[#This Row],[2096]]/Inflation_Raw[[#This Row],[2095]]*Inflation_Raw[[#This Row],[2096]]</f>
        <v>4.7798423098984264</v>
      </c>
    </row>
    <row r="25" spans="2:132">
      <c r="B25" s="15" t="s">
        <v>28</v>
      </c>
      <c r="C25" s="14" t="s">
        <v>27</v>
      </c>
      <c r="D25" s="13">
        <v>0.16852203780288577</v>
      </c>
      <c r="E25" s="13">
        <v>0.17618979052291711</v>
      </c>
      <c r="F25" s="13">
        <v>0.18293785949994482</v>
      </c>
      <c r="G25" s="13">
        <v>0.19054807445514252</v>
      </c>
      <c r="H25" s="13">
        <v>0.20154269835120422</v>
      </c>
      <c r="I25" s="13">
        <v>0.21929861007594537</v>
      </c>
      <c r="J25" s="13">
        <v>0.23375038847995019</v>
      </c>
      <c r="K25" s="13">
        <v>0.24207190230983641</v>
      </c>
      <c r="L25" s="13">
        <v>0.25122222021714824</v>
      </c>
      <c r="M25" s="13">
        <v>0.26830533119191435</v>
      </c>
      <c r="N25" s="13">
        <v>0.29170155607184928</v>
      </c>
      <c r="O25" s="13">
        <v>0.32612233968832749</v>
      </c>
      <c r="P25" s="13">
        <v>0.36395253109217351</v>
      </c>
      <c r="Q25" s="13">
        <v>0.41599774303835435</v>
      </c>
      <c r="R25" s="13">
        <v>0.4534375399118063</v>
      </c>
      <c r="S25" s="13">
        <v>0.48971254310475082</v>
      </c>
      <c r="T25" s="13">
        <v>0.50636276957031234</v>
      </c>
      <c r="U25" s="13">
        <v>0.52054092711828115</v>
      </c>
      <c r="V25" s="13">
        <v>0.53459553215047473</v>
      </c>
      <c r="W25" s="13">
        <v>0.5506333981149889</v>
      </c>
      <c r="X25" s="13">
        <v>0.57376000083581835</v>
      </c>
      <c r="Y25" s="13">
        <v>0.5967104008692512</v>
      </c>
      <c r="Z25" s="13">
        <v>0.62236894810662902</v>
      </c>
      <c r="AA25" s="13">
        <v>0.63979527865361463</v>
      </c>
      <c r="AB25" s="13">
        <v>0.65706975117726207</v>
      </c>
      <c r="AC25" s="13">
        <v>0.67021114620080746</v>
      </c>
      <c r="AD25" s="13">
        <v>0.68294515797862276</v>
      </c>
      <c r="AE25" s="13">
        <v>0.69660406113819506</v>
      </c>
      <c r="AF25" s="13">
        <v>0.70914293423868269</v>
      </c>
      <c r="AG25" s="13">
        <v>0.71410693477835341</v>
      </c>
      <c r="AH25" s="13">
        <v>0.71981979025658016</v>
      </c>
      <c r="AI25" s="13">
        <v>0.72989726732017246</v>
      </c>
      <c r="AJ25" s="13">
        <v>0.74303541813193541</v>
      </c>
      <c r="AK25" s="13">
        <v>0.748979701476991</v>
      </c>
      <c r="AL25" s="13">
        <v>0.75646949849176082</v>
      </c>
      <c r="AM25" s="13">
        <v>0.77159888846159619</v>
      </c>
      <c r="AN25" s="13">
        <v>0.79320365733852083</v>
      </c>
      <c r="AO25" s="13">
        <v>0.81779297071601509</v>
      </c>
      <c r="AP25" s="13">
        <v>0.83987338092534736</v>
      </c>
      <c r="AQ25" s="13">
        <v>0.86003034206755569</v>
      </c>
      <c r="AR25" s="13">
        <v>0.87293079719856914</v>
      </c>
      <c r="AS25" s="13">
        <v>0.87991424357615755</v>
      </c>
      <c r="AT25" s="13">
        <v>0.89751252844768081</v>
      </c>
      <c r="AU25" s="13">
        <v>0.91366775395973898</v>
      </c>
      <c r="AV25" s="13">
        <v>0.927372770269135</v>
      </c>
      <c r="AW25" s="13">
        <v>0.94128336182317185</v>
      </c>
      <c r="AX25" s="13">
        <v>0.95163747880322669</v>
      </c>
      <c r="AY25" s="13">
        <v>0.96305712854886549</v>
      </c>
      <c r="AZ25" s="13">
        <v>0.98039215686274506</v>
      </c>
      <c r="BA25" s="13">
        <v>1</v>
      </c>
      <c r="BB25" s="13">
        <v>1.02</v>
      </c>
      <c r="BC25" s="13">
        <v>1.0404000000000002</v>
      </c>
      <c r="BD25" s="13">
        <v>1.0612080000000002</v>
      </c>
      <c r="BE25" s="13">
        <v>1.0824321600000002</v>
      </c>
      <c r="BF25" s="13">
        <v>1.1040808032000002</v>
      </c>
      <c r="BG25" s="13">
        <v>1.1261624192640003</v>
      </c>
      <c r="BH25" s="12">
        <v>1.1486856676492803</v>
      </c>
      <c r="BI25" s="12">
        <v>1.171659381002266</v>
      </c>
      <c r="BJ25" s="12">
        <v>1.1950925686223113</v>
      </c>
      <c r="BK25" s="12">
        <v>1.2189944199947575</v>
      </c>
      <c r="BL25" s="12">
        <v>1.2433743083946527</v>
      </c>
      <c r="BM25" s="12">
        <v>1.2682417945625457</v>
      </c>
      <c r="BN25" s="12">
        <v>1.2936066304537968</v>
      </c>
      <c r="BO25" s="12">
        <v>1.3194787630628728</v>
      </c>
      <c r="BP25" s="12">
        <v>1.3458683383241303</v>
      </c>
      <c r="BQ25" s="12">
        <v>1.3727857050906129</v>
      </c>
      <c r="BR25" s="12">
        <v>1.4002414191924253</v>
      </c>
      <c r="BS25" s="12">
        <v>1.4282462475762738</v>
      </c>
      <c r="BT25" s="12">
        <v>1.4568111725277992</v>
      </c>
      <c r="BU25" s="12">
        <v>1.4859473959783553</v>
      </c>
      <c r="BV25" s="12">
        <v>1.5156663438979225</v>
      </c>
      <c r="BW25" s="12">
        <v>1.5459796707758811</v>
      </c>
      <c r="BX25" s="12">
        <v>1.5768992641913988</v>
      </c>
      <c r="BY25" s="12">
        <v>1.6084372494752268</v>
      </c>
      <c r="BZ25" s="12">
        <v>1.6406059944647313</v>
      </c>
      <c r="CA25" s="12">
        <v>1.6734181143540259</v>
      </c>
      <c r="CB25" s="12">
        <v>1.7068864766411065</v>
      </c>
      <c r="CC25" s="12">
        <v>1.7410242061739287</v>
      </c>
      <c r="CD25" s="12">
        <v>1.7758446902974074</v>
      </c>
      <c r="CE25" s="12">
        <v>1.8113615841033557</v>
      </c>
      <c r="CF25" s="12">
        <v>1.8475888157854228</v>
      </c>
      <c r="CG25" s="12">
        <v>1.8845405921011313</v>
      </c>
      <c r="CH25" s="12">
        <v>1.9222314039431541</v>
      </c>
      <c r="CI25" s="12">
        <v>1.9606760320220171</v>
      </c>
      <c r="CJ25" s="12">
        <v>1.9998895526624576</v>
      </c>
      <c r="CK25" s="12">
        <v>2.0398873437157068</v>
      </c>
      <c r="CL25" s="12">
        <v>2.0806850905900212</v>
      </c>
      <c r="CM25" s="12">
        <v>2.1222987924018217</v>
      </c>
      <c r="CN25" s="12">
        <v>2.1647447682498582</v>
      </c>
      <c r="CO25" s="12">
        <v>2.2080396636148554</v>
      </c>
      <c r="CP25" s="12">
        <v>2.2522004568871523</v>
      </c>
      <c r="CQ25" s="12">
        <v>2.2972444660248952</v>
      </c>
      <c r="CR25" s="12">
        <f>Inflation_Raw[[#This Row],[2060]]/Inflation_Raw[[#This Row],[2059]]*Inflation_Raw[[#This Row],[2060]]</f>
        <v>2.3431893553453933</v>
      </c>
      <c r="CS25" s="12">
        <f>Inflation_Raw[[#This Row],[2061]]/Inflation_Raw[[#This Row],[2060]]*Inflation_Raw[[#This Row],[2061]]</f>
        <v>2.390053142452301</v>
      </c>
      <c r="CT25" s="12">
        <f>Inflation_Raw[[#This Row],[2062]]/Inflation_Raw[[#This Row],[2061]]*Inflation_Raw[[#This Row],[2062]]</f>
        <v>2.4378542053013472</v>
      </c>
      <c r="CU25" s="12">
        <f>Inflation_Raw[[#This Row],[2063]]/Inflation_Raw[[#This Row],[2062]]*Inflation_Raw[[#This Row],[2063]]</f>
        <v>2.4866112894073744</v>
      </c>
      <c r="CV25" s="12">
        <f>Inflation_Raw[[#This Row],[2064]]/Inflation_Raw[[#This Row],[2063]]*Inflation_Raw[[#This Row],[2064]]</f>
        <v>2.5363435151955218</v>
      </c>
      <c r="CW25" s="12">
        <f>Inflation_Raw[[#This Row],[2065]]/Inflation_Raw[[#This Row],[2064]]*Inflation_Raw[[#This Row],[2065]]</f>
        <v>2.5870703854994321</v>
      </c>
      <c r="CX25" s="12">
        <f>Inflation_Raw[[#This Row],[2066]]/Inflation_Raw[[#This Row],[2065]]*Inflation_Raw[[#This Row],[2066]]</f>
        <v>2.6388117932094208</v>
      </c>
      <c r="CY25" s="12">
        <f>Inflation_Raw[[#This Row],[2067]]/Inflation_Raw[[#This Row],[2066]]*Inflation_Raw[[#This Row],[2067]]</f>
        <v>2.6915880290736092</v>
      </c>
      <c r="CZ25" s="12">
        <f>Inflation_Raw[[#This Row],[2068]]/Inflation_Raw[[#This Row],[2067]]*Inflation_Raw[[#This Row],[2068]]</f>
        <v>2.7454197896550814</v>
      </c>
      <c r="DA25" s="12">
        <f>Inflation_Raw[[#This Row],[2069]]/Inflation_Raw[[#This Row],[2068]]*Inflation_Raw[[#This Row],[2069]]</f>
        <v>2.800328185448183</v>
      </c>
      <c r="DB25" s="12">
        <f>Inflation_Raw[[#This Row],[2070]]/Inflation_Raw[[#This Row],[2069]]*Inflation_Raw[[#This Row],[2070]]</f>
        <v>2.8563347491571465</v>
      </c>
      <c r="DC25" s="12">
        <f>Inflation_Raw[[#This Row],[2071]]/Inflation_Raw[[#This Row],[2070]]*Inflation_Raw[[#This Row],[2071]]</f>
        <v>2.9134614441402893</v>
      </c>
      <c r="DD25" s="12">
        <f>Inflation_Raw[[#This Row],[2072]]/Inflation_Raw[[#This Row],[2071]]*Inflation_Raw[[#This Row],[2072]]</f>
        <v>2.971730673023095</v>
      </c>
      <c r="DE25" s="12">
        <f>Inflation_Raw[[#This Row],[2073]]/Inflation_Raw[[#This Row],[2072]]*Inflation_Raw[[#This Row],[2073]]</f>
        <v>3.031165286483557</v>
      </c>
      <c r="DF25" s="12">
        <f>Inflation_Raw[[#This Row],[2074]]/Inflation_Raw[[#This Row],[2073]]*Inflation_Raw[[#This Row],[2074]]</f>
        <v>3.091788592213228</v>
      </c>
      <c r="DG25" s="12">
        <f>Inflation_Raw[[#This Row],[2075]]/Inflation_Raw[[#This Row],[2074]]*Inflation_Raw[[#This Row],[2075]]</f>
        <v>3.1536243640574928</v>
      </c>
      <c r="DH25" s="12">
        <f>Inflation_Raw[[#This Row],[2076]]/Inflation_Raw[[#This Row],[2075]]*Inflation_Raw[[#This Row],[2076]]</f>
        <v>3.2166968513386429</v>
      </c>
      <c r="DI25" s="12">
        <f>Inflation_Raw[[#This Row],[2077]]/Inflation_Raw[[#This Row],[2076]]*Inflation_Raw[[#This Row],[2077]]</f>
        <v>3.281030788365416</v>
      </c>
      <c r="DJ25" s="12">
        <f>Inflation_Raw[[#This Row],[2078]]/Inflation_Raw[[#This Row],[2077]]*Inflation_Raw[[#This Row],[2078]]</f>
        <v>3.3466514041327242</v>
      </c>
      <c r="DK25" s="12">
        <f>Inflation_Raw[[#This Row],[2079]]/Inflation_Raw[[#This Row],[2078]]*Inflation_Raw[[#This Row],[2079]]</f>
        <v>3.4135844322153788</v>
      </c>
      <c r="DL25" s="12">
        <f>Inflation_Raw[[#This Row],[2080]]/Inflation_Raw[[#This Row],[2079]]*Inflation_Raw[[#This Row],[2080]]</f>
        <v>3.4818561208596863</v>
      </c>
      <c r="DM25" s="12">
        <f>Inflation_Raw[[#This Row],[2081]]/Inflation_Raw[[#This Row],[2080]]*Inflation_Raw[[#This Row],[2081]]</f>
        <v>3.5514932432768802</v>
      </c>
      <c r="DN25" s="12">
        <f>Inflation_Raw[[#This Row],[2082]]/Inflation_Raw[[#This Row],[2081]]*Inflation_Raw[[#This Row],[2082]]</f>
        <v>3.6225231081424178</v>
      </c>
      <c r="DO25" s="12">
        <f>Inflation_Raw[[#This Row],[2083]]/Inflation_Raw[[#This Row],[2082]]*Inflation_Raw[[#This Row],[2083]]</f>
        <v>3.6949735703052662</v>
      </c>
      <c r="DP25" s="12">
        <f>Inflation_Raw[[#This Row],[2084]]/Inflation_Raw[[#This Row],[2083]]*Inflation_Raw[[#This Row],[2084]]</f>
        <v>3.7688730417113714</v>
      </c>
      <c r="DQ25" s="12">
        <f>Inflation_Raw[[#This Row],[2085]]/Inflation_Raw[[#This Row],[2084]]*Inflation_Raw[[#This Row],[2085]]</f>
        <v>3.8442505025455991</v>
      </c>
      <c r="DR25" s="12">
        <f>Inflation_Raw[[#This Row],[2086]]/Inflation_Raw[[#This Row],[2085]]*Inflation_Raw[[#This Row],[2086]]</f>
        <v>3.9211355125965111</v>
      </c>
      <c r="DS25" s="12">
        <f>Inflation_Raw[[#This Row],[2087]]/Inflation_Raw[[#This Row],[2086]]*Inflation_Raw[[#This Row],[2087]]</f>
        <v>3.9995582228484414</v>
      </c>
      <c r="DT25" s="12">
        <f>Inflation_Raw[[#This Row],[2088]]/Inflation_Raw[[#This Row],[2087]]*Inflation_Raw[[#This Row],[2088]]</f>
        <v>4.0795493873054101</v>
      </c>
      <c r="DU25" s="12">
        <f>Inflation_Raw[[#This Row],[2089]]/Inflation_Raw[[#This Row],[2088]]*Inflation_Raw[[#This Row],[2089]]</f>
        <v>4.1611403750515183</v>
      </c>
      <c r="DV25" s="12">
        <f>Inflation_Raw[[#This Row],[2090]]/Inflation_Raw[[#This Row],[2089]]*Inflation_Raw[[#This Row],[2090]]</f>
        <v>4.244363182552549</v>
      </c>
      <c r="DW25" s="12">
        <f>Inflation_Raw[[#This Row],[2091]]/Inflation_Raw[[#This Row],[2090]]*Inflation_Raw[[#This Row],[2091]]</f>
        <v>4.3292504462036003</v>
      </c>
      <c r="DX25" s="12">
        <f>Inflation_Raw[[#This Row],[2092]]/Inflation_Raw[[#This Row],[2091]]*Inflation_Raw[[#This Row],[2092]]</f>
        <v>4.4158354551276728</v>
      </c>
      <c r="DY25" s="12">
        <f>Inflation_Raw[[#This Row],[2093]]/Inflation_Raw[[#This Row],[2092]]*Inflation_Raw[[#This Row],[2093]]</f>
        <v>4.5041521642302262</v>
      </c>
      <c r="DZ25" s="12">
        <f>Inflation_Raw[[#This Row],[2094]]/Inflation_Raw[[#This Row],[2093]]*Inflation_Raw[[#This Row],[2094]]</f>
        <v>4.5942352075148305</v>
      </c>
      <c r="EA25" s="12">
        <f>Inflation_Raw[[#This Row],[2095]]/Inflation_Raw[[#This Row],[2094]]*Inflation_Raw[[#This Row],[2095]]</f>
        <v>4.6861199116651271</v>
      </c>
      <c r="EB25" s="12">
        <f>Inflation_Raw[[#This Row],[2096]]/Inflation_Raw[[#This Row],[2095]]*Inflation_Raw[[#This Row],[2096]]</f>
        <v>4.77984230989843</v>
      </c>
    </row>
    <row r="26" spans="2:132">
      <c r="B26" s="15"/>
      <c r="C26" s="14" t="s">
        <v>26</v>
      </c>
      <c r="D26" s="13">
        <v>1</v>
      </c>
      <c r="E26" s="13">
        <v>1</v>
      </c>
      <c r="F26" s="13">
        <v>1</v>
      </c>
      <c r="G26" s="13">
        <v>1</v>
      </c>
      <c r="H26" s="13">
        <v>1</v>
      </c>
      <c r="I26" s="13">
        <v>1</v>
      </c>
      <c r="J26" s="13">
        <v>1</v>
      </c>
      <c r="K26" s="13">
        <v>1</v>
      </c>
      <c r="L26" s="13">
        <v>1</v>
      </c>
      <c r="M26" s="13">
        <v>1</v>
      </c>
      <c r="N26" s="13">
        <v>1</v>
      </c>
      <c r="O26" s="13">
        <v>1</v>
      </c>
      <c r="P26" s="13">
        <v>1</v>
      </c>
      <c r="Q26" s="13">
        <v>1</v>
      </c>
      <c r="R26" s="13">
        <v>1</v>
      </c>
      <c r="S26" s="13">
        <v>1</v>
      </c>
      <c r="T26" s="13">
        <v>1</v>
      </c>
      <c r="U26" s="13">
        <v>1</v>
      </c>
      <c r="V26" s="13">
        <v>1</v>
      </c>
      <c r="W26" s="13">
        <v>1</v>
      </c>
      <c r="X26" s="13">
        <v>1</v>
      </c>
      <c r="Y26" s="13">
        <v>1</v>
      </c>
      <c r="Z26" s="13">
        <v>1</v>
      </c>
      <c r="AA26" s="13">
        <v>1</v>
      </c>
      <c r="AB26" s="13">
        <v>1</v>
      </c>
      <c r="AC26" s="13">
        <v>1</v>
      </c>
      <c r="AD26" s="13">
        <v>1</v>
      </c>
      <c r="AE26" s="13">
        <v>1</v>
      </c>
      <c r="AF26" s="13">
        <v>1</v>
      </c>
      <c r="AG26" s="13">
        <v>1</v>
      </c>
      <c r="AH26" s="13">
        <v>1</v>
      </c>
      <c r="AI26" s="13">
        <v>1</v>
      </c>
      <c r="AJ26" s="13">
        <v>1</v>
      </c>
      <c r="AK26" s="13">
        <v>1</v>
      </c>
      <c r="AL26" s="13">
        <v>1</v>
      </c>
      <c r="AM26" s="13">
        <v>1</v>
      </c>
      <c r="AN26" s="13">
        <v>1</v>
      </c>
      <c r="AO26" s="13">
        <v>1</v>
      </c>
      <c r="AP26" s="13">
        <v>1</v>
      </c>
      <c r="AQ26" s="13">
        <v>1</v>
      </c>
      <c r="AR26" s="13">
        <v>1</v>
      </c>
      <c r="AS26" s="13">
        <v>1</v>
      </c>
      <c r="AT26" s="13">
        <v>1</v>
      </c>
      <c r="AU26" s="13">
        <v>1</v>
      </c>
      <c r="AV26" s="13">
        <v>1</v>
      </c>
      <c r="AW26" s="13">
        <v>1</v>
      </c>
      <c r="AX26" s="13">
        <v>1</v>
      </c>
      <c r="AY26" s="13">
        <v>1</v>
      </c>
      <c r="AZ26" s="13">
        <v>1</v>
      </c>
      <c r="BA26" s="13">
        <v>1</v>
      </c>
      <c r="BB26" s="13">
        <v>1</v>
      </c>
      <c r="BC26" s="13">
        <v>1</v>
      </c>
      <c r="BD26" s="13">
        <v>1</v>
      </c>
      <c r="BE26" s="13">
        <v>1</v>
      </c>
      <c r="BF26" s="13">
        <v>1</v>
      </c>
      <c r="BG26" s="13">
        <v>1</v>
      </c>
      <c r="BH26" s="12">
        <v>1</v>
      </c>
      <c r="BI26" s="12">
        <v>1</v>
      </c>
      <c r="BJ26" s="12">
        <v>1</v>
      </c>
      <c r="BK26" s="12">
        <v>1</v>
      </c>
      <c r="BL26" s="12">
        <v>1</v>
      </c>
      <c r="BM26" s="12">
        <v>1</v>
      </c>
      <c r="BN26" s="12">
        <v>1</v>
      </c>
      <c r="BO26" s="12">
        <v>1</v>
      </c>
      <c r="BP26" s="12">
        <v>1</v>
      </c>
      <c r="BQ26" s="12">
        <v>1</v>
      </c>
      <c r="BR26" s="12">
        <v>1</v>
      </c>
      <c r="BS26" s="12">
        <v>1</v>
      </c>
      <c r="BT26" s="12">
        <v>1</v>
      </c>
      <c r="BU26" s="12">
        <v>1</v>
      </c>
      <c r="BV26" s="12">
        <v>1</v>
      </c>
      <c r="BW26" s="12">
        <v>1</v>
      </c>
      <c r="BX26" s="12">
        <v>1</v>
      </c>
      <c r="BY26" s="12">
        <v>1</v>
      </c>
      <c r="BZ26" s="12">
        <v>1</v>
      </c>
      <c r="CA26" s="12">
        <v>1</v>
      </c>
      <c r="CB26" s="12">
        <v>1</v>
      </c>
      <c r="CC26" s="12">
        <v>1</v>
      </c>
      <c r="CD26" s="12">
        <v>1</v>
      </c>
      <c r="CE26" s="12">
        <v>1</v>
      </c>
      <c r="CF26" s="12">
        <v>1</v>
      </c>
      <c r="CG26" s="12">
        <v>1</v>
      </c>
      <c r="CH26" s="12">
        <v>1</v>
      </c>
      <c r="CI26" s="12">
        <v>1</v>
      </c>
      <c r="CJ26" s="12">
        <v>1</v>
      </c>
      <c r="CK26" s="12">
        <v>1</v>
      </c>
      <c r="CL26" s="12">
        <v>1</v>
      </c>
      <c r="CM26" s="12">
        <v>1</v>
      </c>
      <c r="CN26" s="12">
        <v>1</v>
      </c>
      <c r="CO26" s="12">
        <v>1</v>
      </c>
      <c r="CP26" s="12">
        <v>1</v>
      </c>
      <c r="CQ26" s="12">
        <v>1</v>
      </c>
      <c r="CR26" s="12">
        <f>Inflation_Raw[[#This Row],[2060]]/Inflation_Raw[[#This Row],[2059]]*Inflation_Raw[[#This Row],[2060]]</f>
        <v>1</v>
      </c>
      <c r="CS26" s="12">
        <f>Inflation_Raw[[#This Row],[2061]]/Inflation_Raw[[#This Row],[2060]]*Inflation_Raw[[#This Row],[2061]]</f>
        <v>1</v>
      </c>
      <c r="CT26" s="12">
        <f>Inflation_Raw[[#This Row],[2062]]/Inflation_Raw[[#This Row],[2061]]*Inflation_Raw[[#This Row],[2062]]</f>
        <v>1</v>
      </c>
      <c r="CU26" s="12">
        <f>Inflation_Raw[[#This Row],[2063]]/Inflation_Raw[[#This Row],[2062]]*Inflation_Raw[[#This Row],[2063]]</f>
        <v>1</v>
      </c>
      <c r="CV26" s="12">
        <f>Inflation_Raw[[#This Row],[2064]]/Inflation_Raw[[#This Row],[2063]]*Inflation_Raw[[#This Row],[2064]]</f>
        <v>1</v>
      </c>
      <c r="CW26" s="12">
        <f>Inflation_Raw[[#This Row],[2065]]/Inflation_Raw[[#This Row],[2064]]*Inflation_Raw[[#This Row],[2065]]</f>
        <v>1</v>
      </c>
      <c r="CX26" s="12">
        <f>Inflation_Raw[[#This Row],[2066]]/Inflation_Raw[[#This Row],[2065]]*Inflation_Raw[[#This Row],[2066]]</f>
        <v>1</v>
      </c>
      <c r="CY26" s="12">
        <f>Inflation_Raw[[#This Row],[2067]]/Inflation_Raw[[#This Row],[2066]]*Inflation_Raw[[#This Row],[2067]]</f>
        <v>1</v>
      </c>
      <c r="CZ26" s="12">
        <f>Inflation_Raw[[#This Row],[2068]]/Inflation_Raw[[#This Row],[2067]]*Inflation_Raw[[#This Row],[2068]]</f>
        <v>1</v>
      </c>
      <c r="DA26" s="12">
        <f>Inflation_Raw[[#This Row],[2069]]/Inflation_Raw[[#This Row],[2068]]*Inflation_Raw[[#This Row],[2069]]</f>
        <v>1</v>
      </c>
      <c r="DB26" s="12">
        <f>Inflation_Raw[[#This Row],[2070]]/Inflation_Raw[[#This Row],[2069]]*Inflation_Raw[[#This Row],[2070]]</f>
        <v>1</v>
      </c>
      <c r="DC26" s="12">
        <f>Inflation_Raw[[#This Row],[2071]]/Inflation_Raw[[#This Row],[2070]]*Inflation_Raw[[#This Row],[2071]]</f>
        <v>1</v>
      </c>
      <c r="DD26" s="12">
        <f>Inflation_Raw[[#This Row],[2072]]/Inflation_Raw[[#This Row],[2071]]*Inflation_Raw[[#This Row],[2072]]</f>
        <v>1</v>
      </c>
      <c r="DE26" s="12">
        <f>Inflation_Raw[[#This Row],[2073]]/Inflation_Raw[[#This Row],[2072]]*Inflation_Raw[[#This Row],[2073]]</f>
        <v>1</v>
      </c>
      <c r="DF26" s="12">
        <f>Inflation_Raw[[#This Row],[2074]]/Inflation_Raw[[#This Row],[2073]]*Inflation_Raw[[#This Row],[2074]]</f>
        <v>1</v>
      </c>
      <c r="DG26" s="12">
        <f>Inflation_Raw[[#This Row],[2075]]/Inflation_Raw[[#This Row],[2074]]*Inflation_Raw[[#This Row],[2075]]</f>
        <v>1</v>
      </c>
      <c r="DH26" s="12">
        <f>Inflation_Raw[[#This Row],[2076]]/Inflation_Raw[[#This Row],[2075]]*Inflation_Raw[[#This Row],[2076]]</f>
        <v>1</v>
      </c>
      <c r="DI26" s="12">
        <f>Inflation_Raw[[#This Row],[2077]]/Inflation_Raw[[#This Row],[2076]]*Inflation_Raw[[#This Row],[2077]]</f>
        <v>1</v>
      </c>
      <c r="DJ26" s="12">
        <f>Inflation_Raw[[#This Row],[2078]]/Inflation_Raw[[#This Row],[2077]]*Inflation_Raw[[#This Row],[2078]]</f>
        <v>1</v>
      </c>
      <c r="DK26" s="12">
        <f>Inflation_Raw[[#This Row],[2079]]/Inflation_Raw[[#This Row],[2078]]*Inflation_Raw[[#This Row],[2079]]</f>
        <v>1</v>
      </c>
      <c r="DL26" s="12">
        <f>Inflation_Raw[[#This Row],[2080]]/Inflation_Raw[[#This Row],[2079]]*Inflation_Raw[[#This Row],[2080]]</f>
        <v>1</v>
      </c>
      <c r="DM26" s="12">
        <f>Inflation_Raw[[#This Row],[2081]]/Inflation_Raw[[#This Row],[2080]]*Inflation_Raw[[#This Row],[2081]]</f>
        <v>1</v>
      </c>
      <c r="DN26" s="12">
        <f>Inflation_Raw[[#This Row],[2082]]/Inflation_Raw[[#This Row],[2081]]*Inflation_Raw[[#This Row],[2082]]</f>
        <v>1</v>
      </c>
      <c r="DO26" s="12">
        <f>Inflation_Raw[[#This Row],[2083]]/Inflation_Raw[[#This Row],[2082]]*Inflation_Raw[[#This Row],[2083]]</f>
        <v>1</v>
      </c>
      <c r="DP26" s="12">
        <f>Inflation_Raw[[#This Row],[2084]]/Inflation_Raw[[#This Row],[2083]]*Inflation_Raw[[#This Row],[2084]]</f>
        <v>1</v>
      </c>
      <c r="DQ26" s="12">
        <f>Inflation_Raw[[#This Row],[2085]]/Inflation_Raw[[#This Row],[2084]]*Inflation_Raw[[#This Row],[2085]]</f>
        <v>1</v>
      </c>
      <c r="DR26" s="12">
        <f>Inflation_Raw[[#This Row],[2086]]/Inflation_Raw[[#This Row],[2085]]*Inflation_Raw[[#This Row],[2086]]</f>
        <v>1</v>
      </c>
      <c r="DS26" s="12">
        <f>Inflation_Raw[[#This Row],[2087]]/Inflation_Raw[[#This Row],[2086]]*Inflation_Raw[[#This Row],[2087]]</f>
        <v>1</v>
      </c>
      <c r="DT26" s="12">
        <f>Inflation_Raw[[#This Row],[2088]]/Inflation_Raw[[#This Row],[2087]]*Inflation_Raw[[#This Row],[2088]]</f>
        <v>1</v>
      </c>
      <c r="DU26" s="12">
        <f>Inflation_Raw[[#This Row],[2089]]/Inflation_Raw[[#This Row],[2088]]*Inflation_Raw[[#This Row],[2089]]</f>
        <v>1</v>
      </c>
      <c r="DV26" s="12">
        <f>Inflation_Raw[[#This Row],[2090]]/Inflation_Raw[[#This Row],[2089]]*Inflation_Raw[[#This Row],[2090]]</f>
        <v>1</v>
      </c>
      <c r="DW26" s="12">
        <f>Inflation_Raw[[#This Row],[2091]]/Inflation_Raw[[#This Row],[2090]]*Inflation_Raw[[#This Row],[2091]]</f>
        <v>1</v>
      </c>
      <c r="DX26" s="12">
        <f>Inflation_Raw[[#This Row],[2092]]/Inflation_Raw[[#This Row],[2091]]*Inflation_Raw[[#This Row],[2092]]</f>
        <v>1</v>
      </c>
      <c r="DY26" s="12">
        <f>Inflation_Raw[[#This Row],[2093]]/Inflation_Raw[[#This Row],[2092]]*Inflation_Raw[[#This Row],[2093]]</f>
        <v>1</v>
      </c>
      <c r="DZ26" s="12">
        <f>Inflation_Raw[[#This Row],[2094]]/Inflation_Raw[[#This Row],[2093]]*Inflation_Raw[[#This Row],[2094]]</f>
        <v>1</v>
      </c>
      <c r="EA26" s="12">
        <f>Inflation_Raw[[#This Row],[2095]]/Inflation_Raw[[#This Row],[2094]]*Inflation_Raw[[#This Row],[2095]]</f>
        <v>1</v>
      </c>
      <c r="EB26" s="12">
        <f>Inflation_Raw[[#This Row],[2096]]/Inflation_Raw[[#This Row],[2095]]*Inflation_Raw[[#This Row],[2096]]</f>
        <v>1</v>
      </c>
    </row>
    <row r="28" spans="2:132" hidden="1"/>
    <row r="29" spans="2:132" hidden="1"/>
    <row r="30" spans="2:132" hidden="1"/>
    <row r="31" spans="2:132" hidden="1"/>
    <row r="32" spans="2:1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5" spans="2:132">
      <c r="B65" s="15" t="s">
        <v>189</v>
      </c>
      <c r="C65" s="15" t="s">
        <v>188</v>
      </c>
      <c r="D65" s="15" t="s">
        <v>187</v>
      </c>
      <c r="E65" s="15" t="s">
        <v>186</v>
      </c>
      <c r="F65" s="15" t="s">
        <v>185</v>
      </c>
      <c r="G65" s="15" t="s">
        <v>184</v>
      </c>
      <c r="H65" s="15" t="s">
        <v>183</v>
      </c>
      <c r="I65" s="15" t="s">
        <v>182</v>
      </c>
      <c r="J65" s="15" t="s">
        <v>181</v>
      </c>
      <c r="K65" s="21" t="s">
        <v>180</v>
      </c>
      <c r="L65" s="15" t="s">
        <v>179</v>
      </c>
      <c r="M65" s="15" t="s">
        <v>178</v>
      </c>
      <c r="N65" s="15" t="s">
        <v>177</v>
      </c>
      <c r="O65" s="15" t="s">
        <v>176</v>
      </c>
      <c r="P65" s="15" t="s">
        <v>175</v>
      </c>
      <c r="Q65" s="15" t="s">
        <v>174</v>
      </c>
      <c r="R65" s="15" t="s">
        <v>173</v>
      </c>
      <c r="S65" s="15" t="s">
        <v>172</v>
      </c>
      <c r="T65" s="15" t="s">
        <v>171</v>
      </c>
      <c r="U65" s="15" t="s">
        <v>170</v>
      </c>
      <c r="V65" s="15" t="s">
        <v>169</v>
      </c>
      <c r="W65" s="15" t="s">
        <v>168</v>
      </c>
      <c r="X65" s="15" t="s">
        <v>167</v>
      </c>
      <c r="Y65" s="15" t="s">
        <v>166</v>
      </c>
      <c r="Z65" s="15" t="s">
        <v>165</v>
      </c>
      <c r="AA65" s="15" t="s">
        <v>164</v>
      </c>
      <c r="AB65" s="15" t="s">
        <v>163</v>
      </c>
      <c r="AC65" s="15" t="s">
        <v>162</v>
      </c>
      <c r="AD65" s="15" t="s">
        <v>161</v>
      </c>
      <c r="AE65" s="15" t="s">
        <v>160</v>
      </c>
      <c r="AF65" s="15" t="s">
        <v>159</v>
      </c>
      <c r="AG65" s="15" t="s">
        <v>158</v>
      </c>
      <c r="AH65" s="15" t="s">
        <v>157</v>
      </c>
      <c r="AI65" s="15" t="s">
        <v>156</v>
      </c>
      <c r="AJ65" s="15" t="s">
        <v>155</v>
      </c>
      <c r="AK65" s="15" t="s">
        <v>154</v>
      </c>
      <c r="AL65" s="15" t="s">
        <v>153</v>
      </c>
      <c r="AM65" s="15" t="s">
        <v>152</v>
      </c>
      <c r="AN65" s="15" t="s">
        <v>151</v>
      </c>
      <c r="AO65" s="15" t="s">
        <v>150</v>
      </c>
      <c r="AP65" s="15" t="s">
        <v>149</v>
      </c>
      <c r="AQ65" s="15" t="s">
        <v>148</v>
      </c>
      <c r="AR65" s="15" t="s">
        <v>147</v>
      </c>
      <c r="AS65" s="15" t="s">
        <v>146</v>
      </c>
      <c r="AT65" s="15" t="s">
        <v>145</v>
      </c>
      <c r="AU65" s="15" t="s">
        <v>144</v>
      </c>
      <c r="AV65" s="15" t="s">
        <v>143</v>
      </c>
      <c r="AW65" s="15" t="s">
        <v>142</v>
      </c>
      <c r="AX65" s="15" t="s">
        <v>141</v>
      </c>
      <c r="AY65" s="15" t="s">
        <v>140</v>
      </c>
      <c r="AZ65" s="15" t="s">
        <v>139</v>
      </c>
      <c r="BA65" s="15" t="s">
        <v>138</v>
      </c>
      <c r="BB65" s="15" t="s">
        <v>137</v>
      </c>
      <c r="BC65" s="15" t="s">
        <v>136</v>
      </c>
      <c r="BD65" s="15" t="s">
        <v>135</v>
      </c>
      <c r="BE65" s="15" t="s">
        <v>134</v>
      </c>
      <c r="BF65" s="15" t="s">
        <v>133</v>
      </c>
      <c r="BG65" s="15" t="s">
        <v>132</v>
      </c>
      <c r="BH65" s="15" t="s">
        <v>131</v>
      </c>
      <c r="BI65" s="15" t="s">
        <v>130</v>
      </c>
      <c r="BJ65" s="15" t="s">
        <v>129</v>
      </c>
      <c r="BK65" s="15" t="s">
        <v>128</v>
      </c>
      <c r="BL65" s="15" t="s">
        <v>127</v>
      </c>
      <c r="BM65" s="15" t="s">
        <v>126</v>
      </c>
      <c r="BN65" s="15" t="s">
        <v>125</v>
      </c>
      <c r="BO65" s="15" t="s">
        <v>124</v>
      </c>
      <c r="BP65" s="15" t="s">
        <v>123</v>
      </c>
      <c r="BQ65" s="15" t="s">
        <v>122</v>
      </c>
      <c r="BR65" s="15" t="s">
        <v>121</v>
      </c>
      <c r="BS65" s="15" t="s">
        <v>120</v>
      </c>
      <c r="BT65" s="15" t="s">
        <v>119</v>
      </c>
      <c r="BU65" s="15" t="s">
        <v>118</v>
      </c>
      <c r="BV65" s="15" t="s">
        <v>117</v>
      </c>
      <c r="BW65" s="15" t="s">
        <v>116</v>
      </c>
      <c r="BX65" s="15" t="s">
        <v>115</v>
      </c>
      <c r="BY65" s="15" t="s">
        <v>114</v>
      </c>
      <c r="BZ65" s="15" t="s">
        <v>113</v>
      </c>
      <c r="CA65" s="15" t="s">
        <v>112</v>
      </c>
      <c r="CB65" s="15" t="s">
        <v>111</v>
      </c>
      <c r="CC65" s="15" t="s">
        <v>110</v>
      </c>
      <c r="CD65" s="15" t="s">
        <v>109</v>
      </c>
      <c r="CE65" s="15" t="s">
        <v>108</v>
      </c>
      <c r="CF65" s="15" t="s">
        <v>107</v>
      </c>
      <c r="CG65" s="15" t="s">
        <v>106</v>
      </c>
      <c r="CH65" s="15" t="s">
        <v>105</v>
      </c>
      <c r="CI65" s="15" t="s">
        <v>104</v>
      </c>
      <c r="CJ65" s="15" t="s">
        <v>103</v>
      </c>
      <c r="CK65" s="15" t="s">
        <v>102</v>
      </c>
      <c r="CL65" s="15" t="s">
        <v>101</v>
      </c>
      <c r="CM65" s="15" t="s">
        <v>100</v>
      </c>
      <c r="CN65" s="15" t="s">
        <v>99</v>
      </c>
      <c r="CO65" s="15" t="s">
        <v>98</v>
      </c>
      <c r="CP65" s="15" t="s">
        <v>97</v>
      </c>
      <c r="CQ65" s="15" t="s">
        <v>96</v>
      </c>
      <c r="CR65" s="20" t="s">
        <v>95</v>
      </c>
      <c r="CS65" s="19" t="s">
        <v>94</v>
      </c>
      <c r="CT65" s="18" t="s">
        <v>93</v>
      </c>
      <c r="CU65" s="18" t="s">
        <v>92</v>
      </c>
      <c r="CV65" s="18" t="s">
        <v>91</v>
      </c>
      <c r="CW65" s="18" t="s">
        <v>90</v>
      </c>
      <c r="CX65" s="18" t="s">
        <v>89</v>
      </c>
      <c r="CY65" s="18" t="s">
        <v>88</v>
      </c>
      <c r="CZ65" s="18" t="s">
        <v>87</v>
      </c>
      <c r="DA65" s="18" t="s">
        <v>86</v>
      </c>
      <c r="DB65" s="18" t="s">
        <v>85</v>
      </c>
      <c r="DC65" s="18" t="s">
        <v>84</v>
      </c>
      <c r="DD65" s="18" t="s">
        <v>83</v>
      </c>
      <c r="DE65" s="18" t="s">
        <v>82</v>
      </c>
      <c r="DF65" s="18" t="s">
        <v>81</v>
      </c>
      <c r="DG65" s="18" t="s">
        <v>80</v>
      </c>
      <c r="DH65" s="18" t="s">
        <v>79</v>
      </c>
      <c r="DI65" s="18" t="s">
        <v>78</v>
      </c>
      <c r="DJ65" s="18" t="s">
        <v>77</v>
      </c>
      <c r="DK65" s="18" t="s">
        <v>76</v>
      </c>
      <c r="DL65" s="18" t="s">
        <v>75</v>
      </c>
      <c r="DM65" s="18" t="s">
        <v>74</v>
      </c>
      <c r="DN65" s="18" t="s">
        <v>73</v>
      </c>
      <c r="DO65" s="18" t="s">
        <v>72</v>
      </c>
      <c r="DP65" s="18" t="s">
        <v>71</v>
      </c>
      <c r="DQ65" s="18" t="s">
        <v>70</v>
      </c>
      <c r="DR65" s="18" t="s">
        <v>69</v>
      </c>
      <c r="DS65" s="18" t="s">
        <v>68</v>
      </c>
      <c r="DT65" s="18" t="s">
        <v>67</v>
      </c>
      <c r="DU65" s="18" t="s">
        <v>66</v>
      </c>
      <c r="DV65" s="18" t="s">
        <v>65</v>
      </c>
      <c r="DW65" s="18" t="s">
        <v>64</v>
      </c>
      <c r="DX65" s="18" t="s">
        <v>63</v>
      </c>
      <c r="DY65" s="18" t="s">
        <v>62</v>
      </c>
      <c r="DZ65" s="18" t="s">
        <v>61</v>
      </c>
      <c r="EA65" s="18" t="s">
        <v>60</v>
      </c>
      <c r="EB65" s="17" t="s">
        <v>59</v>
      </c>
    </row>
    <row r="66" spans="2:132">
      <c r="B66" s="15" t="s">
        <v>58</v>
      </c>
      <c r="C66" s="15" t="s">
        <v>57</v>
      </c>
      <c r="D66" s="13">
        <v>0.17814828356188975</v>
      </c>
      <c r="E66" s="13">
        <v>0.18570115341472587</v>
      </c>
      <c r="F66" s="13">
        <v>0.19456851448634885</v>
      </c>
      <c r="G66" s="13">
        <v>0.21460724637958503</v>
      </c>
      <c r="H66" s="13">
        <v>0.22490973253348864</v>
      </c>
      <c r="I66" s="13">
        <v>0.23728212240930363</v>
      </c>
      <c r="J66" s="13">
        <v>0.25314963847138222</v>
      </c>
      <c r="K66" s="13">
        <v>0.26780680728731143</v>
      </c>
      <c r="L66" s="13">
        <v>0.28066043781059752</v>
      </c>
      <c r="M66" s="13">
        <v>0.30782771062859576</v>
      </c>
      <c r="N66" s="13">
        <v>0.34433947485069222</v>
      </c>
      <c r="O66" s="13">
        <v>0.38415584884417964</v>
      </c>
      <c r="P66" s="13">
        <v>0.42766396430590858</v>
      </c>
      <c r="Q66" s="13">
        <v>0.46456427756766433</v>
      </c>
      <c r="R66" s="13">
        <v>0.49418755339608034</v>
      </c>
      <c r="S66" s="13">
        <v>0.51406055828805453</v>
      </c>
      <c r="T66" s="13">
        <v>0.52894478418874225</v>
      </c>
      <c r="U66" s="13">
        <v>0.54507238438770755</v>
      </c>
      <c r="V66" s="13">
        <v>0.56420015834560344</v>
      </c>
      <c r="W66" s="13">
        <v>0.58874413528357228</v>
      </c>
      <c r="X66" s="13">
        <v>0.61230965698672946</v>
      </c>
      <c r="Y66" s="13">
        <v>0.63340942114885801</v>
      </c>
      <c r="Z66" s="13">
        <v>0.65160873166127675</v>
      </c>
      <c r="AA66" s="13">
        <v>0.66625113084154786</v>
      </c>
      <c r="AB66" s="13">
        <v>0.6786739375942793</v>
      </c>
      <c r="AC66" s="13">
        <v>0.69125762518787992</v>
      </c>
      <c r="AD66" s="13">
        <v>0.7023696761946745</v>
      </c>
      <c r="AE66" s="13">
        <v>0.71223771772935474</v>
      </c>
      <c r="AF66" s="13">
        <v>0.71834882095146257</v>
      </c>
      <c r="AG66" s="13">
        <v>0.72669086945499151</v>
      </c>
      <c r="AH66" s="13">
        <v>0.73602261909935018</v>
      </c>
      <c r="AI66" s="13">
        <v>0.74579170568856368</v>
      </c>
      <c r="AJ66" s="13">
        <v>0.75467942445700009</v>
      </c>
      <c r="AK66" s="13">
        <v>0.7642257886045345</v>
      </c>
      <c r="AL66" s="13">
        <v>0.77948397992332208</v>
      </c>
      <c r="AM66" s="13">
        <v>0.80006188656275168</v>
      </c>
      <c r="AN66" s="13">
        <v>0.8225947177242976</v>
      </c>
      <c r="AO66" s="13">
        <v>0.84540707440612206</v>
      </c>
      <c r="AP66" s="13">
        <v>0.86511815842325623</v>
      </c>
      <c r="AQ66" s="13">
        <v>0.87809443075152416</v>
      </c>
      <c r="AR66" s="13">
        <v>0.89032627040001855</v>
      </c>
      <c r="AS66" s="13">
        <v>0.90894314306184465</v>
      </c>
      <c r="AT66" s="13">
        <v>0.92699564723128491</v>
      </c>
      <c r="AU66" s="13">
        <v>0.94032965148230196</v>
      </c>
      <c r="AV66" s="13">
        <v>0.95047553503974835</v>
      </c>
      <c r="AW66" s="13">
        <v>0.96291259367259185</v>
      </c>
      <c r="AX66" s="13">
        <v>0.977574409999452</v>
      </c>
      <c r="AY66" s="13">
        <v>0.99509657597238443</v>
      </c>
      <c r="AZ66" s="13">
        <v>1.0146380578518046</v>
      </c>
      <c r="BA66" s="13">
        <v>1.0349308190088409</v>
      </c>
      <c r="BB66" s="13">
        <v>1.0556294353890177</v>
      </c>
      <c r="BC66" s="13">
        <v>1.0767420240967984</v>
      </c>
      <c r="BD66" s="13">
        <v>1.0982768645787344</v>
      </c>
      <c r="BE66" s="13">
        <v>1.1202424018703092</v>
      </c>
      <c r="BF66" s="13">
        <v>1.1426472499077154</v>
      </c>
      <c r="BG66" s="13">
        <v>1.1655001949058694</v>
      </c>
      <c r="BH66" s="12">
        <v>1.188810198803987</v>
      </c>
      <c r="BI66" s="12">
        <v>1.2125864027800668</v>
      </c>
      <c r="BJ66" s="12">
        <v>1.2368381308356682</v>
      </c>
      <c r="BK66" s="12">
        <v>1.2615748934523814</v>
      </c>
      <c r="BL66" s="12">
        <v>1.2868063913214292</v>
      </c>
      <c r="BM66" s="12">
        <v>1.3125425191478577</v>
      </c>
      <c r="BN66" s="12">
        <v>1.3387933695308147</v>
      </c>
      <c r="BO66" s="12">
        <v>1.3655692369214312</v>
      </c>
      <c r="BP66" s="12">
        <v>1.3928806216598599</v>
      </c>
      <c r="BQ66" s="12">
        <v>1.4207382340930572</v>
      </c>
      <c r="BR66" s="12">
        <v>1.4491529987749183</v>
      </c>
      <c r="BS66" s="12">
        <v>1.4781360587504166</v>
      </c>
      <c r="BT66" s="12">
        <v>1.5076987799254251</v>
      </c>
      <c r="BU66" s="12">
        <v>1.5378527555239336</v>
      </c>
      <c r="BV66" s="12">
        <v>1.5686098106344124</v>
      </c>
      <c r="BW66" s="12">
        <v>1.5999820068471007</v>
      </c>
      <c r="BX66" s="12">
        <v>1.6319816469840427</v>
      </c>
      <c r="BY66" s="12">
        <v>1.6646212799237237</v>
      </c>
      <c r="BZ66" s="12">
        <v>1.6979137055221982</v>
      </c>
      <c r="CA66" s="12">
        <v>1.7318719796326423</v>
      </c>
      <c r="CB66" s="12">
        <v>1.766509419225295</v>
      </c>
      <c r="CC66" s="12">
        <v>1.8018396076098011</v>
      </c>
      <c r="CD66" s="12">
        <v>1.8378763997619969</v>
      </c>
      <c r="CE66" s="12">
        <v>1.874633927757237</v>
      </c>
      <c r="CF66" s="12">
        <v>1.9121266063123818</v>
      </c>
      <c r="CG66" s="12">
        <v>1.9503691384386295</v>
      </c>
      <c r="CH66" s="12">
        <v>1.9893765212074022</v>
      </c>
      <c r="CI66" s="12">
        <v>2.0291640516315503</v>
      </c>
      <c r="CJ66" s="12">
        <v>2.0697473326641815</v>
      </c>
      <c r="CK66" s="12">
        <v>2.1111422793174648</v>
      </c>
      <c r="CL66" s="12">
        <v>2.1533651249038139</v>
      </c>
      <c r="CM66" s="12">
        <v>2.1964324274018905</v>
      </c>
      <c r="CN66" s="12">
        <v>2.2403610759499282</v>
      </c>
      <c r="CO66" s="12">
        <v>2.2851682974689265</v>
      </c>
      <c r="CP66" s="12">
        <v>2.3308716634183053</v>
      </c>
      <c r="CQ66" s="12">
        <v>2.3774890966866713</v>
      </c>
      <c r="CR66" s="12">
        <f>Inflation_weighted[[#This Row],[2060]]/Inflation_weighted[[#This Row],[2059]]*Inflation_weighted[[#This Row],[2060]]</f>
        <v>2.4250388786204047</v>
      </c>
      <c r="CS66" s="12">
        <f>Inflation_weighted[[#This Row],[2061]]/Inflation_weighted[[#This Row],[2060]]*Inflation_weighted[[#This Row],[2061]]</f>
        <v>2.4735396561928127</v>
      </c>
      <c r="CT66" s="12">
        <f>Inflation_weighted[[#This Row],[2062]]/Inflation_weighted[[#This Row],[2061]]*Inflation_weighted[[#This Row],[2062]]</f>
        <v>2.523010449316669</v>
      </c>
      <c r="CU66" s="12">
        <f>Inflation_weighted[[#This Row],[2063]]/Inflation_weighted[[#This Row],[2062]]*Inflation_weighted[[#This Row],[2063]]</f>
        <v>2.5734706583030023</v>
      </c>
      <c r="CV66" s="12">
        <f>Inflation_weighted[[#This Row],[2064]]/Inflation_weighted[[#This Row],[2063]]*Inflation_weighted[[#This Row],[2064]]</f>
        <v>2.6249400714690623</v>
      </c>
      <c r="CW66" s="12">
        <f>Inflation_weighted[[#This Row],[2065]]/Inflation_weighted[[#This Row],[2064]]*Inflation_weighted[[#This Row],[2065]]</f>
        <v>2.6774388728984437</v>
      </c>
      <c r="CX66" s="12">
        <f>Inflation_weighted[[#This Row],[2066]]/Inflation_weighted[[#This Row],[2065]]*Inflation_weighted[[#This Row],[2066]]</f>
        <v>2.7309876503564126</v>
      </c>
      <c r="CY66" s="12">
        <f>Inflation_weighted[[#This Row],[2067]]/Inflation_weighted[[#This Row],[2066]]*Inflation_weighted[[#This Row],[2067]]</f>
        <v>2.785607403363541</v>
      </c>
      <c r="CZ66" s="12">
        <f>Inflation_weighted[[#This Row],[2068]]/Inflation_weighted[[#This Row],[2067]]*Inflation_weighted[[#This Row],[2068]]</f>
        <v>2.8413195514308116</v>
      </c>
      <c r="DA66" s="12">
        <f>Inflation_weighted[[#This Row],[2069]]/Inflation_weighted[[#This Row],[2068]]*Inflation_weighted[[#This Row],[2069]]</f>
        <v>2.8981459424594278</v>
      </c>
      <c r="DB66" s="12">
        <f>Inflation_weighted[[#This Row],[2070]]/Inflation_weighted[[#This Row],[2069]]*Inflation_weighted[[#This Row],[2070]]</f>
        <v>2.9561088613086164</v>
      </c>
      <c r="DC66" s="12">
        <f>Inflation_weighted[[#This Row],[2071]]/Inflation_weighted[[#This Row],[2070]]*Inflation_weighted[[#This Row],[2071]]</f>
        <v>3.0152310385347887</v>
      </c>
      <c r="DD66" s="12">
        <f>Inflation_weighted[[#This Row],[2072]]/Inflation_weighted[[#This Row],[2071]]*Inflation_weighted[[#This Row],[2072]]</f>
        <v>3.0755356593054843</v>
      </c>
      <c r="DE66" s="12">
        <f>Inflation_weighted[[#This Row],[2073]]/Inflation_weighted[[#This Row],[2072]]*Inflation_weighted[[#This Row],[2073]]</f>
        <v>3.1370463724915942</v>
      </c>
      <c r="DF66" s="12">
        <f>Inflation_weighted[[#This Row],[2074]]/Inflation_weighted[[#This Row],[2073]]*Inflation_weighted[[#This Row],[2074]]</f>
        <v>3.1997872999414261</v>
      </c>
      <c r="DG66" s="12">
        <f>Inflation_weighted[[#This Row],[2075]]/Inflation_weighted[[#This Row],[2074]]*Inflation_weighted[[#This Row],[2075]]</f>
        <v>3.2637830459402548</v>
      </c>
      <c r="DH66" s="12">
        <f>Inflation_weighted[[#This Row],[2076]]/Inflation_weighted[[#This Row],[2075]]*Inflation_weighted[[#This Row],[2076]]</f>
        <v>3.32905870685906</v>
      </c>
      <c r="DI66" s="12">
        <f>Inflation_weighted[[#This Row],[2077]]/Inflation_weighted[[#This Row],[2076]]*Inflation_weighted[[#This Row],[2077]]</f>
        <v>3.3956398809962414</v>
      </c>
      <c r="DJ66" s="12">
        <f>Inflation_weighted[[#This Row],[2078]]/Inflation_weighted[[#This Row],[2077]]*Inflation_weighted[[#This Row],[2078]]</f>
        <v>3.4635526786161663</v>
      </c>
      <c r="DK66" s="12">
        <f>Inflation_weighted[[#This Row],[2079]]/Inflation_weighted[[#This Row],[2078]]*Inflation_weighted[[#This Row],[2079]]</f>
        <v>3.5328237321884899</v>
      </c>
      <c r="DL66" s="12">
        <f>Inflation_weighted[[#This Row],[2080]]/Inflation_weighted[[#This Row],[2079]]*Inflation_weighted[[#This Row],[2080]]</f>
        <v>3.6034802068322596</v>
      </c>
      <c r="DM66" s="12">
        <f>Inflation_weighted[[#This Row],[2081]]/Inflation_weighted[[#This Row],[2080]]*Inflation_weighted[[#This Row],[2081]]</f>
        <v>3.6755498109689047</v>
      </c>
      <c r="DN66" s="12">
        <f>Inflation_weighted[[#This Row],[2082]]/Inflation_weighted[[#This Row],[2081]]*Inflation_weighted[[#This Row],[2082]]</f>
        <v>3.7490608071882829</v>
      </c>
      <c r="DO66" s="12">
        <f>Inflation_weighted[[#This Row],[2083]]/Inflation_weighted[[#This Row],[2082]]*Inflation_weighted[[#This Row],[2083]]</f>
        <v>3.8240420233320487</v>
      </c>
      <c r="DP66" s="12">
        <f>Inflation_weighted[[#This Row],[2084]]/Inflation_weighted[[#This Row],[2083]]*Inflation_weighted[[#This Row],[2084]]</f>
        <v>3.9005228637986895</v>
      </c>
      <c r="DQ66" s="12">
        <f>Inflation_weighted[[#This Row],[2085]]/Inflation_weighted[[#This Row],[2084]]*Inflation_weighted[[#This Row],[2085]]</f>
        <v>3.9785333210746634</v>
      </c>
      <c r="DR66" s="12">
        <f>Inflation_weighted[[#This Row],[2086]]/Inflation_weighted[[#This Row],[2085]]*Inflation_weighted[[#This Row],[2086]]</f>
        <v>4.0581039874961569</v>
      </c>
      <c r="DS66" s="12">
        <f>Inflation_weighted[[#This Row],[2087]]/Inflation_weighted[[#This Row],[2086]]*Inflation_weighted[[#This Row],[2087]]</f>
        <v>4.1392660672460799</v>
      </c>
      <c r="DT66" s="12">
        <f>Inflation_weighted[[#This Row],[2088]]/Inflation_weighted[[#This Row],[2087]]*Inflation_weighted[[#This Row],[2088]]</f>
        <v>4.2220513885910016</v>
      </c>
      <c r="DU66" s="12">
        <f>Inflation_weighted[[#This Row],[2089]]/Inflation_weighted[[#This Row],[2088]]*Inflation_weighted[[#This Row],[2089]]</f>
        <v>4.306492416362822</v>
      </c>
      <c r="DV66" s="12">
        <f>Inflation_weighted[[#This Row],[2090]]/Inflation_weighted[[#This Row],[2089]]*Inflation_weighted[[#This Row],[2090]]</f>
        <v>4.3926222646900781</v>
      </c>
      <c r="DW66" s="12">
        <f>Inflation_weighted[[#This Row],[2091]]/Inflation_weighted[[#This Row],[2090]]*Inflation_weighted[[#This Row],[2091]]</f>
        <v>4.4804747099838798</v>
      </c>
      <c r="DX66" s="12">
        <f>Inflation_weighted[[#This Row],[2092]]/Inflation_weighted[[#This Row],[2091]]*Inflation_weighted[[#This Row],[2092]]</f>
        <v>4.5700842041835577</v>
      </c>
      <c r="DY66" s="12">
        <f>Inflation_weighted[[#This Row],[2093]]/Inflation_weighted[[#This Row],[2092]]*Inflation_weighted[[#This Row],[2093]]</f>
        <v>4.6614858882672285</v>
      </c>
      <c r="DZ66" s="12">
        <f>Inflation_weighted[[#This Row],[2094]]/Inflation_weighted[[#This Row],[2093]]*Inflation_weighted[[#This Row],[2094]]</f>
        <v>4.7547156060325735</v>
      </c>
      <c r="EA66" s="12">
        <f>Inflation_weighted[[#This Row],[2095]]/Inflation_weighted[[#This Row],[2094]]*Inflation_weighted[[#This Row],[2095]]</f>
        <v>4.849809918153225</v>
      </c>
      <c r="EB66" s="12">
        <f>Inflation_weighted[[#This Row],[2096]]/Inflation_weighted[[#This Row],[2095]]*Inflation_weighted[[#This Row],[2096]]</f>
        <v>4.9468061165162895</v>
      </c>
    </row>
    <row r="67" spans="2:132">
      <c r="B67" s="15" t="s">
        <v>56</v>
      </c>
      <c r="C67" s="15" t="s">
        <v>55</v>
      </c>
      <c r="D67" s="13">
        <v>0.1606536985867538</v>
      </c>
      <c r="E67" s="13">
        <v>0.1748876162815402</v>
      </c>
      <c r="F67" s="13">
        <v>0.18971808614221478</v>
      </c>
      <c r="G67" s="13">
        <v>0.20104425588490502</v>
      </c>
      <c r="H67" s="13">
        <v>0.21933928317043136</v>
      </c>
      <c r="I67" s="13">
        <v>0.23741284010367492</v>
      </c>
      <c r="J67" s="13">
        <v>0.2569993994122281</v>
      </c>
      <c r="K67" s="13">
        <v>0.26455518175494763</v>
      </c>
      <c r="L67" s="13">
        <v>0.27987292677855913</v>
      </c>
      <c r="M67" s="13">
        <v>0.30153509131121958</v>
      </c>
      <c r="N67" s="13">
        <v>0.31974781082641729</v>
      </c>
      <c r="O67" s="13">
        <v>0.34158658630586158</v>
      </c>
      <c r="P67" s="13">
        <v>0.37130461931447151</v>
      </c>
      <c r="Q67" s="13">
        <v>0.39168924291483598</v>
      </c>
      <c r="R67" s="13">
        <v>0.4085318803601739</v>
      </c>
      <c r="S67" s="13">
        <v>0.42078783677097914</v>
      </c>
      <c r="T67" s="13">
        <v>0.43602035646208864</v>
      </c>
      <c r="U67" s="13">
        <v>0.43602035646208864</v>
      </c>
      <c r="V67" s="13">
        <v>0.44583081448248563</v>
      </c>
      <c r="W67" s="13">
        <v>0.45581742472689335</v>
      </c>
      <c r="X67" s="13">
        <v>0.47213568853211607</v>
      </c>
      <c r="Y67" s="13">
        <v>0.48969913614551075</v>
      </c>
      <c r="Z67" s="13">
        <v>0.50918916176410212</v>
      </c>
      <c r="AA67" s="13">
        <v>0.53047326872584155</v>
      </c>
      <c r="AB67" s="13">
        <v>0.55073734759116877</v>
      </c>
      <c r="AC67" s="13">
        <v>0.55569398371948919</v>
      </c>
      <c r="AD67" s="13">
        <v>0.56402939347528147</v>
      </c>
      <c r="AE67" s="13">
        <v>0.57530998134478706</v>
      </c>
      <c r="AF67" s="13">
        <v>0.59113100583176881</v>
      </c>
      <c r="AG67" s="13">
        <v>0.60797823949797425</v>
      </c>
      <c r="AH67" s="13">
        <v>0.62864949964090544</v>
      </c>
      <c r="AI67" s="13">
        <v>0.65698830902296512</v>
      </c>
      <c r="AJ67" s="13">
        <v>0.68304081260528304</v>
      </c>
      <c r="AK67" s="13">
        <v>0.71296534400763933</v>
      </c>
      <c r="AL67" s="13">
        <v>0.74305840854453764</v>
      </c>
      <c r="AM67" s="13">
        <v>0.77352380329486359</v>
      </c>
      <c r="AN67" s="13">
        <v>0.80172280772227922</v>
      </c>
      <c r="AO67" s="13">
        <v>0.82735743065226397</v>
      </c>
      <c r="AP67" s="13">
        <v>0.84737855063183487</v>
      </c>
      <c r="AQ67" s="13">
        <v>0.87432752268845138</v>
      </c>
      <c r="AR67" s="13">
        <v>0.90757433259199671</v>
      </c>
      <c r="AS67" s="13">
        <v>0.92991428470879856</v>
      </c>
      <c r="AT67" s="13">
        <v>0.93449514325416205</v>
      </c>
      <c r="AU67" s="13">
        <v>0.93449514325416205</v>
      </c>
      <c r="AV67" s="13">
        <v>0.93449514325416205</v>
      </c>
      <c r="AW67" s="13">
        <v>0.9415038568285683</v>
      </c>
      <c r="AX67" s="13">
        <v>0.95091889539685392</v>
      </c>
      <c r="AY67" s="13">
        <v>0.96257296096599787</v>
      </c>
      <c r="AZ67" s="13">
        <v>0.98088043615501641</v>
      </c>
      <c r="BA67" s="13">
        <v>1</v>
      </c>
      <c r="BB67" s="13">
        <v>1.0189999999999999</v>
      </c>
      <c r="BC67" s="13">
        <v>1.0383609999999999</v>
      </c>
      <c r="BD67" s="13">
        <v>1.0596546948772487</v>
      </c>
      <c r="BE67" s="13">
        <v>1.0819074434696707</v>
      </c>
      <c r="BF67" s="13">
        <v>1.1046274997825338</v>
      </c>
      <c r="BG67" s="13">
        <v>1.1278246772779668</v>
      </c>
      <c r="BH67" s="12">
        <v>1.151508995500804</v>
      </c>
      <c r="BI67" s="12">
        <v>1.1756906844063209</v>
      </c>
      <c r="BJ67" s="12">
        <v>1.2003801887788532</v>
      </c>
      <c r="BK67" s="12">
        <v>1.225588172743209</v>
      </c>
      <c r="BL67" s="12">
        <v>1.2513255243708163</v>
      </c>
      <c r="BM67" s="12">
        <v>1.2776033603826034</v>
      </c>
      <c r="BN67" s="12">
        <v>1.304433030950638</v>
      </c>
      <c r="BO67" s="12">
        <v>1.3318261246006013</v>
      </c>
      <c r="BP67" s="12">
        <v>1.3597944732172138</v>
      </c>
      <c r="BQ67" s="12">
        <v>1.3883501571547752</v>
      </c>
      <c r="BR67" s="12">
        <v>1.4175055104550254</v>
      </c>
      <c r="BS67" s="12">
        <v>1.4472731261745808</v>
      </c>
      <c r="BT67" s="12">
        <v>1.4776658618242471</v>
      </c>
      <c r="BU67" s="12">
        <v>1.508696844922556</v>
      </c>
      <c r="BV67" s="12">
        <v>1.5403794786659295</v>
      </c>
      <c r="BW67" s="12">
        <v>1.5727274477179138</v>
      </c>
      <c r="BX67" s="12">
        <v>1.6057547241199899</v>
      </c>
      <c r="BY67" s="12">
        <v>1.6394755733265096</v>
      </c>
      <c r="BZ67" s="12">
        <v>1.6739045603663663</v>
      </c>
      <c r="CA67" s="12">
        <v>1.7090565561340598</v>
      </c>
      <c r="CB67" s="12">
        <v>1.7449467438128747</v>
      </c>
      <c r="CC67" s="12">
        <v>1.781590625432945</v>
      </c>
      <c r="CD67" s="12">
        <v>1.8190040285670366</v>
      </c>
      <c r="CE67" s="12">
        <v>1.8572031131669442</v>
      </c>
      <c r="CF67" s="12">
        <v>1.8962043785434499</v>
      </c>
      <c r="CG67" s="12">
        <v>1.9360246704928623</v>
      </c>
      <c r="CH67" s="12">
        <v>1.9766811885732121</v>
      </c>
      <c r="CI67" s="12">
        <v>2.0181914935332492</v>
      </c>
      <c r="CJ67" s="12">
        <v>2.0605735148974471</v>
      </c>
      <c r="CK67" s="12">
        <v>2.1038455587102933</v>
      </c>
      <c r="CL67" s="12">
        <v>2.1480263154432095</v>
      </c>
      <c r="CM67" s="12">
        <v>2.1931348680675162</v>
      </c>
      <c r="CN67" s="12">
        <v>2.2391907002969345</v>
      </c>
      <c r="CO67" s="12">
        <v>2.2862137050031697</v>
      </c>
      <c r="CP67" s="12">
        <v>2.3342241928082363</v>
      </c>
      <c r="CQ67" s="12">
        <v>2.3832429008572094</v>
      </c>
      <c r="CR67" s="12">
        <f>Inflation_weighted[[#This Row],[2060]]/Inflation_weighted[[#This Row],[2059]]*Inflation_weighted[[#This Row],[2060]]</f>
        <v>2.4332910017752112</v>
      </c>
      <c r="CS67" s="12">
        <f>Inflation_weighted[[#This Row],[2061]]/Inflation_weighted[[#This Row],[2060]]*Inflation_weighted[[#This Row],[2061]]</f>
        <v>2.4843901128124908</v>
      </c>
      <c r="CT67" s="12">
        <f>Inflation_weighted[[#This Row],[2062]]/Inflation_weighted[[#This Row],[2061]]*Inflation_weighted[[#This Row],[2062]]</f>
        <v>2.5365623051815533</v>
      </c>
      <c r="CU67" s="12">
        <f>Inflation_weighted[[#This Row],[2063]]/Inflation_weighted[[#This Row],[2062]]*Inflation_weighted[[#This Row],[2063]]</f>
        <v>2.5898301135903661</v>
      </c>
      <c r="CV67" s="12">
        <f>Inflation_weighted[[#This Row],[2064]]/Inflation_weighted[[#This Row],[2063]]*Inflation_weighted[[#This Row],[2064]]</f>
        <v>2.6442165459757643</v>
      </c>
      <c r="CW67" s="12">
        <f>Inflation_weighted[[#This Row],[2065]]/Inflation_weighted[[#This Row],[2064]]*Inflation_weighted[[#This Row],[2065]]</f>
        <v>2.6997450934412557</v>
      </c>
      <c r="CX67" s="12">
        <f>Inflation_weighted[[#This Row],[2066]]/Inflation_weighted[[#This Row],[2065]]*Inflation_weighted[[#This Row],[2066]]</f>
        <v>2.7564397404035224</v>
      </c>
      <c r="CY67" s="12">
        <f>Inflation_weighted[[#This Row],[2067]]/Inflation_weighted[[#This Row],[2066]]*Inflation_weighted[[#This Row],[2067]]</f>
        <v>2.8143249749519965</v>
      </c>
      <c r="CZ67" s="12">
        <f>Inflation_weighted[[#This Row],[2068]]/Inflation_weighted[[#This Row],[2067]]*Inflation_weighted[[#This Row],[2068]]</f>
        <v>2.8734257994259886</v>
      </c>
      <c r="DA67" s="12">
        <f>Inflation_weighted[[#This Row],[2069]]/Inflation_weighted[[#This Row],[2068]]*Inflation_weighted[[#This Row],[2069]]</f>
        <v>2.9337677412139347</v>
      </c>
      <c r="DB67" s="12">
        <f>Inflation_weighted[[#This Row],[2070]]/Inflation_weighted[[#This Row],[2069]]*Inflation_weighted[[#This Row],[2070]]</f>
        <v>2.9953768637794278</v>
      </c>
      <c r="DC67" s="12">
        <f>Inflation_weighted[[#This Row],[2071]]/Inflation_weighted[[#This Row],[2070]]*Inflation_weighted[[#This Row],[2071]]</f>
        <v>3.0582797779187962</v>
      </c>
      <c r="DD67" s="12">
        <f>Inflation_weighted[[#This Row],[2072]]/Inflation_weighted[[#This Row],[2071]]*Inflation_weighted[[#This Row],[2072]]</f>
        <v>3.1225036532550914</v>
      </c>
      <c r="DE67" s="12">
        <f>Inflation_weighted[[#This Row],[2073]]/Inflation_weighted[[#This Row],[2072]]*Inflation_weighted[[#This Row],[2073]]</f>
        <v>3.1880762299734489</v>
      </c>
      <c r="DF67" s="12">
        <f>Inflation_weighted[[#This Row],[2074]]/Inflation_weighted[[#This Row],[2073]]*Inflation_weighted[[#This Row],[2074]]</f>
        <v>3.2550258308028917</v>
      </c>
      <c r="DG67" s="12">
        <f>Inflation_weighted[[#This Row],[2075]]/Inflation_weighted[[#This Row],[2074]]*Inflation_weighted[[#This Row],[2075]]</f>
        <v>3.3233813732497528</v>
      </c>
      <c r="DH67" s="12">
        <f>Inflation_weighted[[#This Row],[2076]]/Inflation_weighted[[#This Row],[2075]]*Inflation_weighted[[#This Row],[2076]]</f>
        <v>3.393172382087998</v>
      </c>
      <c r="DI67" s="12">
        <f>Inflation_weighted[[#This Row],[2077]]/Inflation_weighted[[#This Row],[2076]]*Inflation_weighted[[#This Row],[2077]]</f>
        <v>3.4644290021118462</v>
      </c>
      <c r="DJ67" s="12">
        <f>Inflation_weighted[[#This Row],[2078]]/Inflation_weighted[[#This Row],[2077]]*Inflation_weighted[[#This Row],[2078]]</f>
        <v>3.5371820111561956</v>
      </c>
      <c r="DK67" s="12">
        <f>Inflation_weighted[[#This Row],[2079]]/Inflation_weighted[[#This Row],[2078]]*Inflation_weighted[[#This Row],[2079]]</f>
        <v>3.6114628333904761</v>
      </c>
      <c r="DL67" s="12">
        <f>Inflation_weighted[[#This Row],[2080]]/Inflation_weighted[[#This Row],[2079]]*Inflation_weighted[[#This Row],[2080]]</f>
        <v>3.6873035528916764</v>
      </c>
      <c r="DM67" s="12">
        <f>Inflation_weighted[[#This Row],[2081]]/Inflation_weighted[[#This Row],[2080]]*Inflation_weighted[[#This Row],[2081]]</f>
        <v>3.7647369275024021</v>
      </c>
      <c r="DN67" s="12">
        <f>Inflation_weighted[[#This Row],[2082]]/Inflation_weighted[[#This Row],[2081]]*Inflation_weighted[[#This Row],[2082]]</f>
        <v>3.8437964029799532</v>
      </c>
      <c r="DO67" s="12">
        <f>Inflation_weighted[[#This Row],[2083]]/Inflation_weighted[[#This Row],[2082]]*Inflation_weighted[[#This Row],[2083]]</f>
        <v>3.9245161274425326</v>
      </c>
      <c r="DP67" s="12">
        <f>Inflation_weighted[[#This Row],[2084]]/Inflation_weighted[[#This Row],[2083]]*Inflation_weighted[[#This Row],[2084]]</f>
        <v>4.0069309661188264</v>
      </c>
      <c r="DQ67" s="12">
        <f>Inflation_weighted[[#This Row],[2085]]/Inflation_weighted[[#This Row],[2084]]*Inflation_weighted[[#This Row],[2085]]</f>
        <v>4.0910765164073224</v>
      </c>
      <c r="DR67" s="12">
        <f>Inflation_weighted[[#This Row],[2086]]/Inflation_weighted[[#This Row],[2085]]*Inflation_weighted[[#This Row],[2086]]</f>
        <v>4.176989123251877</v>
      </c>
      <c r="DS67" s="12">
        <f>Inflation_weighted[[#This Row],[2087]]/Inflation_weighted[[#This Row],[2086]]*Inflation_weighted[[#This Row],[2087]]</f>
        <v>4.2647058948401666</v>
      </c>
      <c r="DT67" s="12">
        <f>Inflation_weighted[[#This Row],[2088]]/Inflation_weighted[[#This Row],[2087]]*Inflation_weighted[[#This Row],[2088]]</f>
        <v>4.3542647186318106</v>
      </c>
      <c r="DU67" s="12">
        <f>Inflation_weighted[[#This Row],[2089]]/Inflation_weighted[[#This Row],[2088]]*Inflation_weighted[[#This Row],[2089]]</f>
        <v>4.4457042777230793</v>
      </c>
      <c r="DV67" s="12">
        <f>Inflation_weighted[[#This Row],[2090]]/Inflation_weighted[[#This Row],[2089]]*Inflation_weighted[[#This Row],[2090]]</f>
        <v>4.5390640675552643</v>
      </c>
      <c r="DW67" s="12">
        <f>Inflation_weighted[[#This Row],[2091]]/Inflation_weighted[[#This Row],[2090]]*Inflation_weighted[[#This Row],[2091]]</f>
        <v>4.6343844129739251</v>
      </c>
      <c r="DX67" s="12">
        <f>Inflation_weighted[[#This Row],[2092]]/Inflation_weighted[[#This Row],[2091]]*Inflation_weighted[[#This Row],[2092]]</f>
        <v>4.7317064856463782</v>
      </c>
      <c r="DY67" s="12">
        <f>Inflation_weighted[[#This Row],[2093]]/Inflation_weighted[[#This Row],[2092]]*Inflation_weighted[[#This Row],[2093]]</f>
        <v>4.8310723218449532</v>
      </c>
      <c r="DZ67" s="12">
        <f>Inflation_weighted[[#This Row],[2094]]/Inflation_weighted[[#This Row],[2093]]*Inflation_weighted[[#This Row],[2094]]</f>
        <v>4.9325248406036977</v>
      </c>
      <c r="EA67" s="12">
        <f>Inflation_weighted[[#This Row],[2095]]/Inflation_weighted[[#This Row],[2094]]*Inflation_weighted[[#This Row],[2095]]</f>
        <v>5.036107862256376</v>
      </c>
      <c r="EB67" s="12">
        <f>Inflation_weighted[[#This Row],[2096]]/Inflation_weighted[[#This Row],[2095]]*Inflation_weighted[[#This Row],[2096]]</f>
        <v>5.1418661273637607</v>
      </c>
    </row>
    <row r="68" spans="2:132">
      <c r="B68" s="15" t="s">
        <v>54</v>
      </c>
      <c r="C68" s="15" t="s">
        <v>53</v>
      </c>
      <c r="D68" s="13">
        <v>0.12988240827922204</v>
      </c>
      <c r="E68" s="13">
        <v>0.13580240792241696</v>
      </c>
      <c r="F68" s="13">
        <v>0.14100723982348096</v>
      </c>
      <c r="G68" s="13">
        <v>0.14684777638421681</v>
      </c>
      <c r="H68" s="13">
        <v>0.15550925237224691</v>
      </c>
      <c r="I68" s="13">
        <v>0.17895086169764948</v>
      </c>
      <c r="J68" s="13">
        <v>0.19234039109198958</v>
      </c>
      <c r="K68" s="13">
        <v>0.19234039109198958</v>
      </c>
      <c r="L68" s="13">
        <v>0.20811381296009945</v>
      </c>
      <c r="M68" s="13">
        <v>0.22289394629747189</v>
      </c>
      <c r="N68" s="13">
        <v>0.25765904487328073</v>
      </c>
      <c r="O68" s="13">
        <v>0.48055299117075262</v>
      </c>
      <c r="P68" s="13">
        <v>0.55651969800154877</v>
      </c>
      <c r="Q68" s="13">
        <v>0.61925580160292282</v>
      </c>
      <c r="R68" s="13">
        <v>0.55802949656826961</v>
      </c>
      <c r="S68" s="13">
        <v>0.4809503065830476</v>
      </c>
      <c r="T68" s="13">
        <v>0.44610574492477972</v>
      </c>
      <c r="U68" s="13">
        <v>0.38654816462176539</v>
      </c>
      <c r="V68" s="13">
        <v>0.35492185780308655</v>
      </c>
      <c r="W68" s="13">
        <v>0.29750978072646506</v>
      </c>
      <c r="X68" s="13">
        <v>0.29774816997384207</v>
      </c>
      <c r="Y68" s="13">
        <v>0.26564508466040937</v>
      </c>
      <c r="Z68" s="13">
        <v>0.49731970156959981</v>
      </c>
      <c r="AA68" s="13">
        <v>0.33171863772506099</v>
      </c>
      <c r="AB68" s="13">
        <v>0.33632749650768251</v>
      </c>
      <c r="AC68" s="13">
        <v>0.3837669567357006</v>
      </c>
      <c r="AD68" s="13">
        <v>0.33616857034276454</v>
      </c>
      <c r="AE68" s="13">
        <v>0.35500132088554553</v>
      </c>
      <c r="AF68" s="13">
        <v>0.35961017966816711</v>
      </c>
      <c r="AG68" s="13">
        <v>0.43045151768035822</v>
      </c>
      <c r="AH68" s="13">
        <v>0.3925873588886486</v>
      </c>
      <c r="AI68" s="13">
        <v>0.29326275708982052</v>
      </c>
      <c r="AJ68" s="13">
        <v>0.47772503129931759</v>
      </c>
      <c r="AK68" s="13">
        <v>0.4729477809863244</v>
      </c>
      <c r="AL68" s="13">
        <v>0.39727613602851253</v>
      </c>
      <c r="AM68" s="13">
        <v>0.430250055318879</v>
      </c>
      <c r="AN68" s="13">
        <v>0.57223257357410906</v>
      </c>
      <c r="AO68" s="13">
        <v>0.91385541999785225</v>
      </c>
      <c r="AP68" s="13">
        <v>0.92664939587782214</v>
      </c>
      <c r="AQ68" s="13">
        <v>1.2519033338309378</v>
      </c>
      <c r="AR68" s="13">
        <v>0.86130949367568499</v>
      </c>
      <c r="AS68" s="13">
        <v>1.0792207955756334</v>
      </c>
      <c r="AT68" s="13">
        <v>1.3403922281049365</v>
      </c>
      <c r="AU68" s="13">
        <v>1.3819443871761896</v>
      </c>
      <c r="AV68" s="13">
        <v>1.4980277156989898</v>
      </c>
      <c r="AW68" s="13">
        <v>1.4545849119437191</v>
      </c>
      <c r="AX68" s="13">
        <v>1.3687644021390395</v>
      </c>
      <c r="AY68" s="13">
        <v>0.94718496628021531</v>
      </c>
      <c r="AZ68" s="13">
        <v>1.0040160642570282</v>
      </c>
      <c r="BA68" s="13">
        <v>1</v>
      </c>
      <c r="BB68" s="13">
        <v>1.0040000000000002</v>
      </c>
      <c r="BC68" s="13">
        <v>1.012032</v>
      </c>
      <c r="BD68" s="13">
        <v>1.024176384</v>
      </c>
      <c r="BE68" s="13">
        <v>1.0487566172160003</v>
      </c>
      <c r="BF68" s="13">
        <v>1.0749755326463999</v>
      </c>
      <c r="BG68" s="13">
        <v>1.1018499209625598</v>
      </c>
      <c r="BH68" s="12">
        <v>1.1293961689866239</v>
      </c>
      <c r="BI68" s="12">
        <v>1.1576310732112893</v>
      </c>
      <c r="BJ68" s="12">
        <v>1.1865718500415714</v>
      </c>
      <c r="BK68" s="12">
        <v>1.2162361462926108</v>
      </c>
      <c r="BL68" s="12">
        <v>1.246642049949926</v>
      </c>
      <c r="BM68" s="12">
        <v>1.2778081011986742</v>
      </c>
      <c r="BN68" s="12">
        <v>1.3097533037286408</v>
      </c>
      <c r="BO68" s="12">
        <v>1.3424971363218567</v>
      </c>
      <c r="BP68" s="12">
        <v>1.376059564729903</v>
      </c>
      <c r="BQ68" s="12">
        <v>1.4104610538481506</v>
      </c>
      <c r="BR68" s="12">
        <v>1.4457225801943543</v>
      </c>
      <c r="BS68" s="12">
        <v>1.4818656446992129</v>
      </c>
      <c r="BT68" s="12">
        <v>1.518912285816693</v>
      </c>
      <c r="BU68" s="12">
        <v>1.5568850929621103</v>
      </c>
      <c r="BV68" s="12">
        <v>1.5958072202861628</v>
      </c>
      <c r="BW68" s="12">
        <v>1.635702400793317</v>
      </c>
      <c r="BX68" s="12">
        <v>1.6765949608131496</v>
      </c>
      <c r="BY68" s="12">
        <v>1.7185098348334782</v>
      </c>
      <c r="BZ68" s="12">
        <v>1.761472580704315</v>
      </c>
      <c r="CA68" s="12">
        <v>1.8055093952219226</v>
      </c>
      <c r="CB68" s="12">
        <v>1.8506471301024703</v>
      </c>
      <c r="CC68" s="12">
        <v>1.896913308355032</v>
      </c>
      <c r="CD68" s="12">
        <v>1.9443361410639075</v>
      </c>
      <c r="CE68" s="12">
        <v>1.992944544590505</v>
      </c>
      <c r="CF68" s="12">
        <v>2.0427681582052672</v>
      </c>
      <c r="CG68" s="12">
        <v>2.0938373621603987</v>
      </c>
      <c r="CH68" s="12">
        <v>2.1461832962144087</v>
      </c>
      <c r="CI68" s="12">
        <v>2.1998378786197685</v>
      </c>
      <c r="CJ68" s="12">
        <v>2.2548338255852629</v>
      </c>
      <c r="CK68" s="12">
        <v>2.3112046712248939</v>
      </c>
      <c r="CL68" s="12">
        <v>2.3689847880055162</v>
      </c>
      <c r="CM68" s="12">
        <v>2.428209407705654</v>
      </c>
      <c r="CN68" s="12">
        <v>2.4889146428982949</v>
      </c>
      <c r="CO68" s="12">
        <v>2.5511375089707515</v>
      </c>
      <c r="CP68" s="12">
        <v>2.6149159466950205</v>
      </c>
      <c r="CQ68" s="12">
        <v>2.6802888453623956</v>
      </c>
      <c r="CR68" s="12">
        <f>Inflation_weighted[[#This Row],[2060]]/Inflation_weighted[[#This Row],[2059]]*Inflation_weighted[[#This Row],[2060]]</f>
        <v>2.7472960664964554</v>
      </c>
      <c r="CS68" s="12">
        <f>Inflation_weighted[[#This Row],[2061]]/Inflation_weighted[[#This Row],[2060]]*Inflation_weighted[[#This Row],[2061]]</f>
        <v>2.8159784681588667</v>
      </c>
      <c r="CT68" s="12">
        <f>Inflation_weighted[[#This Row],[2062]]/Inflation_weighted[[#This Row],[2061]]*Inflation_weighted[[#This Row],[2062]]</f>
        <v>2.8863779298628383</v>
      </c>
      <c r="CU68" s="12">
        <f>Inflation_weighted[[#This Row],[2063]]/Inflation_weighted[[#This Row],[2062]]*Inflation_weighted[[#This Row],[2063]]</f>
        <v>2.9585373781094089</v>
      </c>
      <c r="CV68" s="12">
        <f>Inflation_weighted[[#This Row],[2064]]/Inflation_weighted[[#This Row],[2063]]*Inflation_weighted[[#This Row],[2064]]</f>
        <v>3.032500812562144</v>
      </c>
      <c r="CW68" s="12">
        <f>Inflation_weighted[[#This Row],[2065]]/Inflation_weighted[[#This Row],[2064]]*Inflation_weighted[[#This Row],[2065]]</f>
        <v>3.1083133328761972</v>
      </c>
      <c r="CX68" s="12">
        <f>Inflation_weighted[[#This Row],[2066]]/Inflation_weighted[[#This Row],[2065]]*Inflation_weighted[[#This Row],[2066]]</f>
        <v>3.1860211661981017</v>
      </c>
      <c r="CY68" s="12">
        <f>Inflation_weighted[[#This Row],[2067]]/Inflation_weighted[[#This Row],[2066]]*Inflation_weighted[[#This Row],[2067]]</f>
        <v>3.265671695353054</v>
      </c>
      <c r="CZ68" s="12">
        <f>Inflation_weighted[[#This Row],[2068]]/Inflation_weighted[[#This Row],[2067]]*Inflation_weighted[[#This Row],[2068]]</f>
        <v>3.34731348773688</v>
      </c>
      <c r="DA68" s="12">
        <f>Inflation_weighted[[#This Row],[2069]]/Inflation_weighted[[#This Row],[2068]]*Inflation_weighted[[#This Row],[2069]]</f>
        <v>3.4309963249303017</v>
      </c>
      <c r="DB68" s="12">
        <f>Inflation_weighted[[#This Row],[2070]]/Inflation_weighted[[#This Row],[2069]]*Inflation_weighted[[#This Row],[2070]]</f>
        <v>3.516771233053559</v>
      </c>
      <c r="DC68" s="12">
        <f>Inflation_weighted[[#This Row],[2071]]/Inflation_weighted[[#This Row],[2070]]*Inflation_weighted[[#This Row],[2071]]</f>
        <v>3.6046905138798975</v>
      </c>
      <c r="DD68" s="12">
        <f>Inflation_weighted[[#This Row],[2072]]/Inflation_weighted[[#This Row],[2071]]*Inflation_weighted[[#This Row],[2072]]</f>
        <v>3.6948077767268948</v>
      </c>
      <c r="DE68" s="12">
        <f>Inflation_weighted[[#This Row],[2073]]/Inflation_weighted[[#This Row],[2072]]*Inflation_weighted[[#This Row],[2073]]</f>
        <v>3.7871779711450668</v>
      </c>
      <c r="DF68" s="12">
        <f>Inflation_weighted[[#This Row],[2074]]/Inflation_weighted[[#This Row],[2073]]*Inflation_weighted[[#This Row],[2074]]</f>
        <v>3.8818574204236933</v>
      </c>
      <c r="DG68" s="12">
        <f>Inflation_weighted[[#This Row],[2075]]/Inflation_weighted[[#This Row],[2074]]*Inflation_weighted[[#This Row],[2075]]</f>
        <v>3.9789038559342851</v>
      </c>
      <c r="DH68" s="12">
        <f>Inflation_weighted[[#This Row],[2076]]/Inflation_weighted[[#This Row],[2075]]*Inflation_weighted[[#This Row],[2076]]</f>
        <v>4.078376452332642</v>
      </c>
      <c r="DI68" s="12">
        <f>Inflation_weighted[[#This Row],[2077]]/Inflation_weighted[[#This Row],[2076]]*Inflation_weighted[[#This Row],[2077]]</f>
        <v>4.1803358636409573</v>
      </c>
      <c r="DJ68" s="12">
        <f>Inflation_weighted[[#This Row],[2078]]/Inflation_weighted[[#This Row],[2077]]*Inflation_weighted[[#This Row],[2078]]</f>
        <v>4.2848442602319805</v>
      </c>
      <c r="DK68" s="12">
        <f>Inflation_weighted[[#This Row],[2079]]/Inflation_weighted[[#This Row],[2078]]*Inflation_weighted[[#This Row],[2079]]</f>
        <v>4.3919653667377796</v>
      </c>
      <c r="DL68" s="12">
        <f>Inflation_weighted[[#This Row],[2080]]/Inflation_weighted[[#This Row],[2079]]*Inflation_weighted[[#This Row],[2080]]</f>
        <v>4.5017645009062237</v>
      </c>
      <c r="DM68" s="12">
        <f>Inflation_weighted[[#This Row],[2081]]/Inflation_weighted[[#This Row],[2080]]*Inflation_weighted[[#This Row],[2081]]</f>
        <v>4.6143086134288787</v>
      </c>
      <c r="DN68" s="12">
        <f>Inflation_weighted[[#This Row],[2082]]/Inflation_weighted[[#This Row],[2081]]*Inflation_weighted[[#This Row],[2082]]</f>
        <v>4.7296663287646004</v>
      </c>
      <c r="DO68" s="12">
        <f>Inflation_weighted[[#This Row],[2083]]/Inflation_weighted[[#This Row],[2082]]*Inflation_weighted[[#This Row],[2083]]</f>
        <v>4.8479079869837154</v>
      </c>
      <c r="DP68" s="12">
        <f>Inflation_weighted[[#This Row],[2084]]/Inflation_weighted[[#This Row],[2083]]*Inflation_weighted[[#This Row],[2084]]</f>
        <v>4.9691056866583079</v>
      </c>
      <c r="DQ68" s="12">
        <f>Inflation_weighted[[#This Row],[2085]]/Inflation_weighted[[#This Row],[2084]]*Inflation_weighted[[#This Row],[2085]]</f>
        <v>5.0933333288247651</v>
      </c>
      <c r="DR68" s="12">
        <f>Inflation_weighted[[#This Row],[2086]]/Inflation_weighted[[#This Row],[2085]]*Inflation_weighted[[#This Row],[2086]]</f>
        <v>5.2206666620453834</v>
      </c>
      <c r="DS68" s="12">
        <f>Inflation_weighted[[#This Row],[2087]]/Inflation_weighted[[#This Row],[2086]]*Inflation_weighted[[#This Row],[2087]]</f>
        <v>5.3511833285965178</v>
      </c>
      <c r="DT68" s="12">
        <f>Inflation_weighted[[#This Row],[2088]]/Inflation_weighted[[#This Row],[2087]]*Inflation_weighted[[#This Row],[2088]]</f>
        <v>5.4849629118114303</v>
      </c>
      <c r="DU68" s="12">
        <f>Inflation_weighted[[#This Row],[2089]]/Inflation_weighted[[#This Row],[2088]]*Inflation_weighted[[#This Row],[2089]]</f>
        <v>5.6220869846067156</v>
      </c>
      <c r="DV68" s="12">
        <f>Inflation_weighted[[#This Row],[2090]]/Inflation_weighted[[#This Row],[2089]]*Inflation_weighted[[#This Row],[2090]]</f>
        <v>5.7626391592218829</v>
      </c>
      <c r="DW68" s="12">
        <f>Inflation_weighted[[#This Row],[2091]]/Inflation_weighted[[#This Row],[2090]]*Inflation_weighted[[#This Row],[2091]]</f>
        <v>5.9067051382024296</v>
      </c>
      <c r="DX68" s="12">
        <f>Inflation_weighted[[#This Row],[2092]]/Inflation_weighted[[#This Row],[2091]]*Inflation_weighted[[#This Row],[2092]]</f>
        <v>6.0543727666574902</v>
      </c>
      <c r="DY68" s="12">
        <f>Inflation_weighted[[#This Row],[2093]]/Inflation_weighted[[#This Row],[2092]]*Inflation_weighted[[#This Row],[2093]]</f>
        <v>6.2057320858239269</v>
      </c>
      <c r="DZ68" s="12">
        <f>Inflation_weighted[[#This Row],[2094]]/Inflation_weighted[[#This Row],[2093]]*Inflation_weighted[[#This Row],[2094]]</f>
        <v>6.3608753879695241</v>
      </c>
      <c r="EA68" s="12">
        <f>Inflation_weighted[[#This Row],[2095]]/Inflation_weighted[[#This Row],[2094]]*Inflation_weighted[[#This Row],[2095]]</f>
        <v>6.5198972726687616</v>
      </c>
      <c r="EB68" s="12">
        <f>Inflation_weighted[[#This Row],[2096]]/Inflation_weighted[[#This Row],[2095]]*Inflation_weighted[[#This Row],[2096]]</f>
        <v>6.6828947044854798</v>
      </c>
    </row>
    <row r="69" spans="2:132">
      <c r="B69" s="15" t="s">
        <v>52</v>
      </c>
      <c r="C69" s="15" t="s">
        <v>51</v>
      </c>
      <c r="D69" s="13">
        <v>0.11720500304092471</v>
      </c>
      <c r="E69" s="13">
        <v>0.12695645929392962</v>
      </c>
      <c r="F69" s="13">
        <v>0.1481327967041571</v>
      </c>
      <c r="G69" s="13">
        <v>0.1665753298938247</v>
      </c>
      <c r="H69" s="13">
        <v>0.17788579479361541</v>
      </c>
      <c r="I69" s="13">
        <v>0.18966183440895276</v>
      </c>
      <c r="J69" s="13">
        <v>0.19933458796380935</v>
      </c>
      <c r="K69" s="13">
        <v>0.20180633685456059</v>
      </c>
      <c r="L69" s="13">
        <v>0.21068581567616126</v>
      </c>
      <c r="M69" s="13">
        <v>0.2253916856103573</v>
      </c>
      <c r="N69" s="13">
        <v>0.23880249090417358</v>
      </c>
      <c r="O69" s="13">
        <v>0.25587686900382201</v>
      </c>
      <c r="P69" s="13">
        <v>0.29645894042782817</v>
      </c>
      <c r="Q69" s="13">
        <v>0.33710346116048345</v>
      </c>
      <c r="R69" s="13">
        <v>0.35058759960690278</v>
      </c>
      <c r="S69" s="13">
        <v>0.36110522759510993</v>
      </c>
      <c r="T69" s="13">
        <v>0.37554943669891427</v>
      </c>
      <c r="U69" s="13">
        <v>0.38681591979988172</v>
      </c>
      <c r="V69" s="13">
        <v>0.39551927799537906</v>
      </c>
      <c r="W69" s="13">
        <v>0.40437890982247549</v>
      </c>
      <c r="X69" s="13">
        <v>0.41885567479412011</v>
      </c>
      <c r="Y69" s="13">
        <v>0.4344371058964614</v>
      </c>
      <c r="Z69" s="13">
        <v>0.45172770271114054</v>
      </c>
      <c r="AA69" s="13">
        <v>0.47060992068446628</v>
      </c>
      <c r="AB69" s="13">
        <v>0.48858721965461288</v>
      </c>
      <c r="AC69" s="13">
        <v>0.50109505247777097</v>
      </c>
      <c r="AD69" s="13">
        <v>0.5136224287897152</v>
      </c>
      <c r="AE69" s="13">
        <v>0.52620617829506322</v>
      </c>
      <c r="AF69" s="13">
        <v>0.54120305437647243</v>
      </c>
      <c r="AG69" s="13">
        <v>0.55662734142620196</v>
      </c>
      <c r="AH69" s="13">
        <v>0.57555267103469288</v>
      </c>
      <c r="AI69" s="13">
        <v>0.60149793535623342</v>
      </c>
      <c r="AJ69" s="13">
        <v>0.62534999923683643</v>
      </c>
      <c r="AK69" s="13">
        <v>0.66363142844090917</v>
      </c>
      <c r="AL69" s="13">
        <v>0.69829248623503626</v>
      </c>
      <c r="AM69" s="13">
        <v>0.7281990836444816</v>
      </c>
      <c r="AN69" s="13">
        <v>0.75483365589830576</v>
      </c>
      <c r="AO69" s="13">
        <v>0.77896902532703471</v>
      </c>
      <c r="AP69" s="13">
        <v>0.79781920028001307</v>
      </c>
      <c r="AQ69" s="13">
        <v>0.82319204848173688</v>
      </c>
      <c r="AR69" s="13">
        <v>0.85449440239349239</v>
      </c>
      <c r="AS69" s="13">
        <v>0.88458497549774395</v>
      </c>
      <c r="AT69" s="13">
        <v>0.90128210994017199</v>
      </c>
      <c r="AU69" s="13">
        <v>0.9152566652083981</v>
      </c>
      <c r="AV69" s="13">
        <v>0.93058992756209713</v>
      </c>
      <c r="AW69" s="13">
        <v>0.94150385682856841</v>
      </c>
      <c r="AX69" s="13">
        <v>0.95091889539685404</v>
      </c>
      <c r="AY69" s="13">
        <v>0.96257296096599787</v>
      </c>
      <c r="AZ69" s="13">
        <v>0.98088043615501641</v>
      </c>
      <c r="BA69" s="13">
        <v>1</v>
      </c>
      <c r="BB69" s="13">
        <v>1.0189999999999999</v>
      </c>
      <c r="BC69" s="13">
        <v>1.0383609999999999</v>
      </c>
      <c r="BD69" s="13">
        <v>1.0596546948772487</v>
      </c>
      <c r="BE69" s="13">
        <v>1.0819074434696709</v>
      </c>
      <c r="BF69" s="13">
        <v>1.1046274997825341</v>
      </c>
      <c r="BG69" s="13">
        <v>1.127824677277967</v>
      </c>
      <c r="BH69" s="12">
        <v>1.1515089955008042</v>
      </c>
      <c r="BI69" s="12">
        <v>1.1756906844063211</v>
      </c>
      <c r="BJ69" s="12">
        <v>1.2003801887788534</v>
      </c>
      <c r="BK69" s="12">
        <v>1.2255881727432092</v>
      </c>
      <c r="BL69" s="12">
        <v>1.2513255243708166</v>
      </c>
      <c r="BM69" s="12">
        <v>1.2776033603826036</v>
      </c>
      <c r="BN69" s="12">
        <v>1.3044330309506382</v>
      </c>
      <c r="BO69" s="12">
        <v>1.3318261246006016</v>
      </c>
      <c r="BP69" s="12">
        <v>1.359794473217214</v>
      </c>
      <c r="BQ69" s="12">
        <v>1.3883501571547754</v>
      </c>
      <c r="BR69" s="12">
        <v>1.4175055104550256</v>
      </c>
      <c r="BS69" s="12">
        <v>1.447273126174581</v>
      </c>
      <c r="BT69" s="12">
        <v>1.4776658618242473</v>
      </c>
      <c r="BU69" s="12">
        <v>1.5086968449225562</v>
      </c>
      <c r="BV69" s="12">
        <v>1.5403794786659299</v>
      </c>
      <c r="BW69" s="12">
        <v>1.5727274477179143</v>
      </c>
      <c r="BX69" s="12">
        <v>1.6057547241199903</v>
      </c>
      <c r="BY69" s="12">
        <v>1.6394755733265101</v>
      </c>
      <c r="BZ69" s="12">
        <v>1.6739045603663667</v>
      </c>
      <c r="CA69" s="12">
        <v>1.7090565561340603</v>
      </c>
      <c r="CB69" s="12">
        <v>1.7449467438128752</v>
      </c>
      <c r="CC69" s="12">
        <v>1.7815906254329454</v>
      </c>
      <c r="CD69" s="12">
        <v>1.819004028567037</v>
      </c>
      <c r="CE69" s="12">
        <v>1.8572031131669446</v>
      </c>
      <c r="CF69" s="12">
        <v>1.8962043785434504</v>
      </c>
      <c r="CG69" s="12">
        <v>1.9360246704928628</v>
      </c>
      <c r="CH69" s="12">
        <v>1.9766811885732125</v>
      </c>
      <c r="CI69" s="12">
        <v>2.0181914935332497</v>
      </c>
      <c r="CJ69" s="12">
        <v>2.0605735148974476</v>
      </c>
      <c r="CK69" s="12">
        <v>2.1038455587102938</v>
      </c>
      <c r="CL69" s="12">
        <v>2.14802631544321</v>
      </c>
      <c r="CM69" s="12">
        <v>2.1931348680675167</v>
      </c>
      <c r="CN69" s="12">
        <v>2.2391907002969349</v>
      </c>
      <c r="CO69" s="12">
        <v>2.2862137050031701</v>
      </c>
      <c r="CP69" s="12">
        <v>2.3342241928082368</v>
      </c>
      <c r="CQ69" s="12">
        <v>2.3832429008572098</v>
      </c>
      <c r="CR69" s="12">
        <f>Inflation_weighted[[#This Row],[2060]]/Inflation_weighted[[#This Row],[2059]]*Inflation_weighted[[#This Row],[2060]]</f>
        <v>2.4332910017752112</v>
      </c>
      <c r="CS69" s="12">
        <f>Inflation_weighted[[#This Row],[2061]]/Inflation_weighted[[#This Row],[2060]]*Inflation_weighted[[#This Row],[2061]]</f>
        <v>2.4843901128124903</v>
      </c>
      <c r="CT69" s="12">
        <f>Inflation_weighted[[#This Row],[2062]]/Inflation_weighted[[#This Row],[2061]]*Inflation_weighted[[#This Row],[2062]]</f>
        <v>2.5365623051815525</v>
      </c>
      <c r="CU69" s="12">
        <f>Inflation_weighted[[#This Row],[2063]]/Inflation_weighted[[#This Row],[2062]]*Inflation_weighted[[#This Row],[2063]]</f>
        <v>2.5898301135903647</v>
      </c>
      <c r="CV69" s="12">
        <f>Inflation_weighted[[#This Row],[2064]]/Inflation_weighted[[#This Row],[2063]]*Inflation_weighted[[#This Row],[2064]]</f>
        <v>2.6442165459757621</v>
      </c>
      <c r="CW69" s="12">
        <f>Inflation_weighted[[#This Row],[2065]]/Inflation_weighted[[#This Row],[2064]]*Inflation_weighted[[#This Row],[2065]]</f>
        <v>2.699745093441253</v>
      </c>
      <c r="CX69" s="12">
        <f>Inflation_weighted[[#This Row],[2066]]/Inflation_weighted[[#This Row],[2065]]*Inflation_weighted[[#This Row],[2066]]</f>
        <v>2.7564397404035192</v>
      </c>
      <c r="CY69" s="12">
        <f>Inflation_weighted[[#This Row],[2067]]/Inflation_weighted[[#This Row],[2066]]*Inflation_weighted[[#This Row],[2067]]</f>
        <v>2.814324974951993</v>
      </c>
      <c r="CZ69" s="12">
        <f>Inflation_weighted[[#This Row],[2068]]/Inflation_weighted[[#This Row],[2067]]*Inflation_weighted[[#This Row],[2068]]</f>
        <v>2.8734257994259846</v>
      </c>
      <c r="DA69" s="12">
        <f>Inflation_weighted[[#This Row],[2069]]/Inflation_weighted[[#This Row],[2068]]*Inflation_weighted[[#This Row],[2069]]</f>
        <v>2.9337677412139302</v>
      </c>
      <c r="DB69" s="12">
        <f>Inflation_weighted[[#This Row],[2070]]/Inflation_weighted[[#This Row],[2069]]*Inflation_weighted[[#This Row],[2070]]</f>
        <v>2.9953768637794225</v>
      </c>
      <c r="DC69" s="12">
        <f>Inflation_weighted[[#This Row],[2071]]/Inflation_weighted[[#This Row],[2070]]*Inflation_weighted[[#This Row],[2071]]</f>
        <v>3.05827977791879</v>
      </c>
      <c r="DD69" s="12">
        <f>Inflation_weighted[[#This Row],[2072]]/Inflation_weighted[[#This Row],[2071]]*Inflation_weighted[[#This Row],[2072]]</f>
        <v>3.1225036532550843</v>
      </c>
      <c r="DE69" s="12">
        <f>Inflation_weighted[[#This Row],[2073]]/Inflation_weighted[[#This Row],[2072]]*Inflation_weighted[[#This Row],[2073]]</f>
        <v>3.1880762299734409</v>
      </c>
      <c r="DF69" s="12">
        <f>Inflation_weighted[[#This Row],[2074]]/Inflation_weighted[[#This Row],[2073]]*Inflation_weighted[[#This Row],[2074]]</f>
        <v>3.2550258308028828</v>
      </c>
      <c r="DG69" s="12">
        <f>Inflation_weighted[[#This Row],[2075]]/Inflation_weighted[[#This Row],[2074]]*Inflation_weighted[[#This Row],[2075]]</f>
        <v>3.323381373249743</v>
      </c>
      <c r="DH69" s="12">
        <f>Inflation_weighted[[#This Row],[2076]]/Inflation_weighted[[#This Row],[2075]]*Inflation_weighted[[#This Row],[2076]]</f>
        <v>3.3931723820879873</v>
      </c>
      <c r="DI69" s="12">
        <f>Inflation_weighted[[#This Row],[2077]]/Inflation_weighted[[#This Row],[2076]]*Inflation_weighted[[#This Row],[2077]]</f>
        <v>3.4644290021118347</v>
      </c>
      <c r="DJ69" s="12">
        <f>Inflation_weighted[[#This Row],[2078]]/Inflation_weighted[[#This Row],[2077]]*Inflation_weighted[[#This Row],[2078]]</f>
        <v>3.5371820111561827</v>
      </c>
      <c r="DK69" s="12">
        <f>Inflation_weighted[[#This Row],[2079]]/Inflation_weighted[[#This Row],[2078]]*Inflation_weighted[[#This Row],[2079]]</f>
        <v>3.6114628333904624</v>
      </c>
      <c r="DL69" s="12">
        <f>Inflation_weighted[[#This Row],[2080]]/Inflation_weighted[[#This Row],[2079]]*Inflation_weighted[[#This Row],[2080]]</f>
        <v>3.6873035528916618</v>
      </c>
      <c r="DM69" s="12">
        <f>Inflation_weighted[[#This Row],[2081]]/Inflation_weighted[[#This Row],[2080]]*Inflation_weighted[[#This Row],[2081]]</f>
        <v>3.7647369275023865</v>
      </c>
      <c r="DN69" s="12">
        <f>Inflation_weighted[[#This Row],[2082]]/Inflation_weighted[[#This Row],[2081]]*Inflation_weighted[[#This Row],[2082]]</f>
        <v>3.8437964029799363</v>
      </c>
      <c r="DO69" s="12">
        <f>Inflation_weighted[[#This Row],[2083]]/Inflation_weighted[[#This Row],[2082]]*Inflation_weighted[[#This Row],[2083]]</f>
        <v>3.9245161274425144</v>
      </c>
      <c r="DP69" s="12">
        <f>Inflation_weighted[[#This Row],[2084]]/Inflation_weighted[[#This Row],[2083]]*Inflation_weighted[[#This Row],[2084]]</f>
        <v>4.0069309661188068</v>
      </c>
      <c r="DQ69" s="12">
        <f>Inflation_weighted[[#This Row],[2085]]/Inflation_weighted[[#This Row],[2084]]*Inflation_weighted[[#This Row],[2085]]</f>
        <v>4.0910765164073011</v>
      </c>
      <c r="DR69" s="12">
        <f>Inflation_weighted[[#This Row],[2086]]/Inflation_weighted[[#This Row],[2085]]*Inflation_weighted[[#This Row],[2086]]</f>
        <v>4.1769891232518539</v>
      </c>
      <c r="DS69" s="12">
        <f>Inflation_weighted[[#This Row],[2087]]/Inflation_weighted[[#This Row],[2086]]*Inflation_weighted[[#This Row],[2087]]</f>
        <v>4.2647058948401426</v>
      </c>
      <c r="DT69" s="12">
        <f>Inflation_weighted[[#This Row],[2088]]/Inflation_weighted[[#This Row],[2087]]*Inflation_weighted[[#This Row],[2088]]</f>
        <v>4.3542647186317849</v>
      </c>
      <c r="DU69" s="12">
        <f>Inflation_weighted[[#This Row],[2089]]/Inflation_weighted[[#This Row],[2088]]*Inflation_weighted[[#This Row],[2089]]</f>
        <v>4.4457042777230518</v>
      </c>
      <c r="DV69" s="12">
        <f>Inflation_weighted[[#This Row],[2090]]/Inflation_weighted[[#This Row],[2089]]*Inflation_weighted[[#This Row],[2090]]</f>
        <v>4.5390640675552358</v>
      </c>
      <c r="DW69" s="12">
        <f>Inflation_weighted[[#This Row],[2091]]/Inflation_weighted[[#This Row],[2090]]*Inflation_weighted[[#This Row],[2091]]</f>
        <v>4.6343844129738958</v>
      </c>
      <c r="DX69" s="12">
        <f>Inflation_weighted[[#This Row],[2092]]/Inflation_weighted[[#This Row],[2091]]*Inflation_weighted[[#This Row],[2092]]</f>
        <v>4.7317064856463471</v>
      </c>
      <c r="DY69" s="12">
        <f>Inflation_weighted[[#This Row],[2093]]/Inflation_weighted[[#This Row],[2092]]*Inflation_weighted[[#This Row],[2093]]</f>
        <v>4.8310723218449203</v>
      </c>
      <c r="DZ69" s="12">
        <f>Inflation_weighted[[#This Row],[2094]]/Inflation_weighted[[#This Row],[2093]]*Inflation_weighted[[#This Row],[2094]]</f>
        <v>4.932524840603663</v>
      </c>
      <c r="EA69" s="12">
        <f>Inflation_weighted[[#This Row],[2095]]/Inflation_weighted[[#This Row],[2094]]*Inflation_weighted[[#This Row],[2095]]</f>
        <v>5.0361078622563396</v>
      </c>
      <c r="EB69" s="12">
        <f>Inflation_weighted[[#This Row],[2096]]/Inflation_weighted[[#This Row],[2095]]*Inflation_weighted[[#This Row],[2096]]</f>
        <v>5.1418661273637225</v>
      </c>
    </row>
    <row r="70" spans="2:132">
      <c r="B70" s="15" t="s">
        <v>50</v>
      </c>
      <c r="C70" s="15" t="s">
        <v>49</v>
      </c>
      <c r="D70" s="13">
        <v>0.18837659939725118</v>
      </c>
      <c r="E70" s="13">
        <v>0.20036241991671244</v>
      </c>
      <c r="F70" s="13">
        <v>0.21492610256446054</v>
      </c>
      <c r="G70" s="13">
        <v>0.23433075427280176</v>
      </c>
      <c r="H70" s="13">
        <v>0.26198771361107132</v>
      </c>
      <c r="I70" s="13">
        <v>0.28199221132029362</v>
      </c>
      <c r="J70" s="13">
        <v>0.2953557992086262</v>
      </c>
      <c r="K70" s="13">
        <v>0.31277067888589366</v>
      </c>
      <c r="L70" s="13">
        <v>0.31510545043747057</v>
      </c>
      <c r="M70" s="13">
        <v>0.34700091367639097</v>
      </c>
      <c r="N70" s="13">
        <v>0.35514694951910392</v>
      </c>
      <c r="O70" s="13">
        <v>0.40785556315284516</v>
      </c>
      <c r="P70" s="13">
        <v>0.43269076229005626</v>
      </c>
      <c r="Q70" s="13">
        <v>0.4566496997798799</v>
      </c>
      <c r="R70" s="13">
        <v>0.47311954318185395</v>
      </c>
      <c r="S70" s="13">
        <v>0.48913336717268158</v>
      </c>
      <c r="T70" s="13">
        <v>0.50407726438257028</v>
      </c>
      <c r="U70" s="13">
        <v>0.51794114474039832</v>
      </c>
      <c r="V70" s="13">
        <v>0.53477877745488445</v>
      </c>
      <c r="W70" s="13">
        <v>0.5531750163893967</v>
      </c>
      <c r="X70" s="13">
        <v>0.57527840266136598</v>
      </c>
      <c r="Y70" s="13">
        <v>0.59152077084443755</v>
      </c>
      <c r="Z70" s="13">
        <v>0.61327423224696886</v>
      </c>
      <c r="AA70" s="13">
        <v>0.62879548343002711</v>
      </c>
      <c r="AB70" s="13">
        <v>0.63962639274023858</v>
      </c>
      <c r="AC70" s="13">
        <v>0.65740927300344754</v>
      </c>
      <c r="AD70" s="13">
        <v>0.6649087829154916</v>
      </c>
      <c r="AE70" s="13">
        <v>0.6762826739560277</v>
      </c>
      <c r="AF70" s="13">
        <v>0.68492650473270855</v>
      </c>
      <c r="AG70" s="13">
        <v>0.6945027481814986</v>
      </c>
      <c r="AH70" s="13">
        <v>0.70882044144633505</v>
      </c>
      <c r="AI70" s="13">
        <v>0.7240718073810074</v>
      </c>
      <c r="AJ70" s="13">
        <v>0.73639792856214747</v>
      </c>
      <c r="AK70" s="13">
        <v>0.75082272016977758</v>
      </c>
      <c r="AL70" s="13">
        <v>0.77009444462525634</v>
      </c>
      <c r="AM70" s="13">
        <v>0.79151347363023061</v>
      </c>
      <c r="AN70" s="13">
        <v>0.81542309329523888</v>
      </c>
      <c r="AO70" s="13">
        <v>0.83837489153385047</v>
      </c>
      <c r="AP70" s="13">
        <v>0.85598468760601654</v>
      </c>
      <c r="AQ70" s="13">
        <v>0.87186260118571135</v>
      </c>
      <c r="AR70" s="13">
        <v>0.8877416715022145</v>
      </c>
      <c r="AS70" s="13">
        <v>0.91431330262648158</v>
      </c>
      <c r="AT70" s="13">
        <v>0.93491842734388253</v>
      </c>
      <c r="AU70" s="13">
        <v>0.94870120775138767</v>
      </c>
      <c r="AV70" s="13">
        <v>0.96192519628366535</v>
      </c>
      <c r="AW70" s="13">
        <v>0.97579019792812804</v>
      </c>
      <c r="AX70" s="13">
        <v>1.0018774500924719</v>
      </c>
      <c r="AY70" s="13">
        <v>1.021431837305814</v>
      </c>
      <c r="AZ70" s="13">
        <v>1.041817056931418</v>
      </c>
      <c r="BA70" s="13">
        <v>1.0626533980700466</v>
      </c>
      <c r="BB70" s="13">
        <v>1.0839064660314472</v>
      </c>
      <c r="BC70" s="13">
        <v>1.1055845953520762</v>
      </c>
      <c r="BD70" s="13">
        <v>1.1276962872591185</v>
      </c>
      <c r="BE70" s="13">
        <v>1.1502502130043004</v>
      </c>
      <c r="BF70" s="13">
        <v>1.173255217264386</v>
      </c>
      <c r="BG70" s="13">
        <v>1.1967203216096738</v>
      </c>
      <c r="BH70" s="12">
        <v>1.2206547280418674</v>
      </c>
      <c r="BI70" s="12">
        <v>1.2450678226027048</v>
      </c>
      <c r="BJ70" s="12">
        <v>1.2699691790547589</v>
      </c>
      <c r="BK70" s="12">
        <v>1.2953685626358542</v>
      </c>
      <c r="BL70" s="12">
        <v>1.3212759338885713</v>
      </c>
      <c r="BM70" s="12">
        <v>1.3477014525663429</v>
      </c>
      <c r="BN70" s="12">
        <v>1.3746554816176697</v>
      </c>
      <c r="BO70" s="12">
        <v>1.4021485912500231</v>
      </c>
      <c r="BP70" s="12">
        <v>1.4301915630750237</v>
      </c>
      <c r="BQ70" s="12">
        <v>1.4587953943365239</v>
      </c>
      <c r="BR70" s="12">
        <v>1.4879713022232546</v>
      </c>
      <c r="BS70" s="12">
        <v>1.5177307282677197</v>
      </c>
      <c r="BT70" s="12">
        <v>1.5480853428330741</v>
      </c>
      <c r="BU70" s="12">
        <v>1.5790470496897355</v>
      </c>
      <c r="BV70" s="12">
        <v>1.6106279906835304</v>
      </c>
      <c r="BW70" s="12">
        <v>1.642840550497201</v>
      </c>
      <c r="BX70" s="12">
        <v>1.6756973615071451</v>
      </c>
      <c r="BY70" s="12">
        <v>1.709211308737288</v>
      </c>
      <c r="BZ70" s="12">
        <v>1.7433955349120338</v>
      </c>
      <c r="CA70" s="12">
        <v>1.7782634456102746</v>
      </c>
      <c r="CB70" s="12">
        <v>1.8138287145224801</v>
      </c>
      <c r="CC70" s="12">
        <v>1.8501052888129297</v>
      </c>
      <c r="CD70" s="12">
        <v>1.8871073945891883</v>
      </c>
      <c r="CE70" s="12">
        <v>1.9248495424809722</v>
      </c>
      <c r="CF70" s="12">
        <v>1.9633465333305915</v>
      </c>
      <c r="CG70" s="12">
        <v>2.0026134639972035</v>
      </c>
      <c r="CH70" s="12">
        <v>2.0426657332771478</v>
      </c>
      <c r="CI70" s="12">
        <v>2.0835190479426906</v>
      </c>
      <c r="CJ70" s="12">
        <v>2.1251894289015447</v>
      </c>
      <c r="CK70" s="12">
        <v>2.1676932174795756</v>
      </c>
      <c r="CL70" s="12">
        <v>2.2110470818291672</v>
      </c>
      <c r="CM70" s="12">
        <v>2.2552680234657507</v>
      </c>
      <c r="CN70" s="12">
        <v>2.300373383935066</v>
      </c>
      <c r="CO70" s="12">
        <v>2.346380851613767</v>
      </c>
      <c r="CP70" s="12">
        <v>2.3933084686460426</v>
      </c>
      <c r="CQ70" s="12">
        <v>2.4411746380189636</v>
      </c>
      <c r="CR70" s="12">
        <f>Inflation_weighted[[#This Row],[2060]]/Inflation_weighted[[#This Row],[2059]]*Inflation_weighted[[#This Row],[2060]]</f>
        <v>2.4899981307793428</v>
      </c>
      <c r="CS70" s="12">
        <f>Inflation_weighted[[#This Row],[2061]]/Inflation_weighted[[#This Row],[2060]]*Inflation_weighted[[#This Row],[2061]]</f>
        <v>2.5397980933949298</v>
      </c>
      <c r="CT70" s="12">
        <f>Inflation_weighted[[#This Row],[2062]]/Inflation_weighted[[#This Row],[2061]]*Inflation_weighted[[#This Row],[2062]]</f>
        <v>2.5905940552628284</v>
      </c>
      <c r="CU70" s="12">
        <f>Inflation_weighted[[#This Row],[2063]]/Inflation_weighted[[#This Row],[2062]]*Inflation_weighted[[#This Row],[2063]]</f>
        <v>2.642405936368085</v>
      </c>
      <c r="CV70" s="12">
        <f>Inflation_weighted[[#This Row],[2064]]/Inflation_weighted[[#This Row],[2063]]*Inflation_weighted[[#This Row],[2064]]</f>
        <v>2.6952540550954467</v>
      </c>
      <c r="CW70" s="12">
        <f>Inflation_weighted[[#This Row],[2065]]/Inflation_weighted[[#This Row],[2064]]*Inflation_weighted[[#This Row],[2065]]</f>
        <v>2.7491591361973557</v>
      </c>
      <c r="CX70" s="12">
        <f>Inflation_weighted[[#This Row],[2066]]/Inflation_weighted[[#This Row],[2065]]*Inflation_weighted[[#This Row],[2066]]</f>
        <v>2.8041423189213028</v>
      </c>
      <c r="CY70" s="12">
        <f>Inflation_weighted[[#This Row],[2067]]/Inflation_weighted[[#This Row],[2066]]*Inflation_weighted[[#This Row],[2067]]</f>
        <v>2.8602251652997288</v>
      </c>
      <c r="CZ70" s="12">
        <f>Inflation_weighted[[#This Row],[2068]]/Inflation_weighted[[#This Row],[2067]]*Inflation_weighted[[#This Row],[2068]]</f>
        <v>2.9174296686057235</v>
      </c>
      <c r="DA70" s="12">
        <f>Inflation_weighted[[#This Row],[2069]]/Inflation_weighted[[#This Row],[2068]]*Inflation_weighted[[#This Row],[2069]]</f>
        <v>2.9757782619778381</v>
      </c>
      <c r="DB70" s="12">
        <f>Inflation_weighted[[#This Row],[2070]]/Inflation_weighted[[#This Row],[2069]]*Inflation_weighted[[#This Row],[2070]]</f>
        <v>3.0352938272173948</v>
      </c>
      <c r="DC70" s="12">
        <f>Inflation_weighted[[#This Row],[2071]]/Inflation_weighted[[#This Row],[2070]]*Inflation_weighted[[#This Row],[2071]]</f>
        <v>3.0959997037617426</v>
      </c>
      <c r="DD70" s="12">
        <f>Inflation_weighted[[#This Row],[2072]]/Inflation_weighted[[#This Row],[2071]]*Inflation_weighted[[#This Row],[2072]]</f>
        <v>3.1579196978369777</v>
      </c>
      <c r="DE70" s="12">
        <f>Inflation_weighted[[#This Row],[2073]]/Inflation_weighted[[#This Row],[2072]]*Inflation_weighted[[#This Row],[2073]]</f>
        <v>3.2210780917937174</v>
      </c>
      <c r="DF70" s="12">
        <f>Inflation_weighted[[#This Row],[2074]]/Inflation_weighted[[#This Row],[2073]]*Inflation_weighted[[#This Row],[2074]]</f>
        <v>3.285499653629592</v>
      </c>
      <c r="DG70" s="12">
        <f>Inflation_weighted[[#This Row],[2075]]/Inflation_weighted[[#This Row],[2074]]*Inflation_weighted[[#This Row],[2075]]</f>
        <v>3.3512096467021837</v>
      </c>
      <c r="DH70" s="12">
        <f>Inflation_weighted[[#This Row],[2076]]/Inflation_weighted[[#This Row],[2075]]*Inflation_weighted[[#This Row],[2076]]</f>
        <v>3.4182338396362275</v>
      </c>
      <c r="DI70" s="12">
        <f>Inflation_weighted[[#This Row],[2077]]/Inflation_weighted[[#This Row],[2076]]*Inflation_weighted[[#This Row],[2077]]</f>
        <v>3.4865985164289519</v>
      </c>
      <c r="DJ70" s="12">
        <f>Inflation_weighted[[#This Row],[2078]]/Inflation_weighted[[#This Row],[2077]]*Inflation_weighted[[#This Row],[2078]]</f>
        <v>3.5563304867575312</v>
      </c>
      <c r="DK70" s="12">
        <f>Inflation_weighted[[#This Row],[2079]]/Inflation_weighted[[#This Row],[2078]]*Inflation_weighted[[#This Row],[2079]]</f>
        <v>3.627457096492682</v>
      </c>
      <c r="DL70" s="12">
        <f>Inflation_weighted[[#This Row],[2080]]/Inflation_weighted[[#This Row],[2079]]*Inflation_weighted[[#This Row],[2080]]</f>
        <v>3.7000062384225356</v>
      </c>
      <c r="DM70" s="12">
        <f>Inflation_weighted[[#This Row],[2081]]/Inflation_weighted[[#This Row],[2080]]*Inflation_weighted[[#This Row],[2081]]</f>
        <v>3.7740063631909866</v>
      </c>
      <c r="DN70" s="12">
        <f>Inflation_weighted[[#This Row],[2082]]/Inflation_weighted[[#This Row],[2081]]*Inflation_weighted[[#This Row],[2082]]</f>
        <v>3.8494864904548063</v>
      </c>
      <c r="DO70" s="12">
        <f>Inflation_weighted[[#This Row],[2083]]/Inflation_weighted[[#This Row],[2082]]*Inflation_weighted[[#This Row],[2083]]</f>
        <v>3.9264762202639023</v>
      </c>
      <c r="DP70" s="12">
        <f>Inflation_weighted[[#This Row],[2084]]/Inflation_weighted[[#This Row],[2083]]*Inflation_weighted[[#This Row],[2084]]</f>
        <v>4.0050057446691802</v>
      </c>
      <c r="DQ70" s="12">
        <f>Inflation_weighted[[#This Row],[2085]]/Inflation_weighted[[#This Row],[2084]]*Inflation_weighted[[#This Row],[2085]]</f>
        <v>4.0851058595625638</v>
      </c>
      <c r="DR70" s="12">
        <f>Inflation_weighted[[#This Row],[2086]]/Inflation_weighted[[#This Row],[2085]]*Inflation_weighted[[#This Row],[2086]]</f>
        <v>4.1668079767538151</v>
      </c>
      <c r="DS70" s="12">
        <f>Inflation_weighted[[#This Row],[2087]]/Inflation_weighted[[#This Row],[2086]]*Inflation_weighted[[#This Row],[2087]]</f>
        <v>4.2501441362888919</v>
      </c>
      <c r="DT70" s="12">
        <f>Inflation_weighted[[#This Row],[2088]]/Inflation_weighted[[#This Row],[2087]]*Inflation_weighted[[#This Row],[2088]]</f>
        <v>4.3351470190146699</v>
      </c>
      <c r="DU70" s="12">
        <f>Inflation_weighted[[#This Row],[2089]]/Inflation_weighted[[#This Row],[2088]]*Inflation_weighted[[#This Row],[2089]]</f>
        <v>4.4218499593949634</v>
      </c>
      <c r="DV70" s="12">
        <f>Inflation_weighted[[#This Row],[2090]]/Inflation_weighted[[#This Row],[2089]]*Inflation_weighted[[#This Row],[2090]]</f>
        <v>4.5102869585828627</v>
      </c>
      <c r="DW70" s="12">
        <f>Inflation_weighted[[#This Row],[2091]]/Inflation_weighted[[#This Row],[2090]]*Inflation_weighted[[#This Row],[2091]]</f>
        <v>4.60049269775452</v>
      </c>
      <c r="DX70" s="12">
        <f>Inflation_weighted[[#This Row],[2092]]/Inflation_weighted[[#This Row],[2091]]*Inflation_weighted[[#This Row],[2092]]</f>
        <v>4.6925025517096106</v>
      </c>
      <c r="DY70" s="12">
        <f>Inflation_weighted[[#This Row],[2093]]/Inflation_weighted[[#This Row],[2092]]*Inflation_weighted[[#This Row],[2093]]</f>
        <v>4.7863526027438033</v>
      </c>
      <c r="DZ70" s="12">
        <f>Inflation_weighted[[#This Row],[2094]]/Inflation_weighted[[#This Row],[2093]]*Inflation_weighted[[#This Row],[2094]]</f>
        <v>4.8820796547986793</v>
      </c>
      <c r="EA70" s="12">
        <f>Inflation_weighted[[#This Row],[2095]]/Inflation_weighted[[#This Row],[2094]]*Inflation_weighted[[#This Row],[2095]]</f>
        <v>4.9797212478946529</v>
      </c>
      <c r="EB70" s="12">
        <f>Inflation_weighted[[#This Row],[2096]]/Inflation_weighted[[#This Row],[2095]]*Inflation_weighted[[#This Row],[2096]]</f>
        <v>5.0793156728525464</v>
      </c>
    </row>
    <row r="71" spans="2:132">
      <c r="B71" s="15" t="s">
        <v>48</v>
      </c>
      <c r="C71" s="15" t="s">
        <v>47</v>
      </c>
      <c r="D71" s="13">
        <v>0.12019346995433298</v>
      </c>
      <c r="E71" s="13">
        <v>0.12984185306283519</v>
      </c>
      <c r="F71" s="13">
        <v>0.15034227950795737</v>
      </c>
      <c r="G71" s="13">
        <v>0.16841266048681941</v>
      </c>
      <c r="H71" s="13">
        <v>0.18003914280637004</v>
      </c>
      <c r="I71" s="13">
        <v>0.19184975442245036</v>
      </c>
      <c r="J71" s="13">
        <v>0.20171308801824964</v>
      </c>
      <c r="K71" s="13">
        <v>0.20478476670586759</v>
      </c>
      <c r="L71" s="13">
        <v>0.2131813867432448</v>
      </c>
      <c r="M71" s="13">
        <v>0.22786524530455815</v>
      </c>
      <c r="N71" s="13">
        <v>0.24172963185177573</v>
      </c>
      <c r="O71" s="13">
        <v>0.25907389363145217</v>
      </c>
      <c r="P71" s="13">
        <v>0.30151219996574252</v>
      </c>
      <c r="Q71" s="13">
        <v>0.34163364448346401</v>
      </c>
      <c r="R71" s="13">
        <v>0.35559492779381674</v>
      </c>
      <c r="S71" s="13">
        <v>0.36646250935475944</v>
      </c>
      <c r="T71" s="13">
        <v>0.38094860352218346</v>
      </c>
      <c r="U71" s="13">
        <v>0.39228788963622185</v>
      </c>
      <c r="V71" s="13">
        <v>0.40138271198165426</v>
      </c>
      <c r="W71" s="13">
        <v>0.41060775402714023</v>
      </c>
      <c r="X71" s="13">
        <v>0.4255862539583794</v>
      </c>
      <c r="Y71" s="13">
        <v>0.44157902638949892</v>
      </c>
      <c r="Z71" s="13">
        <v>0.46060048917806856</v>
      </c>
      <c r="AA71" s="13">
        <v>0.47816490766179642</v>
      </c>
      <c r="AB71" s="13">
        <v>0.49589687641891567</v>
      </c>
      <c r="AC71" s="13">
        <v>0.50843275312078706</v>
      </c>
      <c r="AD71" s="13">
        <v>0.52093818782278389</v>
      </c>
      <c r="AE71" s="13">
        <v>0.53362125489616052</v>
      </c>
      <c r="AF71" s="13">
        <v>0.5482048084683151</v>
      </c>
      <c r="AG71" s="13">
        <v>0.56308674074039866</v>
      </c>
      <c r="AH71" s="13">
        <v>0.58138710686638573</v>
      </c>
      <c r="AI71" s="13">
        <v>0.60654739534245095</v>
      </c>
      <c r="AJ71" s="13">
        <v>0.6299977823282773</v>
      </c>
      <c r="AK71" s="13">
        <v>0.66717544440882992</v>
      </c>
      <c r="AL71" s="13">
        <v>0.70100881233600865</v>
      </c>
      <c r="AM71" s="13">
        <v>0.73045414651544638</v>
      </c>
      <c r="AN71" s="13">
        <v>0.75642269671468099</v>
      </c>
      <c r="AO71" s="13">
        <v>0.78027055219568853</v>
      </c>
      <c r="AP71" s="13">
        <v>0.79933251349402423</v>
      </c>
      <c r="AQ71" s="13">
        <v>0.82437312190063372</v>
      </c>
      <c r="AR71" s="13">
        <v>0.85481129745872009</v>
      </c>
      <c r="AS71" s="13">
        <v>0.88380212030987737</v>
      </c>
      <c r="AT71" s="13">
        <v>0.9010981357734561</v>
      </c>
      <c r="AU71" s="13">
        <v>0.9154270714132654</v>
      </c>
      <c r="AV71" s="13">
        <v>0.9304717080407553</v>
      </c>
      <c r="AW71" s="13">
        <v>0.94191829965081286</v>
      </c>
      <c r="AX71" s="13">
        <v>0.95155501613110616</v>
      </c>
      <c r="AY71" s="13">
        <v>0.96340309341306229</v>
      </c>
      <c r="AZ71" s="13">
        <v>0.98159505261186641</v>
      </c>
      <c r="BA71" s="13">
        <v>1.0009374973052669</v>
      </c>
      <c r="BB71" s="13">
        <v>1.0202606021482818</v>
      </c>
      <c r="BC71" s="13">
        <v>1.039978514120256</v>
      </c>
      <c r="BD71" s="13">
        <v>1.061228403633216</v>
      </c>
      <c r="BE71" s="13">
        <v>1.0832845601093597</v>
      </c>
      <c r="BF71" s="13">
        <v>1.1057171469458353</v>
      </c>
      <c r="BG71" s="13">
        <v>1.128614266344397</v>
      </c>
      <c r="BH71" s="12">
        <v>1.1519855378153945</v>
      </c>
      <c r="BI71" s="12">
        <v>1.1758407800693771</v>
      </c>
      <c r="BJ71" s="12">
        <v>1.2001900151421199</v>
      </c>
      <c r="BK71" s="12">
        <v>1.2250434726050681</v>
      </c>
      <c r="BL71" s="12">
        <v>1.2504115938629732</v>
      </c>
      <c r="BM71" s="12">
        <v>1.2763050365405235</v>
      </c>
      <c r="BN71" s="12">
        <v>1.3027346789598118</v>
      </c>
      <c r="BO71" s="12">
        <v>1.3297116247105238</v>
      </c>
      <c r="BP71" s="12">
        <v>1.3572472073147648</v>
      </c>
      <c r="BQ71" s="12">
        <v>1.3853529949884844</v>
      </c>
      <c r="BR71" s="12">
        <v>1.4140407955015031</v>
      </c>
      <c r="BS71" s="12">
        <v>1.4433226611381778</v>
      </c>
      <c r="BT71" s="12">
        <v>1.4732108937607924</v>
      </c>
      <c r="BU71" s="12">
        <v>1.503718049977802</v>
      </c>
      <c r="BV71" s="12">
        <v>1.5348569464191004</v>
      </c>
      <c r="BW71" s="12">
        <v>1.5666406651205269</v>
      </c>
      <c r="BX71" s="12">
        <v>1.5990825590198752</v>
      </c>
      <c r="BY71" s="12">
        <v>1.6321962575667148</v>
      </c>
      <c r="BZ71" s="12">
        <v>1.6659956724483778</v>
      </c>
      <c r="CA71" s="12">
        <v>1.7004950034345205</v>
      </c>
      <c r="CB71" s="12">
        <v>1.7357087443427144</v>
      </c>
      <c r="CC71" s="12">
        <v>1.7716516891275707</v>
      </c>
      <c r="CD71" s="12">
        <v>1.8083389380959589</v>
      </c>
      <c r="CE71" s="12">
        <v>1.8457859042509297</v>
      </c>
      <c r="CF71" s="12">
        <v>1.8840083197670077</v>
      </c>
      <c r="CG71" s="12">
        <v>1.9230222425995729</v>
      </c>
      <c r="CH71" s="12">
        <v>1.9628440632311104</v>
      </c>
      <c r="CI71" s="12">
        <v>2.00349051155716</v>
      </c>
      <c r="CJ71" s="12">
        <v>2.0449786639148595</v>
      </c>
      <c r="CK71" s="12">
        <v>2.0873259502570365</v>
      </c>
      <c r="CL71" s="12">
        <v>2.1305501614748561</v>
      </c>
      <c r="CM71" s="12">
        <v>2.1746694568721123</v>
      </c>
      <c r="CN71" s="12">
        <v>2.2197023717942912</v>
      </c>
      <c r="CO71" s="12">
        <v>2.2656678254156182</v>
      </c>
      <c r="CP71" s="12">
        <v>2.3125851286873584</v>
      </c>
      <c r="CQ71" s="12">
        <v>2.3604739924507121</v>
      </c>
      <c r="CR71" s="12">
        <f>Inflation_weighted[[#This Row],[2060]]/Inflation_weighted[[#This Row],[2059]]*Inflation_weighted[[#This Row],[2060]]</f>
        <v>2.4093545357177075</v>
      </c>
      <c r="CS71" s="12">
        <f>Inflation_weighted[[#This Row],[2061]]/Inflation_weighted[[#This Row],[2060]]*Inflation_weighted[[#This Row],[2061]]</f>
        <v>2.4592472941235766</v>
      </c>
      <c r="CT71" s="12">
        <f>Inflation_weighted[[#This Row],[2062]]/Inflation_weighted[[#This Row],[2061]]*Inflation_weighted[[#This Row],[2062]]</f>
        <v>2.5101732285541627</v>
      </c>
      <c r="CU71" s="12">
        <f>Inflation_weighted[[#This Row],[2063]]/Inflation_weighted[[#This Row],[2062]]*Inflation_weighted[[#This Row],[2063]]</f>
        <v>2.5621537339519813</v>
      </c>
      <c r="CV71" s="12">
        <f>Inflation_weighted[[#This Row],[2064]]/Inflation_weighted[[#This Row],[2063]]*Inflation_weighted[[#This Row],[2064]]</f>
        <v>2.6152106483046391</v>
      </c>
      <c r="CW71" s="12">
        <f>Inflation_weighted[[#This Row],[2065]]/Inflation_weighted[[#This Row],[2064]]*Inflation_weighted[[#This Row],[2065]]</f>
        <v>2.6693662618193814</v>
      </c>
      <c r="CX71" s="12">
        <f>Inflation_weighted[[#This Row],[2066]]/Inflation_weighted[[#This Row],[2065]]*Inflation_weighted[[#This Row],[2066]]</f>
        <v>2.7246433262876288</v>
      </c>
      <c r="CY71" s="12">
        <f>Inflation_weighted[[#This Row],[2067]]/Inflation_weighted[[#This Row],[2066]]*Inflation_weighted[[#This Row],[2067]]</f>
        <v>2.7810650646434318</v>
      </c>
      <c r="CZ71" s="12">
        <f>Inflation_weighted[[#This Row],[2068]]/Inflation_weighted[[#This Row],[2067]]*Inflation_weighted[[#This Row],[2068]]</f>
        <v>2.8386551807198623</v>
      </c>
      <c r="DA71" s="12">
        <f>Inflation_weighted[[#This Row],[2069]]/Inflation_weighted[[#This Row],[2068]]*Inflation_weighted[[#This Row],[2069]]</f>
        <v>2.8974378692074394</v>
      </c>
      <c r="DB71" s="12">
        <f>Inflation_weighted[[#This Row],[2070]]/Inflation_weighted[[#This Row],[2069]]*Inflation_weighted[[#This Row],[2070]]</f>
        <v>2.9574378258187735</v>
      </c>
      <c r="DC71" s="12">
        <f>Inflation_weighted[[#This Row],[2071]]/Inflation_weighted[[#This Row],[2070]]*Inflation_weighted[[#This Row],[2071]]</f>
        <v>3.0186802576636995</v>
      </c>
      <c r="DD71" s="12">
        <f>Inflation_weighted[[#This Row],[2072]]/Inflation_weighted[[#This Row],[2071]]*Inflation_weighted[[#This Row],[2072]]</f>
        <v>3.081190893839258</v>
      </c>
      <c r="DE71" s="12">
        <f>Inflation_weighted[[#This Row],[2073]]/Inflation_weighted[[#This Row],[2072]]*Inflation_weighted[[#This Row],[2073]]</f>
        <v>3.1449959962389729</v>
      </c>
      <c r="DF71" s="12">
        <f>Inflation_weighted[[#This Row],[2074]]/Inflation_weighted[[#This Row],[2073]]*Inflation_weighted[[#This Row],[2074]]</f>
        <v>3.2101223705859656</v>
      </c>
      <c r="DG71" s="12">
        <f>Inflation_weighted[[#This Row],[2075]]/Inflation_weighted[[#This Row],[2074]]*Inflation_weighted[[#This Row],[2075]]</f>
        <v>3.2765973776945443</v>
      </c>
      <c r="DH71" s="12">
        <f>Inflation_weighted[[#This Row],[2076]]/Inflation_weighted[[#This Row],[2075]]*Inflation_weighted[[#This Row],[2076]]</f>
        <v>3.3444489449649959</v>
      </c>
      <c r="DI71" s="12">
        <f>Inflation_weighted[[#This Row],[2077]]/Inflation_weighted[[#This Row],[2076]]*Inflation_weighted[[#This Row],[2077]]</f>
        <v>3.4137055781164123</v>
      </c>
      <c r="DJ71" s="12">
        <f>Inflation_weighted[[#This Row],[2078]]/Inflation_weighted[[#This Row],[2077]]*Inflation_weighted[[#This Row],[2078]]</f>
        <v>3.4843963731624781</v>
      </c>
      <c r="DK71" s="12">
        <f>Inflation_weighted[[#This Row],[2079]]/Inflation_weighted[[#This Row],[2078]]*Inflation_weighted[[#This Row],[2079]]</f>
        <v>3.5565510286352544</v>
      </c>
      <c r="DL71" s="12">
        <f>Inflation_weighted[[#This Row],[2080]]/Inflation_weighted[[#This Row],[2079]]*Inflation_weighted[[#This Row],[2080]]</f>
        <v>3.6301998580620891</v>
      </c>
      <c r="DM71" s="12">
        <f>Inflation_weighted[[#This Row],[2081]]/Inflation_weighted[[#This Row],[2080]]*Inflation_weighted[[#This Row],[2081]]</f>
        <v>3.7053738027009007</v>
      </c>
      <c r="DN71" s="12">
        <f>Inflation_weighted[[#This Row],[2082]]/Inflation_weighted[[#This Row],[2081]]*Inflation_weighted[[#This Row],[2082]]</f>
        <v>3.7821044445391814</v>
      </c>
      <c r="DO71" s="12">
        <f>Inflation_weighted[[#This Row],[2083]]/Inflation_weighted[[#This Row],[2082]]*Inflation_weighted[[#This Row],[2083]]</f>
        <v>3.8604240195621848</v>
      </c>
      <c r="DP71" s="12">
        <f>Inflation_weighted[[#This Row],[2084]]/Inflation_weighted[[#This Row],[2083]]*Inflation_weighted[[#This Row],[2084]]</f>
        <v>3.9403654312958696</v>
      </c>
      <c r="DQ71" s="12">
        <f>Inflation_weighted[[#This Row],[2085]]/Inflation_weighted[[#This Row],[2084]]*Inflation_weighted[[#This Row],[2085]]</f>
        <v>4.0219622646302877</v>
      </c>
      <c r="DR71" s="12">
        <f>Inflation_weighted[[#This Row],[2086]]/Inflation_weighted[[#This Row],[2085]]*Inflation_weighted[[#This Row],[2086]]</f>
        <v>4.1052487999292309</v>
      </c>
      <c r="DS71" s="12">
        <f>Inflation_weighted[[#This Row],[2087]]/Inflation_weighted[[#This Row],[2086]]*Inflation_weighted[[#This Row],[2087]]</f>
        <v>4.1902600274320525</v>
      </c>
      <c r="DT71" s="12">
        <f>Inflation_weighted[[#This Row],[2088]]/Inflation_weighted[[#This Row],[2087]]*Inflation_weighted[[#This Row],[2088]]</f>
        <v>4.2770316619537283</v>
      </c>
      <c r="DU71" s="12">
        <f>Inflation_weighted[[#This Row],[2089]]/Inflation_weighted[[#This Row],[2088]]*Inflation_weighted[[#This Row],[2089]]</f>
        <v>4.3656001578893191</v>
      </c>
      <c r="DV71" s="12">
        <f>Inflation_weighted[[#This Row],[2090]]/Inflation_weighted[[#This Row],[2089]]*Inflation_weighted[[#This Row],[2090]]</f>
        <v>4.4560027245291485</v>
      </c>
      <c r="DW71" s="12">
        <f>Inflation_weighted[[#This Row],[2091]]/Inflation_weighted[[#This Row],[2090]]*Inflation_weighted[[#This Row],[2091]]</f>
        <v>4.5482773416911266</v>
      </c>
      <c r="DX71" s="12">
        <f>Inflation_weighted[[#This Row],[2092]]/Inflation_weighted[[#This Row],[2091]]*Inflation_weighted[[#This Row],[2092]]</f>
        <v>4.6424627756767842</v>
      </c>
      <c r="DY71" s="12">
        <f>Inflation_weighted[[#This Row],[2093]]/Inflation_weighted[[#This Row],[2092]]*Inflation_weighted[[#This Row],[2093]]</f>
        <v>4.7385985955577237</v>
      </c>
      <c r="DZ71" s="12">
        <f>Inflation_weighted[[#This Row],[2094]]/Inflation_weighted[[#This Row],[2093]]*Inflation_weighted[[#This Row],[2094]]</f>
        <v>4.8367251897993331</v>
      </c>
      <c r="EA71" s="12">
        <f>Inflation_weighted[[#This Row],[2095]]/Inflation_weighted[[#This Row],[2094]]*Inflation_weighted[[#This Row],[2095]]</f>
        <v>4.9368837832287369</v>
      </c>
      <c r="EB71" s="12">
        <f>Inflation_weighted[[#This Row],[2096]]/Inflation_weighted[[#This Row],[2095]]*Inflation_weighted[[#This Row],[2096]]</f>
        <v>5.0391164543541223</v>
      </c>
    </row>
    <row r="72" spans="2:132">
      <c r="B72" s="15" t="s">
        <v>46</v>
      </c>
      <c r="C72" s="15" t="s">
        <v>45</v>
      </c>
      <c r="D72" s="13">
        <v>0.12262103903680359</v>
      </c>
      <c r="E72" s="13">
        <v>0.13185385692496079</v>
      </c>
      <c r="F72" s="13">
        <v>0.15065774331531537</v>
      </c>
      <c r="G72" s="13">
        <v>0.16768289768784228</v>
      </c>
      <c r="H72" s="13">
        <v>0.17958684220328322</v>
      </c>
      <c r="I72" s="13">
        <v>0.19117718311737827</v>
      </c>
      <c r="J72" s="13">
        <v>0.20113808037203448</v>
      </c>
      <c r="K72" s="13">
        <v>0.20519207095638947</v>
      </c>
      <c r="L72" s="13">
        <v>0.212526879255762</v>
      </c>
      <c r="M72" s="13">
        <v>0.22684856319581923</v>
      </c>
      <c r="N72" s="13">
        <v>0.24116505947483302</v>
      </c>
      <c r="O72" s="13">
        <v>0.25862258515762099</v>
      </c>
      <c r="P72" s="13">
        <v>0.30322739214108074</v>
      </c>
      <c r="Q72" s="13">
        <v>0.34204116846767568</v>
      </c>
      <c r="R72" s="13">
        <v>0.35639638128895701</v>
      </c>
      <c r="S72" s="13">
        <v>0.36749603271243481</v>
      </c>
      <c r="T72" s="13">
        <v>0.38185724848651309</v>
      </c>
      <c r="U72" s="13">
        <v>0.39348968324027916</v>
      </c>
      <c r="V72" s="13">
        <v>0.40261267227876507</v>
      </c>
      <c r="W72" s="13">
        <v>0.41150500550497587</v>
      </c>
      <c r="X72" s="13">
        <v>0.42628131153107879</v>
      </c>
      <c r="Y72" s="13">
        <v>0.44225334791538778</v>
      </c>
      <c r="Z72" s="13">
        <v>0.45981522419399173</v>
      </c>
      <c r="AA72" s="13">
        <v>0.4787719782353308</v>
      </c>
      <c r="AB72" s="13">
        <v>0.49685512182346048</v>
      </c>
      <c r="AC72" s="13">
        <v>0.50942855280285848</v>
      </c>
      <c r="AD72" s="13">
        <v>0.5220508926244356</v>
      </c>
      <c r="AE72" s="13">
        <v>0.53473219255061666</v>
      </c>
      <c r="AF72" s="13">
        <v>0.5497115100922787</v>
      </c>
      <c r="AG72" s="13">
        <v>0.56488622534218313</v>
      </c>
      <c r="AH72" s="13">
        <v>0.58352219748762935</v>
      </c>
      <c r="AI72" s="13">
        <v>0.60907607658362561</v>
      </c>
      <c r="AJ72" s="13">
        <v>0.63268007452075803</v>
      </c>
      <c r="AK72" s="13">
        <v>0.67024671500029509</v>
      </c>
      <c r="AL72" s="13">
        <v>0.70148583973235989</v>
      </c>
      <c r="AM72" s="13">
        <v>0.72995295307572239</v>
      </c>
      <c r="AN72" s="13">
        <v>0.75582482655336591</v>
      </c>
      <c r="AO72" s="13">
        <v>0.77978875134548209</v>
      </c>
      <c r="AP72" s="13">
        <v>0.79866804924375745</v>
      </c>
      <c r="AQ72" s="13">
        <v>0.82390928096306204</v>
      </c>
      <c r="AR72" s="13">
        <v>0.85452414325425974</v>
      </c>
      <c r="AS72" s="13">
        <v>0.88360711324978469</v>
      </c>
      <c r="AT72" s="13">
        <v>0.90105334945328441</v>
      </c>
      <c r="AU72" s="13">
        <v>0.91565356628531736</v>
      </c>
      <c r="AV72" s="13">
        <v>0.93038070821870877</v>
      </c>
      <c r="AW72" s="13">
        <v>0.94184559726598582</v>
      </c>
      <c r="AX72" s="13">
        <v>0.95152025721345734</v>
      </c>
      <c r="AY72" s="13">
        <v>0.96328262989121838</v>
      </c>
      <c r="AZ72" s="13">
        <v>0.98146132217714865</v>
      </c>
      <c r="BA72" s="13">
        <v>1.000738196934893</v>
      </c>
      <c r="BB72" s="13">
        <v>1.0199839076113411</v>
      </c>
      <c r="BC72" s="13">
        <v>1.0396292671538356</v>
      </c>
      <c r="BD72" s="13">
        <v>1.0608373970637661</v>
      </c>
      <c r="BE72" s="13">
        <v>1.0828695830474602</v>
      </c>
      <c r="BF72" s="13">
        <v>1.1053436736682261</v>
      </c>
      <c r="BG72" s="13">
        <v>1.1282841960339938</v>
      </c>
      <c r="BH72" s="12">
        <v>1.1517008305619345</v>
      </c>
      <c r="BI72" s="12">
        <v>1.1756034585785216</v>
      </c>
      <c r="BJ72" s="12">
        <v>1.2000021664892424</v>
      </c>
      <c r="BK72" s="12">
        <v>1.2249072500348501</v>
      </c>
      <c r="BL72" s="12">
        <v>1.2503292186359476</v>
      </c>
      <c r="BM72" s="12">
        <v>1.2762787998277429</v>
      </c>
      <c r="BN72" s="12">
        <v>1.3027669437868421</v>
      </c>
      <c r="BO72" s="12">
        <v>1.3298048279519938</v>
      </c>
      <c r="BP72" s="12">
        <v>1.3574038617407331</v>
      </c>
      <c r="BQ72" s="12">
        <v>1.3855756913639148</v>
      </c>
      <c r="BR72" s="12">
        <v>1.4143322047401685</v>
      </c>
      <c r="BS72" s="12">
        <v>1.443685536512352</v>
      </c>
      <c r="BT72" s="12">
        <v>1.4736480731681121</v>
      </c>
      <c r="BU72" s="12">
        <v>1.5042324582667239</v>
      </c>
      <c r="BV72" s="12">
        <v>1.5354515977744054</v>
      </c>
      <c r="BW72" s="12">
        <v>1.5673186655103628</v>
      </c>
      <c r="BX72" s="12">
        <v>1.5998471087058659</v>
      </c>
      <c r="BY72" s="12">
        <v>1.6330506536786957</v>
      </c>
      <c r="BZ72" s="12">
        <v>1.6669433116253609</v>
      </c>
      <c r="CA72" s="12">
        <v>1.7015393845335292</v>
      </c>
      <c r="CB72" s="12">
        <v>1.736853471217163</v>
      </c>
      <c r="CC72" s="12">
        <v>1.7729004734769125</v>
      </c>
      <c r="CD72" s="12">
        <v>1.8096956023883617</v>
      </c>
      <c r="CE72" s="12">
        <v>1.8472543847207812</v>
      </c>
      <c r="CF72" s="12">
        <v>1.8855926694890977</v>
      </c>
      <c r="CG72" s="12">
        <v>1.9247266346418452</v>
      </c>
      <c r="CH72" s="12">
        <v>1.9646727938879178</v>
      </c>
      <c r="CI72" s="12">
        <v>2.0054480036650073</v>
      </c>
      <c r="CJ72" s="12">
        <v>2.0470694702526653</v>
      </c>
      <c r="CK72" s="12">
        <v>2.0895547570329893</v>
      </c>
      <c r="CL72" s="12">
        <v>2.1329217919020014</v>
      </c>
      <c r="CM72" s="12">
        <v>2.1771888748348411</v>
      </c>
      <c r="CN72" s="12">
        <v>2.2223746856079716</v>
      </c>
      <c r="CO72" s="12">
        <v>2.2684982916816501</v>
      </c>
      <c r="CP72" s="12">
        <v>2.3155791562459944</v>
      </c>
      <c r="CQ72" s="12">
        <v>2.3636371464340407</v>
      </c>
      <c r="CR72" s="12">
        <f>Inflation_weighted[[#This Row],[2060]]/Inflation_weighted[[#This Row],[2059]]*Inflation_weighted[[#This Row],[2060]]</f>
        <v>2.4126925417052534</v>
      </c>
      <c r="CS72" s="12">
        <f>Inflation_weighted[[#This Row],[2061]]/Inflation_weighted[[#This Row],[2060]]*Inflation_weighted[[#This Row],[2061]]</f>
        <v>2.4627660424030311</v>
      </c>
      <c r="CT72" s="12">
        <f>Inflation_weighted[[#This Row],[2062]]/Inflation_weighted[[#This Row],[2061]]*Inflation_weighted[[#This Row],[2062]]</f>
        <v>2.5138787784898149</v>
      </c>
      <c r="CU72" s="12">
        <f>Inflation_weighted[[#This Row],[2063]]/Inflation_weighted[[#This Row],[2062]]*Inflation_weighted[[#This Row],[2063]]</f>
        <v>2.5660523184634867</v>
      </c>
      <c r="CV72" s="12">
        <f>Inflation_weighted[[#This Row],[2064]]/Inflation_weighted[[#This Row],[2063]]*Inflation_weighted[[#This Row],[2064]]</f>
        <v>2.6193086784588222</v>
      </c>
      <c r="CW72" s="12">
        <f>Inflation_weighted[[#This Row],[2065]]/Inflation_weighted[[#This Row],[2064]]*Inflation_weighted[[#This Row],[2065]]</f>
        <v>2.6736703315378354</v>
      </c>
      <c r="CX72" s="12">
        <f>Inflation_weighted[[#This Row],[2066]]/Inflation_weighted[[#This Row],[2065]]*Inflation_weighted[[#This Row],[2066]]</f>
        <v>2.7291602171729372</v>
      </c>
      <c r="CY72" s="12">
        <f>Inflation_weighted[[#This Row],[2067]]/Inflation_weighted[[#This Row],[2066]]*Inflation_weighted[[#This Row],[2067]]</f>
        <v>2.7858017509269102</v>
      </c>
      <c r="CZ72" s="12">
        <f>Inflation_weighted[[#This Row],[2068]]/Inflation_weighted[[#This Row],[2067]]*Inflation_weighted[[#This Row],[2068]]</f>
        <v>2.8436188343337818</v>
      </c>
      <c r="DA72" s="12">
        <f>Inflation_weighted[[#This Row],[2069]]/Inflation_weighted[[#This Row],[2068]]*Inflation_weighted[[#This Row],[2069]]</f>
        <v>2.9026358649847688</v>
      </c>
      <c r="DB72" s="12">
        <f>Inflation_weighted[[#This Row],[2070]]/Inflation_weighted[[#This Row],[2069]]*Inflation_weighted[[#This Row],[2070]]</f>
        <v>2.9628777468235472</v>
      </c>
      <c r="DC72" s="12">
        <f>Inflation_weighted[[#This Row],[2071]]/Inflation_weighted[[#This Row],[2070]]*Inflation_weighted[[#This Row],[2071]]</f>
        <v>3.024369900655191</v>
      </c>
      <c r="DD72" s="12">
        <f>Inflation_weighted[[#This Row],[2072]]/Inflation_weighted[[#This Row],[2071]]*Inflation_weighted[[#This Row],[2072]]</f>
        <v>3.087138274873217</v>
      </c>
      <c r="DE72" s="12">
        <f>Inflation_weighted[[#This Row],[2073]]/Inflation_weighted[[#This Row],[2072]]*Inflation_weighted[[#This Row],[2073]]</f>
        <v>3.1512093564092605</v>
      </c>
      <c r="DF72" s="12">
        <f>Inflation_weighted[[#This Row],[2074]]/Inflation_weighted[[#This Row],[2073]]*Inflation_weighted[[#This Row],[2074]]</f>
        <v>3.216610181910001</v>
      </c>
      <c r="DG72" s="12">
        <f>Inflation_weighted[[#This Row],[2075]]/Inflation_weighted[[#This Row],[2074]]*Inflation_weighted[[#This Row],[2075]]</f>
        <v>3.2833683491460595</v>
      </c>
      <c r="DH72" s="12">
        <f>Inflation_weighted[[#This Row],[2076]]/Inflation_weighted[[#This Row],[2075]]*Inflation_weighted[[#This Row],[2076]]</f>
        <v>3.3515120286576745</v>
      </c>
      <c r="DI72" s="12">
        <f>Inflation_weighted[[#This Row],[2077]]/Inflation_weighted[[#This Row],[2076]]*Inflation_weighted[[#This Row],[2077]]</f>
        <v>3.4210699756420784</v>
      </c>
      <c r="DJ72" s="12">
        <f>Inflation_weighted[[#This Row],[2078]]/Inflation_weighted[[#This Row],[2077]]*Inflation_weighted[[#This Row],[2078]]</f>
        <v>3.4920715420875834</v>
      </c>
      <c r="DK72" s="12">
        <f>Inflation_weighted[[#This Row],[2079]]/Inflation_weighted[[#This Row],[2078]]*Inflation_weighted[[#This Row],[2079]]</f>
        <v>3.5645466891595032</v>
      </c>
      <c r="DL72" s="12">
        <f>Inflation_weighted[[#This Row],[2080]]/Inflation_weighted[[#This Row],[2079]]*Inflation_weighted[[#This Row],[2080]]</f>
        <v>3.6385259998431332</v>
      </c>
      <c r="DM72" s="12">
        <f>Inflation_weighted[[#This Row],[2081]]/Inflation_weighted[[#This Row],[2080]]*Inflation_weighted[[#This Row],[2081]]</f>
        <v>3.7140406918491258</v>
      </c>
      <c r="DN72" s="12">
        <f>Inflation_weighted[[#This Row],[2082]]/Inflation_weighted[[#This Row],[2081]]*Inflation_weighted[[#This Row],[2082]]</f>
        <v>3.7911226307867074</v>
      </c>
      <c r="DO72" s="12">
        <f>Inflation_weighted[[#This Row],[2083]]/Inflation_weighted[[#This Row],[2082]]*Inflation_weighted[[#This Row],[2083]]</f>
        <v>3.8698043436102929</v>
      </c>
      <c r="DP72" s="12">
        <f>Inflation_weighted[[#This Row],[2084]]/Inflation_weighted[[#This Row],[2083]]*Inflation_weighted[[#This Row],[2084]]</f>
        <v>3.9501190323451771</v>
      </c>
      <c r="DQ72" s="12">
        <f>Inflation_weighted[[#This Row],[2085]]/Inflation_weighted[[#This Row],[2084]]*Inflation_weighted[[#This Row],[2085]]</f>
        <v>4.0321005880980882</v>
      </c>
      <c r="DR72" s="12">
        <f>Inflation_weighted[[#This Row],[2086]]/Inflation_weighted[[#This Row],[2085]]*Inflation_weighted[[#This Row],[2086]]</f>
        <v>4.1157836053585219</v>
      </c>
      <c r="DS72" s="12">
        <f>Inflation_weighted[[#This Row],[2087]]/Inflation_weighted[[#This Row],[2086]]*Inflation_weighted[[#This Row],[2087]]</f>
        <v>4.2012033965968865</v>
      </c>
      <c r="DT72" s="12">
        <f>Inflation_weighted[[#This Row],[2088]]/Inflation_weighted[[#This Row],[2087]]*Inflation_weighted[[#This Row],[2088]]</f>
        <v>4.2883960071656224</v>
      </c>
      <c r="DU72" s="12">
        <f>Inflation_weighted[[#This Row],[2089]]/Inflation_weighted[[#This Row],[2088]]*Inflation_weighted[[#This Row],[2089]]</f>
        <v>4.3773982305095815</v>
      </c>
      <c r="DV72" s="12">
        <f>Inflation_weighted[[#This Row],[2090]]/Inflation_weighted[[#This Row],[2089]]*Inflation_weighted[[#This Row],[2090]]</f>
        <v>4.4682476236920845</v>
      </c>
      <c r="DW72" s="12">
        <f>Inflation_weighted[[#This Row],[2091]]/Inflation_weighted[[#This Row],[2090]]*Inflation_weighted[[#This Row],[2091]]</f>
        <v>4.5609825232432115</v>
      </c>
      <c r="DX72" s="12">
        <f>Inflation_weighted[[#This Row],[2092]]/Inflation_weighted[[#This Row],[2091]]*Inflation_weighted[[#This Row],[2092]]</f>
        <v>4.6556420613370095</v>
      </c>
      <c r="DY72" s="12">
        <f>Inflation_weighted[[#This Row],[2093]]/Inflation_weighted[[#This Row],[2092]]*Inflation_weighted[[#This Row],[2093]]</f>
        <v>4.7522661823044468</v>
      </c>
      <c r="DZ72" s="12">
        <f>Inflation_weighted[[#This Row],[2094]]/Inflation_weighted[[#This Row],[2093]]*Inflation_weighted[[#This Row],[2094]]</f>
        <v>4.850895659489078</v>
      </c>
      <c r="EA72" s="12">
        <f>Inflation_weighted[[#This Row],[2095]]/Inflation_weighted[[#This Row],[2094]]*Inflation_weighted[[#This Row],[2095]]</f>
        <v>4.9515721124525358</v>
      </c>
      <c r="EB72" s="12">
        <f>Inflation_weighted[[#This Row],[2096]]/Inflation_weighted[[#This Row],[2095]]*Inflation_weighted[[#This Row],[2096]]</f>
        <v>5.0543380245371097</v>
      </c>
    </row>
    <row r="73" spans="2:132">
      <c r="B73" s="15" t="s">
        <v>231</v>
      </c>
      <c r="C73" s="15" t="s">
        <v>232</v>
      </c>
      <c r="D73" s="13">
        <v>0.16984441651657919</v>
      </c>
      <c r="E73" s="13">
        <v>0.17657064705348391</v>
      </c>
      <c r="F73" s="13">
        <v>0.18402268478986791</v>
      </c>
      <c r="G73" s="13">
        <v>0.1924353061482123</v>
      </c>
      <c r="H73" s="13">
        <v>0.22062782512527565</v>
      </c>
      <c r="I73" s="13">
        <v>0.25843435520441144</v>
      </c>
      <c r="J73" s="13">
        <v>0.27533871845722763</v>
      </c>
      <c r="K73" s="13">
        <v>0.28899912850071535</v>
      </c>
      <c r="L73" s="13">
        <v>0.29952259076714177</v>
      </c>
      <c r="M73" s="13">
        <v>0.32359636956487625</v>
      </c>
      <c r="N73" s="13">
        <v>0.35529606509777678</v>
      </c>
      <c r="O73" s="13">
        <v>0.40096018216339874</v>
      </c>
      <c r="P73" s="13">
        <v>0.43588218871133527</v>
      </c>
      <c r="Q73" s="13">
        <v>0.46077190113733324</v>
      </c>
      <c r="R73" s="13">
        <v>0.48066781387592766</v>
      </c>
      <c r="S73" s="13">
        <v>0.49884686398441164</v>
      </c>
      <c r="T73" s="13">
        <v>0.51427896864796652</v>
      </c>
      <c r="U73" s="13">
        <v>0.53090594407796932</v>
      </c>
      <c r="V73" s="13">
        <v>0.54683055580322193</v>
      </c>
      <c r="W73" s="13">
        <v>0.56344994401017146</v>
      </c>
      <c r="X73" s="13">
        <v>0.58833103714436275</v>
      </c>
      <c r="Y73" s="13">
        <v>0.61219719108849968</v>
      </c>
      <c r="Z73" s="13">
        <v>0.633996733019629</v>
      </c>
      <c r="AA73" s="13">
        <v>0.6489079835044228</v>
      </c>
      <c r="AB73" s="13">
        <v>0.66301650669774326</v>
      </c>
      <c r="AC73" s="13">
        <v>0.67624587297955341</v>
      </c>
      <c r="AD73" s="13">
        <v>0.68882126450705905</v>
      </c>
      <c r="AE73" s="13">
        <v>0.70178767112389051</v>
      </c>
      <c r="AF73" s="13">
        <v>0.71196449722491417</v>
      </c>
      <c r="AG73" s="13">
        <v>0.71847050648855204</v>
      </c>
      <c r="AH73" s="13">
        <v>0.72531485778970006</v>
      </c>
      <c r="AI73" s="13">
        <v>0.73567182677241727</v>
      </c>
      <c r="AJ73" s="13">
        <v>0.74651070076775061</v>
      </c>
      <c r="AK73" s="13">
        <v>0.75513505852247864</v>
      </c>
      <c r="AL73" s="13">
        <v>0.76455504041581412</v>
      </c>
      <c r="AM73" s="13">
        <v>0.78467521060333378</v>
      </c>
      <c r="AN73" s="13">
        <v>0.80642649277461831</v>
      </c>
      <c r="AO73" s="13">
        <v>0.82902057442105426</v>
      </c>
      <c r="AP73" s="13">
        <v>0.8504178042769498</v>
      </c>
      <c r="AQ73" s="13">
        <v>0.86742352187925109</v>
      </c>
      <c r="AR73" s="13">
        <v>0.87889609060345519</v>
      </c>
      <c r="AS73" s="13">
        <v>0.88997201952817062</v>
      </c>
      <c r="AT73" s="13">
        <v>0.91024674142214279</v>
      </c>
      <c r="AU73" s="13">
        <v>0.92212178706990211</v>
      </c>
      <c r="AV73" s="13">
        <v>0.93641776802706955</v>
      </c>
      <c r="AW73" s="13">
        <v>0.94852355948843525</v>
      </c>
      <c r="AX73" s="13">
        <v>0.95972769305627315</v>
      </c>
      <c r="AY73" s="13">
        <v>0.97404490873151928</v>
      </c>
      <c r="AZ73" s="13">
        <v>0.99245872161238657</v>
      </c>
      <c r="BA73" s="13">
        <v>1.0123078960446343</v>
      </c>
      <c r="BB73" s="13">
        <v>1.0325540539655271</v>
      </c>
      <c r="BC73" s="13">
        <v>1.0532051350448379</v>
      </c>
      <c r="BD73" s="13">
        <v>1.0742692377457341</v>
      </c>
      <c r="BE73" s="13">
        <v>1.0957546225006489</v>
      </c>
      <c r="BF73" s="13">
        <v>1.117669714950662</v>
      </c>
      <c r="BG73" s="13">
        <v>1.1400231092496753</v>
      </c>
      <c r="BH73" s="12">
        <v>1.1628235714346689</v>
      </c>
      <c r="BI73" s="12">
        <v>1.186080042863362</v>
      </c>
      <c r="BJ73" s="12">
        <v>1.2098016437206294</v>
      </c>
      <c r="BK73" s="12">
        <v>1.233997676595042</v>
      </c>
      <c r="BL73" s="12">
        <v>1.2586776301269429</v>
      </c>
      <c r="BM73" s="12">
        <v>1.2838511827294816</v>
      </c>
      <c r="BN73" s="12">
        <v>1.3095282063840714</v>
      </c>
      <c r="BO73" s="12">
        <v>1.3357187705117528</v>
      </c>
      <c r="BP73" s="12">
        <v>1.3624331459219878</v>
      </c>
      <c r="BQ73" s="12">
        <v>1.3896818088404277</v>
      </c>
      <c r="BR73" s="12">
        <v>1.4174754450172362</v>
      </c>
      <c r="BS73" s="12">
        <v>1.4458249539175809</v>
      </c>
      <c r="BT73" s="12">
        <v>1.4747414529959326</v>
      </c>
      <c r="BU73" s="12">
        <v>1.504236282055851</v>
      </c>
      <c r="BV73" s="12">
        <v>1.5343210076969682</v>
      </c>
      <c r="BW73" s="12">
        <v>1.5650074278509076</v>
      </c>
      <c r="BX73" s="12">
        <v>1.5963075764079258</v>
      </c>
      <c r="BY73" s="12">
        <v>1.6282337279360843</v>
      </c>
      <c r="BZ73" s="12">
        <v>1.6607984024948061</v>
      </c>
      <c r="CA73" s="12">
        <v>1.6940143705447024</v>
      </c>
      <c r="CB73" s="12">
        <v>1.7278946579555965</v>
      </c>
      <c r="CC73" s="12">
        <v>1.7624525511147084</v>
      </c>
      <c r="CD73" s="12">
        <v>1.7977016021370027</v>
      </c>
      <c r="CE73" s="12">
        <v>1.8336556341797428</v>
      </c>
      <c r="CF73" s="12">
        <v>1.8703287468633376</v>
      </c>
      <c r="CG73" s="12">
        <v>1.9077353218006043</v>
      </c>
      <c r="CH73" s="12">
        <v>1.9458900282366165</v>
      </c>
      <c r="CI73" s="12">
        <v>1.9848078288013489</v>
      </c>
      <c r="CJ73" s="12">
        <v>2.0245039853773754</v>
      </c>
      <c r="CK73" s="12">
        <v>2.0649940650849232</v>
      </c>
      <c r="CL73" s="12">
        <v>2.1062939463866219</v>
      </c>
      <c r="CM73" s="12">
        <v>2.1484198253143543</v>
      </c>
      <c r="CN73" s="12">
        <v>2.1913882218206409</v>
      </c>
      <c r="CO73" s="12">
        <v>2.235215986257054</v>
      </c>
      <c r="CP73" s="12">
        <v>2.2799203059821953</v>
      </c>
      <c r="CQ73" s="12">
        <v>2.3255187121018395</v>
      </c>
      <c r="CR73" s="12">
        <f>Inflation_weighted[[#This Row],[2060]]/Inflation_weighted[[#This Row],[2059]]*Inflation_weighted[[#This Row],[2060]]</f>
        <v>2.3720290863438764</v>
      </c>
      <c r="CS73" s="12">
        <f>Inflation_weighted[[#This Row],[2061]]/Inflation_weighted[[#This Row],[2060]]*Inflation_weighted[[#This Row],[2061]]</f>
        <v>2.4194696680707541</v>
      </c>
      <c r="CT73" s="12">
        <f>Inflation_weighted[[#This Row],[2062]]/Inflation_weighted[[#This Row],[2061]]*Inflation_weighted[[#This Row],[2062]]</f>
        <v>2.4678590614321694</v>
      </c>
      <c r="CU73" s="12">
        <f>Inflation_weighted[[#This Row],[2063]]/Inflation_weighted[[#This Row],[2062]]*Inflation_weighted[[#This Row],[2063]]</f>
        <v>2.5172162426608127</v>
      </c>
      <c r="CV73" s="12">
        <f>Inflation_weighted[[#This Row],[2064]]/Inflation_weighted[[#This Row],[2063]]*Inflation_weighted[[#This Row],[2064]]</f>
        <v>2.5675605675140289</v>
      </c>
      <c r="CW73" s="12">
        <f>Inflation_weighted[[#This Row],[2065]]/Inflation_weighted[[#This Row],[2064]]*Inflation_weighted[[#This Row],[2065]]</f>
        <v>2.6189117788643097</v>
      </c>
      <c r="CX73" s="12">
        <f>Inflation_weighted[[#This Row],[2066]]/Inflation_weighted[[#This Row],[2065]]*Inflation_weighted[[#This Row],[2066]]</f>
        <v>2.6712900144415959</v>
      </c>
      <c r="CY73" s="12">
        <f>Inflation_weighted[[#This Row],[2067]]/Inflation_weighted[[#This Row],[2066]]*Inflation_weighted[[#This Row],[2067]]</f>
        <v>2.7247158147304278</v>
      </c>
      <c r="CZ73" s="12">
        <f>Inflation_weighted[[#This Row],[2068]]/Inflation_weighted[[#This Row],[2067]]*Inflation_weighted[[#This Row],[2068]]</f>
        <v>2.7792101310250366</v>
      </c>
      <c r="DA73" s="12">
        <f>Inflation_weighted[[#This Row],[2069]]/Inflation_weighted[[#This Row],[2068]]*Inflation_weighted[[#This Row],[2069]]</f>
        <v>2.8347943336455375</v>
      </c>
      <c r="DB73" s="12">
        <f>Inflation_weighted[[#This Row],[2070]]/Inflation_weighted[[#This Row],[2069]]*Inflation_weighted[[#This Row],[2070]]</f>
        <v>2.891490220318448</v>
      </c>
      <c r="DC73" s="12">
        <f>Inflation_weighted[[#This Row],[2071]]/Inflation_weighted[[#This Row],[2070]]*Inflation_weighted[[#This Row],[2071]]</f>
        <v>2.949320024724817</v>
      </c>
      <c r="DD73" s="12">
        <f>Inflation_weighted[[#This Row],[2072]]/Inflation_weighted[[#This Row],[2071]]*Inflation_weighted[[#This Row],[2072]]</f>
        <v>3.0083064252193132</v>
      </c>
      <c r="DE73" s="12">
        <f>Inflation_weighted[[#This Row],[2073]]/Inflation_weighted[[#This Row],[2072]]*Inflation_weighted[[#This Row],[2073]]</f>
        <v>3.0684725537236996</v>
      </c>
      <c r="DF73" s="12">
        <f>Inflation_weighted[[#This Row],[2074]]/Inflation_weighted[[#This Row],[2073]]*Inflation_weighted[[#This Row],[2074]]</f>
        <v>3.1298420047981739</v>
      </c>
      <c r="DG73" s="12">
        <f>Inflation_weighted[[#This Row],[2075]]/Inflation_weighted[[#This Row],[2074]]*Inflation_weighted[[#This Row],[2075]]</f>
        <v>3.1924388448941374</v>
      </c>
      <c r="DH73" s="12">
        <f>Inflation_weighted[[#This Row],[2076]]/Inflation_weighted[[#This Row],[2075]]*Inflation_weighted[[#This Row],[2076]]</f>
        <v>3.25628762179202</v>
      </c>
      <c r="DI73" s="12">
        <f>Inflation_weighted[[#This Row],[2077]]/Inflation_weighted[[#This Row],[2076]]*Inflation_weighted[[#This Row],[2077]]</f>
        <v>3.3214133742278604</v>
      </c>
      <c r="DJ73" s="12">
        <f>Inflation_weighted[[#This Row],[2078]]/Inflation_weighted[[#This Row],[2077]]*Inflation_weighted[[#This Row],[2078]]</f>
        <v>3.3878416417124178</v>
      </c>
      <c r="DK73" s="12">
        <f>Inflation_weighted[[#This Row],[2079]]/Inflation_weighted[[#This Row],[2078]]*Inflation_weighted[[#This Row],[2079]]</f>
        <v>3.4555984745466661</v>
      </c>
      <c r="DL73" s="12">
        <f>Inflation_weighted[[#This Row],[2080]]/Inflation_weighted[[#This Row],[2079]]*Inflation_weighted[[#This Row],[2080]]</f>
        <v>3.5247104440375994</v>
      </c>
      <c r="DM73" s="12">
        <f>Inflation_weighted[[#This Row],[2081]]/Inflation_weighted[[#This Row],[2080]]*Inflation_weighted[[#This Row],[2081]]</f>
        <v>3.5952046529183512</v>
      </c>
      <c r="DN73" s="12">
        <f>Inflation_weighted[[#This Row],[2082]]/Inflation_weighted[[#This Row],[2081]]*Inflation_weighted[[#This Row],[2082]]</f>
        <v>3.6671087459767184</v>
      </c>
      <c r="DO73" s="12">
        <f>Inflation_weighted[[#This Row],[2083]]/Inflation_weighted[[#This Row],[2082]]*Inflation_weighted[[#This Row],[2083]]</f>
        <v>3.7404509208962531</v>
      </c>
      <c r="DP73" s="12">
        <f>Inflation_weighted[[#This Row],[2084]]/Inflation_weighted[[#This Row],[2083]]*Inflation_weighted[[#This Row],[2084]]</f>
        <v>3.8152599393141782</v>
      </c>
      <c r="DQ73" s="12">
        <f>Inflation_weighted[[#This Row],[2085]]/Inflation_weighted[[#This Row],[2084]]*Inflation_weighted[[#This Row],[2085]]</f>
        <v>3.8915651381004617</v>
      </c>
      <c r="DR73" s="12">
        <f>Inflation_weighted[[#This Row],[2086]]/Inflation_weighted[[#This Row],[2085]]*Inflation_weighted[[#This Row],[2086]]</f>
        <v>3.9693964408624711</v>
      </c>
      <c r="DS73" s="12">
        <f>Inflation_weighted[[#This Row],[2087]]/Inflation_weighted[[#This Row],[2086]]*Inflation_weighted[[#This Row],[2087]]</f>
        <v>4.048784369679721</v>
      </c>
      <c r="DT73" s="12">
        <f>Inflation_weighted[[#This Row],[2088]]/Inflation_weighted[[#This Row],[2087]]*Inflation_weighted[[#This Row],[2088]]</f>
        <v>4.1297600570733151</v>
      </c>
      <c r="DU73" s="12">
        <f>Inflation_weighted[[#This Row],[2089]]/Inflation_weighted[[#This Row],[2088]]*Inflation_weighted[[#This Row],[2089]]</f>
        <v>4.2123552582147816</v>
      </c>
      <c r="DV73" s="12">
        <f>Inflation_weighted[[#This Row],[2090]]/Inflation_weighted[[#This Row],[2089]]*Inflation_weighted[[#This Row],[2090]]</f>
        <v>4.2966023633790771</v>
      </c>
      <c r="DW73" s="12">
        <f>Inflation_weighted[[#This Row],[2091]]/Inflation_weighted[[#This Row],[2090]]*Inflation_weighted[[#This Row],[2091]]</f>
        <v>4.3825344106466586</v>
      </c>
      <c r="DX73" s="12">
        <f>Inflation_weighted[[#This Row],[2092]]/Inflation_weighted[[#This Row],[2091]]*Inflation_weighted[[#This Row],[2092]]</f>
        <v>4.4701850988595915</v>
      </c>
      <c r="DY73" s="12">
        <f>Inflation_weighted[[#This Row],[2093]]/Inflation_weighted[[#This Row],[2092]]*Inflation_weighted[[#This Row],[2093]]</f>
        <v>4.5595888008367833</v>
      </c>
      <c r="DZ73" s="12">
        <f>Inflation_weighted[[#This Row],[2094]]/Inflation_weighted[[#This Row],[2093]]*Inflation_weighted[[#This Row],[2094]]</f>
        <v>4.6507805768535189</v>
      </c>
      <c r="EA73" s="12">
        <f>Inflation_weighted[[#This Row],[2095]]/Inflation_weighted[[#This Row],[2094]]*Inflation_weighted[[#This Row],[2095]]</f>
        <v>4.743796188390589</v>
      </c>
      <c r="EB73" s="12">
        <f>Inflation_weighted[[#This Row],[2096]]/Inflation_weighted[[#This Row],[2095]]*Inflation_weighted[[#This Row],[2096]]</f>
        <v>4.8386721121584007</v>
      </c>
    </row>
    <row r="74" spans="2:132">
      <c r="B74" s="15" t="s">
        <v>44</v>
      </c>
      <c r="C74" s="15" t="s">
        <v>43</v>
      </c>
      <c r="D74" s="13">
        <v>0.16700678986492898</v>
      </c>
      <c r="E74" s="13">
        <v>0.1776847929135103</v>
      </c>
      <c r="F74" s="13">
        <v>0.18894682747433394</v>
      </c>
      <c r="G74" s="13">
        <v>0.19894285270917278</v>
      </c>
      <c r="H74" s="13">
        <v>0.22260183951866452</v>
      </c>
      <c r="I74" s="13">
        <v>0.25103439396787913</v>
      </c>
      <c r="J74" s="13">
        <v>0.26958180975192969</v>
      </c>
      <c r="K74" s="13">
        <v>0.28027022598371371</v>
      </c>
      <c r="L74" s="13">
        <v>0.29343405846786519</v>
      </c>
      <c r="M74" s="13">
        <v>0.3166053570669437</v>
      </c>
      <c r="N74" s="13">
        <v>0.34171460371978007</v>
      </c>
      <c r="O74" s="13">
        <v>0.37541770095237753</v>
      </c>
      <c r="P74" s="13">
        <v>0.4080232155695982</v>
      </c>
      <c r="Q74" s="13">
        <v>0.43125655643076083</v>
      </c>
      <c r="R74" s="13">
        <v>0.44978259148773669</v>
      </c>
      <c r="S74" s="13">
        <v>0.4655432027530817</v>
      </c>
      <c r="T74" s="13">
        <v>0.4812008789725345</v>
      </c>
      <c r="U74" s="13">
        <v>0.48967541178891166</v>
      </c>
      <c r="V74" s="13">
        <v>0.50256673636084148</v>
      </c>
      <c r="W74" s="13">
        <v>0.51692148401884463</v>
      </c>
      <c r="X74" s="13">
        <v>0.53763166639420557</v>
      </c>
      <c r="Y74" s="13">
        <v>0.55851110882888688</v>
      </c>
      <c r="Z74" s="13">
        <v>0.5789976303137363</v>
      </c>
      <c r="AA74" s="13">
        <v>0.59750402541775438</v>
      </c>
      <c r="AB74" s="13">
        <v>0.61500636812569665</v>
      </c>
      <c r="AC74" s="13">
        <v>0.62418379114929801</v>
      </c>
      <c r="AD74" s="13">
        <v>0.63487990028601315</v>
      </c>
      <c r="AE74" s="13">
        <v>0.64710149254514227</v>
      </c>
      <c r="AF74" s="13">
        <v>0.6604370382697925</v>
      </c>
      <c r="AG74" s="13">
        <v>0.67262054685737138</v>
      </c>
      <c r="AH74" s="13">
        <v>0.68650023760458956</v>
      </c>
      <c r="AI74" s="13">
        <v>0.70581891440601119</v>
      </c>
      <c r="AJ74" s="13">
        <v>0.72403429796735463</v>
      </c>
      <c r="AK74" s="13">
        <v>0.74191451392091812</v>
      </c>
      <c r="AL74" s="13">
        <v>0.75964941960763344</v>
      </c>
      <c r="AM74" s="13">
        <v>0.78393667664687583</v>
      </c>
      <c r="AN74" s="13">
        <v>0.80856200091573638</v>
      </c>
      <c r="AO74" s="13">
        <v>0.83153825085308319</v>
      </c>
      <c r="AP74" s="13">
        <v>0.85351966222572573</v>
      </c>
      <c r="AQ74" s="13">
        <v>0.87413864904513594</v>
      </c>
      <c r="AR74" s="13">
        <v>0.89507314126153503</v>
      </c>
      <c r="AS74" s="13">
        <v>0.91076826214015227</v>
      </c>
      <c r="AT74" s="13">
        <v>0.92442854449095946</v>
      </c>
      <c r="AU74" s="13">
        <v>0.92874400449559547</v>
      </c>
      <c r="AV74" s="13">
        <v>0.93529630196928826</v>
      </c>
      <c r="AW74" s="13">
        <v>0.94467013618074125</v>
      </c>
      <c r="AX74" s="13">
        <v>0.95452460626602476</v>
      </c>
      <c r="AY74" s="13">
        <v>0.96722368194148223</v>
      </c>
      <c r="AZ74" s="13">
        <v>0.98393895420239252</v>
      </c>
      <c r="BA74" s="13">
        <v>1.0037406842766969</v>
      </c>
      <c r="BB74" s="13">
        <v>1.0230770102147497</v>
      </c>
      <c r="BC74" s="13">
        <v>1.042975172566365</v>
      </c>
      <c r="BD74" s="13">
        <v>1.064256590647962</v>
      </c>
      <c r="BE74" s="13">
        <v>1.0862265519751304</v>
      </c>
      <c r="BF74" s="13">
        <v>1.108697157940093</v>
      </c>
      <c r="BG74" s="13">
        <v>1.1316326099645764</v>
      </c>
      <c r="BH74" s="12">
        <v>1.1550425242493807</v>
      </c>
      <c r="BI74" s="12">
        <v>1.1789367159242108</v>
      </c>
      <c r="BJ74" s="12">
        <v>1.2033252031628898</v>
      </c>
      <c r="BK74" s="12">
        <v>1.2282182113837026</v>
      </c>
      <c r="BL74" s="12">
        <v>1.2536261775366291</v>
      </c>
      <c r="BM74" s="12">
        <v>1.2795597544792712</v>
      </c>
      <c r="BN74" s="12">
        <v>1.3060298154432994</v>
      </c>
      <c r="BO74" s="12">
        <v>1.3330474585932994</v>
      </c>
      <c r="BP74" s="12">
        <v>1.3606240116799255</v>
      </c>
      <c r="BQ74" s="12">
        <v>1.3887710367893118</v>
      </c>
      <c r="BR74" s="12">
        <v>1.4175003351907374</v>
      </c>
      <c r="BS74" s="12">
        <v>1.4468239522845705</v>
      </c>
      <c r="BT74" s="12">
        <v>1.4767541826525727</v>
      </c>
      <c r="BU74" s="12">
        <v>1.5073035752126764</v>
      </c>
      <c r="BV74" s="12">
        <v>1.5384849384804002</v>
      </c>
      <c r="BW74" s="12">
        <v>1.5703113459391034</v>
      </c>
      <c r="BX74" s="12">
        <v>1.6027961415213379</v>
      </c>
      <c r="BY74" s="12">
        <v>1.6359529452035895</v>
      </c>
      <c r="BZ74" s="12">
        <v>1.6697956587167566</v>
      </c>
      <c r="CA74" s="12">
        <v>1.7043384713747631</v>
      </c>
      <c r="CB74" s="12">
        <v>1.7395958660237438</v>
      </c>
      <c r="CC74" s="12">
        <v>1.7755826251143025</v>
      </c>
      <c r="CD74" s="12">
        <v>1.8123138368993841</v>
      </c>
      <c r="CE74" s="12">
        <v>1.8498049017603615</v>
      </c>
      <c r="CF74" s="12">
        <v>1.8880715386639906</v>
      </c>
      <c r="CG74" s="12">
        <v>1.9271297917529377</v>
      </c>
      <c r="CH74" s="12">
        <v>1.9669960370726451</v>
      </c>
      <c r="CI74" s="12">
        <v>2.0076869894373544</v>
      </c>
      <c r="CJ74" s="12">
        <v>2.0492197094381646</v>
      </c>
      <c r="CK74" s="12">
        <v>2.0916116105960678</v>
      </c>
      <c r="CL74" s="12">
        <v>2.1348804666629566</v>
      </c>
      <c r="CM74" s="12">
        <v>2.1790444190736662</v>
      </c>
      <c r="CN74" s="12">
        <v>2.224121984552176</v>
      </c>
      <c r="CO74" s="12">
        <v>2.2701320628751613</v>
      </c>
      <c r="CP74" s="12">
        <v>2.3170939447961469</v>
      </c>
      <c r="CQ74" s="12">
        <v>2.3650273201335854</v>
      </c>
      <c r="CR74" s="12">
        <f>Inflation_weighted[[#This Row],[2060]]/Inflation_weighted[[#This Row],[2059]]*Inflation_weighted[[#This Row],[2060]]</f>
        <v>2.4139522860262534</v>
      </c>
      <c r="CS74" s="12">
        <f>Inflation_weighted[[#This Row],[2061]]/Inflation_weighted[[#This Row],[2060]]*Inflation_weighted[[#This Row],[2061]]</f>
        <v>2.4638893553594277</v>
      </c>
      <c r="CT74" s="12">
        <f>Inflation_weighted[[#This Row],[2062]]/Inflation_weighted[[#This Row],[2061]]*Inflation_weighted[[#This Row],[2062]]</f>
        <v>2.5148594653653702</v>
      </c>
      <c r="CU74" s="12">
        <f>Inflation_weighted[[#This Row],[2063]]/Inflation_weighted[[#This Row],[2062]]*Inflation_weighted[[#This Row],[2063]]</f>
        <v>2.5668839864017294</v>
      </c>
      <c r="CV74" s="12">
        <f>Inflation_weighted[[#This Row],[2064]]/Inflation_weighted[[#This Row],[2063]]*Inflation_weighted[[#This Row],[2064]]</f>
        <v>2.619984730911542</v>
      </c>
      <c r="CW74" s="12">
        <f>Inflation_weighted[[#This Row],[2065]]/Inflation_weighted[[#This Row],[2064]]*Inflation_weighted[[#This Row],[2065]]</f>
        <v>2.6741839625685859</v>
      </c>
      <c r="CX74" s="12">
        <f>Inflation_weighted[[#This Row],[2066]]/Inflation_weighted[[#This Row],[2065]]*Inflation_weighted[[#This Row],[2066]]</f>
        <v>2.729504405611924</v>
      </c>
      <c r="CY74" s="12">
        <f>Inflation_weighted[[#This Row],[2067]]/Inflation_weighted[[#This Row],[2066]]*Inflation_weighted[[#This Row],[2067]]</f>
        <v>2.7859692543735473</v>
      </c>
      <c r="CZ74" s="12">
        <f>Inflation_weighted[[#This Row],[2068]]/Inflation_weighted[[#This Row],[2067]]*Inflation_weighted[[#This Row],[2068]]</f>
        <v>2.8436021830031195</v>
      </c>
      <c r="DA74" s="12">
        <f>Inflation_weighted[[#This Row],[2069]]/Inflation_weighted[[#This Row],[2068]]*Inflation_weighted[[#This Row],[2069]]</f>
        <v>2.9024273553938915</v>
      </c>
      <c r="DB74" s="12">
        <f>Inflation_weighted[[#This Row],[2070]]/Inflation_weighted[[#This Row],[2069]]*Inflation_weighted[[#This Row],[2070]]</f>
        <v>2.9624694353139542</v>
      </c>
      <c r="DC74" s="12">
        <f>Inflation_weighted[[#This Row],[2071]]/Inflation_weighted[[#This Row],[2070]]*Inflation_weighted[[#This Row],[2071]]</f>
        <v>3.0237535967470746</v>
      </c>
      <c r="DD74" s="12">
        <f>Inflation_weighted[[#This Row],[2072]]/Inflation_weighted[[#This Row],[2071]]*Inflation_weighted[[#This Row],[2072]]</f>
        <v>3.0863055344474506</v>
      </c>
      <c r="DE74" s="12">
        <f>Inflation_weighted[[#This Row],[2073]]/Inflation_weighted[[#This Row],[2072]]*Inflation_weighted[[#This Row],[2073]]</f>
        <v>3.150151474712811</v>
      </c>
      <c r="DF74" s="12">
        <f>Inflation_weighted[[#This Row],[2074]]/Inflation_weighted[[#This Row],[2073]]*Inflation_weighted[[#This Row],[2074]]</f>
        <v>3.2153181863803773</v>
      </c>
      <c r="DG74" s="12">
        <f>Inflation_weighted[[#This Row],[2075]]/Inflation_weighted[[#This Row],[2074]]*Inflation_weighted[[#This Row],[2075]]</f>
        <v>3.2818329920502967</v>
      </c>
      <c r="DH74" s="12">
        <f>Inflation_weighted[[#This Row],[2076]]/Inflation_weighted[[#This Row],[2075]]*Inflation_weighted[[#This Row],[2076]]</f>
        <v>3.3497237795412524</v>
      </c>
      <c r="DI74" s="12">
        <f>Inflation_weighted[[#This Row],[2077]]/Inflation_weighted[[#This Row],[2076]]*Inflation_weighted[[#This Row],[2077]]</f>
        <v>3.4190190135830556</v>
      </c>
      <c r="DJ74" s="12">
        <f>Inflation_weighted[[#This Row],[2078]]/Inflation_weighted[[#This Row],[2077]]*Inflation_weighted[[#This Row],[2078]]</f>
        <v>3.4897477477511187</v>
      </c>
      <c r="DK74" s="12">
        <f>Inflation_weighted[[#This Row],[2079]]/Inflation_weighted[[#This Row],[2078]]*Inflation_weighted[[#This Row],[2079]]</f>
        <v>3.5619396366478164</v>
      </c>
      <c r="DL74" s="12">
        <f>Inflation_weighted[[#This Row],[2080]]/Inflation_weighted[[#This Row],[2079]]*Inflation_weighted[[#This Row],[2080]]</f>
        <v>3.6356249483358409</v>
      </c>
      <c r="DM74" s="12">
        <f>Inflation_weighted[[#This Row],[2081]]/Inflation_weighted[[#This Row],[2080]]*Inflation_weighted[[#This Row],[2081]]</f>
        <v>3.7108345770287632</v>
      </c>
      <c r="DN74" s="12">
        <f>Inflation_weighted[[#This Row],[2082]]/Inflation_weighted[[#This Row],[2081]]*Inflation_weighted[[#This Row],[2082]]</f>
        <v>3.7876000560441221</v>
      </c>
      <c r="DO74" s="12">
        <f>Inflation_weighted[[#This Row],[2083]]/Inflation_weighted[[#This Row],[2082]]*Inflation_weighted[[#This Row],[2083]]</f>
        <v>3.8659535710244732</v>
      </c>
      <c r="DP74" s="12">
        <f>Inflation_weighted[[#This Row],[2084]]/Inflation_weighted[[#This Row],[2083]]*Inflation_weighted[[#This Row],[2084]]</f>
        <v>3.9459279734319379</v>
      </c>
      <c r="DQ74" s="12">
        <f>Inflation_weighted[[#This Row],[2085]]/Inflation_weighted[[#This Row],[2084]]*Inflation_weighted[[#This Row],[2085]]</f>
        <v>4.0275567943219128</v>
      </c>
      <c r="DR74" s="12">
        <f>Inflation_weighted[[#This Row],[2086]]/Inflation_weighted[[#This Row],[2085]]*Inflation_weighted[[#This Row],[2086]]</f>
        <v>4.1108742584017159</v>
      </c>
      <c r="DS74" s="12">
        <f>Inflation_weighted[[#This Row],[2087]]/Inflation_weighted[[#This Row],[2086]]*Inflation_weighted[[#This Row],[2087]]</f>
        <v>4.1959152983800578</v>
      </c>
      <c r="DT74" s="12">
        <f>Inflation_weighted[[#This Row],[2088]]/Inflation_weighted[[#This Row],[2087]]*Inflation_weighted[[#This Row],[2088]]</f>
        <v>4.2827155696133614</v>
      </c>
      <c r="DU74" s="12">
        <f>Inflation_weighted[[#This Row],[2089]]/Inflation_weighted[[#This Row],[2088]]*Inflation_weighted[[#This Row],[2089]]</f>
        <v>4.3713114650550668</v>
      </c>
      <c r="DV74" s="12">
        <f>Inflation_weighted[[#This Row],[2090]]/Inflation_weighted[[#This Row],[2089]]*Inflation_weighted[[#This Row],[2090]]</f>
        <v>4.4617401305141904</v>
      </c>
      <c r="DW74" s="12">
        <f>Inflation_weighted[[#This Row],[2091]]/Inflation_weighted[[#This Row],[2090]]*Inflation_weighted[[#This Row],[2091]]</f>
        <v>4.5540394802295356</v>
      </c>
      <c r="DX74" s="12">
        <f>Inflation_weighted[[#This Row],[2092]]/Inflation_weighted[[#This Row],[2091]]*Inflation_weighted[[#This Row],[2092]]</f>
        <v>4.6482482127660836</v>
      </c>
      <c r="DY74" s="12">
        <f>Inflation_weighted[[#This Row],[2093]]/Inflation_weighted[[#This Row],[2092]]*Inflation_weighted[[#This Row],[2093]]</f>
        <v>4.7444058272402332</v>
      </c>
      <c r="DZ74" s="12">
        <f>Inflation_weighted[[#This Row],[2094]]/Inflation_weighted[[#This Row],[2093]]*Inflation_weighted[[#This Row],[2094]]</f>
        <v>4.8425526398806866</v>
      </c>
      <c r="EA74" s="12">
        <f>Inflation_weighted[[#This Row],[2095]]/Inflation_weighted[[#This Row],[2094]]*Inflation_weighted[[#This Row],[2095]]</f>
        <v>4.9427298009319296</v>
      </c>
      <c r="EB74" s="12">
        <f>Inflation_weighted[[#This Row],[2096]]/Inflation_weighted[[#This Row],[2095]]*Inflation_weighted[[#This Row],[2096]]</f>
        <v>5.0449793119073929</v>
      </c>
    </row>
    <row r="75" spans="2:132">
      <c r="B75" s="15" t="s">
        <v>42</v>
      </c>
      <c r="C75" s="15" t="s">
        <v>41</v>
      </c>
      <c r="D75" s="13">
        <v>0.20960190486842151</v>
      </c>
      <c r="E75" s="13">
        <v>0.21917932519006408</v>
      </c>
      <c r="F75" s="13">
        <v>0.22517041363573592</v>
      </c>
      <c r="G75" s="13">
        <v>0.24090847305965238</v>
      </c>
      <c r="H75" s="13">
        <v>0.26529167430253164</v>
      </c>
      <c r="I75" s="13">
        <v>0.28250072081971089</v>
      </c>
      <c r="J75" s="13">
        <v>0.304625580832797</v>
      </c>
      <c r="K75" s="13">
        <v>0.32557287043854527</v>
      </c>
      <c r="L75" s="13">
        <v>0.33539555844712932</v>
      </c>
      <c r="M75" s="13">
        <v>0.36362364392079144</v>
      </c>
      <c r="N75" s="13">
        <v>0.40203825506548396</v>
      </c>
      <c r="O75" s="13">
        <v>0.43498900087428327</v>
      </c>
      <c r="P75" s="13">
        <v>0.46270911020186323</v>
      </c>
      <c r="Q75" s="13">
        <v>0.48270805710932291</v>
      </c>
      <c r="R75" s="13">
        <v>0.50094525062104955</v>
      </c>
      <c r="S75" s="13">
        <v>0.5158021286823582</v>
      </c>
      <c r="T75" s="13">
        <v>0.5310173117974355</v>
      </c>
      <c r="U75" s="13">
        <v>0.54953066550647534</v>
      </c>
      <c r="V75" s="13">
        <v>0.56935631569831902</v>
      </c>
      <c r="W75" s="13">
        <v>0.59563529081388211</v>
      </c>
      <c r="X75" s="13">
        <v>0.61830685351061465</v>
      </c>
      <c r="Y75" s="13">
        <v>0.63826089561144106</v>
      </c>
      <c r="Z75" s="13">
        <v>0.64987506460417988</v>
      </c>
      <c r="AA75" s="13">
        <v>0.66999239416143852</v>
      </c>
      <c r="AB75" s="13">
        <v>0.67763319442315884</v>
      </c>
      <c r="AC75" s="13">
        <v>0.68722014293629574</v>
      </c>
      <c r="AD75" s="13">
        <v>0.69911944609634546</v>
      </c>
      <c r="AE75" s="13">
        <v>0.70791590006656135</v>
      </c>
      <c r="AF75" s="13">
        <v>0.71600085529114532</v>
      </c>
      <c r="AG75" s="13">
        <v>0.72207623928742148</v>
      </c>
      <c r="AH75" s="13">
        <v>0.73117905881640699</v>
      </c>
      <c r="AI75" s="13">
        <v>0.74134406300774658</v>
      </c>
      <c r="AJ75" s="13">
        <v>0.75127518193344178</v>
      </c>
      <c r="AK75" s="13">
        <v>0.76129077049102589</v>
      </c>
      <c r="AL75" s="13">
        <v>0.77634169811771758</v>
      </c>
      <c r="AM75" s="13">
        <v>0.79549567483222605</v>
      </c>
      <c r="AN75" s="13">
        <v>0.81789265041112658</v>
      </c>
      <c r="AO75" s="13">
        <v>0.84499350078403812</v>
      </c>
      <c r="AP75" s="13">
        <v>0.86338759779258789</v>
      </c>
      <c r="AQ75" s="13">
        <v>0.87741843678886389</v>
      </c>
      <c r="AR75" s="13">
        <v>0.88898513840714655</v>
      </c>
      <c r="AS75" s="13">
        <v>0.90616717227358401</v>
      </c>
      <c r="AT75" s="13">
        <v>0.91942159901719778</v>
      </c>
      <c r="AU75" s="13">
        <v>0.9340504808413469</v>
      </c>
      <c r="AV75" s="13">
        <v>0.94691838474456502</v>
      </c>
      <c r="AW75" s="13">
        <v>0.95952191704459855</v>
      </c>
      <c r="AX75" s="13">
        <v>0.97304871167023643</v>
      </c>
      <c r="AY75" s="13">
        <v>0.99000384963731303</v>
      </c>
      <c r="AZ75" s="13">
        <v>1.0093758325248252</v>
      </c>
      <c r="BA75" s="13">
        <v>1.0295633491753216</v>
      </c>
      <c r="BB75" s="13">
        <v>1.0501546161588287</v>
      </c>
      <c r="BC75" s="13">
        <v>1.071157708482005</v>
      </c>
      <c r="BD75" s="13">
        <v>1.0925808626516453</v>
      </c>
      <c r="BE75" s="13">
        <v>1.1144324799046781</v>
      </c>
      <c r="BF75" s="13">
        <v>1.1367211295027717</v>
      </c>
      <c r="BG75" s="13">
        <v>1.1594555520928274</v>
      </c>
      <c r="BH75" s="12">
        <v>1.1826446631346841</v>
      </c>
      <c r="BI75" s="12">
        <v>1.2062975563973781</v>
      </c>
      <c r="BJ75" s="12">
        <v>1.230423507525326</v>
      </c>
      <c r="BK75" s="12">
        <v>1.2550319776758327</v>
      </c>
      <c r="BL75" s="12">
        <v>1.2801326172293497</v>
      </c>
      <c r="BM75" s="12">
        <v>1.305735269573937</v>
      </c>
      <c r="BN75" s="12">
        <v>1.331849974965416</v>
      </c>
      <c r="BO75" s="12">
        <v>1.3584869744647248</v>
      </c>
      <c r="BP75" s="12">
        <v>1.3856567139540195</v>
      </c>
      <c r="BQ75" s="12">
        <v>1.4133698482331001</v>
      </c>
      <c r="BR75" s="12">
        <v>1.4416372451977624</v>
      </c>
      <c r="BS75" s="12">
        <v>1.470469990101718</v>
      </c>
      <c r="BT75" s="12">
        <v>1.4998793899037526</v>
      </c>
      <c r="BU75" s="12">
        <v>1.5298769777018282</v>
      </c>
      <c r="BV75" s="12">
        <v>1.5604745172558649</v>
      </c>
      <c r="BW75" s="12">
        <v>1.5916840076009826</v>
      </c>
      <c r="BX75" s="12">
        <v>1.6235176877530026</v>
      </c>
      <c r="BY75" s="12">
        <v>1.655988041508063</v>
      </c>
      <c r="BZ75" s="12">
        <v>1.6891078023382247</v>
      </c>
      <c r="CA75" s="12">
        <v>1.7228899583849895</v>
      </c>
      <c r="CB75" s="12">
        <v>1.7573477575526897</v>
      </c>
      <c r="CC75" s="12">
        <v>1.7924947127037438</v>
      </c>
      <c r="CD75" s="12">
        <v>1.8283446069578193</v>
      </c>
      <c r="CE75" s="12">
        <v>1.8649114990969762</v>
      </c>
      <c r="CF75" s="12">
        <v>1.9022097290789162</v>
      </c>
      <c r="CG75" s="12">
        <v>1.940253923660495</v>
      </c>
      <c r="CH75" s="12">
        <v>1.9790590021337051</v>
      </c>
      <c r="CI75" s="12">
        <v>2.0186401821763797</v>
      </c>
      <c r="CJ75" s="12">
        <v>2.059012985819908</v>
      </c>
      <c r="CK75" s="12">
        <v>2.1001932455363068</v>
      </c>
      <c r="CL75" s="12">
        <v>2.1421971104470336</v>
      </c>
      <c r="CM75" s="12">
        <v>2.1850410526559747</v>
      </c>
      <c r="CN75" s="12">
        <v>2.2287418737090947</v>
      </c>
      <c r="CO75" s="12">
        <v>2.2733167111832771</v>
      </c>
      <c r="CP75" s="12">
        <v>2.3187830454069429</v>
      </c>
      <c r="CQ75" s="12">
        <v>2.3651587063150825</v>
      </c>
      <c r="CR75" s="12">
        <f>Inflation_weighted[[#This Row],[2060]]/Inflation_weighted[[#This Row],[2059]]*Inflation_weighted[[#This Row],[2060]]</f>
        <v>2.4124618804413847</v>
      </c>
      <c r="CS75" s="12">
        <f>Inflation_weighted[[#This Row],[2061]]/Inflation_weighted[[#This Row],[2060]]*Inflation_weighted[[#This Row],[2061]]</f>
        <v>2.460711118050213</v>
      </c>
      <c r="CT75" s="12">
        <f>Inflation_weighted[[#This Row],[2062]]/Inflation_weighted[[#This Row],[2061]]*Inflation_weighted[[#This Row],[2062]]</f>
        <v>2.5099253404112178</v>
      </c>
      <c r="CU75" s="12">
        <f>Inflation_weighted[[#This Row],[2063]]/Inflation_weighted[[#This Row],[2062]]*Inflation_weighted[[#This Row],[2063]]</f>
        <v>2.560123847219443</v>
      </c>
      <c r="CV75" s="12">
        <f>Inflation_weighted[[#This Row],[2064]]/Inflation_weighted[[#This Row],[2063]]*Inflation_weighted[[#This Row],[2064]]</f>
        <v>2.6113263241638323</v>
      </c>
      <c r="CW75" s="12">
        <f>Inflation_weighted[[#This Row],[2065]]/Inflation_weighted[[#This Row],[2064]]*Inflation_weighted[[#This Row],[2065]]</f>
        <v>2.6635528506471093</v>
      </c>
      <c r="CX75" s="12">
        <f>Inflation_weighted[[#This Row],[2066]]/Inflation_weighted[[#This Row],[2065]]*Inflation_weighted[[#This Row],[2066]]</f>
        <v>2.7168239076600522</v>
      </c>
      <c r="CY75" s="12">
        <f>Inflation_weighted[[#This Row],[2067]]/Inflation_weighted[[#This Row],[2066]]*Inflation_weighted[[#This Row],[2067]]</f>
        <v>2.7711603858132539</v>
      </c>
      <c r="CZ75" s="12">
        <f>Inflation_weighted[[#This Row],[2068]]/Inflation_weighted[[#This Row],[2067]]*Inflation_weighted[[#This Row],[2068]]</f>
        <v>2.8265835935295196</v>
      </c>
      <c r="DA75" s="12">
        <f>Inflation_weighted[[#This Row],[2069]]/Inflation_weighted[[#This Row],[2068]]*Inflation_weighted[[#This Row],[2069]]</f>
        <v>2.8831152654001109</v>
      </c>
      <c r="DB75" s="12">
        <f>Inflation_weighted[[#This Row],[2070]]/Inflation_weighted[[#This Row],[2069]]*Inflation_weighted[[#This Row],[2070]]</f>
        <v>2.9407775707081139</v>
      </c>
      <c r="DC75" s="12">
        <f>Inflation_weighted[[#This Row],[2071]]/Inflation_weighted[[#This Row],[2070]]*Inflation_weighted[[#This Row],[2071]]</f>
        <v>2.9995931221222767</v>
      </c>
      <c r="DD75" s="12">
        <f>Inflation_weighted[[#This Row],[2072]]/Inflation_weighted[[#This Row],[2071]]*Inflation_weighted[[#This Row],[2072]]</f>
        <v>3.0595849845647232</v>
      </c>
      <c r="DE75" s="12">
        <f>Inflation_weighted[[#This Row],[2073]]/Inflation_weighted[[#This Row],[2072]]*Inflation_weighted[[#This Row],[2073]]</f>
        <v>3.1207766842560183</v>
      </c>
      <c r="DF75" s="12">
        <f>Inflation_weighted[[#This Row],[2074]]/Inflation_weighted[[#This Row],[2073]]*Inflation_weighted[[#This Row],[2074]]</f>
        <v>3.1831922179411394</v>
      </c>
      <c r="DG75" s="12">
        <f>Inflation_weighted[[#This Row],[2075]]/Inflation_weighted[[#This Row],[2074]]*Inflation_weighted[[#This Row],[2075]]</f>
        <v>3.2468560622999627</v>
      </c>
      <c r="DH75" s="12">
        <f>Inflation_weighted[[#This Row],[2076]]/Inflation_weighted[[#This Row],[2075]]*Inflation_weighted[[#This Row],[2076]]</f>
        <v>3.3117931835459626</v>
      </c>
      <c r="DI75" s="12">
        <f>Inflation_weighted[[#This Row],[2077]]/Inflation_weighted[[#This Row],[2076]]*Inflation_weighted[[#This Row],[2077]]</f>
        <v>3.3780290472168826</v>
      </c>
      <c r="DJ75" s="12">
        <f>Inflation_weighted[[#This Row],[2078]]/Inflation_weighted[[#This Row],[2077]]*Inflation_weighted[[#This Row],[2078]]</f>
        <v>3.4455896281612208</v>
      </c>
      <c r="DK75" s="12">
        <f>Inflation_weighted[[#This Row],[2079]]/Inflation_weighted[[#This Row],[2078]]*Inflation_weighted[[#This Row],[2079]]</f>
        <v>3.514501420724446</v>
      </c>
      <c r="DL75" s="12">
        <f>Inflation_weighted[[#This Row],[2080]]/Inflation_weighted[[#This Row],[2079]]*Inflation_weighted[[#This Row],[2080]]</f>
        <v>3.5847914491389359</v>
      </c>
      <c r="DM75" s="12">
        <f>Inflation_weighted[[#This Row],[2081]]/Inflation_weighted[[#This Row],[2080]]*Inflation_weighted[[#This Row],[2081]]</f>
        <v>3.6564872781217153</v>
      </c>
      <c r="DN75" s="12">
        <f>Inflation_weighted[[#This Row],[2082]]/Inflation_weighted[[#This Row],[2081]]*Inflation_weighted[[#This Row],[2082]]</f>
        <v>3.7296170236841504</v>
      </c>
      <c r="DO75" s="12">
        <f>Inflation_weighted[[#This Row],[2083]]/Inflation_weighted[[#This Row],[2082]]*Inflation_weighted[[#This Row],[2083]]</f>
        <v>3.8042093641578343</v>
      </c>
      <c r="DP75" s="12">
        <f>Inflation_weighted[[#This Row],[2084]]/Inflation_weighted[[#This Row],[2083]]*Inflation_weighted[[#This Row],[2084]]</f>
        <v>3.880293551440992</v>
      </c>
      <c r="DQ75" s="12">
        <f>Inflation_weighted[[#This Row],[2085]]/Inflation_weighted[[#This Row],[2084]]*Inflation_weighted[[#This Row],[2085]]</f>
        <v>3.9578994224698127</v>
      </c>
      <c r="DR75" s="12">
        <f>Inflation_weighted[[#This Row],[2086]]/Inflation_weighted[[#This Row],[2085]]*Inflation_weighted[[#This Row],[2086]]</f>
        <v>4.0370574109192097</v>
      </c>
      <c r="DS75" s="12">
        <f>Inflation_weighted[[#This Row],[2087]]/Inflation_weighted[[#This Row],[2086]]*Inflation_weighted[[#This Row],[2087]]</f>
        <v>4.1177985591375945</v>
      </c>
      <c r="DT75" s="12">
        <f>Inflation_weighted[[#This Row],[2088]]/Inflation_weighted[[#This Row],[2087]]*Inflation_weighted[[#This Row],[2088]]</f>
        <v>4.2001545303203471</v>
      </c>
      <c r="DU75" s="12">
        <f>Inflation_weighted[[#This Row],[2089]]/Inflation_weighted[[#This Row],[2088]]*Inflation_weighted[[#This Row],[2089]]</f>
        <v>4.2841576209267549</v>
      </c>
      <c r="DV75" s="12">
        <f>Inflation_weighted[[#This Row],[2090]]/Inflation_weighted[[#This Row],[2089]]*Inflation_weighted[[#This Row],[2090]]</f>
        <v>4.3698407733452909</v>
      </c>
      <c r="DW75" s="12">
        <f>Inflation_weighted[[#This Row],[2091]]/Inflation_weighted[[#This Row],[2090]]*Inflation_weighted[[#This Row],[2091]]</f>
        <v>4.4572375888121973</v>
      </c>
      <c r="DX75" s="12">
        <f>Inflation_weighted[[#This Row],[2092]]/Inflation_weighted[[#This Row],[2091]]*Inflation_weighted[[#This Row],[2092]]</f>
        <v>4.5463823405884423</v>
      </c>
      <c r="DY75" s="12">
        <f>Inflation_weighted[[#This Row],[2093]]/Inflation_weighted[[#This Row],[2092]]*Inflation_weighted[[#This Row],[2093]]</f>
        <v>4.6373099874002124</v>
      </c>
      <c r="DZ75" s="12">
        <f>Inflation_weighted[[#This Row],[2094]]/Inflation_weighted[[#This Row],[2093]]*Inflation_weighted[[#This Row],[2094]]</f>
        <v>4.7300561871482181</v>
      </c>
      <c r="EA75" s="12">
        <f>Inflation_weighted[[#This Row],[2095]]/Inflation_weighted[[#This Row],[2094]]*Inflation_weighted[[#This Row],[2095]]</f>
        <v>4.8246573108911832</v>
      </c>
      <c r="EB75" s="12">
        <f>Inflation_weighted[[#This Row],[2096]]/Inflation_weighted[[#This Row],[2095]]*Inflation_weighted[[#This Row],[2096]]</f>
        <v>4.9211504571090083</v>
      </c>
    </row>
    <row r="76" spans="2:132">
      <c r="B76" s="15" t="s">
        <v>40</v>
      </c>
      <c r="C76" s="15" t="s">
        <v>39</v>
      </c>
      <c r="D76" s="13">
        <v>0.133981200359158</v>
      </c>
      <c r="E76" s="13">
        <v>0.14638383571106292</v>
      </c>
      <c r="F76" s="13">
        <v>0.16041499819129171</v>
      </c>
      <c r="G76" s="13">
        <v>0.17835175543763904</v>
      </c>
      <c r="H76" s="13">
        <v>0.20321308590678092</v>
      </c>
      <c r="I76" s="13">
        <v>0.22842295728288714</v>
      </c>
      <c r="J76" s="13">
        <v>0.25048186730124516</v>
      </c>
      <c r="K76" s="13">
        <v>0.26374970105553386</v>
      </c>
      <c r="L76" s="13">
        <v>0.28484937513092018</v>
      </c>
      <c r="M76" s="13">
        <v>0.31269759163651323</v>
      </c>
      <c r="N76" s="13">
        <v>0.34669560822232093</v>
      </c>
      <c r="O76" s="13">
        <v>0.38631642061220611</v>
      </c>
      <c r="P76" s="13">
        <v>0.42686489905824071</v>
      </c>
      <c r="Q76" s="13">
        <v>0.46685205862281609</v>
      </c>
      <c r="R76" s="13">
        <v>0.49282209987381809</v>
      </c>
      <c r="S76" s="13">
        <v>0.50785393960643799</v>
      </c>
      <c r="T76" s="13">
        <v>0.52377410486196685</v>
      </c>
      <c r="U76" s="13">
        <v>0.53969582216071821</v>
      </c>
      <c r="V76" s="13">
        <v>0.55712495222473468</v>
      </c>
      <c r="W76" s="13">
        <v>0.57710187967187798</v>
      </c>
      <c r="X76" s="13">
        <v>0.59968063689999396</v>
      </c>
      <c r="Y76" s="13">
        <v>0.62131904049734998</v>
      </c>
      <c r="Z76" s="13">
        <v>0.64163489664998175</v>
      </c>
      <c r="AA76" s="13">
        <v>0.65759575430364148</v>
      </c>
      <c r="AB76" s="13">
        <v>0.67234005115534301</v>
      </c>
      <c r="AC76" s="13">
        <v>0.68495511650424956</v>
      </c>
      <c r="AD76" s="13">
        <v>0.69667806639938146</v>
      </c>
      <c r="AE76" s="13">
        <v>0.70969738258949744</v>
      </c>
      <c r="AF76" s="13">
        <v>0.7199529078502197</v>
      </c>
      <c r="AG76" s="13">
        <v>0.72821720637696052</v>
      </c>
      <c r="AH76" s="13">
        <v>0.73789874076946149</v>
      </c>
      <c r="AI76" s="13">
        <v>0.74732443946996308</v>
      </c>
      <c r="AJ76" s="13">
        <v>0.75672617848256263</v>
      </c>
      <c r="AK76" s="13">
        <v>0.76457864855407642</v>
      </c>
      <c r="AL76" s="13">
        <v>0.78195774423231301</v>
      </c>
      <c r="AM76" s="13">
        <v>0.80286811439804862</v>
      </c>
      <c r="AN76" s="13">
        <v>0.82589123513462703</v>
      </c>
      <c r="AO76" s="13">
        <v>0.84684411251100944</v>
      </c>
      <c r="AP76" s="13">
        <v>0.86646002457149673</v>
      </c>
      <c r="AQ76" s="13">
        <v>0.87940783884424234</v>
      </c>
      <c r="AR76" s="13">
        <v>0.89187888138246685</v>
      </c>
      <c r="AS76" s="13">
        <v>0.90977384023572649</v>
      </c>
      <c r="AT76" s="13">
        <v>0.92690475532248962</v>
      </c>
      <c r="AU76" s="13">
        <v>0.94024221711773603</v>
      </c>
      <c r="AV76" s="13">
        <v>0.95387213632661039</v>
      </c>
      <c r="AW76" s="13">
        <v>0.96716940136437068</v>
      </c>
      <c r="AX76" s="13">
        <v>0.98449631957852057</v>
      </c>
      <c r="AY76" s="13">
        <v>1.0029535400814309</v>
      </c>
      <c r="AZ76" s="13">
        <v>1.0228389122834356</v>
      </c>
      <c r="BA76" s="13">
        <v>1.0432956905291042</v>
      </c>
      <c r="BB76" s="13">
        <v>1.0641616043396862</v>
      </c>
      <c r="BC76" s="13">
        <v>1.0854448364264799</v>
      </c>
      <c r="BD76" s="13">
        <v>1.1071537331550099</v>
      </c>
      <c r="BE76" s="13">
        <v>1.12929680781811</v>
      </c>
      <c r="BF76" s="13">
        <v>1.1518827439744723</v>
      </c>
      <c r="BG76" s="13">
        <v>1.1749203988539618</v>
      </c>
      <c r="BH76" s="12">
        <v>1.1984188068310411</v>
      </c>
      <c r="BI76" s="12">
        <v>1.222387182967662</v>
      </c>
      <c r="BJ76" s="12">
        <v>1.2468349266270153</v>
      </c>
      <c r="BK76" s="12">
        <v>1.2717716251595557</v>
      </c>
      <c r="BL76" s="12">
        <v>1.2972070576627468</v>
      </c>
      <c r="BM76" s="12">
        <v>1.3231511988160019</v>
      </c>
      <c r="BN76" s="12">
        <v>1.349614222792322</v>
      </c>
      <c r="BO76" s="12">
        <v>1.3766065072481686</v>
      </c>
      <c r="BP76" s="12">
        <v>1.4041386373931319</v>
      </c>
      <c r="BQ76" s="12">
        <v>1.4322214101409947</v>
      </c>
      <c r="BR76" s="12">
        <v>1.4608658383438147</v>
      </c>
      <c r="BS76" s="12">
        <v>1.490083155110691</v>
      </c>
      <c r="BT76" s="12">
        <v>1.5198848182129046</v>
      </c>
      <c r="BU76" s="12">
        <v>1.5502825145771628</v>
      </c>
      <c r="BV76" s="12">
        <v>1.581288164868706</v>
      </c>
      <c r="BW76" s="12">
        <v>1.6129139281660803</v>
      </c>
      <c r="BX76" s="12">
        <v>1.6451722067294019</v>
      </c>
      <c r="BY76" s="12">
        <v>1.6780756508639898</v>
      </c>
      <c r="BZ76" s="12">
        <v>1.7116371638812697</v>
      </c>
      <c r="CA76" s="12">
        <v>1.745869907158895</v>
      </c>
      <c r="CB76" s="12">
        <v>1.7807873053020731</v>
      </c>
      <c r="CC76" s="12">
        <v>1.8164030514081144</v>
      </c>
      <c r="CD76" s="12">
        <v>1.8527311124362769</v>
      </c>
      <c r="CE76" s="12">
        <v>1.8897857346850024</v>
      </c>
      <c r="CF76" s="12">
        <v>1.9275814493787025</v>
      </c>
      <c r="CG76" s="12">
        <v>1.9661330783662763</v>
      </c>
      <c r="CH76" s="12">
        <v>2.0054557399336019</v>
      </c>
      <c r="CI76" s="12">
        <v>2.045564854732274</v>
      </c>
      <c r="CJ76" s="12">
        <v>2.0864761518269197</v>
      </c>
      <c r="CK76" s="12">
        <v>2.1282056748634584</v>
      </c>
      <c r="CL76" s="12">
        <v>2.1707697883607278</v>
      </c>
      <c r="CM76" s="12">
        <v>2.2141851841279423</v>
      </c>
      <c r="CN76" s="12">
        <v>2.2584688878105008</v>
      </c>
      <c r="CO76" s="12">
        <v>2.3036382655667111</v>
      </c>
      <c r="CP76" s="12">
        <v>2.3497110308780456</v>
      </c>
      <c r="CQ76" s="12">
        <v>2.3967052514956064</v>
      </c>
      <c r="CR76" s="12">
        <f>Inflation_weighted[[#This Row],[2060]]/Inflation_weighted[[#This Row],[2059]]*Inflation_weighted[[#This Row],[2060]]</f>
        <v>2.4446393565255184</v>
      </c>
      <c r="CS76" s="12">
        <f>Inflation_weighted[[#This Row],[2061]]/Inflation_weighted[[#This Row],[2060]]*Inflation_weighted[[#This Row],[2061]]</f>
        <v>2.4935321436560289</v>
      </c>
      <c r="CT76" s="12">
        <f>Inflation_weighted[[#This Row],[2062]]/Inflation_weighted[[#This Row],[2061]]*Inflation_weighted[[#This Row],[2062]]</f>
        <v>2.5434027865291498</v>
      </c>
      <c r="CU76" s="12">
        <f>Inflation_weighted[[#This Row],[2063]]/Inflation_weighted[[#This Row],[2062]]*Inflation_weighted[[#This Row],[2063]]</f>
        <v>2.5942708422597329</v>
      </c>
      <c r="CV76" s="12">
        <f>Inflation_weighted[[#This Row],[2064]]/Inflation_weighted[[#This Row],[2063]]*Inflation_weighted[[#This Row],[2064]]</f>
        <v>2.6461562591049277</v>
      </c>
      <c r="CW76" s="12">
        <f>Inflation_weighted[[#This Row],[2065]]/Inflation_weighted[[#This Row],[2064]]*Inflation_weighted[[#This Row],[2065]]</f>
        <v>2.6990793842870264</v>
      </c>
      <c r="CX76" s="12">
        <f>Inflation_weighted[[#This Row],[2066]]/Inflation_weighted[[#This Row],[2065]]*Inflation_weighted[[#This Row],[2066]]</f>
        <v>2.7530609719727672</v>
      </c>
      <c r="CY76" s="12">
        <f>Inflation_weighted[[#This Row],[2067]]/Inflation_weighted[[#This Row],[2066]]*Inflation_weighted[[#This Row],[2067]]</f>
        <v>2.8081221914122225</v>
      </c>
      <c r="CZ76" s="12">
        <f>Inflation_weighted[[#This Row],[2068]]/Inflation_weighted[[#This Row],[2067]]*Inflation_weighted[[#This Row],[2068]]</f>
        <v>2.8642846352404669</v>
      </c>
      <c r="DA76" s="12">
        <f>Inflation_weighted[[#This Row],[2069]]/Inflation_weighted[[#This Row],[2068]]*Inflation_weighted[[#This Row],[2069]]</f>
        <v>2.9215703279452763</v>
      </c>
      <c r="DB76" s="12">
        <f>Inflation_weighted[[#This Row],[2070]]/Inflation_weighted[[#This Row],[2069]]*Inflation_weighted[[#This Row],[2070]]</f>
        <v>2.980001734504182</v>
      </c>
      <c r="DC76" s="12">
        <f>Inflation_weighted[[#This Row],[2071]]/Inflation_weighted[[#This Row],[2070]]*Inflation_weighted[[#This Row],[2071]]</f>
        <v>3.0396017691942658</v>
      </c>
      <c r="DD76" s="12">
        <f>Inflation_weighted[[#This Row],[2072]]/Inflation_weighted[[#This Row],[2071]]*Inflation_weighted[[#This Row],[2072]]</f>
        <v>3.1003938045781512</v>
      </c>
      <c r="DE76" s="12">
        <f>Inflation_weighted[[#This Row],[2073]]/Inflation_weighted[[#This Row],[2072]]*Inflation_weighted[[#This Row],[2073]]</f>
        <v>3.1624016806697144</v>
      </c>
      <c r="DF76" s="12">
        <f>Inflation_weighted[[#This Row],[2074]]/Inflation_weighted[[#This Row],[2073]]*Inflation_weighted[[#This Row],[2074]]</f>
        <v>3.2256497142831089</v>
      </c>
      <c r="DG76" s="12">
        <f>Inflation_weighted[[#This Row],[2075]]/Inflation_weighted[[#This Row],[2074]]*Inflation_weighted[[#This Row],[2075]]</f>
        <v>3.2901627085687712</v>
      </c>
      <c r="DH76" s="12">
        <f>Inflation_weighted[[#This Row],[2076]]/Inflation_weighted[[#This Row],[2075]]*Inflation_weighted[[#This Row],[2076]]</f>
        <v>3.3559659627401466</v>
      </c>
      <c r="DI76" s="12">
        <f>Inflation_weighted[[#This Row],[2077]]/Inflation_weighted[[#This Row],[2076]]*Inflation_weighted[[#This Row],[2077]]</f>
        <v>3.4230852819949495</v>
      </c>
      <c r="DJ76" s="12">
        <f>Inflation_weighted[[#This Row],[2078]]/Inflation_weighted[[#This Row],[2077]]*Inflation_weighted[[#This Row],[2078]]</f>
        <v>3.4915469876348486</v>
      </c>
      <c r="DK76" s="12">
        <f>Inflation_weighted[[#This Row],[2079]]/Inflation_weighted[[#This Row],[2078]]*Inflation_weighted[[#This Row],[2079]]</f>
        <v>3.5613779273875457</v>
      </c>
      <c r="DL76" s="12">
        <f>Inflation_weighted[[#This Row],[2080]]/Inflation_weighted[[#This Row],[2079]]*Inflation_weighted[[#This Row],[2080]]</f>
        <v>3.6326054859352968</v>
      </c>
      <c r="DM76" s="12">
        <f>Inflation_weighted[[#This Row],[2081]]/Inflation_weighted[[#This Row],[2080]]*Inflation_weighted[[#This Row],[2081]]</f>
        <v>3.7052575956540026</v>
      </c>
      <c r="DN76" s="12">
        <f>Inflation_weighted[[#This Row],[2082]]/Inflation_weighted[[#This Row],[2081]]*Inflation_weighted[[#This Row],[2082]]</f>
        <v>3.7793627475670828</v>
      </c>
      <c r="DO76" s="12">
        <f>Inflation_weighted[[#This Row],[2083]]/Inflation_weighted[[#This Row],[2082]]*Inflation_weighted[[#This Row],[2083]]</f>
        <v>3.8549500025184247</v>
      </c>
      <c r="DP76" s="12">
        <f>Inflation_weighted[[#This Row],[2084]]/Inflation_weighted[[#This Row],[2083]]*Inflation_weighted[[#This Row],[2084]]</f>
        <v>3.9320490025687933</v>
      </c>
      <c r="DQ76" s="12">
        <f>Inflation_weighted[[#This Row],[2085]]/Inflation_weighted[[#This Row],[2084]]*Inflation_weighted[[#This Row],[2085]]</f>
        <v>4.0106899826201694</v>
      </c>
      <c r="DR76" s="12">
        <f>Inflation_weighted[[#This Row],[2086]]/Inflation_weighted[[#This Row],[2085]]*Inflation_weighted[[#This Row],[2086]]</f>
        <v>4.0909037822725729</v>
      </c>
      <c r="DS76" s="12">
        <f>Inflation_weighted[[#This Row],[2087]]/Inflation_weighted[[#This Row],[2086]]*Inflation_weighted[[#This Row],[2087]]</f>
        <v>4.1727218579180247</v>
      </c>
      <c r="DT76" s="12">
        <f>Inflation_weighted[[#This Row],[2088]]/Inflation_weighted[[#This Row],[2087]]*Inflation_weighted[[#This Row],[2088]]</f>
        <v>4.2561762950763855</v>
      </c>
      <c r="DU76" s="12">
        <f>Inflation_weighted[[#This Row],[2089]]/Inflation_weighted[[#This Row],[2088]]*Inflation_weighted[[#This Row],[2089]]</f>
        <v>4.3412998209779134</v>
      </c>
      <c r="DV76" s="12">
        <f>Inflation_weighted[[#This Row],[2090]]/Inflation_weighted[[#This Row],[2089]]*Inflation_weighted[[#This Row],[2090]]</f>
        <v>4.428125817397472</v>
      </c>
      <c r="DW76" s="12">
        <f>Inflation_weighted[[#This Row],[2091]]/Inflation_weighted[[#This Row],[2090]]*Inflation_weighted[[#This Row],[2091]]</f>
        <v>4.5166883337454218</v>
      </c>
      <c r="DX76" s="12">
        <f>Inflation_weighted[[#This Row],[2092]]/Inflation_weighted[[#This Row],[2091]]*Inflation_weighted[[#This Row],[2092]]</f>
        <v>4.6070221004203304</v>
      </c>
      <c r="DY76" s="12">
        <f>Inflation_weighted[[#This Row],[2093]]/Inflation_weighted[[#This Row],[2092]]*Inflation_weighted[[#This Row],[2093]]</f>
        <v>4.6991625424287369</v>
      </c>
      <c r="DZ76" s="12">
        <f>Inflation_weighted[[#This Row],[2094]]/Inflation_weighted[[#This Row],[2093]]*Inflation_weighted[[#This Row],[2094]]</f>
        <v>4.7931457932773114</v>
      </c>
      <c r="EA76" s="12">
        <f>Inflation_weighted[[#This Row],[2095]]/Inflation_weighted[[#This Row],[2094]]*Inflation_weighted[[#This Row],[2095]]</f>
        <v>4.8890087091428578</v>
      </c>
      <c r="EB76" s="12">
        <f>Inflation_weighted[[#This Row],[2096]]/Inflation_weighted[[#This Row],[2095]]*Inflation_weighted[[#This Row],[2096]]</f>
        <v>4.9867888833257155</v>
      </c>
    </row>
    <row r="77" spans="2:132">
      <c r="B77" s="15" t="s">
        <v>38</v>
      </c>
      <c r="C77" s="15" t="s">
        <v>37</v>
      </c>
      <c r="D77" s="13">
        <v>0.17893203870968291</v>
      </c>
      <c r="E77" s="13">
        <v>0.18710804906038486</v>
      </c>
      <c r="F77" s="13">
        <v>0.19222249527854796</v>
      </c>
      <c r="G77" s="13">
        <v>0.20565769311142693</v>
      </c>
      <c r="H77" s="13">
        <v>0.22647303785457557</v>
      </c>
      <c r="I77" s="13">
        <v>0.24120791296307997</v>
      </c>
      <c r="J77" s="13">
        <v>0.26030869896150888</v>
      </c>
      <c r="K77" s="13">
        <v>0.27883275714816314</v>
      </c>
      <c r="L77" s="13">
        <v>0.28617873215783934</v>
      </c>
      <c r="M77" s="13">
        <v>0.31874753136394018</v>
      </c>
      <c r="N77" s="13">
        <v>0.3535458370549584</v>
      </c>
      <c r="O77" s="13">
        <v>0.39460432100523524</v>
      </c>
      <c r="P77" s="13">
        <v>0.43549234666537862</v>
      </c>
      <c r="Q77" s="13">
        <v>0.4796323294006582</v>
      </c>
      <c r="R77" s="13">
        <v>0.49817623734038813</v>
      </c>
      <c r="S77" s="13">
        <v>0.51637018042583882</v>
      </c>
      <c r="T77" s="13">
        <v>0.53115858304964636</v>
      </c>
      <c r="U77" s="13">
        <v>0.54754794990203104</v>
      </c>
      <c r="V77" s="13">
        <v>0.56678931613628825</v>
      </c>
      <c r="W77" s="13">
        <v>0.58834635473064167</v>
      </c>
      <c r="X77" s="13">
        <v>0.61059548234679506</v>
      </c>
      <c r="Y77" s="13">
        <v>0.63581986919171851</v>
      </c>
      <c r="Z77" s="13">
        <v>0.65334338967957173</v>
      </c>
      <c r="AA77" s="13">
        <v>0.66502539132023308</v>
      </c>
      <c r="AB77" s="13">
        <v>0.68205892510294641</v>
      </c>
      <c r="AC77" s="13">
        <v>0.6910048481428559</v>
      </c>
      <c r="AD77" s="13">
        <v>0.70439932332184274</v>
      </c>
      <c r="AE77" s="13">
        <v>0.71446185168795684</v>
      </c>
      <c r="AF77" s="13">
        <v>0.71855261316305674</v>
      </c>
      <c r="AG77" s="13">
        <v>0.72467002901257027</v>
      </c>
      <c r="AH77" s="13">
        <v>0.73385449989273965</v>
      </c>
      <c r="AI77" s="13">
        <v>0.74367316574978626</v>
      </c>
      <c r="AJ77" s="13">
        <v>0.75209358180196106</v>
      </c>
      <c r="AK77" s="13">
        <v>0.75795303600646369</v>
      </c>
      <c r="AL77" s="13">
        <v>0.77516465003950707</v>
      </c>
      <c r="AM77" s="13">
        <v>0.79871715803310983</v>
      </c>
      <c r="AN77" s="13">
        <v>0.82154691824532933</v>
      </c>
      <c r="AO77" s="13">
        <v>0.84752089976677702</v>
      </c>
      <c r="AP77" s="13">
        <v>0.86395949245345283</v>
      </c>
      <c r="AQ77" s="13">
        <v>0.87793307253833963</v>
      </c>
      <c r="AR77" s="13">
        <v>0.88984178528227498</v>
      </c>
      <c r="AS77" s="13">
        <v>0.91026664144842562</v>
      </c>
      <c r="AT77" s="13">
        <v>0.92144435728231122</v>
      </c>
      <c r="AU77" s="13">
        <v>0.93610632831863816</v>
      </c>
      <c r="AV77" s="13">
        <v>0.94831650839866488</v>
      </c>
      <c r="AW77" s="13">
        <v>0.96077338068647211</v>
      </c>
      <c r="AX77" s="13">
        <v>0.97504888169419324</v>
      </c>
      <c r="AY77" s="13">
        <v>0.99267531933891051</v>
      </c>
      <c r="AZ77" s="13">
        <v>1.0122623400780724</v>
      </c>
      <c r="BA77" s="13">
        <v>1.0325075868796338</v>
      </c>
      <c r="BB77" s="13">
        <v>1.0531577386172262</v>
      </c>
      <c r="BC77" s="13">
        <v>1.0742208933895712</v>
      </c>
      <c r="BD77" s="13">
        <v>1.0957053112573629</v>
      </c>
      <c r="BE77" s="13">
        <v>1.1176194174825103</v>
      </c>
      <c r="BF77" s="13">
        <v>1.1399718058321604</v>
      </c>
      <c r="BG77" s="13">
        <v>1.1627712419488037</v>
      </c>
      <c r="BH77" s="12">
        <v>1.1860266667877795</v>
      </c>
      <c r="BI77" s="12">
        <v>1.2097472001235352</v>
      </c>
      <c r="BJ77" s="12">
        <v>1.2339421441260059</v>
      </c>
      <c r="BK77" s="12">
        <v>1.2586209870085261</v>
      </c>
      <c r="BL77" s="12">
        <v>1.2837934067486967</v>
      </c>
      <c r="BM77" s="12">
        <v>1.3094692748836705</v>
      </c>
      <c r="BN77" s="12">
        <v>1.3356586603813441</v>
      </c>
      <c r="BO77" s="12">
        <v>1.362371833588971</v>
      </c>
      <c r="BP77" s="12">
        <v>1.3896192702607504</v>
      </c>
      <c r="BQ77" s="12">
        <v>1.4174116556659655</v>
      </c>
      <c r="BR77" s="12">
        <v>1.4457598887792849</v>
      </c>
      <c r="BS77" s="12">
        <v>1.4746750865548703</v>
      </c>
      <c r="BT77" s="12">
        <v>1.5041685882859679</v>
      </c>
      <c r="BU77" s="12">
        <v>1.5342519600516873</v>
      </c>
      <c r="BV77" s="12">
        <v>1.5649369992527211</v>
      </c>
      <c r="BW77" s="12">
        <v>1.5962357392377753</v>
      </c>
      <c r="BX77" s="12">
        <v>1.628160454022531</v>
      </c>
      <c r="BY77" s="12">
        <v>1.6607236631029816</v>
      </c>
      <c r="BZ77" s="12">
        <v>1.6939381363650412</v>
      </c>
      <c r="CA77" s="12">
        <v>1.7278168990923419</v>
      </c>
      <c r="CB77" s="12">
        <v>1.7623732370741889</v>
      </c>
      <c r="CC77" s="12">
        <v>1.7976207018156727</v>
      </c>
      <c r="CD77" s="12">
        <v>1.8335731158519859</v>
      </c>
      <c r="CE77" s="12">
        <v>1.8702445781690256</v>
      </c>
      <c r="CF77" s="12">
        <v>1.9076494697324062</v>
      </c>
      <c r="CG77" s="12">
        <v>1.9458024591270544</v>
      </c>
      <c r="CH77" s="12">
        <v>1.9847185083095955</v>
      </c>
      <c r="CI77" s="12">
        <v>2.0244128784757875</v>
      </c>
      <c r="CJ77" s="12">
        <v>2.0649011360453033</v>
      </c>
      <c r="CK77" s="12">
        <v>2.1061991587662097</v>
      </c>
      <c r="CL77" s="12">
        <v>2.1483231419415341</v>
      </c>
      <c r="CM77" s="12">
        <v>2.1912896047803647</v>
      </c>
      <c r="CN77" s="12">
        <v>2.235115396875972</v>
      </c>
      <c r="CO77" s="12">
        <v>2.2798177048134916</v>
      </c>
      <c r="CP77" s="12">
        <v>2.3254140589097614</v>
      </c>
      <c r="CQ77" s="12">
        <v>2.3719223400879565</v>
      </c>
      <c r="CR77" s="12">
        <f>Inflation_weighted[[#This Row],[2060]]/Inflation_weighted[[#This Row],[2059]]*Inflation_weighted[[#This Row],[2060]]</f>
        <v>2.4193607868897158</v>
      </c>
      <c r="CS77" s="12">
        <f>Inflation_weighted[[#This Row],[2061]]/Inflation_weighted[[#This Row],[2060]]*Inflation_weighted[[#This Row],[2061]]</f>
        <v>2.46774800262751</v>
      </c>
      <c r="CT77" s="12">
        <f>Inflation_weighted[[#This Row],[2062]]/Inflation_weighted[[#This Row],[2061]]*Inflation_weighted[[#This Row],[2062]]</f>
        <v>2.5171029626800601</v>
      </c>
      <c r="CU77" s="12">
        <f>Inflation_weighted[[#This Row],[2063]]/Inflation_weighted[[#This Row],[2062]]*Inflation_weighted[[#This Row],[2063]]</f>
        <v>2.5674450219336613</v>
      </c>
      <c r="CV77" s="12">
        <f>Inflation_weighted[[#This Row],[2064]]/Inflation_weighted[[#This Row],[2063]]*Inflation_weighted[[#This Row],[2064]]</f>
        <v>2.6187939223723347</v>
      </c>
      <c r="CW77" s="12">
        <f>Inflation_weighted[[#This Row],[2065]]/Inflation_weighted[[#This Row],[2064]]*Inflation_weighted[[#This Row],[2065]]</f>
        <v>2.6711698008197815</v>
      </c>
      <c r="CX77" s="12">
        <f>Inflation_weighted[[#This Row],[2066]]/Inflation_weighted[[#This Row],[2065]]*Inflation_weighted[[#This Row],[2066]]</f>
        <v>2.7245931968361772</v>
      </c>
      <c r="CY77" s="12">
        <f>Inflation_weighted[[#This Row],[2067]]/Inflation_weighted[[#This Row],[2066]]*Inflation_weighted[[#This Row],[2067]]</f>
        <v>2.7790850607729007</v>
      </c>
      <c r="CZ77" s="12">
        <f>Inflation_weighted[[#This Row],[2068]]/Inflation_weighted[[#This Row],[2067]]*Inflation_weighted[[#This Row],[2068]]</f>
        <v>2.834666761988359</v>
      </c>
      <c r="DA77" s="12">
        <f>Inflation_weighted[[#This Row],[2069]]/Inflation_weighted[[#This Row],[2068]]*Inflation_weighted[[#This Row],[2069]]</f>
        <v>2.8913600972281261</v>
      </c>
      <c r="DB77" s="12">
        <f>Inflation_weighted[[#This Row],[2070]]/Inflation_weighted[[#This Row],[2069]]*Inflation_weighted[[#This Row],[2070]]</f>
        <v>2.9491872991726886</v>
      </c>
      <c r="DC77" s="12">
        <f>Inflation_weighted[[#This Row],[2071]]/Inflation_weighted[[#This Row],[2070]]*Inflation_weighted[[#This Row],[2071]]</f>
        <v>3.0081710451561423</v>
      </c>
      <c r="DD77" s="12">
        <f>Inflation_weighted[[#This Row],[2072]]/Inflation_weighted[[#This Row],[2071]]*Inflation_weighted[[#This Row],[2072]]</f>
        <v>3.0683344660592651</v>
      </c>
      <c r="DE77" s="12">
        <f>Inflation_weighted[[#This Row],[2073]]/Inflation_weighted[[#This Row],[2072]]*Inflation_weighted[[#This Row],[2073]]</f>
        <v>3.1297011553804506</v>
      </c>
      <c r="DF77" s="12">
        <f>Inflation_weighted[[#This Row],[2074]]/Inflation_weighted[[#This Row],[2073]]*Inflation_weighted[[#This Row],[2074]]</f>
        <v>3.1922951784880595</v>
      </c>
      <c r="DG77" s="12">
        <f>Inflation_weighted[[#This Row],[2075]]/Inflation_weighted[[#This Row],[2074]]*Inflation_weighted[[#This Row],[2075]]</f>
        <v>3.2561410820578209</v>
      </c>
      <c r="DH77" s="12">
        <f>Inflation_weighted[[#This Row],[2076]]/Inflation_weighted[[#This Row],[2075]]*Inflation_weighted[[#This Row],[2076]]</f>
        <v>3.3212639036989775</v>
      </c>
      <c r="DI77" s="12">
        <f>Inflation_weighted[[#This Row],[2077]]/Inflation_weighted[[#This Row],[2076]]*Inflation_weighted[[#This Row],[2077]]</f>
        <v>3.3876891817729571</v>
      </c>
      <c r="DJ77" s="12">
        <f>Inflation_weighted[[#This Row],[2078]]/Inflation_weighted[[#This Row],[2077]]*Inflation_weighted[[#This Row],[2078]]</f>
        <v>3.4554429654084164</v>
      </c>
      <c r="DK77" s="12">
        <f>Inflation_weighted[[#This Row],[2079]]/Inflation_weighted[[#This Row],[2078]]*Inflation_weighted[[#This Row],[2079]]</f>
        <v>3.524551824716585</v>
      </c>
      <c r="DL77" s="12">
        <f>Inflation_weighted[[#This Row],[2080]]/Inflation_weighted[[#This Row],[2079]]*Inflation_weighted[[#This Row],[2080]]</f>
        <v>3.5950428612109167</v>
      </c>
      <c r="DM77" s="12">
        <f>Inflation_weighted[[#This Row],[2081]]/Inflation_weighted[[#This Row],[2080]]*Inflation_weighted[[#This Row],[2081]]</f>
        <v>3.6669437184351352</v>
      </c>
      <c r="DN77" s="12">
        <f>Inflation_weighted[[#This Row],[2082]]/Inflation_weighted[[#This Row],[2081]]*Inflation_weighted[[#This Row],[2082]]</f>
        <v>3.7402825928038381</v>
      </c>
      <c r="DO77" s="12">
        <f>Inflation_weighted[[#This Row],[2083]]/Inflation_weighted[[#This Row],[2082]]*Inflation_weighted[[#This Row],[2083]]</f>
        <v>3.8150882446599148</v>
      </c>
      <c r="DP77" s="12">
        <f>Inflation_weighted[[#This Row],[2084]]/Inflation_weighted[[#This Row],[2083]]*Inflation_weighted[[#This Row],[2084]]</f>
        <v>3.8913900095531133</v>
      </c>
      <c r="DQ77" s="12">
        <f>Inflation_weighted[[#This Row],[2085]]/Inflation_weighted[[#This Row],[2084]]*Inflation_weighted[[#This Row],[2085]]</f>
        <v>3.9692178097441757</v>
      </c>
      <c r="DR77" s="12">
        <f>Inflation_weighted[[#This Row],[2086]]/Inflation_weighted[[#This Row],[2085]]*Inflation_weighted[[#This Row],[2086]]</f>
        <v>4.0486021659390596</v>
      </c>
      <c r="DS77" s="12">
        <f>Inflation_weighted[[#This Row],[2087]]/Inflation_weighted[[#This Row],[2086]]*Inflation_weighted[[#This Row],[2087]]</f>
        <v>4.1295742092578411</v>
      </c>
      <c r="DT77" s="12">
        <f>Inflation_weighted[[#This Row],[2088]]/Inflation_weighted[[#This Row],[2087]]*Inflation_weighted[[#This Row],[2088]]</f>
        <v>4.2121656934429978</v>
      </c>
      <c r="DU77" s="12">
        <f>Inflation_weighted[[#This Row],[2089]]/Inflation_weighted[[#This Row],[2088]]*Inflation_weighted[[#This Row],[2089]]</f>
        <v>4.2964090073118575</v>
      </c>
      <c r="DV77" s="12">
        <f>Inflation_weighted[[#This Row],[2090]]/Inflation_weighted[[#This Row],[2089]]*Inflation_weighted[[#This Row],[2090]]</f>
        <v>4.382337187458095</v>
      </c>
      <c r="DW77" s="12">
        <f>Inflation_weighted[[#This Row],[2091]]/Inflation_weighted[[#This Row],[2090]]*Inflation_weighted[[#This Row],[2091]]</f>
        <v>4.4699839312072571</v>
      </c>
      <c r="DX77" s="12">
        <f>Inflation_weighted[[#This Row],[2092]]/Inflation_weighted[[#This Row],[2091]]*Inflation_weighted[[#This Row],[2092]]</f>
        <v>4.5593836098314027</v>
      </c>
      <c r="DY77" s="12">
        <f>Inflation_weighted[[#This Row],[2093]]/Inflation_weighted[[#This Row],[2092]]*Inflation_weighted[[#This Row],[2093]]</f>
        <v>4.6505712820280305</v>
      </c>
      <c r="DZ77" s="12">
        <f>Inflation_weighted[[#This Row],[2094]]/Inflation_weighted[[#This Row],[2093]]*Inflation_weighted[[#This Row],[2094]]</f>
        <v>4.7435827076685912</v>
      </c>
      <c r="EA77" s="12">
        <f>Inflation_weighted[[#This Row],[2095]]/Inflation_weighted[[#This Row],[2094]]*Inflation_weighted[[#This Row],[2095]]</f>
        <v>4.8384543618219631</v>
      </c>
      <c r="EB77" s="12">
        <f>Inflation_weighted[[#This Row],[2096]]/Inflation_weighted[[#This Row],[2095]]*Inflation_weighted[[#This Row],[2096]]</f>
        <v>4.9352234490584026</v>
      </c>
    </row>
    <row r="78" spans="2:132">
      <c r="B78" s="15" t="s">
        <v>233</v>
      </c>
      <c r="C78" s="15" t="s">
        <v>36</v>
      </c>
      <c r="D78" s="13">
        <v>0.19491860875462608</v>
      </c>
      <c r="E78" s="13">
        <v>0.20485686441385514</v>
      </c>
      <c r="F78" s="13">
        <v>0.21505375620804845</v>
      </c>
      <c r="G78" s="13">
        <v>0.22771575133474917</v>
      </c>
      <c r="H78" s="13">
        <v>0.24769726056280458</v>
      </c>
      <c r="I78" s="13">
        <v>0.26933706747431524</v>
      </c>
      <c r="J78" s="13">
        <v>0.28584295345345023</v>
      </c>
      <c r="K78" s="13">
        <v>0.2971455024859137</v>
      </c>
      <c r="L78" s="13">
        <v>0.30648983221558734</v>
      </c>
      <c r="M78" s="13">
        <v>0.33008697879874815</v>
      </c>
      <c r="N78" s="13">
        <v>0.362884408035618</v>
      </c>
      <c r="O78" s="13">
        <v>0.39966685953664677</v>
      </c>
      <c r="P78" s="13">
        <v>0.43580387383304997</v>
      </c>
      <c r="Q78" s="13">
        <v>0.45901731829758208</v>
      </c>
      <c r="R78" s="13">
        <v>0.48071814297593629</v>
      </c>
      <c r="S78" s="13">
        <v>0.49806799939550533</v>
      </c>
      <c r="T78" s="13">
        <v>0.51359742303182554</v>
      </c>
      <c r="U78" s="13">
        <v>0.52827030347917314</v>
      </c>
      <c r="V78" s="13">
        <v>0.5438609927008452</v>
      </c>
      <c r="W78" s="13">
        <v>0.56200001053211501</v>
      </c>
      <c r="X78" s="13">
        <v>0.58564291025130577</v>
      </c>
      <c r="Y78" s="13">
        <v>0.60953793966945791</v>
      </c>
      <c r="Z78" s="13">
        <v>0.63140097246639315</v>
      </c>
      <c r="AA78" s="13">
        <v>0.64989918538790648</v>
      </c>
      <c r="AB78" s="13">
        <v>0.66508081082882564</v>
      </c>
      <c r="AC78" s="13">
        <v>0.67745365277921599</v>
      </c>
      <c r="AD78" s="13">
        <v>0.69047629556466439</v>
      </c>
      <c r="AE78" s="13">
        <v>0.70216593956011608</v>
      </c>
      <c r="AF78" s="13">
        <v>0.71090813158631805</v>
      </c>
      <c r="AG78" s="13">
        <v>0.71692747193743533</v>
      </c>
      <c r="AH78" s="13">
        <v>0.72560424728222894</v>
      </c>
      <c r="AI78" s="13">
        <v>0.73648335045628988</v>
      </c>
      <c r="AJ78" s="13">
        <v>0.7467858496219798</v>
      </c>
      <c r="AK78" s="13">
        <v>0.75456097185469906</v>
      </c>
      <c r="AL78" s="13">
        <v>0.76578759761944792</v>
      </c>
      <c r="AM78" s="13">
        <v>0.78724120799733477</v>
      </c>
      <c r="AN78" s="13">
        <v>0.80802531760114005</v>
      </c>
      <c r="AO78" s="13">
        <v>0.83321188204785357</v>
      </c>
      <c r="AP78" s="13">
        <v>0.85361816361699183</v>
      </c>
      <c r="AQ78" s="13">
        <v>0.8692619056150227</v>
      </c>
      <c r="AR78" s="13">
        <v>0.8805551473542671</v>
      </c>
      <c r="AS78" s="13">
        <v>0.89381254389300568</v>
      </c>
      <c r="AT78" s="13">
        <v>0.91500535205793254</v>
      </c>
      <c r="AU78" s="13">
        <v>0.93009862765982576</v>
      </c>
      <c r="AV78" s="13">
        <v>0.93974545328935866</v>
      </c>
      <c r="AW78" s="13">
        <v>0.95310958879094188</v>
      </c>
      <c r="AX78" s="13">
        <v>0.96497610908247877</v>
      </c>
      <c r="AY78" s="13">
        <v>0.98083679944200119</v>
      </c>
      <c r="AZ78" s="13">
        <v>0.99983276353687944</v>
      </c>
      <c r="BA78" s="13">
        <v>1.019810714880298</v>
      </c>
      <c r="BB78" s="13">
        <v>1.0401778822990677</v>
      </c>
      <c r="BC78" s="13">
        <v>1.0609436643210324</v>
      </c>
      <c r="BD78" s="13">
        <v>1.0821487454205279</v>
      </c>
      <c r="BE78" s="13">
        <v>1.1038043440019909</v>
      </c>
      <c r="BF78" s="13">
        <v>1.1258941753494449</v>
      </c>
      <c r="BG78" s="13">
        <v>1.148426078384341</v>
      </c>
      <c r="BH78" s="12">
        <v>1.1714089000450629</v>
      </c>
      <c r="BI78" s="12">
        <v>1.1948516643189235</v>
      </c>
      <c r="BJ78" s="12">
        <v>1.2187635757853474</v>
      </c>
      <c r="BK78" s="12">
        <v>1.2431540232299625</v>
      </c>
      <c r="BL78" s="12">
        <v>1.2680325833310173</v>
      </c>
      <c r="BM78" s="12">
        <v>1.2934090244195731</v>
      </c>
      <c r="BN78" s="12">
        <v>1.3192933103149471</v>
      </c>
      <c r="BO78" s="12">
        <v>1.3456956042369113</v>
      </c>
      <c r="BP78" s="12">
        <v>1.3726262727961847</v>
      </c>
      <c r="BQ78" s="12">
        <v>1.400095890064784</v>
      </c>
      <c r="BR78" s="12">
        <v>1.4281152417278347</v>
      </c>
      <c r="BS78" s="12">
        <v>1.4566953293184661</v>
      </c>
      <c r="BT78" s="12">
        <v>1.4858473745374607</v>
      </c>
      <c r="BU78" s="12">
        <v>1.5155828236593485</v>
      </c>
      <c r="BV78" s="12">
        <v>1.5459133520266772</v>
      </c>
      <c r="BW78" s="12">
        <v>1.5768508686342266</v>
      </c>
      <c r="BX78" s="12">
        <v>1.6084075208049609</v>
      </c>
      <c r="BY78" s="12">
        <v>1.6405956989595614</v>
      </c>
      <c r="BZ78" s="12">
        <v>1.6734280414814076</v>
      </c>
      <c r="CA78" s="12">
        <v>1.706917439678918</v>
      </c>
      <c r="CB78" s="12">
        <v>1.7410770428472013</v>
      </c>
      <c r="CC78" s="12">
        <v>1.7759202634310018</v>
      </c>
      <c r="CD78" s="12">
        <v>1.8114607822909696</v>
      </c>
      <c r="CE78" s="12">
        <v>1.8477125540753199</v>
      </c>
      <c r="CF78" s="12">
        <v>1.8846898126989946</v>
      </c>
      <c r="CG78" s="12">
        <v>1.9224070769324739</v>
      </c>
      <c r="CH78" s="12">
        <v>1.9608791561024337</v>
      </c>
      <c r="CI78" s="12">
        <v>2.0001211559064882</v>
      </c>
      <c r="CJ78" s="12">
        <v>2.0401484843442983</v>
      </c>
      <c r="CK78" s="12">
        <v>2.0809768577673768</v>
      </c>
      <c r="CL78" s="12">
        <v>2.1226223070499652</v>
      </c>
      <c r="CM78" s="12">
        <v>2.1651011838834062</v>
      </c>
      <c r="CN78" s="12">
        <v>2.208430167196477</v>
      </c>
      <c r="CO78" s="12">
        <v>2.2526262697042161</v>
      </c>
      <c r="CP78" s="12">
        <v>2.2977068445878031</v>
      </c>
      <c r="CQ78" s="12">
        <v>2.3436895923081216</v>
      </c>
      <c r="CR78" s="12">
        <f>Inflation_weighted[[#This Row],[2060]]/Inflation_weighted[[#This Row],[2059]]*Inflation_weighted[[#This Row],[2060]]</f>
        <v>2.390592567555677</v>
      </c>
      <c r="CS78" s="12">
        <f>Inflation_weighted[[#This Row],[2061]]/Inflation_weighted[[#This Row],[2060]]*Inflation_weighted[[#This Row],[2061]]</f>
        <v>2.4384341863396002</v>
      </c>
      <c r="CT78" s="12">
        <f>Inflation_weighted[[#This Row],[2062]]/Inflation_weighted[[#This Row],[2061]]*Inflation_weighted[[#This Row],[2062]]</f>
        <v>2.4872332332185194</v>
      </c>
      <c r="CU78" s="12">
        <f>Inflation_weighted[[#This Row],[2063]]/Inflation_weighted[[#This Row],[2062]]*Inflation_weighted[[#This Row],[2063]]</f>
        <v>2.5370088686761387</v>
      </c>
      <c r="CV78" s="12">
        <f>Inflation_weighted[[#This Row],[2064]]/Inflation_weighted[[#This Row],[2063]]*Inflation_weighted[[#This Row],[2064]]</f>
        <v>2.5877806366444207</v>
      </c>
      <c r="CW78" s="12">
        <f>Inflation_weighted[[#This Row],[2065]]/Inflation_weighted[[#This Row],[2064]]*Inflation_weighted[[#This Row],[2065]]</f>
        <v>2.6395684721773267</v>
      </c>
      <c r="CX78" s="12">
        <f>Inflation_weighted[[#This Row],[2066]]/Inflation_weighted[[#This Row],[2065]]*Inflation_weighted[[#This Row],[2066]]</f>
        <v>2.6923927092781264</v>
      </c>
      <c r="CY78" s="12">
        <f>Inflation_weighted[[#This Row],[2067]]/Inflation_weighted[[#This Row],[2066]]*Inflation_weighted[[#This Row],[2067]]</f>
        <v>2.7462740888833523</v>
      </c>
      <c r="CZ78" s="12">
        <f>Inflation_weighted[[#This Row],[2068]]/Inflation_weighted[[#This Row],[2067]]*Inflation_weighted[[#This Row],[2068]]</f>
        <v>2.8012337670065315</v>
      </c>
      <c r="DA78" s="12">
        <f>Inflation_weighted[[#This Row],[2069]]/Inflation_weighted[[#This Row],[2068]]*Inflation_weighted[[#This Row],[2069]]</f>
        <v>2.8572933230448938</v>
      </c>
      <c r="DB78" s="12">
        <f>Inflation_weighted[[#This Row],[2070]]/Inflation_weighted[[#This Row],[2069]]*Inflation_weighted[[#This Row],[2070]]</f>
        <v>2.9144747682523193</v>
      </c>
      <c r="DC78" s="12">
        <f>Inflation_weighted[[#This Row],[2071]]/Inflation_weighted[[#This Row],[2070]]*Inflation_weighted[[#This Row],[2071]]</f>
        <v>2.972800554381847</v>
      </c>
      <c r="DD78" s="12">
        <f>Inflation_weighted[[#This Row],[2072]]/Inflation_weighted[[#This Row],[2071]]*Inflation_weighted[[#This Row],[2072]]</f>
        <v>3.0322935825011439</v>
      </c>
      <c r="DE78" s="12">
        <f>Inflation_weighted[[#This Row],[2073]]/Inflation_weighted[[#This Row],[2072]]*Inflation_weighted[[#This Row],[2073]]</f>
        <v>3.0929772119843926</v>
      </c>
      <c r="DF78" s="12">
        <f>Inflation_weighted[[#This Row],[2074]]/Inflation_weighted[[#This Row],[2073]]*Inflation_weighted[[#This Row],[2074]]</f>
        <v>3.154875269684128</v>
      </c>
      <c r="DG78" s="12">
        <f>Inflation_weighted[[#This Row],[2075]]/Inflation_weighted[[#This Row],[2074]]*Inflation_weighted[[#This Row],[2075]]</f>
        <v>3.2180120592866248</v>
      </c>
      <c r="DH78" s="12">
        <f>Inflation_weighted[[#This Row],[2076]]/Inflation_weighted[[#This Row],[2075]]*Inflation_weighted[[#This Row],[2076]]</f>
        <v>3.282412370854511</v>
      </c>
      <c r="DI78" s="12">
        <f>Inflation_weighted[[#This Row],[2077]]/Inflation_weighted[[#This Row],[2076]]*Inflation_weighted[[#This Row],[2077]]</f>
        <v>3.3481014905603508</v>
      </c>
      <c r="DJ78" s="12">
        <f>Inflation_weighted[[#This Row],[2078]]/Inflation_weighted[[#This Row],[2077]]*Inflation_weighted[[#This Row],[2078]]</f>
        <v>3.4151052106150201</v>
      </c>
      <c r="DK78" s="12">
        <f>Inflation_weighted[[#This Row],[2079]]/Inflation_weighted[[#This Row],[2078]]*Inflation_weighted[[#This Row],[2079]]</f>
        <v>3.4834498393947753</v>
      </c>
      <c r="DL78" s="12">
        <f>Inflation_weighted[[#This Row],[2080]]/Inflation_weighted[[#This Row],[2079]]*Inflation_weighted[[#This Row],[2080]]</f>
        <v>3.5531622117709865</v>
      </c>
      <c r="DM78" s="12">
        <f>Inflation_weighted[[#This Row],[2081]]/Inflation_weighted[[#This Row],[2080]]*Inflation_weighted[[#This Row],[2081]]</f>
        <v>3.6242696996465971</v>
      </c>
      <c r="DN78" s="12">
        <f>Inflation_weighted[[#This Row],[2082]]/Inflation_weighted[[#This Row],[2081]]*Inflation_weighted[[#This Row],[2082]]</f>
        <v>3.6968002227034411</v>
      </c>
      <c r="DO78" s="12">
        <f>Inflation_weighted[[#This Row],[2083]]/Inflation_weighted[[#This Row],[2082]]*Inflation_weighted[[#This Row],[2083]]</f>
        <v>3.7707822593646432</v>
      </c>
      <c r="DP78" s="12">
        <f>Inflation_weighted[[#This Row],[2084]]/Inflation_weighted[[#This Row],[2083]]*Inflation_weighted[[#This Row],[2084]]</f>
        <v>3.8462448579764006</v>
      </c>
      <c r="DQ78" s="12">
        <f>Inflation_weighted[[#This Row],[2085]]/Inflation_weighted[[#This Row],[2084]]*Inflation_weighted[[#This Row],[2085]]</f>
        <v>3.9232176482135421</v>
      </c>
      <c r="DR78" s="12">
        <f>Inflation_weighted[[#This Row],[2086]]/Inflation_weighted[[#This Row],[2085]]*Inflation_weighted[[#This Row],[2086]]</f>
        <v>4.0017308527133384</v>
      </c>
      <c r="DS78" s="12">
        <f>Inflation_weighted[[#This Row],[2087]]/Inflation_weighted[[#This Row],[2086]]*Inflation_weighted[[#This Row],[2087]]</f>
        <v>4.0818152989421366</v>
      </c>
      <c r="DT78" s="12">
        <f>Inflation_weighted[[#This Row],[2088]]/Inflation_weighted[[#This Row],[2087]]*Inflation_weighted[[#This Row],[2088]]</f>
        <v>4.1635024312994693</v>
      </c>
      <c r="DU78" s="12">
        <f>Inflation_weighted[[#This Row],[2089]]/Inflation_weighted[[#This Row],[2088]]*Inflation_weighted[[#This Row],[2089]]</f>
        <v>4.2468243234644039</v>
      </c>
      <c r="DV78" s="12">
        <f>Inflation_weighted[[#This Row],[2090]]/Inflation_weighted[[#This Row],[2089]]*Inflation_weighted[[#This Row],[2090]]</f>
        <v>4.3318136909889668</v>
      </c>
      <c r="DW78" s="12">
        <f>Inflation_weighted[[#This Row],[2091]]/Inflation_weighted[[#This Row],[2090]]*Inflation_weighted[[#This Row],[2091]]</f>
        <v>4.4185039041435958</v>
      </c>
      <c r="DX78" s="12">
        <f>Inflation_weighted[[#This Row],[2092]]/Inflation_weighted[[#This Row],[2091]]*Inflation_weighted[[#This Row],[2092]]</f>
        <v>4.5069290010196621</v>
      </c>
      <c r="DY78" s="12">
        <f>Inflation_weighted[[#This Row],[2093]]/Inflation_weighted[[#This Row],[2092]]*Inflation_weighted[[#This Row],[2093]]</f>
        <v>4.597123700894203</v>
      </c>
      <c r="DZ78" s="12">
        <f>Inflation_weighted[[#This Row],[2094]]/Inflation_weighted[[#This Row],[2093]]*Inflation_weighted[[#This Row],[2094]]</f>
        <v>4.689123417862116</v>
      </c>
      <c r="EA78" s="12">
        <f>Inflation_weighted[[#This Row],[2095]]/Inflation_weighted[[#This Row],[2094]]*Inflation_weighted[[#This Row],[2095]]</f>
        <v>4.7829642747411718</v>
      </c>
      <c r="EB78" s="12">
        <f>Inflation_weighted[[#This Row],[2096]]/Inflation_weighted[[#This Row],[2095]]*Inflation_weighted[[#This Row],[2096]]</f>
        <v>4.8786831172552931</v>
      </c>
    </row>
    <row r="79" spans="2:132">
      <c r="B79" s="15" t="s">
        <v>234</v>
      </c>
      <c r="C79" s="15" t="s">
        <v>35</v>
      </c>
      <c r="D79" s="13">
        <v>0.19672957131822338</v>
      </c>
      <c r="E79" s="13">
        <v>0.20581109031566558</v>
      </c>
      <c r="F79" s="13">
        <v>0.21512463943621699</v>
      </c>
      <c r="G79" s="13">
        <v>0.22775296512214771</v>
      </c>
      <c r="H79" s="13">
        <v>0.24763225153021878</v>
      </c>
      <c r="I79" s="13">
        <v>0.26943795445169422</v>
      </c>
      <c r="J79" s="13">
        <v>0.28522056080941327</v>
      </c>
      <c r="K79" s="13">
        <v>0.29686462628790761</v>
      </c>
      <c r="L79" s="13">
        <v>0.30518001137888673</v>
      </c>
      <c r="M79" s="13">
        <v>0.32864719727910041</v>
      </c>
      <c r="N79" s="13">
        <v>0.36294252715007008</v>
      </c>
      <c r="O79" s="13">
        <v>0.40128272345290272</v>
      </c>
      <c r="P79" s="13">
        <v>0.43777197701393955</v>
      </c>
      <c r="Q79" s="13">
        <v>0.46084086786282952</v>
      </c>
      <c r="R79" s="13">
        <v>0.481546829800437</v>
      </c>
      <c r="S79" s="13">
        <v>0.49893679682813302</v>
      </c>
      <c r="T79" s="13">
        <v>0.5144618498138831</v>
      </c>
      <c r="U79" s="13">
        <v>0.52930773308681589</v>
      </c>
      <c r="V79" s="13">
        <v>0.54497233325637395</v>
      </c>
      <c r="W79" s="13">
        <v>0.5632060257880962</v>
      </c>
      <c r="X79" s="13">
        <v>0.58695250504367547</v>
      </c>
      <c r="Y79" s="13">
        <v>0.61093397181001841</v>
      </c>
      <c r="Z79" s="13">
        <v>0.63284853151137044</v>
      </c>
      <c r="AA79" s="13">
        <v>0.65127813883134156</v>
      </c>
      <c r="AB79" s="13">
        <v>0.66634501955753644</v>
      </c>
      <c r="AC79" s="13">
        <v>0.67883221437982166</v>
      </c>
      <c r="AD79" s="13">
        <v>0.69191437649572307</v>
      </c>
      <c r="AE79" s="13">
        <v>0.70360148374888176</v>
      </c>
      <c r="AF79" s="13">
        <v>0.71222990209980586</v>
      </c>
      <c r="AG79" s="13">
        <v>0.71806373286777636</v>
      </c>
      <c r="AH79" s="13">
        <v>0.72651801163673146</v>
      </c>
      <c r="AI79" s="13">
        <v>0.73715171994004058</v>
      </c>
      <c r="AJ79" s="13">
        <v>0.74726573569819799</v>
      </c>
      <c r="AK79" s="13">
        <v>0.75481903948494511</v>
      </c>
      <c r="AL79" s="13">
        <v>0.76588439119113183</v>
      </c>
      <c r="AM79" s="13">
        <v>0.78726336404915487</v>
      </c>
      <c r="AN79" s="13">
        <v>0.80798388358884055</v>
      </c>
      <c r="AO79" s="13">
        <v>0.83316048121027098</v>
      </c>
      <c r="AP79" s="13">
        <v>0.85356707691944878</v>
      </c>
      <c r="AQ79" s="13">
        <v>0.86913728731854678</v>
      </c>
      <c r="AR79" s="13">
        <v>0.88029746542418796</v>
      </c>
      <c r="AS79" s="13">
        <v>0.89350145147903781</v>
      </c>
      <c r="AT79" s="13">
        <v>0.91483577745759992</v>
      </c>
      <c r="AU79" s="13">
        <v>0.9300142395208828</v>
      </c>
      <c r="AV79" s="13">
        <v>0.93977505579635312</v>
      </c>
      <c r="AW79" s="13">
        <v>0.95323489343874923</v>
      </c>
      <c r="AX79" s="13">
        <v>0.96510537749372527</v>
      </c>
      <c r="AY79" s="13">
        <v>0.98098817019039841</v>
      </c>
      <c r="AZ79" s="13">
        <v>0.99999656424730132</v>
      </c>
      <c r="BA79" s="13">
        <v>1.0199964955322474</v>
      </c>
      <c r="BB79" s="13">
        <v>1.0403964254428928</v>
      </c>
      <c r="BC79" s="13">
        <v>1.0612043539517502</v>
      </c>
      <c r="BD79" s="13">
        <v>1.0824284410307852</v>
      </c>
      <c r="BE79" s="13">
        <v>1.1040770098514014</v>
      </c>
      <c r="BF79" s="13">
        <v>1.1261585500484295</v>
      </c>
      <c r="BG79" s="13">
        <v>1.1486817210493978</v>
      </c>
      <c r="BH79" s="12">
        <v>1.1716553554703859</v>
      </c>
      <c r="BI79" s="12">
        <v>1.1950884625797937</v>
      </c>
      <c r="BJ79" s="12">
        <v>1.2189902318313897</v>
      </c>
      <c r="BK79" s="12">
        <v>1.2433700364680176</v>
      </c>
      <c r="BL79" s="12">
        <v>1.2682374371973779</v>
      </c>
      <c r="BM79" s="12">
        <v>1.2936021859413254</v>
      </c>
      <c r="BN79" s="12">
        <v>1.319474229660152</v>
      </c>
      <c r="BO79" s="12">
        <v>1.3458637142533552</v>
      </c>
      <c r="BP79" s="12">
        <v>1.3727809885384223</v>
      </c>
      <c r="BQ79" s="12">
        <v>1.4002366083091908</v>
      </c>
      <c r="BR79" s="12">
        <v>1.4282413404753747</v>
      </c>
      <c r="BS79" s="12">
        <v>1.4568061672848822</v>
      </c>
      <c r="BT79" s="12">
        <v>1.4859422906305799</v>
      </c>
      <c r="BU79" s="12">
        <v>1.5156611364431916</v>
      </c>
      <c r="BV79" s="12">
        <v>1.5459743591720554</v>
      </c>
      <c r="BW79" s="12">
        <v>1.5768938463554965</v>
      </c>
      <c r="BX79" s="12">
        <v>1.6084317232826064</v>
      </c>
      <c r="BY79" s="12">
        <v>1.6406003577482584</v>
      </c>
      <c r="BZ79" s="12">
        <v>1.6734123649032238</v>
      </c>
      <c r="CA79" s="12">
        <v>1.7068806122012883</v>
      </c>
      <c r="CB79" s="12">
        <v>1.7410182244453138</v>
      </c>
      <c r="CC79" s="12">
        <v>1.7758385889342203</v>
      </c>
      <c r="CD79" s="12">
        <v>1.8113553607129047</v>
      </c>
      <c r="CE79" s="12">
        <v>1.8475824679271629</v>
      </c>
      <c r="CF79" s="12">
        <v>1.8845341172857062</v>
      </c>
      <c r="CG79" s="12">
        <v>1.9222247996314203</v>
      </c>
      <c r="CH79" s="12">
        <v>1.9606692956240488</v>
      </c>
      <c r="CI79" s="12">
        <v>1.9998826815365296</v>
      </c>
      <c r="CJ79" s="12">
        <v>2.0398803351672603</v>
      </c>
      <c r="CK79" s="12">
        <v>2.0806779418706056</v>
      </c>
      <c r="CL79" s="12">
        <v>2.1222915007080179</v>
      </c>
      <c r="CM79" s="12">
        <v>2.1647373307221782</v>
      </c>
      <c r="CN79" s="12">
        <v>2.2080320773366218</v>
      </c>
      <c r="CO79" s="12">
        <v>2.2521927188833541</v>
      </c>
      <c r="CP79" s="12">
        <v>2.2972365732610212</v>
      </c>
      <c r="CQ79" s="12">
        <v>2.3431813047262415</v>
      </c>
      <c r="CR79" s="12">
        <f>Inflation_weighted[[#This Row],[2060]]/Inflation_weighted[[#This Row],[2059]]*Inflation_weighted[[#This Row],[2060]]</f>
        <v>2.3900449308207663</v>
      </c>
      <c r="CS79" s="12">
        <f>Inflation_weighted[[#This Row],[2061]]/Inflation_weighted[[#This Row],[2060]]*Inflation_weighted[[#This Row],[2061]]</f>
        <v>2.4378458294371819</v>
      </c>
      <c r="CT79" s="12">
        <f>Inflation_weighted[[#This Row],[2062]]/Inflation_weighted[[#This Row],[2061]]*Inflation_weighted[[#This Row],[2062]]</f>
        <v>2.4866027460259255</v>
      </c>
      <c r="CU79" s="12">
        <f>Inflation_weighted[[#This Row],[2063]]/Inflation_weighted[[#This Row],[2062]]*Inflation_weighted[[#This Row],[2063]]</f>
        <v>2.5363348009464439</v>
      </c>
      <c r="CV79" s="12">
        <f>Inflation_weighted[[#This Row],[2064]]/Inflation_weighted[[#This Row],[2063]]*Inflation_weighted[[#This Row],[2064]]</f>
        <v>2.5870614969653727</v>
      </c>
      <c r="CW79" s="12">
        <f>Inflation_weighted[[#This Row],[2065]]/Inflation_weighted[[#This Row],[2064]]*Inflation_weighted[[#This Row],[2065]]</f>
        <v>2.6388027269046801</v>
      </c>
      <c r="CX79" s="12">
        <f>Inflation_weighted[[#This Row],[2066]]/Inflation_weighted[[#This Row],[2065]]*Inflation_weighted[[#This Row],[2066]]</f>
        <v>2.6915787814427738</v>
      </c>
      <c r="CY79" s="12">
        <f>Inflation_weighted[[#This Row],[2067]]/Inflation_weighted[[#This Row],[2066]]*Inflation_weighted[[#This Row],[2067]]</f>
        <v>2.7454103570716293</v>
      </c>
      <c r="CZ79" s="12">
        <f>Inflation_weighted[[#This Row],[2068]]/Inflation_weighted[[#This Row],[2067]]*Inflation_weighted[[#This Row],[2068]]</f>
        <v>2.8003185642130619</v>
      </c>
      <c r="DA79" s="12">
        <f>Inflation_weighted[[#This Row],[2069]]/Inflation_weighted[[#This Row],[2068]]*Inflation_weighted[[#This Row],[2069]]</f>
        <v>2.856324935497323</v>
      </c>
      <c r="DB79" s="12">
        <f>Inflation_weighted[[#This Row],[2070]]/Inflation_weighted[[#This Row],[2069]]*Inflation_weighted[[#This Row],[2070]]</f>
        <v>2.9134514342072695</v>
      </c>
      <c r="DC79" s="12">
        <f>Inflation_weighted[[#This Row],[2071]]/Inflation_weighted[[#This Row],[2070]]*Inflation_weighted[[#This Row],[2071]]</f>
        <v>2.9717204628914149</v>
      </c>
      <c r="DD79" s="12">
        <f>Inflation_weighted[[#This Row],[2072]]/Inflation_weighted[[#This Row],[2071]]*Inflation_weighted[[#This Row],[2072]]</f>
        <v>3.0311548721492434</v>
      </c>
      <c r="DE79" s="12">
        <f>Inflation_weighted[[#This Row],[2073]]/Inflation_weighted[[#This Row],[2072]]*Inflation_weighted[[#This Row],[2073]]</f>
        <v>3.0917779695922283</v>
      </c>
      <c r="DF79" s="12">
        <f>Inflation_weighted[[#This Row],[2074]]/Inflation_weighted[[#This Row],[2073]]*Inflation_weighted[[#This Row],[2074]]</f>
        <v>3.153613528984073</v>
      </c>
      <c r="DG79" s="12">
        <f>Inflation_weighted[[#This Row],[2075]]/Inflation_weighted[[#This Row],[2074]]*Inflation_weighted[[#This Row],[2075]]</f>
        <v>3.2166857995637543</v>
      </c>
      <c r="DH79" s="12">
        <f>Inflation_weighted[[#This Row],[2076]]/Inflation_weighted[[#This Row],[2075]]*Inflation_weighted[[#This Row],[2076]]</f>
        <v>3.2810195155550295</v>
      </c>
      <c r="DI79" s="12">
        <f>Inflation_weighted[[#This Row],[2077]]/Inflation_weighted[[#This Row],[2076]]*Inflation_weighted[[#This Row],[2077]]</f>
        <v>3.3466399058661302</v>
      </c>
      <c r="DJ79" s="12">
        <f>Inflation_weighted[[#This Row],[2078]]/Inflation_weighted[[#This Row],[2077]]*Inflation_weighted[[#This Row],[2078]]</f>
        <v>3.4135727039834527</v>
      </c>
      <c r="DK79" s="12">
        <f>Inflation_weighted[[#This Row],[2079]]/Inflation_weighted[[#This Row],[2078]]*Inflation_weighted[[#This Row],[2079]]</f>
        <v>3.4818441580631219</v>
      </c>
      <c r="DL79" s="12">
        <f>Inflation_weighted[[#This Row],[2080]]/Inflation_weighted[[#This Row],[2079]]*Inflation_weighted[[#This Row],[2080]]</f>
        <v>3.5514810412243842</v>
      </c>
      <c r="DM79" s="12">
        <f>Inflation_weighted[[#This Row],[2081]]/Inflation_weighted[[#This Row],[2080]]*Inflation_weighted[[#This Row],[2081]]</f>
        <v>3.6225106620488718</v>
      </c>
      <c r="DN79" s="12">
        <f>Inflation_weighted[[#This Row],[2082]]/Inflation_weighted[[#This Row],[2081]]*Inflation_weighted[[#This Row],[2082]]</f>
        <v>3.6949608752898495</v>
      </c>
      <c r="DO79" s="12">
        <f>Inflation_weighted[[#This Row],[2083]]/Inflation_weighted[[#This Row],[2082]]*Inflation_weighted[[#This Row],[2083]]</f>
        <v>3.7688600927956464</v>
      </c>
      <c r="DP79" s="12">
        <f>Inflation_weighted[[#This Row],[2084]]/Inflation_weighted[[#This Row],[2083]]*Inflation_weighted[[#This Row],[2084]]</f>
        <v>3.8442372946515593</v>
      </c>
      <c r="DQ79" s="12">
        <f>Inflation_weighted[[#This Row],[2085]]/Inflation_weighted[[#This Row],[2084]]*Inflation_weighted[[#This Row],[2085]]</f>
        <v>3.9211220405445903</v>
      </c>
      <c r="DR79" s="12">
        <f>Inflation_weighted[[#This Row],[2086]]/Inflation_weighted[[#This Row],[2085]]*Inflation_weighted[[#This Row],[2086]]</f>
        <v>3.9995444813554824</v>
      </c>
      <c r="DS79" s="12">
        <f>Inflation_weighted[[#This Row],[2087]]/Inflation_weighted[[#This Row],[2086]]*Inflation_weighted[[#This Row],[2087]]</f>
        <v>4.0795353709825921</v>
      </c>
      <c r="DT79" s="12">
        <f>Inflation_weighted[[#This Row],[2088]]/Inflation_weighted[[#This Row],[2087]]*Inflation_weighted[[#This Row],[2088]]</f>
        <v>4.1611260784022441</v>
      </c>
      <c r="DU79" s="12">
        <f>Inflation_weighted[[#This Row],[2089]]/Inflation_weighted[[#This Row],[2088]]*Inflation_weighted[[#This Row],[2089]]</f>
        <v>4.244348599970289</v>
      </c>
      <c r="DV79" s="12">
        <f>Inflation_weighted[[#This Row],[2090]]/Inflation_weighted[[#This Row],[2089]]*Inflation_weighted[[#This Row],[2090]]</f>
        <v>4.3292355719696944</v>
      </c>
      <c r="DW79" s="12">
        <f>Inflation_weighted[[#This Row],[2091]]/Inflation_weighted[[#This Row],[2090]]*Inflation_weighted[[#This Row],[2091]]</f>
        <v>4.4158202834090883</v>
      </c>
      <c r="DX79" s="12">
        <f>Inflation_weighted[[#This Row],[2092]]/Inflation_weighted[[#This Row],[2091]]*Inflation_weighted[[#This Row],[2092]]</f>
        <v>4.5041366890772698</v>
      </c>
      <c r="DY79" s="12">
        <f>Inflation_weighted[[#This Row],[2093]]/Inflation_weighted[[#This Row],[2092]]*Inflation_weighted[[#This Row],[2093]]</f>
        <v>4.5942194228588153</v>
      </c>
      <c r="DZ79" s="12">
        <f>Inflation_weighted[[#This Row],[2094]]/Inflation_weighted[[#This Row],[2093]]*Inflation_weighted[[#This Row],[2094]]</f>
        <v>4.6861038113159914</v>
      </c>
      <c r="EA79" s="12">
        <f>Inflation_weighted[[#This Row],[2095]]/Inflation_weighted[[#This Row],[2094]]*Inflation_weighted[[#This Row],[2095]]</f>
        <v>4.7798258875423114</v>
      </c>
      <c r="EB79" s="12">
        <f>Inflation_weighted[[#This Row],[2096]]/Inflation_weighted[[#This Row],[2095]]*Inflation_weighted[[#This Row],[2096]]</f>
        <v>4.8754224052931576</v>
      </c>
    </row>
    <row r="80" spans="2:132">
      <c r="B80" s="15" t="s">
        <v>34</v>
      </c>
      <c r="C80" s="15" t="s">
        <v>33</v>
      </c>
      <c r="D80" s="13">
        <v>0.12478247984659729</v>
      </c>
      <c r="E80" s="13">
        <v>0.13398605661835936</v>
      </c>
      <c r="F80" s="13">
        <v>0.15248042164515699</v>
      </c>
      <c r="G80" s="13">
        <v>0.16934576756992994</v>
      </c>
      <c r="H80" s="13">
        <v>0.18146505898345358</v>
      </c>
      <c r="I80" s="13">
        <v>0.19312691934010651</v>
      </c>
      <c r="J80" s="13">
        <v>0.20323302195455131</v>
      </c>
      <c r="K80" s="13">
        <v>0.2076080298868678</v>
      </c>
      <c r="L80" s="13">
        <v>0.2147338995644873</v>
      </c>
      <c r="M80" s="13">
        <v>0.22908457593834625</v>
      </c>
      <c r="N80" s="13">
        <v>0.24370934898119651</v>
      </c>
      <c r="O80" s="13">
        <v>0.26133172793980991</v>
      </c>
      <c r="P80" s="13">
        <v>0.30716930920254837</v>
      </c>
      <c r="Q80" s="13">
        <v>0.3452846279534631</v>
      </c>
      <c r="R80" s="13">
        <v>0.36045180343968503</v>
      </c>
      <c r="S80" s="13">
        <v>0.3715876941280527</v>
      </c>
      <c r="T80" s="13">
        <v>0.38586898029972883</v>
      </c>
      <c r="U80" s="13">
        <v>0.3975569495997498</v>
      </c>
      <c r="V80" s="13">
        <v>0.40671422653038203</v>
      </c>
      <c r="W80" s="13">
        <v>0.41618495193975996</v>
      </c>
      <c r="X80" s="13">
        <v>0.43154316683630484</v>
      </c>
      <c r="Y80" s="13">
        <v>0.44826737689593826</v>
      </c>
      <c r="Z80" s="13">
        <v>0.46720445112105413</v>
      </c>
      <c r="AA80" s="13">
        <v>0.48512715978844928</v>
      </c>
      <c r="AB80" s="13">
        <v>0.50149082886219898</v>
      </c>
      <c r="AC80" s="13">
        <v>0.51368971090237703</v>
      </c>
      <c r="AD80" s="13">
        <v>0.52618710805785585</v>
      </c>
      <c r="AE80" s="13">
        <v>0.53839024381417799</v>
      </c>
      <c r="AF80" s="13">
        <v>0.55235008753725257</v>
      </c>
      <c r="AG80" s="13">
        <v>0.56612500286897016</v>
      </c>
      <c r="AH80" s="13">
        <v>0.58266473971174226</v>
      </c>
      <c r="AI80" s="13">
        <v>0.60580664825106423</v>
      </c>
      <c r="AJ80" s="13">
        <v>0.62921715683970025</v>
      </c>
      <c r="AK80" s="13">
        <v>0.66739666660966879</v>
      </c>
      <c r="AL80" s="13">
        <v>0.70204462378039656</v>
      </c>
      <c r="AM80" s="13">
        <v>0.73206010593508619</v>
      </c>
      <c r="AN80" s="13">
        <v>0.75786394753558484</v>
      </c>
      <c r="AO80" s="13">
        <v>0.78155038516958575</v>
      </c>
      <c r="AP80" s="13">
        <v>0.80122115172337516</v>
      </c>
      <c r="AQ80" s="13">
        <v>0.82587851898274345</v>
      </c>
      <c r="AR80" s="13">
        <v>0.85554098842653992</v>
      </c>
      <c r="AS80" s="13">
        <v>0.88402318230438703</v>
      </c>
      <c r="AT80" s="13">
        <v>0.90064602456270737</v>
      </c>
      <c r="AU80" s="13">
        <v>0.91549711842099435</v>
      </c>
      <c r="AV80" s="13">
        <v>0.93044294843318376</v>
      </c>
      <c r="AW80" s="13">
        <v>0.94189057131727894</v>
      </c>
      <c r="AX80" s="13">
        <v>0.95156151465220418</v>
      </c>
      <c r="AY80" s="13">
        <v>0.96346310147930758</v>
      </c>
      <c r="AZ80" s="13">
        <v>0.98163620377206595</v>
      </c>
      <c r="BA80" s="13">
        <v>1.0009034482107417</v>
      </c>
      <c r="BB80" s="13">
        <v>1.0202361858087257</v>
      </c>
      <c r="BC80" s="13">
        <v>1.0399392901280893</v>
      </c>
      <c r="BD80" s="13">
        <v>1.0611782297491832</v>
      </c>
      <c r="BE80" s="13">
        <v>1.0832436966172398</v>
      </c>
      <c r="BF80" s="13">
        <v>1.1056988238488898</v>
      </c>
      <c r="BG80" s="13">
        <v>1.128619435200654</v>
      </c>
      <c r="BH80" s="12">
        <v>1.1520151799372127</v>
      </c>
      <c r="BI80" s="12">
        <v>1.1758959073479187</v>
      </c>
      <c r="BJ80" s="12">
        <v>1.2002716708932142</v>
      </c>
      <c r="BK80" s="12">
        <v>1.225152732437</v>
      </c>
      <c r="BL80" s="12">
        <v>1.2505495665667417</v>
      </c>
      <c r="BM80" s="12">
        <v>1.2764728650031254</v>
      </c>
      <c r="BN80" s="12">
        <v>1.3029335411011296</v>
      </c>
      <c r="BO80" s="12">
        <v>1.3299427344443959</v>
      </c>
      <c r="BP80" s="12">
        <v>1.3575118155348433</v>
      </c>
      <c r="BQ80" s="12">
        <v>1.3856523905794942</v>
      </c>
      <c r="BR80" s="12">
        <v>1.4143763063765287</v>
      </c>
      <c r="BS80" s="12">
        <v>1.4436956553026254</v>
      </c>
      <c r="BT80" s="12">
        <v>1.4736227804036868</v>
      </c>
      <c r="BU80" s="12">
        <v>1.5041702805910933</v>
      </c>
      <c r="BV80" s="12">
        <v>1.5353510159456731</v>
      </c>
      <c r="BW80" s="12">
        <v>1.5671781131316211</v>
      </c>
      <c r="BX80" s="12">
        <v>1.5996649709226449</v>
      </c>
      <c r="BY80" s="12">
        <v>1.6328252658426654</v>
      </c>
      <c r="BZ80" s="12">
        <v>1.6666729579234481</v>
      </c>
      <c r="CA80" s="12">
        <v>1.7012222965815846</v>
      </c>
      <c r="CB80" s="12">
        <v>1.7364878266173036</v>
      </c>
      <c r="CC80" s="12">
        <v>1.7724843943376329</v>
      </c>
      <c r="CD80" s="12">
        <v>1.8092271538064919</v>
      </c>
      <c r="CE80" s="12">
        <v>1.8467315732243463</v>
      </c>
      <c r="CF80" s="12">
        <v>1.8850134414401092</v>
      </c>
      <c r="CG80" s="12">
        <v>1.9240888745980314</v>
      </c>
      <c r="CH80" s="12">
        <v>1.9639743229223772</v>
      </c>
      <c r="CI80" s="12">
        <v>2.004686577642746</v>
      </c>
      <c r="CJ80" s="12">
        <v>2.0462427780629495</v>
      </c>
      <c r="CK80" s="12">
        <v>2.0886604187764251</v>
      </c>
      <c r="CL80" s="12">
        <v>2.1319573570312227</v>
      </c>
      <c r="CM80" s="12">
        <v>2.1761518202476595</v>
      </c>
      <c r="CN80" s="12">
        <v>2.2212624136918171</v>
      </c>
      <c r="CO80" s="12">
        <v>2.2673081283081054</v>
      </c>
      <c r="CP80" s="12">
        <v>2.3143083487141896</v>
      </c>
      <c r="CQ80" s="12">
        <v>2.3622828613616504</v>
      </c>
      <c r="CR80" s="12">
        <f>Inflation_weighted[[#This Row],[2060]]/Inflation_weighted[[#This Row],[2059]]*Inflation_weighted[[#This Row],[2060]]</f>
        <v>2.4112518628658099</v>
      </c>
      <c r="CS80" s="12">
        <f>Inflation_weighted[[#This Row],[2061]]/Inflation_weighted[[#This Row],[2060]]*Inflation_weighted[[#This Row],[2061]]</f>
        <v>2.4612359685082321</v>
      </c>
      <c r="CT80" s="12">
        <f>Inflation_weighted[[#This Row],[2062]]/Inflation_weighted[[#This Row],[2061]]*Inflation_weighted[[#This Row],[2062]]</f>
        <v>2.5122562209154733</v>
      </c>
      <c r="CU80" s="12">
        <f>Inflation_weighted[[#This Row],[2063]]/Inflation_weighted[[#This Row],[2062]]*Inflation_weighted[[#This Row],[2063]]</f>
        <v>2.564334098917743</v>
      </c>
      <c r="CV80" s="12">
        <f>Inflation_weighted[[#This Row],[2064]]/Inflation_weighted[[#This Row],[2063]]*Inflation_weighted[[#This Row],[2064]]</f>
        <v>2.6174915265911967</v>
      </c>
      <c r="CW80" s="12">
        <f>Inflation_weighted[[#This Row],[2065]]/Inflation_weighted[[#This Row],[2064]]*Inflation_weighted[[#This Row],[2065]]</f>
        <v>2.6717508824876735</v>
      </c>
      <c r="CX80" s="12">
        <f>Inflation_weighted[[#This Row],[2066]]/Inflation_weighted[[#This Row],[2065]]*Inflation_weighted[[#This Row],[2066]]</f>
        <v>2.7271350090557616</v>
      </c>
      <c r="CY80" s="12">
        <f>Inflation_weighted[[#This Row],[2067]]/Inflation_weighted[[#This Row],[2066]]*Inflation_weighted[[#This Row],[2067]]</f>
        <v>2.7836672222571566</v>
      </c>
      <c r="CZ80" s="12">
        <f>Inflation_weighted[[#This Row],[2068]]/Inflation_weighted[[#This Row],[2067]]*Inflation_weighted[[#This Row],[2068]]</f>
        <v>2.8413713213823639</v>
      </c>
      <c r="DA80" s="12">
        <f>Inflation_weighted[[#This Row],[2069]]/Inflation_weighted[[#This Row],[2068]]*Inflation_weighted[[#This Row],[2069]]</f>
        <v>2.9002715990698751</v>
      </c>
      <c r="DB80" s="12">
        <f>Inflation_weighted[[#This Row],[2070]]/Inflation_weighted[[#This Row],[2069]]*Inflation_weighted[[#This Row],[2070]]</f>
        <v>2.9603928515330371</v>
      </c>
      <c r="DC80" s="12">
        <f>Inflation_weighted[[#This Row],[2071]]/Inflation_weighted[[#This Row],[2070]]*Inflation_weighted[[#This Row],[2071]]</f>
        <v>3.0217603889989202</v>
      </c>
      <c r="DD80" s="12">
        <f>Inflation_weighted[[#This Row],[2072]]/Inflation_weighted[[#This Row],[2071]]*Inflation_weighted[[#This Row],[2072]]</f>
        <v>3.0844000463635783</v>
      </c>
      <c r="DE80" s="12">
        <f>Inflation_weighted[[#This Row],[2073]]/Inflation_weighted[[#This Row],[2072]]*Inflation_weighted[[#This Row],[2073]]</f>
        <v>3.1483381940681876</v>
      </c>
      <c r="DF80" s="12">
        <f>Inflation_weighted[[#This Row],[2074]]/Inflation_weighted[[#This Row],[2073]]*Inflation_weighted[[#This Row],[2074]]</f>
        <v>3.2136017492006421</v>
      </c>
      <c r="DG80" s="12">
        <f>Inflation_weighted[[#This Row],[2075]]/Inflation_weighted[[#This Row],[2074]]*Inflation_weighted[[#This Row],[2075]]</f>
        <v>3.2802181868272808</v>
      </c>
      <c r="DH80" s="12">
        <f>Inflation_weighted[[#This Row],[2076]]/Inflation_weighted[[#This Row],[2075]]*Inflation_weighted[[#This Row],[2076]]</f>
        <v>3.3482155515595164</v>
      </c>
      <c r="DI80" s="12">
        <f>Inflation_weighted[[#This Row],[2077]]/Inflation_weighted[[#This Row],[2076]]*Inflation_weighted[[#This Row],[2077]]</f>
        <v>3.4176224693602326</v>
      </c>
      <c r="DJ80" s="12">
        <f>Inflation_weighted[[#This Row],[2078]]/Inflation_weighted[[#This Row],[2077]]*Inflation_weighted[[#This Row],[2078]]</f>
        <v>3.4884681595949254</v>
      </c>
      <c r="DK80" s="12">
        <f>Inflation_weighted[[#This Row],[2079]]/Inflation_weighted[[#This Row],[2078]]*Inflation_weighted[[#This Row],[2079]]</f>
        <v>3.5607824473326564</v>
      </c>
      <c r="DL80" s="12">
        <f>Inflation_weighted[[#This Row],[2080]]/Inflation_weighted[[#This Row],[2079]]*Inflation_weighted[[#This Row],[2080]]</f>
        <v>3.6345957759020004</v>
      </c>
      <c r="DM80" s="12">
        <f>Inflation_weighted[[#This Row],[2081]]/Inflation_weighted[[#This Row],[2080]]*Inflation_weighted[[#This Row],[2081]]</f>
        <v>3.7099392197072718</v>
      </c>
      <c r="DN80" s="12">
        <f>Inflation_weighted[[#This Row],[2082]]/Inflation_weighted[[#This Row],[2081]]*Inflation_weighted[[#This Row],[2082]]</f>
        <v>3.7868444973104238</v>
      </c>
      <c r="DO80" s="12">
        <f>Inflation_weighted[[#This Row],[2083]]/Inflation_weighted[[#This Row],[2082]]*Inflation_weighted[[#This Row],[2083]]</f>
        <v>3.8653439847841313</v>
      </c>
      <c r="DP80" s="12">
        <f>Inflation_weighted[[#This Row],[2084]]/Inflation_weighted[[#This Row],[2083]]*Inflation_weighted[[#This Row],[2084]]</f>
        <v>3.9454707293416753</v>
      </c>
      <c r="DQ80" s="12">
        <f>Inflation_weighted[[#This Row],[2085]]/Inflation_weighted[[#This Row],[2084]]*Inflation_weighted[[#This Row],[2085]]</f>
        <v>4.0272584632493684</v>
      </c>
      <c r="DR80" s="12">
        <f>Inflation_weighted[[#This Row],[2086]]/Inflation_weighted[[#This Row],[2085]]*Inflation_weighted[[#This Row],[2086]]</f>
        <v>4.1107416180273795</v>
      </c>
      <c r="DS80" s="12">
        <f>Inflation_weighted[[#This Row],[2087]]/Inflation_weighted[[#This Row],[2086]]*Inflation_weighted[[#This Row],[2087]]</f>
        <v>4.195955338944934</v>
      </c>
      <c r="DT80" s="12">
        <f>Inflation_weighted[[#This Row],[2088]]/Inflation_weighted[[#This Row],[2087]]*Inflation_weighted[[#This Row],[2088]]</f>
        <v>4.2829354998159923</v>
      </c>
      <c r="DU80" s="12">
        <f>Inflation_weighted[[#This Row],[2089]]/Inflation_weighted[[#This Row],[2088]]*Inflation_weighted[[#This Row],[2089]]</f>
        <v>4.3717187181016364</v>
      </c>
      <c r="DV80" s="12">
        <f>Inflation_weighted[[#This Row],[2090]]/Inflation_weighted[[#This Row],[2089]]*Inflation_weighted[[#This Row],[2090]]</f>
        <v>4.4623423703255209</v>
      </c>
      <c r="DW80" s="12">
        <f>Inflation_weighted[[#This Row],[2091]]/Inflation_weighted[[#This Row],[2090]]*Inflation_weighted[[#This Row],[2091]]</f>
        <v>4.5548446078088807</v>
      </c>
      <c r="DX80" s="12">
        <f>Inflation_weighted[[#This Row],[2092]]/Inflation_weighted[[#This Row],[2091]]*Inflation_weighted[[#This Row],[2092]]</f>
        <v>4.6492643727317144</v>
      </c>
      <c r="DY80" s="12">
        <f>Inflation_weighted[[#This Row],[2093]]/Inflation_weighted[[#This Row],[2092]]*Inflation_weighted[[#This Row],[2093]]</f>
        <v>4.7456414145269141</v>
      </c>
      <c r="DZ80" s="12">
        <f>Inflation_weighted[[#This Row],[2094]]/Inflation_weighted[[#This Row],[2093]]*Inflation_weighted[[#This Row],[2094]]</f>
        <v>4.8440163066142308</v>
      </c>
      <c r="EA80" s="12">
        <f>Inflation_weighted[[#This Row],[2095]]/Inflation_weighted[[#This Row],[2094]]*Inflation_weighted[[#This Row],[2095]]</f>
        <v>4.944430463481134</v>
      </c>
      <c r="EB80" s="12">
        <f>Inflation_weighted[[#This Row],[2096]]/Inflation_weighted[[#This Row],[2095]]*Inflation_weighted[[#This Row],[2096]]</f>
        <v>5.0469261581177438</v>
      </c>
    </row>
    <row r="81" spans="2:132">
      <c r="B81" s="15" t="s">
        <v>32</v>
      </c>
      <c r="C81" s="15" t="s">
        <v>31</v>
      </c>
      <c r="D81" s="13">
        <v>0.12537248718757354</v>
      </c>
      <c r="E81" s="13">
        <v>0.1349621924873842</v>
      </c>
      <c r="F81" s="13">
        <v>0.15470266421791845</v>
      </c>
      <c r="G81" s="13">
        <v>0.17245360991715294</v>
      </c>
      <c r="H81" s="13">
        <v>0.18461569501893157</v>
      </c>
      <c r="I81" s="13">
        <v>0.19657690717123094</v>
      </c>
      <c r="J81" s="13">
        <v>0.20678639026019605</v>
      </c>
      <c r="K81" s="13">
        <v>0.21068201025026034</v>
      </c>
      <c r="L81" s="13">
        <v>0.21850680376119683</v>
      </c>
      <c r="M81" s="13">
        <v>0.23331109716895956</v>
      </c>
      <c r="N81" s="13">
        <v>0.24790817325228473</v>
      </c>
      <c r="O81" s="13">
        <v>0.26582054884067713</v>
      </c>
      <c r="P81" s="13">
        <v>0.31111006251819767</v>
      </c>
      <c r="Q81" s="13">
        <v>0.35087635919904575</v>
      </c>
      <c r="R81" s="13">
        <v>0.36577242694998646</v>
      </c>
      <c r="S81" s="13">
        <v>0.37709455250804208</v>
      </c>
      <c r="T81" s="13">
        <v>0.39178261416846977</v>
      </c>
      <c r="U81" s="13">
        <v>0.40350464998392882</v>
      </c>
      <c r="V81" s="13">
        <v>0.41316385041490572</v>
      </c>
      <c r="W81" s="13">
        <v>0.4225454000013979</v>
      </c>
      <c r="X81" s="13">
        <v>0.43792550385929391</v>
      </c>
      <c r="Y81" s="13">
        <v>0.45466851256110347</v>
      </c>
      <c r="Z81" s="13">
        <v>0.47291384546533866</v>
      </c>
      <c r="AA81" s="13">
        <v>0.49180137851355932</v>
      </c>
      <c r="AB81" s="13">
        <v>0.50973439804519483</v>
      </c>
      <c r="AC81" s="13">
        <v>0.52238228197115377</v>
      </c>
      <c r="AD81" s="13">
        <v>0.53506686143218107</v>
      </c>
      <c r="AE81" s="13">
        <v>0.54789535075236351</v>
      </c>
      <c r="AF81" s="13">
        <v>0.56256167589338546</v>
      </c>
      <c r="AG81" s="13">
        <v>0.5772384890337412</v>
      </c>
      <c r="AH81" s="13">
        <v>0.5949822416935675</v>
      </c>
      <c r="AI81" s="13">
        <v>0.61959436379684218</v>
      </c>
      <c r="AJ81" s="13">
        <v>0.64185513709552033</v>
      </c>
      <c r="AK81" s="13">
        <v>0.67670722457732946</v>
      </c>
      <c r="AL81" s="13">
        <v>0.70708470088158804</v>
      </c>
      <c r="AM81" s="13">
        <v>0.73496695647455001</v>
      </c>
      <c r="AN81" s="13">
        <v>0.76059224791517421</v>
      </c>
      <c r="AO81" s="13">
        <v>0.78354680816338185</v>
      </c>
      <c r="AP81" s="13">
        <v>0.80285688948745648</v>
      </c>
      <c r="AQ81" s="13">
        <v>0.82755223015285584</v>
      </c>
      <c r="AR81" s="13">
        <v>0.85704276969782389</v>
      </c>
      <c r="AS81" s="13">
        <v>0.88407128552508596</v>
      </c>
      <c r="AT81" s="13">
        <v>0.90118378269311394</v>
      </c>
      <c r="AU81" s="13">
        <v>0.91555594093860071</v>
      </c>
      <c r="AV81" s="13">
        <v>0.93056962435517343</v>
      </c>
      <c r="AW81" s="13">
        <v>0.94226081337328005</v>
      </c>
      <c r="AX81" s="13">
        <v>0.95197532613790237</v>
      </c>
      <c r="AY81" s="13">
        <v>0.96392883029452359</v>
      </c>
      <c r="AZ81" s="13">
        <v>0.98205655793845714</v>
      </c>
      <c r="BA81" s="13">
        <v>1.0013446842244216</v>
      </c>
      <c r="BB81" s="13">
        <v>1.0207260351604146</v>
      </c>
      <c r="BC81" s="13">
        <v>1.0404742117271546</v>
      </c>
      <c r="BD81" s="13">
        <v>1.0616344683196988</v>
      </c>
      <c r="BE81" s="13">
        <v>1.0835702958487581</v>
      </c>
      <c r="BF81" s="13">
        <v>1.1059565520432446</v>
      </c>
      <c r="BG81" s="13">
        <v>1.1288053019664028</v>
      </c>
      <c r="BH81" s="12">
        <v>1.152126100608009</v>
      </c>
      <c r="BI81" s="12">
        <v>1.1759287003612284</v>
      </c>
      <c r="BJ81" s="12">
        <v>1.2002230551009141</v>
      </c>
      <c r="BK81" s="12">
        <v>1.2250193243461616</v>
      </c>
      <c r="BL81" s="12">
        <v>1.2503278775088604</v>
      </c>
      <c r="BM81" s="12">
        <v>1.2761592982300212</v>
      </c>
      <c r="BN81" s="12">
        <v>1.3025243888056868</v>
      </c>
      <c r="BO81" s="12">
        <v>1.329434174704285</v>
      </c>
      <c r="BP81" s="12">
        <v>1.3568999091773069</v>
      </c>
      <c r="BQ81" s="12">
        <v>1.3849330779652398</v>
      </c>
      <c r="BR81" s="12">
        <v>1.4135454041007245</v>
      </c>
      <c r="BS81" s="12">
        <v>1.4427488528109449</v>
      </c>
      <c r="BT81" s="12">
        <v>1.472555636521298</v>
      </c>
      <c r="BU81" s="12">
        <v>1.5029782199624391</v>
      </c>
      <c r="BV81" s="12">
        <v>1.5340293253828379</v>
      </c>
      <c r="BW81" s="12">
        <v>1.5657219378690226</v>
      </c>
      <c r="BX81" s="12">
        <v>1.5980693107757418</v>
      </c>
      <c r="BY81" s="12">
        <v>1.6310849712683078</v>
      </c>
      <c r="BZ81" s="12">
        <v>1.6647827259794477</v>
      </c>
      <c r="CA81" s="12">
        <v>1.6991766667830199</v>
      </c>
      <c r="CB81" s="12">
        <v>1.7342811766870154</v>
      </c>
      <c r="CC81" s="12">
        <v>1.7701109358483074</v>
      </c>
      <c r="CD81" s="12">
        <v>1.8066809277116624</v>
      </c>
      <c r="CE81" s="12">
        <v>1.8440064452755833</v>
      </c>
      <c r="CF81" s="12">
        <v>1.8821030974876012</v>
      </c>
      <c r="CG81" s="12">
        <v>1.9209868157716936</v>
      </c>
      <c r="CH81" s="12">
        <v>1.9606738606905569</v>
      </c>
      <c r="CI81" s="12">
        <v>2.0011808287455191</v>
      </c>
      <c r="CJ81" s="12">
        <v>2.0425246593169364</v>
      </c>
      <c r="CK81" s="12">
        <v>2.0847226417479789</v>
      </c>
      <c r="CL81" s="12">
        <v>2.12779242257476</v>
      </c>
      <c r="CM81" s="12">
        <v>2.1717520129058463</v>
      </c>
      <c r="CN81" s="12">
        <v>2.2166197959542178</v>
      </c>
      <c r="CO81" s="12">
        <v>2.2624145347248414</v>
      </c>
      <c r="CP81" s="12">
        <v>2.3091553798610662</v>
      </c>
      <c r="CQ81" s="12">
        <v>2.3568618776531225</v>
      </c>
      <c r="CR81" s="12">
        <f>Inflation_weighted[[#This Row],[2060]]/Inflation_weighted[[#This Row],[2059]]*Inflation_weighted[[#This Row],[2060]]</f>
        <v>2.4055539782120743</v>
      </c>
      <c r="CS81" s="12">
        <f>Inflation_weighted[[#This Row],[2061]]/Inflation_weighted[[#This Row],[2060]]*Inflation_weighted[[#This Row],[2061]]</f>
        <v>2.4552520438126448</v>
      </c>
      <c r="CT81" s="12">
        <f>Inflation_weighted[[#This Row],[2062]]/Inflation_weighted[[#This Row],[2061]]*Inflation_weighted[[#This Row],[2062]]</f>
        <v>2.5059768574084007</v>
      </c>
      <c r="CU81" s="12">
        <f>Inflation_weighted[[#This Row],[2063]]/Inflation_weighted[[#This Row],[2062]]*Inflation_weighted[[#This Row],[2063]]</f>
        <v>2.5577496313228569</v>
      </c>
      <c r="CV81" s="12">
        <f>Inflation_weighted[[#This Row],[2064]]/Inflation_weighted[[#This Row],[2063]]*Inflation_weighted[[#This Row],[2064]]</f>
        <v>2.6105920161201408</v>
      </c>
      <c r="CW81" s="12">
        <f>Inflation_weighted[[#This Row],[2065]]/Inflation_weighted[[#This Row],[2064]]*Inflation_weighted[[#This Row],[2065]]</f>
        <v>2.664526109658917</v>
      </c>
      <c r="CX81" s="12">
        <f>Inflation_weighted[[#This Row],[2066]]/Inflation_weighted[[#This Row],[2065]]*Inflation_weighted[[#This Row],[2066]]</f>
        <v>2.7195744663333681</v>
      </c>
      <c r="CY81" s="12">
        <f>Inflation_weighted[[#This Row],[2067]]/Inflation_weighted[[#This Row],[2066]]*Inflation_weighted[[#This Row],[2067]]</f>
        <v>2.7757601065050879</v>
      </c>
      <c r="CZ81" s="12">
        <f>Inflation_weighted[[#This Row],[2068]]/Inflation_weighted[[#This Row],[2067]]*Inflation_weighted[[#This Row],[2068]]</f>
        <v>2.8331065261298383</v>
      </c>
      <c r="DA81" s="12">
        <f>Inflation_weighted[[#This Row],[2069]]/Inflation_weighted[[#This Row],[2068]]*Inflation_weighted[[#This Row],[2069]]</f>
        <v>2.8916377065831886</v>
      </c>
      <c r="DB81" s="12">
        <f>Inflation_weighted[[#This Row],[2070]]/Inflation_weighted[[#This Row],[2069]]*Inflation_weighted[[#This Row],[2070]]</f>
        <v>2.9513781246891528</v>
      </c>
      <c r="DC81" s="12">
        <f>Inflation_weighted[[#This Row],[2071]]/Inflation_weighted[[#This Row],[2070]]*Inflation_weighted[[#This Row],[2071]]</f>
        <v>3.0123527629560143</v>
      </c>
      <c r="DD81" s="12">
        <f>Inflation_weighted[[#This Row],[2072]]/Inflation_weighted[[#This Row],[2071]]*Inflation_weighted[[#This Row],[2072]]</f>
        <v>3.0745871200236197</v>
      </c>
      <c r="DE81" s="12">
        <f>Inflation_weighted[[#This Row],[2073]]/Inflation_weighted[[#This Row],[2072]]*Inflation_weighted[[#This Row],[2073]]</f>
        <v>3.1381072213265107</v>
      </c>
      <c r="DF81" s="12">
        <f>Inflation_weighted[[#This Row],[2074]]/Inflation_weighted[[#This Row],[2073]]*Inflation_weighted[[#This Row],[2074]]</f>
        <v>3.2029396299773549</v>
      </c>
      <c r="DG81" s="12">
        <f>Inflation_weighted[[#This Row],[2075]]/Inflation_weighted[[#This Row],[2074]]*Inflation_weighted[[#This Row],[2075]]</f>
        <v>3.2691114578752236</v>
      </c>
      <c r="DH81" s="12">
        <f>Inflation_weighted[[#This Row],[2076]]/Inflation_weighted[[#This Row],[2075]]*Inflation_weighted[[#This Row],[2076]]</f>
        <v>3.3366503770433624</v>
      </c>
      <c r="DI81" s="12">
        <f>Inflation_weighted[[#This Row],[2077]]/Inflation_weighted[[#This Row],[2076]]*Inflation_weighted[[#This Row],[2077]]</f>
        <v>3.4055846312012008</v>
      </c>
      <c r="DJ81" s="12">
        <f>Inflation_weighted[[#This Row],[2078]]/Inflation_weighted[[#This Row],[2077]]*Inflation_weighted[[#This Row],[2078]]</f>
        <v>3.4759430475754316</v>
      </c>
      <c r="DK81" s="12">
        <f>Inflation_weighted[[#This Row],[2079]]/Inflation_weighted[[#This Row],[2078]]*Inflation_weighted[[#This Row],[2079]]</f>
        <v>3.547755048955108</v>
      </c>
      <c r="DL81" s="12">
        <f>Inflation_weighted[[#This Row],[2080]]/Inflation_weighted[[#This Row],[2079]]*Inflation_weighted[[#This Row],[2080]]</f>
        <v>3.6210506659957922</v>
      </c>
      <c r="DM81" s="12">
        <f>Inflation_weighted[[#This Row],[2081]]/Inflation_weighted[[#This Row],[2080]]*Inflation_weighted[[#This Row],[2081]]</f>
        <v>3.6958605497779069</v>
      </c>
      <c r="DN81" s="12">
        <f>Inflation_weighted[[#This Row],[2082]]/Inflation_weighted[[#This Row],[2081]]*Inflation_weighted[[#This Row],[2082]]</f>
        <v>3.7722159846245371</v>
      </c>
      <c r="DO81" s="12">
        <f>Inflation_weighted[[#This Row],[2083]]/Inflation_weighted[[#This Row],[2082]]*Inflation_weighted[[#This Row],[2083]]</f>
        <v>3.8501489011840442</v>
      </c>
      <c r="DP81" s="12">
        <f>Inflation_weighted[[#This Row],[2084]]/Inflation_weighted[[#This Row],[2083]]*Inflation_weighted[[#This Row],[2084]]</f>
        <v>3.9296918897829642</v>
      </c>
      <c r="DQ81" s="12">
        <f>Inflation_weighted[[#This Row],[2085]]/Inflation_weighted[[#This Row],[2084]]*Inflation_weighted[[#This Row],[2085]]</f>
        <v>4.010878214054773</v>
      </c>
      <c r="DR81" s="12">
        <f>Inflation_weighted[[#This Row],[2086]]/Inflation_weighted[[#This Row],[2085]]*Inflation_weighted[[#This Row],[2086]]</f>
        <v>4.0937418248502153</v>
      </c>
      <c r="DS81" s="12">
        <f>Inflation_weighted[[#This Row],[2087]]/Inflation_weighted[[#This Row],[2086]]*Inflation_weighted[[#This Row],[2087]]</f>
        <v>4.1783173744350233</v>
      </c>
      <c r="DT81" s="12">
        <f>Inflation_weighted[[#This Row],[2088]]/Inflation_weighted[[#This Row],[2087]]*Inflation_weighted[[#This Row],[2088]]</f>
        <v>4.2646402309809464</v>
      </c>
      <c r="DU81" s="12">
        <f>Inflation_weighted[[#This Row],[2089]]/Inflation_weighted[[#This Row],[2088]]*Inflation_weighted[[#This Row],[2089]]</f>
        <v>4.3527464933561735</v>
      </c>
      <c r="DV81" s="12">
        <f>Inflation_weighted[[#This Row],[2090]]/Inflation_weighted[[#This Row],[2089]]*Inflation_weighted[[#This Row],[2090]]</f>
        <v>4.4426730062213107</v>
      </c>
      <c r="DW81" s="12">
        <f>Inflation_weighted[[#This Row],[2091]]/Inflation_weighted[[#This Row],[2090]]*Inflation_weighted[[#This Row],[2091]]</f>
        <v>4.5344573754372428</v>
      </c>
      <c r="DX81" s="12">
        <f>Inflation_weighted[[#This Row],[2092]]/Inflation_weighted[[#This Row],[2091]]*Inflation_weighted[[#This Row],[2092]]</f>
        <v>4.6281379837913175</v>
      </c>
      <c r="DY81" s="12">
        <f>Inflation_weighted[[#This Row],[2093]]/Inflation_weighted[[#This Row],[2092]]*Inflation_weighted[[#This Row],[2093]]</f>
        <v>4.7237540070484254</v>
      </c>
      <c r="DZ81" s="12">
        <f>Inflation_weighted[[#This Row],[2094]]/Inflation_weighted[[#This Row],[2093]]*Inflation_weighted[[#This Row],[2094]]</f>
        <v>4.8213454303336922</v>
      </c>
      <c r="EA81" s="12">
        <f>Inflation_weighted[[#This Row],[2095]]/Inflation_weighted[[#This Row],[2094]]*Inflation_weighted[[#This Row],[2095]]</f>
        <v>4.9209530648536326</v>
      </c>
      <c r="EB81" s="12">
        <f>Inflation_weighted[[#This Row],[2096]]/Inflation_weighted[[#This Row],[2095]]*Inflation_weighted[[#This Row],[2096]]</f>
        <v>5.0226185649627579</v>
      </c>
    </row>
    <row r="82" spans="2:132">
      <c r="B82" s="15" t="s">
        <v>30</v>
      </c>
      <c r="C82" s="15" t="s">
        <v>29</v>
      </c>
      <c r="D82" s="16">
        <v>0.15326464115763175</v>
      </c>
      <c r="E82" s="16">
        <v>0.17028024897240829</v>
      </c>
      <c r="F82" s="16">
        <v>0.19196827229516447</v>
      </c>
      <c r="G82" s="16">
        <v>0.22326905146189432</v>
      </c>
      <c r="H82" s="16">
        <v>0.25154434019954897</v>
      </c>
      <c r="I82" s="16">
        <v>0.28180200742377748</v>
      </c>
      <c r="J82" s="16">
        <v>0.30635567843511252</v>
      </c>
      <c r="K82" s="16">
        <v>0.3414702581300183</v>
      </c>
      <c r="L82" s="16">
        <v>0.34580837070040182</v>
      </c>
      <c r="M82" s="16">
        <v>0.38885195830198127</v>
      </c>
      <c r="N82" s="16">
        <v>0.40102424888660593</v>
      </c>
      <c r="O82" s="16">
        <v>0.45439032049297889</v>
      </c>
      <c r="P82" s="16">
        <v>0.4798766553946448</v>
      </c>
      <c r="Q82" s="16">
        <v>0.50338502337336388</v>
      </c>
      <c r="R82" s="16">
        <v>0.51529702924038834</v>
      </c>
      <c r="S82" s="16">
        <v>0.53087593967852476</v>
      </c>
      <c r="T82" s="16">
        <v>0.5482668736690075</v>
      </c>
      <c r="U82" s="16">
        <v>0.56850292795837054</v>
      </c>
      <c r="V82" s="16">
        <v>0.5897824762968964</v>
      </c>
      <c r="W82" s="16">
        <v>0.61499538591946734</v>
      </c>
      <c r="X82" s="16">
        <v>0.63824976960846236</v>
      </c>
      <c r="Y82" s="16">
        <v>0.65563765524246287</v>
      </c>
      <c r="Z82" s="16">
        <v>0.67100753725288576</v>
      </c>
      <c r="AA82" s="16">
        <v>0.68415065924130769</v>
      </c>
      <c r="AB82" s="16">
        <v>0.68843384742081248</v>
      </c>
      <c r="AC82" s="16">
        <v>0.70376961559799478</v>
      </c>
      <c r="AD82" s="16">
        <v>0.71333767216904087</v>
      </c>
      <c r="AE82" s="16">
        <v>0.7225412500681937</v>
      </c>
      <c r="AF82" s="16">
        <v>0.73127515080389982</v>
      </c>
      <c r="AG82" s="16">
        <v>0.74216003906598715</v>
      </c>
      <c r="AH82" s="16">
        <v>0.75003029685430489</v>
      </c>
      <c r="AI82" s="16">
        <v>0.76132403699602602</v>
      </c>
      <c r="AJ82" s="16">
        <v>0.77592022173339392</v>
      </c>
      <c r="AK82" s="16">
        <v>0.77765934054067065</v>
      </c>
      <c r="AL82" s="16">
        <v>0.80245452533871853</v>
      </c>
      <c r="AM82" s="16">
        <v>0.81932595333010505</v>
      </c>
      <c r="AN82" s="16">
        <v>0.83947253717239689</v>
      </c>
      <c r="AO82" s="16">
        <v>0.85480037695201205</v>
      </c>
      <c r="AP82" s="16">
        <v>0.87389043134705302</v>
      </c>
      <c r="AQ82" s="16">
        <v>0.88794913760748051</v>
      </c>
      <c r="AR82" s="16">
        <v>0.90082823502064169</v>
      </c>
      <c r="AS82" s="16">
        <v>0.91729114432627012</v>
      </c>
      <c r="AT82" s="16">
        <v>0.93617931844179592</v>
      </c>
      <c r="AU82" s="16">
        <v>0.95018760070099206</v>
      </c>
      <c r="AV82" s="16">
        <v>0.96411218897963225</v>
      </c>
      <c r="AW82" s="16">
        <v>0.97894499497539023</v>
      </c>
      <c r="AX82" s="16">
        <v>0.99689608578347166</v>
      </c>
      <c r="AY82" s="16">
        <v>1.0158756363279546</v>
      </c>
      <c r="AZ82" s="16">
        <v>1.036077202835771</v>
      </c>
      <c r="BA82" s="16">
        <v>1.0567987468924867</v>
      </c>
      <c r="BB82" s="16">
        <v>1.0779347218303361</v>
      </c>
      <c r="BC82" s="16">
        <v>1.0994934162669432</v>
      </c>
      <c r="BD82" s="16">
        <v>1.1214832845922824</v>
      </c>
      <c r="BE82" s="16">
        <v>1.1439129502841276</v>
      </c>
      <c r="BF82" s="16">
        <v>1.1667912092898103</v>
      </c>
      <c r="BG82" s="16">
        <v>1.1901270334756064</v>
      </c>
      <c r="BH82" s="16">
        <v>1.2139295741451186</v>
      </c>
      <c r="BI82" s="16">
        <v>1.2382081656280211</v>
      </c>
      <c r="BJ82" s="16">
        <v>1.2629723289405814</v>
      </c>
      <c r="BK82" s="16">
        <v>1.2882317755193931</v>
      </c>
      <c r="BL82" s="16">
        <v>1.313996411029781</v>
      </c>
      <c r="BM82" s="16">
        <v>1.3402763392503767</v>
      </c>
      <c r="BN82" s="16">
        <v>1.3670818660353841</v>
      </c>
      <c r="BO82" s="16">
        <v>1.3944235033560919</v>
      </c>
      <c r="BP82" s="16">
        <v>1.4223119734232137</v>
      </c>
      <c r="BQ82" s="16">
        <v>1.4507582128916781</v>
      </c>
      <c r="BR82" s="16">
        <v>1.4797733771495116</v>
      </c>
      <c r="BS82" s="16">
        <v>1.509368844692502</v>
      </c>
      <c r="BT82" s="16">
        <v>1.5395562215863521</v>
      </c>
      <c r="BU82" s="16">
        <v>1.5703473460180792</v>
      </c>
      <c r="BV82" s="16">
        <v>1.601754292938441</v>
      </c>
      <c r="BW82" s="16">
        <v>1.6337893787972098</v>
      </c>
      <c r="BX82" s="16">
        <v>1.666465166373154</v>
      </c>
      <c r="BY82" s="16">
        <v>1.6997944697006171</v>
      </c>
      <c r="BZ82" s="16">
        <v>1.7337903590946295</v>
      </c>
      <c r="CA82" s="16">
        <v>1.7684661662765222</v>
      </c>
      <c r="CB82" s="16">
        <v>1.8038354896020528</v>
      </c>
      <c r="CC82" s="16">
        <v>1.8399121993940939</v>
      </c>
      <c r="CD82" s="16">
        <v>1.8767104433819759</v>
      </c>
      <c r="CE82" s="16">
        <v>1.9142446522496155</v>
      </c>
      <c r="CF82" s="16">
        <v>1.9525295452946079</v>
      </c>
      <c r="CG82" s="16">
        <v>1.9915801362005003</v>
      </c>
      <c r="CH82" s="16">
        <v>2.0314117389245103</v>
      </c>
      <c r="CI82" s="16">
        <v>2.0720399737030006</v>
      </c>
      <c r="CJ82" s="16">
        <v>2.1134807731770606</v>
      </c>
      <c r="CK82" s="16">
        <v>2.1557503886406018</v>
      </c>
      <c r="CL82" s="16">
        <v>2.1988653964134137</v>
      </c>
      <c r="CM82" s="16">
        <v>2.2428427043416814</v>
      </c>
      <c r="CN82" s="16">
        <v>2.2876995584285154</v>
      </c>
      <c r="CO82" s="16">
        <v>2.3334535495970856</v>
      </c>
      <c r="CP82" s="16">
        <v>2.3801226205890269</v>
      </c>
      <c r="CQ82" s="16">
        <v>2.4277250730008078</v>
      </c>
      <c r="CR82" s="12">
        <f>Inflation_weighted[[#This Row],[2060]]/Inflation_weighted[[#This Row],[2059]]*Inflation_weighted[[#This Row],[2060]]</f>
        <v>2.4762795744608246</v>
      </c>
      <c r="CS82" s="12">
        <f>Inflation_weighted[[#This Row],[2061]]/Inflation_weighted[[#This Row],[2060]]*Inflation_weighted[[#This Row],[2061]]</f>
        <v>2.5258051659500418</v>
      </c>
      <c r="CT82" s="12">
        <f>Inflation_weighted[[#This Row],[2062]]/Inflation_weighted[[#This Row],[2061]]*Inflation_weighted[[#This Row],[2062]]</f>
        <v>2.5763212692690431</v>
      </c>
      <c r="CU82" s="12">
        <f>Inflation_weighted[[#This Row],[2063]]/Inflation_weighted[[#This Row],[2062]]*Inflation_weighted[[#This Row],[2063]]</f>
        <v>2.6278476946544247</v>
      </c>
      <c r="CV82" s="12">
        <f>Inflation_weighted[[#This Row],[2064]]/Inflation_weighted[[#This Row],[2063]]*Inflation_weighted[[#This Row],[2064]]</f>
        <v>2.6804046485475137</v>
      </c>
      <c r="CW82" s="12">
        <f>Inflation_weighted[[#This Row],[2065]]/Inflation_weighted[[#This Row],[2064]]*Inflation_weighted[[#This Row],[2065]]</f>
        <v>2.7340127415184647</v>
      </c>
      <c r="CX82" s="12">
        <f>Inflation_weighted[[#This Row],[2066]]/Inflation_weighted[[#This Row],[2065]]*Inflation_weighted[[#This Row],[2066]]</f>
        <v>2.7886929963488347</v>
      </c>
      <c r="CY82" s="12">
        <f>Inflation_weighted[[#This Row],[2067]]/Inflation_weighted[[#This Row],[2066]]*Inflation_weighted[[#This Row],[2067]]</f>
        <v>2.8444668562758122</v>
      </c>
      <c r="CZ82" s="12">
        <f>Inflation_weighted[[#This Row],[2068]]/Inflation_weighted[[#This Row],[2067]]*Inflation_weighted[[#This Row],[2068]]</f>
        <v>2.901356193401329</v>
      </c>
      <c r="DA82" s="12">
        <f>Inflation_weighted[[#This Row],[2069]]/Inflation_weighted[[#This Row],[2068]]*Inflation_weighted[[#This Row],[2069]]</f>
        <v>2.9593833172693564</v>
      </c>
      <c r="DB82" s="12">
        <f>Inflation_weighted[[#This Row],[2070]]/Inflation_weighted[[#This Row],[2069]]*Inflation_weighted[[#This Row],[2070]]</f>
        <v>3.0185709836147443</v>
      </c>
      <c r="DC82" s="12">
        <f>Inflation_weighted[[#This Row],[2071]]/Inflation_weighted[[#This Row],[2070]]*Inflation_weighted[[#This Row],[2071]]</f>
        <v>3.0789424032870398</v>
      </c>
      <c r="DD82" s="12">
        <f>Inflation_weighted[[#This Row],[2072]]/Inflation_weighted[[#This Row],[2071]]*Inflation_weighted[[#This Row],[2072]]</f>
        <v>3.1405212513527814</v>
      </c>
      <c r="DE82" s="12">
        <f>Inflation_weighted[[#This Row],[2073]]/Inflation_weighted[[#This Row],[2072]]*Inflation_weighted[[#This Row],[2073]]</f>
        <v>3.2033316763798378</v>
      </c>
      <c r="DF82" s="12">
        <f>Inflation_weighted[[#This Row],[2074]]/Inflation_weighted[[#This Row],[2073]]*Inflation_weighted[[#This Row],[2074]]</f>
        <v>3.2673983099074353</v>
      </c>
      <c r="DG82" s="12">
        <f>Inflation_weighted[[#This Row],[2075]]/Inflation_weighted[[#This Row],[2074]]*Inflation_weighted[[#This Row],[2075]]</f>
        <v>3.3327462761055848</v>
      </c>
      <c r="DH82" s="12">
        <f>Inflation_weighted[[#This Row],[2076]]/Inflation_weighted[[#This Row],[2075]]*Inflation_weighted[[#This Row],[2076]]</f>
        <v>3.3994012016276973</v>
      </c>
      <c r="DI82" s="12">
        <f>Inflation_weighted[[#This Row],[2077]]/Inflation_weighted[[#This Row],[2076]]*Inflation_weighted[[#This Row],[2077]]</f>
        <v>3.4673892256602521</v>
      </c>
      <c r="DJ82" s="12">
        <f>Inflation_weighted[[#This Row],[2078]]/Inflation_weighted[[#This Row],[2077]]*Inflation_weighted[[#This Row],[2078]]</f>
        <v>3.5367370101734581</v>
      </c>
      <c r="DK82" s="12">
        <f>Inflation_weighted[[#This Row],[2079]]/Inflation_weighted[[#This Row],[2078]]*Inflation_weighted[[#This Row],[2079]]</f>
        <v>3.607471750376928</v>
      </c>
      <c r="DL82" s="12">
        <f>Inflation_weighted[[#This Row],[2080]]/Inflation_weighted[[#This Row],[2079]]*Inflation_weighted[[#This Row],[2080]]</f>
        <v>3.6796211853844674</v>
      </c>
      <c r="DM82" s="12">
        <f>Inflation_weighted[[#This Row],[2081]]/Inflation_weighted[[#This Row],[2080]]*Inflation_weighted[[#This Row],[2081]]</f>
        <v>3.7532136090921577</v>
      </c>
      <c r="DN82" s="12">
        <f>Inflation_weighted[[#This Row],[2082]]/Inflation_weighted[[#This Row],[2081]]*Inflation_weighted[[#This Row],[2082]]</f>
        <v>3.8282778812740017</v>
      </c>
      <c r="DO82" s="12">
        <f>Inflation_weighted[[#This Row],[2083]]/Inflation_weighted[[#This Row],[2082]]*Inflation_weighted[[#This Row],[2083]]</f>
        <v>3.9048434388994826</v>
      </c>
      <c r="DP82" s="12">
        <f>Inflation_weighted[[#This Row],[2084]]/Inflation_weighted[[#This Row],[2083]]*Inflation_weighted[[#This Row],[2084]]</f>
        <v>3.982940307677473</v>
      </c>
      <c r="DQ82" s="12">
        <f>Inflation_weighted[[#This Row],[2085]]/Inflation_weighted[[#This Row],[2084]]*Inflation_weighted[[#This Row],[2085]]</f>
        <v>4.0625991138310233</v>
      </c>
      <c r="DR82" s="12">
        <f>Inflation_weighted[[#This Row],[2086]]/Inflation_weighted[[#This Row],[2085]]*Inflation_weighted[[#This Row],[2086]]</f>
        <v>4.1438510961076451</v>
      </c>
      <c r="DS82" s="12">
        <f>Inflation_weighted[[#This Row],[2087]]/Inflation_weighted[[#This Row],[2086]]*Inflation_weighted[[#This Row],[2087]]</f>
        <v>4.2267281180297989</v>
      </c>
      <c r="DT82" s="12">
        <f>Inflation_weighted[[#This Row],[2088]]/Inflation_weighted[[#This Row],[2087]]*Inflation_weighted[[#This Row],[2088]]</f>
        <v>4.3112626803903957</v>
      </c>
      <c r="DU82" s="12">
        <f>Inflation_weighted[[#This Row],[2089]]/Inflation_weighted[[#This Row],[2088]]*Inflation_weighted[[#This Row],[2089]]</f>
        <v>4.3974879339982049</v>
      </c>
      <c r="DV82" s="12">
        <f>Inflation_weighted[[#This Row],[2090]]/Inflation_weighted[[#This Row],[2089]]*Inflation_weighted[[#This Row],[2090]]</f>
        <v>4.4854376926781701</v>
      </c>
      <c r="DW82" s="12">
        <f>Inflation_weighted[[#This Row],[2091]]/Inflation_weighted[[#This Row],[2090]]*Inflation_weighted[[#This Row],[2091]]</f>
        <v>4.5751464465317344</v>
      </c>
      <c r="DX82" s="12">
        <f>Inflation_weighted[[#This Row],[2092]]/Inflation_weighted[[#This Row],[2091]]*Inflation_weighted[[#This Row],[2092]]</f>
        <v>4.6666493754623701</v>
      </c>
      <c r="DY82" s="12">
        <f>Inflation_weighted[[#This Row],[2093]]/Inflation_weighted[[#This Row],[2092]]*Inflation_weighted[[#This Row],[2093]]</f>
        <v>4.7599823629716189</v>
      </c>
      <c r="DZ82" s="12">
        <f>Inflation_weighted[[#This Row],[2094]]/Inflation_weighted[[#This Row],[2093]]*Inflation_weighted[[#This Row],[2094]]</f>
        <v>4.8551820102310526</v>
      </c>
      <c r="EA82" s="12">
        <f>Inflation_weighted[[#This Row],[2095]]/Inflation_weighted[[#This Row],[2094]]*Inflation_weighted[[#This Row],[2095]]</f>
        <v>4.9522856504356749</v>
      </c>
      <c r="EB82" s="12">
        <f>Inflation_weighted[[#This Row],[2096]]/Inflation_weighted[[#This Row],[2095]]*Inflation_weighted[[#This Row],[2096]]</f>
        <v>5.0513313634443895</v>
      </c>
    </row>
    <row r="83" spans="2:132">
      <c r="B83" s="15" t="s">
        <v>28</v>
      </c>
      <c r="C83" s="14" t="s">
        <v>27</v>
      </c>
      <c r="D83" s="13">
        <v>0.1789582600875573</v>
      </c>
      <c r="E83" s="13">
        <v>0.18693202799831146</v>
      </c>
      <c r="F83" s="13">
        <v>0.19625399083519371</v>
      </c>
      <c r="G83" s="13">
        <v>0.20724893798314806</v>
      </c>
      <c r="H83" s="13">
        <v>0.22414087927430901</v>
      </c>
      <c r="I83" s="13">
        <v>0.23812220336123099</v>
      </c>
      <c r="J83" s="13">
        <v>0.25641579649032048</v>
      </c>
      <c r="K83" s="13">
        <v>0.26855027589816127</v>
      </c>
      <c r="L83" s="13">
        <v>0.28444448852031717</v>
      </c>
      <c r="M83" s="13">
        <v>0.318039197704924</v>
      </c>
      <c r="N83" s="13">
        <v>0.35049802095938992</v>
      </c>
      <c r="O83" s="13">
        <v>0.38612678865536387</v>
      </c>
      <c r="P83" s="13">
        <v>0.43072739351335826</v>
      </c>
      <c r="Q83" s="13">
        <v>0.46765362824009415</v>
      </c>
      <c r="R83" s="13">
        <v>0.49455941279750737</v>
      </c>
      <c r="S83" s="13">
        <v>0.51458622211395155</v>
      </c>
      <c r="T83" s="13">
        <v>0.52964900257202696</v>
      </c>
      <c r="U83" s="13">
        <v>0.54798961830825066</v>
      </c>
      <c r="V83" s="13">
        <v>0.56778683426396948</v>
      </c>
      <c r="W83" s="13">
        <v>0.5900613859331737</v>
      </c>
      <c r="X83" s="13">
        <v>0.61322248557431314</v>
      </c>
      <c r="Y83" s="13">
        <v>0.63441303295165896</v>
      </c>
      <c r="Z83" s="13">
        <v>0.65044356483099663</v>
      </c>
      <c r="AA83" s="13">
        <v>0.66689888688915999</v>
      </c>
      <c r="AB83" s="13">
        <v>0.6791225972617696</v>
      </c>
      <c r="AC83" s="13">
        <v>0.69242340290170346</v>
      </c>
      <c r="AD83" s="13">
        <v>0.70344927582097383</v>
      </c>
      <c r="AE83" s="13">
        <v>0.71219358159846413</v>
      </c>
      <c r="AF83" s="13">
        <v>0.71932434118602351</v>
      </c>
      <c r="AG83" s="13">
        <v>0.72775467454355414</v>
      </c>
      <c r="AH83" s="13">
        <v>0.73685125108886906</v>
      </c>
      <c r="AI83" s="13">
        <v>0.74672285958628082</v>
      </c>
      <c r="AJ83" s="13">
        <v>0.75629426169071745</v>
      </c>
      <c r="AK83" s="13">
        <v>0.76427526528305778</v>
      </c>
      <c r="AL83" s="13">
        <v>0.77998785479193289</v>
      </c>
      <c r="AM83" s="13">
        <v>0.80315072996966541</v>
      </c>
      <c r="AN83" s="13">
        <v>0.82533563166859025</v>
      </c>
      <c r="AO83" s="13">
        <v>0.84605961298204868</v>
      </c>
      <c r="AP83" s="13">
        <v>0.86447972486573754</v>
      </c>
      <c r="AQ83" s="13">
        <v>0.87815880919827782</v>
      </c>
      <c r="AR83" s="13">
        <v>0.89077534702579053</v>
      </c>
      <c r="AS83" s="13">
        <v>0.90598702182622648</v>
      </c>
      <c r="AT83" s="13">
        <v>0.92333219876894046</v>
      </c>
      <c r="AU83" s="13">
        <v>0.93724027968726975</v>
      </c>
      <c r="AV83" s="13">
        <v>0.95063332367862619</v>
      </c>
      <c r="AW83" s="13">
        <v>0.96389639399329197</v>
      </c>
      <c r="AX83" s="13">
        <v>0.97936691065796633</v>
      </c>
      <c r="AY83" s="13">
        <v>0.99697385945356065</v>
      </c>
      <c r="AZ83" s="13">
        <v>1.0165618598362831</v>
      </c>
      <c r="BA83" s="13">
        <v>1.0368930970330088</v>
      </c>
      <c r="BB83" s="13">
        <v>1.0576309589736688</v>
      </c>
      <c r="BC83" s="13">
        <v>1.0787835781531425</v>
      </c>
      <c r="BD83" s="13">
        <v>1.1003592497162056</v>
      </c>
      <c r="BE83" s="13">
        <v>1.1223664347105298</v>
      </c>
      <c r="BF83" s="13">
        <v>1.1448137634047404</v>
      </c>
      <c r="BG83" s="13">
        <v>1.167710038672835</v>
      </c>
      <c r="BH83" s="12">
        <v>1.1910642394462918</v>
      </c>
      <c r="BI83" s="12">
        <v>1.2148855242352177</v>
      </c>
      <c r="BJ83" s="12">
        <v>1.2391832347199221</v>
      </c>
      <c r="BK83" s="12">
        <v>1.2639668994143205</v>
      </c>
      <c r="BL83" s="12">
        <v>1.289246237402607</v>
      </c>
      <c r="BM83" s="12">
        <v>1.3150311621506592</v>
      </c>
      <c r="BN83" s="12">
        <v>1.3413317853936724</v>
      </c>
      <c r="BO83" s="12">
        <v>1.3681584211015458</v>
      </c>
      <c r="BP83" s="12">
        <v>1.3955215895235766</v>
      </c>
      <c r="BQ83" s="12">
        <v>1.4234320213140483</v>
      </c>
      <c r="BR83" s="12">
        <v>1.4519006617403294</v>
      </c>
      <c r="BS83" s="12">
        <v>1.4809386749751361</v>
      </c>
      <c r="BT83" s="12">
        <v>1.5105574484746387</v>
      </c>
      <c r="BU83" s="12">
        <v>1.5407685974441316</v>
      </c>
      <c r="BV83" s="12">
        <v>1.5715839693930143</v>
      </c>
      <c r="BW83" s="12">
        <v>1.6030156487808747</v>
      </c>
      <c r="BX83" s="12">
        <v>1.6350759617564923</v>
      </c>
      <c r="BY83" s="12">
        <v>1.6677774809916222</v>
      </c>
      <c r="BZ83" s="12">
        <v>1.7011330306114547</v>
      </c>
      <c r="CA83" s="12">
        <v>1.7351556912236838</v>
      </c>
      <c r="CB83" s="12">
        <v>1.7698588050481576</v>
      </c>
      <c r="CC83" s="12">
        <v>1.8052559811491209</v>
      </c>
      <c r="CD83" s="12">
        <v>1.8413611007721034</v>
      </c>
      <c r="CE83" s="12">
        <v>1.8781883227875455</v>
      </c>
      <c r="CF83" s="12">
        <v>1.9157520892432962</v>
      </c>
      <c r="CG83" s="12">
        <v>1.9540671310281621</v>
      </c>
      <c r="CH83" s="12">
        <v>1.9931484736487253</v>
      </c>
      <c r="CI83" s="12">
        <v>2.0330114431216999</v>
      </c>
      <c r="CJ83" s="12">
        <v>2.0736716719841342</v>
      </c>
      <c r="CK83" s="12">
        <v>2.1151451054238168</v>
      </c>
      <c r="CL83" s="12">
        <v>2.157448007532293</v>
      </c>
      <c r="CM83" s="12">
        <v>2.2005969676829391</v>
      </c>
      <c r="CN83" s="12">
        <v>2.2446089070365978</v>
      </c>
      <c r="CO83" s="12">
        <v>2.2895010851773296</v>
      </c>
      <c r="CP83" s="12">
        <v>2.3352911068808764</v>
      </c>
      <c r="CQ83" s="12">
        <v>2.3819969290184941</v>
      </c>
      <c r="CR83" s="12">
        <f>Inflation_weighted[[#This Row],[2060]]/Inflation_weighted[[#This Row],[2059]]*Inflation_weighted[[#This Row],[2060]]</f>
        <v>2.4296368675988642</v>
      </c>
      <c r="CS83" s="12">
        <f>Inflation_weighted[[#This Row],[2061]]/Inflation_weighted[[#This Row],[2060]]*Inflation_weighted[[#This Row],[2061]]</f>
        <v>2.4782296049508417</v>
      </c>
      <c r="CT83" s="12">
        <f>Inflation_weighted[[#This Row],[2062]]/Inflation_weighted[[#This Row],[2061]]*Inflation_weighted[[#This Row],[2062]]</f>
        <v>2.5277941970498587</v>
      </c>
      <c r="CU83" s="12">
        <f>Inflation_weighted[[#This Row],[2063]]/Inflation_weighted[[#This Row],[2062]]*Inflation_weighted[[#This Row],[2063]]</f>
        <v>2.5783500809908562</v>
      </c>
      <c r="CV83" s="12">
        <f>Inflation_weighted[[#This Row],[2064]]/Inflation_weighted[[#This Row],[2063]]*Inflation_weighted[[#This Row],[2064]]</f>
        <v>2.6299170826106733</v>
      </c>
      <c r="CW83" s="12">
        <f>Inflation_weighted[[#This Row],[2065]]/Inflation_weighted[[#This Row],[2064]]*Inflation_weighted[[#This Row],[2065]]</f>
        <v>2.6825154242628866</v>
      </c>
      <c r="CX83" s="12">
        <f>Inflation_weighted[[#This Row],[2066]]/Inflation_weighted[[#This Row],[2065]]*Inflation_weighted[[#This Row],[2066]]</f>
        <v>2.7361657327481446</v>
      </c>
      <c r="CY83" s="12">
        <f>Inflation_weighted[[#This Row],[2067]]/Inflation_weighted[[#This Row],[2066]]*Inflation_weighted[[#This Row],[2067]]</f>
        <v>2.7908890474031076</v>
      </c>
      <c r="CZ83" s="12">
        <f>Inflation_weighted[[#This Row],[2068]]/Inflation_weighted[[#This Row],[2067]]*Inflation_weighted[[#This Row],[2068]]</f>
        <v>2.8467068283511696</v>
      </c>
      <c r="DA83" s="12">
        <f>Inflation_weighted[[#This Row],[2069]]/Inflation_weighted[[#This Row],[2068]]*Inflation_weighted[[#This Row],[2069]]</f>
        <v>2.9036409649181931</v>
      </c>
      <c r="DB83" s="12">
        <f>Inflation_weighted[[#This Row],[2070]]/Inflation_weighted[[#This Row],[2069]]*Inflation_weighted[[#This Row],[2070]]</f>
        <v>2.9617137842165571</v>
      </c>
      <c r="DC83" s="12">
        <f>Inflation_weighted[[#This Row],[2071]]/Inflation_weighted[[#This Row],[2070]]*Inflation_weighted[[#This Row],[2071]]</f>
        <v>3.0209480599008884</v>
      </c>
      <c r="DD83" s="12">
        <f>Inflation_weighted[[#This Row],[2072]]/Inflation_weighted[[#This Row],[2071]]*Inflation_weighted[[#This Row],[2072]]</f>
        <v>3.0813670210989064</v>
      </c>
      <c r="DE83" s="12">
        <f>Inflation_weighted[[#This Row],[2073]]/Inflation_weighted[[#This Row],[2072]]*Inflation_weighted[[#This Row],[2073]]</f>
        <v>3.1429943615208846</v>
      </c>
      <c r="DF83" s="12">
        <f>Inflation_weighted[[#This Row],[2074]]/Inflation_weighted[[#This Row],[2073]]*Inflation_weighted[[#This Row],[2074]]</f>
        <v>3.2058542487513022</v>
      </c>
      <c r="DG83" s="12">
        <f>Inflation_weighted[[#This Row],[2075]]/Inflation_weighted[[#This Row],[2074]]*Inflation_weighted[[#This Row],[2075]]</f>
        <v>3.2699713337263283</v>
      </c>
      <c r="DH83" s="12">
        <f>Inflation_weighted[[#This Row],[2076]]/Inflation_weighted[[#This Row],[2075]]*Inflation_weighted[[#This Row],[2076]]</f>
        <v>3.3353707604008549</v>
      </c>
      <c r="DI83" s="12">
        <f>Inflation_weighted[[#This Row],[2077]]/Inflation_weighted[[#This Row],[2076]]*Inflation_weighted[[#This Row],[2077]]</f>
        <v>3.4020781756088723</v>
      </c>
      <c r="DJ83" s="12">
        <f>Inflation_weighted[[#This Row],[2078]]/Inflation_weighted[[#This Row],[2077]]*Inflation_weighted[[#This Row],[2078]]</f>
        <v>3.4701197391210497</v>
      </c>
      <c r="DK83" s="12">
        <f>Inflation_weighted[[#This Row],[2079]]/Inflation_weighted[[#This Row],[2078]]*Inflation_weighted[[#This Row],[2079]]</f>
        <v>3.5395221339034708</v>
      </c>
      <c r="DL83" s="12">
        <f>Inflation_weighted[[#This Row],[2080]]/Inflation_weighted[[#This Row],[2079]]*Inflation_weighted[[#This Row],[2080]]</f>
        <v>3.6103125765815403</v>
      </c>
      <c r="DM83" s="12">
        <f>Inflation_weighted[[#This Row],[2081]]/Inflation_weighted[[#This Row],[2080]]*Inflation_weighted[[#This Row],[2081]]</f>
        <v>3.6825188281131713</v>
      </c>
      <c r="DN83" s="12">
        <f>Inflation_weighted[[#This Row],[2082]]/Inflation_weighted[[#This Row],[2081]]*Inflation_weighted[[#This Row],[2082]]</f>
        <v>3.7561692046754347</v>
      </c>
      <c r="DO83" s="12">
        <f>Inflation_weighted[[#This Row],[2083]]/Inflation_weighted[[#This Row],[2082]]*Inflation_weighted[[#This Row],[2083]]</f>
        <v>3.8312925887689433</v>
      </c>
      <c r="DP83" s="12">
        <f>Inflation_weighted[[#This Row],[2084]]/Inflation_weighted[[#This Row],[2083]]*Inflation_weighted[[#This Row],[2084]]</f>
        <v>3.9079184405443224</v>
      </c>
      <c r="DQ83" s="12">
        <f>Inflation_weighted[[#This Row],[2085]]/Inflation_weighted[[#This Row],[2084]]*Inflation_weighted[[#This Row],[2085]]</f>
        <v>3.9860768093552088</v>
      </c>
      <c r="DR83" s="12">
        <f>Inflation_weighted[[#This Row],[2086]]/Inflation_weighted[[#This Row],[2085]]*Inflation_weighted[[#This Row],[2086]]</f>
        <v>4.065798345542313</v>
      </c>
      <c r="DS83" s="12">
        <f>Inflation_weighted[[#This Row],[2087]]/Inflation_weighted[[#This Row],[2086]]*Inflation_weighted[[#This Row],[2087]]</f>
        <v>4.1471143124531595</v>
      </c>
      <c r="DT83" s="12">
        <f>Inflation_weighted[[#This Row],[2088]]/Inflation_weighted[[#This Row],[2087]]*Inflation_weighted[[#This Row],[2088]]</f>
        <v>4.2300565987022232</v>
      </c>
      <c r="DU83" s="12">
        <f>Inflation_weighted[[#This Row],[2089]]/Inflation_weighted[[#This Row],[2088]]*Inflation_weighted[[#This Row],[2089]]</f>
        <v>4.3146577306762675</v>
      </c>
      <c r="DV83" s="12">
        <f>Inflation_weighted[[#This Row],[2090]]/Inflation_weighted[[#This Row],[2089]]*Inflation_weighted[[#This Row],[2090]]</f>
        <v>4.4009508852897925</v>
      </c>
      <c r="DW83" s="12">
        <f>Inflation_weighted[[#This Row],[2091]]/Inflation_weighted[[#This Row],[2090]]*Inflation_weighted[[#This Row],[2091]]</f>
        <v>4.4889699029955885</v>
      </c>
      <c r="DX83" s="12">
        <f>Inflation_weighted[[#This Row],[2092]]/Inflation_weighted[[#This Row],[2091]]*Inflation_weighted[[#This Row],[2092]]</f>
        <v>4.5787493010555007</v>
      </c>
      <c r="DY83" s="12">
        <f>Inflation_weighted[[#This Row],[2093]]/Inflation_weighted[[#This Row],[2092]]*Inflation_weighted[[#This Row],[2093]]</f>
        <v>4.6703242870766104</v>
      </c>
      <c r="DZ83" s="12">
        <f>Inflation_weighted[[#This Row],[2094]]/Inflation_weighted[[#This Row],[2093]]*Inflation_weighted[[#This Row],[2094]]</f>
        <v>4.7637307728181426</v>
      </c>
      <c r="EA83" s="12">
        <f>Inflation_weighted[[#This Row],[2095]]/Inflation_weighted[[#This Row],[2094]]*Inflation_weighted[[#This Row],[2095]]</f>
        <v>4.8590053882745057</v>
      </c>
      <c r="EB83" s="12">
        <f>Inflation_weighted[[#This Row],[2096]]/Inflation_weighted[[#This Row],[2095]]*Inflation_weighted[[#This Row],[2096]]</f>
        <v>4.9561854960399963</v>
      </c>
    </row>
    <row r="84" spans="2:132">
      <c r="B84" s="15"/>
      <c r="C84" s="14" t="s">
        <v>26</v>
      </c>
      <c r="D84" s="13">
        <v>1</v>
      </c>
      <c r="E84" s="13">
        <v>1</v>
      </c>
      <c r="F84" s="13">
        <v>1</v>
      </c>
      <c r="G84" s="13">
        <v>1</v>
      </c>
      <c r="H84" s="13">
        <v>1</v>
      </c>
      <c r="I84" s="13">
        <v>1</v>
      </c>
      <c r="J84" s="13">
        <v>1</v>
      </c>
      <c r="K84" s="13">
        <v>1</v>
      </c>
      <c r="L84" s="13">
        <v>1</v>
      </c>
      <c r="M84" s="13">
        <v>1</v>
      </c>
      <c r="N84" s="13">
        <v>1</v>
      </c>
      <c r="O84" s="13">
        <v>1</v>
      </c>
      <c r="P84" s="13">
        <v>1</v>
      </c>
      <c r="Q84" s="13">
        <v>1</v>
      </c>
      <c r="R84" s="13">
        <v>1</v>
      </c>
      <c r="S84" s="13">
        <v>1</v>
      </c>
      <c r="T84" s="13">
        <v>1</v>
      </c>
      <c r="U84" s="13">
        <v>1</v>
      </c>
      <c r="V84" s="13">
        <v>1</v>
      </c>
      <c r="W84" s="13">
        <v>1</v>
      </c>
      <c r="X84" s="13">
        <v>1</v>
      </c>
      <c r="Y84" s="13">
        <v>1</v>
      </c>
      <c r="Z84" s="13">
        <v>1</v>
      </c>
      <c r="AA84" s="13">
        <v>1</v>
      </c>
      <c r="AB84" s="13">
        <v>1</v>
      </c>
      <c r="AC84" s="13">
        <v>1</v>
      </c>
      <c r="AD84" s="13">
        <v>1</v>
      </c>
      <c r="AE84" s="13">
        <v>1</v>
      </c>
      <c r="AF84" s="13">
        <v>1</v>
      </c>
      <c r="AG84" s="13">
        <v>1</v>
      </c>
      <c r="AH84" s="13">
        <v>1</v>
      </c>
      <c r="AI84" s="13">
        <v>1</v>
      </c>
      <c r="AJ84" s="13">
        <v>1</v>
      </c>
      <c r="AK84" s="13">
        <v>1</v>
      </c>
      <c r="AL84" s="13">
        <v>1</v>
      </c>
      <c r="AM84" s="13">
        <v>1</v>
      </c>
      <c r="AN84" s="13">
        <v>1</v>
      </c>
      <c r="AO84" s="13">
        <v>1</v>
      </c>
      <c r="AP84" s="13">
        <v>1</v>
      </c>
      <c r="AQ84" s="13">
        <v>1</v>
      </c>
      <c r="AR84" s="13">
        <v>1</v>
      </c>
      <c r="AS84" s="13">
        <v>1</v>
      </c>
      <c r="AT84" s="13">
        <v>1</v>
      </c>
      <c r="AU84" s="13">
        <v>1</v>
      </c>
      <c r="AV84" s="13">
        <v>1</v>
      </c>
      <c r="AW84" s="13">
        <v>1</v>
      </c>
      <c r="AX84" s="13">
        <v>1</v>
      </c>
      <c r="AY84" s="13">
        <v>1</v>
      </c>
      <c r="AZ84" s="13">
        <v>1</v>
      </c>
      <c r="BA84" s="13">
        <v>1</v>
      </c>
      <c r="BB84" s="13">
        <v>1</v>
      </c>
      <c r="BC84" s="13">
        <v>1</v>
      </c>
      <c r="BD84" s="13">
        <v>1</v>
      </c>
      <c r="BE84" s="13">
        <v>1</v>
      </c>
      <c r="BF84" s="13">
        <v>1</v>
      </c>
      <c r="BG84" s="13">
        <v>1</v>
      </c>
      <c r="BH84" s="12">
        <v>1</v>
      </c>
      <c r="BI84" s="12">
        <v>1</v>
      </c>
      <c r="BJ84" s="12">
        <v>1</v>
      </c>
      <c r="BK84" s="12">
        <v>1</v>
      </c>
      <c r="BL84" s="12">
        <v>1</v>
      </c>
      <c r="BM84" s="12">
        <v>1</v>
      </c>
      <c r="BN84" s="12">
        <v>1</v>
      </c>
      <c r="BO84" s="12">
        <v>1</v>
      </c>
      <c r="BP84" s="12">
        <v>1</v>
      </c>
      <c r="BQ84" s="12">
        <v>1</v>
      </c>
      <c r="BR84" s="12">
        <v>1</v>
      </c>
      <c r="BS84" s="12">
        <v>1</v>
      </c>
      <c r="BT84" s="12">
        <v>1</v>
      </c>
      <c r="BU84" s="12">
        <v>1</v>
      </c>
      <c r="BV84" s="12">
        <v>1</v>
      </c>
      <c r="BW84" s="12">
        <v>1</v>
      </c>
      <c r="BX84" s="12">
        <v>1</v>
      </c>
      <c r="BY84" s="12">
        <v>1</v>
      </c>
      <c r="BZ84" s="12">
        <v>1</v>
      </c>
      <c r="CA84" s="12">
        <v>1</v>
      </c>
      <c r="CB84" s="12">
        <v>1</v>
      </c>
      <c r="CC84" s="12">
        <v>1</v>
      </c>
      <c r="CD84" s="12">
        <v>1</v>
      </c>
      <c r="CE84" s="12">
        <v>1</v>
      </c>
      <c r="CF84" s="12">
        <v>1</v>
      </c>
      <c r="CG84" s="12">
        <v>1</v>
      </c>
      <c r="CH84" s="12">
        <v>1</v>
      </c>
      <c r="CI84" s="12">
        <v>1</v>
      </c>
      <c r="CJ84" s="12">
        <v>1</v>
      </c>
      <c r="CK84" s="12">
        <v>1</v>
      </c>
      <c r="CL84" s="12">
        <v>1</v>
      </c>
      <c r="CM84" s="12">
        <v>1</v>
      </c>
      <c r="CN84" s="12">
        <v>1</v>
      </c>
      <c r="CO84" s="12">
        <v>1</v>
      </c>
      <c r="CP84" s="12">
        <v>1</v>
      </c>
      <c r="CQ84" s="12">
        <v>1</v>
      </c>
      <c r="CR84" s="12">
        <f>Inflation_weighted[[#This Row],[2060]]/Inflation_weighted[[#This Row],[2059]]*Inflation_weighted[[#This Row],[2060]]</f>
        <v>1</v>
      </c>
      <c r="CS84" s="12">
        <f>Inflation_weighted[[#This Row],[2061]]/Inflation_weighted[[#This Row],[2060]]*Inflation_weighted[[#This Row],[2061]]</f>
        <v>1</v>
      </c>
      <c r="CT84" s="12">
        <f>Inflation_weighted[[#This Row],[2062]]/Inflation_weighted[[#This Row],[2061]]*Inflation_weighted[[#This Row],[2062]]</f>
        <v>1</v>
      </c>
      <c r="CU84" s="12">
        <f>Inflation_weighted[[#This Row],[2063]]/Inflation_weighted[[#This Row],[2062]]*Inflation_weighted[[#This Row],[2063]]</f>
        <v>1</v>
      </c>
      <c r="CV84" s="12">
        <f>Inflation_weighted[[#This Row],[2064]]/Inflation_weighted[[#This Row],[2063]]*Inflation_weighted[[#This Row],[2064]]</f>
        <v>1</v>
      </c>
      <c r="CW84" s="12">
        <f>Inflation_weighted[[#This Row],[2065]]/Inflation_weighted[[#This Row],[2064]]*Inflation_weighted[[#This Row],[2065]]</f>
        <v>1</v>
      </c>
      <c r="CX84" s="12">
        <f>Inflation_weighted[[#This Row],[2066]]/Inflation_weighted[[#This Row],[2065]]*Inflation_weighted[[#This Row],[2066]]</f>
        <v>1</v>
      </c>
      <c r="CY84" s="12">
        <f>Inflation_weighted[[#This Row],[2067]]/Inflation_weighted[[#This Row],[2066]]*Inflation_weighted[[#This Row],[2067]]</f>
        <v>1</v>
      </c>
      <c r="CZ84" s="12">
        <f>Inflation_weighted[[#This Row],[2068]]/Inflation_weighted[[#This Row],[2067]]*Inflation_weighted[[#This Row],[2068]]</f>
        <v>1</v>
      </c>
      <c r="DA84" s="12">
        <f>Inflation_weighted[[#This Row],[2069]]/Inflation_weighted[[#This Row],[2068]]*Inflation_weighted[[#This Row],[2069]]</f>
        <v>1</v>
      </c>
      <c r="DB84" s="12">
        <f>Inflation_weighted[[#This Row],[2070]]/Inflation_weighted[[#This Row],[2069]]*Inflation_weighted[[#This Row],[2070]]</f>
        <v>1</v>
      </c>
      <c r="DC84" s="12">
        <f>Inflation_weighted[[#This Row],[2071]]/Inflation_weighted[[#This Row],[2070]]*Inflation_weighted[[#This Row],[2071]]</f>
        <v>1</v>
      </c>
      <c r="DD84" s="12">
        <f>Inflation_weighted[[#This Row],[2072]]/Inflation_weighted[[#This Row],[2071]]*Inflation_weighted[[#This Row],[2072]]</f>
        <v>1</v>
      </c>
      <c r="DE84" s="12">
        <f>Inflation_weighted[[#This Row],[2073]]/Inflation_weighted[[#This Row],[2072]]*Inflation_weighted[[#This Row],[2073]]</f>
        <v>1</v>
      </c>
      <c r="DF84" s="12">
        <f>Inflation_weighted[[#This Row],[2074]]/Inflation_weighted[[#This Row],[2073]]*Inflation_weighted[[#This Row],[2074]]</f>
        <v>1</v>
      </c>
      <c r="DG84" s="12">
        <f>Inflation_weighted[[#This Row],[2075]]/Inflation_weighted[[#This Row],[2074]]*Inflation_weighted[[#This Row],[2075]]</f>
        <v>1</v>
      </c>
      <c r="DH84" s="12">
        <f>Inflation_weighted[[#This Row],[2076]]/Inflation_weighted[[#This Row],[2075]]*Inflation_weighted[[#This Row],[2076]]</f>
        <v>1</v>
      </c>
      <c r="DI84" s="12">
        <f>Inflation_weighted[[#This Row],[2077]]/Inflation_weighted[[#This Row],[2076]]*Inflation_weighted[[#This Row],[2077]]</f>
        <v>1</v>
      </c>
      <c r="DJ84" s="12">
        <f>Inflation_weighted[[#This Row],[2078]]/Inflation_weighted[[#This Row],[2077]]*Inflation_weighted[[#This Row],[2078]]</f>
        <v>1</v>
      </c>
      <c r="DK84" s="12">
        <f>Inflation_weighted[[#This Row],[2079]]/Inflation_weighted[[#This Row],[2078]]*Inflation_weighted[[#This Row],[2079]]</f>
        <v>1</v>
      </c>
      <c r="DL84" s="12">
        <f>Inflation_weighted[[#This Row],[2080]]/Inflation_weighted[[#This Row],[2079]]*Inflation_weighted[[#This Row],[2080]]</f>
        <v>1</v>
      </c>
      <c r="DM84" s="12">
        <f>Inflation_weighted[[#This Row],[2081]]/Inflation_weighted[[#This Row],[2080]]*Inflation_weighted[[#This Row],[2081]]</f>
        <v>1</v>
      </c>
      <c r="DN84" s="12">
        <f>Inflation_weighted[[#This Row],[2082]]/Inflation_weighted[[#This Row],[2081]]*Inflation_weighted[[#This Row],[2082]]</f>
        <v>1</v>
      </c>
      <c r="DO84" s="12">
        <f>Inflation_weighted[[#This Row],[2083]]/Inflation_weighted[[#This Row],[2082]]*Inflation_weighted[[#This Row],[2083]]</f>
        <v>1</v>
      </c>
      <c r="DP84" s="12">
        <f>Inflation_weighted[[#This Row],[2084]]/Inflation_weighted[[#This Row],[2083]]*Inflation_weighted[[#This Row],[2084]]</f>
        <v>1</v>
      </c>
      <c r="DQ84" s="12">
        <f>Inflation_weighted[[#This Row],[2085]]/Inflation_weighted[[#This Row],[2084]]*Inflation_weighted[[#This Row],[2085]]</f>
        <v>1</v>
      </c>
      <c r="DR84" s="12">
        <f>Inflation_weighted[[#This Row],[2086]]/Inflation_weighted[[#This Row],[2085]]*Inflation_weighted[[#This Row],[2086]]</f>
        <v>1</v>
      </c>
      <c r="DS84" s="12">
        <f>Inflation_weighted[[#This Row],[2087]]/Inflation_weighted[[#This Row],[2086]]*Inflation_weighted[[#This Row],[2087]]</f>
        <v>1</v>
      </c>
      <c r="DT84" s="12">
        <f>Inflation_weighted[[#This Row],[2088]]/Inflation_weighted[[#This Row],[2087]]*Inflation_weighted[[#This Row],[2088]]</f>
        <v>1</v>
      </c>
      <c r="DU84" s="12">
        <f>Inflation_weighted[[#This Row],[2089]]/Inflation_weighted[[#This Row],[2088]]*Inflation_weighted[[#This Row],[2089]]</f>
        <v>1</v>
      </c>
      <c r="DV84" s="12">
        <f>Inflation_weighted[[#This Row],[2090]]/Inflation_weighted[[#This Row],[2089]]*Inflation_weighted[[#This Row],[2090]]</f>
        <v>1</v>
      </c>
      <c r="DW84" s="12">
        <f>Inflation_weighted[[#This Row],[2091]]/Inflation_weighted[[#This Row],[2090]]*Inflation_weighted[[#This Row],[2091]]</f>
        <v>1</v>
      </c>
      <c r="DX84" s="12">
        <f>Inflation_weighted[[#This Row],[2092]]/Inflation_weighted[[#This Row],[2091]]*Inflation_weighted[[#This Row],[2092]]</f>
        <v>1</v>
      </c>
      <c r="DY84" s="12">
        <f>Inflation_weighted[[#This Row],[2093]]/Inflation_weighted[[#This Row],[2092]]*Inflation_weighted[[#This Row],[2093]]</f>
        <v>1</v>
      </c>
      <c r="DZ84" s="12">
        <f>Inflation_weighted[[#This Row],[2094]]/Inflation_weighted[[#This Row],[2093]]*Inflation_weighted[[#This Row],[2094]]</f>
        <v>1</v>
      </c>
      <c r="EA84" s="12">
        <f>Inflation_weighted[[#This Row],[2095]]/Inflation_weighted[[#This Row],[2094]]*Inflation_weighted[[#This Row],[2095]]</f>
        <v>1</v>
      </c>
      <c r="EB84" s="12">
        <f>Inflation_weighted[[#This Row],[2096]]/Inflation_weighted[[#This Row],[2095]]*Inflation_weighted[[#This Row],[2096]]</f>
        <v>1</v>
      </c>
    </row>
  </sheetData>
  <conditionalFormatting sqref="D8:BG23">
    <cfRule type="cellIs" dxfId="299" priority="7" stopIfTrue="1" operator="equal">
      <formula>1</formula>
    </cfRule>
  </conditionalFormatting>
  <conditionalFormatting sqref="D7:CQ7 B66:B84">
    <cfRule type="cellIs" dxfId="298" priority="6" stopIfTrue="1" operator="equal">
      <formula>$F$8</formula>
    </cfRule>
  </conditionalFormatting>
  <conditionalFormatting sqref="D66:BG81">
    <cfRule type="cellIs" dxfId="297" priority="5" stopIfTrue="1" operator="equal">
      <formula>1</formula>
    </cfRule>
  </conditionalFormatting>
  <conditionalFormatting sqref="D65:CQ65">
    <cfRule type="cellIs" dxfId="296" priority="4" stopIfTrue="1" operator="equal">
      <formula>$F$8</formula>
    </cfRule>
  </conditionalFormatting>
  <conditionalFormatting sqref="B7:C26">
    <cfRule type="cellIs" dxfId="295" priority="3" stopIfTrue="1" operator="equal">
      <formula>$F$8</formula>
    </cfRule>
  </conditionalFormatting>
  <conditionalFormatting sqref="B65:C65">
    <cfRule type="cellIs" dxfId="294" priority="2" stopIfTrue="1" operator="equal">
      <formula>$F$8</formula>
    </cfRule>
  </conditionalFormatting>
  <conditionalFormatting sqref="C66:C84">
    <cfRule type="cellIs" dxfId="293" priority="1" stopIfTrue="1" operator="equal">
      <formula>$F$8</formula>
    </cfRule>
  </conditionalFormatting>
  <conditionalFormatting sqref="B1">
    <cfRule type="expression" dxfId="292" priority="10">
      <formula>TODAY()&lt;=( C4+ 365)</formula>
    </cfRule>
    <cfRule type="expression" dxfId="291" priority="11">
      <formula>TODAY()&gt;(C4 + 365)</formula>
    </cfRule>
  </conditionalFormatting>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3" tint="-0.499984740745262"/>
    <outlinePr summaryBelow="0" summaryRight="0"/>
  </sheetPr>
  <dimension ref="A1:EA96"/>
  <sheetViews>
    <sheetView showGridLines="0" zoomScale="85" zoomScaleNormal="85" workbookViewId="0">
      <pane ySplit="14" topLeftCell="A15" activePane="bottomLeft" state="frozen"/>
      <selection activeCell="G42" activeCellId="1" sqref="C23 G42"/>
      <selection pane="bottomLeft" activeCell="G42" activeCellId="1" sqref="C23 G42"/>
    </sheetView>
  </sheetViews>
  <sheetFormatPr defaultColWidth="8.7109375" defaultRowHeight="15.75" outlineLevelRow="2"/>
  <cols>
    <col min="1" max="1" width="4.140625" style="26" customWidth="1"/>
    <col min="2" max="2" width="32" style="26" customWidth="1"/>
    <col min="3" max="6" width="17.85546875" style="26" customWidth="1"/>
    <col min="7" max="7" width="14.140625" style="26" customWidth="1"/>
    <col min="8" max="8" width="16.140625" style="26" customWidth="1"/>
    <col min="9" max="9" width="22.5703125" style="26" customWidth="1"/>
    <col min="10" max="10" width="20.140625" style="26" customWidth="1"/>
    <col min="11" max="11" width="15.5703125" style="26" customWidth="1"/>
    <col min="12" max="13" width="16.85546875" style="26" customWidth="1"/>
    <col min="14" max="14" width="17.28515625" style="26" customWidth="1"/>
    <col min="15" max="15" width="19.140625" style="26" customWidth="1"/>
    <col min="16" max="24" width="18.5703125" style="26" customWidth="1"/>
    <col min="25" max="25" width="25.85546875" style="26" bestFit="1" customWidth="1"/>
    <col min="26" max="64" width="18.5703125" style="26" customWidth="1"/>
    <col min="65" max="65" width="18.28515625" style="26" bestFit="1" customWidth="1"/>
    <col min="66" max="66" width="18.5703125" style="26" bestFit="1" customWidth="1"/>
    <col min="67" max="67" width="18.28515625" style="26" customWidth="1"/>
    <col min="68" max="130" width="14" style="26" customWidth="1"/>
    <col min="131" max="131" width="14.42578125" style="26" customWidth="1"/>
    <col min="132" max="134" width="15.5703125" style="26" bestFit="1" customWidth="1"/>
    <col min="135" max="16384" width="8.7109375" style="26"/>
  </cols>
  <sheetData>
    <row r="1" spans="1:58">
      <c r="A1" s="25"/>
    </row>
    <row r="2" spans="1:58" collapsed="1">
      <c r="A2" s="27" t="s">
        <v>193</v>
      </c>
    </row>
    <row r="3" spans="1:58" hidden="1" outlineLevel="1">
      <c r="B3" s="27" t="s">
        <v>208</v>
      </c>
    </row>
    <row r="4" spans="1:58" ht="31.5" hidden="1" outlineLevel="1">
      <c r="B4" s="28" t="s">
        <v>24</v>
      </c>
      <c r="C4" s="29" t="s">
        <v>209</v>
      </c>
      <c r="D4" s="29" t="s">
        <v>210</v>
      </c>
      <c r="E4" s="29" t="s">
        <v>211</v>
      </c>
      <c r="F4" s="29" t="s">
        <v>212</v>
      </c>
      <c r="G4" s="29" t="s">
        <v>213</v>
      </c>
      <c r="H4" s="29" t="s">
        <v>214</v>
      </c>
      <c r="I4" s="29" t="s">
        <v>1</v>
      </c>
      <c r="J4" s="30">
        <v>2017</v>
      </c>
      <c r="K4" s="30">
        <v>2018</v>
      </c>
      <c r="L4" s="30">
        <v>2019</v>
      </c>
      <c r="M4" s="30">
        <v>2020</v>
      </c>
      <c r="N4" s="30">
        <v>2021</v>
      </c>
      <c r="O4" s="30">
        <v>2022</v>
      </c>
      <c r="P4" s="30">
        <v>2023</v>
      </c>
      <c r="Q4" s="30">
        <v>2024</v>
      </c>
      <c r="R4" s="30">
        <v>2025</v>
      </c>
      <c r="S4" s="30">
        <v>2026</v>
      </c>
      <c r="T4" s="30">
        <v>2027</v>
      </c>
      <c r="U4" s="30">
        <v>2028</v>
      </c>
      <c r="V4" s="30">
        <v>2029</v>
      </c>
      <c r="W4" s="30">
        <v>2030</v>
      </c>
      <c r="X4" s="30">
        <v>2031</v>
      </c>
      <c r="Y4" s="30">
        <v>2032</v>
      </c>
      <c r="Z4" s="30">
        <v>2033</v>
      </c>
      <c r="AA4" s="30">
        <v>2034</v>
      </c>
      <c r="AB4" s="30">
        <v>2035</v>
      </c>
      <c r="AC4" s="30">
        <v>2036</v>
      </c>
      <c r="AD4" s="30">
        <v>2037</v>
      </c>
      <c r="AE4" s="30">
        <v>2038</v>
      </c>
      <c r="AF4" s="30">
        <v>2039</v>
      </c>
      <c r="AG4" s="30">
        <v>2040</v>
      </c>
      <c r="AH4" s="30">
        <v>2041</v>
      </c>
      <c r="AI4" s="30">
        <v>2042</v>
      </c>
      <c r="AJ4" s="30">
        <v>2043</v>
      </c>
      <c r="AK4" s="30">
        <v>2044</v>
      </c>
      <c r="AL4" s="30">
        <v>2045</v>
      </c>
      <c r="AM4" s="30">
        <v>2046</v>
      </c>
      <c r="AN4" s="30">
        <v>2047</v>
      </c>
      <c r="AO4" s="30">
        <v>2048</v>
      </c>
      <c r="AP4" s="30">
        <v>2049</v>
      </c>
      <c r="AQ4" s="30">
        <v>2050</v>
      </c>
      <c r="AR4" s="30">
        <v>2051</v>
      </c>
      <c r="AS4" s="30">
        <v>2052</v>
      </c>
      <c r="AT4" s="30">
        <v>2053</v>
      </c>
      <c r="AU4" s="30">
        <v>2054</v>
      </c>
      <c r="AV4" s="30">
        <v>2055</v>
      </c>
      <c r="AW4" s="30">
        <v>2056</v>
      </c>
      <c r="AX4" s="30">
        <v>2057</v>
      </c>
      <c r="AY4" s="30">
        <v>2058</v>
      </c>
      <c r="AZ4" s="30">
        <v>2059</v>
      </c>
      <c r="BA4" s="30">
        <v>2060</v>
      </c>
      <c r="BB4" s="30">
        <v>2061</v>
      </c>
      <c r="BC4" s="30">
        <v>2062</v>
      </c>
      <c r="BD4" s="30">
        <v>2063</v>
      </c>
      <c r="BE4" s="30">
        <v>2064</v>
      </c>
      <c r="BF4" s="30">
        <v>2065</v>
      </c>
    </row>
    <row r="5" spans="1:58" hidden="1" outlineLevel="1">
      <c r="B5" s="31"/>
      <c r="C5" s="32"/>
      <c r="D5" s="33"/>
      <c r="E5" s="32"/>
      <c r="F5" s="32"/>
      <c r="G5" s="32"/>
      <c r="H5" s="34"/>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row>
    <row r="6" spans="1:58" hidden="1" outlineLevel="1">
      <c r="B6" s="31"/>
      <c r="C6" s="32"/>
      <c r="D6" s="33"/>
      <c r="E6" s="32"/>
      <c r="F6" s="32"/>
      <c r="G6" s="32"/>
      <c r="H6" s="34"/>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row>
    <row r="7" spans="1:58" hidden="1" outlineLevel="1">
      <c r="B7" s="31"/>
      <c r="C7" s="32"/>
      <c r="D7" s="33"/>
      <c r="E7" s="32"/>
      <c r="F7" s="32"/>
      <c r="G7" s="32"/>
      <c r="H7" s="34"/>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row>
    <row r="8" spans="1:58" hidden="1" outlineLevel="1">
      <c r="B8" s="31"/>
      <c r="C8" s="32"/>
      <c r="D8" s="33"/>
      <c r="E8" s="32"/>
      <c r="F8" s="32"/>
      <c r="G8" s="32"/>
      <c r="H8" s="34"/>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row>
    <row r="9" spans="1:58" hidden="1" outlineLevel="1">
      <c r="B9" s="31"/>
      <c r="C9" s="32"/>
      <c r="D9" s="33"/>
      <c r="E9" s="32"/>
      <c r="F9" s="32"/>
      <c r="G9" s="32"/>
      <c r="H9" s="34"/>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row>
    <row r="10" spans="1:58" hidden="1" outlineLevel="1">
      <c r="B10" s="31"/>
      <c r="C10" s="32"/>
      <c r="D10" s="33"/>
      <c r="E10" s="32"/>
      <c r="F10" s="32"/>
      <c r="G10" s="32"/>
      <c r="H10" s="34"/>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row>
    <row r="11" spans="1:58" hidden="1" outlineLevel="1">
      <c r="B11" s="36"/>
      <c r="C11" s="36"/>
      <c r="D11" s="36"/>
      <c r="E11" s="36"/>
      <c r="F11" s="36"/>
      <c r="G11" s="36"/>
      <c r="H11" s="36"/>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row>
    <row r="12" spans="1:58" hidden="1" outlineLevel="1">
      <c r="B12" s="27" t="s">
        <v>215</v>
      </c>
    </row>
    <row r="13" spans="1:58" ht="31.5" hidden="1" outlineLevel="1">
      <c r="B13" s="28" t="s">
        <v>24</v>
      </c>
      <c r="C13" s="29" t="s">
        <v>209</v>
      </c>
      <c r="D13" s="29" t="s">
        <v>210</v>
      </c>
      <c r="E13" s="29" t="s">
        <v>211</v>
      </c>
      <c r="F13" s="29" t="s">
        <v>212</v>
      </c>
      <c r="G13" s="29" t="s">
        <v>213</v>
      </c>
      <c r="H13" s="29" t="s">
        <v>214</v>
      </c>
      <c r="I13" s="29" t="s">
        <v>1</v>
      </c>
      <c r="J13" s="30">
        <v>2017</v>
      </c>
      <c r="K13" s="30">
        <v>2018</v>
      </c>
      <c r="L13" s="30">
        <v>2019</v>
      </c>
      <c r="M13" s="30">
        <v>2020</v>
      </c>
      <c r="N13" s="30">
        <v>2021</v>
      </c>
      <c r="O13" s="30">
        <v>2022</v>
      </c>
      <c r="P13" s="30">
        <v>2023</v>
      </c>
      <c r="Q13" s="30">
        <v>2024</v>
      </c>
      <c r="R13" s="30">
        <v>2025</v>
      </c>
      <c r="S13" s="30">
        <v>2026</v>
      </c>
      <c r="T13" s="30">
        <v>2027</v>
      </c>
      <c r="U13" s="30">
        <v>2028</v>
      </c>
      <c r="V13" s="30">
        <v>2029</v>
      </c>
      <c r="W13" s="30">
        <v>2030</v>
      </c>
      <c r="X13" s="30">
        <v>2031</v>
      </c>
      <c r="Y13" s="30">
        <v>2032</v>
      </c>
      <c r="Z13" s="30">
        <v>2033</v>
      </c>
      <c r="AA13" s="30">
        <v>2034</v>
      </c>
      <c r="AB13" s="30">
        <v>2035</v>
      </c>
      <c r="AC13" s="30">
        <v>2036</v>
      </c>
      <c r="AD13" s="30">
        <v>2037</v>
      </c>
      <c r="AE13" s="30">
        <v>2038</v>
      </c>
      <c r="AF13" s="30">
        <v>2039</v>
      </c>
      <c r="AG13" s="30">
        <v>2040</v>
      </c>
      <c r="AH13" s="30">
        <v>2041</v>
      </c>
      <c r="AI13" s="30">
        <v>2042</v>
      </c>
      <c r="AJ13" s="30">
        <v>2043</v>
      </c>
      <c r="AK13" s="30">
        <v>2044</v>
      </c>
      <c r="AL13" s="30">
        <v>2045</v>
      </c>
      <c r="AM13" s="30">
        <v>2046</v>
      </c>
      <c r="AN13" s="30">
        <v>2047</v>
      </c>
      <c r="AO13" s="30">
        <v>2048</v>
      </c>
      <c r="AP13" s="30">
        <v>2049</v>
      </c>
      <c r="AQ13" s="30">
        <v>2050</v>
      </c>
      <c r="AR13" s="30">
        <v>2051</v>
      </c>
      <c r="AS13" s="30">
        <v>2052</v>
      </c>
      <c r="AT13" s="30">
        <v>2053</v>
      </c>
      <c r="AU13" s="30">
        <v>2054</v>
      </c>
      <c r="AV13" s="30">
        <v>2055</v>
      </c>
      <c r="AW13" s="30">
        <v>2056</v>
      </c>
      <c r="AX13" s="30">
        <v>2057</v>
      </c>
      <c r="AY13" s="30">
        <v>2058</v>
      </c>
      <c r="AZ13" s="30">
        <v>2059</v>
      </c>
      <c r="BA13" s="30">
        <v>2060</v>
      </c>
      <c r="BB13" s="30">
        <v>2061</v>
      </c>
      <c r="BC13" s="30">
        <v>2062</v>
      </c>
      <c r="BD13" s="30">
        <v>2063</v>
      </c>
      <c r="BE13" s="30">
        <v>2064</v>
      </c>
      <c r="BF13" s="30">
        <v>2065</v>
      </c>
    </row>
    <row r="14" spans="1:58" hidden="1" outlineLevel="1">
      <c r="B14" s="31"/>
      <c r="C14" s="32"/>
      <c r="D14" s="33"/>
      <c r="E14" s="32"/>
      <c r="F14" s="32"/>
      <c r="G14" s="32"/>
      <c r="H14" s="34"/>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row>
    <row r="15" spans="1:58" hidden="1" outlineLevel="1">
      <c r="B15" s="31"/>
      <c r="C15" s="32"/>
      <c r="D15" s="33"/>
      <c r="E15" s="32"/>
      <c r="F15" s="32"/>
      <c r="G15" s="32"/>
      <c r="H15" s="34"/>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row>
    <row r="16" spans="1:58" hidden="1" outlineLevel="1">
      <c r="B16" s="31"/>
      <c r="C16" s="32"/>
      <c r="D16" s="33"/>
      <c r="E16" s="32"/>
      <c r="F16" s="32"/>
      <c r="G16" s="32"/>
      <c r="H16" s="34"/>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5"/>
      <c r="AX16" s="35"/>
      <c r="AY16" s="35"/>
      <c r="AZ16" s="35"/>
      <c r="BA16" s="35"/>
      <c r="BB16" s="35"/>
      <c r="BC16" s="35"/>
      <c r="BD16" s="35"/>
      <c r="BE16" s="35"/>
      <c r="BF16" s="35"/>
    </row>
    <row r="17" spans="1:58" hidden="1" outlineLevel="1">
      <c r="B17" s="31"/>
      <c r="C17" s="32"/>
      <c r="D17" s="33"/>
      <c r="E17" s="32"/>
      <c r="F17" s="32"/>
      <c r="G17" s="32"/>
      <c r="H17" s="34"/>
      <c r="I17" s="35"/>
      <c r="J17" s="35"/>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35"/>
      <c r="AS17" s="35"/>
      <c r="AT17" s="35"/>
      <c r="AU17" s="35"/>
      <c r="AV17" s="35"/>
      <c r="AW17" s="35"/>
      <c r="AX17" s="35"/>
      <c r="AY17" s="35"/>
      <c r="AZ17" s="35"/>
      <c r="BA17" s="35"/>
      <c r="BB17" s="35"/>
      <c r="BC17" s="35"/>
      <c r="BD17" s="35"/>
      <c r="BE17" s="35"/>
      <c r="BF17" s="35"/>
    </row>
    <row r="18" spans="1:58" hidden="1" outlineLevel="1">
      <c r="B18" s="31"/>
      <c r="C18" s="32"/>
      <c r="D18" s="33"/>
      <c r="E18" s="32"/>
      <c r="F18" s="32"/>
      <c r="G18" s="32"/>
      <c r="H18" s="34"/>
      <c r="I18" s="35"/>
      <c r="J18" s="35"/>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35"/>
      <c r="AS18" s="35"/>
      <c r="AT18" s="35"/>
      <c r="AU18" s="35"/>
      <c r="AV18" s="35"/>
      <c r="AW18" s="35"/>
      <c r="AX18" s="35"/>
      <c r="AY18" s="35"/>
      <c r="AZ18" s="35"/>
      <c r="BA18" s="35"/>
      <c r="BB18" s="35"/>
      <c r="BC18" s="35"/>
      <c r="BD18" s="35"/>
      <c r="BE18" s="35"/>
      <c r="BF18" s="35"/>
    </row>
    <row r="19" spans="1:58" hidden="1" outlineLevel="1">
      <c r="B19" s="31"/>
      <c r="C19" s="32"/>
      <c r="D19" s="33"/>
      <c r="E19" s="32"/>
      <c r="F19" s="32"/>
      <c r="G19" s="32"/>
      <c r="H19" s="34"/>
      <c r="I19" s="35"/>
      <c r="J19" s="35"/>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c r="AX19" s="35"/>
      <c r="AY19" s="35"/>
      <c r="AZ19" s="35"/>
      <c r="BA19" s="35"/>
      <c r="BB19" s="35"/>
      <c r="BC19" s="35"/>
      <c r="BD19" s="35"/>
      <c r="BE19" s="35"/>
      <c r="BF19" s="35"/>
    </row>
    <row r="20" spans="1:58" customFormat="1" ht="15" hidden="1" outlineLevel="1"/>
    <row r="21" spans="1:58" collapsed="1">
      <c r="A21" s="38" t="s">
        <v>216</v>
      </c>
      <c r="B21" s="36"/>
      <c r="C21" s="39"/>
      <c r="D21" s="39"/>
      <c r="E21" s="39"/>
      <c r="F21" s="39"/>
      <c r="G21" s="39"/>
      <c r="H21" s="39"/>
      <c r="I21" s="39"/>
      <c r="J21" s="39"/>
      <c r="K21" s="39"/>
    </row>
    <row r="22" spans="1:58" hidden="1" outlineLevel="1">
      <c r="A22" s="40"/>
      <c r="B22" s="36"/>
      <c r="C22" s="39"/>
      <c r="D22" s="39"/>
      <c r="E22" s="39"/>
      <c r="F22" s="39"/>
      <c r="G22" s="39"/>
      <c r="H22" s="39"/>
      <c r="I22" s="39"/>
      <c r="J22" s="39"/>
      <c r="K22" s="39"/>
      <c r="L22" s="39"/>
    </row>
    <row r="23" spans="1:58" hidden="1" outlineLevel="1">
      <c r="A23" s="36"/>
      <c r="B23" s="36"/>
      <c r="C23" s="39"/>
      <c r="D23" s="39"/>
      <c r="E23" s="39"/>
      <c r="F23" s="39"/>
      <c r="G23" s="39"/>
      <c r="H23" s="39"/>
      <c r="I23" s="39"/>
      <c r="J23" s="39"/>
      <c r="K23" s="39"/>
      <c r="L23" s="39"/>
    </row>
    <row r="24" spans="1:58" collapsed="1">
      <c r="A24" s="27" t="s">
        <v>194</v>
      </c>
    </row>
    <row r="25" spans="1:58" ht="31.5" hidden="1" customHeight="1" outlineLevel="1">
      <c r="A25" s="128"/>
      <c r="B25" s="128"/>
      <c r="C25" s="128"/>
      <c r="D25" s="128"/>
      <c r="E25" s="128"/>
      <c r="F25" s="128"/>
      <c r="G25" s="128"/>
    </row>
    <row r="26" spans="1:58" hidden="1" outlineLevel="1">
      <c r="A26" s="41"/>
    </row>
    <row r="27" spans="1:58" collapsed="1">
      <c r="A27" s="27" t="s">
        <v>195</v>
      </c>
      <c r="D27" s="42"/>
      <c r="E27" s="42"/>
      <c r="F27" s="42"/>
      <c r="G27" s="42"/>
      <c r="H27" s="42"/>
      <c r="I27" s="42"/>
      <c r="J27" s="42"/>
      <c r="K27" s="42"/>
    </row>
    <row r="28" spans="1:58" hidden="1" outlineLevel="1">
      <c r="A28" s="41"/>
    </row>
    <row r="29" spans="1:58" hidden="1" outlineLevel="1">
      <c r="A29" s="41"/>
    </row>
    <row r="30" spans="1:58" hidden="1" outlineLevel="1">
      <c r="A30" s="41"/>
    </row>
    <row r="31" spans="1:58" hidden="1" outlineLevel="1">
      <c r="A31" s="41"/>
      <c r="B31" s="36"/>
      <c r="C31" s="43"/>
      <c r="D31" s="43"/>
      <c r="E31" s="44"/>
      <c r="F31" s="43"/>
      <c r="G31" s="44"/>
    </row>
    <row r="32" spans="1:58" collapsed="1">
      <c r="A32" s="27" t="s">
        <v>217</v>
      </c>
    </row>
    <row r="33" spans="1:131" hidden="1" outlineLevel="2">
      <c r="A33" s="27"/>
    </row>
    <row r="34" spans="1:131" hidden="1" outlineLevel="2">
      <c r="B34" s="45" t="s">
        <v>196</v>
      </c>
      <c r="C34" s="45" t="s">
        <v>139</v>
      </c>
      <c r="D34" s="45" t="s">
        <v>138</v>
      </c>
      <c r="E34" s="45" t="s">
        <v>137</v>
      </c>
      <c r="F34" s="45" t="s">
        <v>136</v>
      </c>
      <c r="G34" s="45" t="s">
        <v>135</v>
      </c>
      <c r="H34" s="45" t="s">
        <v>134</v>
      </c>
      <c r="I34" s="45" t="s">
        <v>133</v>
      </c>
      <c r="J34" s="45" t="s">
        <v>132</v>
      </c>
      <c r="K34" s="45" t="s">
        <v>131</v>
      </c>
      <c r="L34" s="45" t="s">
        <v>130</v>
      </c>
      <c r="M34" s="45" t="s">
        <v>129</v>
      </c>
      <c r="N34" s="45" t="s">
        <v>128</v>
      </c>
      <c r="O34" s="45" t="s">
        <v>127</v>
      </c>
      <c r="P34" s="45" t="s">
        <v>126</v>
      </c>
      <c r="Q34" s="45" t="s">
        <v>125</v>
      </c>
      <c r="R34" s="45" t="s">
        <v>124</v>
      </c>
      <c r="S34" s="45" t="s">
        <v>123</v>
      </c>
      <c r="T34" s="45" t="s">
        <v>122</v>
      </c>
      <c r="U34" s="45" t="s">
        <v>121</v>
      </c>
      <c r="V34" s="45" t="s">
        <v>120</v>
      </c>
      <c r="W34" s="45" t="s">
        <v>119</v>
      </c>
      <c r="X34" s="45" t="s">
        <v>118</v>
      </c>
      <c r="Y34" s="45" t="s">
        <v>117</v>
      </c>
      <c r="Z34" s="45" t="s">
        <v>116</v>
      </c>
      <c r="AA34" s="45" t="s">
        <v>115</v>
      </c>
      <c r="AB34" s="45" t="s">
        <v>114</v>
      </c>
      <c r="AC34" s="45" t="s">
        <v>113</v>
      </c>
      <c r="AD34" s="45" t="s">
        <v>112</v>
      </c>
      <c r="AE34" s="45" t="s">
        <v>111</v>
      </c>
      <c r="AF34" s="45" t="s">
        <v>110</v>
      </c>
      <c r="AG34" s="45" t="s">
        <v>109</v>
      </c>
      <c r="AH34" s="45" t="s">
        <v>108</v>
      </c>
      <c r="AI34" s="45" t="s">
        <v>107</v>
      </c>
      <c r="AJ34" s="45" t="s">
        <v>106</v>
      </c>
      <c r="AK34" s="45" t="s">
        <v>105</v>
      </c>
      <c r="AL34" s="45" t="s">
        <v>104</v>
      </c>
      <c r="AM34" s="45" t="s">
        <v>103</v>
      </c>
      <c r="AN34" s="45" t="s">
        <v>102</v>
      </c>
      <c r="AO34" s="45" t="s">
        <v>101</v>
      </c>
      <c r="AP34" s="45" t="s">
        <v>100</v>
      </c>
      <c r="AQ34" s="45" t="s">
        <v>99</v>
      </c>
      <c r="AR34" s="45" t="s">
        <v>98</v>
      </c>
      <c r="AS34" s="45" t="s">
        <v>97</v>
      </c>
      <c r="AT34" s="45" t="s">
        <v>96</v>
      </c>
      <c r="AU34" s="45" t="s">
        <v>95</v>
      </c>
      <c r="AV34" s="45" t="s">
        <v>94</v>
      </c>
      <c r="AW34" s="45" t="s">
        <v>93</v>
      </c>
      <c r="AX34" s="45" t="s">
        <v>92</v>
      </c>
      <c r="AY34" s="45" t="s">
        <v>91</v>
      </c>
      <c r="AZ34" s="45" t="s">
        <v>90</v>
      </c>
      <c r="BA34" s="45" t="s">
        <v>89</v>
      </c>
      <c r="BB34" s="45" t="s">
        <v>88</v>
      </c>
      <c r="BC34" s="45" t="s">
        <v>87</v>
      </c>
      <c r="BD34" s="45" t="s">
        <v>86</v>
      </c>
    </row>
    <row r="35" spans="1:131" hidden="1" outlineLevel="2">
      <c r="B35" s="46" t="s">
        <v>35</v>
      </c>
      <c r="C35" s="47">
        <v>1</v>
      </c>
      <c r="D35" s="47">
        <v>1.018</v>
      </c>
      <c r="E35" s="47">
        <v>1.0383600000000002</v>
      </c>
      <c r="F35" s="47">
        <v>1.0591272</v>
      </c>
      <c r="G35" s="47">
        <v>1.080309744</v>
      </c>
      <c r="H35" s="47">
        <v>1.1019159388799999</v>
      </c>
      <c r="I35" s="47">
        <v>1.1239542576576</v>
      </c>
      <c r="J35" s="47">
        <v>1.1464333428107518</v>
      </c>
      <c r="K35" s="47">
        <v>1.1693620096669666</v>
      </c>
      <c r="L35" s="47">
        <v>1.1927492498603056</v>
      </c>
      <c r="M35" s="47">
        <v>1.2166042348575115</v>
      </c>
      <c r="N35" s="47">
        <v>1.2409363195546614</v>
      </c>
      <c r="O35" s="47">
        <v>1.2657550459457545</v>
      </c>
      <c r="P35" s="47">
        <v>1.2910701468646693</v>
      </c>
      <c r="Q35" s="47">
        <v>1.3168915498019624</v>
      </c>
      <c r="R35" s="47">
        <v>1.3432293807980014</v>
      </c>
      <c r="S35" s="47">
        <v>1.370093968413961</v>
      </c>
      <c r="T35" s="47">
        <v>1.3974958477822399</v>
      </c>
      <c r="U35" s="47">
        <v>1.4254457647378844</v>
      </c>
      <c r="V35" s="47">
        <v>1.4539546800326417</v>
      </c>
      <c r="W35" s="47">
        <v>1.4830337736332944</v>
      </c>
      <c r="X35" s="47">
        <v>1.51269444910596</v>
      </c>
      <c r="Y35" s="47">
        <v>1.5429483380880789</v>
      </c>
      <c r="Z35" s="47">
        <v>1.5738073048498402</v>
      </c>
      <c r="AA35" s="47">
        <v>1.6052834509468368</v>
      </c>
      <c r="AB35" s="47">
        <v>1.6373891199657731</v>
      </c>
      <c r="AC35" s="47">
        <v>1.6701369023650883</v>
      </c>
      <c r="AD35" s="47">
        <v>1.7035396404123897</v>
      </c>
      <c r="AE35" s="47">
        <v>1.7376104332206372</v>
      </c>
      <c r="AF35" s="47">
        <v>1.7723626418850496</v>
      </c>
      <c r="AG35" s="47">
        <v>1.8078098947227501</v>
      </c>
      <c r="AH35" s="47">
        <v>1.8439660926172048</v>
      </c>
      <c r="AI35" s="47">
        <v>1.8808454144695486</v>
      </c>
      <c r="AJ35" s="47">
        <v>1.9184623227589392</v>
      </c>
      <c r="AK35" s="47">
        <v>1.9568315692141176</v>
      </c>
      <c r="AL35" s="47">
        <v>1.9959682005983996</v>
      </c>
      <c r="AM35" s="47">
        <v>2.0358875646103671</v>
      </c>
      <c r="AN35" s="47">
        <v>2.0766053159025741</v>
      </c>
      <c r="AO35" s="47">
        <v>2.1181374222206251</v>
      </c>
      <c r="AP35" s="47">
        <v>2.1605001706650371</v>
      </c>
      <c r="AQ35" s="47">
        <v>2.2037101740783376</v>
      </c>
      <c r="AR35" s="47">
        <v>2.247784377559904</v>
      </c>
      <c r="AS35" s="47">
        <v>2.2927400651111016</v>
      </c>
      <c r="AT35" s="47">
        <v>2.3385948664133234</v>
      </c>
      <c r="AU35" s="47">
        <v>2.3853667637415894</v>
      </c>
      <c r="AV35" s="47">
        <v>2.4330740990164208</v>
      </c>
      <c r="AW35" s="47">
        <v>2.4817355809967485</v>
      </c>
      <c r="AX35" s="47">
        <v>2.4817355809967485</v>
      </c>
      <c r="AY35" s="47">
        <v>2.5313702926166828</v>
      </c>
      <c r="AZ35" s="47">
        <v>2.5313702926166828</v>
      </c>
      <c r="BA35" s="47">
        <v>2.4817355809967485</v>
      </c>
      <c r="BB35" s="47">
        <v>2.4817355809967485</v>
      </c>
      <c r="BC35" s="47">
        <v>2.5819976984690158</v>
      </c>
      <c r="BD35" s="47">
        <v>2.5819976984690158</v>
      </c>
    </row>
    <row r="36" spans="1:131" hidden="1" outlineLevel="2">
      <c r="A36" s="41"/>
      <c r="B36" s="41"/>
    </row>
    <row r="37" spans="1:131" hidden="1" outlineLevel="2">
      <c r="B37" s="45" t="s">
        <v>197</v>
      </c>
      <c r="C37" s="45" t="s">
        <v>139</v>
      </c>
      <c r="D37" s="45" t="s">
        <v>138</v>
      </c>
      <c r="E37" s="45" t="s">
        <v>137</v>
      </c>
      <c r="F37" s="45" t="s">
        <v>136</v>
      </c>
      <c r="G37" s="45" t="s">
        <v>135</v>
      </c>
      <c r="H37" s="45" t="s">
        <v>134</v>
      </c>
      <c r="I37" s="45" t="s">
        <v>133</v>
      </c>
      <c r="J37" s="45" t="s">
        <v>132</v>
      </c>
      <c r="K37" s="45" t="s">
        <v>131</v>
      </c>
      <c r="L37" s="45" t="s">
        <v>130</v>
      </c>
      <c r="M37" s="45" t="s">
        <v>129</v>
      </c>
      <c r="N37" s="45" t="s">
        <v>128</v>
      </c>
      <c r="O37" s="45" t="s">
        <v>127</v>
      </c>
      <c r="P37" s="45" t="s">
        <v>126</v>
      </c>
      <c r="Q37" s="45" t="s">
        <v>125</v>
      </c>
      <c r="R37" s="45" t="s">
        <v>124</v>
      </c>
      <c r="S37" s="45" t="s">
        <v>123</v>
      </c>
      <c r="T37" s="45" t="s">
        <v>122</v>
      </c>
      <c r="U37" s="45" t="s">
        <v>121</v>
      </c>
      <c r="V37" s="45" t="s">
        <v>120</v>
      </c>
      <c r="W37" s="45" t="s">
        <v>119</v>
      </c>
      <c r="X37" s="45" t="s">
        <v>118</v>
      </c>
      <c r="Y37" s="45" t="s">
        <v>117</v>
      </c>
      <c r="Z37" s="45" t="s">
        <v>116</v>
      </c>
      <c r="AA37" s="45" t="s">
        <v>115</v>
      </c>
      <c r="AB37" s="45" t="s">
        <v>114</v>
      </c>
      <c r="AC37" s="45" t="s">
        <v>113</v>
      </c>
      <c r="AD37" s="45" t="s">
        <v>112</v>
      </c>
      <c r="AE37" s="45" t="s">
        <v>111</v>
      </c>
      <c r="AF37" s="45" t="s">
        <v>110</v>
      </c>
      <c r="AG37" s="45" t="s">
        <v>109</v>
      </c>
      <c r="AH37" s="45" t="s">
        <v>108</v>
      </c>
      <c r="AI37" s="45" t="s">
        <v>107</v>
      </c>
      <c r="AJ37" s="45" t="s">
        <v>106</v>
      </c>
      <c r="AK37" s="45" t="s">
        <v>105</v>
      </c>
      <c r="AL37" s="45" t="s">
        <v>104</v>
      </c>
      <c r="AM37" s="45" t="s">
        <v>103</v>
      </c>
      <c r="AN37" s="45" t="s">
        <v>102</v>
      </c>
      <c r="AO37" s="45" t="s">
        <v>101</v>
      </c>
      <c r="AP37" s="45" t="s">
        <v>100</v>
      </c>
      <c r="AQ37" s="45" t="s">
        <v>99</v>
      </c>
      <c r="AR37" s="45" t="s">
        <v>98</v>
      </c>
      <c r="AS37" s="45" t="s">
        <v>97</v>
      </c>
      <c r="AT37" s="45" t="s">
        <v>96</v>
      </c>
      <c r="AU37" s="45" t="s">
        <v>95</v>
      </c>
      <c r="AV37" s="45" t="s">
        <v>94</v>
      </c>
      <c r="AW37" s="45" t="s">
        <v>93</v>
      </c>
      <c r="AX37" s="45" t="s">
        <v>92</v>
      </c>
      <c r="AY37" s="45" t="s">
        <v>91</v>
      </c>
      <c r="AZ37" s="45" t="s">
        <v>90</v>
      </c>
      <c r="BA37" s="45" t="s">
        <v>89</v>
      </c>
      <c r="BB37" s="45" t="s">
        <v>88</v>
      </c>
      <c r="BC37" s="45" t="s">
        <v>87</v>
      </c>
      <c r="BD37" s="45" t="s">
        <v>86</v>
      </c>
    </row>
    <row r="38" spans="1:131" hidden="1" outlineLevel="2">
      <c r="B38" s="46" t="s">
        <v>35</v>
      </c>
      <c r="C38" s="47">
        <v>1.0187487786531801</v>
      </c>
      <c r="D38" s="47">
        <v>1.0384634292255397</v>
      </c>
      <c r="E38" s="47">
        <v>1.059232697810051</v>
      </c>
      <c r="F38" s="47">
        <v>1.0804173517662516</v>
      </c>
      <c r="G38" s="47">
        <v>1.1020256988015769</v>
      </c>
      <c r="H38" s="47">
        <v>1.1240662127776082</v>
      </c>
      <c r="I38" s="47">
        <v>1.1465475370331606</v>
      </c>
      <c r="J38" s="47">
        <v>1.1694784877738236</v>
      </c>
      <c r="K38" s="47">
        <v>1.1928680575292998</v>
      </c>
      <c r="L38" s="47">
        <v>1.2167254186798855</v>
      </c>
      <c r="M38" s="47">
        <v>1.241059927053483</v>
      </c>
      <c r="N38" s="47">
        <v>1.2658811255945523</v>
      </c>
      <c r="O38" s="47">
        <v>1.2911987481064431</v>
      </c>
      <c r="P38" s="47">
        <v>1.3170227230685716</v>
      </c>
      <c r="Q38" s="47">
        <v>1.3433631775299428</v>
      </c>
      <c r="R38" s="47">
        <v>1.3702304410805415</v>
      </c>
      <c r="S38" s="47">
        <v>1.3976350499021519</v>
      </c>
      <c r="T38" s="47">
        <v>1.4255877509001946</v>
      </c>
      <c r="U38" s="47">
        <v>1.4540995059181983</v>
      </c>
      <c r="V38" s="47">
        <v>1.4831814960365619</v>
      </c>
      <c r="W38" s="47">
        <v>1.5128451259572928</v>
      </c>
      <c r="X38" s="47">
        <v>1.5431020284764383</v>
      </c>
      <c r="Y38" s="47">
        <v>1.5739640690459666</v>
      </c>
      <c r="Z38" s="47">
        <v>1.6054433504268857</v>
      </c>
      <c r="AA38" s="47">
        <v>1.6375522174354231</v>
      </c>
      <c r="AB38" s="47">
        <v>1.6703032617841314</v>
      </c>
      <c r="AC38" s="47">
        <v>1.7037093270198136</v>
      </c>
      <c r="AD38" s="47">
        <v>1.7377835135602095</v>
      </c>
      <c r="AE38" s="47">
        <v>1.7725391838314133</v>
      </c>
      <c r="AF38" s="47">
        <v>1.8079899675080411</v>
      </c>
      <c r="AG38" s="47">
        <v>1.8441497668582016</v>
      </c>
      <c r="AH38" s="47">
        <v>1.8810327621953653</v>
      </c>
      <c r="AI38" s="47">
        <v>1.9186534174392722</v>
      </c>
      <c r="AJ38" s="47">
        <v>1.9570264857880573</v>
      </c>
      <c r="AK38" s="47">
        <v>1.996167015503818</v>
      </c>
      <c r="AL38" s="47">
        <v>2.0360903558138941</v>
      </c>
      <c r="AM38" s="47">
        <v>2.0768121629301715</v>
      </c>
      <c r="AN38" s="47">
        <v>2.1183484061887743</v>
      </c>
      <c r="AO38" s="47">
        <v>2.1607153743125496</v>
      </c>
      <c r="AP38" s="47">
        <v>2.2039296817988001</v>
      </c>
      <c r="AQ38" s="47">
        <v>2.2480082754347759</v>
      </c>
      <c r="AR38" s="47">
        <v>2.2929684409434707</v>
      </c>
      <c r="AS38" s="47">
        <v>2.3388278097623396</v>
      </c>
      <c r="AT38" s="47">
        <v>2.3856043659575858</v>
      </c>
      <c r="AU38" s="47">
        <v>2.4333164532767371</v>
      </c>
      <c r="AV38" s="47">
        <v>2.4819827823422713</v>
      </c>
      <c r="AW38" s="47">
        <v>2.5316224379891161</v>
      </c>
      <c r="AX38" s="47">
        <v>2.5822548867488981</v>
      </c>
      <c r="AY38" s="47">
        <v>2.6338999844838757</v>
      </c>
      <c r="AZ38" s="47">
        <v>2.6865779841735526</v>
      </c>
      <c r="BA38" s="47">
        <v>2.7403095438570233</v>
      </c>
      <c r="BB38" s="47">
        <v>2.7951157347341633</v>
      </c>
      <c r="BC38" s="47">
        <v>2.8510180494288462</v>
      </c>
      <c r="BD38" s="47">
        <v>2.9080384104174226</v>
      </c>
    </row>
    <row r="39" spans="1:131" hidden="1" outlineLevel="2">
      <c r="B39" s="44"/>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CW39" s="48"/>
      <c r="CX39" s="48"/>
      <c r="CY39" s="48"/>
      <c r="CZ39" s="48"/>
      <c r="DA39" s="48"/>
      <c r="DB39" s="48"/>
      <c r="DC39" s="48"/>
      <c r="DD39" s="48"/>
      <c r="DE39" s="48"/>
      <c r="DF39" s="48"/>
      <c r="DG39" s="48"/>
      <c r="DH39" s="48"/>
      <c r="DI39" s="48"/>
      <c r="DJ39" s="48"/>
      <c r="DK39" s="48"/>
      <c r="DL39" s="48"/>
      <c r="DM39" s="48"/>
      <c r="DN39" s="48"/>
      <c r="DO39" s="48"/>
      <c r="DP39" s="48"/>
      <c r="DQ39" s="48"/>
      <c r="DR39" s="48"/>
      <c r="DS39" s="48"/>
      <c r="DT39" s="48"/>
      <c r="DU39" s="48"/>
      <c r="DV39" s="48"/>
      <c r="DW39" s="48"/>
      <c r="DX39" s="48"/>
      <c r="DY39" s="48"/>
      <c r="DZ39" s="48"/>
      <c r="EA39" s="48"/>
    </row>
    <row r="40" spans="1:131" collapsed="1">
      <c r="A40" s="27" t="s">
        <v>218</v>
      </c>
    </row>
    <row r="41" spans="1:131" hidden="1" outlineLevel="1" collapsed="1">
      <c r="A41" s="41" t="s">
        <v>219</v>
      </c>
    </row>
    <row r="42" spans="1:131" hidden="1" outlineLevel="2">
      <c r="A42" s="41"/>
    </row>
    <row r="43" spans="1:131" hidden="1" outlineLevel="2">
      <c r="A43" s="41"/>
    </row>
    <row r="44" spans="1:131" hidden="1" outlineLevel="2">
      <c r="A44" s="41"/>
    </row>
    <row r="45" spans="1:131" hidden="1" outlineLevel="2">
      <c r="A45" s="41"/>
    </row>
    <row r="46" spans="1:131" hidden="1" outlineLevel="2">
      <c r="A46" s="41"/>
    </row>
    <row r="47" spans="1:131" hidden="1" outlineLevel="2">
      <c r="A47" s="41"/>
    </row>
    <row r="48" spans="1:131" hidden="1" outlineLevel="1" collapsed="1">
      <c r="A48" s="41" t="s">
        <v>220</v>
      </c>
    </row>
    <row r="49" spans="1:8" hidden="1" outlineLevel="2">
      <c r="A49" s="41"/>
    </row>
    <row r="50" spans="1:8" hidden="1" outlineLevel="2">
      <c r="A50" s="41"/>
    </row>
    <row r="51" spans="1:8" hidden="1" outlineLevel="2">
      <c r="A51" s="41"/>
    </row>
    <row r="52" spans="1:8" hidden="1" outlineLevel="2">
      <c r="A52" s="41"/>
    </row>
    <row r="53" spans="1:8" hidden="1" outlineLevel="2">
      <c r="A53" s="41"/>
    </row>
    <row r="54" spans="1:8" hidden="1" outlineLevel="2">
      <c r="A54" s="41"/>
    </row>
    <row r="55" spans="1:8" customFormat="1" ht="15" hidden="1" outlineLevel="1"/>
    <row r="56" spans="1:8" collapsed="1">
      <c r="A56" s="27" t="s">
        <v>221</v>
      </c>
      <c r="H56" s="49"/>
    </row>
    <row r="57" spans="1:8" hidden="1" outlineLevel="1">
      <c r="A57" s="27"/>
      <c r="H57" s="49"/>
    </row>
    <row r="58" spans="1:8" hidden="1" outlineLevel="1">
      <c r="A58" s="27"/>
      <c r="H58" s="49"/>
    </row>
    <row r="59" spans="1:8" hidden="1" outlineLevel="1">
      <c r="A59" s="27"/>
      <c r="H59" s="49"/>
    </row>
    <row r="60" spans="1:8" hidden="1" outlineLevel="1">
      <c r="A60" s="27"/>
      <c r="H60" s="49"/>
    </row>
    <row r="61" spans="1:8" hidden="1" outlineLevel="1">
      <c r="A61" s="27"/>
      <c r="H61" s="49"/>
    </row>
    <row r="62" spans="1:8" hidden="1" outlineLevel="1">
      <c r="A62" s="27"/>
      <c r="H62" s="49"/>
    </row>
    <row r="63" spans="1:8" hidden="1" outlineLevel="1">
      <c r="A63" s="27"/>
      <c r="H63" s="49"/>
    </row>
    <row r="64" spans="1:8" hidden="1" outlineLevel="1">
      <c r="A64" s="27"/>
      <c r="H64" s="49"/>
    </row>
    <row r="65" spans="1:21" hidden="1" outlineLevel="1" collapsed="1">
      <c r="A65" s="27"/>
      <c r="B65" s="27"/>
      <c r="C65" s="27"/>
      <c r="D65" s="27"/>
      <c r="E65" s="27"/>
      <c r="F65" s="27"/>
      <c r="G65" s="27"/>
      <c r="H65" s="27"/>
      <c r="I65" s="27"/>
      <c r="J65" s="27"/>
      <c r="K65" s="27"/>
      <c r="L65" s="27"/>
      <c r="M65" s="27"/>
      <c r="N65" s="27"/>
      <c r="O65" s="27"/>
      <c r="P65" s="27"/>
      <c r="Q65" s="27"/>
      <c r="R65" s="27"/>
      <c r="S65" s="27"/>
      <c r="T65" s="27"/>
      <c r="U65" s="27"/>
    </row>
    <row r="66" spans="1:21" hidden="1" outlineLevel="1">
      <c r="A66" s="27"/>
      <c r="B66" s="27"/>
      <c r="C66" s="27"/>
      <c r="D66" s="27"/>
      <c r="E66" s="27"/>
      <c r="F66" s="27"/>
      <c r="G66" s="27"/>
      <c r="H66" s="27"/>
      <c r="I66" s="27"/>
      <c r="J66" s="27"/>
      <c r="K66" s="27"/>
      <c r="L66" s="27"/>
      <c r="M66" s="27"/>
      <c r="N66" s="27"/>
      <c r="O66" s="27"/>
      <c r="P66" s="27"/>
      <c r="Q66" s="27"/>
      <c r="R66" s="27"/>
      <c r="S66" s="27"/>
      <c r="T66" s="27"/>
      <c r="U66" s="27"/>
    </row>
    <row r="67" spans="1:21" hidden="1" outlineLevel="1">
      <c r="A67" s="27"/>
      <c r="B67" s="27"/>
      <c r="C67" s="27"/>
      <c r="D67" s="27"/>
      <c r="E67" s="27"/>
      <c r="F67" s="27"/>
      <c r="G67" s="27"/>
      <c r="H67" s="27"/>
      <c r="I67" s="27"/>
      <c r="J67" s="27"/>
      <c r="K67" s="27"/>
      <c r="L67" s="27"/>
      <c r="M67" s="27"/>
      <c r="N67" s="27"/>
      <c r="O67" s="27"/>
      <c r="P67" s="27"/>
      <c r="Q67" s="27"/>
      <c r="R67" s="27"/>
      <c r="S67" s="27"/>
      <c r="T67" s="27"/>
      <c r="U67" s="27"/>
    </row>
    <row r="68" spans="1:21" hidden="1" outlineLevel="1">
      <c r="A68" s="27"/>
      <c r="B68" s="27"/>
      <c r="C68" s="27"/>
      <c r="D68" s="27"/>
      <c r="E68" s="27"/>
      <c r="F68" s="27"/>
      <c r="G68" s="27"/>
      <c r="H68" s="27"/>
      <c r="I68" s="27"/>
      <c r="J68" s="27"/>
      <c r="K68" s="27"/>
      <c r="L68" s="27"/>
      <c r="M68" s="27"/>
      <c r="N68" s="27"/>
      <c r="O68" s="27"/>
      <c r="P68" s="27"/>
      <c r="Q68" s="27"/>
      <c r="R68" s="27"/>
      <c r="S68" s="27"/>
      <c r="T68" s="27"/>
      <c r="U68" s="27"/>
    </row>
    <row r="69" spans="1:21" collapsed="1">
      <c r="A69" s="27" t="s">
        <v>198</v>
      </c>
      <c r="H69" s="49"/>
    </row>
    <row r="70" spans="1:21" hidden="1" outlineLevel="1">
      <c r="A70" s="27"/>
      <c r="B70" s="27"/>
      <c r="C70" s="27"/>
      <c r="D70" s="27"/>
    </row>
    <row r="71" spans="1:21" ht="49.5" hidden="1" customHeight="1" outlineLevel="1">
      <c r="A71" s="27"/>
      <c r="B71" s="50" t="s">
        <v>199</v>
      </c>
      <c r="C71" s="50" t="s">
        <v>222</v>
      </c>
      <c r="D71" s="50" t="s">
        <v>223</v>
      </c>
      <c r="E71" s="50" t="s">
        <v>200</v>
      </c>
      <c r="F71" s="50" t="s">
        <v>201</v>
      </c>
      <c r="G71" s="50" t="s">
        <v>202</v>
      </c>
      <c r="H71" s="50" t="s">
        <v>203</v>
      </c>
      <c r="I71" s="50" t="s">
        <v>204</v>
      </c>
      <c r="J71" s="50" t="s">
        <v>224</v>
      </c>
      <c r="K71" s="50" t="s">
        <v>205</v>
      </c>
      <c r="L71" s="50" t="s">
        <v>206</v>
      </c>
      <c r="M71" s="50" t="s">
        <v>225</v>
      </c>
      <c r="N71" s="50" t="s">
        <v>226</v>
      </c>
      <c r="O71" s="129" t="s">
        <v>227</v>
      </c>
      <c r="P71" s="129"/>
      <c r="Q71" s="129"/>
    </row>
    <row r="72" spans="1:21" ht="56.25" hidden="1" customHeight="1" outlineLevel="1">
      <c r="A72" s="27"/>
      <c r="B72" s="51"/>
      <c r="C72" s="52"/>
      <c r="D72" s="51"/>
      <c r="E72" s="53"/>
      <c r="F72" s="54"/>
      <c r="G72" s="54"/>
      <c r="H72" s="54"/>
      <c r="I72" s="55"/>
      <c r="J72" s="54"/>
      <c r="K72" s="55"/>
      <c r="L72" s="56"/>
      <c r="M72" s="54"/>
      <c r="N72" s="54"/>
      <c r="O72" s="127" t="s">
        <v>228</v>
      </c>
      <c r="P72" s="127"/>
      <c r="Q72" s="127"/>
    </row>
    <row r="73" spans="1:21" hidden="1" outlineLevel="1">
      <c r="A73" s="27"/>
      <c r="B73" s="51"/>
      <c r="C73" s="52"/>
      <c r="D73" s="51"/>
      <c r="E73" s="53"/>
      <c r="F73" s="54"/>
      <c r="G73" s="54"/>
      <c r="H73" s="54"/>
      <c r="I73" s="55"/>
      <c r="J73" s="54"/>
      <c r="K73" s="55"/>
      <c r="L73" s="56"/>
      <c r="M73" s="54"/>
      <c r="N73" s="54"/>
      <c r="O73" s="127"/>
      <c r="P73" s="127"/>
      <c r="Q73" s="127"/>
    </row>
    <row r="74" spans="1:21" hidden="1" outlineLevel="1">
      <c r="A74" s="27"/>
      <c r="B74" s="51"/>
      <c r="C74" s="52"/>
      <c r="D74" s="51"/>
      <c r="E74" s="53"/>
      <c r="F74" s="54"/>
      <c r="G74" s="54"/>
      <c r="H74" s="54"/>
      <c r="I74" s="57"/>
      <c r="J74" s="57"/>
      <c r="K74" s="57"/>
      <c r="L74" s="56"/>
      <c r="M74" s="54"/>
      <c r="N74" s="54"/>
      <c r="O74" s="127"/>
      <c r="P74" s="127"/>
      <c r="Q74" s="127"/>
    </row>
    <row r="75" spans="1:21" hidden="1" outlineLevel="1">
      <c r="A75" s="27"/>
      <c r="B75" s="51"/>
      <c r="C75" s="52"/>
      <c r="D75" s="51"/>
      <c r="E75" s="53"/>
      <c r="F75" s="54"/>
      <c r="G75" s="54"/>
      <c r="H75" s="54"/>
      <c r="I75" s="55"/>
      <c r="J75" s="54"/>
      <c r="K75" s="55"/>
      <c r="L75" s="56"/>
      <c r="M75" s="54"/>
      <c r="N75" s="54"/>
      <c r="O75" s="127"/>
      <c r="P75" s="127"/>
      <c r="Q75" s="127"/>
    </row>
    <row r="76" spans="1:21" hidden="1" outlineLevel="1">
      <c r="A76" s="27"/>
      <c r="B76" s="51"/>
      <c r="C76" s="52"/>
      <c r="D76" s="51"/>
      <c r="E76" s="53"/>
      <c r="F76" s="54"/>
      <c r="G76" s="54"/>
      <c r="H76" s="54"/>
      <c r="I76" s="55"/>
      <c r="J76" s="54"/>
      <c r="K76" s="55"/>
      <c r="L76" s="56"/>
      <c r="M76" s="54"/>
      <c r="N76" s="54"/>
      <c r="O76" s="127"/>
      <c r="P76" s="127"/>
      <c r="Q76" s="127"/>
    </row>
    <row r="77" spans="1:21" hidden="1" outlineLevel="1">
      <c r="A77" s="27"/>
      <c r="B77" s="51"/>
      <c r="C77" s="52"/>
      <c r="D77" s="51"/>
      <c r="E77" s="53"/>
      <c r="F77" s="54"/>
      <c r="G77" s="54"/>
      <c r="H77" s="54"/>
      <c r="I77" s="55"/>
      <c r="J77" s="54"/>
      <c r="K77" s="55"/>
      <c r="L77" s="56"/>
      <c r="M77" s="54"/>
      <c r="N77" s="54"/>
      <c r="O77" s="127"/>
      <c r="P77" s="127"/>
      <c r="Q77" s="127"/>
    </row>
    <row r="78" spans="1:21" hidden="1" outlineLevel="1">
      <c r="A78" s="27"/>
      <c r="B78" s="51"/>
      <c r="C78" s="58"/>
      <c r="D78" s="51"/>
      <c r="E78" s="53"/>
      <c r="F78" s="54"/>
      <c r="G78" s="54"/>
      <c r="H78" s="54"/>
      <c r="I78" s="59"/>
      <c r="J78" s="54"/>
      <c r="K78" s="59"/>
      <c r="L78" s="56"/>
      <c r="M78" s="54"/>
      <c r="N78" s="54"/>
      <c r="O78" s="127"/>
      <c r="P78" s="127"/>
      <c r="Q78" s="127"/>
    </row>
    <row r="79" spans="1:21" hidden="1" outlineLevel="1">
      <c r="A79" s="27"/>
      <c r="B79" s="51"/>
      <c r="C79" s="58"/>
      <c r="D79" s="51"/>
      <c r="E79" s="53"/>
      <c r="F79" s="54"/>
      <c r="G79" s="54"/>
      <c r="H79" s="54"/>
      <c r="I79" s="59"/>
      <c r="J79" s="54"/>
      <c r="K79" s="59"/>
      <c r="L79" s="56"/>
      <c r="M79" s="54"/>
      <c r="N79" s="54"/>
      <c r="O79" s="127"/>
      <c r="P79" s="127"/>
      <c r="Q79" s="127"/>
    </row>
    <row r="80" spans="1:21" hidden="1" outlineLevel="1">
      <c r="A80" s="27"/>
      <c r="B80" s="51"/>
      <c r="C80" s="58"/>
      <c r="D80" s="51"/>
      <c r="E80" s="53"/>
      <c r="F80" s="54"/>
      <c r="G80" s="54"/>
      <c r="H80" s="54"/>
      <c r="I80" s="59"/>
      <c r="J80" s="54"/>
      <c r="K80" s="59"/>
      <c r="L80" s="56"/>
      <c r="M80" s="54"/>
      <c r="N80" s="54"/>
      <c r="O80" s="127"/>
      <c r="P80" s="127"/>
      <c r="Q80" s="127"/>
    </row>
    <row r="81" spans="1:17" hidden="1" outlineLevel="1">
      <c r="A81" s="27"/>
      <c r="B81" s="51"/>
      <c r="C81" s="60"/>
      <c r="D81" s="51"/>
      <c r="E81" s="53"/>
      <c r="F81" s="61"/>
      <c r="G81" s="61"/>
      <c r="H81" s="61"/>
      <c r="I81" s="62"/>
      <c r="J81" s="62"/>
      <c r="K81" s="63"/>
      <c r="L81" s="56"/>
      <c r="M81" s="61"/>
      <c r="N81" s="61"/>
      <c r="O81" s="127"/>
      <c r="P81" s="127"/>
      <c r="Q81" s="127"/>
    </row>
    <row r="82" spans="1:17" ht="15" hidden="1" customHeight="1" outlineLevel="1">
      <c r="P82" s="64"/>
    </row>
    <row r="83" spans="1:17" collapsed="1">
      <c r="A83" s="27" t="s">
        <v>207</v>
      </c>
      <c r="G83" s="65"/>
      <c r="H83" s="65"/>
    </row>
    <row r="84" spans="1:17" hidden="1" outlineLevel="1" collapsed="1">
      <c r="A84" s="41" t="s">
        <v>229</v>
      </c>
    </row>
    <row r="85" spans="1:17" hidden="1" outlineLevel="2"/>
    <row r="86" spans="1:17" hidden="1" outlineLevel="2"/>
    <row r="87" spans="1:17" hidden="1" outlineLevel="2"/>
    <row r="88" spans="1:17" hidden="1" outlineLevel="2"/>
    <row r="89" spans="1:17" hidden="1" outlineLevel="2"/>
    <row r="90" spans="1:17" hidden="1" outlineLevel="1" collapsed="1">
      <c r="A90" s="41" t="s">
        <v>230</v>
      </c>
    </row>
    <row r="91" spans="1:17" hidden="1" outlineLevel="2"/>
    <row r="92" spans="1:17" hidden="1" outlineLevel="2"/>
    <row r="93" spans="1:17" hidden="1" outlineLevel="2"/>
    <row r="94" spans="1:17" hidden="1" outlineLevel="2"/>
    <row r="95" spans="1:17" hidden="1" outlineLevel="2"/>
    <row r="96" spans="1:17" hidden="1" outlineLevel="1"/>
  </sheetData>
  <mergeCells count="12">
    <mergeCell ref="O81:Q81"/>
    <mergeCell ref="A25:G25"/>
    <mergeCell ref="O71:Q71"/>
    <mergeCell ref="O72:Q72"/>
    <mergeCell ref="O73:Q73"/>
    <mergeCell ref="O74:Q74"/>
    <mergeCell ref="O75:Q75"/>
    <mergeCell ref="O76:Q76"/>
    <mergeCell ref="O77:Q77"/>
    <mergeCell ref="O78:Q78"/>
    <mergeCell ref="O79:Q79"/>
    <mergeCell ref="O80:Q80"/>
  </mergeCells>
  <dataValidations count="1">
    <dataValidation type="list" allowBlank="1" showInputMessage="1" showErrorMessage="1" sqref="A3 A9">
      <formula1>"Base Year (BY), Then Year (TY)"</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tint="-0.499984740745262"/>
  </sheetPr>
  <dimension ref="B1:E1316"/>
  <sheetViews>
    <sheetView workbookViewId="0">
      <selection activeCell="F16" sqref="F16"/>
    </sheetView>
  </sheetViews>
  <sheetFormatPr defaultColWidth="9.140625" defaultRowHeight="12.75"/>
  <cols>
    <col min="1" max="1" width="9.140625" style="93"/>
    <col min="2" max="2" width="48.5703125" style="93" bestFit="1" customWidth="1"/>
    <col min="3" max="3" width="13" style="94" bestFit="1" customWidth="1"/>
    <col min="4" max="4" width="70.85546875" style="94" bestFit="1" customWidth="1"/>
    <col min="5" max="5" width="4.28515625" style="94" customWidth="1"/>
    <col min="6" max="16384" width="9.140625" style="93"/>
  </cols>
  <sheetData>
    <row r="1" spans="2:4">
      <c r="B1" s="124" t="s">
        <v>1748</v>
      </c>
      <c r="C1" s="125" t="s">
        <v>1749</v>
      </c>
      <c r="D1" s="126" t="s">
        <v>1448</v>
      </c>
    </row>
    <row r="2" spans="2:4" hidden="1">
      <c r="B2" s="118" t="s">
        <v>1459</v>
      </c>
      <c r="C2" s="95">
        <v>1</v>
      </c>
      <c r="D2" s="122" t="s">
        <v>1447</v>
      </c>
    </row>
    <row r="3" spans="2:4" hidden="1">
      <c r="B3" s="118" t="s">
        <v>1459</v>
      </c>
      <c r="C3" s="96">
        <v>1.1000000000000001</v>
      </c>
      <c r="D3" s="122" t="s">
        <v>21</v>
      </c>
    </row>
    <row r="4" spans="2:4" hidden="1">
      <c r="B4" s="118" t="s">
        <v>1459</v>
      </c>
      <c r="C4" s="96" t="s">
        <v>1422</v>
      </c>
      <c r="D4" s="119" t="s">
        <v>1425</v>
      </c>
    </row>
    <row r="5" spans="2:4" hidden="1">
      <c r="B5" s="118" t="s">
        <v>1459</v>
      </c>
      <c r="C5" s="96" t="s">
        <v>1415</v>
      </c>
      <c r="D5" s="122" t="s">
        <v>1417</v>
      </c>
    </row>
    <row r="6" spans="2:4" hidden="1">
      <c r="B6" s="118" t="s">
        <v>1459</v>
      </c>
      <c r="C6" s="96" t="s">
        <v>1408</v>
      </c>
      <c r="D6" s="119" t="s">
        <v>1410</v>
      </c>
    </row>
    <row r="7" spans="2:4" hidden="1">
      <c r="B7" s="118" t="s">
        <v>1459</v>
      </c>
      <c r="C7" s="96" t="s">
        <v>1402</v>
      </c>
      <c r="D7" s="119" t="s">
        <v>22</v>
      </c>
    </row>
    <row r="8" spans="2:4" hidden="1">
      <c r="B8" s="118" t="s">
        <v>1459</v>
      </c>
      <c r="C8" s="96" t="s">
        <v>1396</v>
      </c>
      <c r="D8" s="119" t="s">
        <v>1395</v>
      </c>
    </row>
    <row r="9" spans="2:4" hidden="1">
      <c r="B9" s="118" t="s">
        <v>1459</v>
      </c>
      <c r="C9" s="96" t="s">
        <v>1389</v>
      </c>
      <c r="D9" s="119" t="s">
        <v>1388</v>
      </c>
    </row>
    <row r="10" spans="2:4" hidden="1">
      <c r="B10" s="118" t="s">
        <v>1459</v>
      </c>
      <c r="C10" s="96" t="s">
        <v>1379</v>
      </c>
      <c r="D10" s="119" t="s">
        <v>1384</v>
      </c>
    </row>
    <row r="11" spans="2:4" hidden="1">
      <c r="B11" s="118" t="s">
        <v>1459</v>
      </c>
      <c r="C11" s="96" t="s">
        <v>1369</v>
      </c>
      <c r="D11" s="119" t="s">
        <v>1368</v>
      </c>
    </row>
    <row r="12" spans="2:4" hidden="1">
      <c r="B12" s="118" t="s">
        <v>1459</v>
      </c>
      <c r="C12" s="96" t="s">
        <v>1295</v>
      </c>
      <c r="D12" s="119" t="s">
        <v>1360</v>
      </c>
    </row>
    <row r="13" spans="2:4" hidden="1">
      <c r="B13" s="118" t="s">
        <v>1459</v>
      </c>
      <c r="C13" s="96" t="s">
        <v>1286</v>
      </c>
      <c r="D13" s="122" t="s">
        <v>1356</v>
      </c>
    </row>
    <row r="14" spans="2:4" hidden="1">
      <c r="B14" s="118" t="s">
        <v>1459</v>
      </c>
      <c r="C14" s="96" t="s">
        <v>1276</v>
      </c>
      <c r="D14" s="119" t="s">
        <v>1340</v>
      </c>
    </row>
    <row r="15" spans="2:4" hidden="1">
      <c r="B15" s="118" t="s">
        <v>1459</v>
      </c>
      <c r="C15" s="96" t="s">
        <v>1268</v>
      </c>
      <c r="D15" s="119" t="s">
        <v>1331</v>
      </c>
    </row>
    <row r="16" spans="2:4" hidden="1">
      <c r="B16" s="118" t="s">
        <v>1459</v>
      </c>
      <c r="C16" s="96" t="s">
        <v>1260</v>
      </c>
      <c r="D16" s="119" t="s">
        <v>1324</v>
      </c>
    </row>
    <row r="17" spans="2:4" hidden="1">
      <c r="B17" s="118" t="s">
        <v>1459</v>
      </c>
      <c r="C17" s="96" t="s">
        <v>1250</v>
      </c>
      <c r="D17" s="119" t="s">
        <v>1316</v>
      </c>
    </row>
    <row r="18" spans="2:4" hidden="1">
      <c r="B18" s="118" t="s">
        <v>1459</v>
      </c>
      <c r="C18" s="96" t="s">
        <v>1243</v>
      </c>
      <c r="D18" s="119" t="s">
        <v>1311</v>
      </c>
    </row>
    <row r="19" spans="2:4" hidden="1">
      <c r="B19" s="118" t="s">
        <v>1459</v>
      </c>
      <c r="C19" s="96" t="s">
        <v>1299</v>
      </c>
      <c r="D19" s="119" t="s">
        <v>1303</v>
      </c>
    </row>
    <row r="20" spans="2:4" hidden="1">
      <c r="B20" s="118" t="s">
        <v>1459</v>
      </c>
      <c r="C20" s="96" t="s">
        <v>1290</v>
      </c>
      <c r="D20" s="119" t="s">
        <v>1296</v>
      </c>
    </row>
    <row r="21" spans="2:4" hidden="1">
      <c r="B21" s="118" t="s">
        <v>1459</v>
      </c>
      <c r="C21" s="96" t="s">
        <v>1281</v>
      </c>
      <c r="D21" s="119" t="s">
        <v>23</v>
      </c>
    </row>
    <row r="22" spans="2:4" hidden="1">
      <c r="B22" s="118" t="s">
        <v>1459</v>
      </c>
      <c r="C22" s="96" t="s">
        <v>1273</v>
      </c>
      <c r="D22" s="119" t="s">
        <v>1277</v>
      </c>
    </row>
    <row r="23" spans="2:4" hidden="1">
      <c r="B23" s="118" t="s">
        <v>1459</v>
      </c>
      <c r="C23" s="96" t="s">
        <v>1264</v>
      </c>
      <c r="D23" s="119" t="s">
        <v>1269</v>
      </c>
    </row>
    <row r="24" spans="2:4" hidden="1">
      <c r="B24" s="118" t="s">
        <v>1459</v>
      </c>
      <c r="C24" s="96" t="s">
        <v>1256</v>
      </c>
      <c r="D24" s="119" t="s">
        <v>1261</v>
      </c>
    </row>
    <row r="25" spans="2:4" hidden="1">
      <c r="B25" s="118" t="s">
        <v>1459</v>
      </c>
      <c r="C25" s="96" t="s">
        <v>1252</v>
      </c>
      <c r="D25" s="119" t="s">
        <v>1251</v>
      </c>
    </row>
    <row r="26" spans="2:4" hidden="1">
      <c r="B26" s="118" t="s">
        <v>1459</v>
      </c>
      <c r="C26" s="96" t="s">
        <v>1234</v>
      </c>
      <c r="D26" s="119" t="s">
        <v>1244</v>
      </c>
    </row>
    <row r="27" spans="2:4" hidden="1">
      <c r="B27" s="118" t="s">
        <v>1459</v>
      </c>
      <c r="C27" s="96" t="s">
        <v>1226</v>
      </c>
      <c r="D27" s="122" t="s">
        <v>1235</v>
      </c>
    </row>
    <row r="28" spans="2:4" hidden="1">
      <c r="B28" s="118" t="s">
        <v>1459</v>
      </c>
      <c r="C28" s="96" t="s">
        <v>1220</v>
      </c>
      <c r="D28" s="119" t="s">
        <v>1227</v>
      </c>
    </row>
    <row r="29" spans="2:4" hidden="1">
      <c r="B29" s="118" t="s">
        <v>1459</v>
      </c>
      <c r="C29" s="96" t="s">
        <v>1214</v>
      </c>
      <c r="D29" s="119" t="s">
        <v>1221</v>
      </c>
    </row>
    <row r="30" spans="2:4" hidden="1">
      <c r="B30" s="118" t="s">
        <v>1459</v>
      </c>
      <c r="C30" s="96" t="s">
        <v>1207</v>
      </c>
      <c r="D30" s="119" t="s">
        <v>1195</v>
      </c>
    </row>
    <row r="31" spans="2:4" hidden="1">
      <c r="B31" s="118" t="s">
        <v>1459</v>
      </c>
      <c r="C31" s="96" t="s">
        <v>1198</v>
      </c>
      <c r="D31" s="119" t="s">
        <v>937</v>
      </c>
    </row>
    <row r="32" spans="2:4" hidden="1">
      <c r="B32" s="118" t="s">
        <v>1459</v>
      </c>
      <c r="C32" s="96" t="s">
        <v>1200</v>
      </c>
      <c r="D32" s="119" t="s">
        <v>1199</v>
      </c>
    </row>
    <row r="33" spans="2:4" hidden="1">
      <c r="B33" s="118" t="s">
        <v>1459</v>
      </c>
      <c r="C33" s="96" t="s">
        <v>1191</v>
      </c>
      <c r="D33" s="119" t="s">
        <v>1190</v>
      </c>
    </row>
    <row r="34" spans="2:4" hidden="1">
      <c r="B34" s="118" t="s">
        <v>1459</v>
      </c>
      <c r="C34" s="96" t="s">
        <v>1183</v>
      </c>
      <c r="D34" s="119" t="s">
        <v>1182</v>
      </c>
    </row>
    <row r="35" spans="2:4" hidden="1">
      <c r="B35" s="118" t="s">
        <v>1459</v>
      </c>
      <c r="C35" s="96" t="s">
        <v>1174</v>
      </c>
      <c r="D35" s="119" t="s">
        <v>1173</v>
      </c>
    </row>
    <row r="36" spans="2:4" hidden="1">
      <c r="B36" s="118" t="s">
        <v>1459</v>
      </c>
      <c r="C36" s="96" t="s">
        <v>1167</v>
      </c>
      <c r="D36" s="119" t="s">
        <v>1166</v>
      </c>
    </row>
    <row r="37" spans="2:4" hidden="1">
      <c r="B37" s="118" t="s">
        <v>1459</v>
      </c>
      <c r="C37" s="96" t="s">
        <v>1158</v>
      </c>
      <c r="D37" s="119" t="s">
        <v>1157</v>
      </c>
    </row>
    <row r="38" spans="2:4" hidden="1">
      <c r="B38" s="118" t="s">
        <v>1459</v>
      </c>
      <c r="C38" s="96" t="s">
        <v>1150</v>
      </c>
      <c r="D38" s="119" t="s">
        <v>1149</v>
      </c>
    </row>
    <row r="39" spans="2:4" hidden="1">
      <c r="B39" s="118" t="s">
        <v>1459</v>
      </c>
      <c r="C39" s="96" t="s">
        <v>1144</v>
      </c>
      <c r="D39" s="119" t="s">
        <v>1143</v>
      </c>
    </row>
    <row r="40" spans="2:4" hidden="1">
      <c r="B40" s="118" t="s">
        <v>1459</v>
      </c>
      <c r="C40" s="96" t="s">
        <v>1137</v>
      </c>
      <c r="D40" s="119" t="s">
        <v>1136</v>
      </c>
    </row>
    <row r="41" spans="2:4" hidden="1">
      <c r="B41" s="118" t="s">
        <v>1459</v>
      </c>
      <c r="C41" s="96" t="s">
        <v>1131</v>
      </c>
      <c r="D41" s="119" t="s">
        <v>903</v>
      </c>
    </row>
    <row r="42" spans="2:4" hidden="1">
      <c r="B42" s="118" t="s">
        <v>1459</v>
      </c>
      <c r="C42" s="96" t="s">
        <v>1094</v>
      </c>
      <c r="D42" s="119" t="s">
        <v>1123</v>
      </c>
    </row>
    <row r="43" spans="2:4" hidden="1">
      <c r="B43" s="118" t="s">
        <v>1459</v>
      </c>
      <c r="C43" s="96" t="s">
        <v>1055</v>
      </c>
      <c r="D43" s="119" t="s">
        <v>960</v>
      </c>
    </row>
    <row r="44" spans="2:4" hidden="1">
      <c r="B44" s="118" t="s">
        <v>1459</v>
      </c>
      <c r="C44" s="96" t="s">
        <v>998</v>
      </c>
      <c r="D44" s="122" t="s">
        <v>1107</v>
      </c>
    </row>
    <row r="45" spans="2:4" hidden="1">
      <c r="B45" s="118" t="s">
        <v>1459</v>
      </c>
      <c r="C45" s="96">
        <v>1.2</v>
      </c>
      <c r="D45" s="119" t="s">
        <v>880</v>
      </c>
    </row>
    <row r="46" spans="2:4" hidden="1">
      <c r="B46" s="118" t="s">
        <v>1459</v>
      </c>
      <c r="C46" s="96">
        <v>1.3</v>
      </c>
      <c r="D46" s="119" t="s">
        <v>349</v>
      </c>
    </row>
    <row r="47" spans="2:4" hidden="1">
      <c r="B47" s="118" t="s">
        <v>1459</v>
      </c>
      <c r="C47" s="96">
        <v>1.4</v>
      </c>
      <c r="D47" s="119" t="s">
        <v>876</v>
      </c>
    </row>
    <row r="48" spans="2:4" hidden="1">
      <c r="B48" s="118" t="s">
        <v>1459</v>
      </c>
      <c r="C48" s="96" t="s">
        <v>563</v>
      </c>
      <c r="D48" s="119" t="s">
        <v>873</v>
      </c>
    </row>
    <row r="49" spans="2:4" hidden="1">
      <c r="B49" s="118" t="s">
        <v>1459</v>
      </c>
      <c r="C49" s="96" t="s">
        <v>558</v>
      </c>
      <c r="D49" s="119" t="s">
        <v>871</v>
      </c>
    </row>
    <row r="50" spans="2:4" hidden="1">
      <c r="B50" s="118" t="s">
        <v>1459</v>
      </c>
      <c r="C50" s="96" t="s">
        <v>539</v>
      </c>
      <c r="D50" s="119" t="s">
        <v>868</v>
      </c>
    </row>
    <row r="51" spans="2:4" hidden="1">
      <c r="B51" s="118" t="s">
        <v>1459</v>
      </c>
      <c r="C51" s="96" t="s">
        <v>524</v>
      </c>
      <c r="D51" s="119" t="s">
        <v>865</v>
      </c>
    </row>
    <row r="52" spans="2:4" hidden="1">
      <c r="B52" s="118" t="s">
        <v>1459</v>
      </c>
      <c r="C52" s="96" t="s">
        <v>499</v>
      </c>
      <c r="D52" s="119" t="s">
        <v>860</v>
      </c>
    </row>
    <row r="53" spans="2:4" hidden="1">
      <c r="B53" s="118" t="s">
        <v>1459</v>
      </c>
      <c r="C53" s="96">
        <v>1.5</v>
      </c>
      <c r="D53" s="119" t="s">
        <v>856</v>
      </c>
    </row>
    <row r="54" spans="2:4" hidden="1">
      <c r="B54" s="118" t="s">
        <v>1459</v>
      </c>
      <c r="C54" s="96" t="s">
        <v>446</v>
      </c>
      <c r="D54" s="119" t="s">
        <v>853</v>
      </c>
    </row>
    <row r="55" spans="2:4" hidden="1">
      <c r="B55" s="118" t="s">
        <v>1459</v>
      </c>
      <c r="C55" s="96" t="s">
        <v>441</v>
      </c>
      <c r="D55" s="119" t="s">
        <v>850</v>
      </c>
    </row>
    <row r="56" spans="2:4" hidden="1">
      <c r="B56" s="118" t="s">
        <v>1459</v>
      </c>
      <c r="C56" s="96" t="s">
        <v>437</v>
      </c>
      <c r="D56" s="119" t="s">
        <v>846</v>
      </c>
    </row>
    <row r="57" spans="2:4" hidden="1">
      <c r="B57" s="118" t="s">
        <v>1459</v>
      </c>
      <c r="C57" s="96">
        <v>1.6</v>
      </c>
      <c r="D57" s="119" t="s">
        <v>843</v>
      </c>
    </row>
    <row r="58" spans="2:4" hidden="1">
      <c r="B58" s="118" t="s">
        <v>1459</v>
      </c>
      <c r="C58" s="96" t="s">
        <v>431</v>
      </c>
      <c r="D58" s="119" t="s">
        <v>839</v>
      </c>
    </row>
    <row r="59" spans="2:4" hidden="1">
      <c r="B59" s="118" t="s">
        <v>1459</v>
      </c>
      <c r="C59" s="96" t="s">
        <v>426</v>
      </c>
      <c r="D59" s="119" t="s">
        <v>834</v>
      </c>
    </row>
    <row r="60" spans="2:4" hidden="1">
      <c r="B60" s="118" t="s">
        <v>1459</v>
      </c>
      <c r="C60" s="96" t="s">
        <v>417</v>
      </c>
      <c r="D60" s="119" t="s">
        <v>830</v>
      </c>
    </row>
    <row r="61" spans="2:4" hidden="1">
      <c r="B61" s="118" t="s">
        <v>1459</v>
      </c>
      <c r="C61" s="96" t="s">
        <v>967</v>
      </c>
      <c r="D61" s="119" t="s">
        <v>826</v>
      </c>
    </row>
    <row r="62" spans="2:4" hidden="1">
      <c r="B62" s="118" t="s">
        <v>1459</v>
      </c>
      <c r="C62" s="96" t="s">
        <v>962</v>
      </c>
      <c r="D62" s="119" t="s">
        <v>822</v>
      </c>
    </row>
    <row r="63" spans="2:4" hidden="1">
      <c r="B63" s="118" t="s">
        <v>1459</v>
      </c>
      <c r="C63" s="96">
        <v>1.7</v>
      </c>
      <c r="D63" s="119" t="s">
        <v>820</v>
      </c>
    </row>
    <row r="64" spans="2:4" hidden="1">
      <c r="B64" s="118" t="s">
        <v>1459</v>
      </c>
      <c r="C64" s="96" t="s">
        <v>414</v>
      </c>
      <c r="D64" s="119" t="s">
        <v>810</v>
      </c>
    </row>
    <row r="65" spans="2:4" hidden="1">
      <c r="B65" s="118" t="s">
        <v>1459</v>
      </c>
      <c r="C65" s="96" t="s">
        <v>409</v>
      </c>
      <c r="D65" s="119" t="s">
        <v>807</v>
      </c>
    </row>
    <row r="66" spans="2:4" hidden="1">
      <c r="B66" s="118" t="s">
        <v>1459</v>
      </c>
      <c r="C66" s="96">
        <v>1.8</v>
      </c>
      <c r="D66" s="119" t="s">
        <v>814</v>
      </c>
    </row>
    <row r="67" spans="2:4" hidden="1">
      <c r="B67" s="118" t="s">
        <v>1459</v>
      </c>
      <c r="C67" s="96" t="s">
        <v>356</v>
      </c>
      <c r="D67" s="119" t="s">
        <v>810</v>
      </c>
    </row>
    <row r="68" spans="2:4" hidden="1">
      <c r="B68" s="118" t="s">
        <v>1459</v>
      </c>
      <c r="C68" s="96" t="s">
        <v>346</v>
      </c>
      <c r="D68" s="119" t="s">
        <v>807</v>
      </c>
    </row>
    <row r="69" spans="2:4" hidden="1">
      <c r="B69" s="118" t="s">
        <v>1459</v>
      </c>
      <c r="C69" s="96">
        <v>1.9</v>
      </c>
      <c r="D69" s="119" t="s">
        <v>805</v>
      </c>
    </row>
    <row r="70" spans="2:4" hidden="1">
      <c r="B70" s="118" t="s">
        <v>1459</v>
      </c>
      <c r="C70" s="96" t="s">
        <v>335</v>
      </c>
      <c r="D70" s="119" t="s">
        <v>802</v>
      </c>
    </row>
    <row r="71" spans="2:4" hidden="1">
      <c r="B71" s="118" t="s">
        <v>1459</v>
      </c>
      <c r="C71" s="96" t="s">
        <v>334</v>
      </c>
      <c r="D71" s="119" t="s">
        <v>799</v>
      </c>
    </row>
    <row r="72" spans="2:4" hidden="1">
      <c r="B72" s="118" t="s">
        <v>1459</v>
      </c>
      <c r="C72" s="96" t="s">
        <v>332</v>
      </c>
      <c r="D72" s="119" t="s">
        <v>795</v>
      </c>
    </row>
    <row r="73" spans="2:4" hidden="1">
      <c r="B73" s="118" t="s">
        <v>1459</v>
      </c>
      <c r="C73" s="96" t="s">
        <v>923</v>
      </c>
      <c r="D73" s="119" t="s">
        <v>792</v>
      </c>
    </row>
    <row r="74" spans="2:4" hidden="1">
      <c r="B74" s="118" t="s">
        <v>1459</v>
      </c>
      <c r="C74" s="96" t="s">
        <v>919</v>
      </c>
      <c r="D74" s="119" t="s">
        <v>789</v>
      </c>
    </row>
    <row r="75" spans="2:4" hidden="1">
      <c r="B75" s="118" t="s">
        <v>1459</v>
      </c>
      <c r="C75" s="97">
        <v>1.1000000000000001</v>
      </c>
      <c r="D75" s="119" t="s">
        <v>787</v>
      </c>
    </row>
    <row r="76" spans="2:4" hidden="1">
      <c r="B76" s="118" t="s">
        <v>1459</v>
      </c>
      <c r="C76" s="96" t="s">
        <v>329</v>
      </c>
      <c r="D76" s="119" t="s">
        <v>784</v>
      </c>
    </row>
    <row r="77" spans="2:4" hidden="1">
      <c r="B77" s="118" t="s">
        <v>1459</v>
      </c>
      <c r="C77" s="96" t="s">
        <v>835</v>
      </c>
      <c r="D77" s="119" t="s">
        <v>781</v>
      </c>
    </row>
    <row r="78" spans="2:4" hidden="1">
      <c r="B78" s="118" t="s">
        <v>1459</v>
      </c>
      <c r="C78" s="96" t="s">
        <v>831</v>
      </c>
      <c r="D78" s="119" t="s">
        <v>778</v>
      </c>
    </row>
    <row r="79" spans="2:4" hidden="1">
      <c r="B79" s="118" t="s">
        <v>1459</v>
      </c>
      <c r="C79" s="96">
        <v>1.1100000000000001</v>
      </c>
      <c r="D79" s="119" t="s">
        <v>776</v>
      </c>
    </row>
    <row r="80" spans="2:4" hidden="1">
      <c r="B80" s="118" t="s">
        <v>1458</v>
      </c>
      <c r="C80" s="96">
        <v>1</v>
      </c>
      <c r="D80" s="119" t="s">
        <v>1446</v>
      </c>
    </row>
    <row r="81" spans="2:5" hidden="1">
      <c r="B81" s="118" t="s">
        <v>1458</v>
      </c>
      <c r="C81" s="96">
        <v>1.1000000000000001</v>
      </c>
      <c r="D81" s="119" t="s">
        <v>1436</v>
      </c>
      <c r="E81" s="93"/>
    </row>
    <row r="82" spans="2:5" hidden="1">
      <c r="B82" s="118" t="s">
        <v>1458</v>
      </c>
      <c r="C82" s="96" t="s">
        <v>1422</v>
      </c>
      <c r="D82" s="119" t="s">
        <v>1428</v>
      </c>
      <c r="E82" s="93"/>
    </row>
    <row r="83" spans="2:5" hidden="1">
      <c r="B83" s="118" t="s">
        <v>1458</v>
      </c>
      <c r="C83" s="96" t="s">
        <v>1415</v>
      </c>
      <c r="D83" s="119" t="s">
        <v>1420</v>
      </c>
      <c r="E83" s="93"/>
    </row>
    <row r="84" spans="2:5" hidden="1">
      <c r="B84" s="118" t="s">
        <v>1458</v>
      </c>
      <c r="C84" s="96" t="s">
        <v>1408</v>
      </c>
      <c r="D84" s="119" t="s">
        <v>1413</v>
      </c>
      <c r="E84" s="93"/>
    </row>
    <row r="85" spans="2:5" hidden="1">
      <c r="B85" s="118" t="s">
        <v>1458</v>
      </c>
      <c r="C85" s="96" t="s">
        <v>1402</v>
      </c>
      <c r="D85" s="119" t="s">
        <v>1375</v>
      </c>
      <c r="E85" s="93"/>
    </row>
    <row r="86" spans="2:5" hidden="1">
      <c r="B86" s="118" t="s">
        <v>1458</v>
      </c>
      <c r="C86" s="96" t="s">
        <v>1369</v>
      </c>
      <c r="D86" s="119" t="s">
        <v>1400</v>
      </c>
      <c r="E86" s="93"/>
    </row>
    <row r="87" spans="2:5" hidden="1">
      <c r="B87" s="118" t="s">
        <v>1458</v>
      </c>
      <c r="C87" s="96" t="s">
        <v>1374</v>
      </c>
      <c r="D87" s="119" t="s">
        <v>1392</v>
      </c>
      <c r="E87" s="93"/>
    </row>
    <row r="88" spans="2:5" hidden="1">
      <c r="B88" s="118" t="s">
        <v>1458</v>
      </c>
      <c r="C88" s="96" t="s">
        <v>1364</v>
      </c>
      <c r="D88" s="119" t="s">
        <v>1383</v>
      </c>
      <c r="E88" s="93"/>
    </row>
    <row r="89" spans="2:5" hidden="1">
      <c r="B89" s="118" t="s">
        <v>1458</v>
      </c>
      <c r="C89" s="96" t="s">
        <v>1353</v>
      </c>
      <c r="D89" s="119" t="s">
        <v>1375</v>
      </c>
      <c r="E89" s="93"/>
    </row>
    <row r="90" spans="2:5" hidden="1">
      <c r="B90" s="118" t="s">
        <v>1458</v>
      </c>
      <c r="C90" s="96" t="s">
        <v>1295</v>
      </c>
      <c r="D90" s="119" t="s">
        <v>1366</v>
      </c>
      <c r="E90" s="93"/>
    </row>
    <row r="91" spans="2:5" hidden="1">
      <c r="B91" s="118" t="s">
        <v>1458</v>
      </c>
      <c r="C91" s="96">
        <v>1.2</v>
      </c>
      <c r="D91" s="119" t="s">
        <v>1355</v>
      </c>
      <c r="E91" s="93"/>
    </row>
    <row r="92" spans="2:5" hidden="1">
      <c r="B92" s="118" t="s">
        <v>1458</v>
      </c>
      <c r="C92" s="96">
        <v>1.3</v>
      </c>
      <c r="D92" s="119" t="s">
        <v>880</v>
      </c>
      <c r="E92" s="93"/>
    </row>
    <row r="93" spans="2:5" hidden="1">
      <c r="B93" s="118" t="s">
        <v>1458</v>
      </c>
      <c r="C93" s="96">
        <v>1.4</v>
      </c>
      <c r="D93" s="119" t="s">
        <v>349</v>
      </c>
      <c r="E93" s="93"/>
    </row>
    <row r="94" spans="2:5" hidden="1">
      <c r="B94" s="118" t="s">
        <v>1458</v>
      </c>
      <c r="C94" s="96">
        <v>1.5</v>
      </c>
      <c r="D94" s="119" t="s">
        <v>876</v>
      </c>
      <c r="E94" s="93"/>
    </row>
    <row r="95" spans="2:5" hidden="1">
      <c r="B95" s="118" t="s">
        <v>1458</v>
      </c>
      <c r="C95" s="96" t="s">
        <v>446</v>
      </c>
      <c r="D95" s="119" t="s">
        <v>873</v>
      </c>
      <c r="E95" s="93"/>
    </row>
    <row r="96" spans="2:5" hidden="1">
      <c r="B96" s="118" t="s">
        <v>1458</v>
      </c>
      <c r="C96" s="96" t="s">
        <v>441</v>
      </c>
      <c r="D96" s="119" t="s">
        <v>871</v>
      </c>
      <c r="E96" s="93"/>
    </row>
    <row r="97" spans="2:5" hidden="1">
      <c r="B97" s="118" t="s">
        <v>1458</v>
      </c>
      <c r="C97" s="96" t="s">
        <v>437</v>
      </c>
      <c r="D97" s="119" t="s">
        <v>868</v>
      </c>
      <c r="E97" s="93"/>
    </row>
    <row r="98" spans="2:5" hidden="1">
      <c r="B98" s="118" t="s">
        <v>1458</v>
      </c>
      <c r="C98" s="96" t="s">
        <v>1028</v>
      </c>
      <c r="D98" s="119" t="s">
        <v>865</v>
      </c>
      <c r="E98" s="93"/>
    </row>
    <row r="99" spans="2:5" hidden="1">
      <c r="B99" s="118" t="s">
        <v>1458</v>
      </c>
      <c r="C99" s="96" t="s">
        <v>1208</v>
      </c>
      <c r="D99" s="119" t="s">
        <v>860</v>
      </c>
      <c r="E99" s="93"/>
    </row>
    <row r="100" spans="2:5" hidden="1">
      <c r="B100" s="118" t="s">
        <v>1458</v>
      </c>
      <c r="C100" s="96">
        <v>1.6</v>
      </c>
      <c r="D100" s="119" t="s">
        <v>856</v>
      </c>
      <c r="E100" s="93"/>
    </row>
    <row r="101" spans="2:5" hidden="1">
      <c r="B101" s="118" t="s">
        <v>1458</v>
      </c>
      <c r="C101" s="96" t="s">
        <v>431</v>
      </c>
      <c r="D101" s="119" t="s">
        <v>853</v>
      </c>
      <c r="E101" s="93"/>
    </row>
    <row r="102" spans="2:5" hidden="1">
      <c r="B102" s="118" t="s">
        <v>1458</v>
      </c>
      <c r="C102" s="96" t="s">
        <v>426</v>
      </c>
      <c r="D102" s="119" t="s">
        <v>850</v>
      </c>
      <c r="E102" s="93"/>
    </row>
    <row r="103" spans="2:5" hidden="1">
      <c r="B103" s="118" t="s">
        <v>1458</v>
      </c>
      <c r="C103" s="96" t="s">
        <v>417</v>
      </c>
      <c r="D103" s="119" t="s">
        <v>846</v>
      </c>
      <c r="E103" s="93"/>
    </row>
    <row r="104" spans="2:5" hidden="1">
      <c r="B104" s="118" t="s">
        <v>1458</v>
      </c>
      <c r="C104" s="96">
        <v>1.7</v>
      </c>
      <c r="D104" s="119" t="s">
        <v>843</v>
      </c>
      <c r="E104" s="93"/>
    </row>
    <row r="105" spans="2:5" hidden="1">
      <c r="B105" s="118" t="s">
        <v>1458</v>
      </c>
      <c r="C105" s="96" t="s">
        <v>414</v>
      </c>
      <c r="D105" s="119" t="s">
        <v>839</v>
      </c>
      <c r="E105" s="93"/>
    </row>
    <row r="106" spans="2:5" hidden="1">
      <c r="B106" s="118" t="s">
        <v>1458</v>
      </c>
      <c r="C106" s="96" t="s">
        <v>409</v>
      </c>
      <c r="D106" s="119" t="s">
        <v>834</v>
      </c>
      <c r="E106" s="93"/>
    </row>
    <row r="107" spans="2:5" hidden="1">
      <c r="B107" s="118" t="s">
        <v>1458</v>
      </c>
      <c r="C107" s="96" t="s">
        <v>392</v>
      </c>
      <c r="D107" s="119" t="s">
        <v>830</v>
      </c>
      <c r="E107" s="93"/>
    </row>
    <row r="108" spans="2:5" hidden="1">
      <c r="B108" s="118" t="s">
        <v>1458</v>
      </c>
      <c r="C108" s="96" t="s">
        <v>390</v>
      </c>
      <c r="D108" s="119" t="s">
        <v>826</v>
      </c>
      <c r="E108" s="93"/>
    </row>
    <row r="109" spans="2:5" hidden="1">
      <c r="B109" s="118" t="s">
        <v>1458</v>
      </c>
      <c r="C109" s="96" t="s">
        <v>379</v>
      </c>
      <c r="D109" s="119" t="s">
        <v>822</v>
      </c>
      <c r="E109" s="93"/>
    </row>
    <row r="110" spans="2:5" hidden="1">
      <c r="B110" s="118" t="s">
        <v>1458</v>
      </c>
      <c r="C110" s="96">
        <v>1.8</v>
      </c>
      <c r="D110" s="119" t="s">
        <v>820</v>
      </c>
      <c r="E110" s="93"/>
    </row>
    <row r="111" spans="2:5" hidden="1">
      <c r="B111" s="118" t="s">
        <v>1458</v>
      </c>
      <c r="C111" s="96" t="s">
        <v>356</v>
      </c>
      <c r="D111" s="119" t="s">
        <v>810</v>
      </c>
      <c r="E111" s="93"/>
    </row>
    <row r="112" spans="2:5" hidden="1">
      <c r="B112" s="118" t="s">
        <v>1458</v>
      </c>
      <c r="C112" s="96" t="s">
        <v>346</v>
      </c>
      <c r="D112" s="119" t="s">
        <v>807</v>
      </c>
      <c r="E112" s="93"/>
    </row>
    <row r="113" spans="2:5" hidden="1">
      <c r="B113" s="118" t="s">
        <v>1458</v>
      </c>
      <c r="C113" s="96">
        <v>1.9</v>
      </c>
      <c r="D113" s="119" t="s">
        <v>814</v>
      </c>
      <c r="E113" s="93"/>
    </row>
    <row r="114" spans="2:5" hidden="1">
      <c r="B114" s="118" t="s">
        <v>1458</v>
      </c>
      <c r="C114" s="96" t="s">
        <v>335</v>
      </c>
      <c r="D114" s="119" t="s">
        <v>810</v>
      </c>
      <c r="E114" s="93"/>
    </row>
    <row r="115" spans="2:5" hidden="1">
      <c r="B115" s="118" t="s">
        <v>1458</v>
      </c>
      <c r="C115" s="96" t="s">
        <v>334</v>
      </c>
      <c r="D115" s="119" t="s">
        <v>807</v>
      </c>
      <c r="E115" s="93"/>
    </row>
    <row r="116" spans="2:5" hidden="1">
      <c r="B116" s="118" t="s">
        <v>1458</v>
      </c>
      <c r="C116" s="96">
        <v>1.1000000000000001</v>
      </c>
      <c r="D116" s="119" t="s">
        <v>805</v>
      </c>
      <c r="E116" s="93"/>
    </row>
    <row r="117" spans="2:5" hidden="1">
      <c r="B117" s="118" t="s">
        <v>1458</v>
      </c>
      <c r="C117" s="96" t="s">
        <v>329</v>
      </c>
      <c r="D117" s="119" t="s">
        <v>802</v>
      </c>
      <c r="E117" s="93"/>
    </row>
    <row r="118" spans="2:5" hidden="1">
      <c r="B118" s="118" t="s">
        <v>1458</v>
      </c>
      <c r="C118" s="96" t="s">
        <v>835</v>
      </c>
      <c r="D118" s="119" t="s">
        <v>799</v>
      </c>
      <c r="E118" s="93"/>
    </row>
    <row r="119" spans="2:5" hidden="1">
      <c r="B119" s="118" t="s">
        <v>1458</v>
      </c>
      <c r="C119" s="96" t="s">
        <v>831</v>
      </c>
      <c r="D119" s="119" t="s">
        <v>795</v>
      </c>
      <c r="E119" s="93"/>
    </row>
    <row r="120" spans="2:5" hidden="1">
      <c r="B120" s="118" t="s">
        <v>1458</v>
      </c>
      <c r="C120" s="96" t="s">
        <v>827</v>
      </c>
      <c r="D120" s="119" t="s">
        <v>792</v>
      </c>
      <c r="E120" s="93"/>
    </row>
    <row r="121" spans="2:5" hidden="1">
      <c r="B121" s="118" t="s">
        <v>1458</v>
      </c>
      <c r="C121" s="96" t="s">
        <v>823</v>
      </c>
      <c r="D121" s="119" t="s">
        <v>789</v>
      </c>
      <c r="E121" s="93"/>
    </row>
    <row r="122" spans="2:5" hidden="1">
      <c r="B122" s="118" t="s">
        <v>1458</v>
      </c>
      <c r="C122" s="96">
        <v>1.1100000000000001</v>
      </c>
      <c r="D122" s="119" t="s">
        <v>787</v>
      </c>
      <c r="E122" s="93"/>
    </row>
    <row r="123" spans="2:5" hidden="1">
      <c r="B123" s="118" t="s">
        <v>1458</v>
      </c>
      <c r="C123" s="96" t="s">
        <v>818</v>
      </c>
      <c r="D123" s="119" t="s">
        <v>784</v>
      </c>
      <c r="E123" s="93"/>
    </row>
    <row r="124" spans="2:5" hidden="1">
      <c r="B124" s="118" t="s">
        <v>1458</v>
      </c>
      <c r="C124" s="96" t="s">
        <v>816</v>
      </c>
      <c r="D124" s="119" t="s">
        <v>781</v>
      </c>
      <c r="E124" s="93"/>
    </row>
    <row r="125" spans="2:5" hidden="1">
      <c r="B125" s="118" t="s">
        <v>1458</v>
      </c>
      <c r="C125" s="96" t="s">
        <v>878</v>
      </c>
      <c r="D125" s="119" t="s">
        <v>778</v>
      </c>
      <c r="E125" s="93"/>
    </row>
    <row r="126" spans="2:5" hidden="1">
      <c r="B126" s="118" t="s">
        <v>1458</v>
      </c>
      <c r="C126" s="96">
        <v>1.1200000000000001</v>
      </c>
      <c r="D126" s="119" t="s">
        <v>776</v>
      </c>
      <c r="E126" s="93"/>
    </row>
    <row r="127" spans="2:5" hidden="1">
      <c r="B127" s="118" t="s">
        <v>1457</v>
      </c>
      <c r="C127" s="96">
        <v>1</v>
      </c>
      <c r="D127" s="119" t="s">
        <v>1445</v>
      </c>
      <c r="E127" s="93"/>
    </row>
    <row r="128" spans="2:5" hidden="1">
      <c r="B128" s="118" t="s">
        <v>1457</v>
      </c>
      <c r="C128" s="96">
        <v>1.1000000000000001</v>
      </c>
      <c r="D128" s="119" t="s">
        <v>21</v>
      </c>
      <c r="E128" s="93"/>
    </row>
    <row r="129" spans="2:5" hidden="1">
      <c r="B129" s="118" t="s">
        <v>1457</v>
      </c>
      <c r="C129" s="96" t="s">
        <v>1422</v>
      </c>
      <c r="D129" s="119" t="s">
        <v>1425</v>
      </c>
      <c r="E129" s="93"/>
    </row>
    <row r="130" spans="2:5" hidden="1">
      <c r="B130" s="118" t="s">
        <v>1457</v>
      </c>
      <c r="C130" s="96" t="s">
        <v>1415</v>
      </c>
      <c r="D130" s="119" t="s">
        <v>1417</v>
      </c>
      <c r="E130" s="93"/>
    </row>
    <row r="131" spans="2:5" hidden="1">
      <c r="B131" s="118" t="s">
        <v>1457</v>
      </c>
      <c r="C131" s="96" t="s">
        <v>1408</v>
      </c>
      <c r="D131" s="119" t="s">
        <v>1134</v>
      </c>
      <c r="E131" s="93"/>
    </row>
    <row r="132" spans="2:5" hidden="1">
      <c r="B132" s="118" t="s">
        <v>1457</v>
      </c>
      <c r="C132" s="96" t="s">
        <v>1402</v>
      </c>
      <c r="D132" s="119" t="s">
        <v>1406</v>
      </c>
      <c r="E132" s="93"/>
    </row>
    <row r="133" spans="2:5" hidden="1">
      <c r="B133" s="118" t="s">
        <v>1457</v>
      </c>
      <c r="C133" s="96" t="s">
        <v>1396</v>
      </c>
      <c r="D133" s="119" t="s">
        <v>1399</v>
      </c>
      <c r="E133" s="93"/>
    </row>
    <row r="134" spans="2:5" hidden="1">
      <c r="B134" s="118" t="s">
        <v>1457</v>
      </c>
      <c r="C134" s="96" t="s">
        <v>1389</v>
      </c>
      <c r="D134" s="119" t="s">
        <v>1378</v>
      </c>
      <c r="E134" s="93"/>
    </row>
    <row r="135" spans="2:5" hidden="1">
      <c r="B135" s="118" t="s">
        <v>1457</v>
      </c>
      <c r="C135" s="96" t="s">
        <v>1369</v>
      </c>
      <c r="D135" s="119" t="s">
        <v>1382</v>
      </c>
      <c r="E135" s="93"/>
    </row>
    <row r="136" spans="2:5" hidden="1">
      <c r="B136" s="118" t="s">
        <v>1457</v>
      </c>
      <c r="C136" s="96" t="s">
        <v>1374</v>
      </c>
      <c r="D136" s="119" t="s">
        <v>1373</v>
      </c>
      <c r="E136" s="93"/>
    </row>
    <row r="137" spans="2:5" hidden="1">
      <c r="B137" s="118" t="s">
        <v>1457</v>
      </c>
      <c r="C137" s="96" t="s">
        <v>1364</v>
      </c>
      <c r="D137" s="119" t="s">
        <v>1365</v>
      </c>
      <c r="E137" s="93"/>
    </row>
    <row r="138" spans="2:5" hidden="1">
      <c r="B138" s="118" t="s">
        <v>1457</v>
      </c>
      <c r="C138" s="96" t="s">
        <v>1353</v>
      </c>
      <c r="D138" s="119" t="s">
        <v>1354</v>
      </c>
      <c r="E138" s="93"/>
    </row>
    <row r="139" spans="2:5" hidden="1">
      <c r="B139" s="118" t="s">
        <v>1457</v>
      </c>
      <c r="C139" s="96" t="s">
        <v>1343</v>
      </c>
      <c r="D139" s="119" t="s">
        <v>1344</v>
      </c>
      <c r="E139" s="93"/>
    </row>
    <row r="140" spans="2:5" hidden="1">
      <c r="B140" s="118" t="s">
        <v>1457</v>
      </c>
      <c r="C140" s="96" t="s">
        <v>1334</v>
      </c>
      <c r="D140" s="119" t="s">
        <v>1335</v>
      </c>
      <c r="E140" s="93"/>
    </row>
    <row r="141" spans="2:5" hidden="1">
      <c r="B141" s="118" t="s">
        <v>1457</v>
      </c>
      <c r="C141" s="96" t="s">
        <v>1327</v>
      </c>
      <c r="D141" s="119" t="s">
        <v>1328</v>
      </c>
      <c r="E141" s="93"/>
    </row>
    <row r="142" spans="2:5" hidden="1">
      <c r="B142" s="118" t="s">
        <v>1457</v>
      </c>
      <c r="C142" s="96" t="s">
        <v>1319</v>
      </c>
      <c r="D142" s="119" t="s">
        <v>1318</v>
      </c>
      <c r="E142" s="93"/>
    </row>
    <row r="143" spans="2:5" hidden="1">
      <c r="B143" s="118" t="s">
        <v>1457</v>
      </c>
      <c r="C143" s="96" t="s">
        <v>1310</v>
      </c>
      <c r="D143" s="119" t="s">
        <v>1309</v>
      </c>
      <c r="E143" s="93"/>
    </row>
    <row r="144" spans="2:5" hidden="1">
      <c r="B144" s="118" t="s">
        <v>1457</v>
      </c>
      <c r="C144" s="96" t="s">
        <v>1302</v>
      </c>
      <c r="D144" s="119" t="s">
        <v>1301</v>
      </c>
      <c r="E144" s="93"/>
    </row>
    <row r="145" spans="2:5" hidden="1">
      <c r="B145" s="118" t="s">
        <v>1457</v>
      </c>
      <c r="C145" s="96" t="s">
        <v>1295</v>
      </c>
      <c r="D145" s="119" t="s">
        <v>1294</v>
      </c>
      <c r="E145" s="93"/>
    </row>
    <row r="146" spans="2:5" hidden="1">
      <c r="B146" s="118" t="s">
        <v>1457</v>
      </c>
      <c r="C146" s="96" t="s">
        <v>1286</v>
      </c>
      <c r="D146" s="119" t="s">
        <v>1285</v>
      </c>
      <c r="E146" s="93"/>
    </row>
    <row r="147" spans="2:5" hidden="1">
      <c r="B147" s="118" t="s">
        <v>1457</v>
      </c>
      <c r="C147" s="96" t="s">
        <v>1276</v>
      </c>
      <c r="D147" s="119" t="s">
        <v>1275</v>
      </c>
      <c r="E147" s="93"/>
    </row>
    <row r="148" spans="2:5" hidden="1">
      <c r="B148" s="118" t="s">
        <v>1457</v>
      </c>
      <c r="C148" s="96" t="s">
        <v>1268</v>
      </c>
      <c r="D148" s="119" t="s">
        <v>1267</v>
      </c>
      <c r="E148" s="93"/>
    </row>
    <row r="149" spans="2:5" hidden="1">
      <c r="B149" s="118" t="s">
        <v>1457</v>
      </c>
      <c r="C149" s="96" t="s">
        <v>1260</v>
      </c>
      <c r="D149" s="119" t="s">
        <v>1259</v>
      </c>
      <c r="E149" s="93"/>
    </row>
    <row r="150" spans="2:5" hidden="1">
      <c r="B150" s="118" t="s">
        <v>1457</v>
      </c>
      <c r="C150" s="96" t="s">
        <v>1250</v>
      </c>
      <c r="D150" s="119" t="s">
        <v>1249</v>
      </c>
      <c r="E150" s="93"/>
    </row>
    <row r="151" spans="2:5" hidden="1">
      <c r="B151" s="118" t="s">
        <v>1457</v>
      </c>
      <c r="C151" s="96" t="s">
        <v>1243</v>
      </c>
      <c r="D151" s="119" t="s">
        <v>1242</v>
      </c>
      <c r="E151" s="93"/>
    </row>
    <row r="152" spans="2:5" hidden="1">
      <c r="B152" s="118" t="s">
        <v>1457</v>
      </c>
      <c r="C152" s="96" t="s">
        <v>1234</v>
      </c>
      <c r="D152" s="119" t="s">
        <v>1233</v>
      </c>
      <c r="E152" s="93"/>
    </row>
    <row r="153" spans="2:5" hidden="1">
      <c r="B153" s="118" t="s">
        <v>1457</v>
      </c>
      <c r="C153" s="96" t="s">
        <v>1226</v>
      </c>
      <c r="D153" s="119" t="s">
        <v>1225</v>
      </c>
      <c r="E153" s="93"/>
    </row>
    <row r="154" spans="2:5" hidden="1">
      <c r="B154" s="118" t="s">
        <v>1457</v>
      </c>
      <c r="C154" s="96" t="s">
        <v>1220</v>
      </c>
      <c r="D154" s="119" t="s">
        <v>1219</v>
      </c>
      <c r="E154" s="93"/>
    </row>
    <row r="155" spans="2:5" hidden="1">
      <c r="B155" s="118" t="s">
        <v>1457</v>
      </c>
      <c r="C155" s="96" t="s">
        <v>1214</v>
      </c>
      <c r="D155" s="119" t="s">
        <v>1213</v>
      </c>
      <c r="E155" s="93"/>
    </row>
    <row r="156" spans="2:5" hidden="1">
      <c r="B156" s="118" t="s">
        <v>1457</v>
      </c>
      <c r="C156" s="96" t="s">
        <v>1207</v>
      </c>
      <c r="D156" s="119" t="s">
        <v>1206</v>
      </c>
      <c r="E156" s="93"/>
    </row>
    <row r="157" spans="2:5" hidden="1">
      <c r="B157" s="118" t="s">
        <v>1457</v>
      </c>
      <c r="C157" s="96" t="s">
        <v>1198</v>
      </c>
      <c r="D157" s="119" t="s">
        <v>1197</v>
      </c>
      <c r="E157" s="93"/>
    </row>
    <row r="158" spans="2:5" hidden="1">
      <c r="B158" s="118" t="s">
        <v>1457</v>
      </c>
      <c r="C158" s="96" t="s">
        <v>1137</v>
      </c>
      <c r="D158" s="119" t="s">
        <v>1189</v>
      </c>
      <c r="E158" s="93"/>
    </row>
    <row r="159" spans="2:5" hidden="1">
      <c r="B159" s="118" t="s">
        <v>1457</v>
      </c>
      <c r="C159" s="96" t="s">
        <v>1181</v>
      </c>
      <c r="D159" s="119" t="s">
        <v>1180</v>
      </c>
      <c r="E159" s="93"/>
    </row>
    <row r="160" spans="2:5" hidden="1">
      <c r="B160" s="118" t="s">
        <v>1457</v>
      </c>
      <c r="C160" s="96" t="s">
        <v>1172</v>
      </c>
      <c r="D160" s="119" t="s">
        <v>1171</v>
      </c>
      <c r="E160" s="93"/>
    </row>
    <row r="161" spans="2:5" hidden="1">
      <c r="B161" s="118" t="s">
        <v>1457</v>
      </c>
      <c r="C161" s="96" t="s">
        <v>1165</v>
      </c>
      <c r="D161" s="119" t="s">
        <v>1164</v>
      </c>
      <c r="E161" s="93"/>
    </row>
    <row r="162" spans="2:5" hidden="1">
      <c r="B162" s="118" t="s">
        <v>1457</v>
      </c>
      <c r="C162" s="96" t="s">
        <v>1156</v>
      </c>
      <c r="D162" s="119" t="s">
        <v>1155</v>
      </c>
      <c r="E162" s="93"/>
    </row>
    <row r="163" spans="2:5" hidden="1">
      <c r="B163" s="118" t="s">
        <v>1457</v>
      </c>
      <c r="C163" s="96" t="s">
        <v>1131</v>
      </c>
      <c r="D163" s="119" t="s">
        <v>1148</v>
      </c>
      <c r="E163" s="93"/>
    </row>
    <row r="164" spans="2:5" hidden="1">
      <c r="B164" s="118" t="s">
        <v>1457</v>
      </c>
      <c r="C164" s="96" t="s">
        <v>1142</v>
      </c>
      <c r="D164" s="119" t="s">
        <v>1141</v>
      </c>
      <c r="E164" s="93"/>
    </row>
    <row r="165" spans="2:5" hidden="1">
      <c r="B165" s="118" t="s">
        <v>1457</v>
      </c>
      <c r="C165" s="96" t="s">
        <v>1135</v>
      </c>
      <c r="D165" s="119" t="s">
        <v>1134</v>
      </c>
      <c r="E165" s="93"/>
    </row>
    <row r="166" spans="2:5" hidden="1">
      <c r="B166" s="118" t="s">
        <v>1457</v>
      </c>
      <c r="C166" s="96" t="s">
        <v>1130</v>
      </c>
      <c r="D166" s="119" t="s">
        <v>1129</v>
      </c>
      <c r="E166" s="93"/>
    </row>
    <row r="167" spans="2:5" hidden="1">
      <c r="B167" s="118" t="s">
        <v>1457</v>
      </c>
      <c r="C167" s="96" t="s">
        <v>1122</v>
      </c>
      <c r="D167" s="119" t="s">
        <v>1121</v>
      </c>
      <c r="E167" s="93"/>
    </row>
    <row r="168" spans="2:5" hidden="1">
      <c r="B168" s="118" t="s">
        <v>1457</v>
      </c>
      <c r="C168" s="96" t="s">
        <v>1114</v>
      </c>
      <c r="D168" s="119" t="s">
        <v>1113</v>
      </c>
      <c r="E168" s="93"/>
    </row>
    <row r="169" spans="2:5" hidden="1">
      <c r="B169" s="118" t="s">
        <v>1457</v>
      </c>
      <c r="C169" s="96" t="s">
        <v>1106</v>
      </c>
      <c r="D169" s="119" t="s">
        <v>1105</v>
      </c>
      <c r="E169" s="93"/>
    </row>
    <row r="170" spans="2:5" hidden="1">
      <c r="B170" s="118" t="s">
        <v>1457</v>
      </c>
      <c r="C170" s="96" t="s">
        <v>1099</v>
      </c>
      <c r="D170" s="119" t="s">
        <v>1098</v>
      </c>
      <c r="E170" s="93"/>
    </row>
    <row r="171" spans="2:5" hidden="1">
      <c r="B171" s="118" t="s">
        <v>1457</v>
      </c>
      <c r="C171" s="96" t="s">
        <v>1094</v>
      </c>
      <c r="D171" s="119" t="s">
        <v>912</v>
      </c>
      <c r="E171" s="93"/>
    </row>
    <row r="172" spans="2:5" hidden="1">
      <c r="B172" s="118" t="s">
        <v>1457</v>
      </c>
      <c r="C172" s="96" t="s">
        <v>1090</v>
      </c>
      <c r="D172" s="119" t="s">
        <v>1089</v>
      </c>
      <c r="E172" s="93"/>
    </row>
    <row r="173" spans="2:5" hidden="1">
      <c r="B173" s="118" t="s">
        <v>1457</v>
      </c>
      <c r="C173" s="96" t="s">
        <v>1083</v>
      </c>
      <c r="D173" s="119" t="s">
        <v>1082</v>
      </c>
      <c r="E173" s="93"/>
    </row>
    <row r="174" spans="2:5" hidden="1">
      <c r="B174" s="118" t="s">
        <v>1457</v>
      </c>
      <c r="C174" s="96" t="s">
        <v>1074</v>
      </c>
      <c r="D174" s="119" t="s">
        <v>1073</v>
      </c>
      <c r="E174" s="93"/>
    </row>
    <row r="175" spans="2:5" hidden="1">
      <c r="B175" s="118" t="s">
        <v>1457</v>
      </c>
      <c r="C175" s="96" t="s">
        <v>1064</v>
      </c>
      <c r="D175" s="119" t="s">
        <v>1063</v>
      </c>
      <c r="E175" s="93"/>
    </row>
    <row r="176" spans="2:5" hidden="1">
      <c r="B176" s="118" t="s">
        <v>1457</v>
      </c>
      <c r="C176" s="96" t="s">
        <v>1055</v>
      </c>
      <c r="D176" s="119" t="s">
        <v>1054</v>
      </c>
      <c r="E176" s="93"/>
    </row>
    <row r="177" spans="2:5" hidden="1">
      <c r="B177" s="118" t="s">
        <v>1457</v>
      </c>
      <c r="C177" s="96" t="s">
        <v>1048</v>
      </c>
      <c r="D177" s="119" t="s">
        <v>1047</v>
      </c>
      <c r="E177" s="93"/>
    </row>
    <row r="178" spans="2:5" hidden="1">
      <c r="B178" s="118" t="s">
        <v>1457</v>
      </c>
      <c r="C178" s="96" t="s">
        <v>1040</v>
      </c>
      <c r="D178" s="119" t="s">
        <v>1039</v>
      </c>
      <c r="E178" s="93"/>
    </row>
    <row r="179" spans="2:5" hidden="1">
      <c r="B179" s="118" t="s">
        <v>1457</v>
      </c>
      <c r="C179" s="96" t="s">
        <v>1033</v>
      </c>
      <c r="D179" s="119" t="s">
        <v>1032</v>
      </c>
      <c r="E179" s="93"/>
    </row>
    <row r="180" spans="2:5" hidden="1">
      <c r="B180" s="118" t="s">
        <v>1457</v>
      </c>
      <c r="C180" s="96" t="s">
        <v>1024</v>
      </c>
      <c r="D180" s="119" t="s">
        <v>1023</v>
      </c>
      <c r="E180" s="93"/>
    </row>
    <row r="181" spans="2:5" hidden="1">
      <c r="B181" s="118" t="s">
        <v>1457</v>
      </c>
      <c r="C181" s="96" t="s">
        <v>1014</v>
      </c>
      <c r="D181" s="119" t="s">
        <v>1013</v>
      </c>
      <c r="E181" s="93"/>
    </row>
    <row r="182" spans="2:5" hidden="1">
      <c r="B182" s="118" t="s">
        <v>1457</v>
      </c>
      <c r="C182" s="96" t="s">
        <v>1005</v>
      </c>
      <c r="D182" s="119" t="s">
        <v>1004</v>
      </c>
      <c r="E182" s="93"/>
    </row>
    <row r="183" spans="2:5" hidden="1">
      <c r="B183" s="118" t="s">
        <v>1457</v>
      </c>
      <c r="C183" s="96" t="s">
        <v>998</v>
      </c>
      <c r="D183" s="119" t="s">
        <v>997</v>
      </c>
      <c r="E183" s="93"/>
    </row>
    <row r="184" spans="2:5" hidden="1">
      <c r="B184" s="118" t="s">
        <v>1457</v>
      </c>
      <c r="C184" s="96" t="s">
        <v>992</v>
      </c>
      <c r="D184" s="119" t="s">
        <v>991</v>
      </c>
      <c r="E184" s="93"/>
    </row>
    <row r="185" spans="2:5" hidden="1">
      <c r="B185" s="118" t="s">
        <v>1457</v>
      </c>
      <c r="C185" s="96" t="s">
        <v>985</v>
      </c>
      <c r="D185" s="119" t="s">
        <v>984</v>
      </c>
      <c r="E185" s="93"/>
    </row>
    <row r="186" spans="2:5" hidden="1">
      <c r="B186" s="118" t="s">
        <v>1457</v>
      </c>
      <c r="C186" s="96" t="s">
        <v>980</v>
      </c>
      <c r="D186" s="119" t="s">
        <v>979</v>
      </c>
      <c r="E186" s="93"/>
    </row>
    <row r="187" spans="2:5" hidden="1">
      <c r="B187" s="118" t="s">
        <v>1457</v>
      </c>
      <c r="C187" s="96" t="s">
        <v>972</v>
      </c>
      <c r="D187" s="119" t="s">
        <v>971</v>
      </c>
      <c r="E187" s="93"/>
    </row>
    <row r="188" spans="2:5" hidden="1">
      <c r="B188" s="118" t="s">
        <v>1457</v>
      </c>
      <c r="C188" s="96" t="s">
        <v>966</v>
      </c>
      <c r="D188" s="119" t="s">
        <v>903</v>
      </c>
      <c r="E188" s="93"/>
    </row>
    <row r="189" spans="2:5" hidden="1">
      <c r="B189" s="118" t="s">
        <v>1457</v>
      </c>
      <c r="C189" s="96" t="s">
        <v>961</v>
      </c>
      <c r="D189" s="119" t="s">
        <v>960</v>
      </c>
      <c r="E189" s="93"/>
    </row>
    <row r="190" spans="2:5" hidden="1">
      <c r="B190" s="118" t="s">
        <v>1457</v>
      </c>
      <c r="C190" s="96" t="s">
        <v>957</v>
      </c>
      <c r="D190" s="119" t="s">
        <v>956</v>
      </c>
      <c r="E190" s="93"/>
    </row>
    <row r="191" spans="2:5" hidden="1">
      <c r="B191" s="118" t="s">
        <v>1457</v>
      </c>
      <c r="C191" s="96">
        <v>1.2</v>
      </c>
      <c r="D191" s="119" t="s">
        <v>952</v>
      </c>
      <c r="E191" s="93"/>
    </row>
    <row r="192" spans="2:5" hidden="1">
      <c r="B192" s="118" t="s">
        <v>1457</v>
      </c>
      <c r="C192" s="96" t="s">
        <v>948</v>
      </c>
      <c r="D192" s="119" t="s">
        <v>947</v>
      </c>
      <c r="E192" s="93"/>
    </row>
    <row r="193" spans="2:5" hidden="1">
      <c r="B193" s="118" t="s">
        <v>1457</v>
      </c>
      <c r="C193" s="96" t="s">
        <v>943</v>
      </c>
      <c r="D193" s="119" t="s">
        <v>942</v>
      </c>
      <c r="E193" s="93"/>
    </row>
    <row r="194" spans="2:5" hidden="1">
      <c r="B194" s="118" t="s">
        <v>1457</v>
      </c>
      <c r="C194" s="96" t="s">
        <v>813</v>
      </c>
      <c r="D194" s="119" t="s">
        <v>938</v>
      </c>
      <c r="E194" s="93"/>
    </row>
    <row r="195" spans="2:5" hidden="1">
      <c r="B195" s="118" t="s">
        <v>1457</v>
      </c>
      <c r="C195" s="96" t="s">
        <v>798</v>
      </c>
      <c r="D195" s="119" t="s">
        <v>933</v>
      </c>
      <c r="E195" s="93"/>
    </row>
    <row r="196" spans="2:5" hidden="1">
      <c r="B196" s="118" t="s">
        <v>1457</v>
      </c>
      <c r="C196" s="96">
        <v>1.3</v>
      </c>
      <c r="D196" s="119" t="s">
        <v>929</v>
      </c>
      <c r="E196" s="93"/>
    </row>
    <row r="197" spans="2:5" hidden="1">
      <c r="B197" s="118" t="s">
        <v>1457</v>
      </c>
      <c r="C197" s="96" t="s">
        <v>613</v>
      </c>
      <c r="D197" s="119" t="s">
        <v>926</v>
      </c>
      <c r="E197" s="93"/>
    </row>
    <row r="198" spans="2:5" hidden="1">
      <c r="B198" s="118" t="s">
        <v>1457</v>
      </c>
      <c r="C198" s="96" t="s">
        <v>608</v>
      </c>
      <c r="D198" s="119" t="s">
        <v>922</v>
      </c>
      <c r="E198" s="93"/>
    </row>
    <row r="199" spans="2:5" hidden="1">
      <c r="B199" s="118" t="s">
        <v>1457</v>
      </c>
      <c r="C199" s="96" t="s">
        <v>918</v>
      </c>
      <c r="D199" s="119" t="s">
        <v>917</v>
      </c>
      <c r="E199" s="93"/>
    </row>
    <row r="200" spans="2:5" hidden="1">
      <c r="B200" s="118" t="s">
        <v>1457</v>
      </c>
      <c r="C200" s="96" t="s">
        <v>913</v>
      </c>
      <c r="D200" s="119" t="s">
        <v>912</v>
      </c>
      <c r="E200" s="93"/>
    </row>
    <row r="201" spans="2:5" hidden="1">
      <c r="B201" s="118" t="s">
        <v>1457</v>
      </c>
      <c r="C201" s="96" t="s">
        <v>908</v>
      </c>
      <c r="D201" s="119" t="s">
        <v>907</v>
      </c>
      <c r="E201" s="93"/>
    </row>
    <row r="202" spans="2:5" hidden="1">
      <c r="B202" s="118" t="s">
        <v>1457</v>
      </c>
      <c r="C202" s="96" t="s">
        <v>904</v>
      </c>
      <c r="D202" s="119" t="s">
        <v>903</v>
      </c>
      <c r="E202" s="93"/>
    </row>
    <row r="203" spans="2:5" hidden="1">
      <c r="B203" s="118" t="s">
        <v>1457</v>
      </c>
      <c r="C203" s="96" t="s">
        <v>900</v>
      </c>
      <c r="D203" s="119" t="s">
        <v>625</v>
      </c>
      <c r="E203" s="93"/>
    </row>
    <row r="204" spans="2:5" hidden="1">
      <c r="B204" s="118" t="s">
        <v>1457</v>
      </c>
      <c r="C204" s="96" t="s">
        <v>897</v>
      </c>
      <c r="D204" s="119" t="s">
        <v>896</v>
      </c>
      <c r="E204" s="93"/>
    </row>
    <row r="205" spans="2:5" hidden="1">
      <c r="B205" s="118" t="s">
        <v>1457</v>
      </c>
      <c r="C205" s="96" t="s">
        <v>892</v>
      </c>
      <c r="D205" s="119" t="s">
        <v>891</v>
      </c>
      <c r="E205" s="93"/>
    </row>
    <row r="206" spans="2:5" hidden="1">
      <c r="B206" s="118" t="s">
        <v>1457</v>
      </c>
      <c r="C206" s="96">
        <v>1.4</v>
      </c>
      <c r="D206" s="119" t="s">
        <v>887</v>
      </c>
      <c r="E206" s="93"/>
    </row>
    <row r="207" spans="2:5" hidden="1">
      <c r="B207" s="118" t="s">
        <v>1457</v>
      </c>
      <c r="C207" s="96">
        <v>1.5</v>
      </c>
      <c r="D207" s="119" t="s">
        <v>883</v>
      </c>
      <c r="E207" s="93"/>
    </row>
    <row r="208" spans="2:5" hidden="1">
      <c r="B208" s="118" t="s">
        <v>1457</v>
      </c>
      <c r="C208" s="96">
        <v>1.6</v>
      </c>
      <c r="D208" s="119" t="s">
        <v>880</v>
      </c>
      <c r="E208" s="93"/>
    </row>
    <row r="209" spans="2:5" hidden="1">
      <c r="B209" s="118" t="s">
        <v>1457</v>
      </c>
      <c r="C209" s="96">
        <v>1.7</v>
      </c>
      <c r="D209" s="119" t="s">
        <v>349</v>
      </c>
      <c r="E209" s="93"/>
    </row>
    <row r="210" spans="2:5" hidden="1">
      <c r="B210" s="118" t="s">
        <v>1457</v>
      </c>
      <c r="C210" s="96">
        <v>1.8</v>
      </c>
      <c r="D210" s="119" t="s">
        <v>876</v>
      </c>
      <c r="E210" s="93"/>
    </row>
    <row r="211" spans="2:5" hidden="1">
      <c r="B211" s="118" t="s">
        <v>1457</v>
      </c>
      <c r="C211" s="96" t="s">
        <v>356</v>
      </c>
      <c r="D211" s="119" t="s">
        <v>873</v>
      </c>
      <c r="E211" s="93"/>
    </row>
    <row r="212" spans="2:5" hidden="1">
      <c r="B212" s="118" t="s">
        <v>1457</v>
      </c>
      <c r="C212" s="96" t="s">
        <v>346</v>
      </c>
      <c r="D212" s="119" t="s">
        <v>871</v>
      </c>
      <c r="E212" s="93"/>
    </row>
    <row r="213" spans="2:5" hidden="1">
      <c r="B213" s="118" t="s">
        <v>1457</v>
      </c>
      <c r="C213" s="96" t="s">
        <v>342</v>
      </c>
      <c r="D213" s="119" t="s">
        <v>868</v>
      </c>
      <c r="E213" s="93"/>
    </row>
    <row r="214" spans="2:5" hidden="1">
      <c r="B214" s="118" t="s">
        <v>1457</v>
      </c>
      <c r="C214" s="96" t="s">
        <v>338</v>
      </c>
      <c r="D214" s="119" t="s">
        <v>865</v>
      </c>
      <c r="E214" s="93"/>
    </row>
    <row r="215" spans="2:5" hidden="1">
      <c r="B215" s="118" t="s">
        <v>1457</v>
      </c>
      <c r="C215" s="96" t="s">
        <v>861</v>
      </c>
      <c r="D215" s="119" t="s">
        <v>860</v>
      </c>
      <c r="E215" s="93"/>
    </row>
    <row r="216" spans="2:5" hidden="1">
      <c r="B216" s="118" t="s">
        <v>1457</v>
      </c>
      <c r="C216" s="96">
        <v>1.9</v>
      </c>
      <c r="D216" s="119" t="s">
        <v>856</v>
      </c>
      <c r="E216" s="93"/>
    </row>
    <row r="217" spans="2:5" hidden="1">
      <c r="B217" s="118" t="s">
        <v>1457</v>
      </c>
      <c r="C217" s="96" t="s">
        <v>335</v>
      </c>
      <c r="D217" s="119" t="s">
        <v>853</v>
      </c>
      <c r="E217" s="93"/>
    </row>
    <row r="218" spans="2:5" hidden="1">
      <c r="B218" s="118" t="s">
        <v>1457</v>
      </c>
      <c r="C218" s="96" t="s">
        <v>334</v>
      </c>
      <c r="D218" s="119" t="s">
        <v>850</v>
      </c>
      <c r="E218" s="93"/>
    </row>
    <row r="219" spans="2:5" hidden="1">
      <c r="B219" s="118" t="s">
        <v>1457</v>
      </c>
      <c r="C219" s="96" t="s">
        <v>332</v>
      </c>
      <c r="D219" s="119" t="s">
        <v>846</v>
      </c>
      <c r="E219" s="93"/>
    </row>
    <row r="220" spans="2:5" hidden="1">
      <c r="B220" s="118" t="s">
        <v>1457</v>
      </c>
      <c r="C220" s="96">
        <v>1.1000000000000001</v>
      </c>
      <c r="D220" s="119" t="s">
        <v>843</v>
      </c>
      <c r="E220" s="93"/>
    </row>
    <row r="221" spans="2:5" hidden="1">
      <c r="B221" s="118" t="s">
        <v>1457</v>
      </c>
      <c r="C221" s="96" t="s">
        <v>329</v>
      </c>
      <c r="D221" s="119" t="s">
        <v>839</v>
      </c>
      <c r="E221" s="93"/>
    </row>
    <row r="222" spans="2:5" hidden="1">
      <c r="B222" s="118" t="s">
        <v>1457</v>
      </c>
      <c r="C222" s="96" t="s">
        <v>835</v>
      </c>
      <c r="D222" s="119" t="s">
        <v>834</v>
      </c>
      <c r="E222" s="93"/>
    </row>
    <row r="223" spans="2:5" hidden="1">
      <c r="B223" s="118" t="s">
        <v>1457</v>
      </c>
      <c r="C223" s="96" t="s">
        <v>831</v>
      </c>
      <c r="D223" s="119" t="s">
        <v>830</v>
      </c>
      <c r="E223" s="93"/>
    </row>
    <row r="224" spans="2:5" hidden="1">
      <c r="B224" s="118" t="s">
        <v>1457</v>
      </c>
      <c r="C224" s="96" t="s">
        <v>827</v>
      </c>
      <c r="D224" s="119" t="s">
        <v>826</v>
      </c>
      <c r="E224" s="93"/>
    </row>
    <row r="225" spans="2:5" hidden="1">
      <c r="B225" s="118" t="s">
        <v>1457</v>
      </c>
      <c r="C225" s="96" t="s">
        <v>823</v>
      </c>
      <c r="D225" s="119" t="s">
        <v>822</v>
      </c>
      <c r="E225" s="93"/>
    </row>
    <row r="226" spans="2:5" hidden="1">
      <c r="B226" s="118" t="s">
        <v>1457</v>
      </c>
      <c r="C226" s="96">
        <v>1.1100000000000001</v>
      </c>
      <c r="D226" s="119" t="s">
        <v>820</v>
      </c>
      <c r="E226" s="93"/>
    </row>
    <row r="227" spans="2:5" hidden="1">
      <c r="B227" s="118" t="s">
        <v>1457</v>
      </c>
      <c r="C227" s="96" t="s">
        <v>818</v>
      </c>
      <c r="D227" s="119" t="s">
        <v>810</v>
      </c>
      <c r="E227" s="93"/>
    </row>
    <row r="228" spans="2:5" hidden="1">
      <c r="B228" s="118" t="s">
        <v>1457</v>
      </c>
      <c r="C228" s="96" t="s">
        <v>816</v>
      </c>
      <c r="D228" s="119" t="s">
        <v>807</v>
      </c>
      <c r="E228" s="93"/>
    </row>
    <row r="229" spans="2:5" hidden="1">
      <c r="B229" s="118" t="s">
        <v>1457</v>
      </c>
      <c r="C229" s="96">
        <v>1.1200000000000001</v>
      </c>
      <c r="D229" s="119" t="s">
        <v>814</v>
      </c>
      <c r="E229" s="93"/>
    </row>
    <row r="230" spans="2:5" hidden="1">
      <c r="B230" s="118" t="s">
        <v>1457</v>
      </c>
      <c r="C230" s="96" t="s">
        <v>811</v>
      </c>
      <c r="D230" s="119" t="s">
        <v>810</v>
      </c>
      <c r="E230" s="93"/>
    </row>
    <row r="231" spans="2:5" hidden="1">
      <c r="B231" s="118" t="s">
        <v>1457</v>
      </c>
      <c r="C231" s="96" t="s">
        <v>808</v>
      </c>
      <c r="D231" s="119" t="s">
        <v>807</v>
      </c>
      <c r="E231" s="93"/>
    </row>
    <row r="232" spans="2:5" hidden="1">
      <c r="B232" s="118" t="s">
        <v>1457</v>
      </c>
      <c r="C232" s="96">
        <v>1.1299999999999999</v>
      </c>
      <c r="D232" s="119" t="s">
        <v>805</v>
      </c>
      <c r="E232" s="93"/>
    </row>
    <row r="233" spans="2:5" hidden="1">
      <c r="B233" s="118" t="s">
        <v>1457</v>
      </c>
      <c r="C233" s="96" t="s">
        <v>803</v>
      </c>
      <c r="D233" s="119" t="s">
        <v>802</v>
      </c>
      <c r="E233" s="93"/>
    </row>
    <row r="234" spans="2:5" hidden="1">
      <c r="B234" s="118" t="s">
        <v>1457</v>
      </c>
      <c r="C234" s="96" t="s">
        <v>800</v>
      </c>
      <c r="D234" s="119" t="s">
        <v>799</v>
      </c>
      <c r="E234" s="93"/>
    </row>
    <row r="235" spans="2:5" hidden="1">
      <c r="B235" s="118" t="s">
        <v>1457</v>
      </c>
      <c r="C235" s="96" t="s">
        <v>796</v>
      </c>
      <c r="D235" s="119" t="s">
        <v>795</v>
      </c>
      <c r="E235" s="93"/>
    </row>
    <row r="236" spans="2:5" hidden="1">
      <c r="B236" s="118" t="s">
        <v>1457</v>
      </c>
      <c r="C236" s="96" t="s">
        <v>793</v>
      </c>
      <c r="D236" s="119" t="s">
        <v>792</v>
      </c>
      <c r="E236" s="93"/>
    </row>
    <row r="237" spans="2:5" hidden="1">
      <c r="B237" s="118" t="s">
        <v>1457</v>
      </c>
      <c r="C237" s="96" t="s">
        <v>790</v>
      </c>
      <c r="D237" s="119" t="s">
        <v>789</v>
      </c>
      <c r="E237" s="93"/>
    </row>
    <row r="238" spans="2:5" hidden="1">
      <c r="B238" s="118" t="s">
        <v>1457</v>
      </c>
      <c r="C238" s="96">
        <v>1.1399999999999999</v>
      </c>
      <c r="D238" s="119" t="s">
        <v>787</v>
      </c>
      <c r="E238" s="93"/>
    </row>
    <row r="239" spans="2:5" hidden="1">
      <c r="B239" s="118" t="s">
        <v>1457</v>
      </c>
      <c r="C239" s="96" t="s">
        <v>785</v>
      </c>
      <c r="D239" s="119" t="s">
        <v>784</v>
      </c>
      <c r="E239" s="93"/>
    </row>
    <row r="240" spans="2:5" hidden="1">
      <c r="B240" s="118" t="s">
        <v>1457</v>
      </c>
      <c r="C240" s="96" t="s">
        <v>782</v>
      </c>
      <c r="D240" s="119" t="s">
        <v>781</v>
      </c>
      <c r="E240" s="93"/>
    </row>
    <row r="241" spans="2:5" hidden="1">
      <c r="B241" s="118" t="s">
        <v>1457</v>
      </c>
      <c r="C241" s="96" t="s">
        <v>779</v>
      </c>
      <c r="D241" s="119" t="s">
        <v>778</v>
      </c>
      <c r="E241" s="93"/>
    </row>
    <row r="242" spans="2:5" hidden="1">
      <c r="B242" s="118" t="s">
        <v>1457</v>
      </c>
      <c r="C242" s="96">
        <v>1.1499999999999999</v>
      </c>
      <c r="D242" s="119" t="s">
        <v>776</v>
      </c>
      <c r="E242" s="93"/>
    </row>
    <row r="243" spans="2:5" hidden="1">
      <c r="B243" s="118" t="s">
        <v>1456</v>
      </c>
      <c r="C243" s="96">
        <v>1</v>
      </c>
      <c r="D243" s="119" t="s">
        <v>1444</v>
      </c>
      <c r="E243" s="93"/>
    </row>
    <row r="244" spans="2:5" hidden="1">
      <c r="B244" s="118" t="s">
        <v>1456</v>
      </c>
      <c r="C244" s="96">
        <v>1.1000000000000001</v>
      </c>
      <c r="D244" s="119" t="s">
        <v>1435</v>
      </c>
      <c r="E244" s="93"/>
    </row>
    <row r="245" spans="2:5" hidden="1">
      <c r="B245" s="118" t="s">
        <v>1456</v>
      </c>
      <c r="C245" s="96" t="s">
        <v>1422</v>
      </c>
      <c r="D245" s="119" t="s">
        <v>1425</v>
      </c>
      <c r="E245" s="93"/>
    </row>
    <row r="246" spans="2:5" hidden="1">
      <c r="B246" s="118" t="s">
        <v>1456</v>
      </c>
      <c r="C246" s="96" t="s">
        <v>1415</v>
      </c>
      <c r="D246" s="119" t="s">
        <v>1417</v>
      </c>
      <c r="E246" s="93"/>
    </row>
    <row r="247" spans="2:5" hidden="1">
      <c r="B247" s="118" t="s">
        <v>1456</v>
      </c>
      <c r="C247" s="96" t="s">
        <v>1408</v>
      </c>
      <c r="D247" s="119" t="s">
        <v>1134</v>
      </c>
      <c r="E247" s="93"/>
    </row>
    <row r="248" spans="2:5" hidden="1">
      <c r="B248" s="118" t="s">
        <v>1456</v>
      </c>
      <c r="C248" s="96" t="s">
        <v>1402</v>
      </c>
      <c r="D248" s="119" t="s">
        <v>1406</v>
      </c>
      <c r="E248" s="93"/>
    </row>
    <row r="249" spans="2:5" hidden="1">
      <c r="B249" s="118" t="s">
        <v>1456</v>
      </c>
      <c r="C249" s="96" t="s">
        <v>1396</v>
      </c>
      <c r="D249" s="119" t="s">
        <v>1399</v>
      </c>
      <c r="E249" s="93"/>
    </row>
    <row r="250" spans="2:5" hidden="1">
      <c r="B250" s="118" t="s">
        <v>1456</v>
      </c>
      <c r="C250" s="96" t="s">
        <v>1389</v>
      </c>
      <c r="D250" s="119" t="s">
        <v>1378</v>
      </c>
      <c r="E250" s="93"/>
    </row>
    <row r="251" spans="2:5" hidden="1">
      <c r="B251" s="118" t="s">
        <v>1456</v>
      </c>
      <c r="C251" s="96" t="s">
        <v>1369</v>
      </c>
      <c r="D251" s="119" t="s">
        <v>1368</v>
      </c>
      <c r="E251" s="93"/>
    </row>
    <row r="252" spans="2:5" hidden="1">
      <c r="B252" s="118" t="s">
        <v>1456</v>
      </c>
      <c r="C252" s="96" t="s">
        <v>1374</v>
      </c>
      <c r="D252" s="119" t="s">
        <v>1373</v>
      </c>
      <c r="E252" s="93"/>
    </row>
    <row r="253" spans="2:5" hidden="1">
      <c r="B253" s="118" t="s">
        <v>1456</v>
      </c>
      <c r="C253" s="96" t="s">
        <v>1364</v>
      </c>
      <c r="D253" s="119" t="s">
        <v>1363</v>
      </c>
      <c r="E253" s="93"/>
    </row>
    <row r="254" spans="2:5" hidden="1">
      <c r="B254" s="118" t="s">
        <v>1456</v>
      </c>
      <c r="C254" s="96" t="s">
        <v>1353</v>
      </c>
      <c r="D254" s="119" t="s">
        <v>1352</v>
      </c>
      <c r="E254" s="93"/>
    </row>
    <row r="255" spans="2:5" hidden="1">
      <c r="B255" s="118" t="s">
        <v>1456</v>
      </c>
      <c r="C255" s="96" t="s">
        <v>1343</v>
      </c>
      <c r="D255" s="119" t="s">
        <v>1328</v>
      </c>
      <c r="E255" s="93"/>
    </row>
    <row r="256" spans="2:5" hidden="1">
      <c r="B256" s="118" t="s">
        <v>1456</v>
      </c>
      <c r="C256" s="96" t="s">
        <v>1334</v>
      </c>
      <c r="D256" s="119" t="s">
        <v>1309</v>
      </c>
      <c r="E256" s="93"/>
    </row>
    <row r="257" spans="2:5" hidden="1">
      <c r="B257" s="118" t="s">
        <v>1456</v>
      </c>
      <c r="C257" s="96" t="s">
        <v>1327</v>
      </c>
      <c r="D257" s="119" t="s">
        <v>1301</v>
      </c>
      <c r="E257" s="93"/>
    </row>
    <row r="258" spans="2:5" hidden="1">
      <c r="B258" s="118" t="s">
        <v>1456</v>
      </c>
      <c r="C258" s="96" t="s">
        <v>1295</v>
      </c>
      <c r="D258" s="119" t="s">
        <v>1294</v>
      </c>
      <c r="E258" s="93"/>
    </row>
    <row r="259" spans="2:5" hidden="1">
      <c r="B259" s="118" t="s">
        <v>1456</v>
      </c>
      <c r="C259" s="96" t="s">
        <v>1286</v>
      </c>
      <c r="D259" s="119" t="s">
        <v>1285</v>
      </c>
      <c r="E259" s="93"/>
    </row>
    <row r="260" spans="2:5" hidden="1">
      <c r="B260" s="118" t="s">
        <v>1456</v>
      </c>
      <c r="C260" s="96" t="s">
        <v>1276</v>
      </c>
      <c r="D260" s="119" t="s">
        <v>1275</v>
      </c>
      <c r="E260" s="93"/>
    </row>
    <row r="261" spans="2:5" hidden="1">
      <c r="B261" s="118" t="s">
        <v>1456</v>
      </c>
      <c r="C261" s="96" t="s">
        <v>1268</v>
      </c>
      <c r="D261" s="119" t="s">
        <v>1267</v>
      </c>
      <c r="E261" s="93"/>
    </row>
    <row r="262" spans="2:5" hidden="1">
      <c r="B262" s="118" t="s">
        <v>1456</v>
      </c>
      <c r="C262" s="96" t="s">
        <v>1260</v>
      </c>
      <c r="D262" s="119" t="s">
        <v>1284</v>
      </c>
      <c r="E262" s="93"/>
    </row>
    <row r="263" spans="2:5" hidden="1">
      <c r="B263" s="118" t="s">
        <v>1456</v>
      </c>
      <c r="C263" s="96" t="s">
        <v>1250</v>
      </c>
      <c r="D263" s="119" t="s">
        <v>1249</v>
      </c>
      <c r="E263" s="93"/>
    </row>
    <row r="264" spans="2:5" hidden="1">
      <c r="B264" s="118" t="s">
        <v>1456</v>
      </c>
      <c r="C264" s="96" t="s">
        <v>1243</v>
      </c>
      <c r="D264" s="119" t="s">
        <v>1266</v>
      </c>
      <c r="E264" s="93"/>
    </row>
    <row r="265" spans="2:5" hidden="1">
      <c r="B265" s="118" t="s">
        <v>1456</v>
      </c>
      <c r="C265" s="96" t="s">
        <v>1234</v>
      </c>
      <c r="D265" s="119" t="s">
        <v>1233</v>
      </c>
      <c r="E265" s="93"/>
    </row>
    <row r="266" spans="2:5" hidden="1">
      <c r="B266" s="118" t="s">
        <v>1456</v>
      </c>
      <c r="C266" s="96" t="s">
        <v>1226</v>
      </c>
      <c r="D266" s="119" t="s">
        <v>1225</v>
      </c>
      <c r="E266" s="93"/>
    </row>
    <row r="267" spans="2:5" hidden="1">
      <c r="B267" s="118" t="s">
        <v>1456</v>
      </c>
      <c r="C267" s="96" t="s">
        <v>1220</v>
      </c>
      <c r="D267" s="119" t="s">
        <v>1219</v>
      </c>
      <c r="E267" s="93"/>
    </row>
    <row r="268" spans="2:5" hidden="1">
      <c r="B268" s="118" t="s">
        <v>1456</v>
      </c>
      <c r="C268" s="96" t="s">
        <v>1214</v>
      </c>
      <c r="D268" s="119" t="s">
        <v>1213</v>
      </c>
      <c r="E268" s="93"/>
    </row>
    <row r="269" spans="2:5" hidden="1">
      <c r="B269" s="118" t="s">
        <v>1456</v>
      </c>
      <c r="C269" s="96" t="s">
        <v>1207</v>
      </c>
      <c r="D269" s="119" t="s">
        <v>1206</v>
      </c>
      <c r="E269" s="93"/>
    </row>
    <row r="270" spans="2:5" hidden="1">
      <c r="B270" s="118" t="s">
        <v>1456</v>
      </c>
      <c r="C270" s="96" t="s">
        <v>1198</v>
      </c>
      <c r="D270" s="119" t="s">
        <v>1197</v>
      </c>
      <c r="E270" s="93"/>
    </row>
    <row r="271" spans="2:5" hidden="1">
      <c r="B271" s="118" t="s">
        <v>1456</v>
      </c>
      <c r="C271" s="96" t="s">
        <v>1137</v>
      </c>
      <c r="D271" s="119" t="s">
        <v>1189</v>
      </c>
      <c r="E271" s="93"/>
    </row>
    <row r="272" spans="2:5" hidden="1">
      <c r="B272" s="118" t="s">
        <v>1456</v>
      </c>
      <c r="C272" s="96" t="s">
        <v>1181</v>
      </c>
      <c r="D272" s="119" t="s">
        <v>1205</v>
      </c>
      <c r="E272" s="93"/>
    </row>
    <row r="273" spans="2:5" hidden="1">
      <c r="B273" s="118" t="s">
        <v>1456</v>
      </c>
      <c r="C273" s="96" t="s">
        <v>1172</v>
      </c>
      <c r="D273" s="119" t="s">
        <v>1171</v>
      </c>
      <c r="E273" s="93"/>
    </row>
    <row r="274" spans="2:5" hidden="1">
      <c r="B274" s="118" t="s">
        <v>1456</v>
      </c>
      <c r="C274" s="96" t="s">
        <v>1165</v>
      </c>
      <c r="D274" s="119" t="s">
        <v>1188</v>
      </c>
      <c r="E274" s="93"/>
    </row>
    <row r="275" spans="2:5" hidden="1">
      <c r="B275" s="118" t="s">
        <v>1456</v>
      </c>
      <c r="C275" s="96" t="s">
        <v>1156</v>
      </c>
      <c r="D275" s="119" t="s">
        <v>1155</v>
      </c>
      <c r="E275" s="93"/>
    </row>
    <row r="276" spans="2:5" hidden="1">
      <c r="B276" s="118" t="s">
        <v>1456</v>
      </c>
      <c r="C276" s="96" t="s">
        <v>1131</v>
      </c>
      <c r="D276" s="119" t="s">
        <v>1148</v>
      </c>
      <c r="E276" s="93"/>
    </row>
    <row r="277" spans="2:5" hidden="1">
      <c r="B277" s="118" t="s">
        <v>1456</v>
      </c>
      <c r="C277" s="96" t="s">
        <v>1142</v>
      </c>
      <c r="D277" s="119" t="s">
        <v>1141</v>
      </c>
      <c r="E277" s="93"/>
    </row>
    <row r="278" spans="2:5" hidden="1">
      <c r="B278" s="118" t="s">
        <v>1456</v>
      </c>
      <c r="C278" s="96" t="s">
        <v>1135</v>
      </c>
      <c r="D278" s="119" t="s">
        <v>1134</v>
      </c>
      <c r="E278" s="93"/>
    </row>
    <row r="279" spans="2:5" hidden="1">
      <c r="B279" s="118" t="s">
        <v>1456</v>
      </c>
      <c r="C279" s="96" t="s">
        <v>1130</v>
      </c>
      <c r="D279" s="119" t="s">
        <v>1129</v>
      </c>
      <c r="E279" s="93"/>
    </row>
    <row r="280" spans="2:5" hidden="1">
      <c r="B280" s="118" t="s">
        <v>1456</v>
      </c>
      <c r="C280" s="96" t="s">
        <v>1122</v>
      </c>
      <c r="D280" s="119" t="s">
        <v>1121</v>
      </c>
      <c r="E280" s="93"/>
    </row>
    <row r="281" spans="2:5" hidden="1">
      <c r="B281" s="118" t="s">
        <v>1456</v>
      </c>
      <c r="C281" s="96" t="s">
        <v>1114</v>
      </c>
      <c r="D281" s="119" t="s">
        <v>1113</v>
      </c>
      <c r="E281" s="93"/>
    </row>
    <row r="282" spans="2:5" hidden="1">
      <c r="B282" s="118" t="s">
        <v>1456</v>
      </c>
      <c r="C282" s="96" t="s">
        <v>1106</v>
      </c>
      <c r="D282" s="119" t="s">
        <v>1105</v>
      </c>
      <c r="E282" s="93"/>
    </row>
    <row r="283" spans="2:5" hidden="1">
      <c r="B283" s="118" t="s">
        <v>1456</v>
      </c>
      <c r="C283" s="96" t="s">
        <v>1099</v>
      </c>
      <c r="D283" s="119" t="s">
        <v>1120</v>
      </c>
      <c r="E283" s="93"/>
    </row>
    <row r="284" spans="2:5" hidden="1">
      <c r="B284" s="118" t="s">
        <v>1456</v>
      </c>
      <c r="C284" s="96" t="s">
        <v>1094</v>
      </c>
      <c r="D284" s="119" t="s">
        <v>912</v>
      </c>
      <c r="E284" s="93"/>
    </row>
    <row r="285" spans="2:5" hidden="1">
      <c r="B285" s="118" t="s">
        <v>1456</v>
      </c>
      <c r="C285" s="96" t="s">
        <v>1090</v>
      </c>
      <c r="D285" s="119" t="s">
        <v>1089</v>
      </c>
      <c r="E285" s="93"/>
    </row>
    <row r="286" spans="2:5" hidden="1">
      <c r="B286" s="118" t="s">
        <v>1456</v>
      </c>
      <c r="C286" s="96" t="s">
        <v>1083</v>
      </c>
      <c r="D286" s="119" t="s">
        <v>1082</v>
      </c>
      <c r="E286" s="93"/>
    </row>
    <row r="287" spans="2:5" hidden="1">
      <c r="B287" s="118" t="s">
        <v>1456</v>
      </c>
      <c r="C287" s="96" t="s">
        <v>1074</v>
      </c>
      <c r="D287" s="119" t="s">
        <v>1073</v>
      </c>
      <c r="E287" s="93"/>
    </row>
    <row r="288" spans="2:5" hidden="1">
      <c r="B288" s="118" t="s">
        <v>1456</v>
      </c>
      <c r="C288" s="96" t="s">
        <v>1064</v>
      </c>
      <c r="D288" s="119" t="s">
        <v>1063</v>
      </c>
      <c r="E288" s="93"/>
    </row>
    <row r="289" spans="2:5" hidden="1">
      <c r="B289" s="118" t="s">
        <v>1456</v>
      </c>
      <c r="C289" s="96" t="s">
        <v>1055</v>
      </c>
      <c r="D289" s="119" t="s">
        <v>1054</v>
      </c>
      <c r="E289" s="93"/>
    </row>
    <row r="290" spans="2:5" hidden="1">
      <c r="B290" s="118" t="s">
        <v>1456</v>
      </c>
      <c r="C290" s="96" t="s">
        <v>1048</v>
      </c>
      <c r="D290" s="119" t="s">
        <v>1047</v>
      </c>
      <c r="E290" s="93"/>
    </row>
    <row r="291" spans="2:5" hidden="1">
      <c r="B291" s="118" t="s">
        <v>1456</v>
      </c>
      <c r="C291" s="96" t="s">
        <v>1040</v>
      </c>
      <c r="D291" s="119" t="s">
        <v>1062</v>
      </c>
      <c r="E291" s="93"/>
    </row>
    <row r="292" spans="2:5" hidden="1">
      <c r="B292" s="118" t="s">
        <v>1456</v>
      </c>
      <c r="C292" s="96" t="s">
        <v>1033</v>
      </c>
      <c r="D292" s="119" t="s">
        <v>1032</v>
      </c>
      <c r="E292" s="93"/>
    </row>
    <row r="293" spans="2:5" hidden="1">
      <c r="B293" s="118" t="s">
        <v>1456</v>
      </c>
      <c r="C293" s="96" t="s">
        <v>1024</v>
      </c>
      <c r="D293" s="119" t="s">
        <v>1023</v>
      </c>
      <c r="E293" s="93"/>
    </row>
    <row r="294" spans="2:5" hidden="1">
      <c r="B294" s="118" t="s">
        <v>1456</v>
      </c>
      <c r="C294" s="96" t="s">
        <v>1014</v>
      </c>
      <c r="D294" s="119" t="s">
        <v>1013</v>
      </c>
      <c r="E294" s="93"/>
    </row>
    <row r="295" spans="2:5" hidden="1">
      <c r="B295" s="118" t="s">
        <v>1456</v>
      </c>
      <c r="C295" s="96" t="s">
        <v>1005</v>
      </c>
      <c r="D295" s="119" t="s">
        <v>1004</v>
      </c>
      <c r="E295" s="93"/>
    </row>
    <row r="296" spans="2:5" hidden="1">
      <c r="B296" s="118" t="s">
        <v>1456</v>
      </c>
      <c r="C296" s="96" t="s">
        <v>998</v>
      </c>
      <c r="D296" s="119" t="s">
        <v>979</v>
      </c>
      <c r="E296" s="93"/>
    </row>
    <row r="297" spans="2:5" hidden="1">
      <c r="B297" s="118" t="s">
        <v>1456</v>
      </c>
      <c r="C297" s="96" t="s">
        <v>992</v>
      </c>
      <c r="D297" s="119" t="s">
        <v>971</v>
      </c>
      <c r="E297" s="93"/>
    </row>
    <row r="298" spans="2:5" hidden="1">
      <c r="B298" s="118" t="s">
        <v>1456</v>
      </c>
      <c r="C298" s="96" t="s">
        <v>985</v>
      </c>
      <c r="D298" s="119" t="s">
        <v>903</v>
      </c>
      <c r="E298" s="93"/>
    </row>
    <row r="299" spans="2:5" hidden="1">
      <c r="B299" s="118" t="s">
        <v>1456</v>
      </c>
      <c r="C299" s="96" t="s">
        <v>980</v>
      </c>
      <c r="D299" s="119" t="s">
        <v>996</v>
      </c>
      <c r="E299" s="93"/>
    </row>
    <row r="300" spans="2:5" hidden="1">
      <c r="B300" s="118" t="s">
        <v>1456</v>
      </c>
      <c r="C300" s="96" t="s">
        <v>972</v>
      </c>
      <c r="D300" s="119" t="s">
        <v>990</v>
      </c>
      <c r="E300" s="93"/>
    </row>
    <row r="301" spans="2:5" hidden="1">
      <c r="B301" s="118" t="s">
        <v>1456</v>
      </c>
      <c r="C301" s="96">
        <v>1.2</v>
      </c>
      <c r="D301" s="119" t="s">
        <v>952</v>
      </c>
      <c r="E301" s="93"/>
    </row>
    <row r="302" spans="2:5" hidden="1">
      <c r="B302" s="118" t="s">
        <v>1456</v>
      </c>
      <c r="C302" s="96" t="s">
        <v>948</v>
      </c>
      <c r="D302" s="119" t="s">
        <v>947</v>
      </c>
      <c r="E302" s="93"/>
    </row>
    <row r="303" spans="2:5" hidden="1">
      <c r="B303" s="118" t="s">
        <v>1456</v>
      </c>
      <c r="C303" s="96" t="s">
        <v>943</v>
      </c>
      <c r="D303" s="119" t="s">
        <v>942</v>
      </c>
      <c r="E303" s="93"/>
    </row>
    <row r="304" spans="2:5" hidden="1">
      <c r="B304" s="118" t="s">
        <v>1456</v>
      </c>
      <c r="C304" s="96" t="s">
        <v>813</v>
      </c>
      <c r="D304" s="119" t="s">
        <v>938</v>
      </c>
      <c r="E304" s="93"/>
    </row>
    <row r="305" spans="2:5" hidden="1">
      <c r="B305" s="118" t="s">
        <v>1456</v>
      </c>
      <c r="C305" s="96" t="s">
        <v>798</v>
      </c>
      <c r="D305" s="119" t="s">
        <v>933</v>
      </c>
      <c r="E305" s="93"/>
    </row>
    <row r="306" spans="2:5" hidden="1">
      <c r="B306" s="118" t="s">
        <v>1456</v>
      </c>
      <c r="C306" s="96">
        <v>1.3</v>
      </c>
      <c r="D306" s="119" t="s">
        <v>955</v>
      </c>
      <c r="E306" s="93"/>
    </row>
    <row r="307" spans="2:5" hidden="1">
      <c r="B307" s="118" t="s">
        <v>1456</v>
      </c>
      <c r="C307" s="96" t="s">
        <v>613</v>
      </c>
      <c r="D307" s="119" t="s">
        <v>951</v>
      </c>
      <c r="E307" s="93"/>
    </row>
    <row r="308" spans="2:5" hidden="1">
      <c r="B308" s="118" t="s">
        <v>1456</v>
      </c>
      <c r="C308" s="96" t="s">
        <v>608</v>
      </c>
      <c r="D308" s="119" t="s">
        <v>946</v>
      </c>
      <c r="E308" s="93"/>
    </row>
    <row r="309" spans="2:5" hidden="1">
      <c r="B309" s="118" t="s">
        <v>1456</v>
      </c>
      <c r="C309" s="96" t="s">
        <v>918</v>
      </c>
      <c r="D309" s="119" t="s">
        <v>941</v>
      </c>
      <c r="E309" s="93"/>
    </row>
    <row r="310" spans="2:5" hidden="1">
      <c r="B310" s="118" t="s">
        <v>1456</v>
      </c>
      <c r="C310" s="96" t="s">
        <v>913</v>
      </c>
      <c r="D310" s="119" t="s">
        <v>937</v>
      </c>
      <c r="E310" s="93"/>
    </row>
    <row r="311" spans="2:5" hidden="1">
      <c r="B311" s="118" t="s">
        <v>1456</v>
      </c>
      <c r="C311" s="96" t="s">
        <v>908</v>
      </c>
      <c r="D311" s="119" t="s">
        <v>932</v>
      </c>
      <c r="E311" s="93"/>
    </row>
    <row r="312" spans="2:5" hidden="1">
      <c r="B312" s="118" t="s">
        <v>1456</v>
      </c>
      <c r="C312" s="96" t="s">
        <v>904</v>
      </c>
      <c r="D312" s="119" t="s">
        <v>928</v>
      </c>
      <c r="E312" s="93"/>
    </row>
    <row r="313" spans="2:5" hidden="1">
      <c r="B313" s="118" t="s">
        <v>1456</v>
      </c>
      <c r="C313" s="96" t="s">
        <v>900</v>
      </c>
      <c r="D313" s="119" t="s">
        <v>925</v>
      </c>
      <c r="E313" s="93"/>
    </row>
    <row r="314" spans="2:5" hidden="1">
      <c r="B314" s="118" t="s">
        <v>1456</v>
      </c>
      <c r="C314" s="96" t="s">
        <v>897</v>
      </c>
      <c r="D314" s="119" t="s">
        <v>921</v>
      </c>
      <c r="E314" s="93"/>
    </row>
    <row r="315" spans="2:5" hidden="1">
      <c r="B315" s="118" t="s">
        <v>1456</v>
      </c>
      <c r="C315" s="96">
        <v>1.4</v>
      </c>
      <c r="D315" s="119" t="s">
        <v>916</v>
      </c>
      <c r="E315" s="93"/>
    </row>
    <row r="316" spans="2:5" hidden="1">
      <c r="B316" s="118" t="s">
        <v>1456</v>
      </c>
      <c r="C316" s="96">
        <v>1.5</v>
      </c>
      <c r="D316" s="119" t="s">
        <v>911</v>
      </c>
      <c r="E316" s="93"/>
    </row>
    <row r="317" spans="2:5" hidden="1">
      <c r="B317" s="118" t="s">
        <v>1456</v>
      </c>
      <c r="C317" s="96">
        <v>1.6</v>
      </c>
      <c r="D317" s="119" t="s">
        <v>880</v>
      </c>
      <c r="E317" s="93"/>
    </row>
    <row r="318" spans="2:5" hidden="1">
      <c r="B318" s="118" t="s">
        <v>1456</v>
      </c>
      <c r="C318" s="96">
        <v>1.7</v>
      </c>
      <c r="D318" s="119" t="s">
        <v>349</v>
      </c>
      <c r="E318" s="93"/>
    </row>
    <row r="319" spans="2:5" hidden="1">
      <c r="B319" s="118" t="s">
        <v>1456</v>
      </c>
      <c r="C319" s="96">
        <v>1.8</v>
      </c>
      <c r="D319" s="119" t="s">
        <v>876</v>
      </c>
      <c r="E319" s="93"/>
    </row>
    <row r="320" spans="2:5" hidden="1">
      <c r="B320" s="118" t="s">
        <v>1456</v>
      </c>
      <c r="C320" s="96" t="s">
        <v>356</v>
      </c>
      <c r="D320" s="119" t="s">
        <v>873</v>
      </c>
      <c r="E320" s="93"/>
    </row>
    <row r="321" spans="2:5" hidden="1">
      <c r="B321" s="118" t="s">
        <v>1456</v>
      </c>
      <c r="C321" s="96" t="s">
        <v>346</v>
      </c>
      <c r="D321" s="119" t="s">
        <v>871</v>
      </c>
      <c r="E321" s="93"/>
    </row>
    <row r="322" spans="2:5" hidden="1">
      <c r="B322" s="118" t="s">
        <v>1456</v>
      </c>
      <c r="C322" s="96" t="s">
        <v>342</v>
      </c>
      <c r="D322" s="119" t="s">
        <v>868</v>
      </c>
      <c r="E322" s="93"/>
    </row>
    <row r="323" spans="2:5" hidden="1">
      <c r="B323" s="118" t="s">
        <v>1456</v>
      </c>
      <c r="C323" s="96" t="s">
        <v>338</v>
      </c>
      <c r="D323" s="119" t="s">
        <v>865</v>
      </c>
      <c r="E323" s="93"/>
    </row>
    <row r="324" spans="2:5" hidden="1">
      <c r="B324" s="118" t="s">
        <v>1456</v>
      </c>
      <c r="C324" s="96" t="s">
        <v>861</v>
      </c>
      <c r="D324" s="119" t="s">
        <v>860</v>
      </c>
      <c r="E324" s="93"/>
    </row>
    <row r="325" spans="2:5" hidden="1">
      <c r="B325" s="118" t="s">
        <v>1456</v>
      </c>
      <c r="C325" s="96">
        <v>1.9</v>
      </c>
      <c r="D325" s="119" t="s">
        <v>856</v>
      </c>
      <c r="E325" s="93"/>
    </row>
    <row r="326" spans="2:5" hidden="1">
      <c r="B326" s="118" t="s">
        <v>1456</v>
      </c>
      <c r="C326" s="96" t="s">
        <v>335</v>
      </c>
      <c r="D326" s="119" t="s">
        <v>853</v>
      </c>
      <c r="E326" s="93"/>
    </row>
    <row r="327" spans="2:5" hidden="1">
      <c r="B327" s="118" t="s">
        <v>1456</v>
      </c>
      <c r="C327" s="96" t="s">
        <v>334</v>
      </c>
      <c r="D327" s="119" t="s">
        <v>850</v>
      </c>
      <c r="E327" s="93"/>
    </row>
    <row r="328" spans="2:5" hidden="1">
      <c r="B328" s="118" t="s">
        <v>1456</v>
      </c>
      <c r="C328" s="96" t="s">
        <v>332</v>
      </c>
      <c r="D328" s="119" t="s">
        <v>846</v>
      </c>
      <c r="E328" s="93"/>
    </row>
    <row r="329" spans="2:5" hidden="1">
      <c r="B329" s="118" t="s">
        <v>1456</v>
      </c>
      <c r="C329" s="96">
        <v>1.1000000000000001</v>
      </c>
      <c r="D329" s="119" t="s">
        <v>843</v>
      </c>
      <c r="E329" s="93"/>
    </row>
    <row r="330" spans="2:5" hidden="1">
      <c r="B330" s="118" t="s">
        <v>1456</v>
      </c>
      <c r="C330" s="96" t="s">
        <v>329</v>
      </c>
      <c r="D330" s="119" t="s">
        <v>839</v>
      </c>
      <c r="E330" s="93"/>
    </row>
    <row r="331" spans="2:5" hidden="1">
      <c r="B331" s="118" t="s">
        <v>1456</v>
      </c>
      <c r="C331" s="96" t="s">
        <v>835</v>
      </c>
      <c r="D331" s="119" t="s">
        <v>834</v>
      </c>
      <c r="E331" s="93"/>
    </row>
    <row r="332" spans="2:5" hidden="1">
      <c r="B332" s="118" t="s">
        <v>1456</v>
      </c>
      <c r="C332" s="96" t="s">
        <v>831</v>
      </c>
      <c r="D332" s="119" t="s">
        <v>830</v>
      </c>
      <c r="E332" s="93"/>
    </row>
    <row r="333" spans="2:5" hidden="1">
      <c r="B333" s="118" t="s">
        <v>1456</v>
      </c>
      <c r="C333" s="96" t="s">
        <v>827</v>
      </c>
      <c r="D333" s="119" t="s">
        <v>826</v>
      </c>
      <c r="E333" s="93"/>
    </row>
    <row r="334" spans="2:5" hidden="1">
      <c r="B334" s="118" t="s">
        <v>1456</v>
      </c>
      <c r="C334" s="96" t="s">
        <v>823</v>
      </c>
      <c r="D334" s="119" t="s">
        <v>822</v>
      </c>
      <c r="E334" s="93"/>
    </row>
    <row r="335" spans="2:5" hidden="1">
      <c r="B335" s="118" t="s">
        <v>1456</v>
      </c>
      <c r="C335" s="96">
        <v>1.1100000000000001</v>
      </c>
      <c r="D335" s="119" t="s">
        <v>820</v>
      </c>
      <c r="E335" s="93"/>
    </row>
    <row r="336" spans="2:5" hidden="1">
      <c r="B336" s="118" t="s">
        <v>1456</v>
      </c>
      <c r="C336" s="96" t="s">
        <v>818</v>
      </c>
      <c r="D336" s="119" t="s">
        <v>810</v>
      </c>
      <c r="E336" s="93"/>
    </row>
    <row r="337" spans="2:5" hidden="1">
      <c r="B337" s="118" t="s">
        <v>1456</v>
      </c>
      <c r="C337" s="96" t="s">
        <v>816</v>
      </c>
      <c r="D337" s="119" t="s">
        <v>807</v>
      </c>
      <c r="E337" s="93"/>
    </row>
    <row r="338" spans="2:5" hidden="1">
      <c r="B338" s="118" t="s">
        <v>1456</v>
      </c>
      <c r="C338" s="96">
        <v>1.1200000000000001</v>
      </c>
      <c r="D338" s="119" t="s">
        <v>814</v>
      </c>
      <c r="E338" s="93"/>
    </row>
    <row r="339" spans="2:5" hidden="1">
      <c r="B339" s="118" t="s">
        <v>1456</v>
      </c>
      <c r="C339" s="96" t="s">
        <v>811</v>
      </c>
      <c r="D339" s="119" t="s">
        <v>810</v>
      </c>
      <c r="E339" s="93"/>
    </row>
    <row r="340" spans="2:5" hidden="1">
      <c r="B340" s="118" t="s">
        <v>1456</v>
      </c>
      <c r="C340" s="96" t="s">
        <v>808</v>
      </c>
      <c r="D340" s="119" t="s">
        <v>807</v>
      </c>
      <c r="E340" s="93"/>
    </row>
    <row r="341" spans="2:5" hidden="1">
      <c r="B341" s="118" t="s">
        <v>1456</v>
      </c>
      <c r="C341" s="96">
        <v>1.1299999999999999</v>
      </c>
      <c r="D341" s="119" t="s">
        <v>805</v>
      </c>
      <c r="E341" s="93"/>
    </row>
    <row r="342" spans="2:5" hidden="1">
      <c r="B342" s="118" t="s">
        <v>1456</v>
      </c>
      <c r="C342" s="96" t="s">
        <v>803</v>
      </c>
      <c r="D342" s="119" t="s">
        <v>802</v>
      </c>
      <c r="E342" s="93"/>
    </row>
    <row r="343" spans="2:5" hidden="1">
      <c r="B343" s="118" t="s">
        <v>1456</v>
      </c>
      <c r="C343" s="96" t="s">
        <v>800</v>
      </c>
      <c r="D343" s="119" t="s">
        <v>799</v>
      </c>
      <c r="E343" s="93"/>
    </row>
    <row r="344" spans="2:5" hidden="1">
      <c r="B344" s="118" t="s">
        <v>1456</v>
      </c>
      <c r="C344" s="96" t="s">
        <v>796</v>
      </c>
      <c r="D344" s="119" t="s">
        <v>795</v>
      </c>
      <c r="E344" s="93"/>
    </row>
    <row r="345" spans="2:5" hidden="1">
      <c r="B345" s="118" t="s">
        <v>1456</v>
      </c>
      <c r="C345" s="96" t="s">
        <v>793</v>
      </c>
      <c r="D345" s="119" t="s">
        <v>792</v>
      </c>
      <c r="E345" s="93"/>
    </row>
    <row r="346" spans="2:5" hidden="1">
      <c r="B346" s="118" t="s">
        <v>1456</v>
      </c>
      <c r="C346" s="96" t="s">
        <v>790</v>
      </c>
      <c r="D346" s="119" t="s">
        <v>789</v>
      </c>
      <c r="E346" s="93"/>
    </row>
    <row r="347" spans="2:5" hidden="1">
      <c r="B347" s="118" t="s">
        <v>1456</v>
      </c>
      <c r="C347" s="96">
        <v>1.1399999999999999</v>
      </c>
      <c r="D347" s="119" t="s">
        <v>787</v>
      </c>
      <c r="E347" s="93"/>
    </row>
    <row r="348" spans="2:5" hidden="1">
      <c r="B348" s="118" t="s">
        <v>1456</v>
      </c>
      <c r="C348" s="96" t="s">
        <v>785</v>
      </c>
      <c r="D348" s="119" t="s">
        <v>784</v>
      </c>
      <c r="E348" s="93"/>
    </row>
    <row r="349" spans="2:5" hidden="1">
      <c r="B349" s="118" t="s">
        <v>1456</v>
      </c>
      <c r="C349" s="96" t="s">
        <v>782</v>
      </c>
      <c r="D349" s="119" t="s">
        <v>781</v>
      </c>
      <c r="E349" s="93"/>
    </row>
    <row r="350" spans="2:5" hidden="1">
      <c r="B350" s="118" t="s">
        <v>1456</v>
      </c>
      <c r="C350" s="96" t="s">
        <v>779</v>
      </c>
      <c r="D350" s="119" t="s">
        <v>778</v>
      </c>
      <c r="E350" s="93"/>
    </row>
    <row r="351" spans="2:5" hidden="1">
      <c r="B351" s="118" t="s">
        <v>1456</v>
      </c>
      <c r="C351" s="96">
        <v>1.1499999999999999</v>
      </c>
      <c r="D351" s="119" t="s">
        <v>776</v>
      </c>
      <c r="E351" s="93"/>
    </row>
    <row r="352" spans="2:5">
      <c r="B352" s="118" t="s">
        <v>1455</v>
      </c>
      <c r="C352" s="96">
        <v>1</v>
      </c>
      <c r="D352" s="119" t="s">
        <v>1443</v>
      </c>
      <c r="E352" s="93"/>
    </row>
    <row r="353" spans="2:5">
      <c r="B353" s="118" t="s">
        <v>1455</v>
      </c>
      <c r="C353" s="96">
        <v>1.1000000000000001</v>
      </c>
      <c r="D353" s="119" t="s">
        <v>1434</v>
      </c>
      <c r="E353" s="93"/>
    </row>
    <row r="354" spans="2:5">
      <c r="B354" s="118" t="s">
        <v>1455</v>
      </c>
      <c r="C354" s="96" t="s">
        <v>1422</v>
      </c>
      <c r="D354" s="119" t="s">
        <v>1427</v>
      </c>
      <c r="E354" s="93"/>
    </row>
    <row r="355" spans="2:5">
      <c r="B355" s="118" t="s">
        <v>1455</v>
      </c>
      <c r="C355" s="96" t="s">
        <v>1369</v>
      </c>
      <c r="D355" s="119" t="s">
        <v>1419</v>
      </c>
      <c r="E355" s="93"/>
    </row>
    <row r="356" spans="2:5">
      <c r="B356" s="118" t="s">
        <v>1455</v>
      </c>
      <c r="C356" s="96" t="s">
        <v>1295</v>
      </c>
      <c r="D356" s="119" t="s">
        <v>1412</v>
      </c>
      <c r="E356" s="93"/>
    </row>
    <row r="357" spans="2:5">
      <c r="B357" s="118" t="s">
        <v>1455</v>
      </c>
      <c r="C357" s="96" t="s">
        <v>1234</v>
      </c>
      <c r="D357" s="119" t="s">
        <v>1405</v>
      </c>
      <c r="E357" s="93"/>
    </row>
    <row r="358" spans="2:5">
      <c r="B358" s="118" t="s">
        <v>1455</v>
      </c>
      <c r="C358" s="96" t="s">
        <v>1137</v>
      </c>
      <c r="D358" s="119" t="s">
        <v>1223</v>
      </c>
      <c r="E358" s="93"/>
    </row>
    <row r="359" spans="2:5">
      <c r="B359" s="118" t="s">
        <v>1455</v>
      </c>
      <c r="C359" s="96" t="s">
        <v>1131</v>
      </c>
      <c r="D359" s="119" t="s">
        <v>1391</v>
      </c>
      <c r="E359" s="93"/>
    </row>
    <row r="360" spans="2:5">
      <c r="B360" s="118" t="s">
        <v>1455</v>
      </c>
      <c r="C360" s="96" t="s">
        <v>1094</v>
      </c>
      <c r="D360" s="119" t="s">
        <v>1350</v>
      </c>
      <c r="E360" s="93"/>
    </row>
    <row r="361" spans="2:5">
      <c r="B361" s="118" t="s">
        <v>1455</v>
      </c>
      <c r="C361" s="96" t="s">
        <v>1055</v>
      </c>
      <c r="D361" s="119" t="s">
        <v>1372</v>
      </c>
      <c r="E361" s="93"/>
    </row>
    <row r="362" spans="2:5">
      <c r="B362" s="118" t="s">
        <v>1455</v>
      </c>
      <c r="C362" s="96" t="s">
        <v>998</v>
      </c>
      <c r="D362" s="119" t="s">
        <v>1362</v>
      </c>
      <c r="E362" s="93"/>
    </row>
    <row r="363" spans="2:5">
      <c r="B363" s="118" t="s">
        <v>1455</v>
      </c>
      <c r="C363" s="96">
        <v>1.2</v>
      </c>
      <c r="D363" s="119" t="s">
        <v>880</v>
      </c>
      <c r="E363" s="93"/>
    </row>
    <row r="364" spans="2:5">
      <c r="B364" s="118" t="s">
        <v>1455</v>
      </c>
      <c r="C364" s="96">
        <v>1.3</v>
      </c>
      <c r="D364" s="119" t="s">
        <v>349</v>
      </c>
      <c r="E364" s="93"/>
    </row>
    <row r="365" spans="2:5">
      <c r="B365" s="118" t="s">
        <v>1455</v>
      </c>
      <c r="C365" s="96">
        <v>1.4</v>
      </c>
      <c r="D365" s="119" t="s">
        <v>876</v>
      </c>
      <c r="E365" s="93"/>
    </row>
    <row r="366" spans="2:5">
      <c r="B366" s="118" t="s">
        <v>1455</v>
      </c>
      <c r="C366" s="96" t="s">
        <v>563</v>
      </c>
      <c r="D366" s="119" t="s">
        <v>873</v>
      </c>
      <c r="E366" s="93"/>
    </row>
    <row r="367" spans="2:5">
      <c r="B367" s="118" t="s">
        <v>1455</v>
      </c>
      <c r="C367" s="96" t="s">
        <v>558</v>
      </c>
      <c r="D367" s="119" t="s">
        <v>871</v>
      </c>
      <c r="E367" s="93"/>
    </row>
    <row r="368" spans="2:5">
      <c r="B368" s="118" t="s">
        <v>1455</v>
      </c>
      <c r="C368" s="96" t="s">
        <v>539</v>
      </c>
      <c r="D368" s="119" t="s">
        <v>868</v>
      </c>
      <c r="E368" s="93"/>
    </row>
    <row r="369" spans="2:5">
      <c r="B369" s="118" t="s">
        <v>1455</v>
      </c>
      <c r="C369" s="96" t="s">
        <v>524</v>
      </c>
      <c r="D369" s="119" t="s">
        <v>865</v>
      </c>
      <c r="E369" s="93"/>
    </row>
    <row r="370" spans="2:5">
      <c r="B370" s="118" t="s">
        <v>1455</v>
      </c>
      <c r="C370" s="96" t="s">
        <v>499</v>
      </c>
      <c r="D370" s="119" t="s">
        <v>860</v>
      </c>
      <c r="E370" s="93"/>
    </row>
    <row r="371" spans="2:5">
      <c r="B371" s="118" t="s">
        <v>1455</v>
      </c>
      <c r="C371" s="96">
        <v>1.5</v>
      </c>
      <c r="D371" s="119" t="s">
        <v>856</v>
      </c>
      <c r="E371" s="93"/>
    </row>
    <row r="372" spans="2:5">
      <c r="B372" s="118" t="s">
        <v>1455</v>
      </c>
      <c r="C372" s="96" t="s">
        <v>446</v>
      </c>
      <c r="D372" s="119" t="s">
        <v>853</v>
      </c>
      <c r="E372" s="93"/>
    </row>
    <row r="373" spans="2:5">
      <c r="B373" s="118" t="s">
        <v>1455</v>
      </c>
      <c r="C373" s="96" t="s">
        <v>441</v>
      </c>
      <c r="D373" s="119" t="s">
        <v>850</v>
      </c>
      <c r="E373" s="93"/>
    </row>
    <row r="374" spans="2:5">
      <c r="B374" s="118" t="s">
        <v>1455</v>
      </c>
      <c r="C374" s="96" t="s">
        <v>437</v>
      </c>
      <c r="D374" s="119" t="s">
        <v>846</v>
      </c>
      <c r="E374" s="93"/>
    </row>
    <row r="375" spans="2:5">
      <c r="B375" s="118" t="s">
        <v>1455</v>
      </c>
      <c r="C375" s="96">
        <v>1.6</v>
      </c>
      <c r="D375" s="119" t="s">
        <v>843</v>
      </c>
      <c r="E375" s="93"/>
    </row>
    <row r="376" spans="2:5">
      <c r="B376" s="118" t="s">
        <v>1455</v>
      </c>
      <c r="C376" s="96" t="s">
        <v>431</v>
      </c>
      <c r="D376" s="119" t="s">
        <v>839</v>
      </c>
      <c r="E376" s="93"/>
    </row>
    <row r="377" spans="2:5">
      <c r="B377" s="118" t="s">
        <v>1455</v>
      </c>
      <c r="C377" s="96" t="s">
        <v>426</v>
      </c>
      <c r="D377" s="119" t="s">
        <v>834</v>
      </c>
      <c r="E377" s="93"/>
    </row>
    <row r="378" spans="2:5">
      <c r="B378" s="118" t="s">
        <v>1455</v>
      </c>
      <c r="C378" s="96" t="s">
        <v>417</v>
      </c>
      <c r="D378" s="119" t="s">
        <v>830</v>
      </c>
      <c r="E378" s="93"/>
    </row>
    <row r="379" spans="2:5">
      <c r="B379" s="118" t="s">
        <v>1455</v>
      </c>
      <c r="C379" s="96" t="s">
        <v>967</v>
      </c>
      <c r="D379" s="119" t="s">
        <v>826</v>
      </c>
      <c r="E379" s="93"/>
    </row>
    <row r="380" spans="2:5">
      <c r="B380" s="118" t="s">
        <v>1455</v>
      </c>
      <c r="C380" s="96" t="s">
        <v>962</v>
      </c>
      <c r="D380" s="119" t="s">
        <v>822</v>
      </c>
      <c r="E380" s="93"/>
    </row>
    <row r="381" spans="2:5">
      <c r="B381" s="118" t="s">
        <v>1455</v>
      </c>
      <c r="C381" s="96">
        <v>1.7</v>
      </c>
      <c r="D381" s="119" t="s">
        <v>820</v>
      </c>
      <c r="E381" s="93"/>
    </row>
    <row r="382" spans="2:5">
      <c r="B382" s="118" t="s">
        <v>1455</v>
      </c>
      <c r="C382" s="96" t="s">
        <v>414</v>
      </c>
      <c r="D382" s="119" t="s">
        <v>810</v>
      </c>
      <c r="E382" s="93"/>
    </row>
    <row r="383" spans="2:5">
      <c r="B383" s="118" t="s">
        <v>1455</v>
      </c>
      <c r="C383" s="96" t="s">
        <v>409</v>
      </c>
      <c r="D383" s="119" t="s">
        <v>807</v>
      </c>
      <c r="E383" s="93"/>
    </row>
    <row r="384" spans="2:5">
      <c r="B384" s="118" t="s">
        <v>1455</v>
      </c>
      <c r="C384" s="96">
        <v>1.8</v>
      </c>
      <c r="D384" s="119" t="s">
        <v>814</v>
      </c>
      <c r="E384" s="93"/>
    </row>
    <row r="385" spans="2:5">
      <c r="B385" s="118" t="s">
        <v>1455</v>
      </c>
      <c r="C385" s="96" t="s">
        <v>356</v>
      </c>
      <c r="D385" s="119" t="s">
        <v>810</v>
      </c>
      <c r="E385" s="93"/>
    </row>
    <row r="386" spans="2:5">
      <c r="B386" s="118" t="s">
        <v>1455</v>
      </c>
      <c r="C386" s="96" t="s">
        <v>346</v>
      </c>
      <c r="D386" s="119" t="s">
        <v>807</v>
      </c>
      <c r="E386" s="93"/>
    </row>
    <row r="387" spans="2:5">
      <c r="B387" s="118" t="s">
        <v>1455</v>
      </c>
      <c r="C387" s="96">
        <v>1.9</v>
      </c>
      <c r="D387" s="119" t="s">
        <v>805</v>
      </c>
      <c r="E387" s="93"/>
    </row>
    <row r="388" spans="2:5">
      <c r="B388" s="118" t="s">
        <v>1455</v>
      </c>
      <c r="C388" s="96" t="s">
        <v>335</v>
      </c>
      <c r="D388" s="119" t="s">
        <v>802</v>
      </c>
      <c r="E388" s="93"/>
    </row>
    <row r="389" spans="2:5">
      <c r="B389" s="118" t="s">
        <v>1455</v>
      </c>
      <c r="C389" s="96" t="s">
        <v>334</v>
      </c>
      <c r="D389" s="119" t="s">
        <v>799</v>
      </c>
      <c r="E389" s="93"/>
    </row>
    <row r="390" spans="2:5">
      <c r="B390" s="118" t="s">
        <v>1455</v>
      </c>
      <c r="C390" s="96" t="s">
        <v>332</v>
      </c>
      <c r="D390" s="119" t="s">
        <v>795</v>
      </c>
      <c r="E390" s="93"/>
    </row>
    <row r="391" spans="2:5">
      <c r="B391" s="118" t="s">
        <v>1455</v>
      </c>
      <c r="C391" s="96" t="s">
        <v>923</v>
      </c>
      <c r="D391" s="119" t="s">
        <v>792</v>
      </c>
      <c r="E391" s="93"/>
    </row>
    <row r="392" spans="2:5">
      <c r="B392" s="118" t="s">
        <v>1455</v>
      </c>
      <c r="C392" s="96" t="s">
        <v>919</v>
      </c>
      <c r="D392" s="119" t="s">
        <v>789</v>
      </c>
      <c r="E392" s="93"/>
    </row>
    <row r="393" spans="2:5">
      <c r="B393" s="118" t="s">
        <v>1455</v>
      </c>
      <c r="C393" s="96">
        <v>1.1000000000000001</v>
      </c>
      <c r="D393" s="119" t="s">
        <v>787</v>
      </c>
      <c r="E393" s="93"/>
    </row>
    <row r="394" spans="2:5">
      <c r="B394" s="118" t="s">
        <v>1455</v>
      </c>
      <c r="C394" s="96" t="s">
        <v>329</v>
      </c>
      <c r="D394" s="119" t="s">
        <v>784</v>
      </c>
      <c r="E394" s="93"/>
    </row>
    <row r="395" spans="2:5">
      <c r="B395" s="118" t="s">
        <v>1455</v>
      </c>
      <c r="C395" s="96" t="s">
        <v>835</v>
      </c>
      <c r="D395" s="119" t="s">
        <v>781</v>
      </c>
      <c r="E395" s="93"/>
    </row>
    <row r="396" spans="2:5">
      <c r="B396" s="118" t="s">
        <v>1455</v>
      </c>
      <c r="C396" s="96" t="s">
        <v>831</v>
      </c>
      <c r="D396" s="119" t="s">
        <v>778</v>
      </c>
      <c r="E396" s="93"/>
    </row>
    <row r="397" spans="2:5">
      <c r="B397" s="118" t="s">
        <v>1455</v>
      </c>
      <c r="C397" s="96">
        <v>1.1100000000000001</v>
      </c>
      <c r="D397" s="119" t="s">
        <v>776</v>
      </c>
      <c r="E397" s="93"/>
    </row>
    <row r="398" spans="2:5" hidden="1">
      <c r="B398" s="118" t="s">
        <v>1454</v>
      </c>
      <c r="C398" s="96">
        <v>1</v>
      </c>
      <c r="D398" s="119" t="s">
        <v>1442</v>
      </c>
      <c r="E398" s="93"/>
    </row>
    <row r="399" spans="2:5" hidden="1">
      <c r="B399" s="118" t="s">
        <v>1454</v>
      </c>
      <c r="C399" s="96">
        <v>1.1000000000000001</v>
      </c>
      <c r="D399" s="119" t="s">
        <v>1433</v>
      </c>
      <c r="E399" s="93"/>
    </row>
    <row r="400" spans="2:5" hidden="1">
      <c r="B400" s="118" t="s">
        <v>1454</v>
      </c>
      <c r="C400" s="96" t="s">
        <v>1422</v>
      </c>
      <c r="D400" s="119" t="s">
        <v>353</v>
      </c>
      <c r="E400" s="93"/>
    </row>
    <row r="401" spans="2:5" hidden="1">
      <c r="B401" s="118" t="s">
        <v>1454</v>
      </c>
      <c r="C401" s="96" t="s">
        <v>1369</v>
      </c>
      <c r="D401" s="119" t="s">
        <v>351</v>
      </c>
      <c r="E401" s="93"/>
    </row>
    <row r="402" spans="2:5" hidden="1">
      <c r="B402" s="118" t="s">
        <v>1454</v>
      </c>
      <c r="C402" s="96" t="s">
        <v>1295</v>
      </c>
      <c r="D402" s="119" t="s">
        <v>349</v>
      </c>
      <c r="E402" s="93"/>
    </row>
    <row r="403" spans="2:5" hidden="1">
      <c r="B403" s="118" t="s">
        <v>1454</v>
      </c>
      <c r="C403" s="96" t="s">
        <v>1234</v>
      </c>
      <c r="D403" s="119" t="s">
        <v>347</v>
      </c>
      <c r="E403" s="93"/>
    </row>
    <row r="404" spans="2:5" hidden="1">
      <c r="B404" s="118" t="s">
        <v>1454</v>
      </c>
      <c r="C404" s="96">
        <v>1.2</v>
      </c>
      <c r="D404" s="119" t="s">
        <v>1398</v>
      </c>
      <c r="E404" s="93"/>
    </row>
    <row r="405" spans="2:5" hidden="1">
      <c r="B405" s="118" t="s">
        <v>1454</v>
      </c>
      <c r="C405" s="96" t="s">
        <v>948</v>
      </c>
      <c r="D405" s="119" t="s">
        <v>355</v>
      </c>
      <c r="E405" s="93"/>
    </row>
    <row r="406" spans="2:5" hidden="1">
      <c r="B406" s="118" t="s">
        <v>1454</v>
      </c>
      <c r="C406" s="96" t="s">
        <v>1381</v>
      </c>
      <c r="D406" s="119" t="s">
        <v>353</v>
      </c>
      <c r="E406" s="93"/>
    </row>
    <row r="407" spans="2:5" hidden="1">
      <c r="B407" s="118" t="s">
        <v>1454</v>
      </c>
      <c r="C407" s="96" t="s">
        <v>1371</v>
      </c>
      <c r="D407" s="119" t="s">
        <v>351</v>
      </c>
      <c r="E407" s="93"/>
    </row>
    <row r="408" spans="2:5" hidden="1">
      <c r="B408" s="118" t="s">
        <v>1454</v>
      </c>
      <c r="C408" s="96" t="s">
        <v>1361</v>
      </c>
      <c r="D408" s="119" t="s">
        <v>349</v>
      </c>
    </row>
    <row r="409" spans="2:5" hidden="1">
      <c r="B409" s="118" t="s">
        <v>1454</v>
      </c>
      <c r="C409" s="96" t="s">
        <v>1351</v>
      </c>
      <c r="D409" s="119" t="s">
        <v>347</v>
      </c>
    </row>
    <row r="410" spans="2:5" hidden="1">
      <c r="B410" s="118" t="s">
        <v>1454</v>
      </c>
      <c r="C410" s="96" t="s">
        <v>943</v>
      </c>
      <c r="D410" s="119" t="s">
        <v>1342</v>
      </c>
    </row>
    <row r="411" spans="2:5" hidden="1">
      <c r="B411" s="118" t="s">
        <v>1454</v>
      </c>
      <c r="C411" s="96" t="s">
        <v>1333</v>
      </c>
      <c r="D411" s="119" t="s">
        <v>355</v>
      </c>
    </row>
    <row r="412" spans="2:5" hidden="1">
      <c r="B412" s="118" t="s">
        <v>1454</v>
      </c>
      <c r="C412" s="96" t="s">
        <v>1326</v>
      </c>
      <c r="D412" s="119" t="s">
        <v>353</v>
      </c>
    </row>
    <row r="413" spans="2:5" hidden="1">
      <c r="B413" s="118" t="s">
        <v>1454</v>
      </c>
      <c r="C413" s="96" t="s">
        <v>1317</v>
      </c>
      <c r="D413" s="119" t="s">
        <v>351</v>
      </c>
    </row>
    <row r="414" spans="2:5" hidden="1">
      <c r="B414" s="118" t="s">
        <v>1454</v>
      </c>
      <c r="C414" s="96" t="s">
        <v>1308</v>
      </c>
      <c r="D414" s="119" t="s">
        <v>349</v>
      </c>
    </row>
    <row r="415" spans="2:5" hidden="1">
      <c r="B415" s="118" t="s">
        <v>1454</v>
      </c>
      <c r="C415" s="96" t="s">
        <v>1300</v>
      </c>
      <c r="D415" s="119" t="s">
        <v>347</v>
      </c>
    </row>
    <row r="416" spans="2:5" hidden="1">
      <c r="B416" s="118" t="s">
        <v>1454</v>
      </c>
      <c r="C416" s="96" t="s">
        <v>1293</v>
      </c>
      <c r="D416" s="119" t="s">
        <v>1292</v>
      </c>
    </row>
    <row r="417" spans="2:4" hidden="1">
      <c r="B417" s="118" t="s">
        <v>1454</v>
      </c>
      <c r="C417" s="96" t="s">
        <v>1283</v>
      </c>
      <c r="D417" s="119" t="s">
        <v>0</v>
      </c>
    </row>
    <row r="418" spans="2:4" hidden="1">
      <c r="B418" s="118" t="s">
        <v>1454</v>
      </c>
      <c r="C418" s="96" t="s">
        <v>1274</v>
      </c>
      <c r="D418" s="119" t="s">
        <v>351</v>
      </c>
    </row>
    <row r="419" spans="2:4" hidden="1">
      <c r="B419" s="118" t="s">
        <v>1454</v>
      </c>
      <c r="C419" s="96" t="s">
        <v>1265</v>
      </c>
      <c r="D419" s="119" t="s">
        <v>347</v>
      </c>
    </row>
    <row r="420" spans="2:4" hidden="1">
      <c r="B420" s="118" t="s">
        <v>1454</v>
      </c>
      <c r="C420" s="96" t="s">
        <v>1258</v>
      </c>
      <c r="D420" s="119" t="s">
        <v>772</v>
      </c>
    </row>
    <row r="421" spans="2:4" hidden="1">
      <c r="B421" s="118" t="s">
        <v>1454</v>
      </c>
      <c r="C421" s="96" t="s">
        <v>1248</v>
      </c>
      <c r="D421" s="119" t="s">
        <v>770</v>
      </c>
    </row>
    <row r="422" spans="2:4" hidden="1">
      <c r="B422" s="118" t="s">
        <v>1454</v>
      </c>
      <c r="C422" s="96" t="s">
        <v>1241</v>
      </c>
      <c r="D422" s="119" t="s">
        <v>1240</v>
      </c>
    </row>
    <row r="423" spans="2:4" hidden="1">
      <c r="B423" s="118" t="s">
        <v>1454</v>
      </c>
      <c r="C423" s="96" t="s">
        <v>1232</v>
      </c>
      <c r="D423" s="119" t="s">
        <v>1231</v>
      </c>
    </row>
    <row r="424" spans="2:4" hidden="1">
      <c r="B424" s="118" t="s">
        <v>1454</v>
      </c>
      <c r="C424" s="96" t="s">
        <v>1224</v>
      </c>
      <c r="D424" s="119" t="s">
        <v>0</v>
      </c>
    </row>
    <row r="425" spans="2:4" hidden="1">
      <c r="B425" s="118" t="s">
        <v>1454</v>
      </c>
      <c r="C425" s="96" t="s">
        <v>1218</v>
      </c>
      <c r="D425" s="119" t="s">
        <v>351</v>
      </c>
    </row>
    <row r="426" spans="2:4" hidden="1">
      <c r="B426" s="118" t="s">
        <v>1454</v>
      </c>
      <c r="C426" s="96" t="s">
        <v>1212</v>
      </c>
      <c r="D426" s="119" t="s">
        <v>347</v>
      </c>
    </row>
    <row r="427" spans="2:4" hidden="1">
      <c r="B427" s="118" t="s">
        <v>1454</v>
      </c>
      <c r="C427" s="96" t="s">
        <v>1204</v>
      </c>
      <c r="D427" s="119" t="s">
        <v>761</v>
      </c>
    </row>
    <row r="428" spans="2:4" hidden="1">
      <c r="B428" s="118" t="s">
        <v>1454</v>
      </c>
      <c r="C428" s="96" t="s">
        <v>1196</v>
      </c>
      <c r="D428" s="119" t="s">
        <v>759</v>
      </c>
    </row>
    <row r="429" spans="2:4" hidden="1">
      <c r="B429" s="118" t="s">
        <v>1454</v>
      </c>
      <c r="C429" s="96" t="s">
        <v>1187</v>
      </c>
      <c r="D429" s="119" t="s">
        <v>757</v>
      </c>
    </row>
    <row r="430" spans="2:4" hidden="1">
      <c r="B430" s="118" t="s">
        <v>1454</v>
      </c>
      <c r="C430" s="96" t="s">
        <v>1179</v>
      </c>
      <c r="D430" s="119" t="s">
        <v>1178</v>
      </c>
    </row>
    <row r="431" spans="2:4" hidden="1">
      <c r="B431" s="118" t="s">
        <v>1454</v>
      </c>
      <c r="C431" s="96" t="s">
        <v>1170</v>
      </c>
      <c r="D431" s="119" t="s">
        <v>753</v>
      </c>
    </row>
    <row r="432" spans="2:4" hidden="1">
      <c r="B432" s="118" t="s">
        <v>1454</v>
      </c>
      <c r="C432" s="96" t="s">
        <v>1163</v>
      </c>
      <c r="D432" s="119" t="s">
        <v>1162</v>
      </c>
    </row>
    <row r="433" spans="2:4" hidden="1">
      <c r="B433" s="118" t="s">
        <v>1454</v>
      </c>
      <c r="C433" s="96" t="s">
        <v>1154</v>
      </c>
      <c r="D433" s="119" t="s">
        <v>1153</v>
      </c>
    </row>
    <row r="434" spans="2:4" hidden="1">
      <c r="B434" s="118" t="s">
        <v>1454</v>
      </c>
      <c r="C434" s="96" t="s">
        <v>1147</v>
      </c>
      <c r="D434" s="119" t="s">
        <v>0</v>
      </c>
    </row>
    <row r="435" spans="2:4" hidden="1">
      <c r="B435" s="118" t="s">
        <v>1454</v>
      </c>
      <c r="C435" s="96" t="s">
        <v>1140</v>
      </c>
      <c r="D435" s="119" t="s">
        <v>351</v>
      </c>
    </row>
    <row r="436" spans="2:4" hidden="1">
      <c r="B436" s="118" t="s">
        <v>1454</v>
      </c>
      <c r="C436" s="96" t="s">
        <v>1133</v>
      </c>
      <c r="D436" s="119" t="s">
        <v>347</v>
      </c>
    </row>
    <row r="437" spans="2:4" hidden="1">
      <c r="B437" s="118" t="s">
        <v>1454</v>
      </c>
      <c r="C437" s="96" t="s">
        <v>1128</v>
      </c>
      <c r="D437" s="119" t="s">
        <v>1127</v>
      </c>
    </row>
    <row r="438" spans="2:4" hidden="1">
      <c r="B438" s="118" t="s">
        <v>1454</v>
      </c>
      <c r="C438" s="96" t="s">
        <v>1119</v>
      </c>
      <c r="D438" s="119" t="s">
        <v>1118</v>
      </c>
    </row>
    <row r="439" spans="2:4" hidden="1">
      <c r="B439" s="118" t="s">
        <v>1454</v>
      </c>
      <c r="C439" s="96" t="s">
        <v>1112</v>
      </c>
      <c r="D439" s="119" t="s">
        <v>1111</v>
      </c>
    </row>
    <row r="440" spans="2:4" hidden="1">
      <c r="B440" s="118" t="s">
        <v>1454</v>
      </c>
      <c r="C440" s="96" t="s">
        <v>1104</v>
      </c>
      <c r="D440" s="119" t="s">
        <v>1103</v>
      </c>
    </row>
    <row r="441" spans="2:4" hidden="1">
      <c r="B441" s="118" t="s">
        <v>1454</v>
      </c>
      <c r="C441" s="96" t="s">
        <v>1097</v>
      </c>
      <c r="D441" s="119" t="s">
        <v>1096</v>
      </c>
    </row>
    <row r="442" spans="2:4" hidden="1">
      <c r="B442" s="118" t="s">
        <v>1454</v>
      </c>
      <c r="C442" s="96" t="s">
        <v>1093</v>
      </c>
      <c r="D442" s="119" t="s">
        <v>738</v>
      </c>
    </row>
    <row r="443" spans="2:4" hidden="1">
      <c r="B443" s="118" t="s">
        <v>1454</v>
      </c>
      <c r="C443" s="96" t="s">
        <v>1088</v>
      </c>
      <c r="D443" s="119" t="s">
        <v>1087</v>
      </c>
    </row>
    <row r="444" spans="2:4" hidden="1">
      <c r="B444" s="118" t="s">
        <v>1454</v>
      </c>
      <c r="C444" s="96" t="s">
        <v>1081</v>
      </c>
      <c r="D444" s="119" t="s">
        <v>1080</v>
      </c>
    </row>
    <row r="445" spans="2:4" hidden="1">
      <c r="B445" s="118" t="s">
        <v>1454</v>
      </c>
      <c r="C445" s="96" t="s">
        <v>1072</v>
      </c>
      <c r="D445" s="119" t="s">
        <v>1071</v>
      </c>
    </row>
    <row r="446" spans="2:4" hidden="1">
      <c r="B446" s="118" t="s">
        <v>1454</v>
      </c>
      <c r="C446" s="96" t="s">
        <v>1061</v>
      </c>
      <c r="D446" s="119" t="s">
        <v>736</v>
      </c>
    </row>
    <row r="447" spans="2:4" hidden="1">
      <c r="B447" s="118" t="s">
        <v>1454</v>
      </c>
      <c r="C447" s="96" t="s">
        <v>1053</v>
      </c>
      <c r="D447" s="119" t="s">
        <v>1052</v>
      </c>
    </row>
    <row r="448" spans="2:4" hidden="1">
      <c r="B448" s="118" t="s">
        <v>1454</v>
      </c>
      <c r="C448" s="96" t="s">
        <v>1046</v>
      </c>
      <c r="D448" s="119" t="s">
        <v>1045</v>
      </c>
    </row>
    <row r="449" spans="2:4" hidden="1">
      <c r="B449" s="118" t="s">
        <v>1454</v>
      </c>
      <c r="C449" s="96" t="s">
        <v>1038</v>
      </c>
      <c r="D449" s="119" t="s">
        <v>0</v>
      </c>
    </row>
    <row r="450" spans="2:4" hidden="1">
      <c r="B450" s="118" t="s">
        <v>1454</v>
      </c>
      <c r="C450" s="96" t="s">
        <v>1031</v>
      </c>
      <c r="D450" s="119" t="s">
        <v>351</v>
      </c>
    </row>
    <row r="451" spans="2:4" hidden="1">
      <c r="B451" s="118" t="s">
        <v>1454</v>
      </c>
      <c r="C451" s="96" t="s">
        <v>1022</v>
      </c>
      <c r="D451" s="119" t="s">
        <v>347</v>
      </c>
    </row>
    <row r="452" spans="2:4" hidden="1">
      <c r="B452" s="118" t="s">
        <v>1454</v>
      </c>
      <c r="C452" s="96" t="s">
        <v>1012</v>
      </c>
      <c r="D452" s="119" t="s">
        <v>1011</v>
      </c>
    </row>
    <row r="453" spans="2:4" hidden="1">
      <c r="B453" s="118" t="s">
        <v>1454</v>
      </c>
      <c r="C453" s="96" t="s">
        <v>1003</v>
      </c>
      <c r="D453" s="119" t="s">
        <v>1002</v>
      </c>
    </row>
    <row r="454" spans="2:4" hidden="1">
      <c r="B454" s="118" t="s">
        <v>1454</v>
      </c>
      <c r="C454" s="96" t="s">
        <v>995</v>
      </c>
      <c r="D454" s="119" t="s">
        <v>994</v>
      </c>
    </row>
    <row r="455" spans="2:4" hidden="1">
      <c r="B455" s="118" t="s">
        <v>1454</v>
      </c>
      <c r="C455" s="96" t="s">
        <v>989</v>
      </c>
      <c r="D455" s="119" t="s">
        <v>988</v>
      </c>
    </row>
    <row r="456" spans="2:4" hidden="1">
      <c r="B456" s="118" t="s">
        <v>1454</v>
      </c>
      <c r="C456" s="96" t="s">
        <v>983</v>
      </c>
      <c r="D456" s="119" t="s">
        <v>982</v>
      </c>
    </row>
    <row r="457" spans="2:4" hidden="1">
      <c r="B457" s="118" t="s">
        <v>1454</v>
      </c>
      <c r="C457" s="96" t="s">
        <v>978</v>
      </c>
      <c r="D457" s="119" t="s">
        <v>977</v>
      </c>
    </row>
    <row r="458" spans="2:4" hidden="1">
      <c r="B458" s="118" t="s">
        <v>1454</v>
      </c>
      <c r="C458" s="96" t="s">
        <v>970</v>
      </c>
      <c r="D458" s="119" t="s">
        <v>969</v>
      </c>
    </row>
    <row r="459" spans="2:4" hidden="1">
      <c r="B459" s="118" t="s">
        <v>1454</v>
      </c>
      <c r="C459" s="96" t="s">
        <v>965</v>
      </c>
      <c r="D459" s="119" t="s">
        <v>964</v>
      </c>
    </row>
    <row r="460" spans="2:4" hidden="1">
      <c r="B460" s="118" t="s">
        <v>1454</v>
      </c>
      <c r="C460" s="96" t="s">
        <v>959</v>
      </c>
      <c r="D460" s="119" t="s">
        <v>958</v>
      </c>
    </row>
    <row r="461" spans="2:4" hidden="1">
      <c r="B461" s="118" t="s">
        <v>1454</v>
      </c>
      <c r="C461" s="96" t="s">
        <v>954</v>
      </c>
      <c r="D461" s="119" t="s">
        <v>953</v>
      </c>
    </row>
    <row r="462" spans="2:4" hidden="1">
      <c r="B462" s="118" t="s">
        <v>1454</v>
      </c>
      <c r="C462" s="96" t="s">
        <v>950</v>
      </c>
      <c r="D462" s="119" t="s">
        <v>949</v>
      </c>
    </row>
    <row r="463" spans="2:4" hidden="1">
      <c r="B463" s="118" t="s">
        <v>1454</v>
      </c>
      <c r="C463" s="96" t="s">
        <v>945</v>
      </c>
      <c r="D463" s="119" t="s">
        <v>944</v>
      </c>
    </row>
    <row r="464" spans="2:4" hidden="1">
      <c r="B464" s="118" t="s">
        <v>1454</v>
      </c>
      <c r="C464" s="96" t="s">
        <v>940</v>
      </c>
      <c r="D464" s="119" t="s">
        <v>939</v>
      </c>
    </row>
    <row r="465" spans="2:4" hidden="1">
      <c r="B465" s="118" t="s">
        <v>1454</v>
      </c>
      <c r="C465" s="96" t="s">
        <v>936</v>
      </c>
      <c r="D465" s="119" t="s">
        <v>935</v>
      </c>
    </row>
    <row r="466" spans="2:4" hidden="1">
      <c r="B466" s="118" t="s">
        <v>1454</v>
      </c>
      <c r="C466" s="96" t="s">
        <v>931</v>
      </c>
      <c r="D466" s="119" t="s">
        <v>930</v>
      </c>
    </row>
    <row r="467" spans="2:4" hidden="1">
      <c r="B467" s="118" t="s">
        <v>1454</v>
      </c>
      <c r="C467" s="96" t="s">
        <v>927</v>
      </c>
      <c r="D467" s="119" t="s">
        <v>0</v>
      </c>
    </row>
    <row r="468" spans="2:4" hidden="1">
      <c r="B468" s="118" t="s">
        <v>1454</v>
      </c>
      <c r="C468" s="96" t="s">
        <v>924</v>
      </c>
      <c r="D468" s="119" t="s">
        <v>351</v>
      </c>
    </row>
    <row r="469" spans="2:4" hidden="1">
      <c r="B469" s="118" t="s">
        <v>1454</v>
      </c>
      <c r="C469" s="96" t="s">
        <v>920</v>
      </c>
      <c r="D469" s="119" t="s">
        <v>347</v>
      </c>
    </row>
    <row r="470" spans="2:4" hidden="1">
      <c r="B470" s="118" t="s">
        <v>1454</v>
      </c>
      <c r="C470" s="96" t="s">
        <v>915</v>
      </c>
      <c r="D470" s="119" t="s">
        <v>914</v>
      </c>
    </row>
    <row r="471" spans="2:4" hidden="1">
      <c r="B471" s="118" t="s">
        <v>1454</v>
      </c>
      <c r="C471" s="96" t="s">
        <v>910</v>
      </c>
      <c r="D471" s="119" t="s">
        <v>909</v>
      </c>
    </row>
    <row r="472" spans="2:4" hidden="1">
      <c r="B472" s="118" t="s">
        <v>1454</v>
      </c>
      <c r="C472" s="96" t="s">
        <v>906</v>
      </c>
      <c r="D472" s="119" t="s">
        <v>905</v>
      </c>
    </row>
    <row r="473" spans="2:4" hidden="1">
      <c r="B473" s="118" t="s">
        <v>1454</v>
      </c>
      <c r="C473" s="96" t="s">
        <v>902</v>
      </c>
      <c r="D473" s="119" t="s">
        <v>901</v>
      </c>
    </row>
    <row r="474" spans="2:4" hidden="1">
      <c r="B474" s="118" t="s">
        <v>1454</v>
      </c>
      <c r="C474" s="96" t="s">
        <v>899</v>
      </c>
      <c r="D474" s="119" t="s">
        <v>898</v>
      </c>
    </row>
    <row r="475" spans="2:4" hidden="1">
      <c r="B475" s="118" t="s">
        <v>1454</v>
      </c>
      <c r="C475" s="96" t="s">
        <v>895</v>
      </c>
      <c r="D475" s="119" t="s">
        <v>894</v>
      </c>
    </row>
    <row r="476" spans="2:4" hidden="1">
      <c r="B476" s="118" t="s">
        <v>1454</v>
      </c>
      <c r="C476" s="96" t="s">
        <v>890</v>
      </c>
      <c r="D476" s="119" t="s">
        <v>889</v>
      </c>
    </row>
    <row r="477" spans="2:4" hidden="1">
      <c r="B477" s="118" t="s">
        <v>1454</v>
      </c>
      <c r="C477" s="96" t="s">
        <v>886</v>
      </c>
      <c r="D477" s="119" t="s">
        <v>885</v>
      </c>
    </row>
    <row r="478" spans="2:4" hidden="1">
      <c r="B478" s="118" t="s">
        <v>1454</v>
      </c>
      <c r="C478" s="96" t="s">
        <v>882</v>
      </c>
      <c r="D478" s="119" t="s">
        <v>0</v>
      </c>
    </row>
    <row r="479" spans="2:4" hidden="1">
      <c r="B479" s="118" t="s">
        <v>1454</v>
      </c>
      <c r="C479" s="96" t="s">
        <v>879</v>
      </c>
      <c r="D479" s="119" t="s">
        <v>351</v>
      </c>
    </row>
    <row r="480" spans="2:4" hidden="1">
      <c r="B480" s="118" t="s">
        <v>1454</v>
      </c>
      <c r="C480" s="96" t="s">
        <v>877</v>
      </c>
      <c r="D480" s="119" t="s">
        <v>347</v>
      </c>
    </row>
    <row r="481" spans="2:4" hidden="1">
      <c r="B481" s="118" t="s">
        <v>1454</v>
      </c>
      <c r="C481" s="96" t="s">
        <v>875</v>
      </c>
      <c r="D481" s="119" t="s">
        <v>874</v>
      </c>
    </row>
    <row r="482" spans="2:4" hidden="1">
      <c r="B482" s="118" t="s">
        <v>1454</v>
      </c>
      <c r="C482" s="96" t="s">
        <v>872</v>
      </c>
      <c r="D482" s="119" t="s">
        <v>518</v>
      </c>
    </row>
    <row r="483" spans="2:4" hidden="1">
      <c r="B483" s="118" t="s">
        <v>1454</v>
      </c>
      <c r="C483" s="96" t="s">
        <v>870</v>
      </c>
      <c r="D483" s="119" t="s">
        <v>869</v>
      </c>
    </row>
    <row r="484" spans="2:4" hidden="1">
      <c r="B484" s="118" t="s">
        <v>1454</v>
      </c>
      <c r="C484" s="96" t="s">
        <v>867</v>
      </c>
      <c r="D484" s="119" t="s">
        <v>866</v>
      </c>
    </row>
    <row r="485" spans="2:4" hidden="1">
      <c r="B485" s="118" t="s">
        <v>1454</v>
      </c>
      <c r="C485" s="96" t="s">
        <v>864</v>
      </c>
      <c r="D485" s="119" t="s">
        <v>863</v>
      </c>
    </row>
    <row r="486" spans="2:4" hidden="1">
      <c r="B486" s="118" t="s">
        <v>1454</v>
      </c>
      <c r="C486" s="96" t="s">
        <v>859</v>
      </c>
      <c r="D486" s="119" t="s">
        <v>858</v>
      </c>
    </row>
    <row r="487" spans="2:4" hidden="1">
      <c r="B487" s="118" t="s">
        <v>1454</v>
      </c>
      <c r="C487" s="96" t="s">
        <v>855</v>
      </c>
      <c r="D487" s="119" t="s">
        <v>727</v>
      </c>
    </row>
    <row r="488" spans="2:4" hidden="1">
      <c r="B488" s="118" t="s">
        <v>1454</v>
      </c>
      <c r="C488" s="96" t="s">
        <v>852</v>
      </c>
      <c r="D488" s="119" t="s">
        <v>725</v>
      </c>
    </row>
    <row r="489" spans="2:4" hidden="1">
      <c r="B489" s="118" t="s">
        <v>1454</v>
      </c>
      <c r="C489" s="96" t="s">
        <v>849</v>
      </c>
      <c r="D489" s="119" t="s">
        <v>848</v>
      </c>
    </row>
    <row r="490" spans="2:4" hidden="1">
      <c r="B490" s="118" t="s">
        <v>1454</v>
      </c>
      <c r="C490" s="96" t="s">
        <v>845</v>
      </c>
      <c r="D490" s="119" t="s">
        <v>844</v>
      </c>
    </row>
    <row r="491" spans="2:4" hidden="1">
      <c r="B491" s="118" t="s">
        <v>1454</v>
      </c>
      <c r="C491" s="96" t="s">
        <v>842</v>
      </c>
      <c r="D491" s="119" t="s">
        <v>841</v>
      </c>
    </row>
    <row r="492" spans="2:4" hidden="1">
      <c r="B492" s="118" t="s">
        <v>1454</v>
      </c>
      <c r="C492" s="96" t="s">
        <v>838</v>
      </c>
      <c r="D492" s="119" t="s">
        <v>837</v>
      </c>
    </row>
    <row r="493" spans="2:4" hidden="1">
      <c r="B493" s="118" t="s">
        <v>1454</v>
      </c>
      <c r="C493" s="96" t="s">
        <v>833</v>
      </c>
      <c r="D493" s="119" t="s">
        <v>715</v>
      </c>
    </row>
    <row r="494" spans="2:4" hidden="1">
      <c r="B494" s="118" t="s">
        <v>1454</v>
      </c>
      <c r="C494" s="96" t="s">
        <v>829</v>
      </c>
      <c r="D494" s="119" t="s">
        <v>828</v>
      </c>
    </row>
    <row r="495" spans="2:4" hidden="1">
      <c r="B495" s="118" t="s">
        <v>1454</v>
      </c>
      <c r="C495" s="96" t="s">
        <v>825</v>
      </c>
      <c r="D495" s="119" t="s">
        <v>824</v>
      </c>
    </row>
    <row r="496" spans="2:4" hidden="1">
      <c r="B496" s="118" t="s">
        <v>1454</v>
      </c>
      <c r="C496" s="96" t="s">
        <v>821</v>
      </c>
      <c r="D496" s="119" t="s">
        <v>0</v>
      </c>
    </row>
    <row r="497" spans="2:4" hidden="1">
      <c r="B497" s="118" t="s">
        <v>1454</v>
      </c>
      <c r="C497" s="96" t="s">
        <v>819</v>
      </c>
      <c r="D497" s="119" t="s">
        <v>351</v>
      </c>
    </row>
    <row r="498" spans="2:4" hidden="1">
      <c r="B498" s="118" t="s">
        <v>1454</v>
      </c>
      <c r="C498" s="96" t="s">
        <v>817</v>
      </c>
      <c r="D498" s="119" t="s">
        <v>347</v>
      </c>
    </row>
    <row r="499" spans="2:4" hidden="1">
      <c r="B499" s="118" t="s">
        <v>1454</v>
      </c>
      <c r="C499" s="96" t="s">
        <v>815</v>
      </c>
      <c r="D499" s="119" t="s">
        <v>418</v>
      </c>
    </row>
    <row r="500" spans="2:4" hidden="1">
      <c r="B500" s="118" t="s">
        <v>1454</v>
      </c>
      <c r="C500" s="96" t="s">
        <v>813</v>
      </c>
      <c r="D500" s="119" t="s">
        <v>812</v>
      </c>
    </row>
    <row r="501" spans="2:4" hidden="1">
      <c r="B501" s="118" t="s">
        <v>1454</v>
      </c>
      <c r="C501" s="96" t="s">
        <v>809</v>
      </c>
      <c r="D501" s="119" t="s">
        <v>353</v>
      </c>
    </row>
    <row r="502" spans="2:4" hidden="1">
      <c r="B502" s="118" t="s">
        <v>1454</v>
      </c>
      <c r="C502" s="96" t="s">
        <v>806</v>
      </c>
      <c r="D502" s="119" t="s">
        <v>351</v>
      </c>
    </row>
    <row r="503" spans="2:4" hidden="1">
      <c r="B503" s="118" t="s">
        <v>1454</v>
      </c>
      <c r="C503" s="96" t="s">
        <v>804</v>
      </c>
      <c r="D503" s="119" t="s">
        <v>349</v>
      </c>
    </row>
    <row r="504" spans="2:4" hidden="1">
      <c r="B504" s="118" t="s">
        <v>1454</v>
      </c>
      <c r="C504" s="96" t="s">
        <v>801</v>
      </c>
      <c r="D504" s="119" t="s">
        <v>347</v>
      </c>
    </row>
    <row r="505" spans="2:4" hidden="1">
      <c r="B505" s="118" t="s">
        <v>1454</v>
      </c>
      <c r="C505" s="96" t="s">
        <v>798</v>
      </c>
      <c r="D505" s="119" t="s">
        <v>797</v>
      </c>
    </row>
    <row r="506" spans="2:4" hidden="1">
      <c r="B506" s="118" t="s">
        <v>1454</v>
      </c>
      <c r="C506" s="96" t="s">
        <v>794</v>
      </c>
      <c r="D506" s="119" t="s">
        <v>355</v>
      </c>
    </row>
    <row r="507" spans="2:4" hidden="1">
      <c r="B507" s="118" t="s">
        <v>1454</v>
      </c>
      <c r="C507" s="96" t="s">
        <v>791</v>
      </c>
      <c r="D507" s="119" t="s">
        <v>353</v>
      </c>
    </row>
    <row r="508" spans="2:4" hidden="1">
      <c r="B508" s="118" t="s">
        <v>1454</v>
      </c>
      <c r="C508" s="96" t="s">
        <v>788</v>
      </c>
      <c r="D508" s="119" t="s">
        <v>351</v>
      </c>
    </row>
    <row r="509" spans="2:4" hidden="1">
      <c r="B509" s="118" t="s">
        <v>1454</v>
      </c>
      <c r="C509" s="96" t="s">
        <v>786</v>
      </c>
      <c r="D509" s="119" t="s">
        <v>349</v>
      </c>
    </row>
    <row r="510" spans="2:4" hidden="1">
      <c r="B510" s="118" t="s">
        <v>1454</v>
      </c>
      <c r="C510" s="96" t="s">
        <v>783</v>
      </c>
      <c r="D510" s="119" t="s">
        <v>347</v>
      </c>
    </row>
    <row r="511" spans="2:4" hidden="1">
      <c r="B511" s="118" t="s">
        <v>1454</v>
      </c>
      <c r="C511" s="96" t="s">
        <v>780</v>
      </c>
      <c r="D511" s="119" t="s">
        <v>704</v>
      </c>
    </row>
    <row r="512" spans="2:4" hidden="1">
      <c r="B512" s="118" t="s">
        <v>1454</v>
      </c>
      <c r="C512" s="96" t="s">
        <v>777</v>
      </c>
      <c r="D512" s="119" t="s">
        <v>0</v>
      </c>
    </row>
    <row r="513" spans="2:4" hidden="1">
      <c r="B513" s="118" t="s">
        <v>1454</v>
      </c>
      <c r="C513" s="96" t="s">
        <v>775</v>
      </c>
      <c r="D513" s="119" t="s">
        <v>351</v>
      </c>
    </row>
    <row r="514" spans="2:4" hidden="1">
      <c r="B514" s="118" t="s">
        <v>1454</v>
      </c>
      <c r="C514" s="96" t="s">
        <v>774</v>
      </c>
      <c r="D514" s="119" t="s">
        <v>347</v>
      </c>
    </row>
    <row r="515" spans="2:4" hidden="1">
      <c r="B515" s="118" t="s">
        <v>1454</v>
      </c>
      <c r="C515" s="96" t="s">
        <v>773</v>
      </c>
      <c r="D515" s="119" t="s">
        <v>772</v>
      </c>
    </row>
    <row r="516" spans="2:4" hidden="1">
      <c r="B516" s="118" t="s">
        <v>1454</v>
      </c>
      <c r="C516" s="96" t="s">
        <v>771</v>
      </c>
      <c r="D516" s="119" t="s">
        <v>770</v>
      </c>
    </row>
    <row r="517" spans="2:4" hidden="1">
      <c r="B517" s="118" t="s">
        <v>1454</v>
      </c>
      <c r="C517" s="96" t="s">
        <v>769</v>
      </c>
      <c r="D517" s="119" t="s">
        <v>768</v>
      </c>
    </row>
    <row r="518" spans="2:4" hidden="1">
      <c r="B518" s="118" t="s">
        <v>1454</v>
      </c>
      <c r="C518" s="96" t="s">
        <v>767</v>
      </c>
      <c r="D518" s="119" t="s">
        <v>766</v>
      </c>
    </row>
    <row r="519" spans="2:4" hidden="1">
      <c r="B519" s="118" t="s">
        <v>1454</v>
      </c>
      <c r="C519" s="96" t="s">
        <v>765</v>
      </c>
      <c r="D519" s="119" t="s">
        <v>0</v>
      </c>
    </row>
    <row r="520" spans="2:4" hidden="1">
      <c r="B520" s="118" t="s">
        <v>1454</v>
      </c>
      <c r="C520" s="96" t="s">
        <v>764</v>
      </c>
      <c r="D520" s="119" t="s">
        <v>351</v>
      </c>
    </row>
    <row r="521" spans="2:4" hidden="1">
      <c r="B521" s="118" t="s">
        <v>1454</v>
      </c>
      <c r="C521" s="96" t="s">
        <v>763</v>
      </c>
      <c r="D521" s="119" t="s">
        <v>347</v>
      </c>
    </row>
    <row r="522" spans="2:4" hidden="1">
      <c r="B522" s="118" t="s">
        <v>1454</v>
      </c>
      <c r="C522" s="96" t="s">
        <v>762</v>
      </c>
      <c r="D522" s="119" t="s">
        <v>761</v>
      </c>
    </row>
    <row r="523" spans="2:4" hidden="1">
      <c r="B523" s="118" t="s">
        <v>1454</v>
      </c>
      <c r="C523" s="96" t="s">
        <v>760</v>
      </c>
      <c r="D523" s="119" t="s">
        <v>759</v>
      </c>
    </row>
    <row r="524" spans="2:4" hidden="1">
      <c r="B524" s="118" t="s">
        <v>1454</v>
      </c>
      <c r="C524" s="96" t="s">
        <v>758</v>
      </c>
      <c r="D524" s="119" t="s">
        <v>757</v>
      </c>
    </row>
    <row r="525" spans="2:4" hidden="1">
      <c r="B525" s="118" t="s">
        <v>1454</v>
      </c>
      <c r="C525" s="96" t="s">
        <v>756</v>
      </c>
      <c r="D525" s="119" t="s">
        <v>755</v>
      </c>
    </row>
    <row r="526" spans="2:4" hidden="1">
      <c r="B526" s="118" t="s">
        <v>1454</v>
      </c>
      <c r="C526" s="96" t="s">
        <v>754</v>
      </c>
      <c r="D526" s="119" t="s">
        <v>753</v>
      </c>
    </row>
    <row r="527" spans="2:4" hidden="1">
      <c r="B527" s="118" t="s">
        <v>1454</v>
      </c>
      <c r="C527" s="96" t="s">
        <v>752</v>
      </c>
      <c r="D527" s="119" t="s">
        <v>751</v>
      </c>
    </row>
    <row r="528" spans="2:4" hidden="1">
      <c r="B528" s="118" t="s">
        <v>1454</v>
      </c>
      <c r="C528" s="96" t="s">
        <v>750</v>
      </c>
      <c r="D528" s="119" t="s">
        <v>749</v>
      </c>
    </row>
    <row r="529" spans="2:4" hidden="1">
      <c r="B529" s="118" t="s">
        <v>1454</v>
      </c>
      <c r="C529" s="96" t="s">
        <v>748</v>
      </c>
      <c r="D529" s="119" t="s">
        <v>747</v>
      </c>
    </row>
    <row r="530" spans="2:4" hidden="1">
      <c r="B530" s="118" t="s">
        <v>1454</v>
      </c>
      <c r="C530" s="96" t="s">
        <v>746</v>
      </c>
      <c r="D530" s="119" t="s">
        <v>0</v>
      </c>
    </row>
    <row r="531" spans="2:4" hidden="1">
      <c r="B531" s="118" t="s">
        <v>1454</v>
      </c>
      <c r="C531" s="96" t="s">
        <v>745</v>
      </c>
      <c r="D531" s="119" t="s">
        <v>351</v>
      </c>
    </row>
    <row r="532" spans="2:4" hidden="1">
      <c r="B532" s="118" t="s">
        <v>1454</v>
      </c>
      <c r="C532" s="96" t="s">
        <v>744</v>
      </c>
      <c r="D532" s="119" t="s">
        <v>347</v>
      </c>
    </row>
    <row r="533" spans="2:4" hidden="1">
      <c r="B533" s="118" t="s">
        <v>1454</v>
      </c>
      <c r="C533" s="96" t="s">
        <v>743</v>
      </c>
      <c r="D533" s="119" t="s">
        <v>742</v>
      </c>
    </row>
    <row r="534" spans="2:4" hidden="1">
      <c r="B534" s="118" t="s">
        <v>1454</v>
      </c>
      <c r="C534" s="96" t="s">
        <v>741</v>
      </c>
      <c r="D534" s="119" t="s">
        <v>740</v>
      </c>
    </row>
    <row r="535" spans="2:4" hidden="1">
      <c r="B535" s="118" t="s">
        <v>1454</v>
      </c>
      <c r="C535" s="96" t="s">
        <v>739</v>
      </c>
      <c r="D535" s="119" t="s">
        <v>738</v>
      </c>
    </row>
    <row r="536" spans="2:4" hidden="1">
      <c r="B536" s="118" t="s">
        <v>1454</v>
      </c>
      <c r="C536" s="96" t="s">
        <v>737</v>
      </c>
      <c r="D536" s="119" t="s">
        <v>736</v>
      </c>
    </row>
    <row r="537" spans="2:4" hidden="1">
      <c r="B537" s="118" t="s">
        <v>1454</v>
      </c>
      <c r="C537" s="96" t="s">
        <v>735</v>
      </c>
      <c r="D537" s="119" t="s">
        <v>734</v>
      </c>
    </row>
    <row r="538" spans="2:4" hidden="1">
      <c r="B538" s="118" t="s">
        <v>1454</v>
      </c>
      <c r="C538" s="96" t="s">
        <v>733</v>
      </c>
      <c r="D538" s="119" t="s">
        <v>732</v>
      </c>
    </row>
    <row r="539" spans="2:4" hidden="1">
      <c r="B539" s="118" t="s">
        <v>1454</v>
      </c>
      <c r="C539" s="96" t="s">
        <v>731</v>
      </c>
      <c r="D539" s="119" t="s">
        <v>0</v>
      </c>
    </row>
    <row r="540" spans="2:4" hidden="1">
      <c r="B540" s="118" t="s">
        <v>1454</v>
      </c>
      <c r="C540" s="96" t="s">
        <v>730</v>
      </c>
      <c r="D540" s="119" t="s">
        <v>351</v>
      </c>
    </row>
    <row r="541" spans="2:4" hidden="1">
      <c r="B541" s="118" t="s">
        <v>1454</v>
      </c>
      <c r="C541" s="96" t="s">
        <v>729</v>
      </c>
      <c r="D541" s="119" t="s">
        <v>347</v>
      </c>
    </row>
    <row r="542" spans="2:4" hidden="1">
      <c r="B542" s="118" t="s">
        <v>1454</v>
      </c>
      <c r="C542" s="96" t="s">
        <v>728</v>
      </c>
      <c r="D542" s="119" t="s">
        <v>727</v>
      </c>
    </row>
    <row r="543" spans="2:4" hidden="1">
      <c r="B543" s="118" t="s">
        <v>1454</v>
      </c>
      <c r="C543" s="96" t="s">
        <v>726</v>
      </c>
      <c r="D543" s="119" t="s">
        <v>725</v>
      </c>
    </row>
    <row r="544" spans="2:4" hidden="1">
      <c r="B544" s="118" t="s">
        <v>1454</v>
      </c>
      <c r="C544" s="96" t="s">
        <v>724</v>
      </c>
      <c r="D544" s="119" t="s">
        <v>723</v>
      </c>
    </row>
    <row r="545" spans="2:4" hidden="1">
      <c r="B545" s="118" t="s">
        <v>1454</v>
      </c>
      <c r="C545" s="96" t="s">
        <v>722</v>
      </c>
      <c r="D545" s="119" t="s">
        <v>721</v>
      </c>
    </row>
    <row r="546" spans="2:4" hidden="1">
      <c r="B546" s="118" t="s">
        <v>1454</v>
      </c>
      <c r="C546" s="96" t="s">
        <v>720</v>
      </c>
      <c r="D546" s="119" t="s">
        <v>719</v>
      </c>
    </row>
    <row r="547" spans="2:4" hidden="1">
      <c r="B547" s="118" t="s">
        <v>1454</v>
      </c>
      <c r="C547" s="96" t="s">
        <v>718</v>
      </c>
      <c r="D547" s="119" t="s">
        <v>717</v>
      </c>
    </row>
    <row r="548" spans="2:4" hidden="1">
      <c r="B548" s="118" t="s">
        <v>1454</v>
      </c>
      <c r="C548" s="96" t="s">
        <v>716</v>
      </c>
      <c r="D548" s="119" t="s">
        <v>715</v>
      </c>
    </row>
    <row r="549" spans="2:4" hidden="1">
      <c r="B549" s="118" t="s">
        <v>1454</v>
      </c>
      <c r="C549" s="96" t="s">
        <v>714</v>
      </c>
      <c r="D549" s="119" t="s">
        <v>713</v>
      </c>
    </row>
    <row r="550" spans="2:4" hidden="1">
      <c r="B550" s="118" t="s">
        <v>1454</v>
      </c>
      <c r="C550" s="96" t="s">
        <v>712</v>
      </c>
      <c r="D550" s="119" t="s">
        <v>711</v>
      </c>
    </row>
    <row r="551" spans="2:4" hidden="1">
      <c r="B551" s="118" t="s">
        <v>1454</v>
      </c>
      <c r="C551" s="96" t="s">
        <v>710</v>
      </c>
      <c r="D551" s="119" t="s">
        <v>709</v>
      </c>
    </row>
    <row r="552" spans="2:4" hidden="1">
      <c r="B552" s="118" t="s">
        <v>1454</v>
      </c>
      <c r="C552" s="96" t="s">
        <v>708</v>
      </c>
      <c r="D552" s="119" t="s">
        <v>0</v>
      </c>
    </row>
    <row r="553" spans="2:4" hidden="1">
      <c r="B553" s="118" t="s">
        <v>1454</v>
      </c>
      <c r="C553" s="96" t="s">
        <v>707</v>
      </c>
      <c r="D553" s="119" t="s">
        <v>351</v>
      </c>
    </row>
    <row r="554" spans="2:4" hidden="1">
      <c r="B554" s="118" t="s">
        <v>1454</v>
      </c>
      <c r="C554" s="96" t="s">
        <v>706</v>
      </c>
      <c r="D554" s="119" t="s">
        <v>347</v>
      </c>
    </row>
    <row r="555" spans="2:4" hidden="1">
      <c r="B555" s="118" t="s">
        <v>1454</v>
      </c>
      <c r="C555" s="96" t="s">
        <v>705</v>
      </c>
      <c r="D555" s="119" t="s">
        <v>704</v>
      </c>
    </row>
    <row r="556" spans="2:4" hidden="1">
      <c r="B556" s="118" t="s">
        <v>1454</v>
      </c>
      <c r="C556" s="96" t="s">
        <v>703</v>
      </c>
      <c r="D556" s="119" t="s">
        <v>702</v>
      </c>
    </row>
    <row r="557" spans="2:4" hidden="1">
      <c r="B557" s="118" t="s">
        <v>1454</v>
      </c>
      <c r="C557" s="96" t="s">
        <v>701</v>
      </c>
      <c r="D557" s="119" t="s">
        <v>700</v>
      </c>
    </row>
    <row r="558" spans="2:4" hidden="1">
      <c r="B558" s="118" t="s">
        <v>1454</v>
      </c>
      <c r="C558" s="96" t="s">
        <v>699</v>
      </c>
      <c r="D558" s="119" t="s">
        <v>698</v>
      </c>
    </row>
    <row r="559" spans="2:4" hidden="1">
      <c r="B559" s="118" t="s">
        <v>1454</v>
      </c>
      <c r="C559" s="96" t="s">
        <v>697</v>
      </c>
      <c r="D559" s="119" t="s">
        <v>542</v>
      </c>
    </row>
    <row r="560" spans="2:4" hidden="1">
      <c r="B560" s="118" t="s">
        <v>1454</v>
      </c>
      <c r="C560" s="96" t="s">
        <v>696</v>
      </c>
      <c r="D560" s="119" t="s">
        <v>695</v>
      </c>
    </row>
    <row r="561" spans="2:4" hidden="1">
      <c r="B561" s="118" t="s">
        <v>1454</v>
      </c>
      <c r="C561" s="96" t="s">
        <v>694</v>
      </c>
      <c r="D561" s="119" t="s">
        <v>540</v>
      </c>
    </row>
    <row r="562" spans="2:4" hidden="1">
      <c r="B562" s="118" t="s">
        <v>1454</v>
      </c>
      <c r="C562" s="96" t="s">
        <v>693</v>
      </c>
      <c r="D562" s="119" t="s">
        <v>692</v>
      </c>
    </row>
    <row r="563" spans="2:4" hidden="1">
      <c r="B563" s="118" t="s">
        <v>1454</v>
      </c>
      <c r="C563" s="96" t="s">
        <v>691</v>
      </c>
      <c r="D563" s="119" t="s">
        <v>0</v>
      </c>
    </row>
    <row r="564" spans="2:4" hidden="1">
      <c r="B564" s="118" t="s">
        <v>1454</v>
      </c>
      <c r="C564" s="96" t="s">
        <v>690</v>
      </c>
      <c r="D564" s="119" t="s">
        <v>351</v>
      </c>
    </row>
    <row r="565" spans="2:4" hidden="1">
      <c r="B565" s="118" t="s">
        <v>1454</v>
      </c>
      <c r="C565" s="96" t="s">
        <v>689</v>
      </c>
      <c r="D565" s="119" t="s">
        <v>347</v>
      </c>
    </row>
    <row r="566" spans="2:4" hidden="1">
      <c r="B566" s="118" t="s">
        <v>1454</v>
      </c>
      <c r="C566" s="96" t="s">
        <v>688</v>
      </c>
      <c r="D566" s="119" t="s">
        <v>518</v>
      </c>
    </row>
    <row r="567" spans="2:4" hidden="1">
      <c r="B567" s="118" t="s">
        <v>1454</v>
      </c>
      <c r="C567" s="96" t="s">
        <v>687</v>
      </c>
      <c r="D567" s="119" t="s">
        <v>516</v>
      </c>
    </row>
    <row r="568" spans="2:4" hidden="1">
      <c r="B568" s="118" t="s">
        <v>1454</v>
      </c>
      <c r="C568" s="96" t="s">
        <v>686</v>
      </c>
      <c r="D568" s="119" t="s">
        <v>514</v>
      </c>
    </row>
    <row r="569" spans="2:4" hidden="1">
      <c r="B569" s="118" t="s">
        <v>1454</v>
      </c>
      <c r="C569" s="96" t="s">
        <v>685</v>
      </c>
      <c r="D569" s="119" t="s">
        <v>512</v>
      </c>
    </row>
    <row r="570" spans="2:4" hidden="1">
      <c r="B570" s="118" t="s">
        <v>1454</v>
      </c>
      <c r="C570" s="96" t="s">
        <v>684</v>
      </c>
      <c r="D570" s="119" t="s">
        <v>683</v>
      </c>
    </row>
    <row r="571" spans="2:4" hidden="1">
      <c r="B571" s="118" t="s">
        <v>1454</v>
      </c>
      <c r="C571" s="96" t="s">
        <v>682</v>
      </c>
      <c r="D571" s="119" t="s">
        <v>508</v>
      </c>
    </row>
    <row r="572" spans="2:4" hidden="1">
      <c r="B572" s="118" t="s">
        <v>1454</v>
      </c>
      <c r="C572" s="96" t="s">
        <v>681</v>
      </c>
      <c r="D572" s="119" t="s">
        <v>680</v>
      </c>
    </row>
    <row r="573" spans="2:4" hidden="1">
      <c r="B573" s="118" t="s">
        <v>1454</v>
      </c>
      <c r="C573" s="96" t="s">
        <v>679</v>
      </c>
      <c r="D573" s="119" t="s">
        <v>506</v>
      </c>
    </row>
    <row r="574" spans="2:4" hidden="1">
      <c r="B574" s="118" t="s">
        <v>1454</v>
      </c>
      <c r="C574" s="96" t="s">
        <v>678</v>
      </c>
      <c r="D574" s="119" t="s">
        <v>677</v>
      </c>
    </row>
    <row r="575" spans="2:4" hidden="1">
      <c r="B575" s="118" t="s">
        <v>1454</v>
      </c>
      <c r="C575" s="96" t="s">
        <v>676</v>
      </c>
      <c r="D575" s="119" t="s">
        <v>675</v>
      </c>
    </row>
    <row r="576" spans="2:4" hidden="1">
      <c r="B576" s="118" t="s">
        <v>1454</v>
      </c>
      <c r="C576" s="96" t="s">
        <v>674</v>
      </c>
      <c r="D576" s="119" t="s">
        <v>673</v>
      </c>
    </row>
    <row r="577" spans="2:4" hidden="1">
      <c r="B577" s="118" t="s">
        <v>1454</v>
      </c>
      <c r="C577" s="96" t="s">
        <v>672</v>
      </c>
      <c r="D577" s="119" t="s">
        <v>0</v>
      </c>
    </row>
    <row r="578" spans="2:4" hidden="1">
      <c r="B578" s="118" t="s">
        <v>1454</v>
      </c>
      <c r="C578" s="96" t="s">
        <v>671</v>
      </c>
      <c r="D578" s="119" t="s">
        <v>351</v>
      </c>
    </row>
    <row r="579" spans="2:4" hidden="1">
      <c r="B579" s="118" t="s">
        <v>1454</v>
      </c>
      <c r="C579" s="96" t="s">
        <v>670</v>
      </c>
      <c r="D579" s="119" t="s">
        <v>347</v>
      </c>
    </row>
    <row r="580" spans="2:4" hidden="1">
      <c r="B580" s="118" t="s">
        <v>1454</v>
      </c>
      <c r="C580" s="96" t="s">
        <v>669</v>
      </c>
      <c r="D580" s="119" t="s">
        <v>533</v>
      </c>
    </row>
    <row r="581" spans="2:4" hidden="1">
      <c r="B581" s="118" t="s">
        <v>1454</v>
      </c>
      <c r="C581" s="96" t="s">
        <v>668</v>
      </c>
      <c r="D581" s="119" t="s">
        <v>667</v>
      </c>
    </row>
    <row r="582" spans="2:4" hidden="1">
      <c r="B582" s="118" t="s">
        <v>1454</v>
      </c>
      <c r="C582" s="96" t="s">
        <v>666</v>
      </c>
      <c r="D582" s="119" t="s">
        <v>665</v>
      </c>
    </row>
    <row r="583" spans="2:4" hidden="1">
      <c r="B583" s="118" t="s">
        <v>1454</v>
      </c>
      <c r="C583" s="96" t="s">
        <v>664</v>
      </c>
      <c r="D583" s="119" t="s">
        <v>649</v>
      </c>
    </row>
    <row r="584" spans="2:4" hidden="1">
      <c r="B584" s="118" t="s">
        <v>1454</v>
      </c>
      <c r="C584" s="96" t="s">
        <v>663</v>
      </c>
      <c r="D584" s="119" t="s">
        <v>525</v>
      </c>
    </row>
    <row r="585" spans="2:4" hidden="1">
      <c r="B585" s="118" t="s">
        <v>1454</v>
      </c>
      <c r="C585" s="96" t="s">
        <v>662</v>
      </c>
      <c r="D585" s="119" t="s">
        <v>661</v>
      </c>
    </row>
    <row r="586" spans="2:4" hidden="1">
      <c r="B586" s="118" t="s">
        <v>1454</v>
      </c>
      <c r="C586" s="96" t="s">
        <v>660</v>
      </c>
      <c r="D586" s="119" t="s">
        <v>0</v>
      </c>
    </row>
    <row r="587" spans="2:4" hidden="1">
      <c r="B587" s="118" t="s">
        <v>1454</v>
      </c>
      <c r="C587" s="96" t="s">
        <v>659</v>
      </c>
      <c r="D587" s="119" t="s">
        <v>351</v>
      </c>
    </row>
    <row r="588" spans="2:4" hidden="1">
      <c r="B588" s="118" t="s">
        <v>1454</v>
      </c>
      <c r="C588" s="96" t="s">
        <v>658</v>
      </c>
      <c r="D588" s="119" t="s">
        <v>347</v>
      </c>
    </row>
    <row r="589" spans="2:4" hidden="1">
      <c r="B589" s="118" t="s">
        <v>1454</v>
      </c>
      <c r="C589" s="96" t="s">
        <v>657</v>
      </c>
      <c r="D589" s="119" t="s">
        <v>656</v>
      </c>
    </row>
    <row r="590" spans="2:4" hidden="1">
      <c r="B590" s="118" t="s">
        <v>1454</v>
      </c>
      <c r="C590" s="96" t="s">
        <v>655</v>
      </c>
      <c r="D590" s="119" t="s">
        <v>502</v>
      </c>
    </row>
    <row r="591" spans="2:4" hidden="1">
      <c r="B591" s="118" t="s">
        <v>1454</v>
      </c>
      <c r="C591" s="96" t="s">
        <v>654</v>
      </c>
      <c r="D591" s="119" t="s">
        <v>653</v>
      </c>
    </row>
    <row r="592" spans="2:4" hidden="1">
      <c r="B592" s="118" t="s">
        <v>1454</v>
      </c>
      <c r="C592" s="96" t="s">
        <v>652</v>
      </c>
      <c r="D592" s="119" t="s">
        <v>651</v>
      </c>
    </row>
    <row r="593" spans="2:4" hidden="1">
      <c r="B593" s="118" t="s">
        <v>1454</v>
      </c>
      <c r="C593" s="96" t="s">
        <v>650</v>
      </c>
      <c r="D593" s="119" t="s">
        <v>649</v>
      </c>
    </row>
    <row r="594" spans="2:4" hidden="1">
      <c r="B594" s="118" t="s">
        <v>1454</v>
      </c>
      <c r="C594" s="96" t="s">
        <v>648</v>
      </c>
      <c r="D594" s="119" t="s">
        <v>647</v>
      </c>
    </row>
    <row r="595" spans="2:4" hidden="1">
      <c r="B595" s="118" t="s">
        <v>1454</v>
      </c>
      <c r="C595" s="96" t="s">
        <v>646</v>
      </c>
      <c r="D595" s="119" t="s">
        <v>645</v>
      </c>
    </row>
    <row r="596" spans="2:4" hidden="1">
      <c r="B596" s="118" t="s">
        <v>1454</v>
      </c>
      <c r="C596" s="96" t="s">
        <v>644</v>
      </c>
      <c r="D596" s="119" t="s">
        <v>643</v>
      </c>
    </row>
    <row r="597" spans="2:4" hidden="1">
      <c r="B597" s="118" t="s">
        <v>1454</v>
      </c>
      <c r="C597" s="96" t="s">
        <v>642</v>
      </c>
      <c r="D597" s="119" t="s">
        <v>641</v>
      </c>
    </row>
    <row r="598" spans="2:4" hidden="1">
      <c r="B598" s="118" t="s">
        <v>1454</v>
      </c>
      <c r="C598" s="96" t="s">
        <v>640</v>
      </c>
      <c r="D598" s="119" t="s">
        <v>639</v>
      </c>
    </row>
    <row r="599" spans="2:4" hidden="1">
      <c r="B599" s="118" t="s">
        <v>1454</v>
      </c>
      <c r="C599" s="96" t="s">
        <v>638</v>
      </c>
      <c r="D599" s="119" t="s">
        <v>637</v>
      </c>
    </row>
    <row r="600" spans="2:4" hidden="1">
      <c r="B600" s="118" t="s">
        <v>1454</v>
      </c>
      <c r="C600" s="96" t="s">
        <v>636</v>
      </c>
      <c r="D600" s="119" t="s">
        <v>635</v>
      </c>
    </row>
    <row r="601" spans="2:4" hidden="1">
      <c r="B601" s="118" t="s">
        <v>1454</v>
      </c>
      <c r="C601" s="96" t="s">
        <v>634</v>
      </c>
      <c r="D601" s="119" t="s">
        <v>633</v>
      </c>
    </row>
    <row r="602" spans="2:4" hidden="1">
      <c r="B602" s="118" t="s">
        <v>1454</v>
      </c>
      <c r="C602" s="96" t="s">
        <v>632</v>
      </c>
      <c r="D602" s="119" t="s">
        <v>0</v>
      </c>
    </row>
    <row r="603" spans="2:4" hidden="1">
      <c r="B603" s="118" t="s">
        <v>1454</v>
      </c>
      <c r="C603" s="96" t="s">
        <v>631</v>
      </c>
      <c r="D603" s="119" t="s">
        <v>351</v>
      </c>
    </row>
    <row r="604" spans="2:4" hidden="1">
      <c r="B604" s="118" t="s">
        <v>1454</v>
      </c>
      <c r="C604" s="96" t="s">
        <v>630</v>
      </c>
      <c r="D604" s="119" t="s">
        <v>347</v>
      </c>
    </row>
    <row r="605" spans="2:4" hidden="1">
      <c r="B605" s="118" t="s">
        <v>1454</v>
      </c>
      <c r="C605" s="96" t="s">
        <v>629</v>
      </c>
      <c r="D605" s="119" t="s">
        <v>418</v>
      </c>
    </row>
    <row r="606" spans="2:4" hidden="1">
      <c r="B606" s="118" t="s">
        <v>1454</v>
      </c>
      <c r="C606" s="96" t="s">
        <v>628</v>
      </c>
      <c r="D606" s="119" t="s">
        <v>627</v>
      </c>
    </row>
    <row r="607" spans="2:4" hidden="1">
      <c r="B607" s="118" t="s">
        <v>1454</v>
      </c>
      <c r="C607" s="96" t="s">
        <v>626</v>
      </c>
      <c r="D607" s="119" t="s">
        <v>625</v>
      </c>
    </row>
    <row r="608" spans="2:4" hidden="1">
      <c r="B608" s="118" t="s">
        <v>1454</v>
      </c>
      <c r="C608" s="96" t="s">
        <v>624</v>
      </c>
      <c r="D608" s="119" t="s">
        <v>623</v>
      </c>
    </row>
    <row r="609" spans="2:4" hidden="1">
      <c r="B609" s="118" t="s">
        <v>1454</v>
      </c>
      <c r="C609" s="96" t="s">
        <v>622</v>
      </c>
      <c r="D609" s="119" t="s">
        <v>621</v>
      </c>
    </row>
    <row r="610" spans="2:4" hidden="1">
      <c r="B610" s="118" t="s">
        <v>1454</v>
      </c>
      <c r="C610" s="96" t="s">
        <v>620</v>
      </c>
      <c r="D610" s="119" t="s">
        <v>619</v>
      </c>
    </row>
    <row r="611" spans="2:4" hidden="1">
      <c r="B611" s="118" t="s">
        <v>1454</v>
      </c>
      <c r="C611" s="96" t="s">
        <v>618</v>
      </c>
      <c r="D611" s="119" t="s">
        <v>617</v>
      </c>
    </row>
    <row r="612" spans="2:4" hidden="1">
      <c r="B612" s="118" t="s">
        <v>1454</v>
      </c>
      <c r="C612" s="96" t="s">
        <v>616</v>
      </c>
      <c r="D612" s="119" t="s">
        <v>615</v>
      </c>
    </row>
    <row r="613" spans="2:4" hidden="1">
      <c r="B613" s="118" t="s">
        <v>1454</v>
      </c>
      <c r="C613" s="96">
        <v>1.3</v>
      </c>
      <c r="D613" s="119" t="s">
        <v>614</v>
      </c>
    </row>
    <row r="614" spans="2:4" hidden="1">
      <c r="B614" s="118" t="s">
        <v>1454</v>
      </c>
      <c r="C614" s="96" t="s">
        <v>613</v>
      </c>
      <c r="D614" s="119" t="s">
        <v>355</v>
      </c>
    </row>
    <row r="615" spans="2:4" hidden="1">
      <c r="B615" s="118" t="s">
        <v>1454</v>
      </c>
      <c r="C615" s="96" t="s">
        <v>612</v>
      </c>
      <c r="D615" s="119" t="s">
        <v>353</v>
      </c>
    </row>
    <row r="616" spans="2:4" hidden="1">
      <c r="B616" s="118" t="s">
        <v>1454</v>
      </c>
      <c r="C616" s="96" t="s">
        <v>611</v>
      </c>
      <c r="D616" s="119" t="s">
        <v>351</v>
      </c>
    </row>
    <row r="617" spans="2:4" hidden="1">
      <c r="B617" s="118" t="s">
        <v>1454</v>
      </c>
      <c r="C617" s="96" t="s">
        <v>610</v>
      </c>
      <c r="D617" s="119" t="s">
        <v>349</v>
      </c>
    </row>
    <row r="618" spans="2:4" hidden="1">
      <c r="B618" s="118" t="s">
        <v>1454</v>
      </c>
      <c r="C618" s="96" t="s">
        <v>609</v>
      </c>
      <c r="D618" s="119" t="s">
        <v>347</v>
      </c>
    </row>
    <row r="619" spans="2:4" hidden="1">
      <c r="B619" s="118" t="s">
        <v>1454</v>
      </c>
      <c r="C619" s="96" t="s">
        <v>608</v>
      </c>
      <c r="D619" s="119" t="s">
        <v>607</v>
      </c>
    </row>
    <row r="620" spans="2:4" hidden="1">
      <c r="B620" s="118" t="s">
        <v>1454</v>
      </c>
      <c r="C620" s="96" t="s">
        <v>606</v>
      </c>
      <c r="D620" s="119" t="s">
        <v>355</v>
      </c>
    </row>
    <row r="621" spans="2:4" hidden="1">
      <c r="B621" s="118" t="s">
        <v>1454</v>
      </c>
      <c r="C621" s="96" t="s">
        <v>605</v>
      </c>
      <c r="D621" s="119" t="s">
        <v>353</v>
      </c>
    </row>
    <row r="622" spans="2:4" hidden="1">
      <c r="B622" s="118" t="s">
        <v>1454</v>
      </c>
      <c r="C622" s="96" t="s">
        <v>604</v>
      </c>
      <c r="D622" s="119" t="s">
        <v>351</v>
      </c>
    </row>
    <row r="623" spans="2:4" hidden="1">
      <c r="B623" s="118" t="s">
        <v>1454</v>
      </c>
      <c r="C623" s="96" t="s">
        <v>603</v>
      </c>
      <c r="D623" s="119" t="s">
        <v>349</v>
      </c>
    </row>
    <row r="624" spans="2:4" hidden="1">
      <c r="B624" s="118" t="s">
        <v>1454</v>
      </c>
      <c r="C624" s="96" t="s">
        <v>602</v>
      </c>
      <c r="D624" s="119" t="s">
        <v>347</v>
      </c>
    </row>
    <row r="625" spans="2:4" hidden="1">
      <c r="B625" s="118" t="s">
        <v>1454</v>
      </c>
      <c r="C625" s="96" t="s">
        <v>601</v>
      </c>
      <c r="D625" s="119" t="s">
        <v>600</v>
      </c>
    </row>
    <row r="626" spans="2:4" hidden="1">
      <c r="B626" s="118" t="s">
        <v>1454</v>
      </c>
      <c r="C626" s="96" t="s">
        <v>599</v>
      </c>
      <c r="D626" s="119" t="s">
        <v>0</v>
      </c>
    </row>
    <row r="627" spans="2:4" hidden="1">
      <c r="B627" s="118" t="s">
        <v>1454</v>
      </c>
      <c r="C627" s="96" t="s">
        <v>598</v>
      </c>
      <c r="D627" s="119" t="s">
        <v>351</v>
      </c>
    </row>
    <row r="628" spans="2:4" hidden="1">
      <c r="B628" s="118" t="s">
        <v>1454</v>
      </c>
      <c r="C628" s="96" t="s">
        <v>597</v>
      </c>
      <c r="D628" s="119" t="s">
        <v>347</v>
      </c>
    </row>
    <row r="629" spans="2:4" hidden="1">
      <c r="B629" s="118" t="s">
        <v>1454</v>
      </c>
      <c r="C629" s="96" t="s">
        <v>596</v>
      </c>
      <c r="D629" s="119" t="s">
        <v>461</v>
      </c>
    </row>
    <row r="630" spans="2:4" hidden="1">
      <c r="B630" s="118" t="s">
        <v>1454</v>
      </c>
      <c r="C630" s="96" t="s">
        <v>595</v>
      </c>
      <c r="D630" s="119" t="s">
        <v>459</v>
      </c>
    </row>
    <row r="631" spans="2:4" hidden="1">
      <c r="B631" s="118" t="s">
        <v>1454</v>
      </c>
      <c r="C631" s="96" t="s">
        <v>594</v>
      </c>
      <c r="D631" s="119" t="s">
        <v>593</v>
      </c>
    </row>
    <row r="632" spans="2:4" hidden="1">
      <c r="B632" s="118" t="s">
        <v>1454</v>
      </c>
      <c r="C632" s="96" t="s">
        <v>592</v>
      </c>
      <c r="D632" s="119" t="s">
        <v>591</v>
      </c>
    </row>
    <row r="633" spans="2:4" hidden="1">
      <c r="B633" s="118" t="s">
        <v>1454</v>
      </c>
      <c r="C633" s="96" t="s">
        <v>590</v>
      </c>
      <c r="D633" s="119" t="s">
        <v>589</v>
      </c>
    </row>
    <row r="634" spans="2:4" hidden="1">
      <c r="B634" s="118" t="s">
        <v>1454</v>
      </c>
      <c r="C634" s="96" t="s">
        <v>588</v>
      </c>
      <c r="D634" s="119" t="s">
        <v>587</v>
      </c>
    </row>
    <row r="635" spans="2:4" hidden="1">
      <c r="B635" s="118" t="s">
        <v>1454</v>
      </c>
      <c r="C635" s="96" t="s">
        <v>586</v>
      </c>
      <c r="D635" s="119" t="s">
        <v>585</v>
      </c>
    </row>
    <row r="636" spans="2:4" hidden="1">
      <c r="B636" s="118" t="s">
        <v>1454</v>
      </c>
      <c r="C636" s="96" t="s">
        <v>584</v>
      </c>
      <c r="D636" s="119" t="s">
        <v>583</v>
      </c>
    </row>
    <row r="637" spans="2:4" hidden="1">
      <c r="B637" s="118" t="s">
        <v>1454</v>
      </c>
      <c r="C637" s="96" t="s">
        <v>582</v>
      </c>
      <c r="D637" s="119" t="s">
        <v>416</v>
      </c>
    </row>
    <row r="638" spans="2:4" hidden="1">
      <c r="B638" s="118" t="s">
        <v>1454</v>
      </c>
      <c r="C638" s="96" t="s">
        <v>581</v>
      </c>
      <c r="D638" s="119" t="s">
        <v>580</v>
      </c>
    </row>
    <row r="639" spans="2:4" hidden="1">
      <c r="B639" s="118" t="s">
        <v>1454</v>
      </c>
      <c r="C639" s="96" t="s">
        <v>579</v>
      </c>
      <c r="D639" s="119" t="s">
        <v>0</v>
      </c>
    </row>
    <row r="640" spans="2:4" hidden="1">
      <c r="B640" s="118" t="s">
        <v>1454</v>
      </c>
      <c r="C640" s="96" t="s">
        <v>578</v>
      </c>
      <c r="D640" s="119" t="s">
        <v>351</v>
      </c>
    </row>
    <row r="641" spans="2:4" hidden="1">
      <c r="B641" s="118" t="s">
        <v>1454</v>
      </c>
      <c r="C641" s="96" t="s">
        <v>577</v>
      </c>
      <c r="D641" s="119" t="s">
        <v>347</v>
      </c>
    </row>
    <row r="642" spans="2:4" hidden="1">
      <c r="B642" s="118" t="s">
        <v>1454</v>
      </c>
      <c r="C642" s="96" t="s">
        <v>576</v>
      </c>
      <c r="D642" s="119" t="s">
        <v>575</v>
      </c>
    </row>
    <row r="643" spans="2:4" hidden="1">
      <c r="B643" s="118" t="s">
        <v>1454</v>
      </c>
      <c r="C643" s="96" t="s">
        <v>574</v>
      </c>
      <c r="D643" s="119" t="s">
        <v>416</v>
      </c>
    </row>
    <row r="644" spans="2:4" hidden="1">
      <c r="B644" s="118" t="s">
        <v>1454</v>
      </c>
      <c r="C644" s="96" t="s">
        <v>573</v>
      </c>
      <c r="D644" s="119" t="s">
        <v>572</v>
      </c>
    </row>
    <row r="645" spans="2:4" hidden="1">
      <c r="B645" s="118" t="s">
        <v>1454</v>
      </c>
      <c r="C645" s="96" t="s">
        <v>571</v>
      </c>
      <c r="D645" s="119" t="s">
        <v>0</v>
      </c>
    </row>
    <row r="646" spans="2:4" hidden="1">
      <c r="B646" s="118" t="s">
        <v>1454</v>
      </c>
      <c r="C646" s="96" t="s">
        <v>570</v>
      </c>
      <c r="D646" s="119" t="s">
        <v>351</v>
      </c>
    </row>
    <row r="647" spans="2:4" hidden="1">
      <c r="B647" s="118" t="s">
        <v>1454</v>
      </c>
      <c r="C647" s="96" t="s">
        <v>569</v>
      </c>
      <c r="D647" s="119" t="s">
        <v>347</v>
      </c>
    </row>
    <row r="648" spans="2:4" hidden="1">
      <c r="B648" s="118" t="s">
        <v>1454</v>
      </c>
      <c r="C648" s="96" t="s">
        <v>568</v>
      </c>
      <c r="D648" s="119" t="s">
        <v>567</v>
      </c>
    </row>
    <row r="649" spans="2:4" hidden="1">
      <c r="B649" s="118" t="s">
        <v>1454</v>
      </c>
      <c r="C649" s="96" t="s">
        <v>566</v>
      </c>
      <c r="D649" s="119" t="s">
        <v>416</v>
      </c>
    </row>
    <row r="650" spans="2:4" hidden="1">
      <c r="B650" s="118" t="s">
        <v>1454</v>
      </c>
      <c r="C650" s="96" t="s">
        <v>565</v>
      </c>
      <c r="D650" s="119" t="s">
        <v>448</v>
      </c>
    </row>
    <row r="651" spans="2:4" hidden="1">
      <c r="B651" s="118" t="s">
        <v>1454</v>
      </c>
      <c r="C651" s="96">
        <v>1.4</v>
      </c>
      <c r="D651" s="119" t="s">
        <v>564</v>
      </c>
    </row>
    <row r="652" spans="2:4" hidden="1">
      <c r="B652" s="118" t="s">
        <v>1454</v>
      </c>
      <c r="C652" s="96" t="s">
        <v>563</v>
      </c>
      <c r="D652" s="119" t="s">
        <v>355</v>
      </c>
    </row>
    <row r="653" spans="2:4" hidden="1">
      <c r="B653" s="118" t="s">
        <v>1454</v>
      </c>
      <c r="C653" s="96" t="s">
        <v>562</v>
      </c>
      <c r="D653" s="119" t="s">
        <v>353</v>
      </c>
    </row>
    <row r="654" spans="2:4" hidden="1">
      <c r="B654" s="118" t="s">
        <v>1454</v>
      </c>
      <c r="C654" s="96" t="s">
        <v>561</v>
      </c>
      <c r="D654" s="119" t="s">
        <v>351</v>
      </c>
    </row>
    <row r="655" spans="2:4" hidden="1">
      <c r="B655" s="118" t="s">
        <v>1454</v>
      </c>
      <c r="C655" s="96" t="s">
        <v>560</v>
      </c>
      <c r="D655" s="119" t="s">
        <v>349</v>
      </c>
    </row>
    <row r="656" spans="2:4" hidden="1">
      <c r="B656" s="118" t="s">
        <v>1454</v>
      </c>
      <c r="C656" s="96" t="s">
        <v>559</v>
      </c>
      <c r="D656" s="119" t="s">
        <v>347</v>
      </c>
    </row>
    <row r="657" spans="2:4" hidden="1">
      <c r="B657" s="118" t="s">
        <v>1454</v>
      </c>
      <c r="C657" s="96" t="s">
        <v>558</v>
      </c>
      <c r="D657" s="119" t="s">
        <v>557</v>
      </c>
    </row>
    <row r="658" spans="2:4" hidden="1">
      <c r="B658" s="118" t="s">
        <v>1454</v>
      </c>
      <c r="C658" s="96" t="s">
        <v>556</v>
      </c>
      <c r="D658" s="119" t="s">
        <v>0</v>
      </c>
    </row>
    <row r="659" spans="2:4" hidden="1">
      <c r="B659" s="118" t="s">
        <v>1454</v>
      </c>
      <c r="C659" s="96" t="s">
        <v>555</v>
      </c>
      <c r="D659" s="119" t="s">
        <v>351</v>
      </c>
    </row>
    <row r="660" spans="2:4" hidden="1">
      <c r="B660" s="118" t="s">
        <v>1454</v>
      </c>
      <c r="C660" s="96" t="s">
        <v>554</v>
      </c>
      <c r="D660" s="119" t="s">
        <v>347</v>
      </c>
    </row>
    <row r="661" spans="2:4" hidden="1">
      <c r="B661" s="118" t="s">
        <v>1454</v>
      </c>
      <c r="C661" s="96" t="s">
        <v>553</v>
      </c>
      <c r="D661" s="119" t="s">
        <v>552</v>
      </c>
    </row>
    <row r="662" spans="2:4" hidden="1">
      <c r="B662" s="118" t="s">
        <v>1454</v>
      </c>
      <c r="C662" s="96" t="s">
        <v>551</v>
      </c>
      <c r="D662" s="119" t="s">
        <v>550</v>
      </c>
    </row>
    <row r="663" spans="2:4" hidden="1">
      <c r="B663" s="118" t="s">
        <v>1454</v>
      </c>
      <c r="C663" s="96" t="s">
        <v>549</v>
      </c>
      <c r="D663" s="119" t="s">
        <v>548</v>
      </c>
    </row>
    <row r="664" spans="2:4" hidden="1">
      <c r="B664" s="118" t="s">
        <v>1454</v>
      </c>
      <c r="C664" s="96" t="s">
        <v>547</v>
      </c>
      <c r="D664" s="119" t="s">
        <v>546</v>
      </c>
    </row>
    <row r="665" spans="2:4" hidden="1">
      <c r="B665" s="118" t="s">
        <v>1454</v>
      </c>
      <c r="C665" s="96" t="s">
        <v>545</v>
      </c>
      <c r="D665" s="119" t="s">
        <v>544</v>
      </c>
    </row>
    <row r="666" spans="2:4" hidden="1">
      <c r="B666" s="118" t="s">
        <v>1454</v>
      </c>
      <c r="C666" s="96" t="s">
        <v>543</v>
      </c>
      <c r="D666" s="119" t="s">
        <v>542</v>
      </c>
    </row>
    <row r="667" spans="2:4" hidden="1">
      <c r="B667" s="118" t="s">
        <v>1454</v>
      </c>
      <c r="C667" s="96" t="s">
        <v>541</v>
      </c>
      <c r="D667" s="119" t="s">
        <v>540</v>
      </c>
    </row>
    <row r="668" spans="2:4" hidden="1">
      <c r="B668" s="118" t="s">
        <v>1454</v>
      </c>
      <c r="C668" s="96" t="s">
        <v>539</v>
      </c>
      <c r="D668" s="119" t="s">
        <v>538</v>
      </c>
    </row>
    <row r="669" spans="2:4" hidden="1">
      <c r="B669" s="118" t="s">
        <v>1454</v>
      </c>
      <c r="C669" s="96" t="s">
        <v>537</v>
      </c>
      <c r="D669" s="119" t="s">
        <v>0</v>
      </c>
    </row>
    <row r="670" spans="2:4" hidden="1">
      <c r="B670" s="118" t="s">
        <v>1454</v>
      </c>
      <c r="C670" s="96" t="s">
        <v>536</v>
      </c>
      <c r="D670" s="119" t="s">
        <v>351</v>
      </c>
    </row>
    <row r="671" spans="2:4" hidden="1">
      <c r="B671" s="118" t="s">
        <v>1454</v>
      </c>
      <c r="C671" s="96" t="s">
        <v>535</v>
      </c>
      <c r="D671" s="119" t="s">
        <v>347</v>
      </c>
    </row>
    <row r="672" spans="2:4" hidden="1">
      <c r="B672" s="118" t="s">
        <v>1454</v>
      </c>
      <c r="C672" s="96" t="s">
        <v>534</v>
      </c>
      <c r="D672" s="119" t="s">
        <v>533</v>
      </c>
    </row>
    <row r="673" spans="2:4" hidden="1">
      <c r="B673" s="118" t="s">
        <v>1454</v>
      </c>
      <c r="C673" s="96" t="s">
        <v>532</v>
      </c>
      <c r="D673" s="119" t="s">
        <v>531</v>
      </c>
    </row>
    <row r="674" spans="2:4" hidden="1">
      <c r="B674" s="118" t="s">
        <v>1454</v>
      </c>
      <c r="C674" s="96" t="s">
        <v>530</v>
      </c>
      <c r="D674" s="119" t="s">
        <v>529</v>
      </c>
    </row>
    <row r="675" spans="2:4" hidden="1">
      <c r="B675" s="118" t="s">
        <v>1454</v>
      </c>
      <c r="C675" s="96" t="s">
        <v>528</v>
      </c>
      <c r="D675" s="119" t="s">
        <v>527</v>
      </c>
    </row>
    <row r="676" spans="2:4" hidden="1">
      <c r="B676" s="118" t="s">
        <v>1454</v>
      </c>
      <c r="C676" s="96" t="s">
        <v>526</v>
      </c>
      <c r="D676" s="119" t="s">
        <v>525</v>
      </c>
    </row>
    <row r="677" spans="2:4" hidden="1">
      <c r="B677" s="118" t="s">
        <v>1454</v>
      </c>
      <c r="C677" s="96" t="s">
        <v>524</v>
      </c>
      <c r="D677" s="119" t="s">
        <v>523</v>
      </c>
    </row>
    <row r="678" spans="2:4" hidden="1">
      <c r="B678" s="118" t="s">
        <v>1454</v>
      </c>
      <c r="C678" s="96" t="s">
        <v>522</v>
      </c>
      <c r="D678" s="119" t="s">
        <v>0</v>
      </c>
    </row>
    <row r="679" spans="2:4" hidden="1">
      <c r="B679" s="118" t="s">
        <v>1454</v>
      </c>
      <c r="C679" s="96" t="s">
        <v>521</v>
      </c>
      <c r="D679" s="119" t="s">
        <v>351</v>
      </c>
    </row>
    <row r="680" spans="2:4" hidden="1">
      <c r="B680" s="118" t="s">
        <v>1454</v>
      </c>
      <c r="C680" s="96" t="s">
        <v>520</v>
      </c>
      <c r="D680" s="119" t="s">
        <v>347</v>
      </c>
    </row>
    <row r="681" spans="2:4" hidden="1">
      <c r="B681" s="118" t="s">
        <v>1454</v>
      </c>
      <c r="C681" s="96" t="s">
        <v>519</v>
      </c>
      <c r="D681" s="119" t="s">
        <v>518</v>
      </c>
    </row>
    <row r="682" spans="2:4" hidden="1">
      <c r="B682" s="118" t="s">
        <v>1454</v>
      </c>
      <c r="C682" s="96" t="s">
        <v>517</v>
      </c>
      <c r="D682" s="119" t="s">
        <v>516</v>
      </c>
    </row>
    <row r="683" spans="2:4" hidden="1">
      <c r="B683" s="118" t="s">
        <v>1454</v>
      </c>
      <c r="C683" s="96" t="s">
        <v>515</v>
      </c>
      <c r="D683" s="119" t="s">
        <v>514</v>
      </c>
    </row>
    <row r="684" spans="2:4" hidden="1">
      <c r="B684" s="118" t="s">
        <v>1454</v>
      </c>
      <c r="C684" s="96" t="s">
        <v>513</v>
      </c>
      <c r="D684" s="119" t="s">
        <v>512</v>
      </c>
    </row>
    <row r="685" spans="2:4" hidden="1">
      <c r="B685" s="118" t="s">
        <v>1454</v>
      </c>
      <c r="C685" s="96" t="s">
        <v>511</v>
      </c>
      <c r="D685" s="119" t="s">
        <v>510</v>
      </c>
    </row>
    <row r="686" spans="2:4" hidden="1">
      <c r="B686" s="118" t="s">
        <v>1454</v>
      </c>
      <c r="C686" s="96" t="s">
        <v>509</v>
      </c>
      <c r="D686" s="119" t="s">
        <v>508</v>
      </c>
    </row>
    <row r="687" spans="2:4" hidden="1">
      <c r="B687" s="118" t="s">
        <v>1454</v>
      </c>
      <c r="C687" s="96" t="s">
        <v>507</v>
      </c>
      <c r="D687" s="119" t="s">
        <v>506</v>
      </c>
    </row>
    <row r="688" spans="2:4" hidden="1">
      <c r="B688" s="118" t="s">
        <v>1454</v>
      </c>
      <c r="C688" s="96" t="s">
        <v>505</v>
      </c>
      <c r="D688" s="119" t="s">
        <v>504</v>
      </c>
    </row>
    <row r="689" spans="2:4" hidden="1">
      <c r="B689" s="118" t="s">
        <v>1454</v>
      </c>
      <c r="C689" s="96" t="s">
        <v>503</v>
      </c>
      <c r="D689" s="119" t="s">
        <v>502</v>
      </c>
    </row>
    <row r="690" spans="2:4" hidden="1">
      <c r="B690" s="118" t="s">
        <v>1454</v>
      </c>
      <c r="C690" s="96" t="s">
        <v>501</v>
      </c>
      <c r="D690" s="119" t="s">
        <v>500</v>
      </c>
    </row>
    <row r="691" spans="2:4" hidden="1">
      <c r="B691" s="118" t="s">
        <v>1454</v>
      </c>
      <c r="C691" s="96" t="s">
        <v>499</v>
      </c>
      <c r="D691" s="119" t="s">
        <v>498</v>
      </c>
    </row>
    <row r="692" spans="2:4" hidden="1">
      <c r="B692" s="118" t="s">
        <v>1454</v>
      </c>
      <c r="C692" s="96" t="s">
        <v>497</v>
      </c>
      <c r="D692" s="119" t="s">
        <v>0</v>
      </c>
    </row>
    <row r="693" spans="2:4" hidden="1">
      <c r="B693" s="118" t="s">
        <v>1454</v>
      </c>
      <c r="C693" s="96" t="s">
        <v>496</v>
      </c>
      <c r="D693" s="119" t="s">
        <v>351</v>
      </c>
    </row>
    <row r="694" spans="2:4" hidden="1">
      <c r="B694" s="118" t="s">
        <v>1454</v>
      </c>
      <c r="C694" s="96" t="s">
        <v>495</v>
      </c>
      <c r="D694" s="119" t="s">
        <v>347</v>
      </c>
    </row>
    <row r="695" spans="2:4" hidden="1">
      <c r="B695" s="118" t="s">
        <v>1454</v>
      </c>
      <c r="C695" s="96" t="s">
        <v>494</v>
      </c>
      <c r="D695" s="119" t="s">
        <v>493</v>
      </c>
    </row>
    <row r="696" spans="2:4" hidden="1">
      <c r="B696" s="118" t="s">
        <v>1454</v>
      </c>
      <c r="C696" s="96" t="s">
        <v>492</v>
      </c>
      <c r="D696" s="119" t="s">
        <v>491</v>
      </c>
    </row>
    <row r="697" spans="2:4" hidden="1">
      <c r="B697" s="118" t="s">
        <v>1454</v>
      </c>
      <c r="C697" s="96" t="s">
        <v>490</v>
      </c>
      <c r="D697" s="119" t="s">
        <v>489</v>
      </c>
    </row>
    <row r="698" spans="2:4" hidden="1">
      <c r="B698" s="118" t="s">
        <v>1454</v>
      </c>
      <c r="C698" s="96" t="s">
        <v>488</v>
      </c>
      <c r="D698" s="119" t="s">
        <v>487</v>
      </c>
    </row>
    <row r="699" spans="2:4" hidden="1">
      <c r="B699" s="118" t="s">
        <v>1454</v>
      </c>
      <c r="C699" s="96" t="s">
        <v>486</v>
      </c>
      <c r="D699" s="119" t="s">
        <v>485</v>
      </c>
    </row>
    <row r="700" spans="2:4" hidden="1">
      <c r="B700" s="118" t="s">
        <v>1454</v>
      </c>
      <c r="C700" s="96" t="s">
        <v>484</v>
      </c>
      <c r="D700" s="119" t="s">
        <v>483</v>
      </c>
    </row>
    <row r="701" spans="2:4" hidden="1">
      <c r="B701" s="118" t="s">
        <v>1454</v>
      </c>
      <c r="C701" s="96" t="s">
        <v>482</v>
      </c>
      <c r="D701" s="119" t="s">
        <v>0</v>
      </c>
    </row>
    <row r="702" spans="2:4" hidden="1">
      <c r="B702" s="118" t="s">
        <v>1454</v>
      </c>
      <c r="C702" s="96" t="s">
        <v>481</v>
      </c>
      <c r="D702" s="119" t="s">
        <v>351</v>
      </c>
    </row>
    <row r="703" spans="2:4" hidden="1">
      <c r="B703" s="118" t="s">
        <v>1454</v>
      </c>
      <c r="C703" s="96" t="s">
        <v>480</v>
      </c>
      <c r="D703" s="119" t="s">
        <v>347</v>
      </c>
    </row>
    <row r="704" spans="2:4" hidden="1">
      <c r="B704" s="118" t="s">
        <v>1454</v>
      </c>
      <c r="C704" s="96" t="s">
        <v>479</v>
      </c>
      <c r="D704" s="119" t="s">
        <v>478</v>
      </c>
    </row>
    <row r="705" spans="2:4" hidden="1">
      <c r="B705" s="118" t="s">
        <v>1454</v>
      </c>
      <c r="C705" s="96" t="s">
        <v>477</v>
      </c>
      <c r="D705" s="119" t="s">
        <v>476</v>
      </c>
    </row>
    <row r="706" spans="2:4" hidden="1">
      <c r="B706" s="118" t="s">
        <v>1454</v>
      </c>
      <c r="C706" s="96" t="s">
        <v>475</v>
      </c>
      <c r="D706" s="119" t="s">
        <v>474</v>
      </c>
    </row>
    <row r="707" spans="2:4" hidden="1">
      <c r="B707" s="118" t="s">
        <v>1454</v>
      </c>
      <c r="C707" s="96" t="s">
        <v>473</v>
      </c>
      <c r="D707" s="119" t="s">
        <v>472</v>
      </c>
    </row>
    <row r="708" spans="2:4" hidden="1">
      <c r="B708" s="118" t="s">
        <v>1454</v>
      </c>
      <c r="C708" s="96" t="s">
        <v>471</v>
      </c>
      <c r="D708" s="119" t="s">
        <v>470</v>
      </c>
    </row>
    <row r="709" spans="2:4" hidden="1">
      <c r="B709" s="118" t="s">
        <v>1454</v>
      </c>
      <c r="C709" s="96" t="s">
        <v>469</v>
      </c>
      <c r="D709" s="119" t="s">
        <v>468</v>
      </c>
    </row>
    <row r="710" spans="2:4" hidden="1">
      <c r="B710" s="118" t="s">
        <v>1454</v>
      </c>
      <c r="C710" s="96" t="s">
        <v>467</v>
      </c>
      <c r="D710" s="119" t="s">
        <v>466</v>
      </c>
    </row>
    <row r="711" spans="2:4" hidden="1">
      <c r="B711" s="118" t="s">
        <v>1454</v>
      </c>
      <c r="C711" s="96" t="s">
        <v>465</v>
      </c>
      <c r="D711" s="119" t="s">
        <v>0</v>
      </c>
    </row>
    <row r="712" spans="2:4" hidden="1">
      <c r="B712" s="118" t="s">
        <v>1454</v>
      </c>
      <c r="C712" s="96" t="s">
        <v>464</v>
      </c>
      <c r="D712" s="119" t="s">
        <v>351</v>
      </c>
    </row>
    <row r="713" spans="2:4" hidden="1">
      <c r="B713" s="118" t="s">
        <v>1454</v>
      </c>
      <c r="C713" s="96" t="s">
        <v>463</v>
      </c>
      <c r="D713" s="119" t="s">
        <v>347</v>
      </c>
    </row>
    <row r="714" spans="2:4" hidden="1">
      <c r="B714" s="118" t="s">
        <v>1454</v>
      </c>
      <c r="C714" s="96" t="s">
        <v>462</v>
      </c>
      <c r="D714" s="119" t="s">
        <v>461</v>
      </c>
    </row>
    <row r="715" spans="2:4" hidden="1">
      <c r="B715" s="118" t="s">
        <v>1454</v>
      </c>
      <c r="C715" s="96" t="s">
        <v>460</v>
      </c>
      <c r="D715" s="119" t="s">
        <v>459</v>
      </c>
    </row>
    <row r="716" spans="2:4" hidden="1">
      <c r="B716" s="118" t="s">
        <v>1454</v>
      </c>
      <c r="C716" s="96" t="s">
        <v>458</v>
      </c>
      <c r="D716" s="119" t="s">
        <v>457</v>
      </c>
    </row>
    <row r="717" spans="2:4" hidden="1">
      <c r="B717" s="118" t="s">
        <v>1454</v>
      </c>
      <c r="C717" s="96" t="s">
        <v>456</v>
      </c>
      <c r="D717" s="119" t="s">
        <v>455</v>
      </c>
    </row>
    <row r="718" spans="2:4" hidden="1">
      <c r="B718" s="118" t="s">
        <v>1454</v>
      </c>
      <c r="C718" s="96" t="s">
        <v>454</v>
      </c>
      <c r="D718" s="119" t="s">
        <v>0</v>
      </c>
    </row>
    <row r="719" spans="2:4" hidden="1">
      <c r="B719" s="118" t="s">
        <v>1454</v>
      </c>
      <c r="C719" s="96" t="s">
        <v>453</v>
      </c>
      <c r="D719" s="119" t="s">
        <v>351</v>
      </c>
    </row>
    <row r="720" spans="2:4" hidden="1">
      <c r="B720" s="118" t="s">
        <v>1454</v>
      </c>
      <c r="C720" s="96" t="s">
        <v>452</v>
      </c>
      <c r="D720" s="119" t="s">
        <v>347</v>
      </c>
    </row>
    <row r="721" spans="2:4" hidden="1">
      <c r="B721" s="118" t="s">
        <v>1454</v>
      </c>
      <c r="C721" s="96" t="s">
        <v>451</v>
      </c>
      <c r="D721" s="119" t="s">
        <v>418</v>
      </c>
    </row>
    <row r="722" spans="2:4" hidden="1">
      <c r="B722" s="118" t="s">
        <v>1454</v>
      </c>
      <c r="C722" s="96" t="s">
        <v>450</v>
      </c>
      <c r="D722" s="119" t="s">
        <v>337</v>
      </c>
    </row>
    <row r="723" spans="2:4" hidden="1">
      <c r="B723" s="118" t="s">
        <v>1454</v>
      </c>
      <c r="C723" s="96" t="s">
        <v>449</v>
      </c>
      <c r="D723" s="119" t="s">
        <v>448</v>
      </c>
    </row>
    <row r="724" spans="2:4" hidden="1">
      <c r="B724" s="118" t="s">
        <v>1454</v>
      </c>
      <c r="C724" s="96">
        <v>1.5</v>
      </c>
      <c r="D724" s="119" t="s">
        <v>447</v>
      </c>
    </row>
    <row r="725" spans="2:4" hidden="1">
      <c r="B725" s="118" t="s">
        <v>1454</v>
      </c>
      <c r="C725" s="96" t="s">
        <v>446</v>
      </c>
      <c r="D725" s="119" t="s">
        <v>355</v>
      </c>
    </row>
    <row r="726" spans="2:4" hidden="1">
      <c r="B726" s="118" t="s">
        <v>1454</v>
      </c>
      <c r="C726" s="96" t="s">
        <v>445</v>
      </c>
      <c r="D726" s="119" t="s">
        <v>353</v>
      </c>
    </row>
    <row r="727" spans="2:4" hidden="1">
      <c r="B727" s="118" t="s">
        <v>1454</v>
      </c>
      <c r="C727" s="96" t="s">
        <v>444</v>
      </c>
      <c r="D727" s="119" t="s">
        <v>351</v>
      </c>
    </row>
    <row r="728" spans="2:4" hidden="1">
      <c r="B728" s="118" t="s">
        <v>1454</v>
      </c>
      <c r="C728" s="96" t="s">
        <v>443</v>
      </c>
      <c r="D728" s="119" t="s">
        <v>349</v>
      </c>
    </row>
    <row r="729" spans="2:4" hidden="1">
      <c r="B729" s="118" t="s">
        <v>1454</v>
      </c>
      <c r="C729" s="96" t="s">
        <v>442</v>
      </c>
      <c r="D729" s="119" t="s">
        <v>347</v>
      </c>
    </row>
    <row r="730" spans="2:4" hidden="1">
      <c r="B730" s="118" t="s">
        <v>1454</v>
      </c>
      <c r="C730" s="96" t="s">
        <v>441</v>
      </c>
      <c r="D730" s="119" t="s">
        <v>440</v>
      </c>
    </row>
    <row r="731" spans="2:4" hidden="1">
      <c r="B731" s="118" t="s">
        <v>1454</v>
      </c>
      <c r="C731" s="96" t="s">
        <v>439</v>
      </c>
      <c r="D731" s="119" t="s">
        <v>438</v>
      </c>
    </row>
    <row r="732" spans="2:4" hidden="1">
      <c r="B732" s="118" t="s">
        <v>1454</v>
      </c>
      <c r="C732" s="96" t="s">
        <v>437</v>
      </c>
      <c r="D732" s="119" t="s">
        <v>436</v>
      </c>
    </row>
    <row r="733" spans="2:4" hidden="1">
      <c r="B733" s="118" t="s">
        <v>1454</v>
      </c>
      <c r="C733" s="96" t="s">
        <v>435</v>
      </c>
      <c r="D733" s="119" t="s">
        <v>434</v>
      </c>
    </row>
    <row r="734" spans="2:4" hidden="1">
      <c r="B734" s="118" t="s">
        <v>1454</v>
      </c>
      <c r="C734" s="96" t="s">
        <v>433</v>
      </c>
      <c r="D734" s="119" t="s">
        <v>416</v>
      </c>
    </row>
    <row r="735" spans="2:4" hidden="1">
      <c r="B735" s="118" t="s">
        <v>1454</v>
      </c>
      <c r="C735" s="96">
        <v>1.6</v>
      </c>
      <c r="D735" s="119" t="s">
        <v>432</v>
      </c>
    </row>
    <row r="736" spans="2:4" hidden="1">
      <c r="B736" s="118" t="s">
        <v>1454</v>
      </c>
      <c r="C736" s="96" t="s">
        <v>431</v>
      </c>
      <c r="D736" s="119" t="s">
        <v>355</v>
      </c>
    </row>
    <row r="737" spans="2:4" hidden="1">
      <c r="B737" s="118" t="s">
        <v>1454</v>
      </c>
      <c r="C737" s="96" t="s">
        <v>430</v>
      </c>
      <c r="D737" s="119" t="s">
        <v>353</v>
      </c>
    </row>
    <row r="738" spans="2:4" hidden="1">
      <c r="B738" s="118" t="s">
        <v>1454</v>
      </c>
      <c r="C738" s="96" t="s">
        <v>429</v>
      </c>
      <c r="D738" s="119" t="s">
        <v>351</v>
      </c>
    </row>
    <row r="739" spans="2:4" hidden="1">
      <c r="B739" s="118" t="s">
        <v>1454</v>
      </c>
      <c r="C739" s="96" t="s">
        <v>428</v>
      </c>
      <c r="D739" s="119" t="s">
        <v>349</v>
      </c>
    </row>
    <row r="740" spans="2:4" hidden="1">
      <c r="B740" s="118" t="s">
        <v>1454</v>
      </c>
      <c r="C740" s="96" t="s">
        <v>427</v>
      </c>
      <c r="D740" s="119" t="s">
        <v>347</v>
      </c>
    </row>
    <row r="741" spans="2:4" hidden="1">
      <c r="B741" s="118" t="s">
        <v>1454</v>
      </c>
      <c r="C741" s="96" t="s">
        <v>426</v>
      </c>
      <c r="D741" s="119" t="s">
        <v>425</v>
      </c>
    </row>
    <row r="742" spans="2:4" hidden="1">
      <c r="B742" s="118" t="s">
        <v>1454</v>
      </c>
      <c r="C742" s="96" t="s">
        <v>424</v>
      </c>
      <c r="D742" s="119" t="s">
        <v>0</v>
      </c>
    </row>
    <row r="743" spans="2:4" hidden="1">
      <c r="B743" s="118" t="s">
        <v>1454</v>
      </c>
      <c r="C743" s="96" t="s">
        <v>423</v>
      </c>
      <c r="D743" s="119" t="s">
        <v>351</v>
      </c>
    </row>
    <row r="744" spans="2:4" hidden="1">
      <c r="B744" s="118" t="s">
        <v>1454</v>
      </c>
      <c r="C744" s="96" t="s">
        <v>422</v>
      </c>
      <c r="D744" s="119" t="s">
        <v>347</v>
      </c>
    </row>
    <row r="745" spans="2:4" hidden="1">
      <c r="B745" s="118" t="s">
        <v>1454</v>
      </c>
      <c r="C745" s="96" t="s">
        <v>421</v>
      </c>
      <c r="D745" s="119" t="s">
        <v>420</v>
      </c>
    </row>
    <row r="746" spans="2:4" hidden="1">
      <c r="B746" s="118" t="s">
        <v>1454</v>
      </c>
      <c r="C746" s="96" t="s">
        <v>419</v>
      </c>
      <c r="D746" s="119" t="s">
        <v>418</v>
      </c>
    </row>
    <row r="747" spans="2:4" hidden="1">
      <c r="B747" s="118" t="s">
        <v>1454</v>
      </c>
      <c r="C747" s="96" t="s">
        <v>417</v>
      </c>
      <c r="D747" s="119" t="s">
        <v>416</v>
      </c>
    </row>
    <row r="748" spans="2:4" hidden="1">
      <c r="B748" s="118" t="s">
        <v>1454</v>
      </c>
      <c r="C748" s="96">
        <v>1.7</v>
      </c>
      <c r="D748" s="119" t="s">
        <v>415</v>
      </c>
    </row>
    <row r="749" spans="2:4" hidden="1">
      <c r="B749" s="118" t="s">
        <v>1454</v>
      </c>
      <c r="C749" s="96" t="s">
        <v>414</v>
      </c>
      <c r="D749" s="119" t="s">
        <v>355</v>
      </c>
    </row>
    <row r="750" spans="2:4" hidden="1">
      <c r="B750" s="118" t="s">
        <v>1454</v>
      </c>
      <c r="C750" s="96" t="s">
        <v>413</v>
      </c>
      <c r="D750" s="119" t="s">
        <v>353</v>
      </c>
    </row>
    <row r="751" spans="2:4" hidden="1">
      <c r="B751" s="118" t="s">
        <v>1454</v>
      </c>
      <c r="C751" s="96" t="s">
        <v>412</v>
      </c>
      <c r="D751" s="119" t="s">
        <v>351</v>
      </c>
    </row>
    <row r="752" spans="2:4" hidden="1">
      <c r="B752" s="118" t="s">
        <v>1454</v>
      </c>
      <c r="C752" s="96" t="s">
        <v>411</v>
      </c>
      <c r="D752" s="119" t="s">
        <v>349</v>
      </c>
    </row>
    <row r="753" spans="2:4" hidden="1">
      <c r="B753" s="118" t="s">
        <v>1454</v>
      </c>
      <c r="C753" s="96" t="s">
        <v>410</v>
      </c>
      <c r="D753" s="119" t="s">
        <v>347</v>
      </c>
    </row>
    <row r="754" spans="2:4" hidden="1">
      <c r="B754" s="118" t="s">
        <v>1454</v>
      </c>
      <c r="C754" s="96" t="s">
        <v>409</v>
      </c>
      <c r="D754" s="119" t="s">
        <v>408</v>
      </c>
    </row>
    <row r="755" spans="2:4" hidden="1">
      <c r="B755" s="118" t="s">
        <v>1454</v>
      </c>
      <c r="C755" s="96" t="s">
        <v>407</v>
      </c>
      <c r="D755" s="119" t="s">
        <v>0</v>
      </c>
    </row>
    <row r="756" spans="2:4" hidden="1">
      <c r="B756" s="118" t="s">
        <v>1454</v>
      </c>
      <c r="C756" s="96" t="s">
        <v>406</v>
      </c>
      <c r="D756" s="119" t="s">
        <v>351</v>
      </c>
    </row>
    <row r="757" spans="2:4" hidden="1">
      <c r="B757" s="118" t="s">
        <v>1454</v>
      </c>
      <c r="C757" s="96" t="s">
        <v>405</v>
      </c>
      <c r="D757" s="119" t="s">
        <v>347</v>
      </c>
    </row>
    <row r="758" spans="2:4" hidden="1">
      <c r="B758" s="118" t="s">
        <v>1454</v>
      </c>
      <c r="C758" s="96" t="s">
        <v>404</v>
      </c>
      <c r="D758" s="119" t="s">
        <v>403</v>
      </c>
    </row>
    <row r="759" spans="2:4" hidden="1">
      <c r="B759" s="118" t="s">
        <v>1454</v>
      </c>
      <c r="C759" s="96" t="s">
        <v>402</v>
      </c>
      <c r="D759" s="119" t="s">
        <v>401</v>
      </c>
    </row>
    <row r="760" spans="2:4" hidden="1">
      <c r="B760" s="118" t="s">
        <v>1454</v>
      </c>
      <c r="C760" s="96" t="s">
        <v>400</v>
      </c>
      <c r="D760" s="119" t="s">
        <v>399</v>
      </c>
    </row>
    <row r="761" spans="2:4" hidden="1">
      <c r="B761" s="118" t="s">
        <v>1454</v>
      </c>
      <c r="C761" s="96" t="s">
        <v>398</v>
      </c>
      <c r="D761" s="119" t="s">
        <v>397</v>
      </c>
    </row>
    <row r="762" spans="2:4" hidden="1">
      <c r="B762" s="118" t="s">
        <v>1454</v>
      </c>
      <c r="C762" s="96" t="s">
        <v>396</v>
      </c>
      <c r="D762" s="119" t="s">
        <v>395</v>
      </c>
    </row>
    <row r="763" spans="2:4" hidden="1">
      <c r="B763" s="118" t="s">
        <v>1454</v>
      </c>
      <c r="C763" s="96" t="s">
        <v>394</v>
      </c>
      <c r="D763" s="119" t="s">
        <v>393</v>
      </c>
    </row>
    <row r="764" spans="2:4" hidden="1">
      <c r="B764" s="118" t="s">
        <v>1454</v>
      </c>
      <c r="C764" s="96" t="s">
        <v>392</v>
      </c>
      <c r="D764" s="119" t="s">
        <v>391</v>
      </c>
    </row>
    <row r="765" spans="2:4" hidden="1">
      <c r="B765" s="118" t="s">
        <v>1454</v>
      </c>
      <c r="C765" s="96" t="s">
        <v>390</v>
      </c>
      <c r="D765" s="119" t="s">
        <v>389</v>
      </c>
    </row>
    <row r="766" spans="2:4" hidden="1">
      <c r="B766" s="118" t="s">
        <v>1454</v>
      </c>
      <c r="C766" s="96" t="s">
        <v>388</v>
      </c>
      <c r="D766" s="119" t="s">
        <v>0</v>
      </c>
    </row>
    <row r="767" spans="2:4" hidden="1">
      <c r="B767" s="118" t="s">
        <v>1454</v>
      </c>
      <c r="C767" s="96" t="s">
        <v>387</v>
      </c>
      <c r="D767" s="119" t="s">
        <v>351</v>
      </c>
    </row>
    <row r="768" spans="2:4" hidden="1">
      <c r="B768" s="118" t="s">
        <v>1454</v>
      </c>
      <c r="C768" s="96" t="s">
        <v>386</v>
      </c>
      <c r="D768" s="119" t="s">
        <v>347</v>
      </c>
    </row>
    <row r="769" spans="2:4" hidden="1">
      <c r="B769" s="118" t="s">
        <v>1454</v>
      </c>
      <c r="C769" s="96" t="s">
        <v>385</v>
      </c>
      <c r="D769" s="119" t="s">
        <v>384</v>
      </c>
    </row>
    <row r="770" spans="2:4" hidden="1">
      <c r="B770" s="118" t="s">
        <v>1454</v>
      </c>
      <c r="C770" s="96" t="s">
        <v>383</v>
      </c>
      <c r="D770" s="119" t="s">
        <v>382</v>
      </c>
    </row>
    <row r="771" spans="2:4" hidden="1">
      <c r="B771" s="118" t="s">
        <v>1454</v>
      </c>
      <c r="C771" s="96" t="s">
        <v>381</v>
      </c>
      <c r="D771" s="119" t="s">
        <v>380</v>
      </c>
    </row>
    <row r="772" spans="2:4" hidden="1">
      <c r="B772" s="118" t="s">
        <v>1454</v>
      </c>
      <c r="C772" s="96" t="s">
        <v>379</v>
      </c>
      <c r="D772" s="119" t="s">
        <v>378</v>
      </c>
    </row>
    <row r="773" spans="2:4" hidden="1">
      <c r="B773" s="118" t="s">
        <v>1454</v>
      </c>
      <c r="C773" s="96" t="s">
        <v>377</v>
      </c>
      <c r="D773" s="119" t="s">
        <v>0</v>
      </c>
    </row>
    <row r="774" spans="2:4" hidden="1">
      <c r="B774" s="118" t="s">
        <v>1454</v>
      </c>
      <c r="C774" s="96" t="s">
        <v>376</v>
      </c>
      <c r="D774" s="119" t="s">
        <v>351</v>
      </c>
    </row>
    <row r="775" spans="2:4" hidden="1">
      <c r="B775" s="118" t="s">
        <v>1454</v>
      </c>
      <c r="C775" s="96" t="s">
        <v>375</v>
      </c>
      <c r="D775" s="119" t="s">
        <v>347</v>
      </c>
    </row>
    <row r="776" spans="2:4" hidden="1">
      <c r="B776" s="118" t="s">
        <v>1454</v>
      </c>
      <c r="C776" s="96" t="s">
        <v>374</v>
      </c>
      <c r="D776" s="119" t="s">
        <v>373</v>
      </c>
    </row>
    <row r="777" spans="2:4" hidden="1">
      <c r="B777" s="118" t="s">
        <v>1454</v>
      </c>
      <c r="C777" s="96" t="s">
        <v>372</v>
      </c>
      <c r="D777" s="119" t="s">
        <v>371</v>
      </c>
    </row>
    <row r="778" spans="2:4" hidden="1">
      <c r="B778" s="118" t="s">
        <v>1454</v>
      </c>
      <c r="C778" s="96" t="s">
        <v>370</v>
      </c>
      <c r="D778" s="119" t="s">
        <v>369</v>
      </c>
    </row>
    <row r="779" spans="2:4" hidden="1">
      <c r="B779" s="118" t="s">
        <v>1454</v>
      </c>
      <c r="C779" s="96" t="s">
        <v>368</v>
      </c>
      <c r="D779" s="119" t="s">
        <v>367</v>
      </c>
    </row>
    <row r="780" spans="2:4" hidden="1">
      <c r="B780" s="118" t="s">
        <v>1454</v>
      </c>
      <c r="C780" s="96" t="s">
        <v>366</v>
      </c>
      <c r="D780" s="119" t="s">
        <v>365</v>
      </c>
    </row>
    <row r="781" spans="2:4" hidden="1">
      <c r="B781" s="118" t="s">
        <v>1454</v>
      </c>
      <c r="C781" s="96" t="s">
        <v>364</v>
      </c>
      <c r="D781" s="119" t="s">
        <v>363</v>
      </c>
    </row>
    <row r="782" spans="2:4" hidden="1">
      <c r="B782" s="118" t="s">
        <v>1454</v>
      </c>
      <c r="C782" s="96" t="s">
        <v>362</v>
      </c>
      <c r="D782" s="119" t="s">
        <v>361</v>
      </c>
    </row>
    <row r="783" spans="2:4" hidden="1">
      <c r="B783" s="118" t="s">
        <v>1454</v>
      </c>
      <c r="C783" s="96" t="s">
        <v>360</v>
      </c>
      <c r="D783" s="119" t="s">
        <v>359</v>
      </c>
    </row>
    <row r="784" spans="2:4" hidden="1">
      <c r="B784" s="118" t="s">
        <v>1454</v>
      </c>
      <c r="C784" s="96" t="s">
        <v>358</v>
      </c>
      <c r="D784" s="119" t="s">
        <v>337</v>
      </c>
    </row>
    <row r="785" spans="2:4" hidden="1">
      <c r="B785" s="118" t="s">
        <v>1454</v>
      </c>
      <c r="C785" s="96">
        <v>1.8</v>
      </c>
      <c r="D785" s="119" t="s">
        <v>357</v>
      </c>
    </row>
    <row r="786" spans="2:4" hidden="1">
      <c r="B786" s="118" t="s">
        <v>1454</v>
      </c>
      <c r="C786" s="96" t="s">
        <v>356</v>
      </c>
      <c r="D786" s="119" t="s">
        <v>355</v>
      </c>
    </row>
    <row r="787" spans="2:4" hidden="1">
      <c r="B787" s="118" t="s">
        <v>1454</v>
      </c>
      <c r="C787" s="96" t="s">
        <v>354</v>
      </c>
      <c r="D787" s="119" t="s">
        <v>353</v>
      </c>
    </row>
    <row r="788" spans="2:4" hidden="1">
      <c r="B788" s="118" t="s">
        <v>1454</v>
      </c>
      <c r="C788" s="96" t="s">
        <v>352</v>
      </c>
      <c r="D788" s="119" t="s">
        <v>351</v>
      </c>
    </row>
    <row r="789" spans="2:4" hidden="1">
      <c r="B789" s="118" t="s">
        <v>1454</v>
      </c>
      <c r="C789" s="96" t="s">
        <v>350</v>
      </c>
      <c r="D789" s="119" t="s">
        <v>349</v>
      </c>
    </row>
    <row r="790" spans="2:4" hidden="1">
      <c r="B790" s="118" t="s">
        <v>1454</v>
      </c>
      <c r="C790" s="96" t="s">
        <v>348</v>
      </c>
      <c r="D790" s="119" t="s">
        <v>347</v>
      </c>
    </row>
    <row r="791" spans="2:4" hidden="1">
      <c r="B791" s="118" t="s">
        <v>1454</v>
      </c>
      <c r="C791" s="96" t="s">
        <v>346</v>
      </c>
      <c r="D791" s="119" t="s">
        <v>345</v>
      </c>
    </row>
    <row r="792" spans="2:4" hidden="1">
      <c r="B792" s="118" t="s">
        <v>1454</v>
      </c>
      <c r="C792" s="96" t="s">
        <v>344</v>
      </c>
      <c r="D792" s="119" t="s">
        <v>343</v>
      </c>
    </row>
    <row r="793" spans="2:4" hidden="1">
      <c r="B793" s="118" t="s">
        <v>1454</v>
      </c>
      <c r="C793" s="96" t="s">
        <v>342</v>
      </c>
      <c r="D793" s="119" t="s">
        <v>341</v>
      </c>
    </row>
    <row r="794" spans="2:4" hidden="1">
      <c r="B794" s="118" t="s">
        <v>1454</v>
      </c>
      <c r="C794" s="96" t="s">
        <v>340</v>
      </c>
      <c r="D794" s="119" t="s">
        <v>339</v>
      </c>
    </row>
    <row r="795" spans="2:4" hidden="1">
      <c r="B795" s="118" t="s">
        <v>1454</v>
      </c>
      <c r="C795" s="96" t="s">
        <v>338</v>
      </c>
      <c r="D795" s="119" t="s">
        <v>337</v>
      </c>
    </row>
    <row r="796" spans="2:4" hidden="1">
      <c r="B796" s="118" t="s">
        <v>1454</v>
      </c>
      <c r="C796" s="96">
        <v>1.9</v>
      </c>
      <c r="D796" s="119" t="s">
        <v>336</v>
      </c>
    </row>
    <row r="797" spans="2:4" hidden="1">
      <c r="B797" s="118" t="s">
        <v>1454</v>
      </c>
      <c r="C797" s="96" t="s">
        <v>335</v>
      </c>
      <c r="D797" s="119" t="s">
        <v>0</v>
      </c>
    </row>
    <row r="798" spans="2:4" hidden="1">
      <c r="B798" s="118" t="s">
        <v>1454</v>
      </c>
      <c r="C798" s="96" t="s">
        <v>334</v>
      </c>
      <c r="D798" s="119" t="s">
        <v>333</v>
      </c>
    </row>
    <row r="799" spans="2:4" hidden="1">
      <c r="B799" s="118" t="s">
        <v>1454</v>
      </c>
      <c r="C799" s="96" t="s">
        <v>332</v>
      </c>
      <c r="D799" s="119" t="s">
        <v>331</v>
      </c>
    </row>
    <row r="800" spans="2:4" hidden="1">
      <c r="B800" s="118" t="s">
        <v>1454</v>
      </c>
      <c r="C800" s="96">
        <v>1.1000000000000001</v>
      </c>
      <c r="D800" s="119" t="s">
        <v>330</v>
      </c>
    </row>
    <row r="801" spans="2:4" hidden="1">
      <c r="B801" s="118" t="s">
        <v>1454</v>
      </c>
      <c r="C801" s="96" t="s">
        <v>329</v>
      </c>
      <c r="D801" s="119" t="s">
        <v>328</v>
      </c>
    </row>
    <row r="802" spans="2:4" hidden="1">
      <c r="B802" s="118" t="s">
        <v>1454</v>
      </c>
      <c r="C802" s="96">
        <v>1.1100000000000001</v>
      </c>
      <c r="D802" s="119" t="s">
        <v>327</v>
      </c>
    </row>
    <row r="803" spans="2:4" hidden="1">
      <c r="B803" s="118" t="s">
        <v>1454</v>
      </c>
      <c r="C803" s="96">
        <v>1.1200000000000001</v>
      </c>
      <c r="D803" s="119" t="s">
        <v>326</v>
      </c>
    </row>
    <row r="804" spans="2:4" hidden="1">
      <c r="B804" s="118" t="s">
        <v>1453</v>
      </c>
      <c r="C804" s="96">
        <v>1</v>
      </c>
      <c r="D804" s="119" t="s">
        <v>1441</v>
      </c>
    </row>
    <row r="805" spans="2:4" hidden="1">
      <c r="B805" s="118" t="s">
        <v>1453</v>
      </c>
      <c r="C805" s="96">
        <v>1.1000000000000001</v>
      </c>
      <c r="D805" s="119" t="s">
        <v>1432</v>
      </c>
    </row>
    <row r="806" spans="2:4" hidden="1">
      <c r="B806" s="118" t="s">
        <v>1453</v>
      </c>
      <c r="C806" s="96" t="s">
        <v>1422</v>
      </c>
      <c r="D806" s="119" t="s">
        <v>1426</v>
      </c>
    </row>
    <row r="807" spans="2:4" hidden="1">
      <c r="B807" s="118" t="s">
        <v>1453</v>
      </c>
      <c r="C807" s="96" t="s">
        <v>1369</v>
      </c>
      <c r="D807" s="119" t="s">
        <v>1418</v>
      </c>
    </row>
    <row r="808" spans="2:4" hidden="1">
      <c r="B808" s="118" t="s">
        <v>1453</v>
      </c>
      <c r="C808" s="96" t="s">
        <v>1295</v>
      </c>
      <c r="D808" s="119" t="s">
        <v>1411</v>
      </c>
    </row>
    <row r="809" spans="2:4" hidden="1">
      <c r="B809" s="118" t="s">
        <v>1453</v>
      </c>
      <c r="C809" s="96" t="s">
        <v>1234</v>
      </c>
      <c r="D809" s="119" t="s">
        <v>1404</v>
      </c>
    </row>
    <row r="810" spans="2:4" hidden="1">
      <c r="B810" s="118" t="s">
        <v>1453</v>
      </c>
      <c r="C810" s="96" t="s">
        <v>1137</v>
      </c>
      <c r="D810" s="119" t="s">
        <v>1397</v>
      </c>
    </row>
    <row r="811" spans="2:4" hidden="1">
      <c r="B811" s="118" t="s">
        <v>1453</v>
      </c>
      <c r="C811" s="96" t="s">
        <v>1131</v>
      </c>
      <c r="D811" s="119" t="s">
        <v>1390</v>
      </c>
    </row>
    <row r="812" spans="2:4" hidden="1">
      <c r="B812" s="118" t="s">
        <v>1453</v>
      </c>
      <c r="C812" s="96" t="s">
        <v>1094</v>
      </c>
      <c r="D812" s="119" t="s">
        <v>1380</v>
      </c>
    </row>
    <row r="813" spans="2:4" hidden="1">
      <c r="B813" s="118" t="s">
        <v>1453</v>
      </c>
      <c r="C813" s="96" t="s">
        <v>1055</v>
      </c>
      <c r="D813" s="119" t="s">
        <v>1370</v>
      </c>
    </row>
    <row r="814" spans="2:4" hidden="1">
      <c r="B814" s="118" t="s">
        <v>1453</v>
      </c>
      <c r="C814" s="96" t="s">
        <v>998</v>
      </c>
      <c r="D814" s="119" t="s">
        <v>937</v>
      </c>
    </row>
    <row r="815" spans="2:4" hidden="1">
      <c r="B815" s="118" t="s">
        <v>1453</v>
      </c>
      <c r="C815" s="96" t="s">
        <v>992</v>
      </c>
      <c r="D815" s="119" t="s">
        <v>1350</v>
      </c>
    </row>
    <row r="816" spans="2:4" hidden="1">
      <c r="B816" s="118" t="s">
        <v>1453</v>
      </c>
      <c r="C816" s="96" t="s">
        <v>985</v>
      </c>
      <c r="D816" s="119" t="s">
        <v>1341</v>
      </c>
    </row>
    <row r="817" spans="2:4" hidden="1">
      <c r="B817" s="118" t="s">
        <v>1453</v>
      </c>
      <c r="C817" s="96" t="s">
        <v>980</v>
      </c>
      <c r="D817" s="119" t="s">
        <v>1332</v>
      </c>
    </row>
    <row r="818" spans="2:4" hidden="1">
      <c r="B818" s="118" t="s">
        <v>1453</v>
      </c>
      <c r="C818" s="96" t="s">
        <v>972</v>
      </c>
      <c r="D818" s="119" t="s">
        <v>1325</v>
      </c>
    </row>
    <row r="819" spans="2:4" hidden="1">
      <c r="B819" s="118" t="s">
        <v>1453</v>
      </c>
      <c r="C819" s="96" t="s">
        <v>966</v>
      </c>
      <c r="D819" s="119" t="s">
        <v>912</v>
      </c>
    </row>
    <row r="820" spans="2:4" hidden="1">
      <c r="B820" s="118" t="s">
        <v>1453</v>
      </c>
      <c r="C820" s="96" t="s">
        <v>961</v>
      </c>
      <c r="D820" s="119" t="s">
        <v>1307</v>
      </c>
    </row>
    <row r="821" spans="2:4" hidden="1">
      <c r="B821" s="118" t="s">
        <v>1453</v>
      </c>
      <c r="C821" s="96" t="s">
        <v>957</v>
      </c>
      <c r="D821" s="119" t="s">
        <v>1255</v>
      </c>
    </row>
    <row r="822" spans="2:4" hidden="1">
      <c r="B822" s="118" t="s">
        <v>1453</v>
      </c>
      <c r="C822" s="96">
        <v>1.2</v>
      </c>
      <c r="D822" s="119" t="s">
        <v>1291</v>
      </c>
    </row>
    <row r="823" spans="2:4" hidden="1">
      <c r="B823" s="118" t="s">
        <v>1453</v>
      </c>
      <c r="C823" s="96" t="s">
        <v>948</v>
      </c>
      <c r="D823" s="119" t="s">
        <v>1282</v>
      </c>
    </row>
    <row r="824" spans="2:4" hidden="1">
      <c r="B824" s="118" t="s">
        <v>1453</v>
      </c>
      <c r="C824" s="96" t="s">
        <v>943</v>
      </c>
      <c r="D824" s="119" t="s">
        <v>1070</v>
      </c>
    </row>
    <row r="825" spans="2:4" hidden="1">
      <c r="B825" s="118" t="s">
        <v>1453</v>
      </c>
      <c r="C825" s="96" t="s">
        <v>813</v>
      </c>
      <c r="D825" s="119" t="s">
        <v>1060</v>
      </c>
    </row>
    <row r="826" spans="2:4" hidden="1">
      <c r="B826" s="118" t="s">
        <v>1453</v>
      </c>
      <c r="C826" s="96" t="s">
        <v>798</v>
      </c>
      <c r="D826" s="119" t="s">
        <v>1257</v>
      </c>
    </row>
    <row r="827" spans="2:4" hidden="1">
      <c r="B827" s="118" t="s">
        <v>1453</v>
      </c>
      <c r="C827" s="96" t="s">
        <v>626</v>
      </c>
      <c r="D827" s="119" t="s">
        <v>1247</v>
      </c>
    </row>
    <row r="828" spans="2:4" hidden="1">
      <c r="B828" s="118" t="s">
        <v>1453</v>
      </c>
      <c r="C828" s="96">
        <v>1.3</v>
      </c>
      <c r="D828" s="119" t="s">
        <v>1239</v>
      </c>
    </row>
    <row r="829" spans="2:4" hidden="1">
      <c r="B829" s="118" t="s">
        <v>1453</v>
      </c>
      <c r="C829" s="96">
        <v>1.4</v>
      </c>
      <c r="D829" s="119" t="s">
        <v>880</v>
      </c>
    </row>
    <row r="830" spans="2:4" hidden="1">
      <c r="B830" s="118" t="s">
        <v>1453</v>
      </c>
      <c r="C830" s="96">
        <v>1.5</v>
      </c>
      <c r="D830" s="119" t="s">
        <v>349</v>
      </c>
    </row>
    <row r="831" spans="2:4" hidden="1">
      <c r="B831" s="118" t="s">
        <v>1453</v>
      </c>
      <c r="C831" s="96">
        <v>1.6</v>
      </c>
      <c r="D831" s="119" t="s">
        <v>876</v>
      </c>
    </row>
    <row r="832" spans="2:4" hidden="1">
      <c r="B832" s="118" t="s">
        <v>1453</v>
      </c>
      <c r="C832" s="96" t="s">
        <v>431</v>
      </c>
      <c r="D832" s="119" t="s">
        <v>873</v>
      </c>
    </row>
    <row r="833" spans="2:4" hidden="1">
      <c r="B833" s="118" t="s">
        <v>1453</v>
      </c>
      <c r="C833" s="96" t="s">
        <v>426</v>
      </c>
      <c r="D833" s="119" t="s">
        <v>871</v>
      </c>
    </row>
    <row r="834" spans="2:4" hidden="1">
      <c r="B834" s="118" t="s">
        <v>1453</v>
      </c>
      <c r="C834" s="96" t="s">
        <v>417</v>
      </c>
      <c r="D834" s="119" t="s">
        <v>868</v>
      </c>
    </row>
    <row r="835" spans="2:4" hidden="1">
      <c r="B835" s="118" t="s">
        <v>1453</v>
      </c>
      <c r="C835" s="96" t="s">
        <v>967</v>
      </c>
      <c r="D835" s="119" t="s">
        <v>865</v>
      </c>
    </row>
    <row r="836" spans="2:4" hidden="1">
      <c r="B836" s="118" t="s">
        <v>1453</v>
      </c>
      <c r="C836" s="96" t="s">
        <v>962</v>
      </c>
      <c r="D836" s="119" t="s">
        <v>860</v>
      </c>
    </row>
    <row r="837" spans="2:4" hidden="1">
      <c r="B837" s="118" t="s">
        <v>1453</v>
      </c>
      <c r="C837" s="96">
        <v>1.7</v>
      </c>
      <c r="D837" s="119" t="s">
        <v>856</v>
      </c>
    </row>
    <row r="838" spans="2:4" hidden="1">
      <c r="B838" s="118" t="s">
        <v>1453</v>
      </c>
      <c r="C838" s="96" t="s">
        <v>414</v>
      </c>
      <c r="D838" s="119" t="s">
        <v>853</v>
      </c>
    </row>
    <row r="839" spans="2:4" hidden="1">
      <c r="B839" s="118" t="s">
        <v>1453</v>
      </c>
      <c r="C839" s="96" t="s">
        <v>409</v>
      </c>
      <c r="D839" s="119" t="s">
        <v>850</v>
      </c>
    </row>
    <row r="840" spans="2:4" hidden="1">
      <c r="B840" s="118" t="s">
        <v>1453</v>
      </c>
      <c r="C840" s="96" t="s">
        <v>392</v>
      </c>
      <c r="D840" s="119" t="s">
        <v>846</v>
      </c>
    </row>
    <row r="841" spans="2:4" hidden="1">
      <c r="B841" s="118" t="s">
        <v>1453</v>
      </c>
      <c r="C841" s="96">
        <v>1.8</v>
      </c>
      <c r="D841" s="119" t="s">
        <v>843</v>
      </c>
    </row>
    <row r="842" spans="2:4" hidden="1">
      <c r="B842" s="118" t="s">
        <v>1453</v>
      </c>
      <c r="C842" s="96" t="s">
        <v>356</v>
      </c>
      <c r="D842" s="119" t="s">
        <v>839</v>
      </c>
    </row>
    <row r="843" spans="2:4" hidden="1">
      <c r="B843" s="118" t="s">
        <v>1453</v>
      </c>
      <c r="C843" s="96" t="s">
        <v>346</v>
      </c>
      <c r="D843" s="119" t="s">
        <v>834</v>
      </c>
    </row>
    <row r="844" spans="2:4" hidden="1">
      <c r="B844" s="118" t="s">
        <v>1453</v>
      </c>
      <c r="C844" s="96" t="s">
        <v>342</v>
      </c>
      <c r="D844" s="119" t="s">
        <v>830</v>
      </c>
    </row>
    <row r="845" spans="2:4" hidden="1">
      <c r="B845" s="118" t="s">
        <v>1453</v>
      </c>
      <c r="C845" s="96" t="s">
        <v>338</v>
      </c>
      <c r="D845" s="119" t="s">
        <v>826</v>
      </c>
    </row>
    <row r="846" spans="2:4" hidden="1">
      <c r="B846" s="118" t="s">
        <v>1453</v>
      </c>
      <c r="C846" s="96" t="s">
        <v>861</v>
      </c>
      <c r="D846" s="119" t="s">
        <v>822</v>
      </c>
    </row>
    <row r="847" spans="2:4" hidden="1">
      <c r="B847" s="118" t="s">
        <v>1453</v>
      </c>
      <c r="C847" s="96">
        <v>1.9</v>
      </c>
      <c r="D847" s="119" t="s">
        <v>820</v>
      </c>
    </row>
    <row r="848" spans="2:4" hidden="1">
      <c r="B848" s="118" t="s">
        <v>1453</v>
      </c>
      <c r="C848" s="96" t="s">
        <v>335</v>
      </c>
      <c r="D848" s="119" t="s">
        <v>810</v>
      </c>
    </row>
    <row r="849" spans="2:4" hidden="1">
      <c r="B849" s="118" t="s">
        <v>1453</v>
      </c>
      <c r="C849" s="96" t="s">
        <v>334</v>
      </c>
      <c r="D849" s="119" t="s">
        <v>807</v>
      </c>
    </row>
    <row r="850" spans="2:4" hidden="1">
      <c r="B850" s="118" t="s">
        <v>1453</v>
      </c>
      <c r="C850" s="96">
        <v>1.1000000000000001</v>
      </c>
      <c r="D850" s="119" t="s">
        <v>814</v>
      </c>
    </row>
    <row r="851" spans="2:4" hidden="1">
      <c r="B851" s="118" t="s">
        <v>1453</v>
      </c>
      <c r="C851" s="96" t="s">
        <v>329</v>
      </c>
      <c r="D851" s="119" t="s">
        <v>810</v>
      </c>
    </row>
    <row r="852" spans="2:4" hidden="1">
      <c r="B852" s="118" t="s">
        <v>1453</v>
      </c>
      <c r="C852" s="96" t="s">
        <v>835</v>
      </c>
      <c r="D852" s="119" t="s">
        <v>807</v>
      </c>
    </row>
    <row r="853" spans="2:4" hidden="1">
      <c r="B853" s="118" t="s">
        <v>1453</v>
      </c>
      <c r="C853" s="96">
        <v>1.1100000000000001</v>
      </c>
      <c r="D853" s="119" t="s">
        <v>805</v>
      </c>
    </row>
    <row r="854" spans="2:4" hidden="1">
      <c r="B854" s="118" t="s">
        <v>1453</v>
      </c>
      <c r="C854" s="96" t="s">
        <v>818</v>
      </c>
      <c r="D854" s="119" t="s">
        <v>802</v>
      </c>
    </row>
    <row r="855" spans="2:4" hidden="1">
      <c r="B855" s="118" t="s">
        <v>1453</v>
      </c>
      <c r="C855" s="96" t="s">
        <v>816</v>
      </c>
      <c r="D855" s="119" t="s">
        <v>799</v>
      </c>
    </row>
    <row r="856" spans="2:4" hidden="1">
      <c r="B856" s="118" t="s">
        <v>1453</v>
      </c>
      <c r="C856" s="96" t="s">
        <v>878</v>
      </c>
      <c r="D856" s="119" t="s">
        <v>795</v>
      </c>
    </row>
    <row r="857" spans="2:4" hidden="1">
      <c r="B857" s="118" t="s">
        <v>1453</v>
      </c>
      <c r="C857" s="96" t="s">
        <v>1021</v>
      </c>
      <c r="D857" s="119" t="s">
        <v>792</v>
      </c>
    </row>
    <row r="858" spans="2:4" hidden="1">
      <c r="B858" s="118" t="s">
        <v>1453</v>
      </c>
      <c r="C858" s="96" t="s">
        <v>1010</v>
      </c>
      <c r="D858" s="119" t="s">
        <v>789</v>
      </c>
    </row>
    <row r="859" spans="2:4" hidden="1">
      <c r="B859" s="118" t="s">
        <v>1453</v>
      </c>
      <c r="C859" s="96">
        <v>1.1200000000000001</v>
      </c>
      <c r="D859" s="119" t="s">
        <v>787</v>
      </c>
    </row>
    <row r="860" spans="2:4" hidden="1">
      <c r="B860" s="118" t="s">
        <v>1453</v>
      </c>
      <c r="C860" s="96" t="s">
        <v>811</v>
      </c>
      <c r="D860" s="119" t="s">
        <v>784</v>
      </c>
    </row>
    <row r="861" spans="2:4" hidden="1">
      <c r="B861" s="118" t="s">
        <v>1453</v>
      </c>
      <c r="C861" s="96" t="s">
        <v>808</v>
      </c>
      <c r="D861" s="119" t="s">
        <v>781</v>
      </c>
    </row>
    <row r="862" spans="2:4" hidden="1">
      <c r="B862" s="118" t="s">
        <v>1453</v>
      </c>
      <c r="C862" s="96" t="s">
        <v>893</v>
      </c>
      <c r="D862" s="119" t="s">
        <v>778</v>
      </c>
    </row>
    <row r="863" spans="2:4" hidden="1">
      <c r="B863" s="118" t="s">
        <v>1453</v>
      </c>
      <c r="C863" s="96">
        <v>1.1299999999999999</v>
      </c>
      <c r="D863" s="119" t="s">
        <v>776</v>
      </c>
    </row>
    <row r="864" spans="2:4" hidden="1">
      <c r="B864" s="118" t="s">
        <v>1452</v>
      </c>
      <c r="C864" s="96">
        <v>1</v>
      </c>
      <c r="D864" s="119" t="s">
        <v>1440</v>
      </c>
    </row>
    <row r="865" spans="2:4" hidden="1">
      <c r="B865" s="118" t="s">
        <v>1452</v>
      </c>
      <c r="C865" s="96">
        <v>1.1000000000000001</v>
      </c>
      <c r="D865" s="119" t="s">
        <v>21</v>
      </c>
    </row>
    <row r="866" spans="2:4" hidden="1">
      <c r="B866" s="118" t="s">
        <v>1452</v>
      </c>
      <c r="C866" s="96" t="s">
        <v>1422</v>
      </c>
      <c r="D866" s="119" t="s">
        <v>1425</v>
      </c>
    </row>
    <row r="867" spans="2:4" hidden="1">
      <c r="B867" s="118" t="s">
        <v>1452</v>
      </c>
      <c r="C867" s="96" t="s">
        <v>1415</v>
      </c>
      <c r="D867" s="119" t="s">
        <v>1417</v>
      </c>
    </row>
    <row r="868" spans="2:4" hidden="1">
      <c r="B868" s="118" t="s">
        <v>1452</v>
      </c>
      <c r="C868" s="96" t="s">
        <v>1408</v>
      </c>
      <c r="D868" s="119" t="s">
        <v>1410</v>
      </c>
    </row>
    <row r="869" spans="2:4" hidden="1">
      <c r="B869" s="118" t="s">
        <v>1452</v>
      </c>
      <c r="C869" s="96" t="s">
        <v>1402</v>
      </c>
      <c r="D869" s="119" t="s">
        <v>22</v>
      </c>
    </row>
    <row r="870" spans="2:4" hidden="1">
      <c r="B870" s="118" t="s">
        <v>1452</v>
      </c>
      <c r="C870" s="96" t="s">
        <v>1396</v>
      </c>
      <c r="D870" s="119" t="s">
        <v>1395</v>
      </c>
    </row>
    <row r="871" spans="2:4" hidden="1">
      <c r="B871" s="118" t="s">
        <v>1452</v>
      </c>
      <c r="C871" s="96" t="s">
        <v>1389</v>
      </c>
      <c r="D871" s="119" t="s">
        <v>1388</v>
      </c>
    </row>
    <row r="872" spans="2:4" hidden="1">
      <c r="B872" s="118" t="s">
        <v>1452</v>
      </c>
      <c r="C872" s="96" t="s">
        <v>1379</v>
      </c>
      <c r="D872" s="119" t="s">
        <v>1378</v>
      </c>
    </row>
    <row r="873" spans="2:4" hidden="1">
      <c r="B873" s="118" t="s">
        <v>1452</v>
      </c>
      <c r="C873" s="96" t="s">
        <v>1369</v>
      </c>
      <c r="D873" s="119" t="s">
        <v>1368</v>
      </c>
    </row>
    <row r="874" spans="2:4" hidden="1">
      <c r="B874" s="118" t="s">
        <v>1452</v>
      </c>
      <c r="C874" s="96" t="s">
        <v>1295</v>
      </c>
      <c r="D874" s="119" t="s">
        <v>1360</v>
      </c>
    </row>
    <row r="875" spans="2:4" hidden="1">
      <c r="B875" s="118" t="s">
        <v>1452</v>
      </c>
      <c r="C875" s="96" t="s">
        <v>1286</v>
      </c>
      <c r="D875" s="119" t="s">
        <v>1349</v>
      </c>
    </row>
    <row r="876" spans="2:4" hidden="1">
      <c r="B876" s="118" t="s">
        <v>1452</v>
      </c>
      <c r="C876" s="96" t="s">
        <v>1276</v>
      </c>
      <c r="D876" s="119" t="s">
        <v>1340</v>
      </c>
    </row>
    <row r="877" spans="2:4" hidden="1">
      <c r="B877" s="118" t="s">
        <v>1452</v>
      </c>
      <c r="C877" s="96" t="s">
        <v>1268</v>
      </c>
      <c r="D877" s="119" t="s">
        <v>1331</v>
      </c>
    </row>
    <row r="878" spans="2:4" hidden="1">
      <c r="B878" s="118" t="s">
        <v>1452</v>
      </c>
      <c r="C878" s="96" t="s">
        <v>1260</v>
      </c>
      <c r="D878" s="119" t="s">
        <v>1324</v>
      </c>
    </row>
    <row r="879" spans="2:4" hidden="1">
      <c r="B879" s="118" t="s">
        <v>1452</v>
      </c>
      <c r="C879" s="96" t="s">
        <v>1250</v>
      </c>
      <c r="D879" s="119" t="s">
        <v>1316</v>
      </c>
    </row>
    <row r="880" spans="2:4" hidden="1">
      <c r="B880" s="118" t="s">
        <v>1452</v>
      </c>
      <c r="C880" s="96" t="s">
        <v>1243</v>
      </c>
      <c r="D880" s="119" t="s">
        <v>1303</v>
      </c>
    </row>
    <row r="881" spans="2:4" hidden="1">
      <c r="B881" s="118" t="s">
        <v>1452</v>
      </c>
      <c r="C881" s="96" t="s">
        <v>1299</v>
      </c>
      <c r="D881" s="119" t="s">
        <v>1296</v>
      </c>
    </row>
    <row r="882" spans="2:4" hidden="1">
      <c r="B882" s="118" t="s">
        <v>1452</v>
      </c>
      <c r="C882" s="96" t="s">
        <v>1290</v>
      </c>
      <c r="D882" s="119" t="s">
        <v>23</v>
      </c>
    </row>
    <row r="883" spans="2:4" hidden="1">
      <c r="B883" s="118" t="s">
        <v>1452</v>
      </c>
      <c r="C883" s="96" t="s">
        <v>1281</v>
      </c>
      <c r="D883" s="119" t="s">
        <v>1277</v>
      </c>
    </row>
    <row r="884" spans="2:4" hidden="1">
      <c r="B884" s="118" t="s">
        <v>1452</v>
      </c>
      <c r="C884" s="96" t="s">
        <v>1273</v>
      </c>
      <c r="D884" s="119" t="s">
        <v>1272</v>
      </c>
    </row>
    <row r="885" spans="2:4" hidden="1">
      <c r="B885" s="118" t="s">
        <v>1452</v>
      </c>
      <c r="C885" s="96" t="s">
        <v>1264</v>
      </c>
      <c r="D885" s="119" t="s">
        <v>1263</v>
      </c>
    </row>
    <row r="886" spans="2:4" hidden="1">
      <c r="B886" s="118" t="s">
        <v>1452</v>
      </c>
      <c r="C886" s="96" t="s">
        <v>1256</v>
      </c>
      <c r="D886" s="119" t="s">
        <v>1255</v>
      </c>
    </row>
    <row r="887" spans="2:4" hidden="1">
      <c r="B887" s="118" t="s">
        <v>1452</v>
      </c>
      <c r="C887" s="96" t="s">
        <v>1234</v>
      </c>
      <c r="D887" s="119" t="s">
        <v>1244</v>
      </c>
    </row>
    <row r="888" spans="2:4" hidden="1">
      <c r="B888" s="118" t="s">
        <v>1452</v>
      </c>
      <c r="C888" s="96" t="s">
        <v>1226</v>
      </c>
      <c r="D888" s="119" t="s">
        <v>1238</v>
      </c>
    </row>
    <row r="889" spans="2:4" hidden="1">
      <c r="B889" s="118" t="s">
        <v>1452</v>
      </c>
      <c r="C889" s="96" t="s">
        <v>1220</v>
      </c>
      <c r="D889" s="119" t="s">
        <v>1227</v>
      </c>
    </row>
    <row r="890" spans="2:4" hidden="1">
      <c r="B890" s="118" t="s">
        <v>1452</v>
      </c>
      <c r="C890" s="96" t="s">
        <v>1214</v>
      </c>
      <c r="D890" s="119" t="s">
        <v>1221</v>
      </c>
    </row>
    <row r="891" spans="2:4" hidden="1">
      <c r="B891" s="118" t="s">
        <v>1452</v>
      </c>
      <c r="C891" s="96" t="s">
        <v>1207</v>
      </c>
      <c r="D891" s="119" t="s">
        <v>1173</v>
      </c>
    </row>
    <row r="892" spans="2:4" hidden="1">
      <c r="B892" s="118" t="s">
        <v>1452</v>
      </c>
      <c r="C892" s="96" t="s">
        <v>1198</v>
      </c>
      <c r="D892" s="119" t="s">
        <v>1166</v>
      </c>
    </row>
    <row r="893" spans="2:4" hidden="1">
      <c r="B893" s="118" t="s">
        <v>1452</v>
      </c>
      <c r="C893" s="96" t="s">
        <v>1200</v>
      </c>
      <c r="D893" s="119" t="s">
        <v>1157</v>
      </c>
    </row>
    <row r="894" spans="2:4" hidden="1">
      <c r="B894" s="118" t="s">
        <v>1452</v>
      </c>
      <c r="C894" s="96" t="s">
        <v>1191</v>
      </c>
      <c r="D894" s="119" t="s">
        <v>1195</v>
      </c>
    </row>
    <row r="895" spans="2:4" hidden="1">
      <c r="B895" s="118" t="s">
        <v>1452</v>
      </c>
      <c r="C895" s="96" t="s">
        <v>1183</v>
      </c>
      <c r="D895" s="119" t="s">
        <v>937</v>
      </c>
    </row>
    <row r="896" spans="2:4" hidden="1">
      <c r="B896" s="118" t="s">
        <v>1452</v>
      </c>
      <c r="C896" s="96" t="s">
        <v>1174</v>
      </c>
      <c r="D896" s="119" t="s">
        <v>1149</v>
      </c>
    </row>
    <row r="897" spans="2:4" hidden="1">
      <c r="B897" s="118" t="s">
        <v>1452</v>
      </c>
      <c r="C897" s="96" t="s">
        <v>1167</v>
      </c>
      <c r="D897" s="119" t="s">
        <v>1143</v>
      </c>
    </row>
    <row r="898" spans="2:4" hidden="1">
      <c r="B898" s="118" t="s">
        <v>1452</v>
      </c>
      <c r="C898" s="96" t="s">
        <v>1137</v>
      </c>
      <c r="D898" s="119" t="s">
        <v>903</v>
      </c>
    </row>
    <row r="899" spans="2:4" hidden="1">
      <c r="B899" s="118" t="s">
        <v>1452</v>
      </c>
      <c r="C899" s="96" t="s">
        <v>1131</v>
      </c>
      <c r="D899" s="119" t="s">
        <v>960</v>
      </c>
    </row>
    <row r="900" spans="2:4" hidden="1">
      <c r="B900" s="118" t="s">
        <v>1452</v>
      </c>
      <c r="C900" s="96" t="s">
        <v>1094</v>
      </c>
      <c r="D900" s="119" t="s">
        <v>956</v>
      </c>
    </row>
    <row r="901" spans="2:4" hidden="1">
      <c r="B901" s="118" t="s">
        <v>1452</v>
      </c>
      <c r="C901" s="96">
        <v>1.2</v>
      </c>
      <c r="D901" s="119" t="s">
        <v>1054</v>
      </c>
    </row>
    <row r="902" spans="2:4" hidden="1">
      <c r="B902" s="118" t="s">
        <v>1452</v>
      </c>
      <c r="C902" s="96" t="s">
        <v>948</v>
      </c>
      <c r="D902" s="119" t="s">
        <v>1047</v>
      </c>
    </row>
    <row r="903" spans="2:4" hidden="1">
      <c r="B903" s="118" t="s">
        <v>1452</v>
      </c>
      <c r="C903" s="96" t="s">
        <v>943</v>
      </c>
      <c r="D903" s="119" t="s">
        <v>1126</v>
      </c>
    </row>
    <row r="904" spans="2:4" hidden="1">
      <c r="B904" s="118" t="s">
        <v>1452</v>
      </c>
      <c r="C904" s="96" t="s">
        <v>813</v>
      </c>
      <c r="D904" s="119" t="s">
        <v>1117</v>
      </c>
    </row>
    <row r="905" spans="2:4" hidden="1">
      <c r="B905" s="118" t="s">
        <v>1452</v>
      </c>
      <c r="C905" s="96" t="s">
        <v>798</v>
      </c>
      <c r="D905" s="119" t="s">
        <v>1110</v>
      </c>
    </row>
    <row r="906" spans="2:4" hidden="1">
      <c r="B906" s="118" t="s">
        <v>1452</v>
      </c>
      <c r="C906" s="96" t="s">
        <v>626</v>
      </c>
      <c r="D906" s="119" t="s">
        <v>1102</v>
      </c>
    </row>
    <row r="907" spans="2:4" hidden="1">
      <c r="B907" s="118" t="s">
        <v>1452</v>
      </c>
      <c r="C907" s="96" t="s">
        <v>624</v>
      </c>
      <c r="D907" s="119" t="s">
        <v>1013</v>
      </c>
    </row>
    <row r="908" spans="2:4" hidden="1">
      <c r="B908" s="118" t="s">
        <v>1452</v>
      </c>
      <c r="C908" s="96" t="s">
        <v>622</v>
      </c>
      <c r="D908" s="119" t="s">
        <v>1092</v>
      </c>
    </row>
    <row r="909" spans="2:4" hidden="1">
      <c r="B909" s="118" t="s">
        <v>1452</v>
      </c>
      <c r="C909" s="96">
        <v>1.3</v>
      </c>
      <c r="D909" s="119" t="s">
        <v>1086</v>
      </c>
    </row>
    <row r="910" spans="2:4" hidden="1">
      <c r="B910" s="118" t="s">
        <v>1452</v>
      </c>
      <c r="C910" s="96" t="s">
        <v>613</v>
      </c>
      <c r="D910" s="119" t="s">
        <v>1079</v>
      </c>
    </row>
    <row r="911" spans="2:4" hidden="1">
      <c r="B911" s="118" t="s">
        <v>1452</v>
      </c>
      <c r="C911" s="96" t="s">
        <v>608</v>
      </c>
      <c r="D911" s="119" t="s">
        <v>1070</v>
      </c>
    </row>
    <row r="912" spans="2:4" hidden="1">
      <c r="B912" s="118" t="s">
        <v>1452</v>
      </c>
      <c r="C912" s="96" t="s">
        <v>918</v>
      </c>
      <c r="D912" s="119" t="s">
        <v>1060</v>
      </c>
    </row>
    <row r="913" spans="2:4" hidden="1">
      <c r="B913" s="118" t="s">
        <v>1452</v>
      </c>
      <c r="C913" s="96" t="s">
        <v>913</v>
      </c>
      <c r="D913" s="119" t="s">
        <v>1029</v>
      </c>
    </row>
    <row r="914" spans="2:4" hidden="1">
      <c r="B914" s="118" t="s">
        <v>1452</v>
      </c>
      <c r="C914" s="96" t="s">
        <v>908</v>
      </c>
      <c r="D914" s="119" t="s">
        <v>1044</v>
      </c>
    </row>
    <row r="915" spans="2:4" hidden="1">
      <c r="B915" s="118" t="s">
        <v>1452</v>
      </c>
      <c r="C915" s="96" t="s">
        <v>904</v>
      </c>
      <c r="D915" s="119" t="s">
        <v>1037</v>
      </c>
    </row>
    <row r="916" spans="2:4" hidden="1">
      <c r="B916" s="118" t="s">
        <v>1452</v>
      </c>
      <c r="C916" s="96" t="s">
        <v>900</v>
      </c>
      <c r="D916" s="119" t="s">
        <v>1030</v>
      </c>
    </row>
    <row r="917" spans="2:4" hidden="1">
      <c r="B917" s="118" t="s">
        <v>1452</v>
      </c>
      <c r="C917" s="96">
        <v>1.4</v>
      </c>
      <c r="D917" s="119" t="s">
        <v>1020</v>
      </c>
    </row>
    <row r="918" spans="2:4" hidden="1">
      <c r="B918" s="118" t="s">
        <v>1452</v>
      </c>
      <c r="C918" s="96">
        <v>1.5</v>
      </c>
      <c r="D918" s="119" t="s">
        <v>1009</v>
      </c>
    </row>
    <row r="919" spans="2:4" hidden="1">
      <c r="B919" s="118" t="s">
        <v>1452</v>
      </c>
      <c r="C919" s="96">
        <v>1.6</v>
      </c>
      <c r="D919" s="119" t="s">
        <v>880</v>
      </c>
    </row>
    <row r="920" spans="2:4" hidden="1">
      <c r="B920" s="118" t="s">
        <v>1452</v>
      </c>
      <c r="C920" s="96">
        <v>1.7</v>
      </c>
      <c r="D920" s="119" t="s">
        <v>349</v>
      </c>
    </row>
    <row r="921" spans="2:4" hidden="1">
      <c r="B921" s="118" t="s">
        <v>1452</v>
      </c>
      <c r="C921" s="96">
        <v>1.8</v>
      </c>
      <c r="D921" s="119" t="s">
        <v>876</v>
      </c>
    </row>
    <row r="922" spans="2:4" hidden="1">
      <c r="B922" s="118" t="s">
        <v>1452</v>
      </c>
      <c r="C922" s="96" t="s">
        <v>356</v>
      </c>
      <c r="D922" s="119" t="s">
        <v>873</v>
      </c>
    </row>
    <row r="923" spans="2:4" hidden="1">
      <c r="B923" s="118" t="s">
        <v>1452</v>
      </c>
      <c r="C923" s="96" t="s">
        <v>346</v>
      </c>
      <c r="D923" s="119" t="s">
        <v>871</v>
      </c>
    </row>
    <row r="924" spans="2:4" hidden="1">
      <c r="B924" s="118" t="s">
        <v>1452</v>
      </c>
      <c r="C924" s="96" t="s">
        <v>342</v>
      </c>
      <c r="D924" s="119" t="s">
        <v>934</v>
      </c>
    </row>
    <row r="925" spans="2:4" hidden="1">
      <c r="B925" s="118" t="s">
        <v>1452</v>
      </c>
      <c r="C925" s="96" t="s">
        <v>338</v>
      </c>
      <c r="D925" s="119" t="s">
        <v>865</v>
      </c>
    </row>
    <row r="926" spans="2:4" hidden="1">
      <c r="B926" s="118" t="s">
        <v>1452</v>
      </c>
      <c r="C926" s="96" t="s">
        <v>861</v>
      </c>
      <c r="D926" s="119" t="s">
        <v>860</v>
      </c>
    </row>
    <row r="927" spans="2:4" hidden="1">
      <c r="B927" s="118" t="s">
        <v>1452</v>
      </c>
      <c r="C927" s="96">
        <v>1.9</v>
      </c>
      <c r="D927" s="119" t="s">
        <v>856</v>
      </c>
    </row>
    <row r="928" spans="2:4" hidden="1">
      <c r="B928" s="118" t="s">
        <v>1452</v>
      </c>
      <c r="C928" s="96" t="s">
        <v>335</v>
      </c>
      <c r="D928" s="119" t="s">
        <v>853</v>
      </c>
    </row>
    <row r="929" spans="2:4" hidden="1">
      <c r="B929" s="118" t="s">
        <v>1452</v>
      </c>
      <c r="C929" s="96" t="s">
        <v>334</v>
      </c>
      <c r="D929" s="119" t="s">
        <v>850</v>
      </c>
    </row>
    <row r="930" spans="2:4" hidden="1">
      <c r="B930" s="118" t="s">
        <v>1452</v>
      </c>
      <c r="C930" s="96" t="s">
        <v>332</v>
      </c>
      <c r="D930" s="119" t="s">
        <v>846</v>
      </c>
    </row>
    <row r="931" spans="2:4" hidden="1">
      <c r="B931" s="118" t="s">
        <v>1452</v>
      </c>
      <c r="C931" s="96">
        <v>1.1000000000000001</v>
      </c>
      <c r="D931" s="119" t="s">
        <v>843</v>
      </c>
    </row>
    <row r="932" spans="2:4" hidden="1">
      <c r="B932" s="118" t="s">
        <v>1452</v>
      </c>
      <c r="C932" s="96" t="s">
        <v>329</v>
      </c>
      <c r="D932" s="119" t="s">
        <v>839</v>
      </c>
    </row>
    <row r="933" spans="2:4" hidden="1">
      <c r="B933" s="118" t="s">
        <v>1452</v>
      </c>
      <c r="C933" s="96" t="s">
        <v>835</v>
      </c>
      <c r="D933" s="119" t="s">
        <v>834</v>
      </c>
    </row>
    <row r="934" spans="2:4" hidden="1">
      <c r="B934" s="118" t="s">
        <v>1452</v>
      </c>
      <c r="C934" s="96" t="s">
        <v>831</v>
      </c>
      <c r="D934" s="119" t="s">
        <v>830</v>
      </c>
    </row>
    <row r="935" spans="2:4" hidden="1">
      <c r="B935" s="118" t="s">
        <v>1452</v>
      </c>
      <c r="C935" s="96" t="s">
        <v>827</v>
      </c>
      <c r="D935" s="119" t="s">
        <v>826</v>
      </c>
    </row>
    <row r="936" spans="2:4" hidden="1">
      <c r="B936" s="118" t="s">
        <v>1452</v>
      </c>
      <c r="C936" s="96" t="s">
        <v>823</v>
      </c>
      <c r="D936" s="119" t="s">
        <v>822</v>
      </c>
    </row>
    <row r="937" spans="2:4" hidden="1">
      <c r="B937" s="118" t="s">
        <v>1452</v>
      </c>
      <c r="C937" s="96">
        <v>1.1100000000000001</v>
      </c>
      <c r="D937" s="119" t="s">
        <v>820</v>
      </c>
    </row>
    <row r="938" spans="2:4" hidden="1">
      <c r="B938" s="118" t="s">
        <v>1452</v>
      </c>
      <c r="C938" s="96" t="s">
        <v>818</v>
      </c>
      <c r="D938" s="119" t="s">
        <v>810</v>
      </c>
    </row>
    <row r="939" spans="2:4" hidden="1">
      <c r="B939" s="118" t="s">
        <v>1452</v>
      </c>
      <c r="C939" s="96" t="s">
        <v>816</v>
      </c>
      <c r="D939" s="119" t="s">
        <v>807</v>
      </c>
    </row>
    <row r="940" spans="2:4" hidden="1">
      <c r="B940" s="118" t="s">
        <v>1452</v>
      </c>
      <c r="C940" s="96">
        <v>1.1200000000000001</v>
      </c>
      <c r="D940" s="119" t="s">
        <v>814</v>
      </c>
    </row>
    <row r="941" spans="2:4" hidden="1">
      <c r="B941" s="118" t="s">
        <v>1452</v>
      </c>
      <c r="C941" s="96" t="s">
        <v>811</v>
      </c>
      <c r="D941" s="119" t="s">
        <v>810</v>
      </c>
    </row>
    <row r="942" spans="2:4" hidden="1">
      <c r="B942" s="118" t="s">
        <v>1452</v>
      </c>
      <c r="C942" s="96" t="s">
        <v>808</v>
      </c>
      <c r="D942" s="119" t="s">
        <v>807</v>
      </c>
    </row>
    <row r="943" spans="2:4" hidden="1">
      <c r="B943" s="118" t="s">
        <v>1452</v>
      </c>
      <c r="C943" s="96">
        <v>1.1299999999999999</v>
      </c>
      <c r="D943" s="119" t="s">
        <v>805</v>
      </c>
    </row>
    <row r="944" spans="2:4" hidden="1">
      <c r="B944" s="118" t="s">
        <v>1452</v>
      </c>
      <c r="C944" s="96" t="s">
        <v>803</v>
      </c>
      <c r="D944" s="119" t="s">
        <v>802</v>
      </c>
    </row>
    <row r="945" spans="2:4" hidden="1">
      <c r="B945" s="118" t="s">
        <v>1452</v>
      </c>
      <c r="C945" s="96" t="s">
        <v>800</v>
      </c>
      <c r="D945" s="119" t="s">
        <v>799</v>
      </c>
    </row>
    <row r="946" spans="2:4" hidden="1">
      <c r="B946" s="118" t="s">
        <v>1452</v>
      </c>
      <c r="C946" s="96" t="s">
        <v>796</v>
      </c>
      <c r="D946" s="119" t="s">
        <v>795</v>
      </c>
    </row>
    <row r="947" spans="2:4" hidden="1">
      <c r="B947" s="118" t="s">
        <v>1452</v>
      </c>
      <c r="C947" s="96" t="s">
        <v>793</v>
      </c>
      <c r="D947" s="119" t="s">
        <v>792</v>
      </c>
    </row>
    <row r="948" spans="2:4" hidden="1">
      <c r="B948" s="118" t="s">
        <v>1452</v>
      </c>
      <c r="C948" s="96" t="s">
        <v>790</v>
      </c>
      <c r="D948" s="119" t="s">
        <v>789</v>
      </c>
    </row>
    <row r="949" spans="2:4" hidden="1">
      <c r="B949" s="118" t="s">
        <v>1452</v>
      </c>
      <c r="C949" s="96">
        <v>1.1399999999999999</v>
      </c>
      <c r="D949" s="119" t="s">
        <v>787</v>
      </c>
    </row>
    <row r="950" spans="2:4" hidden="1">
      <c r="B950" s="118" t="s">
        <v>1452</v>
      </c>
      <c r="C950" s="96" t="s">
        <v>785</v>
      </c>
      <c r="D950" s="119" t="s">
        <v>784</v>
      </c>
    </row>
    <row r="951" spans="2:4" hidden="1">
      <c r="B951" s="118" t="s">
        <v>1452</v>
      </c>
      <c r="C951" s="96" t="s">
        <v>782</v>
      </c>
      <c r="D951" s="119" t="s">
        <v>781</v>
      </c>
    </row>
    <row r="952" spans="2:4" hidden="1">
      <c r="B952" s="118" t="s">
        <v>1452</v>
      </c>
      <c r="C952" s="96" t="s">
        <v>779</v>
      </c>
      <c r="D952" s="119" t="s">
        <v>778</v>
      </c>
    </row>
    <row r="953" spans="2:4" hidden="1">
      <c r="B953" s="118" t="s">
        <v>1452</v>
      </c>
      <c r="C953" s="96">
        <v>1.1499999999999999</v>
      </c>
      <c r="D953" s="119" t="s">
        <v>776</v>
      </c>
    </row>
    <row r="954" spans="2:4" hidden="1">
      <c r="B954" s="118" t="s">
        <v>1451</v>
      </c>
      <c r="C954" s="96">
        <v>1</v>
      </c>
      <c r="D954" s="119" t="s">
        <v>1439</v>
      </c>
    </row>
    <row r="955" spans="2:4" hidden="1">
      <c r="B955" s="118" t="s">
        <v>1451</v>
      </c>
      <c r="C955" s="96">
        <v>1.1000000000000001</v>
      </c>
      <c r="D955" s="119" t="s">
        <v>1431</v>
      </c>
    </row>
    <row r="956" spans="2:4" hidden="1">
      <c r="B956" s="118" t="s">
        <v>1451</v>
      </c>
      <c r="C956" s="96" t="s">
        <v>1422</v>
      </c>
      <c r="D956" s="119" t="s">
        <v>1424</v>
      </c>
    </row>
    <row r="957" spans="2:4" hidden="1">
      <c r="B957" s="118" t="s">
        <v>1451</v>
      </c>
      <c r="C957" s="96" t="s">
        <v>1369</v>
      </c>
      <c r="D957" s="119" t="s">
        <v>1368</v>
      </c>
    </row>
    <row r="958" spans="2:4" hidden="1">
      <c r="B958" s="118" t="s">
        <v>1451</v>
      </c>
      <c r="C958" s="96" t="s">
        <v>1295</v>
      </c>
      <c r="D958" s="119" t="s">
        <v>1409</v>
      </c>
    </row>
    <row r="959" spans="2:4" hidden="1">
      <c r="B959" s="118" t="s">
        <v>1451</v>
      </c>
      <c r="C959" s="96" t="s">
        <v>1234</v>
      </c>
      <c r="D959" s="119" t="s">
        <v>747</v>
      </c>
    </row>
    <row r="960" spans="2:4" hidden="1">
      <c r="B960" s="118" t="s">
        <v>1451</v>
      </c>
      <c r="C960" s="96" t="s">
        <v>1137</v>
      </c>
      <c r="D960" s="119" t="s">
        <v>1394</v>
      </c>
    </row>
    <row r="961" spans="2:4" hidden="1">
      <c r="B961" s="118" t="s">
        <v>1451</v>
      </c>
      <c r="C961" s="96" t="s">
        <v>1181</v>
      </c>
      <c r="D961" s="119" t="s">
        <v>1387</v>
      </c>
    </row>
    <row r="962" spans="2:4" hidden="1">
      <c r="B962" s="118" t="s">
        <v>1451</v>
      </c>
      <c r="C962" s="96" t="s">
        <v>1172</v>
      </c>
      <c r="D962" s="119" t="s">
        <v>1377</v>
      </c>
    </row>
    <row r="963" spans="2:4" hidden="1">
      <c r="B963" s="118" t="s">
        <v>1451</v>
      </c>
      <c r="C963" s="96" t="s">
        <v>1165</v>
      </c>
      <c r="D963" s="119" t="s">
        <v>1189</v>
      </c>
    </row>
    <row r="964" spans="2:4" hidden="1">
      <c r="B964" s="118" t="s">
        <v>1451</v>
      </c>
      <c r="C964" s="96" t="s">
        <v>1156</v>
      </c>
      <c r="D964" s="119" t="s">
        <v>1359</v>
      </c>
    </row>
    <row r="965" spans="2:4" hidden="1">
      <c r="B965" s="118" t="s">
        <v>1451</v>
      </c>
      <c r="C965" s="96" t="s">
        <v>1348</v>
      </c>
      <c r="D965" s="119" t="s">
        <v>1347</v>
      </c>
    </row>
    <row r="966" spans="2:4" hidden="1">
      <c r="B966" s="118" t="s">
        <v>1451</v>
      </c>
      <c r="C966" s="96" t="s">
        <v>1339</v>
      </c>
      <c r="D966" s="119" t="s">
        <v>1338</v>
      </c>
    </row>
    <row r="967" spans="2:4" hidden="1">
      <c r="B967" s="118" t="s">
        <v>1451</v>
      </c>
      <c r="C967" s="96" t="s">
        <v>1330</v>
      </c>
      <c r="D967" s="119" t="s">
        <v>937</v>
      </c>
    </row>
    <row r="968" spans="2:4" hidden="1">
      <c r="B968" s="118" t="s">
        <v>1451</v>
      </c>
      <c r="C968" s="96" t="s">
        <v>1323</v>
      </c>
      <c r="D968" s="119" t="s">
        <v>1322</v>
      </c>
    </row>
    <row r="969" spans="2:4" hidden="1">
      <c r="B969" s="118" t="s">
        <v>1451</v>
      </c>
      <c r="C969" s="96" t="s">
        <v>1315</v>
      </c>
      <c r="D969" s="119" t="s">
        <v>1314</v>
      </c>
    </row>
    <row r="970" spans="2:4" hidden="1">
      <c r="B970" s="118" t="s">
        <v>1451</v>
      </c>
      <c r="C970" s="96" t="s">
        <v>1131</v>
      </c>
      <c r="D970" s="119" t="s">
        <v>1306</v>
      </c>
    </row>
    <row r="971" spans="2:4" hidden="1">
      <c r="B971" s="118" t="s">
        <v>1451</v>
      </c>
      <c r="C971" s="96" t="s">
        <v>1094</v>
      </c>
      <c r="D971" s="119" t="s">
        <v>1298</v>
      </c>
    </row>
    <row r="972" spans="2:4" hidden="1">
      <c r="B972" s="118" t="s">
        <v>1451</v>
      </c>
      <c r="C972" s="96" t="s">
        <v>1055</v>
      </c>
      <c r="D972" s="119" t="s">
        <v>1289</v>
      </c>
    </row>
    <row r="973" spans="2:4" hidden="1">
      <c r="B973" s="118" t="s">
        <v>1451</v>
      </c>
      <c r="C973" s="96" t="s">
        <v>1048</v>
      </c>
      <c r="D973" s="119" t="s">
        <v>1280</v>
      </c>
    </row>
    <row r="974" spans="2:4" hidden="1">
      <c r="B974" s="118" t="s">
        <v>1451</v>
      </c>
      <c r="C974" s="96" t="s">
        <v>1040</v>
      </c>
      <c r="D974" s="119" t="s">
        <v>1271</v>
      </c>
    </row>
    <row r="975" spans="2:4" hidden="1">
      <c r="B975" s="118" t="s">
        <v>1451</v>
      </c>
      <c r="C975" s="96" t="s">
        <v>1033</v>
      </c>
      <c r="D975" s="119" t="s">
        <v>1262</v>
      </c>
    </row>
    <row r="976" spans="2:4" hidden="1">
      <c r="B976" s="118" t="s">
        <v>1451</v>
      </c>
      <c r="C976" s="96" t="s">
        <v>1024</v>
      </c>
      <c r="D976" s="119" t="s">
        <v>1254</v>
      </c>
    </row>
    <row r="977" spans="2:4" hidden="1">
      <c r="B977" s="118" t="s">
        <v>1451</v>
      </c>
      <c r="C977" s="96" t="s">
        <v>1014</v>
      </c>
      <c r="D977" s="119" t="s">
        <v>1246</v>
      </c>
    </row>
    <row r="978" spans="2:4" hidden="1">
      <c r="B978" s="118" t="s">
        <v>1451</v>
      </c>
      <c r="C978" s="96" t="s">
        <v>1005</v>
      </c>
      <c r="D978" s="119" t="s">
        <v>1237</v>
      </c>
    </row>
    <row r="979" spans="2:4" hidden="1">
      <c r="B979" s="118" t="s">
        <v>1451</v>
      </c>
      <c r="C979" s="96" t="s">
        <v>1230</v>
      </c>
      <c r="D979" s="119" t="s">
        <v>1229</v>
      </c>
    </row>
    <row r="980" spans="2:4" hidden="1">
      <c r="B980" s="118" t="s">
        <v>1451</v>
      </c>
      <c r="C980" s="96" t="s">
        <v>998</v>
      </c>
      <c r="D980" s="119" t="s">
        <v>1223</v>
      </c>
    </row>
    <row r="981" spans="2:4" hidden="1">
      <c r="B981" s="118" t="s">
        <v>1451</v>
      </c>
      <c r="C981" s="96" t="s">
        <v>1217</v>
      </c>
      <c r="D981" s="119" t="s">
        <v>1216</v>
      </c>
    </row>
    <row r="982" spans="2:4" hidden="1">
      <c r="B982" s="118" t="s">
        <v>1451</v>
      </c>
      <c r="C982" s="96" t="s">
        <v>1211</v>
      </c>
      <c r="D982" s="119" t="s">
        <v>1210</v>
      </c>
    </row>
    <row r="983" spans="2:4" hidden="1">
      <c r="B983" s="118" t="s">
        <v>1451</v>
      </c>
      <c r="C983" s="96" t="s">
        <v>1203</v>
      </c>
      <c r="D983" s="119" t="s">
        <v>1202</v>
      </c>
    </row>
    <row r="984" spans="2:4" hidden="1">
      <c r="B984" s="118" t="s">
        <v>1451</v>
      </c>
      <c r="C984" s="96" t="s">
        <v>1194</v>
      </c>
      <c r="D984" s="119" t="s">
        <v>1193</v>
      </c>
    </row>
    <row r="985" spans="2:4" hidden="1">
      <c r="B985" s="118" t="s">
        <v>1451</v>
      </c>
      <c r="C985" s="96" t="s">
        <v>1186</v>
      </c>
      <c r="D985" s="119" t="s">
        <v>1185</v>
      </c>
    </row>
    <row r="986" spans="2:4" hidden="1">
      <c r="B986" s="118" t="s">
        <v>1451</v>
      </c>
      <c r="C986" s="96" t="s">
        <v>1177</v>
      </c>
      <c r="D986" s="119" t="s">
        <v>1176</v>
      </c>
    </row>
    <row r="987" spans="2:4" hidden="1">
      <c r="B987" s="118" t="s">
        <v>1451</v>
      </c>
      <c r="C987" s="96" t="s">
        <v>1169</v>
      </c>
      <c r="D987" s="119" t="s">
        <v>1168</v>
      </c>
    </row>
    <row r="988" spans="2:4" hidden="1">
      <c r="B988" s="118" t="s">
        <v>1451</v>
      </c>
      <c r="C988" s="96" t="s">
        <v>1161</v>
      </c>
      <c r="D988" s="119" t="s">
        <v>1160</v>
      </c>
    </row>
    <row r="989" spans="2:4" hidden="1">
      <c r="B989" s="118" t="s">
        <v>1451</v>
      </c>
      <c r="C989" s="96" t="s">
        <v>992</v>
      </c>
      <c r="D989" s="119" t="s">
        <v>1152</v>
      </c>
    </row>
    <row r="990" spans="2:4" hidden="1">
      <c r="B990" s="118" t="s">
        <v>1451</v>
      </c>
      <c r="C990" s="96" t="s">
        <v>985</v>
      </c>
      <c r="D990" s="119" t="s">
        <v>1146</v>
      </c>
    </row>
    <row r="991" spans="2:4" hidden="1">
      <c r="B991" s="118" t="s">
        <v>1451</v>
      </c>
      <c r="C991" s="96">
        <v>1.2</v>
      </c>
      <c r="D991" s="119" t="s">
        <v>1139</v>
      </c>
    </row>
    <row r="992" spans="2:4" hidden="1">
      <c r="B992" s="118" t="s">
        <v>1451</v>
      </c>
      <c r="C992" s="96" t="s">
        <v>948</v>
      </c>
      <c r="D992" s="119" t="s">
        <v>1047</v>
      </c>
    </row>
    <row r="993" spans="2:4" hidden="1">
      <c r="B993" s="118" t="s">
        <v>1451</v>
      </c>
      <c r="C993" s="96" t="s">
        <v>943</v>
      </c>
      <c r="D993" s="119" t="s">
        <v>1125</v>
      </c>
    </row>
    <row r="994" spans="2:4" hidden="1">
      <c r="B994" s="118" t="s">
        <v>1451</v>
      </c>
      <c r="C994" s="96" t="s">
        <v>813</v>
      </c>
      <c r="D994" s="119" t="s">
        <v>1116</v>
      </c>
    </row>
    <row r="995" spans="2:4" hidden="1">
      <c r="B995" s="118" t="s">
        <v>1451</v>
      </c>
      <c r="C995" s="96" t="s">
        <v>798</v>
      </c>
      <c r="D995" s="119" t="s">
        <v>1109</v>
      </c>
    </row>
    <row r="996" spans="2:4" hidden="1">
      <c r="B996" s="118" t="s">
        <v>1451</v>
      </c>
      <c r="C996" s="96" t="s">
        <v>626</v>
      </c>
      <c r="D996" s="119" t="s">
        <v>1101</v>
      </c>
    </row>
    <row r="997" spans="2:4" hidden="1">
      <c r="B997" s="118" t="s">
        <v>1451</v>
      </c>
      <c r="C997" s="96" t="s">
        <v>622</v>
      </c>
      <c r="D997" s="119" t="s">
        <v>1013</v>
      </c>
    </row>
    <row r="998" spans="2:4" hidden="1">
      <c r="B998" s="118" t="s">
        <v>1451</v>
      </c>
      <c r="C998" s="96" t="s">
        <v>620</v>
      </c>
      <c r="D998" s="119" t="s">
        <v>1092</v>
      </c>
    </row>
    <row r="999" spans="2:4" hidden="1">
      <c r="B999" s="118" t="s">
        <v>1451</v>
      </c>
      <c r="C999" s="96">
        <v>1.3</v>
      </c>
      <c r="D999" s="119" t="s">
        <v>1085</v>
      </c>
    </row>
    <row r="1000" spans="2:4" hidden="1">
      <c r="B1000" s="118" t="s">
        <v>1451</v>
      </c>
      <c r="C1000" s="96" t="s">
        <v>613</v>
      </c>
      <c r="D1000" s="119" t="s">
        <v>1078</v>
      </c>
    </row>
    <row r="1001" spans="2:4" hidden="1">
      <c r="B1001" s="118" t="s">
        <v>1451</v>
      </c>
      <c r="C1001" s="96" t="s">
        <v>608</v>
      </c>
      <c r="D1001" s="119" t="s">
        <v>1069</v>
      </c>
    </row>
    <row r="1002" spans="2:4" hidden="1">
      <c r="B1002" s="118" t="s">
        <v>1451</v>
      </c>
      <c r="C1002" s="96" t="s">
        <v>606</v>
      </c>
      <c r="D1002" s="119" t="s">
        <v>1059</v>
      </c>
    </row>
    <row r="1003" spans="2:4" hidden="1">
      <c r="B1003" s="118" t="s">
        <v>1451</v>
      </c>
      <c r="C1003" s="96" t="s">
        <v>601</v>
      </c>
      <c r="D1003" s="119" t="s">
        <v>1051</v>
      </c>
    </row>
    <row r="1004" spans="2:4" hidden="1">
      <c r="B1004" s="118" t="s">
        <v>1451</v>
      </c>
      <c r="C1004" s="96" t="s">
        <v>918</v>
      </c>
      <c r="D1004" s="119" t="s">
        <v>1043</v>
      </c>
    </row>
    <row r="1005" spans="2:4" hidden="1">
      <c r="B1005" s="118" t="s">
        <v>1451</v>
      </c>
      <c r="C1005" s="96" t="s">
        <v>913</v>
      </c>
      <c r="D1005" s="119" t="s">
        <v>1036</v>
      </c>
    </row>
    <row r="1006" spans="2:4" hidden="1">
      <c r="B1006" s="118" t="s">
        <v>1451</v>
      </c>
      <c r="C1006" s="96" t="s">
        <v>908</v>
      </c>
      <c r="D1006" s="119" t="s">
        <v>1029</v>
      </c>
    </row>
    <row r="1007" spans="2:4" hidden="1">
      <c r="B1007" s="118" t="s">
        <v>1451</v>
      </c>
      <c r="C1007" s="96" t="s">
        <v>904</v>
      </c>
      <c r="D1007" s="119" t="s">
        <v>1019</v>
      </c>
    </row>
    <row r="1008" spans="2:4" hidden="1">
      <c r="B1008" s="118" t="s">
        <v>1451</v>
      </c>
      <c r="C1008" s="96" t="s">
        <v>900</v>
      </c>
      <c r="D1008" s="119" t="s">
        <v>1008</v>
      </c>
    </row>
    <row r="1009" spans="2:4" hidden="1">
      <c r="B1009" s="118" t="s">
        <v>1451</v>
      </c>
      <c r="C1009" s="96" t="s">
        <v>897</v>
      </c>
      <c r="D1009" s="119" t="s">
        <v>1001</v>
      </c>
    </row>
    <row r="1010" spans="2:4" hidden="1">
      <c r="B1010" s="118" t="s">
        <v>1451</v>
      </c>
      <c r="C1010" s="96" t="s">
        <v>892</v>
      </c>
      <c r="D1010" s="119" t="s">
        <v>993</v>
      </c>
    </row>
    <row r="1011" spans="2:4" hidden="1">
      <c r="B1011" s="118" t="s">
        <v>1451</v>
      </c>
      <c r="C1011" s="96" t="s">
        <v>987</v>
      </c>
      <c r="D1011" s="119" t="s">
        <v>986</v>
      </c>
    </row>
    <row r="1012" spans="2:4" hidden="1">
      <c r="B1012" s="118" t="s">
        <v>1451</v>
      </c>
      <c r="C1012" s="96">
        <v>1.4</v>
      </c>
      <c r="D1012" s="119" t="s">
        <v>981</v>
      </c>
    </row>
    <row r="1013" spans="2:4" hidden="1">
      <c r="B1013" s="118" t="s">
        <v>1451</v>
      </c>
      <c r="C1013" s="96">
        <v>1.5</v>
      </c>
      <c r="D1013" s="119" t="s">
        <v>976</v>
      </c>
    </row>
    <row r="1014" spans="2:4" hidden="1">
      <c r="B1014" s="118" t="s">
        <v>1451</v>
      </c>
      <c r="C1014" s="96">
        <v>1.6</v>
      </c>
      <c r="D1014" s="119" t="s">
        <v>968</v>
      </c>
    </row>
    <row r="1015" spans="2:4" hidden="1">
      <c r="B1015" s="118" t="s">
        <v>1451</v>
      </c>
      <c r="C1015" s="96">
        <v>1.7</v>
      </c>
      <c r="D1015" s="119" t="s">
        <v>963</v>
      </c>
    </row>
    <row r="1016" spans="2:4" hidden="1">
      <c r="B1016" s="118" t="s">
        <v>1451</v>
      </c>
      <c r="C1016" s="96">
        <v>1.8</v>
      </c>
      <c r="D1016" s="119" t="s">
        <v>880</v>
      </c>
    </row>
    <row r="1017" spans="2:4" hidden="1">
      <c r="B1017" s="118" t="s">
        <v>1451</v>
      </c>
      <c r="C1017" s="96">
        <v>1.9</v>
      </c>
      <c r="D1017" s="119" t="s">
        <v>349</v>
      </c>
    </row>
    <row r="1018" spans="2:4" hidden="1">
      <c r="B1018" s="118" t="s">
        <v>1451</v>
      </c>
      <c r="C1018" s="96">
        <v>1.1000000000000001</v>
      </c>
      <c r="D1018" s="119" t="s">
        <v>876</v>
      </c>
    </row>
    <row r="1019" spans="2:4" hidden="1">
      <c r="B1019" s="118" t="s">
        <v>1451</v>
      </c>
      <c r="C1019" s="96" t="s">
        <v>329</v>
      </c>
      <c r="D1019" s="119" t="s">
        <v>873</v>
      </c>
    </row>
    <row r="1020" spans="2:4" hidden="1">
      <c r="B1020" s="118" t="s">
        <v>1451</v>
      </c>
      <c r="C1020" s="96" t="s">
        <v>835</v>
      </c>
      <c r="D1020" s="119" t="s">
        <v>871</v>
      </c>
    </row>
    <row r="1021" spans="2:4" hidden="1">
      <c r="B1021" s="118" t="s">
        <v>1451</v>
      </c>
      <c r="C1021" s="96" t="s">
        <v>831</v>
      </c>
      <c r="D1021" s="119" t="s">
        <v>934</v>
      </c>
    </row>
    <row r="1022" spans="2:4" hidden="1">
      <c r="B1022" s="118" t="s">
        <v>1451</v>
      </c>
      <c r="C1022" s="96" t="s">
        <v>827</v>
      </c>
      <c r="D1022" s="119" t="s">
        <v>865</v>
      </c>
    </row>
    <row r="1023" spans="2:4" hidden="1">
      <c r="B1023" s="118" t="s">
        <v>1451</v>
      </c>
      <c r="C1023" s="96" t="s">
        <v>823</v>
      </c>
      <c r="D1023" s="119" t="s">
        <v>860</v>
      </c>
    </row>
    <row r="1024" spans="2:4" hidden="1">
      <c r="B1024" s="118" t="s">
        <v>1451</v>
      </c>
      <c r="C1024" s="96">
        <v>1.1100000000000001</v>
      </c>
      <c r="D1024" s="119" t="s">
        <v>856</v>
      </c>
    </row>
    <row r="1025" spans="2:4" hidden="1">
      <c r="B1025" s="118" t="s">
        <v>1451</v>
      </c>
      <c r="C1025" s="96" t="s">
        <v>818</v>
      </c>
      <c r="D1025" s="119" t="s">
        <v>853</v>
      </c>
    </row>
    <row r="1026" spans="2:4" hidden="1">
      <c r="B1026" s="118" t="s">
        <v>1451</v>
      </c>
      <c r="C1026" s="96" t="s">
        <v>816</v>
      </c>
      <c r="D1026" s="119" t="s">
        <v>850</v>
      </c>
    </row>
    <row r="1027" spans="2:4" hidden="1">
      <c r="B1027" s="118" t="s">
        <v>1451</v>
      </c>
      <c r="C1027" s="96" t="s">
        <v>878</v>
      </c>
      <c r="D1027" s="119" t="s">
        <v>846</v>
      </c>
    </row>
    <row r="1028" spans="2:4" hidden="1">
      <c r="B1028" s="118" t="s">
        <v>1451</v>
      </c>
      <c r="C1028" s="96">
        <v>1.1200000000000001</v>
      </c>
      <c r="D1028" s="119" t="s">
        <v>843</v>
      </c>
    </row>
    <row r="1029" spans="2:4" hidden="1">
      <c r="B1029" s="118" t="s">
        <v>1451</v>
      </c>
      <c r="C1029" s="96" t="s">
        <v>811</v>
      </c>
      <c r="D1029" s="119" t="s">
        <v>839</v>
      </c>
    </row>
    <row r="1030" spans="2:4" hidden="1">
      <c r="B1030" s="118" t="s">
        <v>1451</v>
      </c>
      <c r="C1030" s="96" t="s">
        <v>808</v>
      </c>
      <c r="D1030" s="119" t="s">
        <v>834</v>
      </c>
    </row>
    <row r="1031" spans="2:4" hidden="1">
      <c r="B1031" s="118" t="s">
        <v>1451</v>
      </c>
      <c r="C1031" s="96" t="s">
        <v>893</v>
      </c>
      <c r="D1031" s="119" t="s">
        <v>830</v>
      </c>
    </row>
    <row r="1032" spans="2:4" hidden="1">
      <c r="B1032" s="118" t="s">
        <v>1451</v>
      </c>
      <c r="C1032" s="96" t="s">
        <v>888</v>
      </c>
      <c r="D1032" s="119" t="s">
        <v>826</v>
      </c>
    </row>
    <row r="1033" spans="2:4" hidden="1">
      <c r="B1033" s="118" t="s">
        <v>1451</v>
      </c>
      <c r="C1033" s="96" t="s">
        <v>884</v>
      </c>
      <c r="D1033" s="119" t="s">
        <v>822</v>
      </c>
    </row>
    <row r="1034" spans="2:4" hidden="1">
      <c r="B1034" s="118" t="s">
        <v>1451</v>
      </c>
      <c r="C1034" s="96">
        <v>1.1299999999999999</v>
      </c>
      <c r="D1034" s="119" t="s">
        <v>820</v>
      </c>
    </row>
    <row r="1035" spans="2:4" hidden="1">
      <c r="B1035" s="118" t="s">
        <v>1451</v>
      </c>
      <c r="C1035" s="96" t="s">
        <v>803</v>
      </c>
      <c r="D1035" s="119" t="s">
        <v>810</v>
      </c>
    </row>
    <row r="1036" spans="2:4" hidden="1">
      <c r="B1036" s="118" t="s">
        <v>1451</v>
      </c>
      <c r="C1036" s="96" t="s">
        <v>800</v>
      </c>
      <c r="D1036" s="119" t="s">
        <v>807</v>
      </c>
    </row>
    <row r="1037" spans="2:4" hidden="1">
      <c r="B1037" s="118" t="s">
        <v>1451</v>
      </c>
      <c r="C1037" s="96">
        <v>1.1399999999999999</v>
      </c>
      <c r="D1037" s="119" t="s">
        <v>814</v>
      </c>
    </row>
    <row r="1038" spans="2:4" hidden="1">
      <c r="B1038" s="118" t="s">
        <v>1451</v>
      </c>
      <c r="C1038" s="96" t="s">
        <v>785</v>
      </c>
      <c r="D1038" s="119" t="s">
        <v>810</v>
      </c>
    </row>
    <row r="1039" spans="2:4" hidden="1">
      <c r="B1039" s="118" t="s">
        <v>1451</v>
      </c>
      <c r="C1039" s="96" t="s">
        <v>782</v>
      </c>
      <c r="D1039" s="119" t="s">
        <v>807</v>
      </c>
    </row>
    <row r="1040" spans="2:4" hidden="1">
      <c r="B1040" s="118" t="s">
        <v>1451</v>
      </c>
      <c r="C1040" s="96">
        <v>1.1499999999999999</v>
      </c>
      <c r="D1040" s="119" t="s">
        <v>805</v>
      </c>
    </row>
    <row r="1041" spans="2:4" hidden="1">
      <c r="B1041" s="118" t="s">
        <v>1451</v>
      </c>
      <c r="C1041" s="96" t="s">
        <v>862</v>
      </c>
      <c r="D1041" s="119" t="s">
        <v>802</v>
      </c>
    </row>
    <row r="1042" spans="2:4" hidden="1">
      <c r="B1042" s="118" t="s">
        <v>1451</v>
      </c>
      <c r="C1042" s="96" t="s">
        <v>857</v>
      </c>
      <c r="D1042" s="119" t="s">
        <v>799</v>
      </c>
    </row>
    <row r="1043" spans="2:4" hidden="1">
      <c r="B1043" s="118" t="s">
        <v>1451</v>
      </c>
      <c r="C1043" s="96" t="s">
        <v>854</v>
      </c>
      <c r="D1043" s="119" t="s">
        <v>795</v>
      </c>
    </row>
    <row r="1044" spans="2:4" hidden="1">
      <c r="B1044" s="118" t="s">
        <v>1451</v>
      </c>
      <c r="C1044" s="96" t="s">
        <v>851</v>
      </c>
      <c r="D1044" s="119" t="s">
        <v>792</v>
      </c>
    </row>
    <row r="1045" spans="2:4" hidden="1">
      <c r="B1045" s="118" t="s">
        <v>1451</v>
      </c>
      <c r="C1045" s="96" t="s">
        <v>847</v>
      </c>
      <c r="D1045" s="119" t="s">
        <v>789</v>
      </c>
    </row>
    <row r="1046" spans="2:4" hidden="1">
      <c r="B1046" s="118" t="s">
        <v>1451</v>
      </c>
      <c r="C1046" s="96">
        <v>1.1599999999999999</v>
      </c>
      <c r="D1046" s="119" t="s">
        <v>787</v>
      </c>
    </row>
    <row r="1047" spans="2:4" hidden="1">
      <c r="B1047" s="118" t="s">
        <v>1451</v>
      </c>
      <c r="C1047" s="96" t="s">
        <v>840</v>
      </c>
      <c r="D1047" s="119" t="s">
        <v>784</v>
      </c>
    </row>
    <row r="1048" spans="2:4" hidden="1">
      <c r="B1048" s="118" t="s">
        <v>1451</v>
      </c>
      <c r="C1048" s="96" t="s">
        <v>836</v>
      </c>
      <c r="D1048" s="119" t="s">
        <v>781</v>
      </c>
    </row>
    <row r="1049" spans="2:4" hidden="1">
      <c r="B1049" s="118" t="s">
        <v>1451</v>
      </c>
      <c r="C1049" s="96" t="s">
        <v>832</v>
      </c>
      <c r="D1049" s="119" t="s">
        <v>778</v>
      </c>
    </row>
    <row r="1050" spans="2:4" hidden="1">
      <c r="B1050" s="118" t="s">
        <v>1451</v>
      </c>
      <c r="C1050" s="96">
        <v>1.17</v>
      </c>
      <c r="D1050" s="119" t="s">
        <v>776</v>
      </c>
    </row>
    <row r="1051" spans="2:4" hidden="1">
      <c r="B1051" s="118" t="s">
        <v>1450</v>
      </c>
      <c r="C1051" s="96">
        <v>1</v>
      </c>
      <c r="D1051" s="119" t="s">
        <v>1438</v>
      </c>
    </row>
    <row r="1052" spans="2:4" hidden="1">
      <c r="B1052" s="118" t="s">
        <v>1450</v>
      </c>
      <c r="C1052" s="96">
        <v>1.1000000000000001</v>
      </c>
      <c r="D1052" s="119" t="s">
        <v>1430</v>
      </c>
    </row>
    <row r="1053" spans="2:4" hidden="1">
      <c r="B1053" s="118" t="s">
        <v>1450</v>
      </c>
      <c r="C1053" s="96" t="s">
        <v>1422</v>
      </c>
      <c r="D1053" s="119" t="s">
        <v>1423</v>
      </c>
    </row>
    <row r="1054" spans="2:4" hidden="1">
      <c r="B1054" s="118" t="s">
        <v>1450</v>
      </c>
      <c r="C1054" s="96" t="s">
        <v>1369</v>
      </c>
      <c r="D1054" s="119" t="s">
        <v>1416</v>
      </c>
    </row>
    <row r="1055" spans="2:4" hidden="1">
      <c r="B1055" s="118" t="s">
        <v>1450</v>
      </c>
      <c r="C1055" s="96" t="s">
        <v>1295</v>
      </c>
      <c r="D1055" s="119" t="s">
        <v>349</v>
      </c>
    </row>
    <row r="1056" spans="2:4" hidden="1">
      <c r="B1056" s="118" t="s">
        <v>1450</v>
      </c>
      <c r="C1056" s="96">
        <v>1.2</v>
      </c>
      <c r="D1056" s="119" t="s">
        <v>1403</v>
      </c>
    </row>
    <row r="1057" spans="2:4" hidden="1">
      <c r="B1057" s="118" t="s">
        <v>1450</v>
      </c>
      <c r="C1057" s="96" t="s">
        <v>948</v>
      </c>
      <c r="D1057" s="119" t="s">
        <v>1017</v>
      </c>
    </row>
    <row r="1058" spans="2:4" hidden="1">
      <c r="B1058" s="118" t="s">
        <v>1450</v>
      </c>
      <c r="C1058" s="96" t="s">
        <v>943</v>
      </c>
      <c r="D1058" s="119" t="s">
        <v>1386</v>
      </c>
    </row>
    <row r="1059" spans="2:4" hidden="1">
      <c r="B1059" s="118" t="s">
        <v>1450</v>
      </c>
      <c r="C1059" s="96" t="s">
        <v>1333</v>
      </c>
      <c r="D1059" s="119" t="s">
        <v>1017</v>
      </c>
    </row>
    <row r="1060" spans="2:4" hidden="1">
      <c r="B1060" s="118" t="s">
        <v>1450</v>
      </c>
      <c r="C1060" s="96" t="s">
        <v>1293</v>
      </c>
      <c r="D1060" s="119" t="s">
        <v>704</v>
      </c>
    </row>
    <row r="1061" spans="2:4" hidden="1">
      <c r="B1061" s="118" t="s">
        <v>1450</v>
      </c>
      <c r="C1061" s="96" t="s">
        <v>1232</v>
      </c>
      <c r="D1061" s="119" t="s">
        <v>1358</v>
      </c>
    </row>
    <row r="1062" spans="2:4" hidden="1">
      <c r="B1062" s="118" t="s">
        <v>1450</v>
      </c>
      <c r="C1062" s="96" t="s">
        <v>1154</v>
      </c>
      <c r="D1062" s="119" t="s">
        <v>1346</v>
      </c>
    </row>
    <row r="1063" spans="2:4" hidden="1">
      <c r="B1063" s="118" t="s">
        <v>1450</v>
      </c>
      <c r="C1063" s="96" t="s">
        <v>1046</v>
      </c>
      <c r="D1063" s="119" t="s">
        <v>1337</v>
      </c>
    </row>
    <row r="1064" spans="2:4" hidden="1">
      <c r="B1064" s="118" t="s">
        <v>1450</v>
      </c>
      <c r="C1064" s="96" t="s">
        <v>931</v>
      </c>
      <c r="D1064" s="119" t="s">
        <v>1193</v>
      </c>
    </row>
    <row r="1065" spans="2:4" hidden="1">
      <c r="B1065" s="118" t="s">
        <v>1450</v>
      </c>
      <c r="C1065" s="96" t="s">
        <v>886</v>
      </c>
      <c r="D1065" s="119" t="s">
        <v>1321</v>
      </c>
    </row>
    <row r="1066" spans="2:4" hidden="1">
      <c r="B1066" s="118" t="s">
        <v>1450</v>
      </c>
      <c r="C1066" s="96" t="s">
        <v>825</v>
      </c>
      <c r="D1066" s="119" t="s">
        <v>1313</v>
      </c>
    </row>
    <row r="1067" spans="2:4" hidden="1">
      <c r="B1067" s="118" t="s">
        <v>1450</v>
      </c>
      <c r="C1067" s="96" t="s">
        <v>813</v>
      </c>
      <c r="D1067" s="119" t="s">
        <v>1305</v>
      </c>
    </row>
    <row r="1068" spans="2:4" hidden="1">
      <c r="B1068" s="118" t="s">
        <v>1450</v>
      </c>
      <c r="C1068" s="96" t="s">
        <v>809</v>
      </c>
      <c r="D1068" s="119" t="s">
        <v>1017</v>
      </c>
    </row>
    <row r="1069" spans="2:4" hidden="1">
      <c r="B1069" s="118" t="s">
        <v>1450</v>
      </c>
      <c r="C1069" s="96" t="s">
        <v>806</v>
      </c>
      <c r="D1069" s="119" t="s">
        <v>1288</v>
      </c>
    </row>
    <row r="1070" spans="2:4" hidden="1">
      <c r="B1070" s="118" t="s">
        <v>1450</v>
      </c>
      <c r="C1070" s="96" t="s">
        <v>804</v>
      </c>
      <c r="D1070" s="119" t="s">
        <v>1279</v>
      </c>
    </row>
    <row r="1071" spans="2:4" hidden="1">
      <c r="B1071" s="118" t="s">
        <v>1450</v>
      </c>
      <c r="C1071" s="96" t="s">
        <v>801</v>
      </c>
      <c r="D1071" s="119" t="s">
        <v>1270</v>
      </c>
    </row>
    <row r="1072" spans="2:4" hidden="1">
      <c r="B1072" s="118" t="s">
        <v>1450</v>
      </c>
      <c r="C1072" s="96" t="s">
        <v>798</v>
      </c>
      <c r="D1072" s="119" t="s">
        <v>1244</v>
      </c>
    </row>
    <row r="1073" spans="2:4" hidden="1">
      <c r="B1073" s="118" t="s">
        <v>1450</v>
      </c>
      <c r="C1073" s="96" t="s">
        <v>794</v>
      </c>
      <c r="D1073" s="119" t="s">
        <v>1017</v>
      </c>
    </row>
    <row r="1074" spans="2:4" hidden="1">
      <c r="B1074" s="118" t="s">
        <v>1450</v>
      </c>
      <c r="C1074" s="96" t="s">
        <v>780</v>
      </c>
      <c r="D1074" s="119" t="s">
        <v>1245</v>
      </c>
    </row>
    <row r="1075" spans="2:4" hidden="1">
      <c r="B1075" s="118" t="s">
        <v>1450</v>
      </c>
      <c r="C1075" s="96" t="s">
        <v>767</v>
      </c>
      <c r="D1075" s="119" t="s">
        <v>1236</v>
      </c>
    </row>
    <row r="1076" spans="2:4" hidden="1">
      <c r="B1076" s="118" t="s">
        <v>1450</v>
      </c>
      <c r="C1076" s="96" t="s">
        <v>748</v>
      </c>
      <c r="D1076" s="119" t="s">
        <v>1228</v>
      </c>
    </row>
    <row r="1077" spans="2:4" hidden="1">
      <c r="B1077" s="118" t="s">
        <v>1450</v>
      </c>
      <c r="C1077" s="96" t="s">
        <v>733</v>
      </c>
      <c r="D1077" s="119" t="s">
        <v>1222</v>
      </c>
    </row>
    <row r="1078" spans="2:4" hidden="1">
      <c r="B1078" s="118" t="s">
        <v>1450</v>
      </c>
      <c r="C1078" s="96" t="s">
        <v>710</v>
      </c>
      <c r="D1078" s="119" t="s">
        <v>1215</v>
      </c>
    </row>
    <row r="1079" spans="2:4" hidden="1">
      <c r="B1079" s="118" t="s">
        <v>1450</v>
      </c>
      <c r="C1079" s="96" t="s">
        <v>693</v>
      </c>
      <c r="D1079" s="119" t="s">
        <v>1209</v>
      </c>
    </row>
    <row r="1080" spans="2:4" hidden="1">
      <c r="B1080" s="118" t="s">
        <v>1450</v>
      </c>
      <c r="C1080" s="96">
        <v>1.3</v>
      </c>
      <c r="D1080" s="119" t="s">
        <v>1201</v>
      </c>
    </row>
    <row r="1081" spans="2:4" hidden="1">
      <c r="B1081" s="118" t="s">
        <v>1450</v>
      </c>
      <c r="C1081" s="96" t="s">
        <v>613</v>
      </c>
      <c r="D1081" s="119" t="s">
        <v>1192</v>
      </c>
    </row>
    <row r="1082" spans="2:4" hidden="1">
      <c r="B1082" s="118" t="s">
        <v>1450</v>
      </c>
      <c r="C1082" s="96" t="s">
        <v>608</v>
      </c>
      <c r="D1082" s="119" t="s">
        <v>1184</v>
      </c>
    </row>
    <row r="1083" spans="2:4" hidden="1">
      <c r="B1083" s="118" t="s">
        <v>1450</v>
      </c>
      <c r="C1083" s="96">
        <v>1.4</v>
      </c>
      <c r="D1083" s="119" t="s">
        <v>1175</v>
      </c>
    </row>
    <row r="1084" spans="2:4" hidden="1">
      <c r="B1084" s="118" t="s">
        <v>1450</v>
      </c>
      <c r="C1084" s="96" t="s">
        <v>563</v>
      </c>
      <c r="D1084" s="119" t="s">
        <v>1017</v>
      </c>
    </row>
    <row r="1085" spans="2:4" hidden="1">
      <c r="B1085" s="118" t="s">
        <v>1450</v>
      </c>
      <c r="C1085" s="96" t="s">
        <v>558</v>
      </c>
      <c r="D1085" s="119" t="s">
        <v>1159</v>
      </c>
    </row>
    <row r="1086" spans="2:4" hidden="1">
      <c r="B1086" s="118" t="s">
        <v>1450</v>
      </c>
      <c r="C1086" s="96" t="s">
        <v>539</v>
      </c>
      <c r="D1086" s="119" t="s">
        <v>1151</v>
      </c>
    </row>
    <row r="1087" spans="2:4" hidden="1">
      <c r="B1087" s="118" t="s">
        <v>1450</v>
      </c>
      <c r="C1087" s="96" t="s">
        <v>537</v>
      </c>
      <c r="D1087" s="119" t="s">
        <v>1145</v>
      </c>
    </row>
    <row r="1088" spans="2:4" hidden="1">
      <c r="B1088" s="118" t="s">
        <v>1450</v>
      </c>
      <c r="C1088" s="96" t="s">
        <v>536</v>
      </c>
      <c r="D1088" s="119" t="s">
        <v>1138</v>
      </c>
    </row>
    <row r="1089" spans="2:4" hidden="1">
      <c r="B1089" s="118" t="s">
        <v>1450</v>
      </c>
      <c r="C1089" s="96" t="s">
        <v>524</v>
      </c>
      <c r="D1089" s="119" t="s">
        <v>1132</v>
      </c>
    </row>
    <row r="1090" spans="2:4" hidden="1">
      <c r="B1090" s="118" t="s">
        <v>1450</v>
      </c>
      <c r="C1090" s="96" t="s">
        <v>499</v>
      </c>
      <c r="D1090" s="119" t="s">
        <v>1124</v>
      </c>
    </row>
    <row r="1091" spans="2:4" hidden="1">
      <c r="B1091" s="118" t="s">
        <v>1450</v>
      </c>
      <c r="C1091" s="96" t="s">
        <v>484</v>
      </c>
      <c r="D1091" s="119" t="s">
        <v>1115</v>
      </c>
    </row>
    <row r="1092" spans="2:4" hidden="1">
      <c r="B1092" s="118" t="s">
        <v>1450</v>
      </c>
      <c r="C1092" s="96" t="s">
        <v>482</v>
      </c>
      <c r="D1092" s="119" t="s">
        <v>1108</v>
      </c>
    </row>
    <row r="1093" spans="2:4" hidden="1">
      <c r="B1093" s="118" t="s">
        <v>1450</v>
      </c>
      <c r="C1093" s="96" t="s">
        <v>481</v>
      </c>
      <c r="D1093" s="119" t="s">
        <v>1100</v>
      </c>
    </row>
    <row r="1094" spans="2:4" hidden="1">
      <c r="B1094" s="118" t="s">
        <v>1450</v>
      </c>
      <c r="C1094" s="96" t="s">
        <v>467</v>
      </c>
      <c r="D1094" s="119" t="s">
        <v>1095</v>
      </c>
    </row>
    <row r="1095" spans="2:4" hidden="1">
      <c r="B1095" s="118" t="s">
        <v>1450</v>
      </c>
      <c r="C1095" s="96" t="s">
        <v>456</v>
      </c>
      <c r="D1095" s="119" t="s">
        <v>1091</v>
      </c>
    </row>
    <row r="1096" spans="2:4" hidden="1">
      <c r="B1096" s="118" t="s">
        <v>1450</v>
      </c>
      <c r="C1096" s="96" t="s">
        <v>450</v>
      </c>
      <c r="D1096" s="119" t="s">
        <v>1084</v>
      </c>
    </row>
    <row r="1097" spans="2:4" hidden="1">
      <c r="B1097" s="118" t="s">
        <v>1450</v>
      </c>
      <c r="C1097" s="96" t="s">
        <v>1077</v>
      </c>
      <c r="D1097" s="119" t="s">
        <v>1076</v>
      </c>
    </row>
    <row r="1098" spans="2:4" hidden="1">
      <c r="B1098" s="118" t="s">
        <v>1450</v>
      </c>
      <c r="C1098" s="96" t="s">
        <v>1068</v>
      </c>
      <c r="D1098" s="119" t="s">
        <v>1067</v>
      </c>
    </row>
    <row r="1099" spans="2:4" hidden="1">
      <c r="B1099" s="118" t="s">
        <v>1450</v>
      </c>
      <c r="C1099" s="96">
        <v>1.5</v>
      </c>
      <c r="D1099" s="119" t="s">
        <v>1058</v>
      </c>
    </row>
    <row r="1100" spans="2:4" hidden="1">
      <c r="B1100" s="118" t="s">
        <v>1450</v>
      </c>
      <c r="C1100" s="96" t="s">
        <v>446</v>
      </c>
      <c r="D1100" s="119" t="s">
        <v>1017</v>
      </c>
    </row>
    <row r="1101" spans="2:4" hidden="1">
      <c r="B1101" s="118" t="s">
        <v>1450</v>
      </c>
      <c r="C1101" s="96" t="s">
        <v>441</v>
      </c>
      <c r="D1101" s="119" t="s">
        <v>805</v>
      </c>
    </row>
    <row r="1102" spans="2:4" hidden="1">
      <c r="B1102" s="118" t="s">
        <v>1450</v>
      </c>
      <c r="C1102" s="96" t="s">
        <v>437</v>
      </c>
      <c r="D1102" s="119" t="s">
        <v>820</v>
      </c>
    </row>
    <row r="1103" spans="2:4" hidden="1">
      <c r="B1103" s="118" t="s">
        <v>1450</v>
      </c>
      <c r="C1103" s="96" t="s">
        <v>1028</v>
      </c>
      <c r="D1103" s="119" t="s">
        <v>1027</v>
      </c>
    </row>
    <row r="1104" spans="2:4" hidden="1">
      <c r="B1104" s="118" t="s">
        <v>1450</v>
      </c>
      <c r="C1104" s="96" t="s">
        <v>1018</v>
      </c>
      <c r="D1104" s="119" t="s">
        <v>1017</v>
      </c>
    </row>
    <row r="1105" spans="2:4" hidden="1">
      <c r="B1105" s="118" t="s">
        <v>1450</v>
      </c>
      <c r="C1105" s="96" t="s">
        <v>1007</v>
      </c>
      <c r="D1105" s="119" t="s">
        <v>1006</v>
      </c>
    </row>
    <row r="1106" spans="2:4" hidden="1">
      <c r="B1106" s="118" t="s">
        <v>1450</v>
      </c>
      <c r="C1106" s="96" t="s">
        <v>1000</v>
      </c>
      <c r="D1106" s="119" t="s">
        <v>999</v>
      </c>
    </row>
    <row r="1107" spans="2:4" hidden="1">
      <c r="B1107" s="118" t="s">
        <v>1450</v>
      </c>
      <c r="C1107" s="96">
        <v>1.6</v>
      </c>
      <c r="D1107" s="119" t="s">
        <v>876</v>
      </c>
    </row>
    <row r="1108" spans="2:4" hidden="1">
      <c r="B1108" s="118" t="s">
        <v>1450</v>
      </c>
      <c r="C1108" s="96" t="s">
        <v>431</v>
      </c>
      <c r="D1108" s="119" t="s">
        <v>873</v>
      </c>
    </row>
    <row r="1109" spans="2:4" hidden="1">
      <c r="B1109" s="118" t="s">
        <v>1450</v>
      </c>
      <c r="C1109" s="96" t="s">
        <v>426</v>
      </c>
      <c r="D1109" s="119" t="s">
        <v>871</v>
      </c>
    </row>
    <row r="1110" spans="2:4" hidden="1">
      <c r="B1110" s="118" t="s">
        <v>1450</v>
      </c>
      <c r="C1110" s="96" t="s">
        <v>417</v>
      </c>
      <c r="D1110" s="119" t="s">
        <v>975</v>
      </c>
    </row>
    <row r="1111" spans="2:4" hidden="1">
      <c r="B1111" s="118" t="s">
        <v>1450</v>
      </c>
      <c r="C1111" s="96" t="s">
        <v>967</v>
      </c>
      <c r="D1111" s="119" t="s">
        <v>865</v>
      </c>
    </row>
    <row r="1112" spans="2:4" hidden="1">
      <c r="B1112" s="118" t="s">
        <v>1450</v>
      </c>
      <c r="C1112" s="96" t="s">
        <v>962</v>
      </c>
      <c r="D1112" s="119" t="s">
        <v>860</v>
      </c>
    </row>
    <row r="1113" spans="2:4" hidden="1">
      <c r="B1113" s="118" t="s">
        <v>1450</v>
      </c>
      <c r="C1113" s="96">
        <v>1.7</v>
      </c>
      <c r="D1113" s="119" t="s">
        <v>856</v>
      </c>
    </row>
    <row r="1114" spans="2:4" hidden="1">
      <c r="B1114" s="118" t="s">
        <v>1450</v>
      </c>
      <c r="C1114" s="96" t="s">
        <v>414</v>
      </c>
      <c r="D1114" s="119" t="s">
        <v>853</v>
      </c>
    </row>
    <row r="1115" spans="2:4" hidden="1">
      <c r="B1115" s="118" t="s">
        <v>1450</v>
      </c>
      <c r="C1115" s="96" t="s">
        <v>409</v>
      </c>
      <c r="D1115" s="119" t="s">
        <v>850</v>
      </c>
    </row>
    <row r="1116" spans="2:4" hidden="1">
      <c r="B1116" s="118" t="s">
        <v>1450</v>
      </c>
      <c r="C1116" s="96" t="s">
        <v>392</v>
      </c>
      <c r="D1116" s="119" t="s">
        <v>846</v>
      </c>
    </row>
    <row r="1117" spans="2:4" hidden="1">
      <c r="B1117" s="118" t="s">
        <v>1450</v>
      </c>
      <c r="C1117" s="96">
        <v>1.8</v>
      </c>
      <c r="D1117" s="119" t="s">
        <v>843</v>
      </c>
    </row>
    <row r="1118" spans="2:4" hidden="1">
      <c r="B1118" s="118" t="s">
        <v>1450</v>
      </c>
      <c r="C1118" s="96" t="s">
        <v>356</v>
      </c>
      <c r="D1118" s="119" t="s">
        <v>839</v>
      </c>
    </row>
    <row r="1119" spans="2:4" hidden="1">
      <c r="B1119" s="118" t="s">
        <v>1450</v>
      </c>
      <c r="C1119" s="96" t="s">
        <v>346</v>
      </c>
      <c r="D1119" s="119" t="s">
        <v>834</v>
      </c>
    </row>
    <row r="1120" spans="2:4" hidden="1">
      <c r="B1120" s="118" t="s">
        <v>1450</v>
      </c>
      <c r="C1120" s="96" t="s">
        <v>342</v>
      </c>
      <c r="D1120" s="119" t="s">
        <v>830</v>
      </c>
    </row>
    <row r="1121" spans="2:4" hidden="1">
      <c r="B1121" s="118" t="s">
        <v>1450</v>
      </c>
      <c r="C1121" s="96" t="s">
        <v>338</v>
      </c>
      <c r="D1121" s="119" t="s">
        <v>826</v>
      </c>
    </row>
    <row r="1122" spans="2:4" hidden="1">
      <c r="B1122" s="118" t="s">
        <v>1450</v>
      </c>
      <c r="C1122" s="96" t="s">
        <v>861</v>
      </c>
      <c r="D1122" s="119" t="s">
        <v>822</v>
      </c>
    </row>
    <row r="1123" spans="2:4" hidden="1">
      <c r="B1123" s="118" t="s">
        <v>1450</v>
      </c>
      <c r="C1123" s="96">
        <v>1.9</v>
      </c>
      <c r="D1123" s="119" t="s">
        <v>820</v>
      </c>
    </row>
    <row r="1124" spans="2:4" hidden="1">
      <c r="B1124" s="118" t="s">
        <v>1450</v>
      </c>
      <c r="C1124" s="96" t="s">
        <v>335</v>
      </c>
      <c r="D1124" s="119" t="s">
        <v>810</v>
      </c>
    </row>
    <row r="1125" spans="2:4" hidden="1">
      <c r="B1125" s="118" t="s">
        <v>1450</v>
      </c>
      <c r="C1125" s="96" t="s">
        <v>334</v>
      </c>
      <c r="D1125" s="119" t="s">
        <v>807</v>
      </c>
    </row>
    <row r="1126" spans="2:4" hidden="1">
      <c r="B1126" s="118" t="s">
        <v>1450</v>
      </c>
      <c r="C1126" s="96">
        <v>1.1000000000000001</v>
      </c>
      <c r="D1126" s="119" t="s">
        <v>814</v>
      </c>
    </row>
    <row r="1127" spans="2:4" hidden="1">
      <c r="B1127" s="118" t="s">
        <v>1450</v>
      </c>
      <c r="C1127" s="96" t="s">
        <v>329</v>
      </c>
      <c r="D1127" s="119" t="s">
        <v>810</v>
      </c>
    </row>
    <row r="1128" spans="2:4" hidden="1">
      <c r="B1128" s="118" t="s">
        <v>1450</v>
      </c>
      <c r="C1128" s="96" t="s">
        <v>835</v>
      </c>
      <c r="D1128" s="119" t="s">
        <v>807</v>
      </c>
    </row>
    <row r="1129" spans="2:4" hidden="1">
      <c r="B1129" s="118" t="s">
        <v>1450</v>
      </c>
      <c r="C1129" s="96">
        <v>1.1100000000000001</v>
      </c>
      <c r="D1129" s="119" t="s">
        <v>787</v>
      </c>
    </row>
    <row r="1130" spans="2:4" hidden="1">
      <c r="B1130" s="118" t="s">
        <v>1450</v>
      </c>
      <c r="C1130" s="96" t="s">
        <v>818</v>
      </c>
      <c r="D1130" s="119" t="s">
        <v>784</v>
      </c>
    </row>
    <row r="1131" spans="2:4" hidden="1">
      <c r="B1131" s="118" t="s">
        <v>1450</v>
      </c>
      <c r="C1131" s="96" t="s">
        <v>816</v>
      </c>
      <c r="D1131" s="119" t="s">
        <v>881</v>
      </c>
    </row>
    <row r="1132" spans="2:4" hidden="1">
      <c r="B1132" s="118" t="s">
        <v>1450</v>
      </c>
      <c r="C1132" s="96" t="s">
        <v>878</v>
      </c>
      <c r="D1132" s="119" t="s">
        <v>778</v>
      </c>
    </row>
    <row r="1133" spans="2:4" hidden="1">
      <c r="B1133" s="118" t="s">
        <v>1450</v>
      </c>
      <c r="C1133" s="96">
        <v>1.1200000000000001</v>
      </c>
      <c r="D1133" s="119" t="s">
        <v>776</v>
      </c>
    </row>
    <row r="1134" spans="2:4" hidden="1">
      <c r="B1134" s="118" t="s">
        <v>1449</v>
      </c>
      <c r="C1134" s="96">
        <v>1</v>
      </c>
      <c r="D1134" s="119" t="s">
        <v>1437</v>
      </c>
    </row>
    <row r="1135" spans="2:4" hidden="1">
      <c r="B1135" s="118" t="s">
        <v>1449</v>
      </c>
      <c r="C1135" s="96">
        <v>1.1000000000000001</v>
      </c>
      <c r="D1135" s="119" t="s">
        <v>1429</v>
      </c>
    </row>
    <row r="1136" spans="2:4" hidden="1">
      <c r="B1136" s="118" t="s">
        <v>1449</v>
      </c>
      <c r="C1136" s="96" t="s">
        <v>1422</v>
      </c>
      <c r="D1136" s="119" t="s">
        <v>1421</v>
      </c>
    </row>
    <row r="1137" spans="2:4" hidden="1">
      <c r="B1137" s="118" t="s">
        <v>1449</v>
      </c>
      <c r="C1137" s="96" t="s">
        <v>1415</v>
      </c>
      <c r="D1137" s="119" t="s">
        <v>1414</v>
      </c>
    </row>
    <row r="1138" spans="2:4" hidden="1">
      <c r="B1138" s="118" t="s">
        <v>1449</v>
      </c>
      <c r="C1138" s="96" t="s">
        <v>1408</v>
      </c>
      <c r="D1138" s="119" t="s">
        <v>1407</v>
      </c>
    </row>
    <row r="1139" spans="2:4" hidden="1">
      <c r="B1139" s="118" t="s">
        <v>1449</v>
      </c>
      <c r="C1139" s="96" t="s">
        <v>1402</v>
      </c>
      <c r="D1139" s="119" t="s">
        <v>1401</v>
      </c>
    </row>
    <row r="1140" spans="2:4" hidden="1">
      <c r="B1140" s="118" t="s">
        <v>1449</v>
      </c>
      <c r="C1140" s="96" t="s">
        <v>1369</v>
      </c>
      <c r="D1140" s="119" t="s">
        <v>1393</v>
      </c>
    </row>
    <row r="1141" spans="2:4" hidden="1">
      <c r="B1141" s="118" t="s">
        <v>1449</v>
      </c>
      <c r="C1141" s="96" t="s">
        <v>1374</v>
      </c>
      <c r="D1141" s="119" t="s">
        <v>1385</v>
      </c>
    </row>
    <row r="1142" spans="2:4" hidden="1">
      <c r="B1142" s="118" t="s">
        <v>1449</v>
      </c>
      <c r="C1142" s="96" t="s">
        <v>1364</v>
      </c>
      <c r="D1142" s="119" t="s">
        <v>1376</v>
      </c>
    </row>
    <row r="1143" spans="2:4" hidden="1">
      <c r="B1143" s="118" t="s">
        <v>1449</v>
      </c>
      <c r="C1143" s="96" t="s">
        <v>1353</v>
      </c>
      <c r="D1143" s="119" t="s">
        <v>1367</v>
      </c>
    </row>
    <row r="1144" spans="2:4" hidden="1">
      <c r="B1144" s="118" t="s">
        <v>1449</v>
      </c>
      <c r="C1144" s="96" t="s">
        <v>1295</v>
      </c>
      <c r="D1144" s="119" t="s">
        <v>1357</v>
      </c>
    </row>
    <row r="1145" spans="2:4" hidden="1">
      <c r="B1145" s="118" t="s">
        <v>1449</v>
      </c>
      <c r="C1145" s="96" t="s">
        <v>1286</v>
      </c>
      <c r="D1145" s="119" t="s">
        <v>1345</v>
      </c>
    </row>
    <row r="1146" spans="2:4" hidden="1">
      <c r="B1146" s="118" t="s">
        <v>1449</v>
      </c>
      <c r="C1146" s="96" t="s">
        <v>1276</v>
      </c>
      <c r="D1146" s="119" t="s">
        <v>1336</v>
      </c>
    </row>
    <row r="1147" spans="2:4" hidden="1">
      <c r="B1147" s="118" t="s">
        <v>1449</v>
      </c>
      <c r="C1147" s="96" t="s">
        <v>1268</v>
      </c>
      <c r="D1147" s="119" t="s">
        <v>1329</v>
      </c>
    </row>
    <row r="1148" spans="2:4" hidden="1">
      <c r="B1148" s="118" t="s">
        <v>1449</v>
      </c>
      <c r="C1148" s="96" t="s">
        <v>1234</v>
      </c>
      <c r="D1148" s="119" t="s">
        <v>1320</v>
      </c>
    </row>
    <row r="1149" spans="2:4" hidden="1">
      <c r="B1149" s="118" t="s">
        <v>1449</v>
      </c>
      <c r="C1149" s="96" t="s">
        <v>1226</v>
      </c>
      <c r="D1149" s="119" t="s">
        <v>1312</v>
      </c>
    </row>
    <row r="1150" spans="2:4" hidden="1">
      <c r="B1150" s="118" t="s">
        <v>1449</v>
      </c>
      <c r="C1150" s="96" t="s">
        <v>1220</v>
      </c>
      <c r="D1150" s="119" t="s">
        <v>1304</v>
      </c>
    </row>
    <row r="1151" spans="2:4" hidden="1">
      <c r="B1151" s="118" t="s">
        <v>1449</v>
      </c>
      <c r="C1151" s="96" t="s">
        <v>1214</v>
      </c>
      <c r="D1151" s="119" t="s">
        <v>1297</v>
      </c>
    </row>
    <row r="1152" spans="2:4" hidden="1">
      <c r="B1152" s="118" t="s">
        <v>1449</v>
      </c>
      <c r="C1152" s="96" t="s">
        <v>1137</v>
      </c>
      <c r="D1152" s="119" t="s">
        <v>1287</v>
      </c>
    </row>
    <row r="1153" spans="2:4" hidden="1">
      <c r="B1153" s="118" t="s">
        <v>1449</v>
      </c>
      <c r="C1153" s="96" t="s">
        <v>1131</v>
      </c>
      <c r="D1153" s="119" t="s">
        <v>1278</v>
      </c>
    </row>
    <row r="1154" spans="2:4" hidden="1">
      <c r="B1154" s="118" t="s">
        <v>1449</v>
      </c>
      <c r="C1154" s="96">
        <v>1.2</v>
      </c>
      <c r="D1154" s="119" t="s">
        <v>880</v>
      </c>
    </row>
    <row r="1155" spans="2:4" hidden="1">
      <c r="B1155" s="118" t="s">
        <v>1449</v>
      </c>
      <c r="C1155" s="96">
        <v>1.3</v>
      </c>
      <c r="D1155" s="119" t="s">
        <v>349</v>
      </c>
    </row>
    <row r="1156" spans="2:4" hidden="1">
      <c r="B1156" s="118" t="s">
        <v>1449</v>
      </c>
      <c r="C1156" s="96">
        <v>1.4</v>
      </c>
      <c r="D1156" s="119" t="s">
        <v>1253</v>
      </c>
    </row>
    <row r="1157" spans="2:4" hidden="1">
      <c r="B1157" s="118" t="s">
        <v>1449</v>
      </c>
      <c r="C1157" s="96">
        <v>1.5</v>
      </c>
      <c r="D1157" s="119" t="s">
        <v>876</v>
      </c>
    </row>
    <row r="1158" spans="2:4" hidden="1">
      <c r="B1158" s="118" t="s">
        <v>1449</v>
      </c>
      <c r="C1158" s="96" t="s">
        <v>446</v>
      </c>
      <c r="D1158" s="119" t="s">
        <v>873</v>
      </c>
    </row>
    <row r="1159" spans="2:4" hidden="1">
      <c r="B1159" s="118" t="s">
        <v>1449</v>
      </c>
      <c r="C1159" s="96" t="s">
        <v>441</v>
      </c>
      <c r="D1159" s="119" t="s">
        <v>871</v>
      </c>
    </row>
    <row r="1160" spans="2:4" hidden="1">
      <c r="B1160" s="118" t="s">
        <v>1449</v>
      </c>
      <c r="C1160" s="96" t="s">
        <v>437</v>
      </c>
      <c r="D1160" s="119" t="s">
        <v>868</v>
      </c>
    </row>
    <row r="1161" spans="2:4" hidden="1">
      <c r="B1161" s="118" t="s">
        <v>1449</v>
      </c>
      <c r="C1161" s="96" t="s">
        <v>1028</v>
      </c>
      <c r="D1161" s="119" t="s">
        <v>865</v>
      </c>
    </row>
    <row r="1162" spans="2:4" hidden="1">
      <c r="B1162" s="118" t="s">
        <v>1449</v>
      </c>
      <c r="C1162" s="96" t="s">
        <v>1208</v>
      </c>
      <c r="D1162" s="119" t="s">
        <v>860</v>
      </c>
    </row>
    <row r="1163" spans="2:4" hidden="1">
      <c r="B1163" s="118" t="s">
        <v>1449</v>
      </c>
      <c r="C1163" s="96">
        <v>1.6</v>
      </c>
      <c r="D1163" s="119" t="s">
        <v>856</v>
      </c>
    </row>
    <row r="1164" spans="2:4" hidden="1">
      <c r="B1164" s="118" t="s">
        <v>1449</v>
      </c>
      <c r="C1164" s="96" t="s">
        <v>431</v>
      </c>
      <c r="D1164" s="119" t="s">
        <v>853</v>
      </c>
    </row>
    <row r="1165" spans="2:4" hidden="1">
      <c r="B1165" s="118" t="s">
        <v>1449</v>
      </c>
      <c r="C1165" s="96" t="s">
        <v>426</v>
      </c>
      <c r="D1165" s="119" t="s">
        <v>850</v>
      </c>
    </row>
    <row r="1166" spans="2:4" hidden="1">
      <c r="B1166" s="118" t="s">
        <v>1449</v>
      </c>
      <c r="C1166" s="96" t="s">
        <v>417</v>
      </c>
      <c r="D1166" s="119" t="s">
        <v>846</v>
      </c>
    </row>
    <row r="1167" spans="2:4" hidden="1">
      <c r="B1167" s="118" t="s">
        <v>1449</v>
      </c>
      <c r="C1167" s="96">
        <v>1.7</v>
      </c>
      <c r="D1167" s="119" t="s">
        <v>843</v>
      </c>
    </row>
    <row r="1168" spans="2:4" hidden="1">
      <c r="B1168" s="118" t="s">
        <v>1449</v>
      </c>
      <c r="C1168" s="96" t="s">
        <v>414</v>
      </c>
      <c r="D1168" s="119" t="s">
        <v>839</v>
      </c>
    </row>
    <row r="1169" spans="2:4" hidden="1">
      <c r="B1169" s="118" t="s">
        <v>1449</v>
      </c>
      <c r="C1169" s="96" t="s">
        <v>409</v>
      </c>
      <c r="D1169" s="119" t="s">
        <v>834</v>
      </c>
    </row>
    <row r="1170" spans="2:4" hidden="1">
      <c r="B1170" s="118" t="s">
        <v>1449</v>
      </c>
      <c r="C1170" s="96" t="s">
        <v>392</v>
      </c>
      <c r="D1170" s="119" t="s">
        <v>830</v>
      </c>
    </row>
    <row r="1171" spans="2:4" hidden="1">
      <c r="B1171" s="118" t="s">
        <v>1449</v>
      </c>
      <c r="C1171" s="96" t="s">
        <v>390</v>
      </c>
      <c r="D1171" s="119" t="s">
        <v>826</v>
      </c>
    </row>
    <row r="1172" spans="2:4" hidden="1">
      <c r="B1172" s="118" t="s">
        <v>1449</v>
      </c>
      <c r="C1172" s="96" t="s">
        <v>379</v>
      </c>
      <c r="D1172" s="119" t="s">
        <v>822</v>
      </c>
    </row>
    <row r="1173" spans="2:4" hidden="1">
      <c r="B1173" s="118" t="s">
        <v>1449</v>
      </c>
      <c r="C1173" s="96">
        <v>1.8</v>
      </c>
      <c r="D1173" s="119" t="s">
        <v>820</v>
      </c>
    </row>
    <row r="1174" spans="2:4" hidden="1">
      <c r="B1174" s="118" t="s">
        <v>1449</v>
      </c>
      <c r="C1174" s="96" t="s">
        <v>356</v>
      </c>
      <c r="D1174" s="119" t="s">
        <v>810</v>
      </c>
    </row>
    <row r="1175" spans="2:4" hidden="1">
      <c r="B1175" s="118" t="s">
        <v>1449</v>
      </c>
      <c r="C1175" s="96" t="s">
        <v>346</v>
      </c>
      <c r="D1175" s="119" t="s">
        <v>807</v>
      </c>
    </row>
    <row r="1176" spans="2:4" hidden="1">
      <c r="B1176" s="118" t="s">
        <v>1449</v>
      </c>
      <c r="C1176" s="96">
        <v>1.9</v>
      </c>
      <c r="D1176" s="119" t="s">
        <v>814</v>
      </c>
    </row>
    <row r="1177" spans="2:4" hidden="1">
      <c r="B1177" s="118" t="s">
        <v>1449</v>
      </c>
      <c r="C1177" s="96" t="s">
        <v>335</v>
      </c>
      <c r="D1177" s="119" t="s">
        <v>810</v>
      </c>
    </row>
    <row r="1178" spans="2:4" hidden="1">
      <c r="B1178" s="118" t="s">
        <v>1449</v>
      </c>
      <c r="C1178" s="96" t="s">
        <v>334</v>
      </c>
      <c r="D1178" s="119" t="s">
        <v>807</v>
      </c>
    </row>
    <row r="1179" spans="2:4" hidden="1">
      <c r="B1179" s="118" t="s">
        <v>1449</v>
      </c>
      <c r="C1179" s="96">
        <v>1.1000000000000001</v>
      </c>
      <c r="D1179" s="119" t="s">
        <v>805</v>
      </c>
    </row>
    <row r="1180" spans="2:4" hidden="1">
      <c r="B1180" s="118" t="s">
        <v>1449</v>
      </c>
      <c r="C1180" s="96" t="s">
        <v>329</v>
      </c>
      <c r="D1180" s="119" t="s">
        <v>1075</v>
      </c>
    </row>
    <row r="1181" spans="2:4" hidden="1">
      <c r="B1181" s="118" t="s">
        <v>1449</v>
      </c>
      <c r="C1181" s="96" t="s">
        <v>1066</v>
      </c>
      <c r="D1181" s="119" t="s">
        <v>1065</v>
      </c>
    </row>
    <row r="1182" spans="2:4" hidden="1">
      <c r="B1182" s="118" t="s">
        <v>1449</v>
      </c>
      <c r="C1182" s="96" t="s">
        <v>1057</v>
      </c>
      <c r="D1182" s="119" t="s">
        <v>1056</v>
      </c>
    </row>
    <row r="1183" spans="2:4" hidden="1">
      <c r="B1183" s="118" t="s">
        <v>1449</v>
      </c>
      <c r="C1183" s="96" t="s">
        <v>1050</v>
      </c>
      <c r="D1183" s="119" t="s">
        <v>1049</v>
      </c>
    </row>
    <row r="1184" spans="2:4" hidden="1">
      <c r="B1184" s="118" t="s">
        <v>1449</v>
      </c>
      <c r="C1184" s="96" t="s">
        <v>1042</v>
      </c>
      <c r="D1184" s="119" t="s">
        <v>1041</v>
      </c>
    </row>
    <row r="1185" spans="2:4" hidden="1">
      <c r="B1185" s="118" t="s">
        <v>1449</v>
      </c>
      <c r="C1185" s="96" t="s">
        <v>1035</v>
      </c>
      <c r="D1185" s="119" t="s">
        <v>1034</v>
      </c>
    </row>
    <row r="1186" spans="2:4" hidden="1">
      <c r="B1186" s="118" t="s">
        <v>1449</v>
      </c>
      <c r="C1186" s="96" t="s">
        <v>1026</v>
      </c>
      <c r="D1186" s="119" t="s">
        <v>1025</v>
      </c>
    </row>
    <row r="1187" spans="2:4" hidden="1">
      <c r="B1187" s="118" t="s">
        <v>1449</v>
      </c>
      <c r="C1187" s="96" t="s">
        <v>1016</v>
      </c>
      <c r="D1187" s="119" t="s">
        <v>1015</v>
      </c>
    </row>
    <row r="1188" spans="2:4" hidden="1">
      <c r="B1188" s="118" t="s">
        <v>1449</v>
      </c>
      <c r="C1188" s="96">
        <v>1.1100000000000001</v>
      </c>
      <c r="D1188" s="119" t="s">
        <v>787</v>
      </c>
    </row>
    <row r="1189" spans="2:4" hidden="1">
      <c r="B1189" s="118" t="s">
        <v>1449</v>
      </c>
      <c r="C1189" s="96" t="s">
        <v>818</v>
      </c>
      <c r="D1189" s="119" t="s">
        <v>784</v>
      </c>
    </row>
    <row r="1190" spans="2:4" hidden="1">
      <c r="B1190" s="118" t="s">
        <v>1449</v>
      </c>
      <c r="C1190" s="96" t="s">
        <v>816</v>
      </c>
      <c r="D1190" s="119" t="s">
        <v>781</v>
      </c>
    </row>
    <row r="1191" spans="2:4" hidden="1">
      <c r="B1191" s="118" t="s">
        <v>1449</v>
      </c>
      <c r="C1191" s="96" t="s">
        <v>878</v>
      </c>
      <c r="D1191" s="119" t="s">
        <v>778</v>
      </c>
    </row>
    <row r="1192" spans="2:4" hidden="1">
      <c r="B1192" s="118" t="s">
        <v>1449</v>
      </c>
      <c r="C1192" s="96">
        <v>1.1200000000000001</v>
      </c>
      <c r="D1192" s="119" t="s">
        <v>776</v>
      </c>
    </row>
    <row r="1193" spans="2:4" hidden="1">
      <c r="B1193" s="118" t="s">
        <v>1449</v>
      </c>
      <c r="C1193" s="96" t="s">
        <v>974</v>
      </c>
      <c r="D1193" s="119" t="s">
        <v>973</v>
      </c>
    </row>
    <row r="1194" spans="2:4" hidden="1">
      <c r="B1194" s="118" t="s">
        <v>1518</v>
      </c>
      <c r="C1194" s="96" t="s">
        <v>1519</v>
      </c>
      <c r="D1194" s="119" t="s">
        <v>1646</v>
      </c>
    </row>
    <row r="1195" spans="2:4" hidden="1">
      <c r="B1195" s="118" t="s">
        <v>1518</v>
      </c>
      <c r="C1195" s="96" t="s">
        <v>1520</v>
      </c>
      <c r="D1195" s="119" t="s">
        <v>1647</v>
      </c>
    </row>
    <row r="1196" spans="2:4" hidden="1">
      <c r="B1196" s="118" t="s">
        <v>1518</v>
      </c>
      <c r="C1196" s="96" t="s">
        <v>1422</v>
      </c>
      <c r="D1196" s="119" t="s">
        <v>1648</v>
      </c>
    </row>
    <row r="1197" spans="2:4" hidden="1">
      <c r="B1197" s="118" t="s">
        <v>1518</v>
      </c>
      <c r="C1197" s="96" t="s">
        <v>1369</v>
      </c>
      <c r="D1197" s="119" t="s">
        <v>1649</v>
      </c>
    </row>
    <row r="1198" spans="2:4" hidden="1">
      <c r="B1198" s="118" t="s">
        <v>1518</v>
      </c>
      <c r="C1198" s="96" t="s">
        <v>1295</v>
      </c>
      <c r="D1198" s="119" t="s">
        <v>1650</v>
      </c>
    </row>
    <row r="1199" spans="2:4" hidden="1">
      <c r="B1199" s="118" t="s">
        <v>1518</v>
      </c>
      <c r="C1199" s="96" t="s">
        <v>1234</v>
      </c>
      <c r="D1199" s="119" t="s">
        <v>1651</v>
      </c>
    </row>
    <row r="1200" spans="2:4" hidden="1">
      <c r="B1200" s="118" t="s">
        <v>1518</v>
      </c>
      <c r="C1200" s="96" t="s">
        <v>1521</v>
      </c>
      <c r="D1200" s="119" t="s">
        <v>1652</v>
      </c>
    </row>
    <row r="1201" spans="2:4" hidden="1">
      <c r="B1201" s="118" t="s">
        <v>1518</v>
      </c>
      <c r="C1201" s="96" t="s">
        <v>948</v>
      </c>
      <c r="D1201" s="119" t="s">
        <v>1653</v>
      </c>
    </row>
    <row r="1202" spans="2:4" hidden="1">
      <c r="B1202" s="118" t="s">
        <v>1518</v>
      </c>
      <c r="C1202" s="96" t="s">
        <v>1381</v>
      </c>
      <c r="D1202" s="119" t="s">
        <v>1654</v>
      </c>
    </row>
    <row r="1203" spans="2:4" hidden="1">
      <c r="B1203" s="118" t="s">
        <v>1518</v>
      </c>
      <c r="C1203" s="96" t="s">
        <v>1522</v>
      </c>
      <c r="D1203" s="119" t="s">
        <v>1655</v>
      </c>
    </row>
    <row r="1204" spans="2:4" hidden="1">
      <c r="B1204" s="118" t="s">
        <v>1518</v>
      </c>
      <c r="C1204" s="96" t="s">
        <v>1523</v>
      </c>
      <c r="D1204" s="119" t="s">
        <v>1556</v>
      </c>
    </row>
    <row r="1205" spans="2:4" hidden="1">
      <c r="B1205" s="118" t="s">
        <v>1518</v>
      </c>
      <c r="C1205" s="96" t="s">
        <v>1524</v>
      </c>
      <c r="D1205" s="119" t="s">
        <v>1656</v>
      </c>
    </row>
    <row r="1206" spans="2:4" hidden="1">
      <c r="B1206" s="118" t="s">
        <v>1518</v>
      </c>
      <c r="C1206" s="96" t="s">
        <v>1525</v>
      </c>
      <c r="D1206" s="119" t="s">
        <v>1657</v>
      </c>
    </row>
    <row r="1207" spans="2:4" hidden="1">
      <c r="B1207" s="118" t="s">
        <v>1518</v>
      </c>
      <c r="C1207" s="96" t="s">
        <v>1526</v>
      </c>
      <c r="D1207" s="119" t="s">
        <v>1658</v>
      </c>
    </row>
    <row r="1208" spans="2:4" hidden="1">
      <c r="B1208" s="118" t="s">
        <v>1518</v>
      </c>
      <c r="C1208" s="96" t="s">
        <v>1527</v>
      </c>
      <c r="D1208" s="119" t="s">
        <v>1659</v>
      </c>
    </row>
    <row r="1209" spans="2:4" hidden="1">
      <c r="B1209" s="118" t="s">
        <v>1518</v>
      </c>
      <c r="C1209" s="96" t="s">
        <v>1371</v>
      </c>
      <c r="D1209" s="119" t="s">
        <v>1660</v>
      </c>
    </row>
    <row r="1210" spans="2:4" hidden="1">
      <c r="B1210" s="118" t="s">
        <v>1518</v>
      </c>
      <c r="C1210" s="96" t="s">
        <v>1361</v>
      </c>
      <c r="D1210" s="119" t="s">
        <v>1661</v>
      </c>
    </row>
    <row r="1211" spans="2:4" hidden="1">
      <c r="B1211" s="118" t="s">
        <v>1518</v>
      </c>
      <c r="C1211" s="96" t="s">
        <v>1351</v>
      </c>
      <c r="D1211" s="119" t="s">
        <v>1662</v>
      </c>
    </row>
    <row r="1212" spans="2:4" hidden="1">
      <c r="B1212" s="118" t="s">
        <v>1518</v>
      </c>
      <c r="C1212" s="96" t="s">
        <v>943</v>
      </c>
      <c r="D1212" s="119" t="s">
        <v>1663</v>
      </c>
    </row>
    <row r="1213" spans="2:4" hidden="1">
      <c r="B1213" s="118" t="s">
        <v>1518</v>
      </c>
      <c r="C1213" s="96" t="s">
        <v>813</v>
      </c>
      <c r="D1213" s="119" t="s">
        <v>1664</v>
      </c>
    </row>
    <row r="1214" spans="2:4" hidden="1">
      <c r="B1214" s="118" t="s">
        <v>1518</v>
      </c>
      <c r="C1214" s="96" t="s">
        <v>1528</v>
      </c>
      <c r="D1214" s="119" t="s">
        <v>1665</v>
      </c>
    </row>
    <row r="1215" spans="2:4" hidden="1">
      <c r="B1215" s="118" t="s">
        <v>1518</v>
      </c>
      <c r="C1215" s="96" t="s">
        <v>613</v>
      </c>
      <c r="D1215" s="119" t="s">
        <v>1666</v>
      </c>
    </row>
    <row r="1216" spans="2:4" hidden="1">
      <c r="B1216" s="118" t="s">
        <v>1518</v>
      </c>
      <c r="C1216" s="96" t="s">
        <v>612</v>
      </c>
      <c r="D1216" s="119" t="s">
        <v>1654</v>
      </c>
    </row>
    <row r="1217" spans="2:4" hidden="1">
      <c r="B1217" s="118" t="s">
        <v>1518</v>
      </c>
      <c r="C1217" s="96" t="s">
        <v>1529</v>
      </c>
      <c r="D1217" s="119" t="s">
        <v>1655</v>
      </c>
    </row>
    <row r="1218" spans="2:4" hidden="1">
      <c r="B1218" s="118" t="s">
        <v>1518</v>
      </c>
      <c r="C1218" s="96" t="s">
        <v>1530</v>
      </c>
      <c r="D1218" s="119" t="s">
        <v>1556</v>
      </c>
    </row>
    <row r="1219" spans="2:4" hidden="1">
      <c r="B1219" s="118" t="s">
        <v>1518</v>
      </c>
      <c r="C1219" s="96" t="s">
        <v>1531</v>
      </c>
      <c r="D1219" s="119" t="s">
        <v>1656</v>
      </c>
    </row>
    <row r="1220" spans="2:4" hidden="1">
      <c r="B1220" s="118" t="s">
        <v>1518</v>
      </c>
      <c r="C1220" s="96" t="s">
        <v>1532</v>
      </c>
      <c r="D1220" s="119" t="s">
        <v>1657</v>
      </c>
    </row>
    <row r="1221" spans="2:4" hidden="1">
      <c r="B1221" s="118" t="s">
        <v>1518</v>
      </c>
      <c r="C1221" s="96" t="s">
        <v>1533</v>
      </c>
      <c r="D1221" s="119" t="s">
        <v>1658</v>
      </c>
    </row>
    <row r="1222" spans="2:4" hidden="1">
      <c r="B1222" s="118" t="s">
        <v>1518</v>
      </c>
      <c r="C1222" s="96" t="s">
        <v>1534</v>
      </c>
      <c r="D1222" s="119" t="s">
        <v>1659</v>
      </c>
    </row>
    <row r="1223" spans="2:4" hidden="1">
      <c r="B1223" s="118" t="s">
        <v>1518</v>
      </c>
      <c r="C1223" s="96" t="s">
        <v>611</v>
      </c>
      <c r="D1223" s="119" t="s">
        <v>1667</v>
      </c>
    </row>
    <row r="1224" spans="2:4" hidden="1">
      <c r="B1224" s="118" t="s">
        <v>1518</v>
      </c>
      <c r="C1224" s="96" t="s">
        <v>610</v>
      </c>
      <c r="D1224" s="119" t="s">
        <v>1668</v>
      </c>
    </row>
    <row r="1225" spans="2:4" hidden="1">
      <c r="B1225" s="118" t="s">
        <v>1518</v>
      </c>
      <c r="C1225" s="96" t="s">
        <v>609</v>
      </c>
      <c r="D1225" s="119" t="s">
        <v>1669</v>
      </c>
    </row>
    <row r="1226" spans="2:4" hidden="1">
      <c r="B1226" s="118" t="s">
        <v>1518</v>
      </c>
      <c r="C1226" s="96" t="s">
        <v>608</v>
      </c>
      <c r="D1226" s="119" t="s">
        <v>1670</v>
      </c>
    </row>
    <row r="1227" spans="2:4" hidden="1">
      <c r="B1227" s="118" t="s">
        <v>1518</v>
      </c>
      <c r="C1227" s="96" t="s">
        <v>918</v>
      </c>
      <c r="D1227" s="119" t="s">
        <v>1535</v>
      </c>
    </row>
    <row r="1228" spans="2:4" hidden="1">
      <c r="B1228" s="118" t="s">
        <v>1518</v>
      </c>
      <c r="C1228" s="96" t="s">
        <v>913</v>
      </c>
      <c r="D1228" s="119" t="s">
        <v>1671</v>
      </c>
    </row>
    <row r="1229" spans="2:4" hidden="1">
      <c r="B1229" s="118" t="s">
        <v>1518</v>
      </c>
      <c r="C1229" s="96" t="s">
        <v>1536</v>
      </c>
      <c r="D1229" s="119" t="s">
        <v>1672</v>
      </c>
    </row>
    <row r="1230" spans="2:4" hidden="1">
      <c r="B1230" s="118" t="s">
        <v>1518</v>
      </c>
      <c r="C1230" s="96" t="s">
        <v>1537</v>
      </c>
      <c r="D1230" s="119" t="s">
        <v>1673</v>
      </c>
    </row>
    <row r="1231" spans="2:4" hidden="1">
      <c r="B1231" s="118" t="s">
        <v>1518</v>
      </c>
      <c r="C1231" s="96" t="s">
        <v>1538</v>
      </c>
      <c r="D1231" s="119" t="s">
        <v>880</v>
      </c>
    </row>
    <row r="1232" spans="2:4" hidden="1">
      <c r="B1232" s="118" t="s">
        <v>1518</v>
      </c>
      <c r="C1232" s="96" t="s">
        <v>1539</v>
      </c>
      <c r="D1232" s="119" t="s">
        <v>349</v>
      </c>
    </row>
    <row r="1233" spans="2:4" hidden="1">
      <c r="B1233" s="118" t="s">
        <v>1518</v>
      </c>
      <c r="C1233" s="96" t="s">
        <v>1540</v>
      </c>
      <c r="D1233" s="119" t="s">
        <v>1674</v>
      </c>
    </row>
    <row r="1234" spans="2:4" hidden="1">
      <c r="B1234" s="118" t="s">
        <v>1518</v>
      </c>
      <c r="C1234" s="96" t="s">
        <v>1541</v>
      </c>
      <c r="D1234" s="119" t="s">
        <v>1675</v>
      </c>
    </row>
    <row r="1235" spans="2:4" hidden="1">
      <c r="B1235" s="118" t="s">
        <v>1518</v>
      </c>
      <c r="C1235" s="96" t="s">
        <v>1542</v>
      </c>
      <c r="D1235" s="119" t="s">
        <v>1676</v>
      </c>
    </row>
    <row r="1236" spans="2:4" hidden="1">
      <c r="B1236" s="118" t="s">
        <v>1518</v>
      </c>
      <c r="C1236" s="96" t="s">
        <v>1543</v>
      </c>
      <c r="D1236" s="119" t="s">
        <v>876</v>
      </c>
    </row>
    <row r="1237" spans="2:4" hidden="1">
      <c r="B1237" s="118" t="s">
        <v>1518</v>
      </c>
      <c r="C1237" s="96" t="s">
        <v>1677</v>
      </c>
      <c r="D1237" s="119" t="s">
        <v>1678</v>
      </c>
    </row>
    <row r="1238" spans="2:4" hidden="1">
      <c r="B1238" s="118" t="s">
        <v>1518</v>
      </c>
      <c r="C1238" s="96" t="s">
        <v>1679</v>
      </c>
      <c r="D1238" s="119" t="s">
        <v>1680</v>
      </c>
    </row>
    <row r="1239" spans="2:4" hidden="1">
      <c r="B1239" s="118" t="s">
        <v>1518</v>
      </c>
      <c r="C1239" s="96" t="s">
        <v>1681</v>
      </c>
      <c r="D1239" s="119" t="s">
        <v>1682</v>
      </c>
    </row>
    <row r="1240" spans="2:4" hidden="1">
      <c r="B1240" s="118" t="s">
        <v>1518</v>
      </c>
      <c r="C1240" s="96" t="s">
        <v>1683</v>
      </c>
      <c r="D1240" s="119" t="s">
        <v>860</v>
      </c>
    </row>
    <row r="1241" spans="2:4" hidden="1">
      <c r="B1241" s="118" t="s">
        <v>1518</v>
      </c>
      <c r="C1241" s="96" t="s">
        <v>1684</v>
      </c>
      <c r="D1241" s="119" t="s">
        <v>1685</v>
      </c>
    </row>
    <row r="1242" spans="2:4" hidden="1">
      <c r="B1242" s="118" t="s">
        <v>1518</v>
      </c>
      <c r="C1242" s="96" t="s">
        <v>1544</v>
      </c>
      <c r="D1242" s="119" t="s">
        <v>856</v>
      </c>
    </row>
    <row r="1243" spans="2:4" hidden="1">
      <c r="B1243" s="118" t="s">
        <v>1518</v>
      </c>
      <c r="C1243" s="96" t="s">
        <v>1545</v>
      </c>
      <c r="D1243" s="119" t="s">
        <v>1034</v>
      </c>
    </row>
    <row r="1244" spans="2:4" hidden="1">
      <c r="B1244" s="118" t="s">
        <v>1518</v>
      </c>
      <c r="C1244" s="96" t="s">
        <v>1546</v>
      </c>
      <c r="D1244" s="119" t="s">
        <v>820</v>
      </c>
    </row>
    <row r="1245" spans="2:4" hidden="1">
      <c r="B1245" s="118" t="s">
        <v>1518</v>
      </c>
      <c r="C1245" s="96" t="s">
        <v>1547</v>
      </c>
      <c r="D1245" s="119" t="s">
        <v>814</v>
      </c>
    </row>
    <row r="1246" spans="2:4" hidden="1">
      <c r="B1246" s="118" t="s">
        <v>1518</v>
      </c>
      <c r="C1246" s="96" t="s">
        <v>1548</v>
      </c>
      <c r="D1246" s="119" t="s">
        <v>805</v>
      </c>
    </row>
    <row r="1247" spans="2:4" hidden="1">
      <c r="B1247" s="118" t="s">
        <v>1518</v>
      </c>
      <c r="C1247" s="96" t="s">
        <v>1549</v>
      </c>
      <c r="D1247" s="119" t="s">
        <v>1550</v>
      </c>
    </row>
    <row r="1248" spans="2:4" hidden="1">
      <c r="B1248" s="118" t="s">
        <v>1518</v>
      </c>
      <c r="C1248" s="96" t="s">
        <v>1551</v>
      </c>
      <c r="D1248" s="119" t="s">
        <v>1552</v>
      </c>
    </row>
    <row r="1249" spans="2:4" hidden="1">
      <c r="B1249" s="118" t="s">
        <v>1518</v>
      </c>
      <c r="C1249" s="96" t="s">
        <v>1553</v>
      </c>
      <c r="D1249" s="119" t="s">
        <v>1554</v>
      </c>
    </row>
    <row r="1250" spans="2:4" hidden="1">
      <c r="B1250" s="118" t="s">
        <v>1518</v>
      </c>
      <c r="C1250" s="96" t="s">
        <v>1555</v>
      </c>
      <c r="D1250" s="119" t="s">
        <v>1556</v>
      </c>
    </row>
    <row r="1251" spans="2:4" hidden="1">
      <c r="B1251" s="118" t="s">
        <v>1518</v>
      </c>
      <c r="C1251" s="96" t="s">
        <v>1557</v>
      </c>
      <c r="D1251" s="119" t="s">
        <v>1558</v>
      </c>
    </row>
    <row r="1252" spans="2:4" hidden="1">
      <c r="B1252" s="118" t="s">
        <v>1518</v>
      </c>
      <c r="C1252" s="96" t="s">
        <v>1559</v>
      </c>
      <c r="D1252" s="119" t="s">
        <v>1560</v>
      </c>
    </row>
    <row r="1253" spans="2:4" hidden="1">
      <c r="B1253" s="118" t="s">
        <v>1518</v>
      </c>
      <c r="C1253" s="96" t="s">
        <v>1561</v>
      </c>
      <c r="D1253" s="119" t="s">
        <v>1562</v>
      </c>
    </row>
    <row r="1254" spans="2:4" hidden="1">
      <c r="B1254" s="118" t="s">
        <v>1518</v>
      </c>
      <c r="C1254" s="96" t="s">
        <v>1563</v>
      </c>
      <c r="D1254" s="119" t="s">
        <v>1564</v>
      </c>
    </row>
    <row r="1255" spans="2:4" hidden="1">
      <c r="B1255" s="118" t="s">
        <v>1518</v>
      </c>
      <c r="C1255" s="96" t="s">
        <v>1565</v>
      </c>
      <c r="D1255" s="119" t="s">
        <v>1566</v>
      </c>
    </row>
    <row r="1256" spans="2:4" hidden="1">
      <c r="B1256" s="118" t="s">
        <v>1518</v>
      </c>
      <c r="C1256" s="96" t="s">
        <v>1567</v>
      </c>
      <c r="D1256" s="119" t="s">
        <v>1568</v>
      </c>
    </row>
    <row r="1257" spans="2:4" hidden="1">
      <c r="B1257" s="118" t="s">
        <v>1518</v>
      </c>
      <c r="C1257" s="96" t="s">
        <v>1569</v>
      </c>
      <c r="D1257" s="119" t="s">
        <v>1570</v>
      </c>
    </row>
    <row r="1258" spans="2:4" hidden="1">
      <c r="B1258" s="118" t="s">
        <v>1518</v>
      </c>
      <c r="C1258" s="96" t="s">
        <v>1571</v>
      </c>
      <c r="D1258" s="119" t="s">
        <v>909</v>
      </c>
    </row>
    <row r="1259" spans="2:4" hidden="1">
      <c r="B1259" s="118" t="s">
        <v>1518</v>
      </c>
      <c r="C1259" s="96" t="s">
        <v>1572</v>
      </c>
      <c r="D1259" s="119" t="s">
        <v>1573</v>
      </c>
    </row>
    <row r="1260" spans="2:4" hidden="1">
      <c r="B1260" s="118" t="s">
        <v>1518</v>
      </c>
      <c r="C1260" s="96" t="s">
        <v>1574</v>
      </c>
      <c r="D1260" s="119" t="s">
        <v>1575</v>
      </c>
    </row>
    <row r="1261" spans="2:4" hidden="1">
      <c r="B1261" s="118" t="s">
        <v>1518</v>
      </c>
      <c r="C1261" s="96" t="s">
        <v>1576</v>
      </c>
      <c r="D1261" s="119" t="s">
        <v>1577</v>
      </c>
    </row>
    <row r="1262" spans="2:4" hidden="1">
      <c r="B1262" s="118" t="s">
        <v>1518</v>
      </c>
      <c r="C1262" s="96" t="s">
        <v>1578</v>
      </c>
      <c r="D1262" s="119" t="s">
        <v>1579</v>
      </c>
    </row>
    <row r="1263" spans="2:4" hidden="1">
      <c r="B1263" s="118" t="s">
        <v>1518</v>
      </c>
      <c r="C1263" s="96" t="s">
        <v>1580</v>
      </c>
      <c r="D1263" s="119" t="s">
        <v>1581</v>
      </c>
    </row>
    <row r="1264" spans="2:4" hidden="1">
      <c r="B1264" s="118" t="s">
        <v>1518</v>
      </c>
      <c r="C1264" s="96" t="s">
        <v>1582</v>
      </c>
      <c r="D1264" s="119" t="s">
        <v>1583</v>
      </c>
    </row>
    <row r="1265" spans="2:4" hidden="1">
      <c r="B1265" s="118" t="s">
        <v>1518</v>
      </c>
      <c r="C1265" s="96" t="s">
        <v>1584</v>
      </c>
      <c r="D1265" s="119" t="s">
        <v>1585</v>
      </c>
    </row>
    <row r="1266" spans="2:4" hidden="1">
      <c r="B1266" s="118" t="s">
        <v>1518</v>
      </c>
      <c r="C1266" s="96" t="s">
        <v>1586</v>
      </c>
      <c r="D1266" s="119" t="s">
        <v>1587</v>
      </c>
    </row>
    <row r="1267" spans="2:4" hidden="1">
      <c r="B1267" s="118" t="s">
        <v>1518</v>
      </c>
      <c r="C1267" s="96" t="s">
        <v>1588</v>
      </c>
      <c r="D1267" s="119" t="s">
        <v>1589</v>
      </c>
    </row>
    <row r="1268" spans="2:4" hidden="1">
      <c r="B1268" s="118" t="s">
        <v>1518</v>
      </c>
      <c r="C1268" s="96" t="s">
        <v>1590</v>
      </c>
      <c r="D1268" s="119" t="s">
        <v>1591</v>
      </c>
    </row>
    <row r="1269" spans="2:4" hidden="1">
      <c r="B1269" s="118" t="s">
        <v>1518</v>
      </c>
      <c r="C1269" s="96" t="s">
        <v>1592</v>
      </c>
      <c r="D1269" s="119" t="s">
        <v>1593</v>
      </c>
    </row>
    <row r="1270" spans="2:4" hidden="1">
      <c r="B1270" s="118" t="s">
        <v>1518</v>
      </c>
      <c r="C1270" s="96" t="s">
        <v>1594</v>
      </c>
      <c r="D1270" s="119" t="s">
        <v>367</v>
      </c>
    </row>
    <row r="1271" spans="2:4" hidden="1">
      <c r="B1271" s="118" t="s">
        <v>1518</v>
      </c>
      <c r="C1271" s="96" t="s">
        <v>1595</v>
      </c>
      <c r="D1271" s="119" t="s">
        <v>1596</v>
      </c>
    </row>
    <row r="1272" spans="2:4" hidden="1">
      <c r="B1272" s="118" t="s">
        <v>1518</v>
      </c>
      <c r="C1272" s="96" t="s">
        <v>1597</v>
      </c>
      <c r="D1272" s="119" t="s">
        <v>1598</v>
      </c>
    </row>
    <row r="1273" spans="2:4" hidden="1">
      <c r="B1273" s="118" t="s">
        <v>1518</v>
      </c>
      <c r="C1273" s="96" t="s">
        <v>1599</v>
      </c>
      <c r="D1273" s="119" t="s">
        <v>1600</v>
      </c>
    </row>
    <row r="1274" spans="2:4" hidden="1">
      <c r="B1274" s="118" t="s">
        <v>1518</v>
      </c>
      <c r="C1274" s="96" t="s">
        <v>1601</v>
      </c>
      <c r="D1274" s="119" t="s">
        <v>1602</v>
      </c>
    </row>
    <row r="1275" spans="2:4" hidden="1">
      <c r="B1275" s="118" t="s">
        <v>1518</v>
      </c>
      <c r="C1275" s="96" t="s">
        <v>1603</v>
      </c>
      <c r="D1275" s="119" t="s">
        <v>1604</v>
      </c>
    </row>
    <row r="1276" spans="2:4" hidden="1">
      <c r="B1276" s="118" t="s">
        <v>1518</v>
      </c>
      <c r="C1276" s="96" t="s">
        <v>1605</v>
      </c>
      <c r="D1276" s="119" t="s">
        <v>1606</v>
      </c>
    </row>
    <row r="1277" spans="2:4" hidden="1">
      <c r="B1277" s="118" t="s">
        <v>1518</v>
      </c>
      <c r="C1277" s="96" t="s">
        <v>1607</v>
      </c>
      <c r="D1277" s="119" t="s">
        <v>1608</v>
      </c>
    </row>
    <row r="1278" spans="2:4" hidden="1">
      <c r="B1278" s="118" t="s">
        <v>1518</v>
      </c>
      <c r="C1278" s="96" t="s">
        <v>1609</v>
      </c>
      <c r="D1278" s="119" t="s">
        <v>1610</v>
      </c>
    </row>
    <row r="1279" spans="2:4" hidden="1">
      <c r="B1279" s="118" t="s">
        <v>1518</v>
      </c>
      <c r="C1279" s="96" t="s">
        <v>1611</v>
      </c>
      <c r="D1279" s="119" t="s">
        <v>1612</v>
      </c>
    </row>
    <row r="1280" spans="2:4" hidden="1">
      <c r="B1280" s="118" t="s">
        <v>1518</v>
      </c>
      <c r="C1280" s="96" t="s">
        <v>1613</v>
      </c>
      <c r="D1280" s="119" t="s">
        <v>1614</v>
      </c>
    </row>
    <row r="1281" spans="2:4" hidden="1">
      <c r="B1281" s="118" t="s">
        <v>1518</v>
      </c>
      <c r="C1281" s="96" t="s">
        <v>1615</v>
      </c>
      <c r="D1281" s="119" t="s">
        <v>1616</v>
      </c>
    </row>
    <row r="1282" spans="2:4" hidden="1">
      <c r="B1282" s="118" t="s">
        <v>1518</v>
      </c>
      <c r="C1282" s="96" t="s">
        <v>1617</v>
      </c>
      <c r="D1282" s="119" t="s">
        <v>1686</v>
      </c>
    </row>
    <row r="1283" spans="2:4" hidden="1">
      <c r="B1283" s="118" t="s">
        <v>1518</v>
      </c>
      <c r="C1283" s="96" t="s">
        <v>1618</v>
      </c>
      <c r="D1283" s="119" t="s">
        <v>1619</v>
      </c>
    </row>
    <row r="1284" spans="2:4" hidden="1">
      <c r="B1284" s="118" t="s">
        <v>1518</v>
      </c>
      <c r="C1284" s="96" t="s">
        <v>1620</v>
      </c>
      <c r="D1284" s="119" t="s">
        <v>256</v>
      </c>
    </row>
    <row r="1285" spans="2:4" hidden="1">
      <c r="B1285" s="118" t="s">
        <v>1518</v>
      </c>
      <c r="C1285" s="96" t="s">
        <v>1621</v>
      </c>
      <c r="D1285" s="119" t="s">
        <v>787</v>
      </c>
    </row>
    <row r="1286" spans="2:4" hidden="1">
      <c r="B1286" s="118" t="s">
        <v>1518</v>
      </c>
      <c r="C1286" s="96" t="s">
        <v>1622</v>
      </c>
      <c r="D1286" s="119" t="s">
        <v>1687</v>
      </c>
    </row>
    <row r="1287" spans="2:4" hidden="1">
      <c r="B1287" s="118" t="s">
        <v>1518</v>
      </c>
      <c r="C1287" s="96" t="s">
        <v>1623</v>
      </c>
      <c r="D1287" s="119" t="s">
        <v>1688</v>
      </c>
    </row>
    <row r="1288" spans="2:4" hidden="1">
      <c r="B1288" s="118" t="s">
        <v>1518</v>
      </c>
      <c r="C1288" s="96" t="s">
        <v>1624</v>
      </c>
      <c r="D1288" s="119" t="s">
        <v>880</v>
      </c>
    </row>
    <row r="1289" spans="2:4" hidden="1">
      <c r="B1289" s="118" t="s">
        <v>1518</v>
      </c>
      <c r="C1289" s="96" t="s">
        <v>1625</v>
      </c>
      <c r="D1289" s="119" t="s">
        <v>349</v>
      </c>
    </row>
    <row r="1290" spans="2:4" hidden="1">
      <c r="B1290" s="118" t="s">
        <v>1518</v>
      </c>
      <c r="C1290" s="96" t="s">
        <v>1626</v>
      </c>
      <c r="D1290" s="119" t="s">
        <v>1689</v>
      </c>
    </row>
    <row r="1291" spans="2:4" hidden="1">
      <c r="B1291" s="118" t="s">
        <v>1518</v>
      </c>
      <c r="C1291" s="96" t="s">
        <v>1627</v>
      </c>
      <c r="D1291" s="119" t="s">
        <v>1675</v>
      </c>
    </row>
    <row r="1292" spans="2:4" hidden="1">
      <c r="B1292" s="118" t="s">
        <v>1518</v>
      </c>
      <c r="C1292" s="96" t="s">
        <v>1628</v>
      </c>
      <c r="D1292" s="119" t="s">
        <v>1690</v>
      </c>
    </row>
    <row r="1293" spans="2:4" hidden="1">
      <c r="B1293" s="118" t="s">
        <v>1518</v>
      </c>
      <c r="C1293" s="96" t="s">
        <v>1629</v>
      </c>
      <c r="D1293" s="119" t="s">
        <v>1691</v>
      </c>
    </row>
    <row r="1294" spans="2:4" hidden="1">
      <c r="B1294" s="118" t="s">
        <v>1518</v>
      </c>
      <c r="C1294" s="96" t="s">
        <v>1630</v>
      </c>
      <c r="D1294" s="119" t="s">
        <v>1692</v>
      </c>
    </row>
    <row r="1295" spans="2:4" hidden="1">
      <c r="B1295" s="118" t="s">
        <v>1518</v>
      </c>
      <c r="C1295" s="96" t="s">
        <v>1631</v>
      </c>
      <c r="D1295" s="119" t="s">
        <v>1693</v>
      </c>
    </row>
    <row r="1296" spans="2:4" hidden="1">
      <c r="B1296" s="118" t="s">
        <v>1518</v>
      </c>
      <c r="C1296" s="96" t="s">
        <v>1632</v>
      </c>
      <c r="D1296" s="119" t="s">
        <v>1694</v>
      </c>
    </row>
    <row r="1297" spans="2:4" hidden="1">
      <c r="B1297" s="118" t="s">
        <v>1518</v>
      </c>
      <c r="C1297" s="96" t="s">
        <v>1633</v>
      </c>
      <c r="D1297" s="119" t="s">
        <v>1692</v>
      </c>
    </row>
    <row r="1298" spans="2:4" hidden="1">
      <c r="B1298" s="118" t="s">
        <v>1518</v>
      </c>
      <c r="C1298" s="96" t="s">
        <v>1634</v>
      </c>
      <c r="D1298" s="119" t="s">
        <v>1695</v>
      </c>
    </row>
    <row r="1299" spans="2:4" hidden="1">
      <c r="B1299" s="118" t="s">
        <v>1518</v>
      </c>
      <c r="C1299" s="96" t="s">
        <v>1635</v>
      </c>
      <c r="D1299" s="119" t="s">
        <v>1696</v>
      </c>
    </row>
    <row r="1300" spans="2:4" hidden="1">
      <c r="B1300" s="118" t="s">
        <v>1518</v>
      </c>
      <c r="C1300" s="96" t="s">
        <v>1697</v>
      </c>
      <c r="D1300" s="119" t="s">
        <v>1698</v>
      </c>
    </row>
    <row r="1301" spans="2:4" hidden="1">
      <c r="B1301" s="118" t="s">
        <v>1518</v>
      </c>
      <c r="C1301" s="96" t="s">
        <v>1699</v>
      </c>
      <c r="D1301" s="119" t="s">
        <v>1700</v>
      </c>
    </row>
    <row r="1302" spans="2:4" hidden="1">
      <c r="B1302" s="118" t="s">
        <v>1518</v>
      </c>
      <c r="C1302" s="96" t="s">
        <v>1636</v>
      </c>
      <c r="D1302" s="119" t="s">
        <v>1701</v>
      </c>
    </row>
    <row r="1303" spans="2:4" hidden="1">
      <c r="B1303" s="118" t="s">
        <v>1518</v>
      </c>
      <c r="C1303" s="96" t="s">
        <v>1637</v>
      </c>
      <c r="D1303" s="119" t="s">
        <v>1702</v>
      </c>
    </row>
    <row r="1304" spans="2:4" hidden="1">
      <c r="B1304" s="118" t="s">
        <v>1518</v>
      </c>
      <c r="C1304" s="96" t="s">
        <v>1703</v>
      </c>
      <c r="D1304" s="119" t="s">
        <v>1704</v>
      </c>
    </row>
    <row r="1305" spans="2:4" hidden="1">
      <c r="B1305" s="118" t="s">
        <v>1518</v>
      </c>
      <c r="C1305" s="96" t="s">
        <v>1705</v>
      </c>
      <c r="D1305" s="119" t="s">
        <v>1706</v>
      </c>
    </row>
    <row r="1306" spans="2:4" hidden="1">
      <c r="B1306" s="118" t="s">
        <v>1518</v>
      </c>
      <c r="C1306" s="96" t="s">
        <v>1707</v>
      </c>
      <c r="D1306" s="119" t="s">
        <v>1708</v>
      </c>
    </row>
    <row r="1307" spans="2:4" hidden="1">
      <c r="B1307" s="118" t="s">
        <v>1518</v>
      </c>
      <c r="C1307" s="96" t="s">
        <v>1709</v>
      </c>
      <c r="D1307" s="119" t="s">
        <v>1710</v>
      </c>
    </row>
    <row r="1308" spans="2:4" hidden="1">
      <c r="B1308" s="118" t="s">
        <v>1518</v>
      </c>
      <c r="C1308" s="96" t="s">
        <v>1638</v>
      </c>
      <c r="D1308" s="119" t="s">
        <v>912</v>
      </c>
    </row>
    <row r="1309" spans="2:4" hidden="1">
      <c r="B1309" s="118" t="s">
        <v>1518</v>
      </c>
      <c r="C1309" s="96" t="s">
        <v>1629</v>
      </c>
      <c r="D1309" s="119" t="s">
        <v>1711</v>
      </c>
    </row>
    <row r="1310" spans="2:4" hidden="1">
      <c r="B1310" s="118" t="s">
        <v>1518</v>
      </c>
      <c r="C1310" s="96" t="s">
        <v>1712</v>
      </c>
      <c r="D1310" s="119" t="s">
        <v>1713</v>
      </c>
    </row>
    <row r="1311" spans="2:4" hidden="1">
      <c r="B1311" s="118" t="s">
        <v>1518</v>
      </c>
      <c r="C1311" s="96" t="s">
        <v>1639</v>
      </c>
      <c r="D1311" s="119" t="s">
        <v>1714</v>
      </c>
    </row>
    <row r="1312" spans="2:4" hidden="1">
      <c r="B1312" s="118" t="s">
        <v>1518</v>
      </c>
      <c r="C1312" s="96" t="s">
        <v>1640</v>
      </c>
      <c r="D1312" s="119" t="s">
        <v>1715</v>
      </c>
    </row>
    <row r="1313" spans="2:4" hidden="1">
      <c r="B1313" s="118" t="s">
        <v>1518</v>
      </c>
      <c r="C1313" s="96" t="s">
        <v>1641</v>
      </c>
      <c r="D1313" s="119" t="s">
        <v>1716</v>
      </c>
    </row>
    <row r="1314" spans="2:4" hidden="1">
      <c r="B1314" s="118" t="s">
        <v>1518</v>
      </c>
      <c r="C1314" s="96" t="s">
        <v>1642</v>
      </c>
      <c r="D1314" s="119" t="s">
        <v>1643</v>
      </c>
    </row>
    <row r="1315" spans="2:4" hidden="1">
      <c r="B1315" s="118" t="s">
        <v>1518</v>
      </c>
      <c r="C1315" s="96" t="s">
        <v>1644</v>
      </c>
      <c r="D1315" s="119" t="s">
        <v>395</v>
      </c>
    </row>
    <row r="1316" spans="2:4" hidden="1">
      <c r="B1316" s="120" t="s">
        <v>1518</v>
      </c>
      <c r="C1316" s="123" t="s">
        <v>1645</v>
      </c>
      <c r="D1316" s="121" t="s">
        <v>1717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3" tint="-0.499984740745262"/>
  </sheetPr>
  <dimension ref="A1:Q24"/>
  <sheetViews>
    <sheetView showGridLines="0" zoomScale="60" zoomScaleNormal="60" workbookViewId="0">
      <pane xSplit="2" ySplit="2" topLeftCell="C6" activePane="bottomRight" state="frozen"/>
      <selection pane="topRight" activeCell="C1" sqref="C1"/>
      <selection pane="bottomLeft" activeCell="A3" sqref="A3"/>
      <selection pane="bottomRight"/>
    </sheetView>
  </sheetViews>
  <sheetFormatPr defaultColWidth="10.28515625" defaultRowHeight="15"/>
  <cols>
    <col min="1" max="1" width="10.28515625" style="100"/>
    <col min="2" max="2" width="5" style="100" customWidth="1"/>
    <col min="3" max="3" width="12.5703125" style="100" bestFit="1" customWidth="1"/>
    <col min="4" max="4" width="15.7109375" style="100" customWidth="1"/>
    <col min="5" max="5" width="26" style="100" customWidth="1"/>
    <col min="6" max="6" width="55.42578125" style="100" customWidth="1"/>
    <col min="7" max="7" width="60.7109375" style="100" customWidth="1"/>
    <col min="8" max="14" width="24" style="100" customWidth="1"/>
    <col min="15" max="15" width="25" style="100" customWidth="1"/>
    <col min="16" max="16384" width="10.28515625" style="100"/>
  </cols>
  <sheetData>
    <row r="1" spans="1:15">
      <c r="A1" s="99" t="s">
        <v>1462</v>
      </c>
    </row>
    <row r="2" spans="1:15" ht="15.75">
      <c r="B2" s="98" t="s">
        <v>249</v>
      </c>
      <c r="C2" s="101" t="s">
        <v>1463</v>
      </c>
      <c r="D2" s="101" t="s">
        <v>1718</v>
      </c>
      <c r="E2" s="101" t="s">
        <v>1464</v>
      </c>
      <c r="F2" s="101" t="s">
        <v>1465</v>
      </c>
      <c r="G2" s="101" t="s">
        <v>1466</v>
      </c>
      <c r="H2" s="101" t="s">
        <v>1467</v>
      </c>
      <c r="I2" s="101" t="s">
        <v>1468</v>
      </c>
      <c r="J2" s="101" t="s">
        <v>1469</v>
      </c>
      <c r="K2" s="101" t="s">
        <v>1470</v>
      </c>
      <c r="L2" s="101" t="s">
        <v>1471</v>
      </c>
      <c r="M2" s="101" t="s">
        <v>1472</v>
      </c>
      <c r="N2" s="101" t="s">
        <v>1473</v>
      </c>
      <c r="O2" s="101" t="s">
        <v>1474</v>
      </c>
    </row>
    <row r="3" spans="1:15" ht="63">
      <c r="B3" s="106">
        <v>1</v>
      </c>
      <c r="C3" s="106" t="s">
        <v>212</v>
      </c>
      <c r="D3" s="106" t="str">
        <f>LEFT(E3,FIND("(",E3)-1)</f>
        <v>BYtoBY</v>
      </c>
      <c r="E3" s="107" t="s">
        <v>1475</v>
      </c>
      <c r="F3" s="108" t="s">
        <v>1476</v>
      </c>
      <c r="G3" s="108"/>
      <c r="H3" s="108"/>
      <c r="I3" s="107" t="s">
        <v>1477</v>
      </c>
      <c r="J3" s="107" t="s">
        <v>1478</v>
      </c>
      <c r="K3" s="107" t="s">
        <v>1479</v>
      </c>
      <c r="L3" s="107" t="s">
        <v>1480</v>
      </c>
      <c r="M3" s="108"/>
      <c r="N3" s="108"/>
      <c r="O3" s="108"/>
    </row>
    <row r="4" spans="1:15" ht="63">
      <c r="B4" s="106">
        <v>2</v>
      </c>
      <c r="C4" s="106" t="s">
        <v>212</v>
      </c>
      <c r="D4" s="106" t="str">
        <f t="shared" ref="D4:D15" si="0">LEFT(E4,FIND("(",E4)-1)</f>
        <v>BYtoTY</v>
      </c>
      <c r="E4" s="107" t="s">
        <v>1481</v>
      </c>
      <c r="F4" s="108" t="s">
        <v>1482</v>
      </c>
      <c r="G4" s="108"/>
      <c r="H4" s="108"/>
      <c r="I4" s="107" t="s">
        <v>1477</v>
      </c>
      <c r="J4" s="107" t="s">
        <v>1478</v>
      </c>
      <c r="K4" s="107" t="s">
        <v>1483</v>
      </c>
      <c r="L4" s="107" t="s">
        <v>1484</v>
      </c>
      <c r="M4" s="108"/>
      <c r="N4" s="108"/>
      <c r="O4" s="108"/>
    </row>
    <row r="5" spans="1:15" ht="63">
      <c r="B5" s="106">
        <v>3</v>
      </c>
      <c r="C5" s="106" t="s">
        <v>212</v>
      </c>
      <c r="D5" s="106" t="str">
        <f t="shared" si="0"/>
        <v>TYtoBY</v>
      </c>
      <c r="E5" s="107" t="s">
        <v>1485</v>
      </c>
      <c r="F5" s="108" t="s">
        <v>1486</v>
      </c>
      <c r="G5" s="108"/>
      <c r="H5" s="108"/>
      <c r="I5" s="107" t="s">
        <v>1477</v>
      </c>
      <c r="J5" s="107" t="s">
        <v>1487</v>
      </c>
      <c r="K5" s="107" t="s">
        <v>1479</v>
      </c>
      <c r="L5" s="107" t="s">
        <v>1488</v>
      </c>
      <c r="M5" s="108"/>
      <c r="N5" s="108"/>
      <c r="O5" s="108"/>
    </row>
    <row r="6" spans="1:15" ht="31.5">
      <c r="B6" s="106">
        <v>4</v>
      </c>
      <c r="C6" s="106" t="s">
        <v>212</v>
      </c>
      <c r="D6" s="106" t="str">
        <f t="shared" si="0"/>
        <v>TYCalc</v>
      </c>
      <c r="E6" s="107" t="s">
        <v>1489</v>
      </c>
      <c r="F6" s="108" t="s">
        <v>1490</v>
      </c>
      <c r="G6" s="108"/>
      <c r="H6" s="108"/>
      <c r="I6" s="107" t="s">
        <v>1491</v>
      </c>
      <c r="J6" s="107" t="s">
        <v>1492</v>
      </c>
      <c r="K6" s="107" t="s">
        <v>1493</v>
      </c>
      <c r="L6" s="107" t="s">
        <v>1494</v>
      </c>
      <c r="M6" s="107" t="s">
        <v>1495</v>
      </c>
      <c r="N6" s="108"/>
      <c r="O6" s="108"/>
    </row>
    <row r="7" spans="1:15" ht="63">
      <c r="B7" s="106">
        <v>5</v>
      </c>
      <c r="C7" s="106" t="s">
        <v>1496</v>
      </c>
      <c r="D7" s="106" t="str">
        <f t="shared" si="0"/>
        <v>UnitC</v>
      </c>
      <c r="E7" s="107" t="s">
        <v>1497</v>
      </c>
      <c r="F7" s="108" t="s">
        <v>1498</v>
      </c>
      <c r="G7" s="108"/>
      <c r="H7" s="108"/>
      <c r="I7" s="107" t="s">
        <v>1499</v>
      </c>
      <c r="J7" s="107" t="s">
        <v>1500</v>
      </c>
      <c r="K7" s="107" t="s">
        <v>1501</v>
      </c>
      <c r="L7" s="108"/>
      <c r="M7" s="108"/>
      <c r="N7" s="108"/>
      <c r="O7" s="108"/>
    </row>
    <row r="8" spans="1:15" ht="94.5">
      <c r="B8" s="106">
        <v>6</v>
      </c>
      <c r="C8" s="106" t="s">
        <v>1502</v>
      </c>
      <c r="D8" s="106" t="str">
        <f t="shared" si="0"/>
        <v>BetaPhasing</v>
      </c>
      <c r="E8" s="107" t="s">
        <v>1503</v>
      </c>
      <c r="F8" s="108" t="s">
        <v>1721</v>
      </c>
      <c r="G8" s="108"/>
      <c r="H8" s="108" t="s">
        <v>1504</v>
      </c>
      <c r="I8" s="108" t="s">
        <v>1738</v>
      </c>
      <c r="J8" s="108" t="s">
        <v>1731</v>
      </c>
      <c r="K8" s="108" t="s">
        <v>1732</v>
      </c>
      <c r="L8" s="108" t="s">
        <v>1734</v>
      </c>
      <c r="M8" s="108" t="s">
        <v>1736</v>
      </c>
      <c r="N8" s="108" t="s">
        <v>1737</v>
      </c>
      <c r="O8" s="108"/>
    </row>
    <row r="9" spans="1:15" ht="94.5">
      <c r="B9" s="106">
        <v>7</v>
      </c>
      <c r="C9" s="106" t="s">
        <v>1502</v>
      </c>
      <c r="D9" s="106" t="str">
        <f t="shared" si="0"/>
        <v>RayleighPhasing</v>
      </c>
      <c r="E9" s="107" t="s">
        <v>1505</v>
      </c>
      <c r="F9" s="108" t="s">
        <v>1743</v>
      </c>
      <c r="G9" s="109"/>
      <c r="H9" s="108" t="s">
        <v>1506</v>
      </c>
      <c r="I9" s="108" t="s">
        <v>1738</v>
      </c>
      <c r="J9" s="108" t="s">
        <v>1731</v>
      </c>
      <c r="K9" s="108" t="s">
        <v>1732</v>
      </c>
      <c r="L9" s="108" t="s">
        <v>1735</v>
      </c>
      <c r="M9" s="108" t="s">
        <v>1737</v>
      </c>
      <c r="N9" s="108"/>
      <c r="O9" s="108"/>
    </row>
    <row r="10" spans="1:15" ht="162" customHeight="1">
      <c r="B10" s="106">
        <v>8</v>
      </c>
      <c r="C10" s="106" t="s">
        <v>1502</v>
      </c>
      <c r="D10" s="106" t="str">
        <f t="shared" si="0"/>
        <v>WeibullPhasing</v>
      </c>
      <c r="E10" s="107" t="s">
        <v>1720</v>
      </c>
      <c r="F10" s="108" t="s">
        <v>1744</v>
      </c>
      <c r="G10" s="108"/>
      <c r="H10" s="108"/>
      <c r="I10" s="108" t="s">
        <v>1738</v>
      </c>
      <c r="J10" s="108" t="s">
        <v>1731</v>
      </c>
      <c r="K10" s="108" t="s">
        <v>1732</v>
      </c>
      <c r="L10" s="108" t="s">
        <v>1734</v>
      </c>
      <c r="M10" s="108" t="s">
        <v>1736</v>
      </c>
      <c r="N10" s="108" t="s">
        <v>1737</v>
      </c>
      <c r="O10" s="108"/>
    </row>
    <row r="11" spans="1:15" ht="173.25" customHeight="1">
      <c r="B11" s="106">
        <v>9</v>
      </c>
      <c r="C11" s="106" t="s">
        <v>1502</v>
      </c>
      <c r="D11" s="106" t="str">
        <f t="shared" si="0"/>
        <v>UniformPhasing</v>
      </c>
      <c r="E11" s="107" t="s">
        <v>1507</v>
      </c>
      <c r="F11" s="108" t="s">
        <v>1745</v>
      </c>
      <c r="G11" s="108"/>
      <c r="H11" s="108"/>
      <c r="I11" s="108" t="s">
        <v>1739</v>
      </c>
      <c r="J11" s="108" t="s">
        <v>1731</v>
      </c>
      <c r="K11" s="108" t="s">
        <v>1732</v>
      </c>
      <c r="L11" s="108" t="s">
        <v>1733</v>
      </c>
      <c r="M11" s="108"/>
      <c r="N11" s="108"/>
      <c r="O11" s="108"/>
    </row>
    <row r="12" spans="1:15" ht="124.5" customHeight="1">
      <c r="B12" s="106">
        <v>10</v>
      </c>
      <c r="C12" s="106" t="s">
        <v>1502</v>
      </c>
      <c r="D12" s="106" t="str">
        <f t="shared" si="0"/>
        <v>CustomPhasing</v>
      </c>
      <c r="E12" s="107" t="s">
        <v>1508</v>
      </c>
      <c r="F12" s="108" t="s">
        <v>1746</v>
      </c>
      <c r="G12" s="108"/>
      <c r="H12" s="108" t="s">
        <v>1509</v>
      </c>
      <c r="I12" s="107" t="s">
        <v>1740</v>
      </c>
      <c r="J12" s="107" t="s">
        <v>1510</v>
      </c>
      <c r="K12" s="107" t="s">
        <v>1511</v>
      </c>
      <c r="L12" s="107" t="s">
        <v>1512</v>
      </c>
      <c r="M12" s="107" t="s">
        <v>1513</v>
      </c>
      <c r="N12" s="107" t="s">
        <v>1514</v>
      </c>
      <c r="O12" s="107" t="s">
        <v>1741</v>
      </c>
    </row>
    <row r="13" spans="1:15" ht="31.5">
      <c r="B13" s="106">
        <v>11</v>
      </c>
      <c r="C13" s="106" t="s">
        <v>1515</v>
      </c>
      <c r="D13" s="106" t="str">
        <f t="shared" si="0"/>
        <v>DATEtoFYFrac</v>
      </c>
      <c r="E13" s="107" t="s">
        <v>1722</v>
      </c>
      <c r="F13" s="108" t="s">
        <v>1516</v>
      </c>
      <c r="G13" s="108"/>
      <c r="H13" s="108"/>
      <c r="I13" s="108" t="s">
        <v>1724</v>
      </c>
      <c r="J13" s="108"/>
      <c r="K13" s="108"/>
      <c r="L13" s="108"/>
      <c r="M13" s="108"/>
      <c r="N13" s="108"/>
      <c r="O13" s="108"/>
    </row>
    <row r="14" spans="1:15" ht="31.5">
      <c r="B14" s="106">
        <v>12</v>
      </c>
      <c r="C14" s="108" t="s">
        <v>1515</v>
      </c>
      <c r="D14" s="106" t="str">
        <f t="shared" si="0"/>
        <v>DATEtoFYint</v>
      </c>
      <c r="E14" s="107" t="s">
        <v>1723</v>
      </c>
      <c r="F14" s="108" t="s">
        <v>1517</v>
      </c>
      <c r="G14" s="108"/>
      <c r="H14" s="108"/>
      <c r="I14" s="108" t="s">
        <v>1724</v>
      </c>
      <c r="J14" s="108"/>
      <c r="K14" s="108"/>
      <c r="L14" s="108"/>
      <c r="M14" s="108"/>
      <c r="N14" s="108"/>
      <c r="O14" s="108"/>
    </row>
    <row r="15" spans="1:15" ht="63">
      <c r="B15" s="106"/>
      <c r="C15" s="106" t="s">
        <v>1515</v>
      </c>
      <c r="D15" s="106" t="str">
        <f t="shared" si="0"/>
        <v>FYtoDate</v>
      </c>
      <c r="E15" s="107" t="s">
        <v>1719</v>
      </c>
      <c r="F15" s="108" t="s">
        <v>1742</v>
      </c>
      <c r="G15" s="108"/>
      <c r="H15" s="108"/>
      <c r="I15" s="108" t="s">
        <v>1725</v>
      </c>
      <c r="J15" s="108"/>
      <c r="K15" s="108"/>
      <c r="L15" s="108"/>
      <c r="M15" s="108"/>
      <c r="N15" s="108"/>
      <c r="O15" s="108"/>
    </row>
    <row r="16" spans="1:15" ht="31.5">
      <c r="B16" s="113"/>
      <c r="C16" s="113"/>
      <c r="D16" s="113" t="str">
        <f>LEFT(E16,FIND("(",E16)-1)</f>
        <v>IndexCASES</v>
      </c>
      <c r="E16" s="114" t="s">
        <v>1726</v>
      </c>
      <c r="F16" s="115" t="s">
        <v>1727</v>
      </c>
      <c r="G16" s="115"/>
      <c r="H16" s="115"/>
      <c r="I16" s="117" t="s">
        <v>1728</v>
      </c>
      <c r="J16" s="117" t="s">
        <v>1729</v>
      </c>
      <c r="K16" s="117" t="s">
        <v>1730</v>
      </c>
      <c r="L16" s="116"/>
      <c r="M16" s="116"/>
      <c r="N16" s="116"/>
      <c r="O16" s="116"/>
    </row>
    <row r="17" spans="5:17">
      <c r="F17" s="112"/>
      <c r="G17" s="102"/>
    </row>
    <row r="18" spans="5:17">
      <c r="E18" s="103"/>
      <c r="F18" s="110"/>
      <c r="G18" s="103"/>
      <c r="H18" s="103"/>
      <c r="I18" s="103"/>
    </row>
    <row r="19" spans="5:17">
      <c r="E19" s="102"/>
      <c r="F19" s="110"/>
      <c r="G19" s="103"/>
      <c r="H19" s="103"/>
      <c r="I19" s="103"/>
      <c r="J19" s="104"/>
      <c r="K19" s="104"/>
      <c r="L19" s="104"/>
      <c r="M19" s="104"/>
      <c r="N19" s="104"/>
      <c r="O19" s="104"/>
      <c r="P19" s="104"/>
      <c r="Q19" s="104"/>
    </row>
    <row r="20" spans="5:17">
      <c r="E20" s="103"/>
      <c r="F20" s="111"/>
      <c r="G20" s="103"/>
      <c r="H20" s="103"/>
      <c r="I20" s="103"/>
      <c r="J20" s="102"/>
      <c r="K20" s="102"/>
      <c r="L20" s="102"/>
      <c r="M20" s="102"/>
      <c r="N20" s="102"/>
      <c r="O20" s="102"/>
      <c r="P20" s="102"/>
      <c r="Q20" s="102"/>
    </row>
    <row r="21" spans="5:17">
      <c r="F21" s="105"/>
      <c r="G21" s="105"/>
    </row>
    <row r="22" spans="5:17">
      <c r="G22" s="102"/>
    </row>
    <row r="23" spans="5:17">
      <c r="F23" s="103"/>
      <c r="G23" s="105"/>
    </row>
    <row r="24" spans="5:17">
      <c r="G24" s="105"/>
    </row>
  </sheetData>
  <hyperlinks>
    <hyperlink ref="A1" location="'TOC'!A1" display="TOC"/>
  </hyperlinks>
  <pageMargins left="0.7" right="0.7" top="0.75" bottom="0.75" header="0.3" footer="0.3"/>
  <pageSetup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CaSES Module List</vt:lpstr>
      <vt:lpstr>Sheet1</vt:lpstr>
      <vt:lpstr>Sheet2</vt:lpstr>
      <vt:lpstr>Sheet3</vt:lpstr>
      <vt:lpstr>Sheet4</vt:lpstr>
      <vt:lpstr>Comment Tracker</vt:lpstr>
      <vt:lpstr>Inputs</vt:lpstr>
      <vt:lpstr>Formulas in Estimate</vt:lpstr>
      <vt:lpstr>Inflation</vt:lpstr>
      <vt:lpstr>Calculation Template</vt:lpstr>
      <vt:lpstr>WBS</vt:lpstr>
      <vt:lpstr>VBA Functions</vt:lpstr>
    </vt:vector>
  </TitlesOfParts>
  <Company>NMCI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Lanham, Nicholas A CIV OASN (FM&amp;C), NCCA</dc:creator>
  <cp:lastModifiedBy>Joy, Kevin CIV OASN(FM&amp;C), NCCA</cp:lastModifiedBy>
  <dcterms:created xsi:type="dcterms:W3CDTF">2016-02-08T19:03:54Z</dcterms:created>
  <dcterms:modified xsi:type="dcterms:W3CDTF">2017-10-16T20:11:14Z</dcterms:modified>
</cp:coreProperties>
</file>