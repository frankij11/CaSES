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4.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bookViews>
    <workbookView xWindow="0" yWindow="0" windowWidth="19200" windowHeight="6945" tabRatio="877" activeTab="1"/>
  </bookViews>
  <sheets>
    <sheet name="Main" sheetId="28" r:id="rId1"/>
    <sheet name="Query" sheetId="1" r:id="rId2"/>
    <sheet name="Inflation Table" sheetId="17" r:id="rId3"/>
    <sheet name="Examples_notes" sheetId="41" r:id="rId4"/>
    <sheet name="Army Multi Appn" sheetId="35" r:id="rId5"/>
    <sheet name="SAR Calc" sheetId="20" r:id="rId6"/>
    <sheet name="SAR" sheetId="11" r:id="rId7"/>
    <sheet name="Army Notes" sheetId="46" r:id="rId8"/>
    <sheet name="Titles" sheetId="2" r:id="rId9"/>
    <sheet name="Glossary" sheetId="19" r:id="rId10"/>
    <sheet name="Instructions" sheetId="13" r:id="rId11"/>
    <sheet name="Inflation_Escalation" sheetId="44" r:id="rId12"/>
    <sheet name="Multi Appn" sheetId="31" r:id="rId13"/>
    <sheet name="1970=1 Infl Index" sheetId="23" r:id="rId14"/>
    <sheet name="Inflation" sheetId="3" r:id="rId15"/>
    <sheet name="CombOutFac(COF)" sheetId="18" r:id="rId16"/>
    <sheet name="Composite" sheetId="43" r:id="rId17"/>
    <sheet name="Excel07 Enable Macro" sheetId="38" r:id="rId18"/>
  </sheets>
  <definedNames>
    <definedName name="_xlnm._FilterDatabase" localSheetId="1" hidden="1">Query!$A$8:$H$49</definedName>
    <definedName name="_xlnm._FilterDatabase" localSheetId="8" hidden="1">Titles!$B$10:$G$99</definedName>
    <definedName name="_wtd70">#REF!</definedName>
    <definedName name="comboutfac">'CombOutFac(COF)'!$B$6:$CD$62</definedName>
    <definedName name="composite">#REF!</definedName>
    <definedName name="_xlnm.Criteria" localSheetId="1">Query!$A$5:$A$6</definedName>
    <definedName name="_xlnm.Criteria" localSheetId="8">Titles!$B$6:$B$7</definedName>
    <definedName name="Escalation_Indicies">Query!$C$12:$I$79</definedName>
    <definedName name="_xlnm.Extract" localSheetId="1">Query!$A$100:$H$100</definedName>
    <definedName name="_xlnm.Extract" localSheetId="8">Titles!$B$100:$G$150</definedName>
    <definedName name="index1970">'1970=1 Infl Index'!$B$6:$CD$62</definedName>
    <definedName name="marange1">#REF!</definedName>
    <definedName name="marange13">#REF!</definedName>
    <definedName name="marange2">Query!$R$47:$T$103</definedName>
    <definedName name="_xlnm.Print_Area" localSheetId="4">'Army Multi Appn'!$A$1:$X$52</definedName>
    <definedName name="_xlnm.Print_Area" localSheetId="16">Composite!$A$45:$BA$62</definedName>
    <definedName name="_xlnm.Print_Area" localSheetId="9">Glossary!$B$1:$B$21</definedName>
    <definedName name="_xlnm.Print_Area" localSheetId="2">'Inflation Table'!$A$1:$F$96</definedName>
    <definedName name="_xlnm.Print_Area" localSheetId="10">Instructions!$B$2:$B$45</definedName>
    <definedName name="_xlnm.Print_Area" localSheetId="0">Main!$A$1:$F$27</definedName>
    <definedName name="_xlnm.Print_Area" localSheetId="12">'Multi Appn'!$A$1:$AR$68</definedName>
    <definedName name="_xlnm.Print_Area" localSheetId="1">Query!$C$1:$K$23</definedName>
    <definedName name="_xlnm.Print_Area" localSheetId="6">SAR!$A$1:$R$79</definedName>
    <definedName name="_xlnm.Print_Area" localSheetId="8">Titles!$G$2:$G$79</definedName>
    <definedName name="_xlnm.Print_Titles" localSheetId="13">'1970=1 Infl Index'!$A:$A</definedName>
    <definedName name="_xlnm.Print_Titles" localSheetId="15">'CombOutFac(COF)'!$A:$A</definedName>
    <definedName name="_xlnm.Print_Titles" localSheetId="16">Composite!$1:$6</definedName>
    <definedName name="_xlnm.Print_Titles" localSheetId="14">Inflation!$A:$A,Inflation!$4:$4</definedName>
    <definedName name="_xlnm.Print_Titles" localSheetId="2">'Inflation Table'!$1:$4</definedName>
    <definedName name="_xlnm.Print_Titles" localSheetId="10">Instructions!$1:$1</definedName>
    <definedName name="_xlnm.Print_Titles" localSheetId="12">'Multi Appn'!$A:$A,'Multi Appn'!$12:$12</definedName>
    <definedName name="_xlnm.Print_Titles" localSheetId="5">'SAR Calc'!$10:$10</definedName>
    <definedName name="printq">Query!$Q$44:$V$139</definedName>
    <definedName name="quicklookprt">Query!$C$13:$G$23</definedName>
    <definedName name="rawindx">Query!$S$48:$S$103</definedName>
    <definedName name="rawindx2">Query!$X$48:$X$123</definedName>
    <definedName name="rawindx3">Query!$AA$48:$AA$123</definedName>
    <definedName name="savedata" localSheetId="0">#REF!,#REF!,#REF!,#REF!,#REF!,#REF!,#REF!</definedName>
    <definedName name="savedata">Query!#REF!,Query!$I:$I,Query!$H:$H,Query!#REF!,Query!$F:$F,Query!$E:$E,Query!$C:$C</definedName>
    <definedName name="ServRange">OFFSET(Titles!$G$101,0,0,COUNTA(Titles!$G$101:$G$150),1)</definedName>
    <definedName name="shorttitle">Query!$O$44</definedName>
    <definedName name="titlesA1">Titles!$A$1</definedName>
    <definedName name="titlesdelete">Titles!$B$100:$G$150</definedName>
  </definedNames>
  <calcPr calcId="145621"/>
</workbook>
</file>

<file path=xl/calcChain.xml><?xml version="1.0" encoding="utf-8"?>
<calcChain xmlns="http://schemas.openxmlformats.org/spreadsheetml/2006/main">
  <c r="E2" i="1" l="1"/>
  <c r="B7" i="2"/>
  <c r="A69" i="18" l="1"/>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68" i="18"/>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67" i="23"/>
  <c r="O45" i="1" l="1"/>
  <c r="J85" i="41" l="1"/>
  <c r="J137" i="41" l="1"/>
  <c r="J144" i="41" s="1"/>
  <c r="I137" i="41"/>
  <c r="H137" i="41"/>
  <c r="G137" i="41"/>
  <c r="F137" i="41"/>
  <c r="E137" i="41"/>
  <c r="D137" i="41"/>
  <c r="K91" i="41"/>
  <c r="J91" i="41"/>
  <c r="I91" i="41"/>
  <c r="G182" i="41" s="1"/>
  <c r="H91" i="41"/>
  <c r="G91" i="41"/>
  <c r="F91" i="41"/>
  <c r="E91" i="41"/>
  <c r="D91" i="41"/>
  <c r="C91" i="41"/>
  <c r="F182" i="41" s="1"/>
  <c r="B91" i="41"/>
  <c r="L91" i="41"/>
  <c r="L88" i="41"/>
  <c r="K88" i="41"/>
  <c r="J88" i="41"/>
  <c r="I88" i="41"/>
  <c r="C182" i="41" s="1"/>
  <c r="H88" i="41"/>
  <c r="G88" i="41"/>
  <c r="F88" i="41"/>
  <c r="E88" i="41"/>
  <c r="H127" i="41" s="1"/>
  <c r="D88" i="41"/>
  <c r="C88" i="41"/>
  <c r="B88" i="41"/>
  <c r="L85" i="41"/>
  <c r="K85" i="41"/>
  <c r="I85" i="41"/>
  <c r="L101" i="41" s="1"/>
  <c r="H85" i="41"/>
  <c r="G85" i="41"/>
  <c r="F85" i="41"/>
  <c r="E85" i="41"/>
  <c r="D85" i="41"/>
  <c r="C85" i="41"/>
  <c r="B85" i="41"/>
  <c r="J170" i="41"/>
  <c r="K170" i="41" s="1"/>
  <c r="J169" i="41"/>
  <c r="K169" i="41" s="1"/>
  <c r="J168" i="41"/>
  <c r="K168" i="41" s="1"/>
  <c r="D170" i="41"/>
  <c r="E170" i="41" s="1"/>
  <c r="D169" i="41"/>
  <c r="E169" i="41" s="1"/>
  <c r="D168" i="41"/>
  <c r="E168" i="41" s="1"/>
  <c r="I144" i="41"/>
  <c r="H144" i="41"/>
  <c r="G144" i="41"/>
  <c r="H147" i="41" s="1"/>
  <c r="F144" i="41"/>
  <c r="E144" i="41"/>
  <c r="F147" i="41" s="1"/>
  <c r="D144" i="41"/>
  <c r="J188" i="41"/>
  <c r="J195" i="41" s="1"/>
  <c r="I188" i="41"/>
  <c r="I195" i="41" s="1"/>
  <c r="H188" i="41"/>
  <c r="H195" i="41" s="1"/>
  <c r="G188" i="41"/>
  <c r="G195" i="41" s="1"/>
  <c r="F188" i="41"/>
  <c r="F195" i="41" s="1"/>
  <c r="G198" i="41" s="1"/>
  <c r="E188" i="41"/>
  <c r="E195" i="41" s="1"/>
  <c r="D188" i="41"/>
  <c r="D195" i="41" s="1"/>
  <c r="D258" i="41"/>
  <c r="D255" i="41"/>
  <c r="G251" i="41"/>
  <c r="E250" i="41"/>
  <c r="G249" i="41"/>
  <c r="E249" i="41"/>
  <c r="E248" i="41"/>
  <c r="E247" i="41"/>
  <c r="E101" i="41" l="1"/>
  <c r="J101" i="41"/>
  <c r="J106" i="41" s="1"/>
  <c r="J111" i="41" s="1"/>
  <c r="F101" i="41"/>
  <c r="F106" i="41" s="1"/>
  <c r="F111" i="41" s="1"/>
  <c r="B101" i="41"/>
  <c r="B106" i="41" s="1"/>
  <c r="B111" i="41" s="1"/>
  <c r="G101" i="41"/>
  <c r="G106" i="41" s="1"/>
  <c r="G111" i="41" s="1"/>
  <c r="K101" i="41"/>
  <c r="K106" i="41" s="1"/>
  <c r="K111" i="41" s="1"/>
  <c r="C101" i="41"/>
  <c r="C106" i="41" s="1"/>
  <c r="C111" i="41" s="1"/>
  <c r="I101" i="41"/>
  <c r="I106" i="41" s="1"/>
  <c r="I111" i="41" s="1"/>
  <c r="I147" i="41"/>
  <c r="J147" i="41"/>
  <c r="E147" i="41"/>
  <c r="E106" i="41"/>
  <c r="E111" i="41" s="1"/>
  <c r="E198" i="41"/>
  <c r="I198" i="41"/>
  <c r="L106" i="41"/>
  <c r="L111" i="41" s="1"/>
  <c r="D101" i="41"/>
  <c r="D106" i="41" s="1"/>
  <c r="G147" i="41" s="1"/>
  <c r="H101" i="41"/>
  <c r="H106" i="41" s="1"/>
  <c r="H111" i="41" s="1"/>
  <c r="E127" i="41"/>
  <c r="B182" i="41"/>
  <c r="D182" i="41" s="1"/>
  <c r="H182" i="41"/>
  <c r="F198" i="41"/>
  <c r="H198" i="41"/>
  <c r="J198" i="41"/>
  <c r="G252" i="41"/>
  <c r="G253" i="41" s="1"/>
  <c r="D111" i="41" l="1"/>
  <c r="D127" i="41"/>
  <c r="G127" i="41" s="1"/>
  <c r="J127" i="41" s="1"/>
  <c r="J129" i="41"/>
  <c r="E3" i="2"/>
  <c r="L2" i="17"/>
  <c r="C10" i="35"/>
  <c r="D10" i="35" s="1"/>
  <c r="A102" i="2"/>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46" i="2"/>
  <c r="A47" i="2" s="1"/>
  <c r="A48" i="2" s="1"/>
  <c r="A49" i="2" s="1"/>
  <c r="A50" i="2" s="1"/>
  <c r="A51" i="2" s="1"/>
  <c r="A52" i="2" s="1"/>
  <c r="A53" i="2" s="1"/>
  <c r="A54" i="2" s="1"/>
  <c r="A55" i="2" s="1"/>
  <c r="A56" i="2" s="1"/>
  <c r="A57" i="2" s="1"/>
  <c r="A58" i="2" s="1"/>
  <c r="A59" i="2" s="1"/>
  <c r="A60" i="2" s="1"/>
  <c r="A61" i="2" s="1"/>
  <c r="A62" i="2" s="1"/>
  <c r="C2" i="13"/>
  <c r="C1" i="28"/>
  <c r="O49" i="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B11" i="35"/>
  <c r="B12" i="35"/>
  <c r="C10" i="31"/>
  <c r="D10" i="31" s="1"/>
  <c r="A23" i="2"/>
  <c r="A24" i="2" s="1"/>
  <c r="A25" i="2" s="1"/>
  <c r="A26" i="2" s="1"/>
  <c r="A27" i="2" s="1"/>
  <c r="A28" i="2" s="1"/>
  <c r="A29" i="2" s="1"/>
  <c r="A30" i="2" s="1"/>
  <c r="A31" i="2" s="1"/>
  <c r="A32" i="2" s="1"/>
  <c r="A33" i="2" s="1"/>
  <c r="A12" i="2"/>
  <c r="A13" i="2" s="1"/>
  <c r="A14" i="2" s="1"/>
  <c r="A15" i="2" s="1"/>
  <c r="A16" i="2" s="1"/>
  <c r="A17" i="2" s="1"/>
  <c r="A18" i="2" s="1"/>
  <c r="A19" i="2" s="1"/>
  <c r="A20" i="2" s="1"/>
  <c r="A21" i="2" s="1"/>
  <c r="C8" i="20"/>
  <c r="T45" i="1"/>
  <c r="D8" i="20" s="1"/>
  <c r="E8" i="20"/>
  <c r="E98" i="20"/>
  <c r="E99" i="20"/>
  <c r="E100" i="20"/>
  <c r="E101" i="20"/>
  <c r="E102" i="20"/>
  <c r="C103" i="20"/>
  <c r="B1" i="35"/>
  <c r="A14" i="35"/>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B1" i="31"/>
  <c r="A14" i="31"/>
  <c r="A15" i="31" s="1"/>
  <c r="A16" i="31" s="1"/>
  <c r="A17" i="31" s="1"/>
  <c r="A18" i="31" s="1"/>
  <c r="A19"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C15" i="1"/>
  <c r="E16" i="1"/>
  <c r="G16" i="1"/>
  <c r="E17" i="1"/>
  <c r="G17" i="1"/>
  <c r="V45" i="1"/>
  <c r="B12" i="31" l="1"/>
  <c r="C12" i="35"/>
  <c r="E10" i="35"/>
  <c r="E12" i="35" s="1"/>
  <c r="D12" i="35"/>
  <c r="E10" i="31"/>
  <c r="E11" i="31" s="1"/>
  <c r="D12" i="31"/>
  <c r="Q45" i="1"/>
  <c r="A34" i="2"/>
  <c r="A35" i="2" s="1"/>
  <c r="A36" i="2" s="1"/>
  <c r="A37" i="2" s="1"/>
  <c r="A38" i="2" s="1"/>
  <c r="A39" i="2" s="1"/>
  <c r="A40" i="2" s="1"/>
  <c r="A41" i="2" s="1"/>
  <c r="A42" i="2" s="1"/>
  <c r="A43" i="2" s="1"/>
  <c r="A44" i="2" s="1"/>
  <c r="D11" i="31"/>
  <c r="C11" i="31"/>
  <c r="B11" i="31"/>
  <c r="C12" i="31"/>
  <c r="F10" i="31"/>
  <c r="O46" i="1"/>
  <c r="C14" i="1"/>
  <c r="Q44" i="1" s="1"/>
  <c r="B7" i="35"/>
  <c r="O74" i="1"/>
  <c r="O75" i="1" s="1"/>
  <c r="O76" i="1" s="1"/>
  <c r="O77" i="1" s="1"/>
  <c r="O78" i="1" s="1"/>
  <c r="O79" i="1" s="1"/>
  <c r="O80" i="1" s="1"/>
  <c r="O81" i="1" s="1"/>
  <c r="O82" i="1" s="1"/>
  <c r="O83" i="1" s="1"/>
  <c r="O84" i="1" s="1"/>
  <c r="O85" i="1" s="1"/>
  <c r="O86" i="1" s="1"/>
  <c r="O87" i="1" s="1"/>
  <c r="O88" i="1" s="1"/>
  <c r="O89" i="1" s="1"/>
  <c r="A63" i="2"/>
  <c r="A64" i="2" s="1"/>
  <c r="A65" i="2" s="1"/>
  <c r="A66" i="2" s="1"/>
  <c r="A67" i="2" s="1"/>
  <c r="A68" i="2" s="1"/>
  <c r="A69" i="2" s="1"/>
  <c r="A70" i="2" s="1"/>
  <c r="A71" i="2" s="1"/>
  <c r="A72" i="2" s="1"/>
  <c r="A73" i="2" s="1"/>
  <c r="A74" i="2" s="1"/>
  <c r="A75" i="2" s="1"/>
  <c r="A76" i="2" s="1"/>
  <c r="A77" i="2" s="1"/>
  <c r="A78" i="2" s="1"/>
  <c r="A79" i="2" s="1"/>
  <c r="C11" i="35"/>
  <c r="D11" i="35"/>
  <c r="O44" i="1"/>
  <c r="F10" i="35" l="1"/>
  <c r="F11" i="35" s="1"/>
  <c r="E12" i="31"/>
  <c r="E11" i="35"/>
  <c r="B7" i="20"/>
  <c r="Q56" i="1"/>
  <c r="Q57" i="1" s="1"/>
  <c r="Q48" i="1"/>
  <c r="Q49" i="1" s="1"/>
  <c r="Q50" i="1" s="1"/>
  <c r="Q51" i="1" s="1"/>
  <c r="Q52" i="1" s="1"/>
  <c r="C6" i="1"/>
  <c r="P47" i="1"/>
  <c r="G10" i="35"/>
  <c r="B7" i="31"/>
  <c r="I13" i="31" s="1"/>
  <c r="O90" i="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X46" i="1"/>
  <c r="X44" i="1"/>
  <c r="P87" i="1"/>
  <c r="P73" i="1"/>
  <c r="P84" i="1"/>
  <c r="P82" i="1"/>
  <c r="P80" i="1"/>
  <c r="P78" i="1"/>
  <c r="P76" i="1"/>
  <c r="P74" i="1"/>
  <c r="P70" i="1"/>
  <c r="P68" i="1"/>
  <c r="P66" i="1"/>
  <c r="P64" i="1"/>
  <c r="P62" i="1"/>
  <c r="P60" i="1"/>
  <c r="P58" i="1"/>
  <c r="Z44" i="1"/>
  <c r="P86" i="1"/>
  <c r="P85" i="1"/>
  <c r="P81" i="1"/>
  <c r="P77" i="1"/>
  <c r="P71" i="1"/>
  <c r="P67" i="1"/>
  <c r="P63" i="1"/>
  <c r="P59" i="1"/>
  <c r="P56" i="1"/>
  <c r="P54" i="1"/>
  <c r="P52" i="1"/>
  <c r="P50" i="1"/>
  <c r="P48" i="1"/>
  <c r="P72" i="1"/>
  <c r="P83" i="1"/>
  <c r="P79" i="1"/>
  <c r="P75" i="1"/>
  <c r="P69" i="1"/>
  <c r="P65" i="1"/>
  <c r="P61" i="1"/>
  <c r="P57" i="1"/>
  <c r="P55" i="1"/>
  <c r="P53" i="1"/>
  <c r="P51" i="1"/>
  <c r="P49" i="1"/>
  <c r="R48" i="1"/>
  <c r="G10" i="31"/>
  <c r="F11" i="31"/>
  <c r="F12" i="31"/>
  <c r="F12" i="35" l="1"/>
  <c r="C9" i="31"/>
  <c r="B9" i="31"/>
  <c r="E9" i="31"/>
  <c r="D9" i="31"/>
  <c r="Q58" i="1"/>
  <c r="F9" i="31"/>
  <c r="Z87" i="1"/>
  <c r="Z73" i="1"/>
  <c r="Z84" i="1"/>
  <c r="Z82" i="1"/>
  <c r="Z80" i="1"/>
  <c r="Z78" i="1"/>
  <c r="Z76" i="1"/>
  <c r="Z74" i="1"/>
  <c r="Z70" i="1"/>
  <c r="Z68" i="1"/>
  <c r="Z66" i="1"/>
  <c r="Z64" i="1"/>
  <c r="Z62" i="1"/>
  <c r="Z60" i="1"/>
  <c r="Z58" i="1"/>
  <c r="Z72" i="1"/>
  <c r="Z83" i="1"/>
  <c r="Z79" i="1"/>
  <c r="Z75" i="1"/>
  <c r="Z69" i="1"/>
  <c r="Z65" i="1"/>
  <c r="Z61" i="1"/>
  <c r="Z57" i="1"/>
  <c r="Z56" i="1"/>
  <c r="Z54" i="1"/>
  <c r="Z52" i="1"/>
  <c r="Z50" i="1"/>
  <c r="Z48" i="1"/>
  <c r="Z86" i="1"/>
  <c r="Z85" i="1"/>
  <c r="Z81" i="1"/>
  <c r="Z77" i="1"/>
  <c r="Z71" i="1"/>
  <c r="Z67" i="1"/>
  <c r="Z63" i="1"/>
  <c r="Z59" i="1"/>
  <c r="Z55" i="1"/>
  <c r="Z53" i="1"/>
  <c r="Z51" i="1"/>
  <c r="Z49" i="1"/>
  <c r="H10" i="31"/>
  <c r="G11" i="31"/>
  <c r="G12" i="31"/>
  <c r="W86" i="1"/>
  <c r="W72" i="1"/>
  <c r="W84" i="1"/>
  <c r="W82" i="1"/>
  <c r="W80" i="1"/>
  <c r="W78" i="1"/>
  <c r="W76" i="1"/>
  <c r="W74" i="1"/>
  <c r="W70" i="1"/>
  <c r="W68" i="1"/>
  <c r="W66" i="1"/>
  <c r="W64" i="1"/>
  <c r="W62" i="1"/>
  <c r="W60" i="1"/>
  <c r="W58" i="1"/>
  <c r="W87" i="1"/>
  <c r="W73" i="1"/>
  <c r="W85" i="1"/>
  <c r="W81" i="1"/>
  <c r="W77" i="1"/>
  <c r="W71" i="1"/>
  <c r="W67" i="1"/>
  <c r="W63" i="1"/>
  <c r="W59" i="1"/>
  <c r="W56" i="1"/>
  <c r="W54" i="1"/>
  <c r="W52" i="1"/>
  <c r="W50" i="1"/>
  <c r="W48" i="1"/>
  <c r="W83" i="1"/>
  <c r="W79" i="1"/>
  <c r="W75" i="1"/>
  <c r="W69" i="1"/>
  <c r="W65" i="1"/>
  <c r="W61" i="1"/>
  <c r="W57" i="1"/>
  <c r="W55" i="1"/>
  <c r="W53" i="1"/>
  <c r="W51" i="1"/>
  <c r="W49" i="1"/>
  <c r="Q53" i="1"/>
  <c r="H10" i="35"/>
  <c r="G11" i="35"/>
  <c r="G12" i="35"/>
  <c r="P88" i="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W88" i="1" l="1"/>
  <c r="W89" i="1" s="1"/>
  <c r="W90" i="1" s="1"/>
  <c r="W91" i="1" s="1"/>
  <c r="W92" i="1" s="1"/>
  <c r="W93" i="1" s="1"/>
  <c r="W94" i="1" s="1"/>
  <c r="W95" i="1" s="1"/>
  <c r="W96" i="1" s="1"/>
  <c r="W97" i="1" s="1"/>
  <c r="W98" i="1" s="1"/>
  <c r="W99" i="1" s="1"/>
  <c r="W100" i="1" s="1"/>
  <c r="W101" i="1" s="1"/>
  <c r="W102" i="1" s="1"/>
  <c r="W103" i="1" s="1"/>
  <c r="W104" i="1" s="1"/>
  <c r="W105" i="1" s="1"/>
  <c r="W106" i="1" s="1"/>
  <c r="W107" i="1" s="1"/>
  <c r="W108" i="1" s="1"/>
  <c r="W109" i="1" s="1"/>
  <c r="W110" i="1" s="1"/>
  <c r="W111" i="1" s="1"/>
  <c r="W112" i="1" s="1"/>
  <c r="W113" i="1" s="1"/>
  <c r="W114" i="1" s="1"/>
  <c r="W115" i="1" s="1"/>
  <c r="W116" i="1" s="1"/>
  <c r="W117" i="1" s="1"/>
  <c r="W118" i="1" s="1"/>
  <c r="W119" i="1" s="1"/>
  <c r="W120" i="1" s="1"/>
  <c r="W121" i="1" s="1"/>
  <c r="W122" i="1" s="1"/>
  <c r="W123" i="1" s="1"/>
  <c r="E8" i="31"/>
  <c r="E13" i="31" s="1"/>
  <c r="F8" i="31"/>
  <c r="F55" i="31" s="1"/>
  <c r="D8" i="31"/>
  <c r="B8" i="31"/>
  <c r="B13" i="31" s="1"/>
  <c r="C8" i="31"/>
  <c r="C13" i="31" s="1"/>
  <c r="P125" i="1"/>
  <c r="Q59" i="1"/>
  <c r="B22" i="20" s="1"/>
  <c r="G9" i="31"/>
  <c r="I10" i="35"/>
  <c r="H12" i="35"/>
  <c r="H11" i="35"/>
  <c r="Q54" i="1"/>
  <c r="I10" i="31"/>
  <c r="H11" i="31"/>
  <c r="H12" i="31"/>
  <c r="Z88" i="1"/>
  <c r="B35" i="31" l="1"/>
  <c r="B51" i="31"/>
  <c r="B58" i="31"/>
  <c r="B67" i="31"/>
  <c r="B26" i="31"/>
  <c r="B42" i="31"/>
  <c r="B19" i="31"/>
  <c r="F27" i="31"/>
  <c r="C23" i="31"/>
  <c r="C39" i="31"/>
  <c r="C55" i="31"/>
  <c r="E15" i="31"/>
  <c r="E39" i="31"/>
  <c r="E55" i="31"/>
  <c r="B32" i="31"/>
  <c r="B64" i="31"/>
  <c r="B41" i="31"/>
  <c r="C24" i="31"/>
  <c r="C40" i="31"/>
  <c r="C56" i="31"/>
  <c r="E16" i="31"/>
  <c r="E32" i="31"/>
  <c r="E48" i="31"/>
  <c r="E64" i="31"/>
  <c r="B18" i="31"/>
  <c r="B34" i="31"/>
  <c r="B50" i="31"/>
  <c r="B66" i="31"/>
  <c r="B27" i="31"/>
  <c r="B43" i="31"/>
  <c r="B59" i="31"/>
  <c r="F43" i="31"/>
  <c r="C19" i="31"/>
  <c r="C27" i="31"/>
  <c r="C35" i="31"/>
  <c r="C43" i="31"/>
  <c r="C51" i="31"/>
  <c r="C59" i="31"/>
  <c r="C67" i="31"/>
  <c r="E19" i="31"/>
  <c r="E27" i="31"/>
  <c r="E35" i="31"/>
  <c r="E43" i="31"/>
  <c r="E51" i="31"/>
  <c r="E59" i="31"/>
  <c r="E67" i="31"/>
  <c r="C15" i="31"/>
  <c r="C31" i="31"/>
  <c r="C47" i="31"/>
  <c r="C63" i="31"/>
  <c r="E23" i="31"/>
  <c r="E31" i="31"/>
  <c r="E47" i="31"/>
  <c r="E63" i="31"/>
  <c r="B16" i="31"/>
  <c r="B48" i="31"/>
  <c r="B25" i="31"/>
  <c r="B57" i="31"/>
  <c r="C16" i="31"/>
  <c r="C32" i="31"/>
  <c r="C48" i="31"/>
  <c r="C64" i="31"/>
  <c r="E24" i="31"/>
  <c r="E40" i="31"/>
  <c r="E56" i="31"/>
  <c r="B24" i="31"/>
  <c r="B40" i="31"/>
  <c r="B56" i="31"/>
  <c r="B17" i="31"/>
  <c r="B33" i="31"/>
  <c r="B49" i="31"/>
  <c r="B65" i="31"/>
  <c r="F59" i="31"/>
  <c r="C20" i="31"/>
  <c r="C28" i="31"/>
  <c r="C36" i="31"/>
  <c r="C44" i="31"/>
  <c r="C52" i="31"/>
  <c r="C60" i="31"/>
  <c r="C68" i="31"/>
  <c r="E20" i="31"/>
  <c r="E28" i="31"/>
  <c r="E36" i="31"/>
  <c r="E44" i="31"/>
  <c r="E52" i="31"/>
  <c r="E60" i="31"/>
  <c r="E68" i="31"/>
  <c r="D13" i="31"/>
  <c r="D65" i="31"/>
  <c r="D61" i="31"/>
  <c r="D57" i="31"/>
  <c r="D53" i="31"/>
  <c r="D49" i="31"/>
  <c r="D45" i="31"/>
  <c r="D41" i="31"/>
  <c r="D37" i="31"/>
  <c r="D33" i="31"/>
  <c r="D29" i="31"/>
  <c r="D25" i="31"/>
  <c r="D21" i="31"/>
  <c r="D17" i="31"/>
  <c r="D68" i="31"/>
  <c r="D60" i="31"/>
  <c r="D52" i="31"/>
  <c r="D44" i="31"/>
  <c r="D40" i="31"/>
  <c r="D32" i="31"/>
  <c r="D24" i="31"/>
  <c r="D16" i="31"/>
  <c r="D66" i="31"/>
  <c r="D62" i="31"/>
  <c r="D58" i="31"/>
  <c r="D54" i="31"/>
  <c r="D50" i="31"/>
  <c r="D46" i="31"/>
  <c r="D42" i="31"/>
  <c r="D38" i="31"/>
  <c r="D34" i="31"/>
  <c r="D30" i="31"/>
  <c r="D26" i="31"/>
  <c r="D22" i="31"/>
  <c r="D18" i="31"/>
  <c r="D14" i="31"/>
  <c r="D64" i="31"/>
  <c r="D56" i="31"/>
  <c r="D48" i="31"/>
  <c r="D36" i="31"/>
  <c r="D28" i="31"/>
  <c r="D20" i="31"/>
  <c r="D51" i="31"/>
  <c r="D39" i="31"/>
  <c r="F15" i="31"/>
  <c r="F47" i="31"/>
  <c r="D15" i="31"/>
  <c r="D31" i="31"/>
  <c r="D47" i="31"/>
  <c r="D63" i="31"/>
  <c r="F23" i="31"/>
  <c r="F39" i="31"/>
  <c r="D19" i="31"/>
  <c r="D35" i="31"/>
  <c r="D67" i="31"/>
  <c r="F13" i="31"/>
  <c r="F65" i="31"/>
  <c r="F61" i="31"/>
  <c r="F57" i="31"/>
  <c r="F53" i="31"/>
  <c r="F49" i="31"/>
  <c r="F45" i="31"/>
  <c r="F41" i="31"/>
  <c r="F37" i="31"/>
  <c r="F33" i="31"/>
  <c r="F29" i="31"/>
  <c r="F25" i="31"/>
  <c r="F21" i="31"/>
  <c r="F17" i="31"/>
  <c r="F68" i="31"/>
  <c r="F60" i="31"/>
  <c r="F52" i="31"/>
  <c r="F44" i="31"/>
  <c r="F36" i="31"/>
  <c r="F28" i="31"/>
  <c r="F20" i="31"/>
  <c r="F66" i="31"/>
  <c r="F62" i="31"/>
  <c r="F58" i="31"/>
  <c r="F54" i="31"/>
  <c r="F50" i="31"/>
  <c r="F46" i="31"/>
  <c r="F42" i="31"/>
  <c r="F38" i="31"/>
  <c r="F34" i="31"/>
  <c r="F30" i="31"/>
  <c r="F26" i="31"/>
  <c r="F22" i="31"/>
  <c r="F18" i="31"/>
  <c r="F14" i="31"/>
  <c r="F64" i="31"/>
  <c r="F56" i="31"/>
  <c r="F48" i="31"/>
  <c r="F40" i="31"/>
  <c r="F32" i="31"/>
  <c r="F24" i="31"/>
  <c r="F16" i="31"/>
  <c r="D23" i="31"/>
  <c r="D55" i="31"/>
  <c r="F31" i="31"/>
  <c r="F63" i="31"/>
  <c r="D27" i="31"/>
  <c r="D43" i="31"/>
  <c r="D59" i="31"/>
  <c r="F19" i="31"/>
  <c r="F35" i="31"/>
  <c r="F51" i="31"/>
  <c r="F67" i="31"/>
  <c r="B14" i="31"/>
  <c r="B22" i="31"/>
  <c r="B30" i="31"/>
  <c r="B38" i="31"/>
  <c r="B46" i="31"/>
  <c r="B54" i="31"/>
  <c r="B62" i="31"/>
  <c r="B15" i="31"/>
  <c r="B23" i="31"/>
  <c r="B31" i="31"/>
  <c r="B39" i="31"/>
  <c r="B47" i="31"/>
  <c r="B55" i="31"/>
  <c r="B63" i="31"/>
  <c r="C14" i="31"/>
  <c r="C18" i="31"/>
  <c r="C22" i="31"/>
  <c r="C26" i="31"/>
  <c r="C30" i="31"/>
  <c r="C34" i="31"/>
  <c r="C38" i="31"/>
  <c r="C42" i="31"/>
  <c r="C46" i="31"/>
  <c r="C50" i="31"/>
  <c r="C54" i="31"/>
  <c r="C58" i="31"/>
  <c r="C62" i="31"/>
  <c r="C66" i="31"/>
  <c r="E14" i="31"/>
  <c r="E18" i="31"/>
  <c r="E22" i="31"/>
  <c r="E26" i="31"/>
  <c r="E30" i="31"/>
  <c r="E34" i="31"/>
  <c r="E38" i="31"/>
  <c r="E42" i="31"/>
  <c r="E46" i="31"/>
  <c r="E50" i="31"/>
  <c r="E54" i="31"/>
  <c r="E58" i="31"/>
  <c r="E62" i="31"/>
  <c r="E66" i="31"/>
  <c r="B20" i="31"/>
  <c r="B28" i="31"/>
  <c r="B36" i="31"/>
  <c r="B44" i="31"/>
  <c r="B52" i="31"/>
  <c r="B60" i="31"/>
  <c r="B68" i="31"/>
  <c r="B21" i="31"/>
  <c r="B29" i="31"/>
  <c r="B37" i="31"/>
  <c r="B45" i="31"/>
  <c r="B53" i="31"/>
  <c r="B61" i="31"/>
  <c r="C17" i="31"/>
  <c r="C21" i="31"/>
  <c r="C25" i="31"/>
  <c r="C29" i="31"/>
  <c r="C33" i="31"/>
  <c r="C37" i="31"/>
  <c r="C41" i="31"/>
  <c r="C45" i="31"/>
  <c r="C49" i="31"/>
  <c r="C53" i="31"/>
  <c r="C57" i="31"/>
  <c r="C61" i="31"/>
  <c r="C65" i="31"/>
  <c r="E17" i="31"/>
  <c r="E21" i="31"/>
  <c r="E25" i="31"/>
  <c r="E29" i="31"/>
  <c r="E33" i="31"/>
  <c r="E37" i="31"/>
  <c r="E41" i="31"/>
  <c r="E45" i="31"/>
  <c r="E49" i="31"/>
  <c r="E53" i="31"/>
  <c r="E57" i="31"/>
  <c r="E61" i="31"/>
  <c r="E65" i="31"/>
  <c r="G8" i="31"/>
  <c r="G66" i="31" s="1"/>
  <c r="P126" i="1"/>
  <c r="Q60" i="1"/>
  <c r="B23" i="20" s="1"/>
  <c r="Z89" i="1"/>
  <c r="H9" i="31"/>
  <c r="H13" i="31" s="1"/>
  <c r="J10" i="35"/>
  <c r="I11" i="35"/>
  <c r="I12" i="35"/>
  <c r="J10" i="31"/>
  <c r="I11" i="31"/>
  <c r="I12" i="31"/>
  <c r="Q55" i="1"/>
  <c r="G40" i="31" l="1"/>
  <c r="G24" i="31"/>
  <c r="G56" i="31"/>
  <c r="G44" i="31"/>
  <c r="G16" i="31"/>
  <c r="G48" i="31"/>
  <c r="G28" i="31"/>
  <c r="G60" i="31"/>
  <c r="G32" i="31"/>
  <c r="G64" i="31"/>
  <c r="G20" i="31"/>
  <c r="G36" i="31"/>
  <c r="G52" i="31"/>
  <c r="G68" i="31"/>
  <c r="G21" i="31"/>
  <c r="G29" i="31"/>
  <c r="G37" i="31"/>
  <c r="G45" i="31"/>
  <c r="G53" i="31"/>
  <c r="G61" i="31"/>
  <c r="G13" i="31"/>
  <c r="G15" i="31"/>
  <c r="G19" i="31"/>
  <c r="G23" i="31"/>
  <c r="G27" i="31"/>
  <c r="G31" i="31"/>
  <c r="G35" i="31"/>
  <c r="G39" i="31"/>
  <c r="G43" i="31"/>
  <c r="G47" i="31"/>
  <c r="G51" i="31"/>
  <c r="G55" i="31"/>
  <c r="G59" i="31"/>
  <c r="G63" i="31"/>
  <c r="G67" i="31"/>
  <c r="G17" i="31"/>
  <c r="G25" i="31"/>
  <c r="G33" i="31"/>
  <c r="G41" i="31"/>
  <c r="G49" i="31"/>
  <c r="G57" i="31"/>
  <c r="G65" i="31"/>
  <c r="G14" i="31"/>
  <c r="G18" i="31"/>
  <c r="G22" i="31"/>
  <c r="G26" i="31"/>
  <c r="G30" i="31"/>
  <c r="G34" i="31"/>
  <c r="G38" i="31"/>
  <c r="G42" i="31"/>
  <c r="G46" i="31"/>
  <c r="G50" i="31"/>
  <c r="G54" i="31"/>
  <c r="G58" i="31"/>
  <c r="G62" i="31"/>
  <c r="H8" i="31"/>
  <c r="H66" i="31" s="1"/>
  <c r="P127" i="1"/>
  <c r="Q61" i="1"/>
  <c r="B24" i="20" s="1"/>
  <c r="K10" i="31"/>
  <c r="J11" i="31"/>
  <c r="J12" i="31"/>
  <c r="Z90" i="1"/>
  <c r="I9" i="31"/>
  <c r="K10" i="35"/>
  <c r="J12" i="35"/>
  <c r="J11" i="35"/>
  <c r="H44" i="31" l="1"/>
  <c r="H16" i="31"/>
  <c r="H48" i="31"/>
  <c r="H24" i="31"/>
  <c r="H40" i="31"/>
  <c r="H56" i="31"/>
  <c r="H28" i="31"/>
  <c r="H60" i="31"/>
  <c r="H32" i="31"/>
  <c r="H64" i="31"/>
  <c r="H20" i="31"/>
  <c r="H36" i="31"/>
  <c r="H52" i="31"/>
  <c r="H68" i="31"/>
  <c r="H21" i="31"/>
  <c r="H29" i="31"/>
  <c r="H37" i="31"/>
  <c r="H45" i="31"/>
  <c r="H53" i="31"/>
  <c r="H61" i="31"/>
  <c r="H15" i="31"/>
  <c r="H19" i="31"/>
  <c r="H23" i="31"/>
  <c r="H27" i="31"/>
  <c r="H31" i="31"/>
  <c r="H35" i="31"/>
  <c r="H39" i="31"/>
  <c r="H43" i="31"/>
  <c r="H47" i="31"/>
  <c r="H51" i="31"/>
  <c r="H55" i="31"/>
  <c r="H59" i="31"/>
  <c r="H63" i="31"/>
  <c r="H67" i="31"/>
  <c r="H17" i="31"/>
  <c r="H25" i="31"/>
  <c r="H33" i="31"/>
  <c r="H41" i="31"/>
  <c r="H49" i="31"/>
  <c r="H57" i="31"/>
  <c r="H65" i="31"/>
  <c r="H14" i="31"/>
  <c r="H18" i="31"/>
  <c r="H22" i="31"/>
  <c r="H26" i="31"/>
  <c r="H30" i="31"/>
  <c r="H34" i="31"/>
  <c r="H38" i="31"/>
  <c r="H42" i="31"/>
  <c r="H46" i="31"/>
  <c r="H50" i="31"/>
  <c r="H54" i="31"/>
  <c r="H58" i="31"/>
  <c r="H62" i="31"/>
  <c r="I8" i="31"/>
  <c r="I66" i="31" s="1"/>
  <c r="P128" i="1"/>
  <c r="Q62" i="1"/>
  <c r="B25" i="20" s="1"/>
  <c r="K11" i="35"/>
  <c r="K12" i="35"/>
  <c r="Z91" i="1"/>
  <c r="J9" i="31"/>
  <c r="J13" i="31" s="1"/>
  <c r="L10" i="31"/>
  <c r="K11" i="31"/>
  <c r="K12" i="31"/>
  <c r="I24" i="31" l="1"/>
  <c r="I56" i="31"/>
  <c r="I40" i="31"/>
  <c r="I28" i="31"/>
  <c r="I60" i="31"/>
  <c r="I20" i="31"/>
  <c r="I36" i="31"/>
  <c r="I52" i="31"/>
  <c r="I68" i="31"/>
  <c r="I44" i="31"/>
  <c r="I16" i="31"/>
  <c r="I32" i="31"/>
  <c r="I48" i="31"/>
  <c r="I64" i="31"/>
  <c r="I21" i="31"/>
  <c r="I29" i="31"/>
  <c r="I37" i="31"/>
  <c r="I45" i="31"/>
  <c r="I53" i="31"/>
  <c r="I61" i="31"/>
  <c r="I15" i="31"/>
  <c r="I19" i="31"/>
  <c r="I23" i="31"/>
  <c r="I27" i="31"/>
  <c r="I31" i="31"/>
  <c r="I35" i="31"/>
  <c r="I39" i="31"/>
  <c r="I43" i="31"/>
  <c r="I47" i="31"/>
  <c r="I51" i="31"/>
  <c r="I55" i="31"/>
  <c r="I59" i="31"/>
  <c r="I63" i="31"/>
  <c r="I67" i="31"/>
  <c r="I17" i="31"/>
  <c r="I25" i="31"/>
  <c r="I33" i="31"/>
  <c r="I41" i="31"/>
  <c r="I49" i="31"/>
  <c r="I57" i="31"/>
  <c r="I65" i="31"/>
  <c r="I14" i="31"/>
  <c r="I18" i="31"/>
  <c r="I22" i="31"/>
  <c r="I26" i="31"/>
  <c r="I30" i="31"/>
  <c r="I34" i="31"/>
  <c r="I38" i="31"/>
  <c r="I42" i="31"/>
  <c r="I46" i="31"/>
  <c r="I50" i="31"/>
  <c r="I54" i="31"/>
  <c r="I58" i="31"/>
  <c r="I62" i="31"/>
  <c r="J8" i="31"/>
  <c r="J66" i="31" s="1"/>
  <c r="P129" i="1"/>
  <c r="Q63" i="1"/>
  <c r="B26" i="20" s="1"/>
  <c r="K9" i="31"/>
  <c r="K13" i="31" s="1"/>
  <c r="Z92" i="1"/>
  <c r="M10" i="31"/>
  <c r="L11" i="31"/>
  <c r="L12" i="31"/>
  <c r="J24" i="31" l="1"/>
  <c r="J40" i="31"/>
  <c r="J56" i="31"/>
  <c r="J27" i="31"/>
  <c r="J59" i="31"/>
  <c r="J19" i="31"/>
  <c r="J35" i="31"/>
  <c r="J51" i="31"/>
  <c r="J67" i="31"/>
  <c r="J43" i="31"/>
  <c r="J16" i="31"/>
  <c r="J32" i="31"/>
  <c r="J48" i="31"/>
  <c r="J64" i="31"/>
  <c r="J15" i="31"/>
  <c r="J23" i="31"/>
  <c r="J31" i="31"/>
  <c r="J39" i="31"/>
  <c r="J47" i="31"/>
  <c r="J55" i="31"/>
  <c r="J63" i="31"/>
  <c r="J20" i="31"/>
  <c r="J28" i="31"/>
  <c r="J36" i="31"/>
  <c r="J44" i="31"/>
  <c r="J52" i="31"/>
  <c r="J60" i="31"/>
  <c r="J68" i="31"/>
  <c r="J17" i="31"/>
  <c r="J21" i="31"/>
  <c r="J25" i="31"/>
  <c r="J29" i="31"/>
  <c r="J33" i="31"/>
  <c r="J37" i="31"/>
  <c r="J41" i="31"/>
  <c r="J45" i="31"/>
  <c r="J49" i="31"/>
  <c r="J53" i="31"/>
  <c r="J57" i="31"/>
  <c r="J61" i="31"/>
  <c r="J65" i="31"/>
  <c r="J14" i="31"/>
  <c r="J18" i="31"/>
  <c r="J22" i="31"/>
  <c r="J26" i="31"/>
  <c r="J30" i="31"/>
  <c r="J34" i="31"/>
  <c r="J38" i="31"/>
  <c r="J42" i="31"/>
  <c r="J46" i="31"/>
  <c r="J50" i="31"/>
  <c r="J54" i="31"/>
  <c r="J58" i="31"/>
  <c r="J62" i="31"/>
  <c r="K8" i="31"/>
  <c r="K68" i="31" s="1"/>
  <c r="P130" i="1"/>
  <c r="Q64" i="1"/>
  <c r="B27" i="20" s="1"/>
  <c r="L9" i="31"/>
  <c r="L13" i="31" s="1"/>
  <c r="L11" i="35"/>
  <c r="L12" i="35"/>
  <c r="N10" i="31"/>
  <c r="M11" i="31"/>
  <c r="M12" i="31"/>
  <c r="Z93" i="1"/>
  <c r="K21" i="31" l="1"/>
  <c r="K29" i="31"/>
  <c r="K37" i="31"/>
  <c r="K45" i="31"/>
  <c r="K53" i="31"/>
  <c r="K61" i="31"/>
  <c r="K14" i="31"/>
  <c r="K22" i="31"/>
  <c r="K30" i="31"/>
  <c r="K38" i="31"/>
  <c r="K46" i="31"/>
  <c r="K54" i="31"/>
  <c r="K62" i="31"/>
  <c r="K15" i="31"/>
  <c r="K19" i="31"/>
  <c r="K23" i="31"/>
  <c r="K27" i="31"/>
  <c r="K31" i="31"/>
  <c r="K35" i="31"/>
  <c r="K39" i="31"/>
  <c r="K43" i="31"/>
  <c r="K47" i="31"/>
  <c r="K51" i="31"/>
  <c r="K55" i="31"/>
  <c r="K59" i="31"/>
  <c r="K63" i="31"/>
  <c r="K67" i="31"/>
  <c r="K17" i="31"/>
  <c r="K25" i="31"/>
  <c r="K33" i="31"/>
  <c r="K41" i="31"/>
  <c r="K49" i="31"/>
  <c r="K57" i="31"/>
  <c r="K65" i="31"/>
  <c r="K18" i="31"/>
  <c r="K26" i="31"/>
  <c r="K34" i="31"/>
  <c r="K42" i="31"/>
  <c r="K50" i="31"/>
  <c r="K58" i="31"/>
  <c r="K66" i="31"/>
  <c r="K16" i="31"/>
  <c r="K20" i="31"/>
  <c r="K24" i="31"/>
  <c r="K28" i="31"/>
  <c r="K32" i="31"/>
  <c r="K36" i="31"/>
  <c r="K40" i="31"/>
  <c r="K44" i="31"/>
  <c r="K48" i="31"/>
  <c r="K52" i="31"/>
  <c r="K56" i="31"/>
  <c r="K60" i="31"/>
  <c r="K64" i="31"/>
  <c r="L8" i="31"/>
  <c r="L68" i="31" s="1"/>
  <c r="P131" i="1"/>
  <c r="Q65" i="1"/>
  <c r="B28" i="20" s="1"/>
  <c r="Z94" i="1"/>
  <c r="M9" i="31"/>
  <c r="M13" i="31" s="1"/>
  <c r="O10" i="31"/>
  <c r="N11" i="31"/>
  <c r="N12" i="31"/>
  <c r="L17" i="31" l="1"/>
  <c r="L21" i="31"/>
  <c r="L33" i="31"/>
  <c r="L41" i="31"/>
  <c r="L49" i="31"/>
  <c r="L57" i="31"/>
  <c r="L61" i="31"/>
  <c r="L14" i="31"/>
  <c r="L22" i="31"/>
  <c r="L30" i="31"/>
  <c r="L42" i="31"/>
  <c r="L50" i="31"/>
  <c r="L58" i="31"/>
  <c r="L66" i="31"/>
  <c r="L19" i="31"/>
  <c r="L23" i="31"/>
  <c r="L27" i="31"/>
  <c r="L31" i="31"/>
  <c r="L35" i="31"/>
  <c r="L39" i="31"/>
  <c r="L43" i="31"/>
  <c r="L47" i="31"/>
  <c r="L51" i="31"/>
  <c r="L55" i="31"/>
  <c r="L59" i="31"/>
  <c r="L63" i="31"/>
  <c r="L67" i="31"/>
  <c r="L25" i="31"/>
  <c r="L29" i="31"/>
  <c r="L37" i="31"/>
  <c r="L45" i="31"/>
  <c r="L53" i="31"/>
  <c r="L65" i="31"/>
  <c r="L18" i="31"/>
  <c r="L26" i="31"/>
  <c r="L34" i="31"/>
  <c r="L38" i="31"/>
  <c r="L46" i="31"/>
  <c r="L54" i="31"/>
  <c r="L62" i="31"/>
  <c r="L15" i="31"/>
  <c r="L16" i="31"/>
  <c r="L20" i="31"/>
  <c r="L24" i="31"/>
  <c r="L28" i="31"/>
  <c r="L32" i="31"/>
  <c r="L36" i="31"/>
  <c r="L40" i="31"/>
  <c r="L44" i="31"/>
  <c r="L48" i="31"/>
  <c r="L52" i="31"/>
  <c r="L56" i="31"/>
  <c r="L60" i="31"/>
  <c r="L64" i="31"/>
  <c r="M8" i="31"/>
  <c r="M67" i="31" s="1"/>
  <c r="P132" i="1"/>
  <c r="Q66" i="1"/>
  <c r="B29" i="20" s="1"/>
  <c r="N9" i="31"/>
  <c r="Z95" i="1"/>
  <c r="P10" i="31"/>
  <c r="O11" i="31"/>
  <c r="O12" i="31"/>
  <c r="M11" i="35"/>
  <c r="M12" i="35"/>
  <c r="M24" i="31" l="1"/>
  <c r="M56" i="31"/>
  <c r="M40" i="31"/>
  <c r="M28" i="31"/>
  <c r="M60" i="31"/>
  <c r="M16" i="31"/>
  <c r="M20" i="31"/>
  <c r="M36" i="31"/>
  <c r="M52" i="31"/>
  <c r="M68" i="31"/>
  <c r="M44" i="31"/>
  <c r="M32" i="31"/>
  <c r="M48" i="31"/>
  <c r="M64" i="31"/>
  <c r="M21" i="31"/>
  <c r="M29" i="31"/>
  <c r="M37" i="31"/>
  <c r="M45" i="31"/>
  <c r="M53" i="31"/>
  <c r="M61" i="31"/>
  <c r="M14" i="31"/>
  <c r="M18" i="31"/>
  <c r="M22" i="31"/>
  <c r="M26" i="31"/>
  <c r="M30" i="31"/>
  <c r="M34" i="31"/>
  <c r="M38" i="31"/>
  <c r="M42" i="31"/>
  <c r="M46" i="31"/>
  <c r="M50" i="31"/>
  <c r="M54" i="31"/>
  <c r="M58" i="31"/>
  <c r="M62" i="31"/>
  <c r="M66" i="31"/>
  <c r="M17" i="31"/>
  <c r="M25" i="31"/>
  <c r="M33" i="31"/>
  <c r="M41" i="31"/>
  <c r="M49" i="31"/>
  <c r="M57" i="31"/>
  <c r="M65" i="31"/>
  <c r="M15" i="31"/>
  <c r="M19" i="31"/>
  <c r="M23" i="31"/>
  <c r="M27" i="31"/>
  <c r="M31" i="31"/>
  <c r="M35" i="31"/>
  <c r="M39" i="31"/>
  <c r="M43" i="31"/>
  <c r="M47" i="31"/>
  <c r="M51" i="31"/>
  <c r="M55" i="31"/>
  <c r="M59" i="31"/>
  <c r="M63" i="31"/>
  <c r="N8" i="31"/>
  <c r="N66" i="31" s="1"/>
  <c r="P133" i="1"/>
  <c r="Q67" i="1"/>
  <c r="B30" i="20" s="1"/>
  <c r="O9" i="31"/>
  <c r="Z96" i="1"/>
  <c r="Q10" i="31"/>
  <c r="P11" i="31"/>
  <c r="P12" i="31"/>
  <c r="N67" i="31" l="1"/>
  <c r="N35" i="31"/>
  <c r="N40" i="31"/>
  <c r="N19" i="31"/>
  <c r="N51" i="31"/>
  <c r="N24" i="31"/>
  <c r="N56" i="31"/>
  <c r="N27" i="31"/>
  <c r="N43" i="31"/>
  <c r="N59" i="31"/>
  <c r="N16" i="31"/>
  <c r="N32" i="31"/>
  <c r="N48" i="31"/>
  <c r="N64" i="31"/>
  <c r="N15" i="31"/>
  <c r="N23" i="31"/>
  <c r="N31" i="31"/>
  <c r="N39" i="31"/>
  <c r="N47" i="31"/>
  <c r="N55" i="31"/>
  <c r="N63" i="31"/>
  <c r="N20" i="31"/>
  <c r="N28" i="31"/>
  <c r="N36" i="31"/>
  <c r="N44" i="31"/>
  <c r="N52" i="31"/>
  <c r="N60" i="31"/>
  <c r="N68" i="31"/>
  <c r="N17" i="31"/>
  <c r="N21" i="31"/>
  <c r="N25" i="31"/>
  <c r="N29" i="31"/>
  <c r="N33" i="31"/>
  <c r="N37" i="31"/>
  <c r="N41" i="31"/>
  <c r="N45" i="31"/>
  <c r="N49" i="31"/>
  <c r="N53" i="31"/>
  <c r="N57" i="31"/>
  <c r="N61" i="31"/>
  <c r="N65" i="31"/>
  <c r="N13" i="31"/>
  <c r="N14" i="31"/>
  <c r="N18" i="31"/>
  <c r="N22" i="31"/>
  <c r="N26" i="31"/>
  <c r="N30" i="31"/>
  <c r="N34" i="31"/>
  <c r="N38" i="31"/>
  <c r="N42" i="31"/>
  <c r="N46" i="31"/>
  <c r="N50" i="31"/>
  <c r="N54" i="31"/>
  <c r="N58" i="31"/>
  <c r="N62" i="31"/>
  <c r="O8" i="31"/>
  <c r="O68" i="31" s="1"/>
  <c r="P134" i="1"/>
  <c r="Q68" i="1"/>
  <c r="B31" i="20" s="1"/>
  <c r="P9" i="31"/>
  <c r="R10" i="31"/>
  <c r="Q11" i="31"/>
  <c r="Q12" i="31"/>
  <c r="Z97" i="1"/>
  <c r="N11" i="35"/>
  <c r="O10" i="35"/>
  <c r="N12" i="35"/>
  <c r="O18" i="31" l="1"/>
  <c r="O26" i="31"/>
  <c r="O58" i="31"/>
  <c r="O42" i="31"/>
  <c r="O50" i="31"/>
  <c r="O34" i="31"/>
  <c r="O66" i="31"/>
  <c r="O19" i="31"/>
  <c r="O35" i="31"/>
  <c r="O51" i="31"/>
  <c r="O67" i="31"/>
  <c r="O14" i="31"/>
  <c r="O15" i="31"/>
  <c r="O23" i="31"/>
  <c r="O31" i="31"/>
  <c r="O39" i="31"/>
  <c r="O47" i="31"/>
  <c r="O55" i="31"/>
  <c r="O63" i="31"/>
  <c r="O27" i="31"/>
  <c r="O43" i="31"/>
  <c r="O59" i="31"/>
  <c r="O22" i="31"/>
  <c r="O30" i="31"/>
  <c r="O38" i="31"/>
  <c r="O46" i="31"/>
  <c r="O54" i="31"/>
  <c r="O62" i="31"/>
  <c r="O17" i="31"/>
  <c r="O21" i="31"/>
  <c r="O25" i="31"/>
  <c r="O29" i="31"/>
  <c r="O33" i="31"/>
  <c r="O37" i="31"/>
  <c r="O41" i="31"/>
  <c r="O45" i="31"/>
  <c r="O49" i="31"/>
  <c r="O53" i="31"/>
  <c r="O57" i="31"/>
  <c r="O61" i="31"/>
  <c r="O65" i="31"/>
  <c r="O13" i="31"/>
  <c r="O16" i="31"/>
  <c r="O20" i="31"/>
  <c r="O24" i="31"/>
  <c r="O28" i="31"/>
  <c r="O32" i="31"/>
  <c r="O36" i="31"/>
  <c r="O40" i="31"/>
  <c r="O44" i="31"/>
  <c r="O48" i="31"/>
  <c r="O52" i="31"/>
  <c r="O56" i="31"/>
  <c r="O60" i="31"/>
  <c r="O64" i="31"/>
  <c r="P8" i="31"/>
  <c r="P13" i="31" s="1"/>
  <c r="P135" i="1"/>
  <c r="Q69" i="1"/>
  <c r="B32" i="20" s="1"/>
  <c r="S10" i="31"/>
  <c r="R11" i="31"/>
  <c r="R12" i="31"/>
  <c r="P10" i="35"/>
  <c r="O11" i="35"/>
  <c r="O12" i="35"/>
  <c r="Z98" i="1"/>
  <c r="Q9" i="31"/>
  <c r="P23" i="31" l="1"/>
  <c r="P39" i="31"/>
  <c r="P50" i="31"/>
  <c r="P66" i="31"/>
  <c r="P14" i="31"/>
  <c r="P24" i="31"/>
  <c r="P35" i="31"/>
  <c r="P46" i="31"/>
  <c r="P56" i="31"/>
  <c r="P67" i="31"/>
  <c r="P16" i="31"/>
  <c r="P22" i="31"/>
  <c r="P27" i="31"/>
  <c r="P32" i="31"/>
  <c r="P38" i="31"/>
  <c r="P43" i="31"/>
  <c r="P48" i="31"/>
  <c r="P54" i="31"/>
  <c r="P59" i="31"/>
  <c r="P64" i="31"/>
  <c r="P18" i="31"/>
  <c r="P28" i="31"/>
  <c r="P34" i="31"/>
  <c r="P44" i="31"/>
  <c r="P55" i="31"/>
  <c r="P60" i="31"/>
  <c r="P19" i="31"/>
  <c r="P30" i="31"/>
  <c r="P40" i="31"/>
  <c r="P51" i="31"/>
  <c r="P62" i="31"/>
  <c r="P15" i="31"/>
  <c r="P20" i="31"/>
  <c r="P26" i="31"/>
  <c r="P31" i="31"/>
  <c r="P36" i="31"/>
  <c r="P42" i="31"/>
  <c r="P47" i="31"/>
  <c r="P52" i="31"/>
  <c r="P58" i="31"/>
  <c r="P63" i="31"/>
  <c r="P68" i="31"/>
  <c r="P17" i="31"/>
  <c r="P21" i="31"/>
  <c r="P25" i="31"/>
  <c r="P29" i="31"/>
  <c r="P33" i="31"/>
  <c r="P37" i="31"/>
  <c r="P41" i="31"/>
  <c r="P45" i="31"/>
  <c r="P49" i="31"/>
  <c r="P53" i="31"/>
  <c r="P57" i="31"/>
  <c r="P61" i="31"/>
  <c r="P65" i="31"/>
  <c r="Q8" i="31"/>
  <c r="Q66" i="31" s="1"/>
  <c r="P136" i="1"/>
  <c r="Q70" i="1"/>
  <c r="B33" i="20" s="1"/>
  <c r="Z99" i="1"/>
  <c r="T10" i="31"/>
  <c r="S11" i="31"/>
  <c r="S12" i="31"/>
  <c r="Q10" i="35"/>
  <c r="P11" i="35"/>
  <c r="P12" i="35"/>
  <c r="R9" i="31"/>
  <c r="Q32" i="31" l="1"/>
  <c r="Q16" i="31"/>
  <c r="Q56" i="31"/>
  <c r="Q24" i="31"/>
  <c r="Q48" i="31"/>
  <c r="Q68" i="31"/>
  <c r="Q52" i="31"/>
  <c r="Q36" i="31"/>
  <c r="Q20" i="31"/>
  <c r="Q40" i="31"/>
  <c r="Q64" i="31"/>
  <c r="Q28" i="31"/>
  <c r="Q44" i="31"/>
  <c r="Q60" i="31"/>
  <c r="Q21" i="31"/>
  <c r="Q29" i="31"/>
  <c r="Q37" i="31"/>
  <c r="Q45" i="31"/>
  <c r="Q53" i="31"/>
  <c r="Q61" i="31"/>
  <c r="Q13" i="31"/>
  <c r="Q14" i="31"/>
  <c r="Q15" i="31"/>
  <c r="Q19" i="31"/>
  <c r="Q23" i="31"/>
  <c r="Q27" i="31"/>
  <c r="Q31" i="31"/>
  <c r="Q35" i="31"/>
  <c r="Q39" i="31"/>
  <c r="Q43" i="31"/>
  <c r="Q47" i="31"/>
  <c r="Q51" i="31"/>
  <c r="Q55" i="31"/>
  <c r="Q59" i="31"/>
  <c r="Q63" i="31"/>
  <c r="Q67" i="31"/>
  <c r="Q17" i="31"/>
  <c r="Q25" i="31"/>
  <c r="Q33" i="31"/>
  <c r="Q41" i="31"/>
  <c r="Q49" i="31"/>
  <c r="Q57" i="31"/>
  <c r="Q65" i="31"/>
  <c r="Q18" i="31"/>
  <c r="Q22" i="31"/>
  <c r="Q26" i="31"/>
  <c r="Q30" i="31"/>
  <c r="Q34" i="31"/>
  <c r="Q38" i="31"/>
  <c r="Q42" i="31"/>
  <c r="Q46" i="31"/>
  <c r="Q50" i="31"/>
  <c r="Q54" i="31"/>
  <c r="Q58" i="31"/>
  <c r="Q62" i="31"/>
  <c r="R8" i="31"/>
  <c r="R66" i="31" s="1"/>
  <c r="P137" i="1"/>
  <c r="Q71" i="1"/>
  <c r="B34" i="20" s="1"/>
  <c r="S9" i="31"/>
  <c r="Z100" i="1"/>
  <c r="R10" i="35"/>
  <c r="Q11" i="35"/>
  <c r="Q12" i="35"/>
  <c r="U10" i="31"/>
  <c r="T11" i="31"/>
  <c r="T12" i="31"/>
  <c r="R28" i="31" l="1"/>
  <c r="R44" i="31"/>
  <c r="R60" i="31"/>
  <c r="R32" i="31"/>
  <c r="R64" i="31"/>
  <c r="R20" i="31"/>
  <c r="R52" i="31"/>
  <c r="R24" i="31"/>
  <c r="R40" i="31"/>
  <c r="R56" i="31"/>
  <c r="R16" i="31"/>
  <c r="R48" i="31"/>
  <c r="R36" i="31"/>
  <c r="R68" i="31"/>
  <c r="R21" i="31"/>
  <c r="R29" i="31"/>
  <c r="R37" i="31"/>
  <c r="R45" i="31"/>
  <c r="R53" i="31"/>
  <c r="R57" i="31"/>
  <c r="R65" i="31"/>
  <c r="R18" i="31"/>
  <c r="R15" i="31"/>
  <c r="R19" i="31"/>
  <c r="R23" i="31"/>
  <c r="R27" i="31"/>
  <c r="R31" i="31"/>
  <c r="R35" i="31"/>
  <c r="R39" i="31"/>
  <c r="R43" i="31"/>
  <c r="R47" i="31"/>
  <c r="R51" i="31"/>
  <c r="R55" i="31"/>
  <c r="R59" i="31"/>
  <c r="R63" i="31"/>
  <c r="R67" i="31"/>
  <c r="R17" i="31"/>
  <c r="R25" i="31"/>
  <c r="R33" i="31"/>
  <c r="R41" i="31"/>
  <c r="R49" i="31"/>
  <c r="R61" i="31"/>
  <c r="R13" i="31"/>
  <c r="R14" i="31"/>
  <c r="R22" i="31"/>
  <c r="R26" i="31"/>
  <c r="R30" i="31"/>
  <c r="R34" i="31"/>
  <c r="R38" i="31"/>
  <c r="R42" i="31"/>
  <c r="R46" i="31"/>
  <c r="R50" i="31"/>
  <c r="R54" i="31"/>
  <c r="R58" i="31"/>
  <c r="R62" i="31"/>
  <c r="S8" i="31"/>
  <c r="S66" i="31" s="1"/>
  <c r="P138" i="1"/>
  <c r="Q72" i="1"/>
  <c r="B35" i="20" s="1"/>
  <c r="V10" i="31"/>
  <c r="U11" i="31"/>
  <c r="U12" i="31"/>
  <c r="Z101" i="1"/>
  <c r="T9" i="31"/>
  <c r="S10" i="35"/>
  <c r="R11" i="35"/>
  <c r="R12" i="35"/>
  <c r="S24" i="31" l="1"/>
  <c r="S56" i="31"/>
  <c r="S40" i="31"/>
  <c r="S28" i="31"/>
  <c r="S44" i="31"/>
  <c r="S60" i="31"/>
  <c r="S16" i="31"/>
  <c r="S32" i="31"/>
  <c r="S48" i="31"/>
  <c r="S64" i="31"/>
  <c r="S20" i="31"/>
  <c r="S36" i="31"/>
  <c r="S52" i="31"/>
  <c r="S68" i="31"/>
  <c r="S21" i="31"/>
  <c r="S29" i="31"/>
  <c r="S37" i="31"/>
  <c r="S45" i="31"/>
  <c r="S53" i="31"/>
  <c r="S61" i="31"/>
  <c r="S13" i="31"/>
  <c r="S14" i="31"/>
  <c r="S15" i="31"/>
  <c r="S19" i="31"/>
  <c r="S23" i="31"/>
  <c r="S27" i="31"/>
  <c r="S31" i="31"/>
  <c r="S35" i="31"/>
  <c r="S39" i="31"/>
  <c r="S43" i="31"/>
  <c r="S47" i="31"/>
  <c r="S51" i="31"/>
  <c r="S55" i="31"/>
  <c r="S59" i="31"/>
  <c r="S63" i="31"/>
  <c r="S67" i="31"/>
  <c r="S17" i="31"/>
  <c r="S25" i="31"/>
  <c r="S33" i="31"/>
  <c r="S41" i="31"/>
  <c r="S49" i="31"/>
  <c r="S57" i="31"/>
  <c r="S65" i="31"/>
  <c r="S18" i="31"/>
  <c r="S22" i="31"/>
  <c r="S26" i="31"/>
  <c r="S30" i="31"/>
  <c r="S34" i="31"/>
  <c r="S38" i="31"/>
  <c r="S42" i="31"/>
  <c r="S46" i="31"/>
  <c r="S50" i="31"/>
  <c r="S54" i="31"/>
  <c r="S58" i="31"/>
  <c r="S62" i="31"/>
  <c r="T8" i="31"/>
  <c r="T66" i="31" s="1"/>
  <c r="P139" i="1"/>
  <c r="Q73" i="1"/>
  <c r="B36" i="20" s="1"/>
  <c r="W10" i="31"/>
  <c r="V11" i="31"/>
  <c r="V12" i="31"/>
  <c r="T10" i="35"/>
  <c r="S11" i="35"/>
  <c r="S12" i="35"/>
  <c r="Z102" i="1"/>
  <c r="U9" i="31"/>
  <c r="T56" i="31" l="1"/>
  <c r="T24" i="31"/>
  <c r="T40" i="31"/>
  <c r="T28" i="31"/>
  <c r="T44" i="31"/>
  <c r="T60" i="31"/>
  <c r="T16" i="31"/>
  <c r="T32" i="31"/>
  <c r="T48" i="31"/>
  <c r="T64" i="31"/>
  <c r="T20" i="31"/>
  <c r="T36" i="31"/>
  <c r="T52" i="31"/>
  <c r="T68" i="31"/>
  <c r="T17" i="31"/>
  <c r="T29" i="31"/>
  <c r="T37" i="31"/>
  <c r="T45" i="31"/>
  <c r="T53" i="31"/>
  <c r="T61" i="31"/>
  <c r="T13" i="31"/>
  <c r="T15" i="31"/>
  <c r="T19" i="31"/>
  <c r="T23" i="31"/>
  <c r="T27" i="31"/>
  <c r="T31" i="31"/>
  <c r="T35" i="31"/>
  <c r="T39" i="31"/>
  <c r="T43" i="31"/>
  <c r="T47" i="31"/>
  <c r="T51" i="31"/>
  <c r="T55" i="31"/>
  <c r="T59" i="31"/>
  <c r="T63" i="31"/>
  <c r="T67" i="31"/>
  <c r="T21" i="31"/>
  <c r="T25" i="31"/>
  <c r="T33" i="31"/>
  <c r="T41" i="31"/>
  <c r="T49" i="31"/>
  <c r="T57" i="31"/>
  <c r="T65" i="31"/>
  <c r="T14" i="31"/>
  <c r="T18" i="31"/>
  <c r="T22" i="31"/>
  <c r="T26" i="31"/>
  <c r="T30" i="31"/>
  <c r="T34" i="31"/>
  <c r="T38" i="31"/>
  <c r="T42" i="31"/>
  <c r="T46" i="31"/>
  <c r="T50" i="31"/>
  <c r="T54" i="31"/>
  <c r="T58" i="31"/>
  <c r="T62" i="31"/>
  <c r="U8" i="31"/>
  <c r="U66" i="31" s="1"/>
  <c r="Q74" i="1"/>
  <c r="B37" i="20" s="1"/>
  <c r="U10" i="35"/>
  <c r="T11" i="35"/>
  <c r="T12" i="35"/>
  <c r="X10" i="31"/>
  <c r="W11" i="31"/>
  <c r="W12" i="31"/>
  <c r="Z103" i="1"/>
  <c r="V9" i="31"/>
  <c r="U28" i="31" l="1"/>
  <c r="U20" i="31"/>
  <c r="U64" i="31"/>
  <c r="U44" i="31"/>
  <c r="U68" i="31"/>
  <c r="U32" i="31"/>
  <c r="U52" i="31"/>
  <c r="U48" i="31"/>
  <c r="U16" i="31"/>
  <c r="U17" i="31"/>
  <c r="U36" i="31"/>
  <c r="U60" i="31"/>
  <c r="U24" i="31"/>
  <c r="U40" i="31"/>
  <c r="U56" i="31"/>
  <c r="U25" i="31"/>
  <c r="U33" i="31"/>
  <c r="U41" i="31"/>
  <c r="U49" i="31"/>
  <c r="U57" i="31"/>
  <c r="U65" i="31"/>
  <c r="U14" i="31"/>
  <c r="U15" i="31"/>
  <c r="U19" i="31"/>
  <c r="U23" i="31"/>
  <c r="U27" i="31"/>
  <c r="U31" i="31"/>
  <c r="U35" i="31"/>
  <c r="U39" i="31"/>
  <c r="U43" i="31"/>
  <c r="U47" i="31"/>
  <c r="U51" i="31"/>
  <c r="U55" i="31"/>
  <c r="U59" i="31"/>
  <c r="U63" i="31"/>
  <c r="U67" i="31"/>
  <c r="U21" i="31"/>
  <c r="U29" i="31"/>
  <c r="U37" i="31"/>
  <c r="U45" i="31"/>
  <c r="U53" i="31"/>
  <c r="U61" i="31"/>
  <c r="U13" i="31"/>
  <c r="U18" i="31"/>
  <c r="U22" i="31"/>
  <c r="U26" i="31"/>
  <c r="U30" i="31"/>
  <c r="U34" i="31"/>
  <c r="U38" i="31"/>
  <c r="U42" i="31"/>
  <c r="U46" i="31"/>
  <c r="U50" i="31"/>
  <c r="U54" i="31"/>
  <c r="U58" i="31"/>
  <c r="U62" i="31"/>
  <c r="V8" i="31"/>
  <c r="V13" i="31" s="1"/>
  <c r="Q75" i="1"/>
  <c r="B38" i="20" s="1"/>
  <c r="W9" i="31"/>
  <c r="V10" i="35"/>
  <c r="U11" i="35"/>
  <c r="U12" i="35"/>
  <c r="Z104" i="1"/>
  <c r="Y10" i="31"/>
  <c r="X11" i="31"/>
  <c r="X12" i="31"/>
  <c r="V16" i="31" l="1"/>
  <c r="V68" i="31"/>
  <c r="V24" i="31"/>
  <c r="V60" i="31"/>
  <c r="V39" i="31"/>
  <c r="V47" i="31"/>
  <c r="V15" i="31"/>
  <c r="V36" i="31"/>
  <c r="V56" i="31"/>
  <c r="V28" i="31"/>
  <c r="V48" i="31"/>
  <c r="V20" i="31"/>
  <c r="V31" i="31"/>
  <c r="V40" i="31"/>
  <c r="V52" i="31"/>
  <c r="V63" i="31"/>
  <c r="V14" i="31"/>
  <c r="V23" i="31"/>
  <c r="V32" i="31"/>
  <c r="V44" i="31"/>
  <c r="V55" i="31"/>
  <c r="V64" i="31"/>
  <c r="V19" i="31"/>
  <c r="V27" i="31"/>
  <c r="V35" i="31"/>
  <c r="V43" i="31"/>
  <c r="V51" i="31"/>
  <c r="V59" i="31"/>
  <c r="V67" i="31"/>
  <c r="V18" i="31"/>
  <c r="V22" i="31"/>
  <c r="V26" i="31"/>
  <c r="V30" i="31"/>
  <c r="V34" i="31"/>
  <c r="V38" i="31"/>
  <c r="V42" i="31"/>
  <c r="V46" i="31"/>
  <c r="V50" i="31"/>
  <c r="V54" i="31"/>
  <c r="V58" i="31"/>
  <c r="V62" i="31"/>
  <c r="V66" i="31"/>
  <c r="V17" i="31"/>
  <c r="V21" i="31"/>
  <c r="V25" i="31"/>
  <c r="V29" i="31"/>
  <c r="V33" i="31"/>
  <c r="V37" i="31"/>
  <c r="V41" i="31"/>
  <c r="V45" i="31"/>
  <c r="V49" i="31"/>
  <c r="V53" i="31"/>
  <c r="V57" i="31"/>
  <c r="V61" i="31"/>
  <c r="V65" i="31"/>
  <c r="W8" i="31"/>
  <c r="W67" i="31" s="1"/>
  <c r="Q76" i="1"/>
  <c r="B39" i="20" s="1"/>
  <c r="Z10" i="31"/>
  <c r="Y11" i="31"/>
  <c r="Y12" i="31"/>
  <c r="X9" i="31"/>
  <c r="Z105" i="1"/>
  <c r="V11" i="35"/>
  <c r="W10" i="35"/>
  <c r="V12" i="35"/>
  <c r="W17" i="31" l="1"/>
  <c r="W25" i="31"/>
  <c r="W33" i="31"/>
  <c r="W41" i="31"/>
  <c r="W49" i="31"/>
  <c r="W57" i="31"/>
  <c r="W65" i="31"/>
  <c r="W14" i="31"/>
  <c r="W22" i="31"/>
  <c r="W30" i="31"/>
  <c r="W38" i="31"/>
  <c r="W46" i="31"/>
  <c r="W54" i="31"/>
  <c r="W62" i="31"/>
  <c r="W16" i="31"/>
  <c r="W20" i="31"/>
  <c r="W24" i="31"/>
  <c r="W28" i="31"/>
  <c r="W32" i="31"/>
  <c r="W36" i="31"/>
  <c r="W40" i="31"/>
  <c r="W44" i="31"/>
  <c r="W48" i="31"/>
  <c r="W52" i="31"/>
  <c r="W56" i="31"/>
  <c r="W60" i="31"/>
  <c r="W64" i="31"/>
  <c r="W68" i="31"/>
  <c r="W21" i="31"/>
  <c r="W29" i="31"/>
  <c r="W37" i="31"/>
  <c r="W45" i="31"/>
  <c r="W53" i="31"/>
  <c r="W61" i="31"/>
  <c r="W13" i="31"/>
  <c r="W18" i="31"/>
  <c r="W26" i="31"/>
  <c r="W34" i="31"/>
  <c r="W42" i="31"/>
  <c r="W50" i="31"/>
  <c r="W58" i="31"/>
  <c r="W66" i="31"/>
  <c r="W15" i="31"/>
  <c r="W19" i="31"/>
  <c r="W23" i="31"/>
  <c r="W27" i="31"/>
  <c r="W31" i="31"/>
  <c r="W35" i="31"/>
  <c r="W39" i="31"/>
  <c r="W43" i="31"/>
  <c r="W47" i="31"/>
  <c r="W51" i="31"/>
  <c r="W55" i="31"/>
  <c r="W59" i="31"/>
  <c r="W63" i="31"/>
  <c r="X8" i="31"/>
  <c r="X68" i="31" s="1"/>
  <c r="Q77" i="1"/>
  <c r="B40" i="20" s="1"/>
  <c r="AA10" i="31"/>
  <c r="Z11" i="31"/>
  <c r="Z12" i="31"/>
  <c r="X10" i="35"/>
  <c r="W11" i="35"/>
  <c r="W12" i="35"/>
  <c r="Z106" i="1"/>
  <c r="Y9" i="31"/>
  <c r="X19" i="31" l="1"/>
  <c r="X35" i="31"/>
  <c r="X51" i="31"/>
  <c r="X67" i="31"/>
  <c r="X14" i="31"/>
  <c r="X30" i="31"/>
  <c r="X46" i="31"/>
  <c r="X55" i="31"/>
  <c r="X27" i="31"/>
  <c r="X43" i="31"/>
  <c r="X59" i="31"/>
  <c r="X22" i="31"/>
  <c r="X38" i="31"/>
  <c r="X54" i="31"/>
  <c r="X62" i="31"/>
  <c r="X15" i="31"/>
  <c r="X23" i="31"/>
  <c r="X31" i="31"/>
  <c r="X39" i="31"/>
  <c r="X47" i="31"/>
  <c r="X63" i="31"/>
  <c r="X18" i="31"/>
  <c r="X26" i="31"/>
  <c r="X34" i="31"/>
  <c r="X42" i="31"/>
  <c r="X50" i="31"/>
  <c r="X58" i="31"/>
  <c r="X66" i="31"/>
  <c r="X17" i="31"/>
  <c r="X21" i="31"/>
  <c r="X25" i="31"/>
  <c r="X29" i="31"/>
  <c r="X33" i="31"/>
  <c r="X37" i="31"/>
  <c r="X41" i="31"/>
  <c r="X45" i="31"/>
  <c r="X49" i="31"/>
  <c r="X53" i="31"/>
  <c r="X57" i="31"/>
  <c r="X61" i="31"/>
  <c r="X65" i="31"/>
  <c r="X13" i="31"/>
  <c r="X16" i="31"/>
  <c r="X20" i="31"/>
  <c r="X24" i="31"/>
  <c r="X28" i="31"/>
  <c r="X32" i="31"/>
  <c r="X36" i="31"/>
  <c r="X40" i="31"/>
  <c r="X44" i="31"/>
  <c r="X48" i="31"/>
  <c r="X52" i="31"/>
  <c r="X56" i="31"/>
  <c r="X60" i="31"/>
  <c r="X64" i="31"/>
  <c r="Y8" i="31"/>
  <c r="Y68" i="31" s="1"/>
  <c r="Q78" i="1"/>
  <c r="B41" i="20" s="1"/>
  <c r="Z107" i="1"/>
  <c r="X11" i="35"/>
  <c r="X12" i="35"/>
  <c r="AB10" i="31"/>
  <c r="AA11" i="31"/>
  <c r="AA12" i="31"/>
  <c r="Z9" i="31"/>
  <c r="Y19" i="31" l="1"/>
  <c r="Y27" i="31"/>
  <c r="Y38" i="31"/>
  <c r="Y50" i="31"/>
  <c r="Y59" i="31"/>
  <c r="Y14" i="31"/>
  <c r="Y20" i="31"/>
  <c r="Y30" i="31"/>
  <c r="Y42" i="31"/>
  <c r="Y51" i="31"/>
  <c r="Y62" i="31"/>
  <c r="Y15" i="31"/>
  <c r="Y22" i="31"/>
  <c r="Y34" i="31"/>
  <c r="Y43" i="31"/>
  <c r="Y54" i="31"/>
  <c r="Y66" i="31"/>
  <c r="Y16" i="31"/>
  <c r="Y26" i="31"/>
  <c r="Y35" i="31"/>
  <c r="Y46" i="31"/>
  <c r="Y58" i="31"/>
  <c r="Y67" i="31"/>
  <c r="Y18" i="31"/>
  <c r="Y23" i="31"/>
  <c r="Y31" i="31"/>
  <c r="Y39" i="31"/>
  <c r="Y47" i="31"/>
  <c r="Y55" i="31"/>
  <c r="Y63" i="31"/>
  <c r="Y17" i="31"/>
  <c r="Y21" i="31"/>
  <c r="Y25" i="31"/>
  <c r="Y29" i="31"/>
  <c r="Y33" i="31"/>
  <c r="Y37" i="31"/>
  <c r="Y41" i="31"/>
  <c r="Y45" i="31"/>
  <c r="Y49" i="31"/>
  <c r="Y53" i="31"/>
  <c r="Y57" i="31"/>
  <c r="Y61" i="31"/>
  <c r="Y65" i="31"/>
  <c r="Y13" i="31"/>
  <c r="Y24" i="31"/>
  <c r="Y28" i="31"/>
  <c r="Y32" i="31"/>
  <c r="Y36" i="31"/>
  <c r="Y40" i="31"/>
  <c r="Y44" i="31"/>
  <c r="Y48" i="31"/>
  <c r="Y52" i="31"/>
  <c r="Y56" i="31"/>
  <c r="Y60" i="31"/>
  <c r="Y64" i="31"/>
  <c r="Z8" i="31"/>
  <c r="Z66" i="31" s="1"/>
  <c r="Q79" i="1"/>
  <c r="B42" i="20" s="1"/>
  <c r="AC10" i="31"/>
  <c r="AB11" i="31"/>
  <c r="AB12" i="31"/>
  <c r="AA9" i="31"/>
  <c r="Z108" i="1"/>
  <c r="Z24" i="31" l="1"/>
  <c r="Z40" i="31"/>
  <c r="Z56" i="31"/>
  <c r="Z28" i="31"/>
  <c r="Z60" i="31"/>
  <c r="Z16" i="31"/>
  <c r="Z32" i="31"/>
  <c r="Z48" i="31"/>
  <c r="Z64" i="31"/>
  <c r="Z44" i="31"/>
  <c r="Z20" i="31"/>
  <c r="Z36" i="31"/>
  <c r="Z52" i="31"/>
  <c r="Z68" i="31"/>
  <c r="Z21" i="31"/>
  <c r="Z25" i="31"/>
  <c r="Z33" i="31"/>
  <c r="Z41" i="31"/>
  <c r="Z49" i="31"/>
  <c r="Z61" i="31"/>
  <c r="Z13" i="31"/>
  <c r="Z18" i="31"/>
  <c r="Z15" i="31"/>
  <c r="Z19" i="31"/>
  <c r="Z23" i="31"/>
  <c r="Z27" i="31"/>
  <c r="Z31" i="31"/>
  <c r="Z35" i="31"/>
  <c r="Z39" i="31"/>
  <c r="Z43" i="31"/>
  <c r="Z47" i="31"/>
  <c r="Z51" i="31"/>
  <c r="Z55" i="31"/>
  <c r="Z59" i="31"/>
  <c r="Z63" i="31"/>
  <c r="Z67" i="31"/>
  <c r="Z17" i="31"/>
  <c r="Z29" i="31"/>
  <c r="Z37" i="31"/>
  <c r="Z45" i="31"/>
  <c r="Z53" i="31"/>
  <c r="Z57" i="31"/>
  <c r="Z65" i="31"/>
  <c r="Z14" i="31"/>
  <c r="Z22" i="31"/>
  <c r="Z26" i="31"/>
  <c r="Z30" i="31"/>
  <c r="Z34" i="31"/>
  <c r="Z38" i="31"/>
  <c r="Z42" i="31"/>
  <c r="Z46" i="31"/>
  <c r="Z50" i="31"/>
  <c r="Z54" i="31"/>
  <c r="Z58" i="31"/>
  <c r="Z62" i="31"/>
  <c r="AA8" i="31"/>
  <c r="AA66" i="31" s="1"/>
  <c r="Q80" i="1"/>
  <c r="B43" i="20" s="1"/>
  <c r="AD10" i="31"/>
  <c r="AC11" i="31"/>
  <c r="AC12" i="31"/>
  <c r="Z109" i="1"/>
  <c r="AB9" i="31"/>
  <c r="AA28" i="31" l="1"/>
  <c r="AA60" i="31"/>
  <c r="AA16" i="31"/>
  <c r="AA48" i="31"/>
  <c r="AA20" i="31"/>
  <c r="AA52" i="31"/>
  <c r="AA24" i="31"/>
  <c r="AA40" i="31"/>
  <c r="AA56" i="31"/>
  <c r="AA44" i="31"/>
  <c r="AA32" i="31"/>
  <c r="AA64" i="31"/>
  <c r="AA36" i="31"/>
  <c r="AA68" i="31"/>
  <c r="AA21" i="31"/>
  <c r="AA29" i="31"/>
  <c r="AA37" i="31"/>
  <c r="AA45" i="31"/>
  <c r="AA53" i="31"/>
  <c r="AA65" i="31"/>
  <c r="AA14" i="31"/>
  <c r="AA15" i="31"/>
  <c r="AA19" i="31"/>
  <c r="AA23" i="31"/>
  <c r="AA27" i="31"/>
  <c r="AA31" i="31"/>
  <c r="AA35" i="31"/>
  <c r="AA39" i="31"/>
  <c r="AA43" i="31"/>
  <c r="AA47" i="31"/>
  <c r="AA51" i="31"/>
  <c r="AA55" i="31"/>
  <c r="AA59" i="31"/>
  <c r="AA63" i="31"/>
  <c r="AA67" i="31"/>
  <c r="AA17" i="31"/>
  <c r="AA25" i="31"/>
  <c r="AA33" i="31"/>
  <c r="AA41" i="31"/>
  <c r="AA49" i="31"/>
  <c r="AA57" i="31"/>
  <c r="AA61" i="31"/>
  <c r="AA13" i="31"/>
  <c r="AA18" i="31"/>
  <c r="AA22" i="31"/>
  <c r="AA26" i="31"/>
  <c r="AA30" i="31"/>
  <c r="AA34" i="31"/>
  <c r="AA38" i="31"/>
  <c r="AA42" i="31"/>
  <c r="AA46" i="31"/>
  <c r="AA50" i="31"/>
  <c r="AA54" i="31"/>
  <c r="AA58" i="31"/>
  <c r="AA62" i="31"/>
  <c r="AB8" i="31"/>
  <c r="AB66" i="31" s="1"/>
  <c r="Q81" i="1"/>
  <c r="B44" i="20" s="1"/>
  <c r="AE10" i="31"/>
  <c r="AD11" i="31"/>
  <c r="AD12" i="31"/>
  <c r="Z110" i="1"/>
  <c r="AC9" i="31"/>
  <c r="AB24" i="31" l="1"/>
  <c r="AB40" i="31"/>
  <c r="AB56" i="31"/>
  <c r="AB28" i="31"/>
  <c r="AB60" i="31"/>
  <c r="AB32" i="31"/>
  <c r="AB48" i="31"/>
  <c r="AB20" i="31"/>
  <c r="AB36" i="31"/>
  <c r="AB52" i="31"/>
  <c r="AB68" i="31"/>
  <c r="AB44" i="31"/>
  <c r="AB16" i="31"/>
  <c r="AB64" i="31"/>
  <c r="AB17" i="31"/>
  <c r="AB25" i="31"/>
  <c r="AB33" i="31"/>
  <c r="AB41" i="31"/>
  <c r="AB49" i="31"/>
  <c r="AB57" i="31"/>
  <c r="AB65" i="31"/>
  <c r="AB14" i="31"/>
  <c r="AB15" i="31"/>
  <c r="AB19" i="31"/>
  <c r="AB23" i="31"/>
  <c r="AB27" i="31"/>
  <c r="AB31" i="31"/>
  <c r="AB35" i="31"/>
  <c r="AB39" i="31"/>
  <c r="AB43" i="31"/>
  <c r="AB47" i="31"/>
  <c r="AB51" i="31"/>
  <c r="AB55" i="31"/>
  <c r="AB59" i="31"/>
  <c r="AB63" i="31"/>
  <c r="AB67" i="31"/>
  <c r="AB21" i="31"/>
  <c r="AB29" i="31"/>
  <c r="AB37" i="31"/>
  <c r="AB45" i="31"/>
  <c r="AB53" i="31"/>
  <c r="AB61" i="31"/>
  <c r="AB13" i="31"/>
  <c r="AB18" i="31"/>
  <c r="AB22" i="31"/>
  <c r="AB26" i="31"/>
  <c r="AB30" i="31"/>
  <c r="AB34" i="31"/>
  <c r="AB38" i="31"/>
  <c r="AB42" i="31"/>
  <c r="AB46" i="31"/>
  <c r="AB50" i="31"/>
  <c r="AB54" i="31"/>
  <c r="AB58" i="31"/>
  <c r="AB62" i="31"/>
  <c r="AC8" i="31"/>
  <c r="AC66" i="31" s="1"/>
  <c r="Q82" i="1"/>
  <c r="B45" i="20" s="1"/>
  <c r="AF10" i="31"/>
  <c r="AE11" i="31"/>
  <c r="AE12" i="31"/>
  <c r="Z111" i="1"/>
  <c r="AD9" i="31"/>
  <c r="AC17" i="31" l="1"/>
  <c r="AC52" i="31"/>
  <c r="AC20" i="31"/>
  <c r="AC44" i="31"/>
  <c r="AC16" i="31"/>
  <c r="AC36" i="31"/>
  <c r="AC64" i="31"/>
  <c r="AC32" i="31"/>
  <c r="AC60" i="31"/>
  <c r="AC28" i="31"/>
  <c r="AC48" i="31"/>
  <c r="AC68" i="31"/>
  <c r="AC24" i="31"/>
  <c r="AC40" i="31"/>
  <c r="AC56" i="31"/>
  <c r="AC21" i="31"/>
  <c r="AC29" i="31"/>
  <c r="AC37" i="31"/>
  <c r="AC45" i="31"/>
  <c r="AC53" i="31"/>
  <c r="AC61" i="31"/>
  <c r="AC13" i="31"/>
  <c r="AC18" i="31"/>
  <c r="AC15" i="31"/>
  <c r="AC19" i="31"/>
  <c r="AC23" i="31"/>
  <c r="AC27" i="31"/>
  <c r="AC31" i="31"/>
  <c r="AC35" i="31"/>
  <c r="AC39" i="31"/>
  <c r="AC43" i="31"/>
  <c r="AC47" i="31"/>
  <c r="AC51" i="31"/>
  <c r="AC55" i="31"/>
  <c r="AC59" i="31"/>
  <c r="AC63" i="31"/>
  <c r="AC67" i="31"/>
  <c r="AC25" i="31"/>
  <c r="AC33" i="31"/>
  <c r="AC41" i="31"/>
  <c r="AC49" i="31"/>
  <c r="AC57" i="31"/>
  <c r="AC65" i="31"/>
  <c r="AC14" i="31"/>
  <c r="AC22" i="31"/>
  <c r="AC26" i="31"/>
  <c r="AC30" i="31"/>
  <c r="AC34" i="31"/>
  <c r="AC38" i="31"/>
  <c r="AC42" i="31"/>
  <c r="AC46" i="31"/>
  <c r="AC50" i="31"/>
  <c r="AC54" i="31"/>
  <c r="AC58" i="31"/>
  <c r="AC62" i="31"/>
  <c r="AD8" i="31"/>
  <c r="AD13" i="31" s="1"/>
  <c r="Q83" i="1"/>
  <c r="B46" i="20" s="1"/>
  <c r="Z112" i="1"/>
  <c r="AG10" i="31"/>
  <c r="AF11" i="31"/>
  <c r="AF12" i="31"/>
  <c r="AE9" i="31"/>
  <c r="AD64" i="31" l="1"/>
  <c r="AD15" i="31"/>
  <c r="AD47" i="31"/>
  <c r="AD16" i="31"/>
  <c r="AD32" i="31"/>
  <c r="AD23" i="31"/>
  <c r="AD48" i="31"/>
  <c r="AD31" i="31"/>
  <c r="AD63" i="31"/>
  <c r="AD39" i="31"/>
  <c r="AD55" i="31"/>
  <c r="AD24" i="31"/>
  <c r="AD40" i="31"/>
  <c r="AD56" i="31"/>
  <c r="AD19" i="31"/>
  <c r="AD35" i="31"/>
  <c r="AD51" i="31"/>
  <c r="AD14" i="31"/>
  <c r="AD20" i="31"/>
  <c r="AD28" i="31"/>
  <c r="AD36" i="31"/>
  <c r="AD44" i="31"/>
  <c r="AD52" i="31"/>
  <c r="AD60" i="31"/>
  <c r="AD68" i="31"/>
  <c r="AD27" i="31"/>
  <c r="AD43" i="31"/>
  <c r="AD59" i="31"/>
  <c r="AD67" i="31"/>
  <c r="AD18" i="31"/>
  <c r="AD22" i="31"/>
  <c r="AD26" i="31"/>
  <c r="AD30" i="31"/>
  <c r="AD34" i="31"/>
  <c r="AD38" i="31"/>
  <c r="AD42" i="31"/>
  <c r="AD46" i="31"/>
  <c r="AD50" i="31"/>
  <c r="AD54" i="31"/>
  <c r="AD58" i="31"/>
  <c r="AD62" i="31"/>
  <c r="AD66" i="31"/>
  <c r="AD17" i="31"/>
  <c r="AD21" i="31"/>
  <c r="AD25" i="31"/>
  <c r="AD29" i="31"/>
  <c r="AD33" i="31"/>
  <c r="AD37" i="31"/>
  <c r="AD41" i="31"/>
  <c r="AD45" i="31"/>
  <c r="AD49" i="31"/>
  <c r="AD53" i="31"/>
  <c r="AD57" i="31"/>
  <c r="AD61" i="31"/>
  <c r="AD65" i="31"/>
  <c r="AE8" i="31"/>
  <c r="AE67" i="31" s="1"/>
  <c r="Q84" i="1"/>
  <c r="B47" i="20" s="1"/>
  <c r="AH10" i="31"/>
  <c r="AG11" i="31"/>
  <c r="AG12" i="31"/>
  <c r="AF9" i="31"/>
  <c r="Z113" i="1"/>
  <c r="AE17" i="31" l="1"/>
  <c r="AE25" i="31"/>
  <c r="AE33" i="31"/>
  <c r="AE41" i="31"/>
  <c r="AE49" i="31"/>
  <c r="AE57" i="31"/>
  <c r="AE65" i="31"/>
  <c r="AE14" i="31"/>
  <c r="AE22" i="31"/>
  <c r="AE30" i="31"/>
  <c r="AE38" i="31"/>
  <c r="AE46" i="31"/>
  <c r="AE54" i="31"/>
  <c r="AE62" i="31"/>
  <c r="AE16" i="31"/>
  <c r="AE20" i="31"/>
  <c r="AE24" i="31"/>
  <c r="AE28" i="31"/>
  <c r="AE32" i="31"/>
  <c r="AE36" i="31"/>
  <c r="AE40" i="31"/>
  <c r="AE44" i="31"/>
  <c r="AE48" i="31"/>
  <c r="AE52" i="31"/>
  <c r="AE56" i="31"/>
  <c r="AE60" i="31"/>
  <c r="AE64" i="31"/>
  <c r="AE68" i="31"/>
  <c r="AE21" i="31"/>
  <c r="AE29" i="31"/>
  <c r="AE37" i="31"/>
  <c r="AE45" i="31"/>
  <c r="AE53" i="31"/>
  <c r="AE61" i="31"/>
  <c r="AE13" i="31"/>
  <c r="AE18" i="31"/>
  <c r="AE26" i="31"/>
  <c r="AE34" i="31"/>
  <c r="AE42" i="31"/>
  <c r="AE50" i="31"/>
  <c r="AE58" i="31"/>
  <c r="AE66" i="31"/>
  <c r="AE15" i="31"/>
  <c r="AE19" i="31"/>
  <c r="AE23" i="31"/>
  <c r="AE27" i="31"/>
  <c r="AE31" i="31"/>
  <c r="AE35" i="31"/>
  <c r="AE39" i="31"/>
  <c r="AE43" i="31"/>
  <c r="AE47" i="31"/>
  <c r="AE51" i="31"/>
  <c r="AE55" i="31"/>
  <c r="AE59" i="31"/>
  <c r="AE63" i="31"/>
  <c r="AF8" i="31"/>
  <c r="AF68" i="31" s="1"/>
  <c r="Q85" i="1"/>
  <c r="B48" i="20" s="1"/>
  <c r="Z114" i="1"/>
  <c r="AI10" i="31"/>
  <c r="AH11" i="31"/>
  <c r="AH12" i="31"/>
  <c r="AG9" i="31"/>
  <c r="AF54" i="31" l="1"/>
  <c r="AF22" i="31"/>
  <c r="AF38" i="31"/>
  <c r="AF23" i="31"/>
  <c r="AF55" i="31"/>
  <c r="AF15" i="31"/>
  <c r="AF31" i="31"/>
  <c r="AF47" i="31"/>
  <c r="AF63" i="31"/>
  <c r="AF39" i="31"/>
  <c r="AF14" i="31"/>
  <c r="AF30" i="31"/>
  <c r="AF46" i="31"/>
  <c r="AF62" i="31"/>
  <c r="AF19" i="31"/>
  <c r="AF27" i="31"/>
  <c r="AF35" i="31"/>
  <c r="AF43" i="31"/>
  <c r="AF51" i="31"/>
  <c r="AF59" i="31"/>
  <c r="AF67" i="31"/>
  <c r="AF18" i="31"/>
  <c r="AF26" i="31"/>
  <c r="AF34" i="31"/>
  <c r="AF42" i="31"/>
  <c r="AF50" i="31"/>
  <c r="AF58" i="31"/>
  <c r="AF66" i="31"/>
  <c r="AF17" i="31"/>
  <c r="AF21" i="31"/>
  <c r="AF25" i="31"/>
  <c r="AF29" i="31"/>
  <c r="AF33" i="31"/>
  <c r="AF37" i="31"/>
  <c r="AF41" i="31"/>
  <c r="AF45" i="31"/>
  <c r="AF49" i="31"/>
  <c r="AF53" i="31"/>
  <c r="AF57" i="31"/>
  <c r="AF61" i="31"/>
  <c r="AF65" i="31"/>
  <c r="AF13" i="31"/>
  <c r="AF16" i="31"/>
  <c r="AF20" i="31"/>
  <c r="AF24" i="31"/>
  <c r="AF28" i="31"/>
  <c r="AF32" i="31"/>
  <c r="AF36" i="31"/>
  <c r="AF40" i="31"/>
  <c r="AF44" i="31"/>
  <c r="AF48" i="31"/>
  <c r="AF52" i="31"/>
  <c r="AF56" i="31"/>
  <c r="AF60" i="31"/>
  <c r="AF64" i="31"/>
  <c r="AG8" i="31"/>
  <c r="AG68" i="31" s="1"/>
  <c r="Q86" i="1"/>
  <c r="B49" i="20" s="1"/>
  <c r="AJ10" i="31"/>
  <c r="AI11" i="31"/>
  <c r="AI12" i="31"/>
  <c r="AH9" i="31"/>
  <c r="Z115" i="1"/>
  <c r="AG55" i="31" l="1"/>
  <c r="AG16" i="31"/>
  <c r="AG47" i="31"/>
  <c r="AG23" i="31"/>
  <c r="AG39" i="31"/>
  <c r="AG31" i="31"/>
  <c r="AG63" i="31"/>
  <c r="AG18" i="31"/>
  <c r="AG34" i="31"/>
  <c r="AG50" i="31"/>
  <c r="AG66" i="31"/>
  <c r="AG14" i="31"/>
  <c r="AG19" i="31"/>
  <c r="AG27" i="31"/>
  <c r="AG35" i="31"/>
  <c r="AG43" i="31"/>
  <c r="AG51" i="31"/>
  <c r="AG59" i="31"/>
  <c r="AG67" i="31"/>
  <c r="AG26" i="31"/>
  <c r="AG42" i="31"/>
  <c r="AG58" i="31"/>
  <c r="AG15" i="31"/>
  <c r="AG22" i="31"/>
  <c r="AG30" i="31"/>
  <c r="AG38" i="31"/>
  <c r="AG46" i="31"/>
  <c r="AG54" i="31"/>
  <c r="AG62" i="31"/>
  <c r="AG17" i="31"/>
  <c r="AG21" i="31"/>
  <c r="AG25" i="31"/>
  <c r="AG29" i="31"/>
  <c r="AG33" i="31"/>
  <c r="AG37" i="31"/>
  <c r="AG41" i="31"/>
  <c r="AG45" i="31"/>
  <c r="AG49" i="31"/>
  <c r="AG53" i="31"/>
  <c r="AG57" i="31"/>
  <c r="AG61" i="31"/>
  <c r="AG65" i="31"/>
  <c r="AG13" i="31"/>
  <c r="AG20" i="31"/>
  <c r="AG24" i="31"/>
  <c r="AG28" i="31"/>
  <c r="AG32" i="31"/>
  <c r="AG36" i="31"/>
  <c r="AG40" i="31"/>
  <c r="AG44" i="31"/>
  <c r="AG48" i="31"/>
  <c r="AG52" i="31"/>
  <c r="AG56" i="31"/>
  <c r="AG60" i="31"/>
  <c r="AG64" i="31"/>
  <c r="AH8" i="31"/>
  <c r="AH67" i="31" s="1"/>
  <c r="Q87" i="1"/>
  <c r="B50" i="20" s="1"/>
  <c r="Z116" i="1"/>
  <c r="AJ11" i="31"/>
  <c r="AK10" i="31"/>
  <c r="AJ12" i="31"/>
  <c r="AI9" i="31"/>
  <c r="AH21" i="31" l="1"/>
  <c r="AH29" i="31"/>
  <c r="AH37" i="31"/>
  <c r="AH45" i="31"/>
  <c r="AH53" i="31"/>
  <c r="AH61" i="31"/>
  <c r="AH13" i="31"/>
  <c r="AH18" i="31"/>
  <c r="AH26" i="31"/>
  <c r="AH34" i="31"/>
  <c r="AH42" i="31"/>
  <c r="AH50" i="31"/>
  <c r="AH58" i="31"/>
  <c r="AH66" i="31"/>
  <c r="AH16" i="31"/>
  <c r="AH20" i="31"/>
  <c r="AH24" i="31"/>
  <c r="AH28" i="31"/>
  <c r="AH32" i="31"/>
  <c r="AH36" i="31"/>
  <c r="AH40" i="31"/>
  <c r="AH44" i="31"/>
  <c r="AH48" i="31"/>
  <c r="AH52" i="31"/>
  <c r="AH56" i="31"/>
  <c r="AH60" i="31"/>
  <c r="AH64" i="31"/>
  <c r="AH68" i="31"/>
  <c r="AH17" i="31"/>
  <c r="AH25" i="31"/>
  <c r="AH33" i="31"/>
  <c r="AH41" i="31"/>
  <c r="AH49" i="31"/>
  <c r="AH57" i="31"/>
  <c r="AH65" i="31"/>
  <c r="AH14" i="31"/>
  <c r="AH22" i="31"/>
  <c r="AH30" i="31"/>
  <c r="AH38" i="31"/>
  <c r="AH46" i="31"/>
  <c r="AH54" i="31"/>
  <c r="AH62" i="31"/>
  <c r="AH15" i="31"/>
  <c r="AH19" i="31"/>
  <c r="AH23" i="31"/>
  <c r="AH27" i="31"/>
  <c r="AH31" i="31"/>
  <c r="AH35" i="31"/>
  <c r="AH39" i="31"/>
  <c r="AH43" i="31"/>
  <c r="AH47" i="31"/>
  <c r="AH51" i="31"/>
  <c r="AH55" i="31"/>
  <c r="AH59" i="31"/>
  <c r="AH63" i="31"/>
  <c r="AI8" i="31"/>
  <c r="AI68" i="31" s="1"/>
  <c r="Q88" i="1"/>
  <c r="B51" i="20" s="1"/>
  <c r="AJ9" i="31"/>
  <c r="AL10" i="31"/>
  <c r="AK11" i="31"/>
  <c r="AK12" i="31"/>
  <c r="Z117" i="1"/>
  <c r="AI19" i="31" l="1"/>
  <c r="AI35" i="31"/>
  <c r="AI51" i="31"/>
  <c r="AI59" i="31"/>
  <c r="AI22" i="31"/>
  <c r="AI38" i="31"/>
  <c r="AI54" i="31"/>
  <c r="AI15" i="31"/>
  <c r="AI23" i="31"/>
  <c r="AI31" i="31"/>
  <c r="AI39" i="31"/>
  <c r="AI47" i="31"/>
  <c r="AI55" i="31"/>
  <c r="AI63" i="31"/>
  <c r="AI27" i="31"/>
  <c r="AI43" i="31"/>
  <c r="AI67" i="31"/>
  <c r="AI14" i="31"/>
  <c r="AI30" i="31"/>
  <c r="AI46" i="31"/>
  <c r="AI62" i="31"/>
  <c r="AI18" i="31"/>
  <c r="AI26" i="31"/>
  <c r="AI34" i="31"/>
  <c r="AI42" i="31"/>
  <c r="AI50" i="31"/>
  <c r="AI58" i="31"/>
  <c r="AI66" i="31"/>
  <c r="AI17" i="31"/>
  <c r="AI21" i="31"/>
  <c r="AI25" i="31"/>
  <c r="AI29" i="31"/>
  <c r="AI33" i="31"/>
  <c r="AI37" i="31"/>
  <c r="AI41" i="31"/>
  <c r="AI45" i="31"/>
  <c r="AI49" i="31"/>
  <c r="AI53" i="31"/>
  <c r="AI57" i="31"/>
  <c r="AI61" i="31"/>
  <c r="AI65" i="31"/>
  <c r="AI13" i="31"/>
  <c r="AI16" i="31"/>
  <c r="AI20" i="31"/>
  <c r="AI24" i="31"/>
  <c r="AI28" i="31"/>
  <c r="AI32" i="31"/>
  <c r="AI36" i="31"/>
  <c r="AI40" i="31"/>
  <c r="AI44" i="31"/>
  <c r="AI48" i="31"/>
  <c r="AI52" i="31"/>
  <c r="AI56" i="31"/>
  <c r="AI60" i="31"/>
  <c r="AI64" i="31"/>
  <c r="AJ8" i="31"/>
  <c r="AJ68" i="31" s="1"/>
  <c r="Q89" i="1"/>
  <c r="B52" i="20" s="1"/>
  <c r="Z118" i="1"/>
  <c r="AL11" i="31"/>
  <c r="AM10" i="31"/>
  <c r="AL12" i="31"/>
  <c r="AK9" i="31"/>
  <c r="AJ23" i="31" l="1"/>
  <c r="AJ54" i="31"/>
  <c r="AJ22" i="31"/>
  <c r="AJ38" i="31"/>
  <c r="AJ55" i="31"/>
  <c r="AJ16" i="31"/>
  <c r="AJ31" i="31"/>
  <c r="AJ47" i="31"/>
  <c r="AJ63" i="31"/>
  <c r="AJ39" i="31"/>
  <c r="AJ15" i="31"/>
  <c r="AJ30" i="31"/>
  <c r="AJ46" i="31"/>
  <c r="AJ62" i="31"/>
  <c r="AJ18" i="31"/>
  <c r="AJ14" i="31"/>
  <c r="AJ19" i="31"/>
  <c r="AJ27" i="31"/>
  <c r="AJ35" i="31"/>
  <c r="AJ43" i="31"/>
  <c r="AJ51" i="31"/>
  <c r="AJ59" i="31"/>
  <c r="AJ67" i="31"/>
  <c r="AJ26" i="31"/>
  <c r="AJ34" i="31"/>
  <c r="AJ42" i="31"/>
  <c r="AJ50" i="31"/>
  <c r="AJ58" i="31"/>
  <c r="AJ66" i="31"/>
  <c r="AJ17" i="31"/>
  <c r="AJ21" i="31"/>
  <c r="AJ25" i="31"/>
  <c r="AJ29" i="31"/>
  <c r="AJ33" i="31"/>
  <c r="AJ37" i="31"/>
  <c r="AJ41" i="31"/>
  <c r="AJ45" i="31"/>
  <c r="AJ49" i="31"/>
  <c r="AJ53" i="31"/>
  <c r="AJ57" i="31"/>
  <c r="AJ61" i="31"/>
  <c r="AJ65" i="31"/>
  <c r="AJ13" i="31"/>
  <c r="AJ20" i="31"/>
  <c r="AJ24" i="31"/>
  <c r="AJ28" i="31"/>
  <c r="AJ32" i="31"/>
  <c r="AJ36" i="31"/>
  <c r="AJ40" i="31"/>
  <c r="AJ44" i="31"/>
  <c r="AJ48" i="31"/>
  <c r="AJ52" i="31"/>
  <c r="AJ56" i="31"/>
  <c r="AJ60" i="31"/>
  <c r="AJ64" i="31"/>
  <c r="AK8" i="31"/>
  <c r="AK67" i="31" s="1"/>
  <c r="Q90" i="1"/>
  <c r="B53" i="20" s="1"/>
  <c r="AL9" i="31"/>
  <c r="AN10" i="31"/>
  <c r="AM11" i="31"/>
  <c r="AM12" i="31"/>
  <c r="Z119" i="1"/>
  <c r="AK21" i="31" l="1"/>
  <c r="AK29" i="31"/>
  <c r="AK37" i="31"/>
  <c r="AK45" i="31"/>
  <c r="AK53" i="31"/>
  <c r="AK61" i="31"/>
  <c r="AK13" i="31"/>
  <c r="AK18" i="31"/>
  <c r="AK26" i="31"/>
  <c r="AK34" i="31"/>
  <c r="AK42" i="31"/>
  <c r="AK50" i="31"/>
  <c r="AK58" i="31"/>
  <c r="AK66" i="31"/>
  <c r="AK16" i="31"/>
  <c r="AK20" i="31"/>
  <c r="AK24" i="31"/>
  <c r="AK28" i="31"/>
  <c r="AK32" i="31"/>
  <c r="AK36" i="31"/>
  <c r="AK40" i="31"/>
  <c r="AK44" i="31"/>
  <c r="AK48" i="31"/>
  <c r="AK52" i="31"/>
  <c r="AK56" i="31"/>
  <c r="AK60" i="31"/>
  <c r="AK64" i="31"/>
  <c r="AK68" i="31"/>
  <c r="AK17" i="31"/>
  <c r="AK25" i="31"/>
  <c r="AK33" i="31"/>
  <c r="AK41" i="31"/>
  <c r="AK49" i="31"/>
  <c r="AK57" i="31"/>
  <c r="AK65" i="31"/>
  <c r="AK14" i="31"/>
  <c r="AK22" i="31"/>
  <c r="AK30" i="31"/>
  <c r="AK38" i="31"/>
  <c r="AK46" i="31"/>
  <c r="AK54" i="31"/>
  <c r="AK62" i="31"/>
  <c r="AK15" i="31"/>
  <c r="AK19" i="31"/>
  <c r="AK23" i="31"/>
  <c r="AK27" i="31"/>
  <c r="AK31" i="31"/>
  <c r="AK35" i="31"/>
  <c r="AK39" i="31"/>
  <c r="AK43" i="31"/>
  <c r="AK47" i="31"/>
  <c r="AK51" i="31"/>
  <c r="AK55" i="31"/>
  <c r="AK59" i="31"/>
  <c r="AK63" i="31"/>
  <c r="AL8" i="31"/>
  <c r="AL68" i="31" s="1"/>
  <c r="Q91" i="1"/>
  <c r="B54" i="20" s="1"/>
  <c r="Z120" i="1"/>
  <c r="AN11" i="31"/>
  <c r="AO10" i="31"/>
  <c r="AN12" i="31"/>
  <c r="AM9" i="31"/>
  <c r="AL22" i="31" l="1"/>
  <c r="AL54" i="31"/>
  <c r="AL38" i="31"/>
  <c r="AL42" i="31"/>
  <c r="AL18" i="31"/>
  <c r="AL34" i="31"/>
  <c r="AL50" i="31"/>
  <c r="AL66" i="31"/>
  <c r="AL26" i="31"/>
  <c r="AL58" i="31"/>
  <c r="AL14" i="31"/>
  <c r="AL30" i="31"/>
  <c r="AL46" i="31"/>
  <c r="AL62" i="31"/>
  <c r="AL19" i="31"/>
  <c r="AL27" i="31"/>
  <c r="AL35" i="31"/>
  <c r="AL43" i="31"/>
  <c r="AL51" i="31"/>
  <c r="AL59" i="31"/>
  <c r="AL67" i="31"/>
  <c r="AL15" i="31"/>
  <c r="AL23" i="31"/>
  <c r="AL31" i="31"/>
  <c r="AL39" i="31"/>
  <c r="AL47" i="31"/>
  <c r="AL55" i="31"/>
  <c r="AL63" i="31"/>
  <c r="AL17" i="31"/>
  <c r="AL21" i="31"/>
  <c r="AL25" i="31"/>
  <c r="AL29" i="31"/>
  <c r="AL33" i="31"/>
  <c r="AL37" i="31"/>
  <c r="AL41" i="31"/>
  <c r="AL45" i="31"/>
  <c r="AL49" i="31"/>
  <c r="AL53" i="31"/>
  <c r="AL57" i="31"/>
  <c r="AL61" i="31"/>
  <c r="AL65" i="31"/>
  <c r="AL13" i="31"/>
  <c r="AL16" i="31"/>
  <c r="AL20" i="31"/>
  <c r="AL24" i="31"/>
  <c r="AL28" i="31"/>
  <c r="AL32" i="31"/>
  <c r="AL36" i="31"/>
  <c r="AL40" i="31"/>
  <c r="AL44" i="31"/>
  <c r="AL48" i="31"/>
  <c r="AL52" i="31"/>
  <c r="AL56" i="31"/>
  <c r="AL60" i="31"/>
  <c r="AL64" i="31"/>
  <c r="AM8" i="31"/>
  <c r="AM68" i="31" s="1"/>
  <c r="Q92" i="1"/>
  <c r="B55" i="20" s="1"/>
  <c r="AN9" i="31"/>
  <c r="AP10" i="31"/>
  <c r="AO11" i="31"/>
  <c r="AO12" i="31"/>
  <c r="Z121" i="1"/>
  <c r="AM18" i="31" l="1"/>
  <c r="AM34" i="31"/>
  <c r="AM50" i="31"/>
  <c r="AM66" i="31"/>
  <c r="AM19" i="31"/>
  <c r="AM35" i="31"/>
  <c r="AM51" i="31"/>
  <c r="AM67" i="31"/>
  <c r="AM22" i="31"/>
  <c r="AM38" i="31"/>
  <c r="AM46" i="31"/>
  <c r="AM62" i="31"/>
  <c r="AM16" i="31"/>
  <c r="AM23" i="31"/>
  <c r="AM31" i="31"/>
  <c r="AM39" i="31"/>
  <c r="AM47" i="31"/>
  <c r="AM55" i="31"/>
  <c r="AM63" i="31"/>
  <c r="AM26" i="31"/>
  <c r="AM42" i="31"/>
  <c r="AM58" i="31"/>
  <c r="AM14" i="31"/>
  <c r="AM27" i="31"/>
  <c r="AM43" i="31"/>
  <c r="AM59" i="31"/>
  <c r="AM15" i="31"/>
  <c r="AM30" i="31"/>
  <c r="AM54" i="31"/>
  <c r="AM17" i="31"/>
  <c r="AM21" i="31"/>
  <c r="AM25" i="31"/>
  <c r="AM29" i="31"/>
  <c r="AM33" i="31"/>
  <c r="AM37" i="31"/>
  <c r="AM41" i="31"/>
  <c r="AM45" i="31"/>
  <c r="AM49" i="31"/>
  <c r="AM53" i="31"/>
  <c r="AM57" i="31"/>
  <c r="AM61" i="31"/>
  <c r="AM65" i="31"/>
  <c r="AM13" i="31"/>
  <c r="AM20" i="31"/>
  <c r="AM24" i="31"/>
  <c r="AM28" i="31"/>
  <c r="AM32" i="31"/>
  <c r="AM36" i="31"/>
  <c r="AM40" i="31"/>
  <c r="AM44" i="31"/>
  <c r="AM48" i="31"/>
  <c r="AM52" i="31"/>
  <c r="AM56" i="31"/>
  <c r="AM60" i="31"/>
  <c r="AM64" i="31"/>
  <c r="AN8" i="31"/>
  <c r="AN67" i="31" s="1"/>
  <c r="Q93" i="1"/>
  <c r="B56" i="20" s="1"/>
  <c r="Z122" i="1"/>
  <c r="AP11" i="31"/>
  <c r="AQ10" i="31"/>
  <c r="AP12" i="31"/>
  <c r="AO9" i="31"/>
  <c r="AN17" i="31" l="1"/>
  <c r="AN25" i="31"/>
  <c r="AN33" i="31"/>
  <c r="AN41" i="31"/>
  <c r="AN49" i="31"/>
  <c r="AN57" i="31"/>
  <c r="AN65" i="31"/>
  <c r="AN14" i="31"/>
  <c r="AN22" i="31"/>
  <c r="AN30" i="31"/>
  <c r="AN38" i="31"/>
  <c r="AN46" i="31"/>
  <c r="AN54" i="31"/>
  <c r="AN62" i="31"/>
  <c r="AN16" i="31"/>
  <c r="AN20" i="31"/>
  <c r="AN24" i="31"/>
  <c r="AN28" i="31"/>
  <c r="AN32" i="31"/>
  <c r="AN36" i="31"/>
  <c r="AN40" i="31"/>
  <c r="AN44" i="31"/>
  <c r="AN48" i="31"/>
  <c r="AN52" i="31"/>
  <c r="AN56" i="31"/>
  <c r="AN60" i="31"/>
  <c r="AN64" i="31"/>
  <c r="AN68" i="31"/>
  <c r="AN21" i="31"/>
  <c r="AN29" i="31"/>
  <c r="AN37" i="31"/>
  <c r="AN45" i="31"/>
  <c r="AN53" i="31"/>
  <c r="AN61" i="31"/>
  <c r="AN13" i="31"/>
  <c r="AN18" i="31"/>
  <c r="AN26" i="31"/>
  <c r="AN34" i="31"/>
  <c r="AN42" i="31"/>
  <c r="AN50" i="31"/>
  <c r="AN58" i="31"/>
  <c r="AN66" i="31"/>
  <c r="AN15" i="31"/>
  <c r="AN19" i="31"/>
  <c r="AN23" i="31"/>
  <c r="AN27" i="31"/>
  <c r="AN31" i="31"/>
  <c r="AN35" i="31"/>
  <c r="AN39" i="31"/>
  <c r="AN43" i="31"/>
  <c r="AN47" i="31"/>
  <c r="AN51" i="31"/>
  <c r="AN55" i="31"/>
  <c r="AN59" i="31"/>
  <c r="AN63" i="31"/>
  <c r="AO8" i="31"/>
  <c r="AO68" i="31" s="1"/>
  <c r="Q94" i="1"/>
  <c r="B57" i="20" s="1"/>
  <c r="AP9" i="31"/>
  <c r="AR10" i="31"/>
  <c r="AQ11" i="31"/>
  <c r="AQ12" i="31"/>
  <c r="Z123" i="1"/>
  <c r="AO30" i="31" l="1"/>
  <c r="AO39" i="31"/>
  <c r="AO22" i="31"/>
  <c r="AO63" i="31"/>
  <c r="AO18" i="31"/>
  <c r="AO50" i="31"/>
  <c r="AO31" i="31"/>
  <c r="AO54" i="31"/>
  <c r="AO14" i="31"/>
  <c r="AO23" i="31"/>
  <c r="AO34" i="31"/>
  <c r="AO46" i="31"/>
  <c r="AO55" i="31"/>
  <c r="AO42" i="31"/>
  <c r="AO15" i="31"/>
  <c r="AO26" i="31"/>
  <c r="AO38" i="31"/>
  <c r="AO47" i="31"/>
  <c r="AO62" i="31"/>
  <c r="AO19" i="31"/>
  <c r="AO27" i="31"/>
  <c r="AO35" i="31"/>
  <c r="AO43" i="31"/>
  <c r="AO51" i="31"/>
  <c r="AO59" i="31"/>
  <c r="AO67" i="31"/>
  <c r="AO58" i="31"/>
  <c r="AO66" i="31"/>
  <c r="AO17" i="31"/>
  <c r="AO21" i="31"/>
  <c r="AO25" i="31"/>
  <c r="AO29" i="31"/>
  <c r="AO33" i="31"/>
  <c r="AO37" i="31"/>
  <c r="AO41" i="31"/>
  <c r="AO45" i="31"/>
  <c r="AO49" i="31"/>
  <c r="AO53" i="31"/>
  <c r="AO57" i="31"/>
  <c r="AO61" i="31"/>
  <c r="AO65" i="31"/>
  <c r="AO13" i="31"/>
  <c r="AO16" i="31"/>
  <c r="AO20" i="31"/>
  <c r="AO24" i="31"/>
  <c r="AO28" i="31"/>
  <c r="AO32" i="31"/>
  <c r="AO36" i="31"/>
  <c r="AO40" i="31"/>
  <c r="AO44" i="31"/>
  <c r="AO48" i="31"/>
  <c r="AO52" i="31"/>
  <c r="AO56" i="31"/>
  <c r="AO60" i="31"/>
  <c r="AO64" i="31"/>
  <c r="AP8" i="31"/>
  <c r="AP67" i="31" s="1"/>
  <c r="Q95" i="1"/>
  <c r="B58" i="20" s="1"/>
  <c r="AR11" i="31"/>
  <c r="AR12" i="31"/>
  <c r="AQ9" i="31"/>
  <c r="AP17" i="31" l="1"/>
  <c r="AP25" i="31"/>
  <c r="AP33" i="31"/>
  <c r="AP41" i="31"/>
  <c r="AP49" i="31"/>
  <c r="AP57" i="31"/>
  <c r="AP65" i="31"/>
  <c r="AP18" i="31"/>
  <c r="AP26" i="31"/>
  <c r="AP34" i="31"/>
  <c r="AP42" i="31"/>
  <c r="AP50" i="31"/>
  <c r="AP58" i="31"/>
  <c r="AP66" i="31"/>
  <c r="AP15" i="31"/>
  <c r="AP16" i="31"/>
  <c r="AP20" i="31"/>
  <c r="AP24" i="31"/>
  <c r="AP28" i="31"/>
  <c r="AP32" i="31"/>
  <c r="AP36" i="31"/>
  <c r="AP40" i="31"/>
  <c r="AP44" i="31"/>
  <c r="AP48" i="31"/>
  <c r="AP52" i="31"/>
  <c r="AP56" i="31"/>
  <c r="AP60" i="31"/>
  <c r="AP64" i="31"/>
  <c r="AP68" i="31"/>
  <c r="AP21" i="31"/>
  <c r="AP29" i="31"/>
  <c r="AP37" i="31"/>
  <c r="AP45" i="31"/>
  <c r="AP53" i="31"/>
  <c r="AP61" i="31"/>
  <c r="AP13" i="31"/>
  <c r="AP14" i="31"/>
  <c r="AP22" i="31"/>
  <c r="AP30" i="31"/>
  <c r="AP38" i="31"/>
  <c r="AP46" i="31"/>
  <c r="AP54" i="31"/>
  <c r="AP62" i="31"/>
  <c r="AP19" i="31"/>
  <c r="AP23" i="31"/>
  <c r="AP27" i="31"/>
  <c r="AP31" i="31"/>
  <c r="AP35" i="31"/>
  <c r="AP39" i="31"/>
  <c r="AP43" i="31"/>
  <c r="AP47" i="31"/>
  <c r="AP51" i="31"/>
  <c r="AP55" i="31"/>
  <c r="AP59" i="31"/>
  <c r="AP63" i="31"/>
  <c r="AQ8" i="31"/>
  <c r="AQ68" i="31" s="1"/>
  <c r="Q96" i="1"/>
  <c r="B59" i="20" s="1"/>
  <c r="AR9" i="31"/>
  <c r="AQ39" i="31" l="1"/>
  <c r="AQ18" i="31"/>
  <c r="AQ30" i="31"/>
  <c r="AQ54" i="31"/>
  <c r="AQ31" i="31"/>
  <c r="AQ55" i="31"/>
  <c r="AQ15" i="31"/>
  <c r="AQ26" i="31"/>
  <c r="AQ38" i="31"/>
  <c r="AQ47" i="31"/>
  <c r="AQ63" i="31"/>
  <c r="AQ22" i="31"/>
  <c r="AQ42" i="31"/>
  <c r="AQ14" i="31"/>
  <c r="AQ23" i="31"/>
  <c r="AQ34" i="31"/>
  <c r="AQ46" i="31"/>
  <c r="AQ62" i="31"/>
  <c r="AQ19" i="31"/>
  <c r="AQ27" i="31"/>
  <c r="AQ35" i="31"/>
  <c r="AQ43" i="31"/>
  <c r="AQ51" i="31"/>
  <c r="AQ59" i="31"/>
  <c r="AQ67" i="31"/>
  <c r="AQ50" i="31"/>
  <c r="AQ58" i="31"/>
  <c r="AQ66" i="31"/>
  <c r="AQ17" i="31"/>
  <c r="AQ21" i="31"/>
  <c r="AQ25" i="31"/>
  <c r="AQ29" i="31"/>
  <c r="AQ33" i="31"/>
  <c r="AQ37" i="31"/>
  <c r="AQ41" i="31"/>
  <c r="AQ45" i="31"/>
  <c r="AQ49" i="31"/>
  <c r="AQ53" i="31"/>
  <c r="AQ57" i="31"/>
  <c r="AQ61" i="31"/>
  <c r="AQ65" i="31"/>
  <c r="AQ13" i="31"/>
  <c r="AQ16" i="31"/>
  <c r="AQ20" i="31"/>
  <c r="AQ24" i="31"/>
  <c r="AQ28" i="31"/>
  <c r="AQ32" i="31"/>
  <c r="AQ36" i="31"/>
  <c r="AQ40" i="31"/>
  <c r="AQ44" i="31"/>
  <c r="AQ48" i="31"/>
  <c r="AQ52" i="31"/>
  <c r="AQ56" i="31"/>
  <c r="AQ60" i="31"/>
  <c r="AQ64" i="31"/>
  <c r="AR8" i="31"/>
  <c r="AR13" i="31" s="1"/>
  <c r="Q97" i="1"/>
  <c r="B60" i="20" s="1"/>
  <c r="AR28" i="31" l="1"/>
  <c r="AR44" i="31"/>
  <c r="AR60" i="31"/>
  <c r="AR23" i="31"/>
  <c r="AR39" i="31"/>
  <c r="AR55" i="31"/>
  <c r="AR24" i="31"/>
  <c r="AR40" i="31"/>
  <c r="AR19" i="31"/>
  <c r="AR27" i="31"/>
  <c r="AR35" i="31"/>
  <c r="AR43" i="31"/>
  <c r="AR51" i="31"/>
  <c r="AR59" i="31"/>
  <c r="AR67" i="31"/>
  <c r="AR20" i="31"/>
  <c r="AR36" i="31"/>
  <c r="AR52" i="31"/>
  <c r="AR68" i="31"/>
  <c r="AR15" i="31"/>
  <c r="AR31" i="31"/>
  <c r="AR47" i="31"/>
  <c r="AR63" i="31"/>
  <c r="AR16" i="31"/>
  <c r="AR32" i="31"/>
  <c r="AR48" i="31"/>
  <c r="AR56" i="31"/>
  <c r="AR64" i="31"/>
  <c r="AR14" i="31"/>
  <c r="AR18" i="31"/>
  <c r="AR22" i="31"/>
  <c r="AR26" i="31"/>
  <c r="AR30" i="31"/>
  <c r="AR34" i="31"/>
  <c r="AR38" i="31"/>
  <c r="AR42" i="31"/>
  <c r="AR46" i="31"/>
  <c r="AR50" i="31"/>
  <c r="AR54" i="31"/>
  <c r="AR58" i="31"/>
  <c r="AR62" i="31"/>
  <c r="AR66" i="31"/>
  <c r="AR17" i="31"/>
  <c r="AR21" i="31"/>
  <c r="AR25" i="31"/>
  <c r="AR29" i="31"/>
  <c r="AR33" i="31"/>
  <c r="AR37" i="31"/>
  <c r="AR41" i="31"/>
  <c r="AR45" i="31"/>
  <c r="AR49" i="31"/>
  <c r="AR53" i="31"/>
  <c r="AR57" i="31"/>
  <c r="AR61" i="31"/>
  <c r="AR65" i="31"/>
  <c r="Q98" i="1"/>
  <c r="B61" i="20" s="1"/>
  <c r="Q99" i="1" l="1"/>
  <c r="B62" i="20" s="1"/>
  <c r="Q100" i="1" l="1"/>
  <c r="B63" i="20" s="1"/>
  <c r="Q101" i="1" l="1"/>
  <c r="B64" i="20" s="1"/>
  <c r="Q102" i="1" l="1"/>
  <c r="B65" i="20" s="1"/>
  <c r="Q103" i="1" l="1"/>
  <c r="B66" i="20" s="1"/>
  <c r="Q104" i="1" l="1"/>
  <c r="B67" i="20" s="1"/>
  <c r="Q105" i="1" l="1"/>
  <c r="B68" i="20" s="1"/>
  <c r="Q106" i="1" l="1"/>
  <c r="B69" i="20" s="1"/>
  <c r="Q107" i="1" l="1"/>
  <c r="B70" i="20" s="1"/>
  <c r="Q108" i="1" l="1"/>
  <c r="B71" i="20" s="1"/>
  <c r="Q109" i="1" l="1"/>
  <c r="B72" i="20" s="1"/>
  <c r="Q110" i="1" l="1"/>
  <c r="B73" i="20" s="1"/>
  <c r="Q111" i="1" l="1"/>
  <c r="B74" i="20" s="1"/>
  <c r="Q112" i="1" l="1"/>
  <c r="B75" i="20" s="1"/>
  <c r="Q113" i="1" l="1"/>
  <c r="B76" i="20" s="1"/>
  <c r="Q114" i="1" l="1"/>
  <c r="B77" i="20" s="1"/>
  <c r="Q115" i="1" l="1"/>
  <c r="B78" i="20" s="1"/>
  <c r="Q116" i="1" l="1"/>
  <c r="X45" i="1" l="1"/>
  <c r="P45" i="1"/>
  <c r="Z45" i="1"/>
  <c r="B79" i="20"/>
  <c r="Q117" i="1"/>
  <c r="B80" i="20" s="1"/>
  <c r="AA122" i="1" l="1"/>
  <c r="AA111" i="1"/>
  <c r="AA55" i="1"/>
  <c r="AB55" i="1" s="1"/>
  <c r="AA103" i="1"/>
  <c r="AB103" i="1" s="1"/>
  <c r="AA107" i="1"/>
  <c r="AA116" i="1"/>
  <c r="AA86" i="1"/>
  <c r="AB86" i="1" s="1"/>
  <c r="AA68" i="1"/>
  <c r="AB68" i="1" s="1"/>
  <c r="AA113" i="1"/>
  <c r="AA97" i="1"/>
  <c r="AB97" i="1" s="1"/>
  <c r="AA76" i="1"/>
  <c r="AB76" i="1" s="1"/>
  <c r="AA67" i="1"/>
  <c r="AB67" i="1" s="1"/>
  <c r="AA49" i="1"/>
  <c r="AB49" i="1" s="1"/>
  <c r="AA96" i="1"/>
  <c r="AB96" i="1" s="1"/>
  <c r="AA71" i="1"/>
  <c r="AB71" i="1" s="1"/>
  <c r="AA114" i="1"/>
  <c r="AA98" i="1"/>
  <c r="AB98" i="1" s="1"/>
  <c r="AA84" i="1"/>
  <c r="AB84" i="1" s="1"/>
  <c r="AA85" i="1"/>
  <c r="AB85" i="1" s="1"/>
  <c r="AA59" i="1"/>
  <c r="AB59" i="1" s="1"/>
  <c r="AA115" i="1"/>
  <c r="AA74" i="1"/>
  <c r="AB74" i="1" s="1"/>
  <c r="AA100" i="1"/>
  <c r="AB100" i="1" s="1"/>
  <c r="AA72" i="1"/>
  <c r="AB72" i="1" s="1"/>
  <c r="AA105" i="1"/>
  <c r="AA51" i="1"/>
  <c r="AB51" i="1" s="1"/>
  <c r="AA112" i="1"/>
  <c r="AA106" i="1"/>
  <c r="AA63" i="1"/>
  <c r="AB63" i="1" s="1"/>
  <c r="AA80" i="1"/>
  <c r="AB80" i="1" s="1"/>
  <c r="AA99" i="1"/>
  <c r="AB99" i="1" s="1"/>
  <c r="AA60" i="1"/>
  <c r="AB60" i="1" s="1"/>
  <c r="AA92" i="1"/>
  <c r="AB92" i="1" s="1"/>
  <c r="AA101" i="1"/>
  <c r="AB101" i="1" s="1"/>
  <c r="AA79" i="1"/>
  <c r="AB79" i="1" s="1"/>
  <c r="AA58" i="1"/>
  <c r="AB58" i="1" s="1"/>
  <c r="AA52" i="1"/>
  <c r="AB52" i="1" s="1"/>
  <c r="AA70" i="1"/>
  <c r="AB70" i="1" s="1"/>
  <c r="AA91" i="1"/>
  <c r="AB91" i="1" s="1"/>
  <c r="AA108" i="1"/>
  <c r="AA50" i="1"/>
  <c r="AB50" i="1" s="1"/>
  <c r="AA48" i="1"/>
  <c r="AB48" i="1" s="1"/>
  <c r="AA109" i="1"/>
  <c r="AA93" i="1"/>
  <c r="AB93" i="1" s="1"/>
  <c r="AA57" i="1"/>
  <c r="AB57" i="1" s="1"/>
  <c r="AA54" i="1"/>
  <c r="AB54" i="1" s="1"/>
  <c r="AA120" i="1"/>
  <c r="AA88" i="1"/>
  <c r="AB88" i="1" s="1"/>
  <c r="AA110" i="1"/>
  <c r="AA94" i="1"/>
  <c r="AB94" i="1" s="1"/>
  <c r="AA75" i="1"/>
  <c r="AB75" i="1" s="1"/>
  <c r="AA62" i="1"/>
  <c r="AB62" i="1" s="1"/>
  <c r="AA77" i="1"/>
  <c r="AB77" i="1" s="1"/>
  <c r="AA81" i="1"/>
  <c r="AB81" i="1" s="1"/>
  <c r="AA61" i="1"/>
  <c r="AB61" i="1" s="1"/>
  <c r="AA121" i="1"/>
  <c r="AA89" i="1"/>
  <c r="AB89" i="1" s="1"/>
  <c r="AA78" i="1"/>
  <c r="AB78" i="1" s="1"/>
  <c r="AA66" i="1"/>
  <c r="AB66" i="1" s="1"/>
  <c r="AA90" i="1"/>
  <c r="AB90" i="1" s="1"/>
  <c r="AA73" i="1"/>
  <c r="AB73" i="1" s="1"/>
  <c r="AA123" i="1"/>
  <c r="AA95" i="1"/>
  <c r="AB95" i="1" s="1"/>
  <c r="AA119" i="1"/>
  <c r="AA87" i="1"/>
  <c r="AB87" i="1" s="1"/>
  <c r="AA53" i="1"/>
  <c r="AB53" i="1" s="1"/>
  <c r="AA117" i="1"/>
  <c r="AA65" i="1"/>
  <c r="AB65" i="1" s="1"/>
  <c r="AA104" i="1"/>
  <c r="AA83" i="1"/>
  <c r="AB83" i="1" s="1"/>
  <c r="AA102" i="1"/>
  <c r="AB102" i="1" s="1"/>
  <c r="AA82" i="1"/>
  <c r="AB82" i="1" s="1"/>
  <c r="AA64" i="1"/>
  <c r="AB64" i="1" s="1"/>
  <c r="AA118" i="1"/>
  <c r="AA69" i="1"/>
  <c r="AB69" i="1" s="1"/>
  <c r="AA56" i="1"/>
  <c r="AB56" i="1" s="1"/>
  <c r="S124" i="1"/>
  <c r="S137" i="1"/>
  <c r="S134" i="1"/>
  <c r="S135" i="1"/>
  <c r="S136" i="1"/>
  <c r="S126" i="1"/>
  <c r="S128" i="1"/>
  <c r="S129" i="1"/>
  <c r="S130" i="1"/>
  <c r="S131" i="1"/>
  <c r="S132" i="1"/>
  <c r="S125" i="1"/>
  <c r="S127" i="1"/>
  <c r="S138" i="1"/>
  <c r="S139" i="1"/>
  <c r="S133" i="1"/>
  <c r="X55" i="1"/>
  <c r="Y55" i="1" s="1"/>
  <c r="X91" i="1"/>
  <c r="Y91" i="1" s="1"/>
  <c r="X78" i="1"/>
  <c r="Y78" i="1" s="1"/>
  <c r="X106" i="1"/>
  <c r="X116" i="1"/>
  <c r="X114" i="1"/>
  <c r="X79" i="1"/>
  <c r="Y79" i="1" s="1"/>
  <c r="X95" i="1"/>
  <c r="Y95" i="1" s="1"/>
  <c r="X92" i="1"/>
  <c r="Y92" i="1" s="1"/>
  <c r="X80" i="1"/>
  <c r="Y80" i="1" s="1"/>
  <c r="X56" i="1"/>
  <c r="Y56" i="1" s="1"/>
  <c r="X104" i="1"/>
  <c r="X50" i="1"/>
  <c r="Y50" i="1" s="1"/>
  <c r="X101" i="1"/>
  <c r="Y101" i="1" s="1"/>
  <c r="X51" i="1"/>
  <c r="Y51" i="1" s="1"/>
  <c r="X109" i="1"/>
  <c r="X85" i="1"/>
  <c r="Y85" i="1" s="1"/>
  <c r="X119" i="1"/>
  <c r="X81" i="1"/>
  <c r="Y81" i="1" s="1"/>
  <c r="X87" i="1"/>
  <c r="Y87" i="1" s="1"/>
  <c r="X90" i="1"/>
  <c r="Y90" i="1" s="1"/>
  <c r="X117" i="1"/>
  <c r="X88" i="1"/>
  <c r="Y88" i="1" s="1"/>
  <c r="X54" i="1"/>
  <c r="Y54" i="1" s="1"/>
  <c r="X65" i="1"/>
  <c r="Y65" i="1" s="1"/>
  <c r="X100" i="1"/>
  <c r="Y100" i="1" s="1"/>
  <c r="X102" i="1"/>
  <c r="Y102" i="1" s="1"/>
  <c r="X120" i="1"/>
  <c r="X61" i="1"/>
  <c r="Y61" i="1" s="1"/>
  <c r="X67" i="1"/>
  <c r="Y67" i="1" s="1"/>
  <c r="X89" i="1"/>
  <c r="Y89" i="1" s="1"/>
  <c r="X123" i="1"/>
  <c r="X84" i="1"/>
  <c r="Y84" i="1" s="1"/>
  <c r="X115" i="1"/>
  <c r="X62" i="1"/>
  <c r="Y62" i="1" s="1"/>
  <c r="X71" i="1"/>
  <c r="Y71" i="1" s="1"/>
  <c r="X77" i="1"/>
  <c r="Y77" i="1" s="1"/>
  <c r="X58" i="1"/>
  <c r="Y58" i="1" s="1"/>
  <c r="X76" i="1"/>
  <c r="Y76" i="1" s="1"/>
  <c r="X68" i="1"/>
  <c r="Y68" i="1" s="1"/>
  <c r="X69" i="1"/>
  <c r="Y69" i="1" s="1"/>
  <c r="X53" i="1"/>
  <c r="Y53" i="1" s="1"/>
  <c r="X118" i="1"/>
  <c r="X111" i="1"/>
  <c r="X110" i="1"/>
  <c r="X99" i="1"/>
  <c r="Y99" i="1" s="1"/>
  <c r="X75" i="1"/>
  <c r="Y75" i="1" s="1"/>
  <c r="X66" i="1"/>
  <c r="Y66" i="1" s="1"/>
  <c r="X94" i="1"/>
  <c r="Y94" i="1" s="1"/>
  <c r="X82" i="1"/>
  <c r="Y82" i="1" s="1"/>
  <c r="X72" i="1"/>
  <c r="Y72" i="1" s="1"/>
  <c r="X83" i="1"/>
  <c r="Y83" i="1" s="1"/>
  <c r="X103" i="1"/>
  <c r="Y103" i="1" s="1"/>
  <c r="X73" i="1"/>
  <c r="Y73" i="1" s="1"/>
  <c r="X105" i="1"/>
  <c r="X122" i="1"/>
  <c r="X52" i="1"/>
  <c r="Y52" i="1" s="1"/>
  <c r="X70" i="1"/>
  <c r="Y70" i="1" s="1"/>
  <c r="X59" i="1"/>
  <c r="Y59" i="1" s="1"/>
  <c r="X64" i="1"/>
  <c r="Y64" i="1" s="1"/>
  <c r="X121" i="1"/>
  <c r="X108" i="1"/>
  <c r="X63" i="1"/>
  <c r="Y63" i="1" s="1"/>
  <c r="X107" i="1"/>
  <c r="X93" i="1"/>
  <c r="Y93" i="1" s="1"/>
  <c r="X96" i="1"/>
  <c r="Y96" i="1" s="1"/>
  <c r="X112" i="1"/>
  <c r="S112" i="1" s="1"/>
  <c r="X57" i="1"/>
  <c r="Y57" i="1" s="1"/>
  <c r="X48" i="1"/>
  <c r="Y48" i="1" s="1"/>
  <c r="X74" i="1"/>
  <c r="Y74" i="1" s="1"/>
  <c r="X86" i="1"/>
  <c r="Y86" i="1" s="1"/>
  <c r="X113" i="1"/>
  <c r="X60" i="1"/>
  <c r="Y60" i="1" s="1"/>
  <c r="X98" i="1"/>
  <c r="Y98" i="1" s="1"/>
  <c r="X97" i="1"/>
  <c r="Y97" i="1" s="1"/>
  <c r="X49" i="1"/>
  <c r="Y49" i="1" s="1"/>
  <c r="Q118" i="1"/>
  <c r="B81" i="20" s="1"/>
  <c r="S121" i="1" l="1"/>
  <c r="S116" i="1"/>
  <c r="S111" i="1"/>
  <c r="S123" i="1"/>
  <c r="S108" i="1"/>
  <c r="S114" i="1"/>
  <c r="S113" i="1"/>
  <c r="S107" i="1"/>
  <c r="S122" i="1"/>
  <c r="S120" i="1"/>
  <c r="S115" i="1"/>
  <c r="S117" i="1"/>
  <c r="S77" i="1"/>
  <c r="T77" i="1" s="1"/>
  <c r="S88" i="1"/>
  <c r="T88" i="1" s="1"/>
  <c r="S51" i="1"/>
  <c r="T51" i="1" s="1"/>
  <c r="D14" i="20" s="1"/>
  <c r="E14" i="20" s="1"/>
  <c r="S56" i="1"/>
  <c r="T56" i="1" s="1"/>
  <c r="S62" i="1"/>
  <c r="T62" i="1" s="1"/>
  <c r="S101" i="1"/>
  <c r="T101" i="1" s="1"/>
  <c r="S74" i="1"/>
  <c r="T74" i="1" s="1"/>
  <c r="S53" i="1"/>
  <c r="T53" i="1" s="1"/>
  <c r="S78" i="1"/>
  <c r="R78" i="1" s="1"/>
  <c r="S86" i="1"/>
  <c r="T86" i="1" s="1"/>
  <c r="S98" i="1"/>
  <c r="T98" i="1" s="1"/>
  <c r="S75" i="1"/>
  <c r="T75" i="1" s="1"/>
  <c r="S119" i="1"/>
  <c r="S106" i="1"/>
  <c r="AB104" i="1"/>
  <c r="AB105" i="1" s="1"/>
  <c r="AB106" i="1" s="1"/>
  <c r="AB107" i="1" s="1"/>
  <c r="AB108" i="1" s="1"/>
  <c r="AB109" i="1" s="1"/>
  <c r="AB110" i="1" s="1"/>
  <c r="AB111" i="1" s="1"/>
  <c r="AB112" i="1" s="1"/>
  <c r="AB113" i="1" s="1"/>
  <c r="AB114" i="1" s="1"/>
  <c r="AB115" i="1" s="1"/>
  <c r="AB116" i="1" s="1"/>
  <c r="AB117" i="1" s="1"/>
  <c r="AB118" i="1" s="1"/>
  <c r="AB119" i="1" s="1"/>
  <c r="AB120" i="1" s="1"/>
  <c r="AB121" i="1" s="1"/>
  <c r="AB122" i="1" s="1"/>
  <c r="AB123" i="1" s="1"/>
  <c r="S102" i="1"/>
  <c r="S59" i="1"/>
  <c r="T59" i="1" s="1"/>
  <c r="S90" i="1"/>
  <c r="T90" i="1" s="1"/>
  <c r="S61" i="1"/>
  <c r="S67" i="1"/>
  <c r="T67" i="1" s="1"/>
  <c r="S95" i="1"/>
  <c r="S60" i="1"/>
  <c r="S70" i="1"/>
  <c r="T70" i="1" s="1"/>
  <c r="S89" i="1"/>
  <c r="S54" i="1"/>
  <c r="S63" i="1"/>
  <c r="S58" i="1"/>
  <c r="T58" i="1" s="1"/>
  <c r="D21" i="20" s="1"/>
  <c r="E21" i="20" s="1"/>
  <c r="S55" i="1"/>
  <c r="S85" i="1"/>
  <c r="T85" i="1" s="1"/>
  <c r="S50" i="1"/>
  <c r="T50" i="1" s="1"/>
  <c r="S64" i="1"/>
  <c r="S76" i="1"/>
  <c r="R76" i="1" s="1"/>
  <c r="S97" i="1"/>
  <c r="T97" i="1" s="1"/>
  <c r="S109" i="1"/>
  <c r="S93" i="1"/>
  <c r="S100" i="1"/>
  <c r="T100" i="1" s="1"/>
  <c r="S92" i="1"/>
  <c r="T92" i="1" s="1"/>
  <c r="S73" i="1"/>
  <c r="T73" i="1" s="1"/>
  <c r="S83" i="1"/>
  <c r="S84" i="1"/>
  <c r="T84" i="1" s="1"/>
  <c r="S99" i="1"/>
  <c r="S96" i="1"/>
  <c r="S57" i="1"/>
  <c r="S82" i="1"/>
  <c r="T82" i="1" s="1"/>
  <c r="S94" i="1"/>
  <c r="T94" i="1" s="1"/>
  <c r="S103" i="1"/>
  <c r="S68" i="1"/>
  <c r="T68" i="1" s="1"/>
  <c r="S48" i="1"/>
  <c r="T48" i="1" s="1"/>
  <c r="S118" i="1"/>
  <c r="S65" i="1"/>
  <c r="T65" i="1" s="1"/>
  <c r="S66" i="1"/>
  <c r="S52" i="1"/>
  <c r="S87" i="1"/>
  <c r="S69" i="1"/>
  <c r="T69" i="1" s="1"/>
  <c r="S72" i="1"/>
  <c r="S81" i="1"/>
  <c r="T81" i="1" s="1"/>
  <c r="S79" i="1"/>
  <c r="R79" i="1" s="1"/>
  <c r="S49" i="1"/>
  <c r="S80" i="1"/>
  <c r="S91" i="1"/>
  <c r="S71" i="1"/>
  <c r="T71" i="1" s="1"/>
  <c r="S104" i="1"/>
  <c r="S110" i="1"/>
  <c r="S105" i="1"/>
  <c r="Y104" i="1"/>
  <c r="Y105" i="1" s="1"/>
  <c r="Y106" i="1" s="1"/>
  <c r="Y107" i="1" s="1"/>
  <c r="Y108" i="1" s="1"/>
  <c r="Y109" i="1" s="1"/>
  <c r="Y110" i="1" s="1"/>
  <c r="Y111" i="1" s="1"/>
  <c r="Y112" i="1" s="1"/>
  <c r="Y113" i="1" s="1"/>
  <c r="Y114" i="1" s="1"/>
  <c r="Y115" i="1" s="1"/>
  <c r="Y116" i="1" s="1"/>
  <c r="Y117" i="1" s="1"/>
  <c r="Y118" i="1" s="1"/>
  <c r="Y119" i="1" s="1"/>
  <c r="Y120" i="1" s="1"/>
  <c r="Y121" i="1" s="1"/>
  <c r="Y122" i="1" s="1"/>
  <c r="Y123" i="1" s="1"/>
  <c r="Q119" i="1"/>
  <c r="B82" i="20" s="1"/>
  <c r="R91" i="1" l="1"/>
  <c r="R99" i="1"/>
  <c r="R89" i="1"/>
  <c r="R66" i="1"/>
  <c r="R64" i="1"/>
  <c r="R87" i="1"/>
  <c r="R54" i="1"/>
  <c r="R83" i="1"/>
  <c r="R80" i="1"/>
  <c r="R57" i="1"/>
  <c r="R49" i="1"/>
  <c r="R103" i="1"/>
  <c r="R104" i="1" s="1"/>
  <c r="R105" i="1" s="1"/>
  <c r="R106" i="1" s="1"/>
  <c r="R107" i="1" s="1"/>
  <c r="R108" i="1" s="1"/>
  <c r="R109" i="1" s="1"/>
  <c r="R110" i="1" s="1"/>
  <c r="R111" i="1" s="1"/>
  <c r="R112" i="1" s="1"/>
  <c r="R113" i="1" s="1"/>
  <c r="R114" i="1" s="1"/>
  <c r="R115" i="1" s="1"/>
  <c r="R116" i="1" s="1"/>
  <c r="R117" i="1" s="1"/>
  <c r="R118" i="1" s="1"/>
  <c r="R119" i="1" s="1"/>
  <c r="R120" i="1" s="1"/>
  <c r="R121" i="1" s="1"/>
  <c r="R122" i="1" s="1"/>
  <c r="R123" i="1" s="1"/>
  <c r="R124" i="1" s="1"/>
  <c r="R125" i="1" s="1"/>
  <c r="R126" i="1" s="1"/>
  <c r="R127" i="1" s="1"/>
  <c r="R128" i="1" s="1"/>
  <c r="R129" i="1" s="1"/>
  <c r="R130" i="1" s="1"/>
  <c r="R131" i="1" s="1"/>
  <c r="R132" i="1" s="1"/>
  <c r="R133" i="1" s="1"/>
  <c r="R134" i="1" s="1"/>
  <c r="R135" i="1" s="1"/>
  <c r="R136" i="1" s="1"/>
  <c r="R137" i="1" s="1"/>
  <c r="R138" i="1" s="1"/>
  <c r="R139" i="1" s="1"/>
  <c r="R96" i="1"/>
  <c r="R63" i="1"/>
  <c r="R55" i="1"/>
  <c r="R60" i="1"/>
  <c r="R72" i="1"/>
  <c r="R93" i="1"/>
  <c r="T63" i="1"/>
  <c r="D37" i="20" s="1"/>
  <c r="E37" i="20" s="1"/>
  <c r="T103" i="1"/>
  <c r="D66" i="20" s="1"/>
  <c r="E66" i="20" s="1"/>
  <c r="T93" i="1"/>
  <c r="D56" i="20" s="1"/>
  <c r="E56" i="20" s="1"/>
  <c r="T49" i="1"/>
  <c r="D12" i="20" s="1"/>
  <c r="E12" i="20" s="1"/>
  <c r="T96" i="1"/>
  <c r="D59" i="20" s="1"/>
  <c r="E59" i="20" s="1"/>
  <c r="T60" i="1"/>
  <c r="T66" i="1"/>
  <c r="D40" i="20" s="1"/>
  <c r="E40" i="20" s="1"/>
  <c r="T57" i="1"/>
  <c r="D20" i="20" s="1"/>
  <c r="E20" i="20" s="1"/>
  <c r="T83" i="1"/>
  <c r="D57" i="20" s="1"/>
  <c r="E57" i="20" s="1"/>
  <c r="T80" i="1"/>
  <c r="D43" i="20" s="1"/>
  <c r="E43" i="20" s="1"/>
  <c r="D36" i="20"/>
  <c r="E36" i="20" s="1"/>
  <c r="T79" i="1"/>
  <c r="D42" i="20" s="1"/>
  <c r="E42" i="20" s="1"/>
  <c r="T64" i="1"/>
  <c r="D27" i="20" s="1"/>
  <c r="E27" i="20" s="1"/>
  <c r="T99" i="1"/>
  <c r="D62" i="20" s="1"/>
  <c r="E62" i="20" s="1"/>
  <c r="T87" i="1"/>
  <c r="D61" i="20" s="1"/>
  <c r="E61" i="20" s="1"/>
  <c r="T54" i="1"/>
  <c r="D17" i="20" s="1"/>
  <c r="E17" i="20" s="1"/>
  <c r="O36" i="1"/>
  <c r="T104" i="1"/>
  <c r="T105" i="1" s="1"/>
  <c r="T72" i="1"/>
  <c r="T78" i="1"/>
  <c r="D41" i="20" s="1"/>
  <c r="E41" i="20" s="1"/>
  <c r="T89" i="1"/>
  <c r="D63" i="20" s="1"/>
  <c r="E63" i="20" s="1"/>
  <c r="T91" i="1"/>
  <c r="T55" i="1"/>
  <c r="D18" i="20" s="1"/>
  <c r="E18" i="20" s="1"/>
  <c r="T76" i="1"/>
  <c r="D39" i="20" s="1"/>
  <c r="E39" i="20" s="1"/>
  <c r="R82" i="1"/>
  <c r="R81" i="1"/>
  <c r="T52" i="1"/>
  <c r="D15" i="20" s="1"/>
  <c r="E15" i="20" s="1"/>
  <c r="R52" i="1"/>
  <c r="R84" i="1"/>
  <c r="R100" i="1"/>
  <c r="R68" i="1"/>
  <c r="R67" i="1"/>
  <c r="T102" i="1"/>
  <c r="R102" i="1"/>
  <c r="R53" i="1"/>
  <c r="R56" i="1"/>
  <c r="R58" i="1"/>
  <c r="R71" i="1"/>
  <c r="R70" i="1"/>
  <c r="T61" i="1"/>
  <c r="R61" i="1"/>
  <c r="R98" i="1"/>
  <c r="R75" i="1"/>
  <c r="R74" i="1"/>
  <c r="R51" i="1"/>
  <c r="R69" i="1"/>
  <c r="R65" i="1"/>
  <c r="R73" i="1"/>
  <c r="R50" i="1"/>
  <c r="R90" i="1"/>
  <c r="R86" i="1"/>
  <c r="R101" i="1"/>
  <c r="R88" i="1"/>
  <c r="R94" i="1"/>
  <c r="R92" i="1"/>
  <c r="R97" i="1"/>
  <c r="R85" i="1"/>
  <c r="T95" i="1"/>
  <c r="D58" i="20" s="1"/>
  <c r="E58" i="20" s="1"/>
  <c r="R95" i="1"/>
  <c r="R59" i="1"/>
  <c r="R62" i="1"/>
  <c r="R77" i="1"/>
  <c r="D51" i="20"/>
  <c r="E51" i="20" s="1"/>
  <c r="D32" i="20"/>
  <c r="E32" i="20" s="1"/>
  <c r="D22" i="20"/>
  <c r="E22" i="20" s="1"/>
  <c r="D45" i="20"/>
  <c r="E45" i="20" s="1"/>
  <c r="D25" i="20"/>
  <c r="E25" i="20" s="1"/>
  <c r="D64" i="20"/>
  <c r="E64" i="20" s="1"/>
  <c r="D48" i="20"/>
  <c r="E48" i="20" s="1"/>
  <c r="D55" i="20"/>
  <c r="E55" i="20" s="1"/>
  <c r="D47" i="20"/>
  <c r="E47" i="20" s="1"/>
  <c r="D44" i="20"/>
  <c r="E44" i="20" s="1"/>
  <c r="D30" i="20"/>
  <c r="E30" i="20" s="1"/>
  <c r="D19" i="20"/>
  <c r="E19" i="20" s="1"/>
  <c r="D13" i="20"/>
  <c r="E13" i="20" s="1"/>
  <c r="D11" i="20"/>
  <c r="E11" i="20" s="1"/>
  <c r="D49" i="20"/>
  <c r="E49" i="20" s="1"/>
  <c r="D33" i="20"/>
  <c r="E33" i="20" s="1"/>
  <c r="D60" i="20"/>
  <c r="E60" i="20" s="1"/>
  <c r="D16" i="20"/>
  <c r="E16" i="20" s="1"/>
  <c r="Q120" i="1"/>
  <c r="B83" i="20" s="1"/>
  <c r="D38" i="20" l="1"/>
  <c r="E38" i="20" s="1"/>
  <c r="D23" i="20"/>
  <c r="E23" i="20" s="1"/>
  <c r="D31" i="20"/>
  <c r="E31" i="20" s="1"/>
  <c r="D34" i="20"/>
  <c r="E34" i="20" s="1"/>
  <c r="D26" i="20"/>
  <c r="E26" i="20" s="1"/>
  <c r="O37" i="1"/>
  <c r="D67" i="20"/>
  <c r="E67" i="20" s="1"/>
  <c r="D46" i="20"/>
  <c r="E46" i="20" s="1"/>
  <c r="D52" i="20"/>
  <c r="E52" i="20" s="1"/>
  <c r="D28" i="20"/>
  <c r="E28" i="20" s="1"/>
  <c r="D53" i="20"/>
  <c r="E53" i="20" s="1"/>
  <c r="D29" i="20"/>
  <c r="E29" i="20" s="1"/>
  <c r="D35" i="20"/>
  <c r="E35" i="20" s="1"/>
  <c r="D50" i="20"/>
  <c r="E50" i="20" s="1"/>
  <c r="D65" i="20"/>
  <c r="E65" i="20" s="1"/>
  <c r="O38" i="1"/>
  <c r="D54" i="20"/>
  <c r="E54" i="20" s="1"/>
  <c r="D24" i="20"/>
  <c r="E24" i="20" s="1"/>
  <c r="D68" i="20"/>
  <c r="E68" i="20" s="1"/>
  <c r="T106" i="1"/>
  <c r="Q121" i="1"/>
  <c r="B84" i="20" s="1"/>
  <c r="D69" i="20" l="1"/>
  <c r="E69" i="20" s="1"/>
  <c r="T107" i="1"/>
  <c r="Q122" i="1"/>
  <c r="B85" i="20" s="1"/>
  <c r="D70" i="20" l="1"/>
  <c r="E70" i="20" s="1"/>
  <c r="T108" i="1"/>
  <c r="Q123" i="1"/>
  <c r="D71" i="20" l="1"/>
  <c r="E71" i="20" s="1"/>
  <c r="T109" i="1"/>
  <c r="Q124" i="1"/>
  <c r="B86" i="20"/>
  <c r="P46" i="1" l="1"/>
  <c r="U109" i="1" s="1"/>
  <c r="D72" i="20"/>
  <c r="E72" i="20" s="1"/>
  <c r="T110" i="1"/>
  <c r="Q125" i="1"/>
  <c r="B87" i="20"/>
  <c r="D73" i="20" l="1"/>
  <c r="E73" i="20" s="1"/>
  <c r="T111" i="1"/>
  <c r="U110" i="1"/>
  <c r="V110" i="1" s="1"/>
  <c r="U108" i="1"/>
  <c r="V109" i="1" s="1"/>
  <c r="U58" i="1"/>
  <c r="U68" i="1"/>
  <c r="U51" i="1"/>
  <c r="U102" i="1"/>
  <c r="U69" i="1"/>
  <c r="U99" i="1"/>
  <c r="U73" i="1"/>
  <c r="U77" i="1"/>
  <c r="U82" i="1"/>
  <c r="U61" i="1"/>
  <c r="U71" i="1"/>
  <c r="U67" i="1"/>
  <c r="U88" i="1"/>
  <c r="U60" i="1"/>
  <c r="V61" i="1" s="1"/>
  <c r="U59" i="1"/>
  <c r="U79" i="1"/>
  <c r="U103" i="1"/>
  <c r="U91" i="1"/>
  <c r="U95" i="1"/>
  <c r="U52" i="1"/>
  <c r="U86" i="1"/>
  <c r="U63" i="1"/>
  <c r="U96" i="1"/>
  <c r="U70" i="1"/>
  <c r="U97" i="1"/>
  <c r="U54" i="1"/>
  <c r="U100" i="1"/>
  <c r="U75" i="1"/>
  <c r="U94" i="1"/>
  <c r="U104" i="1"/>
  <c r="U53" i="1"/>
  <c r="U76" i="1"/>
  <c r="V77" i="1" s="1"/>
  <c r="U62" i="1"/>
  <c r="U92" i="1"/>
  <c r="U89" i="1"/>
  <c r="U101" i="1"/>
  <c r="V102" i="1" s="1"/>
  <c r="U85" i="1"/>
  <c r="V86" i="1" s="1"/>
  <c r="U84" i="1"/>
  <c r="U93" i="1"/>
  <c r="U56" i="1"/>
  <c r="U50" i="1"/>
  <c r="U66" i="1"/>
  <c r="U48" i="1"/>
  <c r="U98" i="1"/>
  <c r="U72" i="1"/>
  <c r="U78" i="1"/>
  <c r="U90" i="1"/>
  <c r="U55" i="1"/>
  <c r="V56" i="1" s="1"/>
  <c r="U87" i="1"/>
  <c r="V88" i="1" s="1"/>
  <c r="U80" i="1"/>
  <c r="U83" i="1"/>
  <c r="U81" i="1"/>
  <c r="U49" i="1"/>
  <c r="V50" i="1" s="1"/>
  <c r="U64" i="1"/>
  <c r="U74" i="1"/>
  <c r="U57" i="1"/>
  <c r="U65" i="1"/>
  <c r="U105" i="1"/>
  <c r="U106" i="1"/>
  <c r="U107" i="1"/>
  <c r="V108" i="1" s="1"/>
  <c r="Q126" i="1"/>
  <c r="B88" i="20"/>
  <c r="V82" i="1" l="1"/>
  <c r="V58" i="1"/>
  <c r="V84" i="1"/>
  <c r="V91" i="1"/>
  <c r="V54" i="1"/>
  <c r="V60" i="1"/>
  <c r="V49" i="1"/>
  <c r="V97" i="1"/>
  <c r="V72" i="1"/>
  <c r="V65" i="1"/>
  <c r="V85" i="1"/>
  <c r="V69" i="1"/>
  <c r="V62" i="1"/>
  <c r="V103" i="1"/>
  <c r="V96" i="1"/>
  <c r="V107" i="1"/>
  <c r="V52" i="1"/>
  <c r="V81" i="1"/>
  <c r="V67" i="1"/>
  <c r="V55" i="1"/>
  <c r="V75" i="1"/>
  <c r="V101" i="1"/>
  <c r="V79" i="1"/>
  <c r="V90" i="1"/>
  <c r="V106" i="1"/>
  <c r="V93" i="1"/>
  <c r="V64" i="1"/>
  <c r="V92" i="1"/>
  <c r="V100" i="1"/>
  <c r="D74" i="20"/>
  <c r="E74" i="20" s="1"/>
  <c r="T112" i="1"/>
  <c r="U111" i="1"/>
  <c r="V111" i="1" s="1"/>
  <c r="V66" i="1"/>
  <c r="V73" i="1"/>
  <c r="V51" i="1"/>
  <c r="V63" i="1"/>
  <c r="V95" i="1"/>
  <c r="V98" i="1"/>
  <c r="V87" i="1"/>
  <c r="V104" i="1"/>
  <c r="V89" i="1"/>
  <c r="V83" i="1"/>
  <c r="V70" i="1"/>
  <c r="V59" i="1"/>
  <c r="V94" i="1"/>
  <c r="O39" i="1"/>
  <c r="V74" i="1"/>
  <c r="V105" i="1"/>
  <c r="V99" i="1"/>
  <c r="V57" i="1"/>
  <c r="V76" i="1"/>
  <c r="V71" i="1"/>
  <c r="V53" i="1"/>
  <c r="V80" i="1"/>
  <c r="V68" i="1"/>
  <c r="V78" i="1"/>
  <c r="Q127" i="1"/>
  <c r="B89" i="20"/>
  <c r="F22" i="1" l="1"/>
  <c r="G22" i="1" s="1"/>
  <c r="F18" i="1"/>
  <c r="G18" i="1" s="1"/>
  <c r="F19" i="1"/>
  <c r="G19" i="1" s="1"/>
  <c r="F21" i="1"/>
  <c r="G21" i="1" s="1"/>
  <c r="F23" i="1"/>
  <c r="G23" i="1" s="1"/>
  <c r="F20" i="1"/>
  <c r="G20" i="1" s="1"/>
  <c r="D75" i="20"/>
  <c r="E75" i="20" s="1"/>
  <c r="T113" i="1"/>
  <c r="U112" i="1"/>
  <c r="V112" i="1" s="1"/>
  <c r="Q128" i="1"/>
  <c r="B90" i="20"/>
  <c r="D76" i="20" l="1"/>
  <c r="E76" i="20" s="1"/>
  <c r="T114" i="1"/>
  <c r="U113" i="1"/>
  <c r="V113" i="1" s="1"/>
  <c r="Q129" i="1"/>
  <c r="B91" i="20"/>
  <c r="D77" i="20" l="1"/>
  <c r="E77" i="20" s="1"/>
  <c r="U114" i="1"/>
  <c r="V114" i="1" s="1"/>
  <c r="T115" i="1"/>
  <c r="Q130" i="1"/>
  <c r="B92" i="20"/>
  <c r="D78" i="20" l="1"/>
  <c r="E78" i="20" s="1"/>
  <c r="U115" i="1"/>
  <c r="V115" i="1" s="1"/>
  <c r="T116" i="1"/>
  <c r="Q131" i="1"/>
  <c r="B93" i="20"/>
  <c r="D79" i="20" l="1"/>
  <c r="E79" i="20" s="1"/>
  <c r="U116" i="1"/>
  <c r="V116" i="1" s="1"/>
  <c r="T117" i="1"/>
  <c r="Q132" i="1"/>
  <c r="B94" i="20"/>
  <c r="T118" i="1" l="1"/>
  <c r="U117" i="1"/>
  <c r="V117" i="1" s="1"/>
  <c r="D80" i="20"/>
  <c r="E80" i="20" s="1"/>
  <c r="Q133" i="1"/>
  <c r="B95" i="20"/>
  <c r="D81" i="20" l="1"/>
  <c r="E81" i="20" s="1"/>
  <c r="T119" i="1"/>
  <c r="U118" i="1"/>
  <c r="V118" i="1" s="1"/>
  <c r="Q134" i="1"/>
  <c r="B96" i="20"/>
  <c r="D82" i="20" l="1"/>
  <c r="E82" i="20" s="1"/>
  <c r="T120" i="1"/>
  <c r="U119" i="1"/>
  <c r="V119" i="1" s="1"/>
  <c r="Q135" i="1"/>
  <c r="B97" i="20"/>
  <c r="D83" i="20" l="1"/>
  <c r="E83" i="20" s="1"/>
  <c r="T121" i="1"/>
  <c r="U120" i="1"/>
  <c r="V120" i="1" s="1"/>
  <c r="Q136" i="1"/>
  <c r="B98" i="20"/>
  <c r="D84" i="20" l="1"/>
  <c r="E84" i="20" s="1"/>
  <c r="U121" i="1"/>
  <c r="V121" i="1" s="1"/>
  <c r="T122" i="1"/>
  <c r="Q137" i="1"/>
  <c r="B99" i="20"/>
  <c r="T123" i="1" l="1"/>
  <c r="D85" i="20"/>
  <c r="E85" i="20" s="1"/>
  <c r="U122" i="1"/>
  <c r="V122" i="1" s="1"/>
  <c r="Q138" i="1"/>
  <c r="B100" i="20"/>
  <c r="D86" i="20" l="1"/>
  <c r="E86" i="20" s="1"/>
  <c r="U123" i="1"/>
  <c r="V123" i="1" s="1"/>
  <c r="T124" i="1"/>
  <c r="Q139" i="1"/>
  <c r="B102" i="20" s="1"/>
  <c r="B101" i="20"/>
  <c r="D87" i="20" l="1"/>
  <c r="E87" i="20" s="1"/>
  <c r="U124" i="1"/>
  <c r="V124" i="1" s="1"/>
  <c r="T125" i="1"/>
  <c r="B9" i="35"/>
  <c r="C9" i="35"/>
  <c r="D9" i="35"/>
  <c r="F9" i="35"/>
  <c r="E9" i="35"/>
  <c r="G9" i="35"/>
  <c r="H9" i="35"/>
  <c r="I9" i="35"/>
  <c r="J9" i="35"/>
  <c r="K9" i="35"/>
  <c r="L9" i="35"/>
  <c r="O9" i="35"/>
  <c r="P9" i="35"/>
  <c r="Q9" i="35"/>
  <c r="R9" i="35"/>
  <c r="S9" i="35"/>
  <c r="T9" i="35"/>
  <c r="U9" i="35"/>
  <c r="M9" i="35"/>
  <c r="N9" i="35"/>
  <c r="V9" i="35"/>
  <c r="W9" i="35"/>
  <c r="X9" i="35"/>
  <c r="U125" i="1" l="1"/>
  <c r="V125" i="1" s="1"/>
  <c r="T126" i="1"/>
  <c r="D88" i="20"/>
  <c r="E88" i="20" s="1"/>
  <c r="W8" i="35"/>
  <c r="W51" i="35" s="1"/>
  <c r="N8" i="35"/>
  <c r="N47" i="35" s="1"/>
  <c r="U8" i="35"/>
  <c r="U51" i="35" s="1"/>
  <c r="S8" i="35"/>
  <c r="S47" i="35" s="1"/>
  <c r="Q8" i="35"/>
  <c r="Q51" i="35" s="1"/>
  <c r="O8" i="35"/>
  <c r="O51" i="35" s="1"/>
  <c r="D8" i="35"/>
  <c r="D37" i="35" s="1"/>
  <c r="B8" i="35"/>
  <c r="B45" i="35" s="1"/>
  <c r="X8" i="35"/>
  <c r="X45" i="35" s="1"/>
  <c r="V8" i="35"/>
  <c r="V37" i="35" s="1"/>
  <c r="M8" i="35"/>
  <c r="M37" i="35" s="1"/>
  <c r="T8" i="35"/>
  <c r="T45" i="35" s="1"/>
  <c r="R8" i="35"/>
  <c r="R45" i="35" s="1"/>
  <c r="P8" i="35"/>
  <c r="P19" i="35" s="1"/>
  <c r="G8" i="35"/>
  <c r="G45" i="35" s="1"/>
  <c r="C8" i="35"/>
  <c r="C51" i="35" s="1"/>
  <c r="L8" i="35"/>
  <c r="L47" i="35" s="1"/>
  <c r="K8" i="35"/>
  <c r="K51" i="35" s="1"/>
  <c r="J8" i="35"/>
  <c r="I8" i="35"/>
  <c r="I47" i="35" s="1"/>
  <c r="H8" i="35"/>
  <c r="H14" i="35" s="1"/>
  <c r="E8" i="35"/>
  <c r="F8" i="35"/>
  <c r="F37" i="35" s="1"/>
  <c r="T50" i="35" l="1"/>
  <c r="Q26" i="35"/>
  <c r="Q50" i="35"/>
  <c r="T21" i="35"/>
  <c r="C26" i="35"/>
  <c r="C17" i="35"/>
  <c r="C16" i="35"/>
  <c r="C39" i="35"/>
  <c r="O25" i="35"/>
  <c r="Q48" i="35"/>
  <c r="S22" i="35"/>
  <c r="C40" i="35"/>
  <c r="Q18" i="35"/>
  <c r="Q41" i="35"/>
  <c r="N14" i="35"/>
  <c r="O28" i="35"/>
  <c r="U30" i="35"/>
  <c r="N30" i="35"/>
  <c r="C48" i="35"/>
  <c r="T30" i="35"/>
  <c r="O46" i="35"/>
  <c r="U36" i="35"/>
  <c r="N23" i="35"/>
  <c r="N46" i="35"/>
  <c r="Q30" i="35"/>
  <c r="Q21" i="35"/>
  <c r="B32" i="35"/>
  <c r="Q40" i="35"/>
  <c r="Q29" i="35"/>
  <c r="W38" i="35"/>
  <c r="C31" i="35"/>
  <c r="B41" i="35"/>
  <c r="N22" i="35"/>
  <c r="N15" i="35"/>
  <c r="W22" i="35"/>
  <c r="B30" i="35"/>
  <c r="D30" i="35"/>
  <c r="S48" i="35"/>
  <c r="N38" i="35"/>
  <c r="N37" i="35"/>
  <c r="W23" i="35"/>
  <c r="C24" i="35"/>
  <c r="C42" i="35"/>
  <c r="C23" i="35"/>
  <c r="C49" i="35"/>
  <c r="T18" i="35"/>
  <c r="T13" i="35"/>
  <c r="M30" i="35"/>
  <c r="X30" i="35"/>
  <c r="B13" i="35"/>
  <c r="O20" i="35"/>
  <c r="O15" i="35"/>
  <c r="Q31" i="35"/>
  <c r="S46" i="35"/>
  <c r="N16" i="35"/>
  <c r="N32" i="35"/>
  <c r="N48" i="35"/>
  <c r="N31" i="35"/>
  <c r="W14" i="35"/>
  <c r="W50" i="35"/>
  <c r="C32" i="35"/>
  <c r="C15" i="35"/>
  <c r="C33" i="35"/>
  <c r="R34" i="35"/>
  <c r="T32" i="35"/>
  <c r="T41" i="35"/>
  <c r="V38" i="35"/>
  <c r="O36" i="35"/>
  <c r="O37" i="35"/>
  <c r="S23" i="35"/>
  <c r="N24" i="35"/>
  <c r="N40" i="35"/>
  <c r="N21" i="35"/>
  <c r="N39" i="35"/>
  <c r="W30" i="35"/>
  <c r="W37" i="35"/>
  <c r="C18" i="35"/>
  <c r="C34" i="35"/>
  <c r="C50" i="35"/>
  <c r="C25" i="35"/>
  <c r="C41" i="35"/>
  <c r="T40" i="35"/>
  <c r="T33" i="35"/>
  <c r="B21" i="35"/>
  <c r="O14" i="35"/>
  <c r="O22" i="35"/>
  <c r="O30" i="35"/>
  <c r="O38" i="35"/>
  <c r="O48" i="35"/>
  <c r="O17" i="35"/>
  <c r="O29" i="35"/>
  <c r="O41" i="35"/>
  <c r="Q16" i="35"/>
  <c r="Q38" i="35"/>
  <c r="Q17" i="35"/>
  <c r="Q39" i="35"/>
  <c r="S30" i="35"/>
  <c r="S29" i="35"/>
  <c r="U43" i="35"/>
  <c r="N13" i="35"/>
  <c r="N29" i="35"/>
  <c r="N45" i="35"/>
  <c r="W16" i="35"/>
  <c r="W24" i="35"/>
  <c r="W32" i="35"/>
  <c r="W42" i="35"/>
  <c r="W13" i="35"/>
  <c r="W25" i="35"/>
  <c r="W41" i="35"/>
  <c r="H37" i="35"/>
  <c r="O16" i="35"/>
  <c r="O24" i="35"/>
  <c r="O32" i="35"/>
  <c r="O40" i="35"/>
  <c r="O50" i="35"/>
  <c r="O21" i="35"/>
  <c r="O31" i="35"/>
  <c r="O45" i="35"/>
  <c r="W18" i="35"/>
  <c r="W26" i="35"/>
  <c r="W34" i="35"/>
  <c r="W44" i="35"/>
  <c r="W15" i="35"/>
  <c r="W31" i="35"/>
  <c r="W45" i="35"/>
  <c r="O18" i="35"/>
  <c r="O26" i="35"/>
  <c r="O34" i="35"/>
  <c r="O42" i="35"/>
  <c r="O13" i="35"/>
  <c r="O23" i="35"/>
  <c r="O33" i="35"/>
  <c r="O47" i="35"/>
  <c r="W20" i="35"/>
  <c r="W28" i="35"/>
  <c r="W36" i="35"/>
  <c r="W46" i="35"/>
  <c r="W21" i="35"/>
  <c r="W33" i="35"/>
  <c r="W47" i="35"/>
  <c r="D89" i="20"/>
  <c r="E89" i="20" s="1"/>
  <c r="U126" i="1"/>
  <c r="V126" i="1" s="1"/>
  <c r="T127" i="1"/>
  <c r="D46" i="35"/>
  <c r="L48" i="35"/>
  <c r="R21" i="35"/>
  <c r="M21" i="35"/>
  <c r="X21" i="35"/>
  <c r="D21" i="35"/>
  <c r="H39" i="35"/>
  <c r="O39" i="35"/>
  <c r="O49" i="35"/>
  <c r="Q49" i="35"/>
  <c r="S45" i="35"/>
  <c r="U13" i="35"/>
  <c r="K48" i="35"/>
  <c r="R46" i="35"/>
  <c r="M15" i="35"/>
  <c r="X46" i="35"/>
  <c r="G30" i="35"/>
  <c r="L21" i="35"/>
  <c r="R22" i="35"/>
  <c r="R37" i="35"/>
  <c r="M24" i="35"/>
  <c r="M47" i="35"/>
  <c r="X14" i="35"/>
  <c r="X37" i="35"/>
  <c r="D14" i="35"/>
  <c r="U21" i="35"/>
  <c r="C20" i="35"/>
  <c r="C28" i="35"/>
  <c r="C36" i="35"/>
  <c r="C44" i="35"/>
  <c r="C52" i="35"/>
  <c r="C19" i="35"/>
  <c r="C27" i="35"/>
  <c r="C35" i="35"/>
  <c r="C45" i="35"/>
  <c r="L24" i="35"/>
  <c r="L39" i="35"/>
  <c r="M40" i="35"/>
  <c r="M31" i="35"/>
  <c r="V22" i="35"/>
  <c r="V19" i="35"/>
  <c r="B40" i="35"/>
  <c r="B31" i="35"/>
  <c r="Q22" i="35"/>
  <c r="Q32" i="35"/>
  <c r="Q42" i="35"/>
  <c r="Q13" i="35"/>
  <c r="Q23" i="35"/>
  <c r="Q33" i="35"/>
  <c r="Q45" i="35"/>
  <c r="S14" i="35"/>
  <c r="S32" i="35"/>
  <c r="S13" i="35"/>
  <c r="S37" i="35"/>
  <c r="U14" i="35"/>
  <c r="U38" i="35"/>
  <c r="U29" i="35"/>
  <c r="V13" i="35"/>
  <c r="C14" i="35"/>
  <c r="C22" i="35"/>
  <c r="C30" i="35"/>
  <c r="C38" i="35"/>
  <c r="C46" i="35"/>
  <c r="C13" i="35"/>
  <c r="C21" i="35"/>
  <c r="C29" i="35"/>
  <c r="C37" i="35"/>
  <c r="C47" i="35"/>
  <c r="L32" i="35"/>
  <c r="T31" i="35"/>
  <c r="M14" i="35"/>
  <c r="M46" i="35"/>
  <c r="V28" i="35"/>
  <c r="V29" i="35"/>
  <c r="B18" i="35"/>
  <c r="B50" i="35"/>
  <c r="B33" i="35"/>
  <c r="Q14" i="35"/>
  <c r="Q24" i="35"/>
  <c r="Q34" i="35"/>
  <c r="Q46" i="35"/>
  <c r="Q15" i="35"/>
  <c r="Q25" i="35"/>
  <c r="Q37" i="35"/>
  <c r="Q47" i="35"/>
  <c r="S16" i="35"/>
  <c r="S38" i="35"/>
  <c r="S21" i="35"/>
  <c r="S39" i="35"/>
  <c r="U20" i="35"/>
  <c r="U52" i="35"/>
  <c r="U37" i="35"/>
  <c r="I44" i="35"/>
  <c r="I35" i="35"/>
  <c r="P45" i="35"/>
  <c r="P37" i="35"/>
  <c r="P46" i="35"/>
  <c r="P14" i="35"/>
  <c r="G13" i="35"/>
  <c r="I30" i="35"/>
  <c r="I21" i="35"/>
  <c r="P28" i="35"/>
  <c r="R14" i="35"/>
  <c r="R36" i="35"/>
  <c r="R27" i="35"/>
  <c r="X36" i="35"/>
  <c r="X27" i="35"/>
  <c r="E31" i="35"/>
  <c r="E52" i="35"/>
  <c r="G21" i="35"/>
  <c r="I20" i="35"/>
  <c r="I36" i="35"/>
  <c r="I52" i="35"/>
  <c r="I27" i="35"/>
  <c r="I45" i="35"/>
  <c r="L14" i="35"/>
  <c r="L36" i="35"/>
  <c r="L23" i="35"/>
  <c r="P30" i="35"/>
  <c r="P35" i="35"/>
  <c r="R18" i="35"/>
  <c r="R28" i="35"/>
  <c r="R38" i="35"/>
  <c r="R13" i="35"/>
  <c r="R29" i="35"/>
  <c r="T22" i="35"/>
  <c r="T42" i="35"/>
  <c r="T23" i="35"/>
  <c r="M45" i="35"/>
  <c r="M29" i="35"/>
  <c r="M13" i="35"/>
  <c r="M38" i="35"/>
  <c r="M22" i="35"/>
  <c r="M39" i="35"/>
  <c r="M23" i="35"/>
  <c r="M48" i="35"/>
  <c r="M32" i="35"/>
  <c r="M16" i="35"/>
  <c r="V44" i="35"/>
  <c r="X22" i="35"/>
  <c r="X38" i="35"/>
  <c r="X13" i="35"/>
  <c r="X29" i="35"/>
  <c r="B22" i="35"/>
  <c r="B42" i="35"/>
  <c r="B23" i="35"/>
  <c r="N51" i="35"/>
  <c r="N43" i="35"/>
  <c r="N35" i="35"/>
  <c r="N27" i="35"/>
  <c r="N19" i="35"/>
  <c r="N52" i="35"/>
  <c r="N44" i="35"/>
  <c r="N36" i="35"/>
  <c r="N28" i="35"/>
  <c r="N20" i="35"/>
  <c r="N49" i="35"/>
  <c r="N41" i="35"/>
  <c r="N33" i="35"/>
  <c r="N25" i="35"/>
  <c r="N17" i="35"/>
  <c r="N50" i="35"/>
  <c r="N42" i="35"/>
  <c r="N34" i="35"/>
  <c r="N26" i="35"/>
  <c r="N18" i="35"/>
  <c r="I28" i="35"/>
  <c r="I19" i="35"/>
  <c r="R49" i="35"/>
  <c r="R41" i="35"/>
  <c r="R33" i="35"/>
  <c r="R25" i="35"/>
  <c r="R17" i="35"/>
  <c r="R50" i="35"/>
  <c r="R42" i="35"/>
  <c r="R47" i="35"/>
  <c r="R39" i="35"/>
  <c r="R31" i="35"/>
  <c r="R23" i="35"/>
  <c r="R15" i="35"/>
  <c r="R48" i="35"/>
  <c r="R40" i="35"/>
  <c r="R32" i="35"/>
  <c r="R24" i="35"/>
  <c r="R16" i="35"/>
  <c r="X49" i="35"/>
  <c r="X41" i="35"/>
  <c r="X33" i="35"/>
  <c r="X25" i="35"/>
  <c r="X17" i="35"/>
  <c r="X50" i="35"/>
  <c r="X42" i="35"/>
  <c r="X34" i="35"/>
  <c r="X26" i="35"/>
  <c r="X18" i="35"/>
  <c r="X47" i="35"/>
  <c r="X39" i="35"/>
  <c r="X31" i="35"/>
  <c r="X23" i="35"/>
  <c r="X15" i="35"/>
  <c r="X48" i="35"/>
  <c r="X40" i="35"/>
  <c r="X32" i="35"/>
  <c r="X24" i="35"/>
  <c r="X16" i="35"/>
  <c r="I14" i="35"/>
  <c r="I46" i="35"/>
  <c r="I37" i="35"/>
  <c r="P21" i="35"/>
  <c r="R26" i="35"/>
  <c r="R52" i="35"/>
  <c r="R43" i="35"/>
  <c r="X20" i="35"/>
  <c r="X52" i="35"/>
  <c r="X43" i="35"/>
  <c r="H23" i="35"/>
  <c r="H48" i="35"/>
  <c r="H46" i="35"/>
  <c r="G22" i="35"/>
  <c r="I22" i="35"/>
  <c r="I38" i="35"/>
  <c r="I13" i="35"/>
  <c r="I29" i="35"/>
  <c r="L22" i="35"/>
  <c r="L46" i="35"/>
  <c r="L37" i="35"/>
  <c r="P44" i="35"/>
  <c r="P51" i="35"/>
  <c r="R20" i="35"/>
  <c r="R30" i="35"/>
  <c r="R44" i="35"/>
  <c r="R19" i="35"/>
  <c r="R35" i="35"/>
  <c r="R51" i="35"/>
  <c r="T51" i="35"/>
  <c r="T49" i="35"/>
  <c r="T39" i="35"/>
  <c r="T29" i="35"/>
  <c r="T17" i="35"/>
  <c r="T48" i="35"/>
  <c r="T38" i="35"/>
  <c r="T26" i="35"/>
  <c r="T16" i="35"/>
  <c r="T47" i="35"/>
  <c r="T37" i="35"/>
  <c r="T25" i="35"/>
  <c r="T15" i="35"/>
  <c r="T46" i="35"/>
  <c r="T34" i="35"/>
  <c r="T24" i="35"/>
  <c r="T14" i="35"/>
  <c r="V45" i="35"/>
  <c r="V27" i="35"/>
  <c r="V52" i="35"/>
  <c r="V36" i="35"/>
  <c r="V20" i="35"/>
  <c r="V43" i="35"/>
  <c r="V21" i="35"/>
  <c r="V46" i="35"/>
  <c r="V30" i="35"/>
  <c r="V14" i="35"/>
  <c r="X28" i="35"/>
  <c r="X44" i="35"/>
  <c r="X19" i="35"/>
  <c r="X35" i="35"/>
  <c r="X51" i="35"/>
  <c r="B51" i="35"/>
  <c r="B49" i="35"/>
  <c r="B39" i="35"/>
  <c r="B29" i="35"/>
  <c r="B17" i="35"/>
  <c r="B48" i="35"/>
  <c r="B38" i="35"/>
  <c r="B26" i="35"/>
  <c r="B16" i="35"/>
  <c r="B47" i="35"/>
  <c r="B37" i="35"/>
  <c r="B25" i="35"/>
  <c r="B15" i="35"/>
  <c r="B46" i="35"/>
  <c r="B34" i="35"/>
  <c r="B24" i="35"/>
  <c r="B14" i="35"/>
  <c r="H16" i="35"/>
  <c r="O44" i="35"/>
  <c r="O52" i="35"/>
  <c r="O19" i="35"/>
  <c r="O27" i="35"/>
  <c r="O35" i="35"/>
  <c r="O43" i="35"/>
  <c r="S24" i="35"/>
  <c r="S40" i="35"/>
  <c r="S15" i="35"/>
  <c r="S31" i="35"/>
  <c r="U22" i="35"/>
  <c r="U46" i="35"/>
  <c r="U27" i="35"/>
  <c r="U45" i="35"/>
  <c r="W40" i="35"/>
  <c r="W48" i="35"/>
  <c r="W17" i="35"/>
  <c r="W29" i="35"/>
  <c r="W39" i="35"/>
  <c r="W49" i="35"/>
  <c r="J51" i="35"/>
  <c r="J43" i="35"/>
  <c r="J35" i="35"/>
  <c r="J27" i="35"/>
  <c r="J19" i="35"/>
  <c r="J52" i="35"/>
  <c r="J44" i="35"/>
  <c r="J36" i="35"/>
  <c r="J28" i="35"/>
  <c r="J20" i="35"/>
  <c r="J49" i="35"/>
  <c r="J41" i="35"/>
  <c r="J33" i="35"/>
  <c r="J25" i="35"/>
  <c r="J17" i="35"/>
  <c r="J50" i="35"/>
  <c r="J42" i="35"/>
  <c r="J34" i="35"/>
  <c r="J26" i="35"/>
  <c r="J18" i="35"/>
  <c r="J47" i="35"/>
  <c r="J31" i="35"/>
  <c r="J15" i="35"/>
  <c r="J40" i="35"/>
  <c r="J24" i="35"/>
  <c r="J45" i="35"/>
  <c r="J29" i="35"/>
  <c r="J13" i="35"/>
  <c r="J38" i="35"/>
  <c r="J22" i="35"/>
  <c r="J37" i="35"/>
  <c r="J46" i="35"/>
  <c r="J14" i="35"/>
  <c r="J23" i="35"/>
  <c r="J32" i="35"/>
  <c r="J39" i="35"/>
  <c r="J48" i="35"/>
  <c r="J16" i="35"/>
  <c r="F38" i="35"/>
  <c r="F29" i="35"/>
  <c r="J30" i="35"/>
  <c r="K49" i="35"/>
  <c r="K41" i="35"/>
  <c r="K33" i="35"/>
  <c r="K25" i="35"/>
  <c r="K17" i="35"/>
  <c r="K50" i="35"/>
  <c r="K42" i="35"/>
  <c r="K34" i="35"/>
  <c r="K26" i="35"/>
  <c r="K18" i="35"/>
  <c r="K45" i="35"/>
  <c r="K35" i="35"/>
  <c r="K23" i="35"/>
  <c r="K13" i="35"/>
  <c r="K44" i="35"/>
  <c r="K32" i="35"/>
  <c r="K22" i="35"/>
  <c r="K31" i="35"/>
  <c r="K52" i="35"/>
  <c r="K30" i="35"/>
  <c r="K47" i="35"/>
  <c r="K37" i="35"/>
  <c r="K27" i="35"/>
  <c r="K15" i="35"/>
  <c r="K46" i="35"/>
  <c r="K36" i="35"/>
  <c r="K24" i="35"/>
  <c r="K14" i="35"/>
  <c r="K43" i="35"/>
  <c r="K21" i="35"/>
  <c r="K40" i="35"/>
  <c r="K20" i="35"/>
  <c r="F40" i="35"/>
  <c r="F31" i="35"/>
  <c r="G49" i="35"/>
  <c r="G41" i="35"/>
  <c r="G33" i="35"/>
  <c r="G25" i="35"/>
  <c r="G17" i="35"/>
  <c r="G50" i="35"/>
  <c r="G42" i="35"/>
  <c r="G34" i="35"/>
  <c r="G26" i="35"/>
  <c r="G18" i="35"/>
  <c r="G47" i="35"/>
  <c r="G31" i="35"/>
  <c r="G15" i="35"/>
  <c r="G40" i="35"/>
  <c r="G24" i="35"/>
  <c r="G51" i="35"/>
  <c r="G43" i="35"/>
  <c r="G35" i="35"/>
  <c r="G27" i="35"/>
  <c r="G19" i="35"/>
  <c r="G52" i="35"/>
  <c r="G44" i="35"/>
  <c r="G36" i="35"/>
  <c r="G28" i="35"/>
  <c r="G20" i="35"/>
  <c r="G39" i="35"/>
  <c r="G23" i="35"/>
  <c r="G48" i="35"/>
  <c r="G32" i="35"/>
  <c r="K19" i="35"/>
  <c r="J21" i="35"/>
  <c r="F14" i="35"/>
  <c r="F30" i="35"/>
  <c r="F46" i="35"/>
  <c r="F21" i="35"/>
  <c r="G14" i="35"/>
  <c r="G38" i="35"/>
  <c r="G29" i="35"/>
  <c r="K28" i="35"/>
  <c r="K29" i="35"/>
  <c r="D51" i="35"/>
  <c r="D43" i="35"/>
  <c r="D35" i="35"/>
  <c r="D27" i="35"/>
  <c r="D19" i="35"/>
  <c r="D52" i="35"/>
  <c r="D44" i="35"/>
  <c r="D36" i="35"/>
  <c r="D28" i="35"/>
  <c r="D20" i="35"/>
  <c r="D49" i="35"/>
  <c r="D41" i="35"/>
  <c r="D33" i="35"/>
  <c r="D25" i="35"/>
  <c r="D17" i="35"/>
  <c r="D50" i="35"/>
  <c r="D42" i="35"/>
  <c r="D34" i="35"/>
  <c r="D26" i="35"/>
  <c r="D18" i="35"/>
  <c r="D45" i="35"/>
  <c r="D29" i="35"/>
  <c r="D13" i="35"/>
  <c r="D38" i="35"/>
  <c r="D22" i="35"/>
  <c r="D39" i="35"/>
  <c r="D48" i="35"/>
  <c r="D16" i="35"/>
  <c r="D47" i="35"/>
  <c r="D31" i="35"/>
  <c r="D15" i="35"/>
  <c r="D40" i="35"/>
  <c r="D24" i="35"/>
  <c r="D23" i="35"/>
  <c r="D32" i="35"/>
  <c r="F49" i="35"/>
  <c r="F41" i="35"/>
  <c r="F33" i="35"/>
  <c r="F25" i="35"/>
  <c r="F17" i="35"/>
  <c r="F50" i="35"/>
  <c r="F42" i="35"/>
  <c r="F34" i="35"/>
  <c r="F26" i="35"/>
  <c r="F18" i="35"/>
  <c r="F51" i="35"/>
  <c r="F43" i="35"/>
  <c r="F35" i="35"/>
  <c r="F27" i="35"/>
  <c r="F19" i="35"/>
  <c r="F52" i="35"/>
  <c r="F44" i="35"/>
  <c r="F36" i="35"/>
  <c r="F28" i="35"/>
  <c r="F20" i="35"/>
  <c r="F22" i="35"/>
  <c r="F13" i="35"/>
  <c r="F45" i="35"/>
  <c r="E49" i="35"/>
  <c r="E41" i="35"/>
  <c r="E33" i="35"/>
  <c r="E25" i="35"/>
  <c r="E17" i="35"/>
  <c r="E50" i="35"/>
  <c r="E42" i="35"/>
  <c r="E34" i="35"/>
  <c r="E26" i="35"/>
  <c r="E51" i="35"/>
  <c r="E39" i="35"/>
  <c r="E29" i="35"/>
  <c r="E19" i="35"/>
  <c r="E48" i="35"/>
  <c r="E38" i="35"/>
  <c r="E28" i="35"/>
  <c r="E18" i="35"/>
  <c r="E47" i="35"/>
  <c r="E37" i="35"/>
  <c r="E27" i="35"/>
  <c r="E15" i="35"/>
  <c r="E46" i="35"/>
  <c r="E36" i="35"/>
  <c r="E24" i="35"/>
  <c r="E16" i="35"/>
  <c r="E43" i="35"/>
  <c r="E21" i="35"/>
  <c r="E40" i="35"/>
  <c r="E20" i="35"/>
  <c r="E35" i="35"/>
  <c r="E32" i="35"/>
  <c r="E45" i="35"/>
  <c r="E23" i="35"/>
  <c r="E44" i="35"/>
  <c r="E22" i="35"/>
  <c r="E13" i="35"/>
  <c r="E14" i="35"/>
  <c r="F24" i="35"/>
  <c r="F15" i="35"/>
  <c r="F47" i="35"/>
  <c r="K16" i="35"/>
  <c r="F16" i="35"/>
  <c r="F32" i="35"/>
  <c r="F48" i="35"/>
  <c r="F23" i="35"/>
  <c r="F39" i="35"/>
  <c r="G16" i="35"/>
  <c r="G46" i="35"/>
  <c r="G37" i="35"/>
  <c r="K38" i="35"/>
  <c r="K39" i="35"/>
  <c r="E30" i="35"/>
  <c r="I49" i="35"/>
  <c r="I41" i="35"/>
  <c r="I18" i="35"/>
  <c r="I26" i="35"/>
  <c r="I34" i="35"/>
  <c r="I42" i="35"/>
  <c r="I50" i="35"/>
  <c r="I17" i="35"/>
  <c r="I25" i="35"/>
  <c r="I33" i="35"/>
  <c r="I43" i="35"/>
  <c r="L20" i="35"/>
  <c r="L30" i="35"/>
  <c r="L40" i="35"/>
  <c r="L15" i="35"/>
  <c r="L31" i="35"/>
  <c r="P22" i="35"/>
  <c r="P38" i="35"/>
  <c r="P13" i="35"/>
  <c r="P29" i="35"/>
  <c r="V49" i="35"/>
  <c r="V41" i="35"/>
  <c r="V33" i="35"/>
  <c r="V25" i="35"/>
  <c r="V17" i="35"/>
  <c r="V50" i="35"/>
  <c r="V42" i="35"/>
  <c r="V34" i="35"/>
  <c r="V26" i="35"/>
  <c r="V18" i="35"/>
  <c r="V47" i="35"/>
  <c r="V39" i="35"/>
  <c r="V31" i="35"/>
  <c r="V23" i="35"/>
  <c r="V15" i="35"/>
  <c r="V48" i="35"/>
  <c r="V40" i="35"/>
  <c r="V32" i="35"/>
  <c r="V24" i="35"/>
  <c r="V16" i="35"/>
  <c r="H32" i="35"/>
  <c r="P49" i="35"/>
  <c r="P41" i="35"/>
  <c r="P33" i="35"/>
  <c r="P25" i="35"/>
  <c r="P17" i="35"/>
  <c r="P50" i="35"/>
  <c r="P42" i="35"/>
  <c r="P34" i="35"/>
  <c r="P26" i="35"/>
  <c r="P18" i="35"/>
  <c r="P47" i="35"/>
  <c r="P39" i="35"/>
  <c r="P31" i="35"/>
  <c r="P23" i="35"/>
  <c r="P15" i="35"/>
  <c r="P48" i="35"/>
  <c r="P40" i="35"/>
  <c r="P32" i="35"/>
  <c r="P24" i="35"/>
  <c r="P16" i="35"/>
  <c r="H51" i="35"/>
  <c r="H43" i="35"/>
  <c r="H35" i="35"/>
  <c r="H27" i="35"/>
  <c r="H19" i="35"/>
  <c r="H52" i="35"/>
  <c r="H44" i="35"/>
  <c r="H36" i="35"/>
  <c r="H28" i="35"/>
  <c r="H20" i="35"/>
  <c r="H49" i="35"/>
  <c r="H41" i="35"/>
  <c r="H33" i="35"/>
  <c r="H25" i="35"/>
  <c r="H17" i="35"/>
  <c r="H50" i="35"/>
  <c r="H42" i="35"/>
  <c r="H34" i="35"/>
  <c r="H26" i="35"/>
  <c r="H18" i="35"/>
  <c r="H47" i="35"/>
  <c r="H31" i="35"/>
  <c r="H15" i="35"/>
  <c r="H40" i="35"/>
  <c r="H24" i="35"/>
  <c r="H45" i="35"/>
  <c r="H29" i="35"/>
  <c r="H13" i="35"/>
  <c r="H38" i="35"/>
  <c r="H22" i="35"/>
  <c r="L51" i="35"/>
  <c r="L43" i="35"/>
  <c r="L35" i="35"/>
  <c r="L27" i="35"/>
  <c r="L19" i="35"/>
  <c r="L52" i="35"/>
  <c r="L44" i="35"/>
  <c r="L49" i="35"/>
  <c r="L41" i="35"/>
  <c r="L33" i="35"/>
  <c r="L25" i="35"/>
  <c r="L17" i="35"/>
  <c r="L50" i="35"/>
  <c r="L42" i="35"/>
  <c r="L34" i="35"/>
  <c r="L26" i="35"/>
  <c r="L18" i="35"/>
  <c r="C43" i="35"/>
  <c r="I16" i="35"/>
  <c r="I24" i="35"/>
  <c r="I32" i="35"/>
  <c r="I40" i="35"/>
  <c r="I48" i="35"/>
  <c r="I15" i="35"/>
  <c r="I23" i="35"/>
  <c r="I31" i="35"/>
  <c r="I39" i="35"/>
  <c r="I51" i="35"/>
  <c r="L16" i="35"/>
  <c r="L28" i="35"/>
  <c r="L38" i="35"/>
  <c r="L13" i="35"/>
  <c r="L29" i="35"/>
  <c r="L45" i="35"/>
  <c r="P20" i="35"/>
  <c r="P36" i="35"/>
  <c r="P52" i="35"/>
  <c r="P27" i="35"/>
  <c r="P43" i="35"/>
  <c r="M51" i="35"/>
  <c r="M43" i="35"/>
  <c r="M35" i="35"/>
  <c r="M27" i="35"/>
  <c r="M19" i="35"/>
  <c r="M52" i="35"/>
  <c r="M44" i="35"/>
  <c r="M36" i="35"/>
  <c r="M28" i="35"/>
  <c r="M20" i="35"/>
  <c r="M49" i="35"/>
  <c r="M41" i="35"/>
  <c r="M33" i="35"/>
  <c r="M25" i="35"/>
  <c r="M17" i="35"/>
  <c r="M50" i="35"/>
  <c r="M42" i="35"/>
  <c r="M34" i="35"/>
  <c r="M26" i="35"/>
  <c r="M18" i="35"/>
  <c r="V35" i="35"/>
  <c r="V51" i="35"/>
  <c r="H30" i="35"/>
  <c r="H21" i="35"/>
  <c r="T20" i="35"/>
  <c r="T28" i="35"/>
  <c r="T36" i="35"/>
  <c r="T44" i="35"/>
  <c r="T52" i="35"/>
  <c r="T19" i="35"/>
  <c r="T27" i="35"/>
  <c r="T35" i="35"/>
  <c r="T43" i="35"/>
  <c r="B20" i="35"/>
  <c r="B28" i="35"/>
  <c r="B36" i="35"/>
  <c r="B44" i="35"/>
  <c r="B52" i="35"/>
  <c r="B19" i="35"/>
  <c r="B27" i="35"/>
  <c r="B35" i="35"/>
  <c r="B43" i="35"/>
  <c r="S51" i="35"/>
  <c r="S43" i="35"/>
  <c r="S35" i="35"/>
  <c r="S27" i="35"/>
  <c r="S19" i="35"/>
  <c r="S52" i="35"/>
  <c r="S44" i="35"/>
  <c r="S36" i="35"/>
  <c r="S28" i="35"/>
  <c r="S20" i="35"/>
  <c r="S49" i="35"/>
  <c r="S41" i="35"/>
  <c r="S33" i="35"/>
  <c r="S25" i="35"/>
  <c r="S17" i="35"/>
  <c r="S50" i="35"/>
  <c r="S42" i="35"/>
  <c r="S34" i="35"/>
  <c r="S26" i="35"/>
  <c r="S18" i="35"/>
  <c r="U28" i="35"/>
  <c r="U44" i="35"/>
  <c r="U19" i="35"/>
  <c r="U35" i="35"/>
  <c r="U49" i="35"/>
  <c r="U41" i="35"/>
  <c r="U33" i="35"/>
  <c r="U25" i="35"/>
  <c r="U17" i="35"/>
  <c r="U50" i="35"/>
  <c r="U42" i="35"/>
  <c r="U34" i="35"/>
  <c r="U26" i="35"/>
  <c r="U18" i="35"/>
  <c r="U47" i="35"/>
  <c r="U39" i="35"/>
  <c r="U31" i="35"/>
  <c r="U23" i="35"/>
  <c r="U15" i="35"/>
  <c r="U48" i="35"/>
  <c r="U40" i="35"/>
  <c r="U32" i="35"/>
  <c r="U24" i="35"/>
  <c r="U16" i="35"/>
  <c r="Q20" i="35"/>
  <c r="Q28" i="35"/>
  <c r="Q36" i="35"/>
  <c r="Q44" i="35"/>
  <c r="Q52" i="35"/>
  <c r="Q19" i="35"/>
  <c r="Q27" i="35"/>
  <c r="Q35" i="35"/>
  <c r="Q43" i="35"/>
  <c r="W52" i="35"/>
  <c r="W19" i="35"/>
  <c r="W27" i="35"/>
  <c r="W35" i="35"/>
  <c r="W43" i="35"/>
  <c r="U127" i="1" l="1"/>
  <c r="V127" i="1" s="1"/>
  <c r="T128" i="1"/>
  <c r="D90" i="20"/>
  <c r="E90" i="20" s="1"/>
  <c r="D91" i="20" l="1"/>
  <c r="E91" i="20" s="1"/>
  <c r="U128" i="1"/>
  <c r="V128" i="1" s="1"/>
  <c r="T129" i="1"/>
  <c r="U129" i="1" l="1"/>
  <c r="V129" i="1" s="1"/>
  <c r="T130" i="1"/>
  <c r="D92" i="20"/>
  <c r="E92" i="20" s="1"/>
  <c r="T131" i="1" l="1"/>
  <c r="D93" i="20"/>
  <c r="E93" i="20" s="1"/>
  <c r="U130" i="1"/>
  <c r="V130" i="1" s="1"/>
  <c r="D94" i="20" l="1"/>
  <c r="E94" i="20" s="1"/>
  <c r="U131" i="1"/>
  <c r="V131" i="1" s="1"/>
  <c r="T132" i="1"/>
  <c r="D95" i="20" l="1"/>
  <c r="E95" i="20" s="1"/>
  <c r="U132" i="1"/>
  <c r="V132" i="1" s="1"/>
  <c r="T133" i="1"/>
  <c r="T134" i="1" l="1"/>
  <c r="D96" i="20"/>
  <c r="E96" i="20" s="1"/>
  <c r="U133" i="1"/>
  <c r="V133" i="1" s="1"/>
  <c r="D97" i="20" l="1"/>
  <c r="E97" i="20" s="1"/>
  <c r="E103" i="20" s="1"/>
  <c r="U134" i="1"/>
  <c r="V134" i="1" s="1"/>
  <c r="T135" i="1"/>
  <c r="U135" i="1" l="1"/>
  <c r="V135" i="1" s="1"/>
  <c r="D98" i="20"/>
  <c r="T136" i="1"/>
  <c r="U136" i="1" l="1"/>
  <c r="V136" i="1" s="1"/>
  <c r="D99" i="20"/>
  <c r="T137" i="1"/>
  <c r="U137" i="1" l="1"/>
  <c r="V137" i="1" s="1"/>
  <c r="T138" i="1"/>
  <c r="D100" i="20"/>
  <c r="U138" i="1" l="1"/>
  <c r="V138" i="1" s="1"/>
  <c r="D101" i="20"/>
  <c r="T139" i="1"/>
  <c r="U139" i="1" l="1"/>
  <c r="V139" i="1" s="1"/>
  <c r="D102" i="20"/>
</calcChain>
</file>

<file path=xl/comments1.xml><?xml version="1.0" encoding="utf-8"?>
<comments xmlns="http://schemas.openxmlformats.org/spreadsheetml/2006/main">
  <authors>
    <author>HiramaR</author>
    <author>Thomas.Tannery</author>
    <author>robert.hirama</author>
  </authors>
  <commentList>
    <comment ref="F18" authorId="0">
      <text>
        <r>
          <rPr>
            <b/>
            <sz val="8"/>
            <color indexed="81"/>
            <rFont val="Tahoma"/>
            <family val="2"/>
          </rPr>
          <t>HiramaR:</t>
        </r>
        <r>
          <rPr>
            <sz val="8"/>
            <color indexed="81"/>
            <rFont val="Tahoma"/>
            <family val="2"/>
          </rPr>
          <t xml:space="preserve">
This factor is retrieved from the factors in col O based on the selected inflation type.</t>
        </r>
      </text>
    </comment>
    <comment ref="P20" author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P21" author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P22" author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P23" author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P24" authorId="0">
      <text>
        <r>
          <rPr>
            <b/>
            <sz val="8"/>
            <color indexed="81"/>
            <rFont val="Tahoma"/>
            <family val="2"/>
          </rPr>
          <t>HiramaR:</t>
        </r>
        <r>
          <rPr>
            <sz val="8"/>
            <color indexed="81"/>
            <rFont val="Tahoma"/>
            <family val="2"/>
          </rPr>
          <t xml:space="preserve">
This column calculates the BY to BY inflation rate from the BY index in Col G.</t>
        </r>
      </text>
    </comment>
    <comment ref="O34" authorId="0">
      <text>
        <r>
          <rPr>
            <b/>
            <sz val="8"/>
            <color indexed="81"/>
            <rFont val="Tahoma"/>
            <family val="2"/>
          </rPr>
          <t>HiramaR:</t>
        </r>
        <r>
          <rPr>
            <sz val="8"/>
            <color indexed="81"/>
            <rFont val="Tahoma"/>
            <family val="2"/>
          </rPr>
          <t xml:space="preserve">
This is the output for the quick look list box.</t>
        </r>
      </text>
    </comment>
    <comment ref="Q34" authorId="0">
      <text>
        <r>
          <rPr>
            <b/>
            <sz val="8"/>
            <color indexed="81"/>
            <rFont val="Tahoma"/>
            <family val="2"/>
          </rPr>
          <t>HiramaR:</t>
        </r>
        <r>
          <rPr>
            <sz val="8"/>
            <color indexed="81"/>
            <rFont val="Tahoma"/>
            <family val="2"/>
          </rPr>
          <t xml:space="preserve">
Below are labels for the quick look table.</t>
        </r>
      </text>
    </comment>
    <comment ref="O36" authorId="0">
      <text>
        <r>
          <rPr>
            <b/>
            <sz val="8"/>
            <color indexed="81"/>
            <rFont val="Tahoma"/>
            <family val="2"/>
          </rPr>
          <t>HiramaR:</t>
        </r>
        <r>
          <rPr>
            <sz val="8"/>
            <color indexed="81"/>
            <rFont val="Tahoma"/>
            <family val="2"/>
          </rPr>
          <t xml:space="preserve">
The following 4 cells look up the quick look factor from  the infaltion table for each type conversion.  The BY to FY has an additional calculation.</t>
        </r>
      </text>
    </comment>
    <comment ref="W42" authorId="1">
      <text>
        <r>
          <rPr>
            <b/>
            <sz val="10"/>
            <color indexed="81"/>
            <rFont val="Tahoma"/>
            <family val="2"/>
          </rPr>
          <t>Thomas.Tannery:</t>
        </r>
        <r>
          <rPr>
            <sz val="10"/>
            <color indexed="81"/>
            <rFont val="Tahoma"/>
            <family val="2"/>
          </rPr>
          <t xml:space="preserve">
Army Pay share prior to 1996</t>
        </r>
      </text>
    </comment>
    <comment ref="X42" authorId="1">
      <text>
        <r>
          <rPr>
            <b/>
            <sz val="10"/>
            <color indexed="81"/>
            <rFont val="Tahoma"/>
            <family val="2"/>
          </rPr>
          <t>Thomas.Tannery:</t>
        </r>
        <r>
          <rPr>
            <sz val="10"/>
            <color indexed="81"/>
            <rFont val="Tahoma"/>
            <family val="2"/>
          </rPr>
          <t xml:space="preserve">
Army Pay share 1996 and out</t>
        </r>
      </text>
    </comment>
    <comment ref="R43" authorId="2">
      <text>
        <r>
          <rPr>
            <b/>
            <sz val="8"/>
            <color indexed="81"/>
            <rFont val="Tahoma"/>
            <family val="2"/>
          </rPr>
          <t>robert.hirama:</t>
        </r>
        <r>
          <rPr>
            <sz val="8"/>
            <color indexed="81"/>
            <rFont val="Tahoma"/>
            <family val="2"/>
          </rPr>
          <t xml:space="preserve">
printq is the range used by the macro to copy these values </t>
        </r>
      </text>
    </comment>
    <comment ref="O44" authorId="2">
      <text>
        <r>
          <rPr>
            <b/>
            <sz val="8"/>
            <color indexed="81"/>
            <rFont val="Tahoma"/>
            <family val="2"/>
          </rPr>
          <t>robert.hirama:</t>
        </r>
        <r>
          <rPr>
            <sz val="8"/>
            <color indexed="81"/>
            <rFont val="Tahoma"/>
            <family val="2"/>
          </rPr>
          <t xml:space="preserve">
Short title</t>
        </r>
      </text>
    </comment>
    <comment ref="N45" authorId="1">
      <text>
        <r>
          <rPr>
            <b/>
            <sz val="10"/>
            <color indexed="81"/>
            <rFont val="Tahoma"/>
            <family val="2"/>
          </rPr>
          <t>Thomas.Tannery:</t>
        </r>
        <r>
          <rPr>
            <sz val="10"/>
            <color indexed="81"/>
            <rFont val="Tahoma"/>
            <family val="2"/>
          </rPr>
          <t xml:space="preserve">
Output from list goes here and then to O45 to get around the problem of switching service and then pick last entry -- pick list number doesn't update</t>
        </r>
      </text>
    </comment>
    <comment ref="O45" authorId="0">
      <text>
        <r>
          <rPr>
            <b/>
            <sz val="8"/>
            <color indexed="81"/>
            <rFont val="Tahoma"/>
            <family val="2"/>
          </rPr>
          <t>HiramaR:</t>
        </r>
        <r>
          <rPr>
            <sz val="8"/>
            <color indexed="81"/>
            <rFont val="Tahoma"/>
            <family val="2"/>
          </rPr>
          <t xml:space="preserve">
This is where the select appropriation list box places the index number for the selected appropriation title, from the Titles sheet.  This is used by the cell below to  retrieve the permanent reference number, and to retrieve the title. 
Had to be modified with switch to multi-service
TomT 7/2010</t>
        </r>
      </text>
    </comment>
    <comment ref="P45" authorId="0">
      <text>
        <r>
          <rPr>
            <b/>
            <sz val="8"/>
            <color indexed="81"/>
            <rFont val="Tahoma"/>
            <family val="2"/>
          </rPr>
          <t>HiramaR:</t>
        </r>
        <r>
          <rPr>
            <sz val="8"/>
            <color indexed="81"/>
            <rFont val="Tahoma"/>
            <family val="2"/>
          </rPr>
          <t xml:space="preserve">
Looks up the index for the user's selected base year from the raw 1970 index below.  This is then used to calculate the raw index for the selected base year.  </t>
        </r>
      </text>
    </comment>
    <comment ref="X45" authorId="1">
      <text>
        <r>
          <rPr>
            <b/>
            <sz val="10"/>
            <color indexed="81"/>
            <rFont val="Tahoma"/>
            <family val="2"/>
          </rPr>
          <t>Thomas.Tannery:</t>
        </r>
        <r>
          <rPr>
            <sz val="10"/>
            <color indexed="81"/>
            <rFont val="Tahoma"/>
            <family val="2"/>
          </rPr>
          <t xml:space="preserve">
Base year factor for Pay should be in cell X45</t>
        </r>
      </text>
    </comment>
    <comment ref="Z45" authorId="1">
      <text>
        <r>
          <rPr>
            <b/>
            <sz val="10"/>
            <color indexed="81"/>
            <rFont val="Tahoma"/>
            <family val="2"/>
          </rPr>
          <t>Thomas.Tannery:</t>
        </r>
        <r>
          <rPr>
            <sz val="10"/>
            <color indexed="81"/>
            <rFont val="Tahoma"/>
            <family val="2"/>
          </rPr>
          <t xml:space="preserve">
Baseline factor for Non-Pay.  It should be in cell Z45</t>
        </r>
      </text>
    </comment>
    <comment ref="O46" authorId="0">
      <text>
        <r>
          <rPr>
            <b/>
            <sz val="8"/>
            <color indexed="81"/>
            <rFont val="Tahoma"/>
            <family val="2"/>
          </rPr>
          <t>HiramaR:</t>
        </r>
        <r>
          <rPr>
            <sz val="8"/>
            <color indexed="81"/>
            <rFont val="Tahoma"/>
            <family val="2"/>
          </rPr>
          <t xml:space="preserve">
This cell looks up a permanent reference number in the title sheet (column A) using the index number above.  This is used to retrieve the inflation rate and outlay weighting factor for the selected approp from the inflation and outlay tables. 
This number is also in row six of the Inflation sheet, below the appropriation name.</t>
        </r>
      </text>
    </comment>
    <comment ref="P46" authorId="0">
      <text>
        <r>
          <rPr>
            <b/>
            <sz val="8"/>
            <color indexed="81"/>
            <rFont val="Tahoma"/>
            <family val="2"/>
          </rPr>
          <t>HiramaR:</t>
        </r>
        <r>
          <rPr>
            <sz val="8"/>
            <color indexed="81"/>
            <rFont val="Tahoma"/>
            <family val="2"/>
          </rPr>
          <t xml:space="preserve">
Looks up the weighted index for the selected base year.  This is then used to calculate the budget year indices for the selected base year.   Be sure this covers the right ranges.</t>
        </r>
      </text>
    </comment>
    <comment ref="O47" authorId="0">
      <text>
        <r>
          <rPr>
            <b/>
            <sz val="8"/>
            <color indexed="81"/>
            <rFont val="Tahoma"/>
            <family val="2"/>
          </rPr>
          <t>HiramaR:</t>
        </r>
        <r>
          <rPr>
            <sz val="8"/>
            <color indexed="81"/>
            <rFont val="Tahoma"/>
            <family val="2"/>
          </rPr>
          <t xml:space="preserve">
This column is used to indicate the row number in the Inflation table to retrieve the correct year's inflation rate.</t>
        </r>
      </text>
    </comment>
    <comment ref="P47" authorId="0">
      <text>
        <r>
          <rPr>
            <b/>
            <sz val="8"/>
            <color indexed="81"/>
            <rFont val="Tahoma"/>
            <family val="2"/>
          </rPr>
          <t>HiramaR:</t>
        </r>
        <r>
          <rPr>
            <sz val="8"/>
            <color indexed="81"/>
            <rFont val="Tahoma"/>
            <family val="2"/>
          </rPr>
          <t xml:space="preserve">
This column converts inflation rates in Col D into indicies using 1970 as the base year.</t>
        </r>
      </text>
    </comment>
    <comment ref="R47" author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S47" author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T47" author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U47" author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V47" authorId="0">
      <text>
        <r>
          <rPr>
            <b/>
            <sz val="8"/>
            <color indexed="81"/>
            <rFont val="Tahoma"/>
            <family val="2"/>
          </rPr>
          <t>HiramaR:</t>
        </r>
        <r>
          <rPr>
            <sz val="8"/>
            <color indexed="81"/>
            <rFont val="Tahoma"/>
            <family val="2"/>
          </rPr>
          <t xml:space="preserve">
This column calculates the BY to BY inflation rate from the BY index in Col G.</t>
        </r>
      </text>
    </comment>
    <comment ref="N4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4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3"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4"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5"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6"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7"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8"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9"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0"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2"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2.xml><?xml version="1.0" encoding="utf-8"?>
<comments xmlns="http://schemas.openxmlformats.org/spreadsheetml/2006/main">
  <authors>
    <author>Thomas.Tannery</author>
  </authors>
  <commentList>
    <comment ref="L2" authorId="0">
      <text>
        <r>
          <rPr>
            <b/>
            <sz val="10"/>
            <color indexed="81"/>
            <rFont val="Tahoma"/>
            <family val="2"/>
          </rPr>
          <t>Thomas.Tannery:</t>
        </r>
        <r>
          <rPr>
            <sz val="10"/>
            <color indexed="81"/>
            <rFont val="Tahoma"/>
            <family val="2"/>
          </rPr>
          <t xml:space="preserve">
Key for conditional color format by service
</t>
        </r>
      </text>
    </comment>
  </commentList>
</comments>
</file>

<file path=xl/comments3.xml><?xml version="1.0" encoding="utf-8"?>
<comments xmlns="http://schemas.openxmlformats.org/spreadsheetml/2006/main">
  <authors>
    <author>Tom Tannery</author>
    <author>HiramaR</author>
    <author>robert.hirama</author>
  </authors>
  <commentList>
    <comment ref="J6" authorId="0">
      <text>
        <r>
          <rPr>
            <b/>
            <sz val="10"/>
            <color indexed="81"/>
            <rFont val="Tahoma"/>
            <family val="2"/>
          </rPr>
          <t>Tom Tannery:</t>
        </r>
        <r>
          <rPr>
            <sz val="10"/>
            <color indexed="81"/>
            <rFont val="Tahoma"/>
            <family val="2"/>
          </rPr>
          <t xml:space="preserve">
.86 wt. used prior to 1996
</t>
        </r>
      </text>
    </comment>
    <comment ref="B7" authorId="1">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2">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B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C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D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E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F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G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H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I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K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L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M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O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P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Q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R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S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T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U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V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W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X11" authorId="1">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4.xml><?xml version="1.0" encoding="utf-8"?>
<comments xmlns="http://schemas.openxmlformats.org/spreadsheetml/2006/main">
  <authors>
    <author>HiramaR</author>
    <author>robert.hirama</author>
  </authors>
  <commentList>
    <comment ref="C10" authorId="0">
      <text>
        <r>
          <rPr>
            <b/>
            <sz val="8"/>
            <color indexed="81"/>
            <rFont val="Tahoma"/>
            <family val="2"/>
          </rPr>
          <t>HiramaR:</t>
        </r>
        <r>
          <rPr>
            <sz val="8"/>
            <color indexed="81"/>
            <rFont val="Tahoma"/>
            <family val="2"/>
          </rPr>
          <t xml:space="preserve">
This column is the number permanently assigned to the title and is used by look-up functions.  It allows titles to be added and deleted without effecting look-ups.</t>
        </r>
      </text>
    </comment>
    <comment ref="G47" authorId="1">
      <text>
        <r>
          <rPr>
            <sz val="8"/>
            <color indexed="81"/>
            <rFont val="Tahoma"/>
            <family val="2"/>
          </rPr>
          <t>Beginning in 2004, reserve personnel appropriations are consolidated with active.</t>
        </r>
        <r>
          <rPr>
            <sz val="8"/>
            <color indexed="81"/>
            <rFont val="Tahoma"/>
            <family val="2"/>
          </rPr>
          <t xml:space="preserve">
</t>
        </r>
      </text>
    </comment>
    <comment ref="G52" authorId="1">
      <text>
        <r>
          <rPr>
            <b/>
            <sz val="8"/>
            <color indexed="81"/>
            <rFont val="Tahoma"/>
            <family val="2"/>
          </rPr>
          <t>robert.hirama:</t>
        </r>
        <r>
          <rPr>
            <sz val="8"/>
            <color indexed="81"/>
            <rFont val="Tahoma"/>
            <family val="2"/>
          </rPr>
          <t xml:space="preserve">
This rate uses a BLS composite rate for historical years and OSD guidance for future years.  The BLS composite consists of 50% shipyard labor and 50% steel, received from NAVSEA 017.</t>
        </r>
      </text>
    </comment>
  </commentList>
</comments>
</file>

<file path=xl/comments5.xml><?xml version="1.0" encoding="utf-8"?>
<comments xmlns="http://schemas.openxmlformats.org/spreadsheetml/2006/main">
  <authors>
    <author>HiramaR</author>
    <author>robert.hirama</author>
    <author>Tom Tannery</author>
  </authors>
  <commentList>
    <comment ref="B7" authorId="0">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1">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B11" author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2" authorId="2">
      <text>
        <r>
          <rPr>
            <sz val="9"/>
            <color indexed="81"/>
            <rFont val="Tahoma"/>
            <family val="2"/>
          </rPr>
          <t xml:space="preserve">Fuel factor for current year (currently 2017) reflects pricing assumptions when PB was originally submitted and does not reflect any updates that might have occurred.
</t>
        </r>
      </text>
    </comment>
  </commentList>
</comments>
</file>

<file path=xl/comments6.xml><?xml version="1.0" encoding="utf-8"?>
<comments xmlns="http://schemas.openxmlformats.org/spreadsheetml/2006/main">
  <authors>
    <author>robert.hirama</author>
    <author>Thomas.Tannery</author>
    <author>Tom Tannery</author>
  </authors>
  <commentList>
    <comment ref="I4" authorId="0">
      <text>
        <r>
          <rPr>
            <sz val="8"/>
            <color indexed="81"/>
            <rFont val="Tahoma"/>
            <family val="2"/>
          </rPr>
          <t>This column uses BLS for history and OSD for future and must be manually adjusted.</t>
        </r>
      </text>
    </comment>
    <comment ref="M4" authorId="0">
      <text>
        <r>
          <rPr>
            <b/>
            <sz val="8"/>
            <color indexed="81"/>
            <rFont val="Tahoma"/>
            <family val="2"/>
          </rPr>
          <t>robert.hirama:</t>
        </r>
        <r>
          <rPr>
            <sz val="8"/>
            <color indexed="81"/>
            <rFont val="Tahoma"/>
            <family val="2"/>
          </rPr>
          <t xml:space="preserve">
Other pay is specifically directed by law or regulation and is not escalated.  This column is used for the composite pay calculations for all pay appropriations.</t>
        </r>
      </text>
    </comment>
    <comment ref="O4" authorId="0">
      <text>
        <r>
          <rPr>
            <b/>
            <sz val="8"/>
            <color indexed="81"/>
            <rFont val="Tahoma"/>
            <family val="2"/>
          </rPr>
          <t>Discontinued, remove?</t>
        </r>
        <r>
          <rPr>
            <sz val="8"/>
            <color indexed="81"/>
            <rFont val="Tahoma"/>
            <family val="2"/>
          </rPr>
          <t xml:space="preserve">
</t>
        </r>
      </text>
    </comment>
    <comment ref="Y4" authorId="0">
      <text>
        <r>
          <rPr>
            <b/>
            <sz val="8"/>
            <color indexed="81"/>
            <rFont val="Tahoma"/>
            <family val="2"/>
          </rPr>
          <t>Expired, remove?</t>
        </r>
        <r>
          <rPr>
            <sz val="8"/>
            <color indexed="81"/>
            <rFont val="Tahoma"/>
            <family val="2"/>
          </rPr>
          <t xml:space="preserve">
</t>
        </r>
      </text>
    </comment>
    <comment ref="Z4" authorId="0">
      <text>
        <r>
          <rPr>
            <b/>
            <sz val="8"/>
            <color indexed="81"/>
            <rFont val="Tahoma"/>
            <family val="2"/>
          </rPr>
          <t>Expired, remove?</t>
        </r>
        <r>
          <rPr>
            <sz val="8"/>
            <color indexed="81"/>
            <rFont val="Tahoma"/>
            <family val="2"/>
          </rPr>
          <t xml:space="preserve">
</t>
        </r>
      </text>
    </comment>
    <comment ref="AB4" authorId="0">
      <text>
        <r>
          <rPr>
            <b/>
            <sz val="8"/>
            <color indexed="81"/>
            <rFont val="Tahoma"/>
            <family val="2"/>
          </rPr>
          <t>robert.hirama:</t>
        </r>
        <r>
          <rPr>
            <sz val="8"/>
            <color indexed="81"/>
            <rFont val="Tahoma"/>
            <family val="2"/>
          </rPr>
          <t xml:space="preserve">
This column was changed 9/02 to reflect the OSD Green Book rates</t>
        </r>
      </text>
    </comment>
    <comment ref="AL4" authorId="0">
      <text>
        <r>
          <rPr>
            <b/>
            <sz val="8"/>
            <color indexed="81"/>
            <rFont val="Tahoma"/>
            <family val="2"/>
          </rPr>
          <t>added 8/04, use history from O&amp;M MC</t>
        </r>
      </text>
    </comment>
    <comment ref="AM4" authorId="0">
      <text>
        <r>
          <rPr>
            <b/>
            <sz val="8"/>
            <color indexed="81"/>
            <rFont val="Tahoma"/>
            <family val="2"/>
          </rPr>
          <t>added 8/04, use history from MCN</t>
        </r>
      </text>
    </comment>
    <comment ref="AN4" authorId="0">
      <text>
        <r>
          <rPr>
            <b/>
            <sz val="8"/>
            <color indexed="81"/>
            <rFont val="Tahoma"/>
            <family val="2"/>
          </rPr>
          <t>added 8/04, use history from O&amp;MN</t>
        </r>
      </text>
    </comment>
    <comment ref="AO4" authorId="0">
      <text>
        <r>
          <rPr>
            <b/>
            <sz val="8"/>
            <color indexed="81"/>
            <rFont val="Tahoma"/>
            <family val="2"/>
          </rPr>
          <t>added 8/04, use history from OPN</t>
        </r>
      </text>
    </comment>
    <comment ref="AP4"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text>
        <r>
          <rPr>
            <b/>
            <sz val="8"/>
            <color indexed="81"/>
            <rFont val="Tahoma"/>
            <family val="2"/>
          </rPr>
          <t>Thomas.Tannery: added 5/20/09 used DODPROC</t>
        </r>
        <r>
          <rPr>
            <sz val="10"/>
            <color indexed="81"/>
            <rFont val="Tahoma"/>
            <family val="2"/>
          </rPr>
          <t xml:space="preserve">
</t>
        </r>
      </text>
    </comment>
    <comment ref="J66" authorId="2">
      <text>
        <r>
          <rPr>
            <sz val="9"/>
            <color indexed="81"/>
            <rFont val="Tahoma"/>
            <family val="2"/>
          </rPr>
          <t xml:space="preserve">Fuel factor for current year (currently 2017) reflects pricing assumptions when PB was originally submitted and does not reflect any updates that might have occurred.
</t>
        </r>
      </text>
    </comment>
  </commentList>
</comments>
</file>

<file path=xl/comments7.xml><?xml version="1.0" encoding="utf-8"?>
<comments xmlns="http://schemas.openxmlformats.org/spreadsheetml/2006/main">
  <authors>
    <author>robert.hirama</author>
    <author>Thomas.Tannery</author>
  </authors>
  <commentList>
    <comment ref="AL4" authorId="0">
      <text>
        <r>
          <rPr>
            <b/>
            <sz val="8"/>
            <color indexed="81"/>
            <rFont val="Tahoma"/>
            <family val="2"/>
          </rPr>
          <t>added 8/04, use history from O&amp;M MC</t>
        </r>
      </text>
    </comment>
    <comment ref="AM4" authorId="0">
      <text>
        <r>
          <rPr>
            <b/>
            <sz val="8"/>
            <color indexed="81"/>
            <rFont val="Tahoma"/>
            <family val="2"/>
          </rPr>
          <t>added 8/04, use history from MCN</t>
        </r>
      </text>
    </comment>
    <comment ref="AN4" authorId="0">
      <text>
        <r>
          <rPr>
            <b/>
            <sz val="8"/>
            <color indexed="81"/>
            <rFont val="Tahoma"/>
            <family val="2"/>
          </rPr>
          <t>added 8/04, use history from O&amp;MN</t>
        </r>
      </text>
    </comment>
    <comment ref="AO4" authorId="0">
      <text>
        <r>
          <rPr>
            <b/>
            <sz val="8"/>
            <color indexed="81"/>
            <rFont val="Tahoma"/>
            <family val="2"/>
          </rPr>
          <t>added 8/04, use history from OPN</t>
        </r>
      </text>
    </comment>
    <comment ref="AP4"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text>
        <r>
          <rPr>
            <b/>
            <sz val="8"/>
            <color indexed="81"/>
            <rFont val="Tahoma"/>
            <family val="2"/>
          </rPr>
          <t>Thomas.Tannery: added 5/20/09 used DODPROC</t>
        </r>
        <r>
          <rPr>
            <sz val="10"/>
            <color indexed="81"/>
            <rFont val="Tahoma"/>
            <family val="2"/>
          </rPr>
          <t xml:space="preserve">
</t>
        </r>
      </text>
    </comment>
  </commentList>
</comments>
</file>

<file path=xl/comments8.xml><?xml version="1.0" encoding="utf-8"?>
<comments xmlns="http://schemas.openxmlformats.org/spreadsheetml/2006/main">
  <authors>
    <author>robert.hirama</author>
    <author>Thomas.Tannery</author>
    <author>Tannery, Thomas CIV OASN(FM&amp;C), NCCA</author>
  </authors>
  <commentList>
    <comment ref="N4" authorId="0">
      <text>
        <r>
          <rPr>
            <sz val="8"/>
            <color indexed="81"/>
            <rFont val="Tahoma"/>
            <family val="2"/>
          </rPr>
          <t xml:space="preserve">New, no outlay history
</t>
        </r>
      </text>
    </comment>
    <comment ref="O4" authorId="0">
      <text>
        <r>
          <rPr>
            <b/>
            <sz val="8"/>
            <color indexed="81"/>
            <rFont val="Tahoma"/>
            <family val="2"/>
          </rPr>
          <t>robert.hirama:</t>
        </r>
        <r>
          <rPr>
            <sz val="8"/>
            <color indexed="81"/>
            <rFont val="Tahoma"/>
            <family val="2"/>
          </rPr>
          <t xml:space="preserve">
After FY2000, equals O&amp;MN, Col D</t>
        </r>
      </text>
    </comment>
    <comment ref="Y4" authorId="0">
      <text>
        <r>
          <rPr>
            <b/>
            <sz val="8"/>
            <color indexed="81"/>
            <rFont val="Tahoma"/>
            <family val="2"/>
          </rPr>
          <t>robert.hirama:</t>
        </r>
        <r>
          <rPr>
            <sz val="8"/>
            <color indexed="81"/>
            <rFont val="Tahoma"/>
            <family val="2"/>
          </rPr>
          <t xml:space="preserve">
Same as Col X, FH  construction</t>
        </r>
      </text>
    </comment>
    <comment ref="Z4" authorId="0">
      <text>
        <r>
          <rPr>
            <b/>
            <sz val="8"/>
            <color indexed="81"/>
            <rFont val="Tahoma"/>
            <family val="2"/>
          </rPr>
          <t>robert.hirama:</t>
        </r>
        <r>
          <rPr>
            <sz val="8"/>
            <color indexed="81"/>
            <rFont val="Tahoma"/>
            <family val="2"/>
          </rPr>
          <t xml:space="preserve">
Same as Col X, FH  construction</t>
        </r>
      </text>
    </comment>
    <comment ref="AL4" authorId="0">
      <text>
        <r>
          <rPr>
            <b/>
            <sz val="8"/>
            <color indexed="81"/>
            <rFont val="Tahoma"/>
            <family val="2"/>
          </rPr>
          <t>added 8/04, use history from O&amp;M MC</t>
        </r>
      </text>
    </comment>
    <comment ref="AM4" authorId="0">
      <text>
        <r>
          <rPr>
            <b/>
            <sz val="8"/>
            <color indexed="81"/>
            <rFont val="Tahoma"/>
            <family val="2"/>
          </rPr>
          <t>added 8/04, use history from MCN</t>
        </r>
      </text>
    </comment>
    <comment ref="AN4" authorId="0">
      <text>
        <r>
          <rPr>
            <b/>
            <sz val="8"/>
            <color indexed="81"/>
            <rFont val="Tahoma"/>
            <family val="2"/>
          </rPr>
          <t>added 8/04, use history from O&amp;MN</t>
        </r>
      </text>
    </comment>
    <comment ref="AO4" authorId="0">
      <text>
        <r>
          <rPr>
            <b/>
            <sz val="8"/>
            <color indexed="81"/>
            <rFont val="Tahoma"/>
            <family val="2"/>
          </rPr>
          <t>added 8/04, use history from OPN</t>
        </r>
      </text>
    </comment>
    <comment ref="AP4"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text>
        <r>
          <rPr>
            <b/>
            <sz val="8"/>
            <color indexed="81"/>
            <rFont val="Tahoma"/>
            <family val="2"/>
          </rPr>
          <t>Thomas.Tannery: added 5/20/09 used DODPROC</t>
        </r>
        <r>
          <rPr>
            <sz val="10"/>
            <color indexed="81"/>
            <rFont val="Tahoma"/>
            <family val="2"/>
          </rPr>
          <t xml:space="preserve">
</t>
        </r>
      </text>
    </comment>
    <comment ref="BE14" authorId="2">
      <text>
        <r>
          <rPr>
            <b/>
            <sz val="9"/>
            <color indexed="81"/>
            <rFont val="Tahoma"/>
            <family val="2"/>
          </rPr>
          <t>Tannery, Thomas CIV OASN(FM&amp;C), NCCA:</t>
        </r>
        <r>
          <rPr>
            <sz val="9"/>
            <color indexed="81"/>
            <rFont val="Tahoma"/>
            <family val="2"/>
          </rPr>
          <t xml:space="preserve">
Start Army update Feb 2017 and Aug 17 update
</t>
        </r>
      </text>
    </comment>
    <comment ref="N63" authorId="0">
      <text>
        <r>
          <rPr>
            <sz val="8"/>
            <color indexed="81"/>
            <rFont val="Tahoma"/>
            <family val="2"/>
          </rPr>
          <t xml:space="preserve">New, no outlay history
</t>
        </r>
      </text>
    </comment>
    <comment ref="O63" authorId="0">
      <text>
        <r>
          <rPr>
            <b/>
            <sz val="8"/>
            <color indexed="81"/>
            <rFont val="Tahoma"/>
            <family val="2"/>
          </rPr>
          <t>robert.hirama:</t>
        </r>
        <r>
          <rPr>
            <sz val="8"/>
            <color indexed="81"/>
            <rFont val="Tahoma"/>
            <family val="2"/>
          </rPr>
          <t xml:space="preserve">
After FY2000, equals O&amp;MN, Col D</t>
        </r>
      </text>
    </comment>
    <comment ref="Y63" authorId="0">
      <text>
        <r>
          <rPr>
            <b/>
            <sz val="8"/>
            <color indexed="81"/>
            <rFont val="Tahoma"/>
            <family val="2"/>
          </rPr>
          <t>robert.hirama:</t>
        </r>
        <r>
          <rPr>
            <sz val="8"/>
            <color indexed="81"/>
            <rFont val="Tahoma"/>
            <family val="2"/>
          </rPr>
          <t xml:space="preserve">
Same as Col X, FH  construction</t>
        </r>
      </text>
    </comment>
    <comment ref="Z63" authorId="0">
      <text>
        <r>
          <rPr>
            <b/>
            <sz val="8"/>
            <color indexed="81"/>
            <rFont val="Tahoma"/>
            <family val="2"/>
          </rPr>
          <t>robert.hirama:</t>
        </r>
        <r>
          <rPr>
            <sz val="8"/>
            <color indexed="81"/>
            <rFont val="Tahoma"/>
            <family val="2"/>
          </rPr>
          <t xml:space="preserve">
Same as Col X, FH  construction</t>
        </r>
      </text>
    </comment>
    <comment ref="AL63" authorId="0">
      <text>
        <r>
          <rPr>
            <b/>
            <sz val="8"/>
            <color indexed="81"/>
            <rFont val="Tahoma"/>
            <family val="2"/>
          </rPr>
          <t>added 8/04, use history from O&amp;M MC</t>
        </r>
      </text>
    </comment>
    <comment ref="AM63" authorId="0">
      <text>
        <r>
          <rPr>
            <b/>
            <sz val="8"/>
            <color indexed="81"/>
            <rFont val="Tahoma"/>
            <family val="2"/>
          </rPr>
          <t>added 8/04, use history from MCN</t>
        </r>
      </text>
    </comment>
    <comment ref="AN63" authorId="0">
      <text>
        <r>
          <rPr>
            <b/>
            <sz val="8"/>
            <color indexed="81"/>
            <rFont val="Tahoma"/>
            <family val="2"/>
          </rPr>
          <t>added 8/04, use history from O&amp;MN</t>
        </r>
      </text>
    </comment>
    <comment ref="AO63" authorId="0">
      <text>
        <r>
          <rPr>
            <b/>
            <sz val="8"/>
            <color indexed="81"/>
            <rFont val="Tahoma"/>
            <family val="2"/>
          </rPr>
          <t>added 8/04, use history from OPN</t>
        </r>
      </text>
    </comment>
    <comment ref="AP63" authorId="1">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63" authorId="1">
      <text>
        <r>
          <rPr>
            <b/>
            <sz val="8"/>
            <color indexed="81"/>
            <rFont val="Tahoma"/>
            <family val="2"/>
          </rPr>
          <t>Thomas.Tannery: added 5/20/09 used DODPROC</t>
        </r>
        <r>
          <rPr>
            <sz val="10"/>
            <color indexed="81"/>
            <rFont val="Tahoma"/>
            <family val="2"/>
          </rPr>
          <t xml:space="preserve">
</t>
        </r>
      </text>
    </comment>
  </commentList>
</comments>
</file>

<file path=xl/comments9.xml><?xml version="1.0" encoding="utf-8"?>
<comments xmlns="http://schemas.openxmlformats.org/spreadsheetml/2006/main">
  <authors>
    <author>robert.hirama</author>
    <author>Tannery, Thomas CIV OASN(FM&amp;C), NCCA</author>
  </authors>
  <commentList>
    <comment ref="G5" authorId="0">
      <text>
        <r>
          <rPr>
            <sz val="8"/>
            <color indexed="81"/>
            <rFont val="Tahoma"/>
            <family val="2"/>
          </rPr>
          <t xml:space="preserve">In 2004 Reserve Pers appropriations were consolidated with Active.  Composite weights remain the same afte r2003.
</t>
        </r>
      </text>
    </comment>
    <comment ref="Z5" authorId="0">
      <text>
        <r>
          <rPr>
            <b/>
            <sz val="12"/>
            <color indexed="81"/>
            <rFont val="Tahoma"/>
            <family val="2"/>
          </rPr>
          <t>These weights do not change</t>
        </r>
      </text>
    </comment>
    <comment ref="AH5" authorId="1">
      <text>
        <r>
          <rPr>
            <b/>
            <sz val="9"/>
            <color indexed="81"/>
            <rFont val="Tahoma"/>
            <family val="2"/>
          </rPr>
          <t>Tannery, Thomas CIV OASN(FM&amp;C), NCCA:100% Construction starting 2010</t>
        </r>
        <r>
          <rPr>
            <sz val="9"/>
            <color indexed="81"/>
            <rFont val="Tahoma"/>
            <family val="2"/>
          </rPr>
          <t xml:space="preserve">
</t>
        </r>
      </text>
    </comment>
    <comment ref="AO5" authorId="0">
      <text>
        <r>
          <rPr>
            <sz val="8"/>
            <color indexed="81"/>
            <rFont val="Tahoma"/>
            <family val="2"/>
          </rPr>
          <t>In 2004 Reserve Pers appropriations were consolidated with Active.  Composite weights remain the same afte r2003.</t>
        </r>
        <r>
          <rPr>
            <sz val="8"/>
            <color indexed="81"/>
            <rFont val="Tahoma"/>
            <family val="2"/>
          </rPr>
          <t xml:space="preserve">
</t>
        </r>
      </text>
    </comment>
    <comment ref="E43" authorId="0">
      <text>
        <r>
          <rPr>
            <b/>
            <sz val="8"/>
            <color indexed="81"/>
            <rFont val="Tahoma"/>
            <family val="2"/>
          </rPr>
          <t>robert.hirama:</t>
        </r>
        <r>
          <rPr>
            <sz val="8"/>
            <color indexed="81"/>
            <rFont val="Tahoma"/>
            <family val="2"/>
          </rPr>
          <t xml:space="preserve">
Adjusted 5/12/06 for N801 problem
</t>
        </r>
      </text>
    </comment>
    <comment ref="B44" authorId="0">
      <text>
        <r>
          <rPr>
            <b/>
            <sz val="8"/>
            <color indexed="81"/>
            <rFont val="Tahoma"/>
            <family val="2"/>
          </rPr>
          <t>robert.hirama:</t>
        </r>
        <r>
          <rPr>
            <sz val="8"/>
            <color indexed="81"/>
            <rFont val="Tahoma"/>
            <family val="2"/>
          </rPr>
          <t xml:space="preserve">
adjusted 5/12/06 for N801 problem</t>
        </r>
      </text>
    </comment>
  </commentList>
</comments>
</file>

<file path=xl/sharedStrings.xml><?xml version="1.0" encoding="utf-8"?>
<sst xmlns="http://schemas.openxmlformats.org/spreadsheetml/2006/main" count="1505" uniqueCount="750">
  <si>
    <t>Year</t>
  </si>
  <si>
    <t>197T</t>
  </si>
  <si>
    <t xml:space="preserve"> </t>
  </si>
  <si>
    <t xml:space="preserve">  2 = MCN</t>
  </si>
  <si>
    <t xml:space="preserve">  4 = APN</t>
  </si>
  <si>
    <t xml:space="preserve">  5 = WPN</t>
  </si>
  <si>
    <t xml:space="preserve">  6 = OPN</t>
  </si>
  <si>
    <t xml:space="preserve">  7 = SCN</t>
  </si>
  <si>
    <t xml:space="preserve">  8 = SCN (BLS HIST)</t>
  </si>
  <si>
    <t xml:space="preserve">  9 = MPN (PAY)</t>
  </si>
  <si>
    <t>10 = MPN (RPA)</t>
  </si>
  <si>
    <t>14 = CDAN</t>
  </si>
  <si>
    <t>YEAR-TO-YEAR INFLATION RATES</t>
  </si>
  <si>
    <t>21 = PANMC</t>
  </si>
  <si>
    <t>16 = PMC</t>
  </si>
  <si>
    <t>22 = FHN&amp;MC(OPS)</t>
  </si>
  <si>
    <t>17 = MPMC (PAY)</t>
  </si>
  <si>
    <t>23 = FHN&amp;MC(CON)</t>
  </si>
  <si>
    <t>18 = MPMC (RPA)</t>
  </si>
  <si>
    <t>24 = FHN&amp;MC(INVEST)</t>
  </si>
  <si>
    <t>25 = FHN&amp;MC(DEBT)</t>
  </si>
  <si>
    <t>26 = CIV PAY</t>
  </si>
  <si>
    <t>28 = MCNR</t>
  </si>
  <si>
    <t>34 = RPMC (PAY)</t>
  </si>
  <si>
    <t>35 = RPMC (RPA)</t>
  </si>
  <si>
    <t>30 = RPN (PAY)</t>
  </si>
  <si>
    <t>31 = RPN (RPA)</t>
  </si>
  <si>
    <t>Fiscal Year</t>
  </si>
  <si>
    <t>Appropriation/Cost Number</t>
  </si>
  <si>
    <t>FY</t>
  </si>
  <si>
    <t>Weighted Index</t>
  </si>
  <si>
    <t>Raw Index</t>
  </si>
  <si>
    <t>hide</t>
  </si>
  <si>
    <t>MPN</t>
  </si>
  <si>
    <t>RPN</t>
  </si>
  <si>
    <t>O&amp;MN</t>
  </si>
  <si>
    <t>O&amp;MN/LF</t>
  </si>
  <si>
    <t>O&amp;MNR</t>
  </si>
  <si>
    <t>RDT&amp;E</t>
  </si>
  <si>
    <t>FAMHSG/CONSTRUCTION</t>
  </si>
  <si>
    <t>MILCON</t>
  </si>
  <si>
    <t>MPMC</t>
  </si>
  <si>
    <t>RPMC</t>
  </si>
  <si>
    <t>O&amp;MMC</t>
  </si>
  <si>
    <t>O&amp;MMCR</t>
  </si>
  <si>
    <t>PAY</t>
  </si>
  <si>
    <t>RPA</t>
  </si>
  <si>
    <t>OTHER PAY</t>
  </si>
  <si>
    <t>NONPAY</t>
  </si>
  <si>
    <t>TOTAL</t>
  </si>
  <si>
    <t>CIV PAY</t>
  </si>
  <si>
    <t>PURCHASES</t>
  </si>
  <si>
    <t>FUEL</t>
  </si>
  <si>
    <t>OPS</t>
  </si>
  <si>
    <t>INVEST</t>
  </si>
  <si>
    <t>DEBT</t>
  </si>
  <si>
    <t>Mil Con</t>
  </si>
  <si>
    <t>O&amp;M excl fuel &amp; DHP</t>
  </si>
  <si>
    <t>Proc</t>
  </si>
  <si>
    <t>Mil Pay</t>
  </si>
  <si>
    <t>Civilian Pay</t>
  </si>
  <si>
    <t>Mil Pers Non-Pay</t>
  </si>
  <si>
    <t>O&amp;M Fuel</t>
  </si>
  <si>
    <t>Applicable Appropriations</t>
  </si>
  <si>
    <t>Office Code</t>
  </si>
  <si>
    <t>Base Year</t>
  </si>
  <si>
    <t>End Year</t>
  </si>
  <si>
    <t>APN</t>
  </si>
  <si>
    <t>WPN</t>
  </si>
  <si>
    <t>SCN</t>
  </si>
  <si>
    <t>OPN</t>
  </si>
  <si>
    <t>PMC</t>
  </si>
  <si>
    <t>PMS-450</t>
  </si>
  <si>
    <t>PMA-259</t>
  </si>
  <si>
    <t>CEC</t>
  </si>
  <si>
    <t>PMS 378</t>
  </si>
  <si>
    <t>PMS-500</t>
  </si>
  <si>
    <t>DDG-51</t>
  </si>
  <si>
    <t>PMA-231</t>
  </si>
  <si>
    <t>PMA-265</t>
  </si>
  <si>
    <t>PMS-377</t>
  </si>
  <si>
    <t>PMS-317</t>
  </si>
  <si>
    <t>PMA-299</t>
  </si>
  <si>
    <t>TACTICAL TOMAHAWK</t>
  </si>
  <si>
    <t>PMA-280</t>
  </si>
  <si>
    <t>V-22</t>
  </si>
  <si>
    <t>PMA-275</t>
  </si>
  <si>
    <t>Parameters for SAR Inflation Data Sheets</t>
  </si>
  <si>
    <t xml:space="preserve">Base Year = </t>
  </si>
  <si>
    <t xml:space="preserve">  1 = RDT&amp;EN Purch</t>
  </si>
  <si>
    <t xml:space="preserve">  3 = O&amp;MN Purch</t>
  </si>
  <si>
    <t>29 = O&amp;MNR Purch</t>
  </si>
  <si>
    <t>NA</t>
  </si>
  <si>
    <t>15 = O&amp;MMC Purch</t>
  </si>
  <si>
    <t>4911,4930 Reimburs</t>
  </si>
  <si>
    <t>Titles</t>
  </si>
  <si>
    <t>SAR</t>
  </si>
  <si>
    <t>Instructions</t>
  </si>
  <si>
    <t>Query</t>
  </si>
  <si>
    <t>Top</t>
  </si>
  <si>
    <t>Budget Year Index</t>
  </si>
  <si>
    <t>FAMHSG CON (COMPOSITE)</t>
  </si>
  <si>
    <t>FAMHSG OPS (COMPOSITE)</t>
  </si>
  <si>
    <t>SCN (BLS HIST)</t>
  </si>
  <si>
    <t>multi</t>
  </si>
  <si>
    <t>RDTEN</t>
  </si>
  <si>
    <t>RDTEN Purch</t>
  </si>
  <si>
    <t>Inflation Rate %</t>
  </si>
  <si>
    <t>Budget Year Inflation Rate %</t>
  </si>
  <si>
    <t>RDT&amp;E Composite</t>
  </si>
  <si>
    <t>MPN (COMPOSITE)</t>
  </si>
  <si>
    <t>RPN (COMPOSITE)</t>
  </si>
  <si>
    <t>O&amp;MNR (COMPOSITE)</t>
  </si>
  <si>
    <t>MILCON (COMPOSITE)</t>
  </si>
  <si>
    <t>MPMC (COMPOSITE)</t>
  </si>
  <si>
    <t>RPMC (COMPOSITE)</t>
  </si>
  <si>
    <t>O&amp;MMC (COMPOSITE)</t>
  </si>
  <si>
    <t>O&amp;MMCR (Composite)</t>
  </si>
  <si>
    <t>O&amp;MN Composite</t>
  </si>
  <si>
    <t>O&amp;MN/LF Composite</t>
  </si>
  <si>
    <t xml:space="preserve">Note all pay and RPA use the MPN pay rate, #9, Col. J. </t>
  </si>
  <si>
    <t>Composite Rates</t>
  </si>
  <si>
    <t>Hidden sheets with source data</t>
  </si>
  <si>
    <t>Comp</t>
  </si>
  <si>
    <t>O&amp;MN Purch</t>
  </si>
  <si>
    <t>O&amp;MNR Purch</t>
  </si>
  <si>
    <t>BRAC</t>
  </si>
  <si>
    <t>BRAC ER</t>
  </si>
  <si>
    <r>
      <t xml:space="preserve">*  Appropriation and Cost Element </t>
    </r>
    <r>
      <rPr>
        <b/>
        <sz val="10"/>
        <rFont val="Arial"/>
        <family val="2"/>
      </rPr>
      <t>Titles</t>
    </r>
  </si>
  <si>
    <t>Inflation Factor</t>
  </si>
  <si>
    <t>Ending</t>
  </si>
  <si>
    <t>Starting</t>
  </si>
  <si>
    <t>Below is the range for the quick look inflation type list box</t>
  </si>
  <si>
    <t>Inflation Table 1970-2024</t>
  </si>
  <si>
    <t>Input</t>
  </si>
  <si>
    <t>Quick Look</t>
  </si>
  <si>
    <t>Create Table</t>
  </si>
  <si>
    <t>Use Inflation Tables</t>
  </si>
  <si>
    <t>Combined Outlay Factors</t>
  </si>
  <si>
    <t>(hide this sheet)</t>
  </si>
  <si>
    <r>
      <t xml:space="preserve">*  The </t>
    </r>
    <r>
      <rPr>
        <b/>
        <sz val="10"/>
        <rFont val="Arial"/>
        <family val="2"/>
      </rPr>
      <t>CombOutFac</t>
    </r>
    <r>
      <rPr>
        <sz val="10"/>
        <rFont val="Arial"/>
        <family val="2"/>
      </rPr>
      <t xml:space="preserve"> sheet has the combined outlay factors used to calculate weighted indices for all appropriations.</t>
    </r>
  </si>
  <si>
    <t>YEAR-TO-YEAR INFLATION RATES (raw), percent increase over previous year</t>
  </si>
  <si>
    <t>Years</t>
  </si>
  <si>
    <t>Escalation Type</t>
  </si>
  <si>
    <t>Workbook Contents</t>
  </si>
  <si>
    <t>11 = MPN (nonpay, purch)</t>
  </si>
  <si>
    <t>12 = Pay (Other)</t>
  </si>
  <si>
    <t>19 = MPMC (nonpay, purch)</t>
  </si>
  <si>
    <t>20 = Blank</t>
  </si>
  <si>
    <t>32 = RPN (nonpay, purch)</t>
  </si>
  <si>
    <t>36 = RPMC (nonpay, purch)</t>
  </si>
  <si>
    <t>The following cells are used by the look-up boxes.</t>
  </si>
  <si>
    <t>Caution:  Critical calculation cells begin at M25</t>
  </si>
  <si>
    <t>a</t>
  </si>
  <si>
    <t>Inflation Table</t>
  </si>
  <si>
    <r>
      <t>*  Selected Acquisition Report (</t>
    </r>
    <r>
      <rPr>
        <b/>
        <sz val="10"/>
        <rFont val="Arial"/>
        <family val="2"/>
      </rPr>
      <t>SAR</t>
    </r>
    <r>
      <rPr>
        <sz val="10"/>
        <rFont val="Arial"/>
        <family val="2"/>
      </rPr>
      <t>) contains parameters and instructions for SAR reports</t>
    </r>
  </si>
  <si>
    <t>Total</t>
  </si>
  <si>
    <t>SAR Base Year Cost Calculator</t>
  </si>
  <si>
    <t xml:space="preserve">   </t>
  </si>
  <si>
    <t>APN = Aircraft Procurement, Navy (1506)</t>
  </si>
  <si>
    <t>MILCON (Purchases) = Military Construction, Navy (1205)</t>
  </si>
  <si>
    <t>MILCON RES  (Purchases) = Military Construction, Naval Reserve (1235)</t>
  </si>
  <si>
    <t>MPMC (NONPAY Purchases) = Miltary Personnel, Marine Corps (1105)</t>
  </si>
  <si>
    <t>MPN (NONPAY Purchases) = Military Personnel, Navy (1453)</t>
  </si>
  <si>
    <t>WPN = Weapons Procurement, Navy (1507)</t>
  </si>
  <si>
    <t>SCN = Shipbuilding &amp; Conversion, Navy (1611)</t>
  </si>
  <si>
    <t>RDT&amp;EN (Purchases) = Research, Development, Test &amp; Evaluation, Navy (1319)</t>
  </si>
  <si>
    <t>OPN = Other Procurement, Navy (1810)</t>
  </si>
  <si>
    <t>PANMC = Procurement of Ammunition, Navy &amp; Marine Corps (1508)</t>
  </si>
  <si>
    <t>PMC = Procurement, Marine Corps (1109)</t>
  </si>
  <si>
    <t>O&amp;MN (COMPOSITE) Operations &amp; Maintenance, Navy (1804)</t>
  </si>
  <si>
    <t>O&amp;MN (Purchases) Operations &amp; Maintenance, Navy (1804)</t>
  </si>
  <si>
    <t>O&amp;MN/LF (COMPOSITE) Operations &amp; Maintenance, Navy - Less Fuel (1804)</t>
  </si>
  <si>
    <t>O&amp;MNR (COMPOSITE) Operations &amp; Maintenance, Naval Reserve (1806)</t>
  </si>
  <si>
    <t>O&amp;MNR (Purchases) = Operations &amp; Maintenance, Naval Reserve (1806)</t>
  </si>
  <si>
    <t>RDT&amp;EN (COMPOSITE) Research, Development, Test &amp; Evaluation, Navy (1319)</t>
  </si>
  <si>
    <t>RPMC (COMPOSITE) Reserve Personnel, Marine Corps (1108)</t>
  </si>
  <si>
    <t>RPN (COMPOSITE) Reserve Personnel, Navy (1405)</t>
  </si>
  <si>
    <t>RPN (NONPAY Purchases) = Reserve Personnel, Navy (1405)</t>
  </si>
  <si>
    <t>O&amp;MMC (COMPOSITE) Operations &amp; Maintenance, Marine Corps (1106)</t>
  </si>
  <si>
    <t>O&amp;MMC (Purchases) = Operations &amp; Maintenance, Marine Corps (1106)</t>
  </si>
  <si>
    <t>MPMC (COMPOSITE) Miltary Personnel, Marine Corps (1105)</t>
  </si>
  <si>
    <t>MILCON (COMPOSITE) Military Construction, Navy (1205)</t>
  </si>
  <si>
    <t>MPN (COMPOSITE) Military Personnel, Navy (1453)</t>
  </si>
  <si>
    <t>O&amp;MMCR (COMPOSITE) Operations &amp; Maintenance, Marine Corps Reserve (1107)</t>
  </si>
  <si>
    <r>
      <t xml:space="preserve">*  </t>
    </r>
    <r>
      <rPr>
        <b/>
        <sz val="10"/>
        <rFont val="Arial"/>
        <family val="2"/>
      </rPr>
      <t>SAR Calculator</t>
    </r>
    <r>
      <rPr>
        <sz val="10"/>
        <rFont val="Arial"/>
        <family val="2"/>
      </rPr>
      <t xml:space="preserve"> converts then-year to base-year dollars</t>
    </r>
  </si>
  <si>
    <t>SAR Calculator</t>
  </si>
  <si>
    <t xml:space="preserve">  Contents</t>
  </si>
  <si>
    <t>MIL-CON</t>
  </si>
  <si>
    <t>PMS-400</t>
  </si>
  <si>
    <t>F-35 (JSF)</t>
  </si>
  <si>
    <t>JSF</t>
  </si>
  <si>
    <t>MH-60R</t>
  </si>
  <si>
    <t>SSP 1320</t>
  </si>
  <si>
    <t>Hide sheet</t>
  </si>
  <si>
    <t>NDSF</t>
  </si>
  <si>
    <t>13 = NDSF</t>
  </si>
  <si>
    <t>This sheet is not protected.</t>
  </si>
  <si>
    <r>
      <t>Input</t>
    </r>
    <r>
      <rPr>
        <b/>
        <sz val="10"/>
        <rFont val="Arial"/>
        <family val="2"/>
      </rPr>
      <t xml:space="preserve"> Then Year Cost</t>
    </r>
  </si>
  <si>
    <t>Begin composite</t>
  </si>
  <si>
    <t>12 = Pay (OTHER)</t>
  </si>
  <si>
    <t>27 = Fuel Budget Deleted</t>
  </si>
  <si>
    <t>NDSF (Purchases) = National Defense Sealift Fund (4557)</t>
  </si>
  <si>
    <t>FAMHSG (CON)  (Purchases) = Family Housing, Navy &amp; Marine Corps (Construction) (0730)</t>
  </si>
  <si>
    <t>FAMHSG (OPS)  (Purchases) = Family Housing, Navy &amp; Marine Corps (Operations) (0735)</t>
  </si>
  <si>
    <t>FAMHSG Construction (COMPOSITE) Family Housing, Navy &amp; Marine Corps (0730)</t>
  </si>
  <si>
    <t>Year Row Num</t>
  </si>
  <si>
    <t>27 = Fuel, OSD Price</t>
  </si>
  <si>
    <t>BEGINNING OF COMPOSITE RATES</t>
  </si>
  <si>
    <r>
      <t>Total Obligational Authority (TOA)</t>
    </r>
    <r>
      <rPr>
        <sz val="10"/>
        <rFont val="Arial"/>
        <family val="2"/>
      </rPr>
      <t xml:space="preserve"> - The total direct dollars available for obligation, expressed in</t>
    </r>
    <r>
      <rPr>
        <b/>
        <sz val="10"/>
        <rFont val="Arial"/>
        <family val="2"/>
      </rPr>
      <t xml:space="preserve"> budget dollars</t>
    </r>
    <r>
      <rPr>
        <sz val="10"/>
        <rFont val="Arial"/>
        <family val="2"/>
      </rPr>
      <t xml:space="preserve">.  Very similar, but not identical to, </t>
    </r>
    <r>
      <rPr>
        <b/>
        <sz val="10"/>
        <rFont val="Arial"/>
        <family val="2"/>
      </rPr>
      <t>budget authority.</t>
    </r>
  </si>
  <si>
    <t>PMA-242</t>
  </si>
  <si>
    <t>EA-18G</t>
  </si>
  <si>
    <t>SSN 774 (VA Class)</t>
  </si>
  <si>
    <r>
      <t xml:space="preserve">*  The </t>
    </r>
    <r>
      <rPr>
        <b/>
        <sz val="10"/>
        <rFont val="Arial"/>
        <family val="2"/>
      </rPr>
      <t>1970=1 Inflation Index</t>
    </r>
    <r>
      <rPr>
        <sz val="10"/>
        <rFont val="Arial"/>
        <family val="2"/>
      </rPr>
      <t xml:space="preserve"> sheet converts </t>
    </r>
    <r>
      <rPr>
        <b/>
        <sz val="10"/>
        <rFont val="Arial"/>
        <family val="2"/>
      </rPr>
      <t>Inflation</t>
    </r>
    <r>
      <rPr>
        <sz val="10"/>
        <rFont val="Arial"/>
        <family val="2"/>
      </rPr>
      <t xml:space="preserve"> sheet rates into 1970 Baseline (1.00) values</t>
    </r>
  </si>
  <si>
    <t>Hide Sheet</t>
  </si>
  <si>
    <t>YEAR-TO-YEAR INFLATION RATES,  placed into an INDEX BASELINE OF 1970</t>
  </si>
  <si>
    <t>permanent ref #</t>
  </si>
  <si>
    <t>index #</t>
  </si>
  <si>
    <t>Year Row #</t>
  </si>
  <si>
    <t>raw idx</t>
  </si>
  <si>
    <t>wtd base yr idx</t>
  </si>
  <si>
    <t>Milcon COMP</t>
  </si>
  <si>
    <t>Milcon Res Purch</t>
  </si>
  <si>
    <t>MPMC COMP</t>
  </si>
  <si>
    <t>MPN COMP</t>
  </si>
  <si>
    <t>O&amp;MN COMP</t>
  </si>
  <si>
    <t>O&amp;MN/LF COMP</t>
  </si>
  <si>
    <t>O&amp;MNR COMP</t>
  </si>
  <si>
    <t>RDTEN COMP</t>
  </si>
  <si>
    <t>RPMC COMP</t>
  </si>
  <si>
    <t>RPN COMP</t>
  </si>
  <si>
    <t>Milcon Purch</t>
  </si>
  <si>
    <t>Multi Appn</t>
  </si>
  <si>
    <r>
      <t xml:space="preserve">Then-Year Dollar - </t>
    </r>
    <r>
      <rPr>
        <sz val="10"/>
        <rFont val="Arial"/>
        <family val="2"/>
      </rPr>
      <t>Synonymous with budget dollar.</t>
    </r>
  </si>
  <si>
    <t xml:space="preserve">   Titles of Appropriations and Cost Elements </t>
  </si>
  <si>
    <t>O&amp;M, DoD</t>
  </si>
  <si>
    <t>Defense Wide O&amp;M</t>
  </si>
  <si>
    <t>PROC DoD</t>
  </si>
  <si>
    <t>Defense Wide Procurement</t>
  </si>
  <si>
    <t>20 = BRAC</t>
  </si>
  <si>
    <t>Hide rows 6-11</t>
  </si>
  <si>
    <t>33 = ERN</t>
  </si>
  <si>
    <t>37 = OMMCR</t>
  </si>
  <si>
    <t>38 = BRACNER</t>
  </si>
  <si>
    <t>39 = DODOM</t>
  </si>
  <si>
    <t>40 = DODPROC</t>
  </si>
  <si>
    <t>FH (Con) Purch</t>
  </si>
  <si>
    <t>FH (Ops) Purch</t>
  </si>
  <si>
    <t>FH Con COMP</t>
  </si>
  <si>
    <t>MPMC Non-pay</t>
  </si>
  <si>
    <t>MPN Non-pay</t>
  </si>
  <si>
    <t>RPMC Non-pay</t>
  </si>
  <si>
    <t>RPN Non-pay</t>
  </si>
  <si>
    <t>The following interim table is generated and then transferred to the Inflation Table sheet.</t>
  </si>
  <si>
    <t>10 = NDSF(BLS)</t>
  </si>
  <si>
    <t>Program Name</t>
  </si>
  <si>
    <t>PMA-290</t>
  </si>
  <si>
    <t>MUOS</t>
  </si>
  <si>
    <t>PMW-146</t>
  </si>
  <si>
    <t>IWS-3</t>
  </si>
  <si>
    <t>SM-6</t>
  </si>
  <si>
    <t>This sheet is not protected</t>
  </si>
  <si>
    <t xml:space="preserve">To update, paste entries (Edit/Paste/SPECIAL/VALUES) from the Update file ("1970=1 Inflation Index" tab).  These values are used by the "Query" and "Multi Appn" sheets. </t>
  </si>
  <si>
    <t>FAMHSG/OPERATIONS</t>
  </si>
  <si>
    <t>PMA-261</t>
  </si>
  <si>
    <t>LHA-6</t>
  </si>
  <si>
    <t>BRAC ER = Base Realignment and Closure, Environmental Restoration Navy EXPIRED</t>
  </si>
  <si>
    <t>Hide columns L - Z</t>
  </si>
  <si>
    <t>(Transfer to the Calculator file and hide.  It is shown there for information only.)</t>
  </si>
  <si>
    <t>IWS 6.0</t>
  </si>
  <si>
    <t>CH-53K</t>
  </si>
  <si>
    <t>DDG-1000</t>
  </si>
  <si>
    <t>LITTORAL COMBAT SHIP (LCS)</t>
  </si>
  <si>
    <t>PMS 501</t>
  </si>
  <si>
    <t>NAVY MULTIBAND TERMINAL (NMT)</t>
  </si>
  <si>
    <t>This sheet is updated annually with values from the Inflation Update workbook.  These values are used by the "Query" sheet to calculate weighted indices.  This sheet is not protected.</t>
  </si>
  <si>
    <r>
      <t xml:space="preserve">*  The </t>
    </r>
    <r>
      <rPr>
        <b/>
        <sz val="10"/>
        <rFont val="Arial"/>
        <family val="2"/>
      </rPr>
      <t>Inflation</t>
    </r>
    <r>
      <rPr>
        <sz val="10"/>
        <rFont val="Arial"/>
        <family val="2"/>
      </rPr>
      <t xml:space="preserve"> sheet has the annual FY to FY inflation rates for all years &amp; appropriations.</t>
    </r>
  </si>
  <si>
    <t>Notes:</t>
  </si>
  <si>
    <t xml:space="preserve">These composit factor values for composite weights are copied from N801's inflation file annually.  Because the N801 file is not ready in time, this sheet is usually updated in Dec with the N801 values from the previous March.  The colored rows indicates the latest updated years.  Subsequent years are automatically copied from the last updated row.  To update, copy the block of 6 FYDP years for each appropriation from the N801 file "WEIGHTS"  sheet.  Because this sheet is transposed from the N801 file, use Paste Special, Values, Transpose to paste the block of factors.  </t>
  </si>
  <si>
    <t>The CEC uses Other Procurement Army (OPA) and MRAP uses Other Procurement Air Force (OPAF) and Army (OPA) and the defense-wide procurement appropriations.</t>
  </si>
  <si>
    <t>Navy</t>
  </si>
  <si>
    <t>StartYear</t>
  </si>
  <si>
    <t>Army</t>
  </si>
  <si>
    <t>Marine Corps</t>
  </si>
  <si>
    <t>*n*</t>
  </si>
  <si>
    <t>n</t>
  </si>
  <si>
    <t>nm</t>
  </si>
  <si>
    <t>m</t>
  </si>
  <si>
    <t>*m*</t>
  </si>
  <si>
    <t>*d*</t>
  </si>
  <si>
    <t>*a*</t>
  </si>
  <si>
    <t>Perm</t>
  </si>
  <si>
    <t>OSD</t>
  </si>
  <si>
    <t>ShortTitle</t>
  </si>
  <si>
    <t>TreasCode</t>
  </si>
  <si>
    <t>Idx</t>
  </si>
  <si>
    <t>Long Title</t>
  </si>
  <si>
    <t>RDTEA</t>
  </si>
  <si>
    <t>APA</t>
  </si>
  <si>
    <t>MIPA</t>
  </si>
  <si>
    <t xml:space="preserve">ENVREST = Environmental Restoration for all services (O&amp;M) </t>
  </si>
  <si>
    <t>Below cells used by macros for advanced filtering</t>
  </si>
  <si>
    <t>C.  Enter Starting Values in Input Column (blue cells) Below</t>
  </si>
  <si>
    <t>RPMC (NONPAY Purchases) = Reserve Personnel, Marine Corps (1108)</t>
  </si>
  <si>
    <t>BRAC = Base Realignment and Closure, Navy (Milcon)</t>
  </si>
  <si>
    <t>DoD Wide</t>
  </si>
  <si>
    <t>End Army</t>
  </si>
  <si>
    <t>Army data starts in 1985</t>
  </si>
  <si>
    <r>
      <t xml:space="preserve">*  </t>
    </r>
    <r>
      <rPr>
        <b/>
        <sz val="10"/>
        <rFont val="Arial"/>
        <family val="2"/>
      </rPr>
      <t>Army Multi Appn</t>
    </r>
    <r>
      <rPr>
        <sz val="10"/>
        <rFont val="Arial"/>
        <family val="2"/>
      </rPr>
      <t xml:space="preserve"> displays indexes for all appropriations on one sheet</t>
    </r>
  </si>
  <si>
    <t>Army Multi Appn</t>
  </si>
  <si>
    <t>RDTE DoD</t>
  </si>
  <si>
    <t>Defense Wide Research, Development, Test &amp; Evaluation</t>
  </si>
  <si>
    <t>Milcon DoD</t>
  </si>
  <si>
    <t>Defense Wide Military Construction</t>
  </si>
  <si>
    <t>41 = DODRDTE</t>
  </si>
  <si>
    <t>42 =  DODMCN</t>
  </si>
  <si>
    <t xml:space="preserve">  1 = RDTEA</t>
  </si>
  <si>
    <t>Research, Development, Test &amp; Evaluation Army (RDTEA) Appropriation</t>
  </si>
  <si>
    <t xml:space="preserve">  2 = APA</t>
  </si>
  <si>
    <t>Aircraft Procurement Army (APA) Appropriation</t>
  </si>
  <si>
    <t xml:space="preserve">  3 = MIPA</t>
  </si>
  <si>
    <t>Missile Procurement Army (MIPA) Appropriation</t>
  </si>
  <si>
    <t xml:space="preserve">  4 = AMMO</t>
  </si>
  <si>
    <t>Ammunition Procurement Army (AMMO) Appropriation</t>
  </si>
  <si>
    <t xml:space="preserve">  5 = WTCV</t>
  </si>
  <si>
    <t xml:space="preserve">  6 = OPA</t>
  </si>
  <si>
    <t>Other Procurement Army (OPA) Appropriation</t>
  </si>
  <si>
    <t xml:space="preserve">  7 = CIVPAY</t>
  </si>
  <si>
    <t xml:space="preserve">  8 = OMA</t>
  </si>
  <si>
    <t>Operations &amp; Maintenance Army (OMA) Appropriation</t>
  </si>
  <si>
    <t xml:space="preserve">  9 = OMA_F</t>
  </si>
  <si>
    <t>10 = OMAR</t>
  </si>
  <si>
    <t>Operations &amp; Maintenance Army Reserve (OMAR) Appropriation</t>
  </si>
  <si>
    <t>11 = OMANG</t>
  </si>
  <si>
    <t>Operations &amp; Maintenance Army National Guard (OMANG) Appropriation</t>
  </si>
  <si>
    <t>12 = AFHO</t>
  </si>
  <si>
    <t>Family Housing Operations &amp; Maintenance Army (AFHO) Appropriation</t>
  </si>
  <si>
    <t>13 = MCA</t>
  </si>
  <si>
    <t>Military Construction Army (MCA) Appropriation</t>
  </si>
  <si>
    <t>14 = AFHC</t>
  </si>
  <si>
    <t>Family Housing Construction Army (AFHC) Appropriation</t>
  </si>
  <si>
    <t>15 = MCANG</t>
  </si>
  <si>
    <t>Military Construction Army National Guard (MCANG) Appropriation</t>
  </si>
  <si>
    <t>16 = MCAR</t>
  </si>
  <si>
    <t>Military Construction Army Reserve (MCAR) Appropriation</t>
  </si>
  <si>
    <t>17 = BRAC</t>
  </si>
  <si>
    <t>Base Realignment and Closure (BRAC) Appropriation</t>
  </si>
  <si>
    <t>18 = MPA pay</t>
  </si>
  <si>
    <t>19 = MPA non-pay</t>
  </si>
  <si>
    <t>20 = MPA composite</t>
  </si>
  <si>
    <t>21 = MPAR non-pay</t>
  </si>
  <si>
    <t>22 = MPAR composite</t>
  </si>
  <si>
    <t>23 = MPANG non-pay</t>
  </si>
  <si>
    <t>24 = MPANG composite</t>
  </si>
  <si>
    <t>25 = DERA</t>
  </si>
  <si>
    <t>Operation and Maintenance Environmental Restoration (DERA) Appropriation</t>
  </si>
  <si>
    <t>26 = CDA</t>
  </si>
  <si>
    <t>OMA</t>
  </si>
  <si>
    <t>CIVPAY</t>
  </si>
  <si>
    <t>OMA_F</t>
  </si>
  <si>
    <t>OMAR</t>
  </si>
  <si>
    <t>OMANG</t>
  </si>
  <si>
    <t>AFHO</t>
  </si>
  <si>
    <t>MCA</t>
  </si>
  <si>
    <t>AMMO</t>
  </si>
  <si>
    <t>WTCV</t>
  </si>
  <si>
    <t>OPA</t>
  </si>
  <si>
    <t>AFHC</t>
  </si>
  <si>
    <t>MCANG</t>
  </si>
  <si>
    <t>MCAR</t>
  </si>
  <si>
    <t>MPA pay</t>
  </si>
  <si>
    <t>MPA non-pay</t>
  </si>
  <si>
    <t>MPAR non-pay</t>
  </si>
  <si>
    <t>MPANG non-pay</t>
  </si>
  <si>
    <t>DERA</t>
  </si>
  <si>
    <t>CDA</t>
  </si>
  <si>
    <t>Military Pay Army (MPA) Appropriation Non-Pay</t>
  </si>
  <si>
    <t>Military Pay Army National Guard (MPANG) Appropriation Non-Pay</t>
  </si>
  <si>
    <t>Military Pay Army Reserve (MPAR) Appropriation Non-Pay</t>
  </si>
  <si>
    <t>Military Pay Army Reserve (MPAR) Appropriation Composite</t>
  </si>
  <si>
    <t>Military Pay Army (MPA) Appropriation Composite</t>
  </si>
  <si>
    <t>Star of Army calc</t>
  </si>
  <si>
    <t>Select       Index</t>
  </si>
  <si>
    <t>NDSF  (BLS HIST)</t>
  </si>
  <si>
    <t>PAN   MC</t>
  </si>
  <si>
    <t>ENV  REST</t>
  </si>
  <si>
    <t>Mil Con Res</t>
  </si>
  <si>
    <t>O&amp;M  MCR COMP</t>
  </si>
  <si>
    <t>O&amp;M  MC Purch</t>
  </si>
  <si>
    <t>O&amp;M  MC COMP</t>
  </si>
  <si>
    <t>The following changes will be incorporated with this new tool:</t>
  </si>
  <si>
    <t xml:space="preserve">Instead of having only four hard coded base years you can now choose any base year from 1985 - 2060. </t>
  </si>
  <si>
    <t>Additional column added: "budget year" that can be used to translate directly from one TY$ to another TY$ instead of deflating and re-inflating.</t>
  </si>
  <si>
    <t xml:space="preserve">Additional features:  </t>
  </si>
  <si>
    <t>o</t>
  </si>
  <si>
    <t>Quick Look calculator - provides BY/TY conversions</t>
  </si>
  <si>
    <t>Glossary of inflation related terms</t>
  </si>
  <si>
    <t xml:space="preserve">Instructions that explain how to use this tool </t>
  </si>
  <si>
    <t>Army Notes</t>
  </si>
  <si>
    <r>
      <t xml:space="preserve">            </t>
    </r>
    <r>
      <rPr>
        <b/>
        <sz val="14"/>
        <color indexed="10"/>
        <rFont val="Arial"/>
        <family val="2"/>
      </rPr>
      <t xml:space="preserve">   Optional</t>
    </r>
    <r>
      <rPr>
        <b/>
        <sz val="11"/>
        <color indexed="10"/>
        <rFont val="Arial"/>
        <family val="2"/>
      </rPr>
      <t xml:space="preserve"> - For Quick Look, complete steps A, B &amp; C below</t>
    </r>
  </si>
  <si>
    <r>
      <t xml:space="preserve">A.  Select Inflation Type from List   </t>
    </r>
    <r>
      <rPr>
        <b/>
        <sz val="14"/>
        <rFont val="Wingdings 3"/>
        <family val="1"/>
        <charset val="2"/>
      </rPr>
      <t>a</t>
    </r>
  </si>
  <si>
    <t>The terms "raw" and "weighted" will be used instead of "compound" and "composite".</t>
  </si>
  <si>
    <t xml:space="preserve">Select       Index   </t>
  </si>
  <si>
    <r>
      <t xml:space="preserve">*  </t>
    </r>
    <r>
      <rPr>
        <b/>
        <sz val="10"/>
        <rFont val="Arial"/>
        <family val="2"/>
      </rPr>
      <t>Army Notes</t>
    </r>
    <r>
      <rPr>
        <sz val="10"/>
        <rFont val="Arial"/>
        <family val="2"/>
      </rPr>
      <t xml:space="preserve"> gives guidance to the Army community on the use of this calculator</t>
    </r>
  </si>
  <si>
    <t>nmd</t>
  </si>
  <si>
    <t>All of the Army appropriations have been added, and formatted to make it easier for the joint community to use. The instruction page has been updated to include the new appropriation and formatting.</t>
  </si>
  <si>
    <r>
      <t xml:space="preserve">Compound Index (Army) - </t>
    </r>
    <r>
      <rPr>
        <sz val="10"/>
        <rFont val="Arial"/>
        <family val="2"/>
      </rPr>
      <t>see Raw Index</t>
    </r>
  </si>
  <si>
    <t>Enter Base Year     (1970-2024)</t>
  </si>
  <si>
    <t>Note: Army data begins in 1985</t>
  </si>
  <si>
    <t>Weapons &amp; Track Vehicles Procurement Army (WTCV) Appropriation</t>
  </si>
  <si>
    <t xml:space="preserve">For questions/comments on the Army content of this workbook, contact the Office of the Deputy  </t>
  </si>
  <si>
    <t xml:space="preserve">For questions/comments on the Army content of this workbook, contact the  </t>
  </si>
  <si>
    <t>The Excel file that was agreed upon for use in this joint tool has evolved from the existing tool that the Navy has been using for many years in the past.</t>
  </si>
  <si>
    <t xml:space="preserve">SAR calculator -  converts budget dollars TY$ to BY$ </t>
  </si>
  <si>
    <t>Includes worksheets that display every appropriations'  indices for a given base year</t>
  </si>
  <si>
    <t>Procurement - Defense Wide Chemical Demil (CDA) Appropriation</t>
  </si>
  <si>
    <t>OMA(less fuel)</t>
  </si>
  <si>
    <t>PMA-262</t>
  </si>
  <si>
    <t>H-1 UPGRADES</t>
  </si>
  <si>
    <t>PMA-276</t>
  </si>
  <si>
    <t>IDECM</t>
  </si>
  <si>
    <t>PMA-272</t>
  </si>
  <si>
    <t>PMA 213</t>
  </si>
  <si>
    <t>RMS</t>
  </si>
  <si>
    <t>PMS 403</t>
  </si>
  <si>
    <t>PMA 266</t>
  </si>
  <si>
    <t>MPA COMP*</t>
  </si>
  <si>
    <t>MPANG COMP*</t>
  </si>
  <si>
    <t>MPAR COMP*</t>
  </si>
  <si>
    <t>20 = MPA** composite</t>
  </si>
  <si>
    <t>22 = MPAR** composite</t>
  </si>
  <si>
    <t>24 = MPANG** composite</t>
  </si>
  <si>
    <t>Note: Several Army appropriations did not have data in all years back to 1985.</t>
  </si>
  <si>
    <t>20 = MPA* composite</t>
  </si>
  <si>
    <t>22 = MPAR* composite</t>
  </si>
  <si>
    <t>24 = MPANG* composite</t>
  </si>
  <si>
    <t xml:space="preserve">* Calculations for the Army's three Composite Appropriations differ from Army's factors -- refer to Army site for factors consistent with the Army's </t>
  </si>
  <si>
    <t>For Army Composite Calculations</t>
  </si>
  <si>
    <t>Non-Pay</t>
  </si>
  <si>
    <t>Pay</t>
  </si>
  <si>
    <t>Raw 1985</t>
  </si>
  <si>
    <t>Raw</t>
  </si>
  <si>
    <t>Weighted</t>
  </si>
  <si>
    <t>Army Fiscal Year</t>
  </si>
  <si>
    <t>2024</t>
  </si>
  <si>
    <t>2040</t>
  </si>
  <si>
    <t>2025</t>
  </si>
  <si>
    <t>2041</t>
  </si>
  <si>
    <t>2026</t>
  </si>
  <si>
    <t>2042</t>
  </si>
  <si>
    <t>Output/ Result</t>
  </si>
  <si>
    <r>
      <t xml:space="preserve">         </t>
    </r>
    <r>
      <rPr>
        <b/>
        <sz val="14"/>
        <rFont val="Wingdings 3"/>
        <family val="1"/>
        <charset val="2"/>
      </rPr>
      <t>a</t>
    </r>
  </si>
  <si>
    <t xml:space="preserve">2. Select Appropriation/Cost  Element from this List  </t>
  </si>
  <si>
    <r>
      <t xml:space="preserve">B.  Enter Output/Target Year   </t>
    </r>
    <r>
      <rPr>
        <b/>
        <sz val="14"/>
        <rFont val="Wingdings 3"/>
        <family val="1"/>
        <charset val="2"/>
      </rPr>
      <t xml:space="preserve"> a</t>
    </r>
  </si>
  <si>
    <t>NAVY Programs</t>
  </si>
  <si>
    <t>Excel 2007 gives a less obvious warning about the enabling of macros than did Excel 2003.</t>
  </si>
  <si>
    <t>Just above the calculator sheet you will see the narrow warning band below.</t>
  </si>
  <si>
    <t>Select "Enable this content" and click on the "OK" button to enable the calculator macros.</t>
  </si>
  <si>
    <t>Calculator macro issue for Excel 2007</t>
  </si>
  <si>
    <t>Return to Main</t>
  </si>
  <si>
    <t>If you do not control your security settings, you will have to go through this process each time you wish to use the calculator</t>
  </si>
  <si>
    <t>OPD</t>
  </si>
  <si>
    <t>WCTV</t>
  </si>
  <si>
    <t>PNO-202</t>
  </si>
  <si>
    <t>EXCALIBUR</t>
  </si>
  <si>
    <t>PNO-366</t>
  </si>
  <si>
    <t>FMTV</t>
  </si>
  <si>
    <t>PNO-746</t>
  </si>
  <si>
    <t xml:space="preserve">GMLRS/GMLRS AW </t>
  </si>
  <si>
    <t>PNO-260</t>
  </si>
  <si>
    <t>IAMD</t>
  </si>
  <si>
    <t>PNO-205</t>
  </si>
  <si>
    <t>JLENS</t>
  </si>
  <si>
    <t>PNO-372</t>
  </si>
  <si>
    <t>LUH</t>
  </si>
  <si>
    <t>PNO-182</t>
  </si>
  <si>
    <t xml:space="preserve">MQ-1C UAS GREY EAGLE </t>
  </si>
  <si>
    <t>PNO-420</t>
  </si>
  <si>
    <t>PATRIOT PAC-3</t>
  </si>
  <si>
    <t>PNO-148</t>
  </si>
  <si>
    <t xml:space="preserve">PATRIOT/MEADS CAP </t>
  </si>
  <si>
    <t>PNO-531</t>
  </si>
  <si>
    <t xml:space="preserve">UH-60M BLACK HAWK </t>
  </si>
  <si>
    <t>PNO-341</t>
  </si>
  <si>
    <t>WIN-T INCREMENT 2</t>
  </si>
  <si>
    <t>PNO-349</t>
  </si>
  <si>
    <t>WIN-T INCREMENT 3</t>
  </si>
  <si>
    <t>PNO-350</t>
  </si>
  <si>
    <t>ARMY Programs</t>
  </si>
  <si>
    <t>RDT&amp;EN</t>
  </si>
  <si>
    <t>RDT&amp;EF</t>
  </si>
  <si>
    <t>RDT&amp;ED</t>
  </si>
  <si>
    <t>RDT&amp;EA</t>
  </si>
  <si>
    <t>Click on the "Options" button and the security options box, similar to the one below, will pop-up.</t>
  </si>
  <si>
    <t>Go to Query</t>
  </si>
  <si>
    <t>Go to Main</t>
  </si>
  <si>
    <t>Return To Main</t>
  </si>
  <si>
    <t>Army Multiple Appropriation Sheet</t>
  </si>
  <si>
    <t>Army Programs Link</t>
  </si>
  <si>
    <r>
      <t xml:space="preserve">*  </t>
    </r>
    <r>
      <rPr>
        <b/>
        <sz val="10"/>
        <rFont val="Arial"/>
        <family val="2"/>
      </rPr>
      <t xml:space="preserve">Definitions </t>
    </r>
    <r>
      <rPr>
        <sz val="10"/>
        <rFont val="Arial"/>
        <family val="2"/>
      </rPr>
      <t>of calculator inflation terms</t>
    </r>
  </si>
  <si>
    <t>Army 1985 first year</t>
  </si>
  <si>
    <r>
      <t xml:space="preserve">*  </t>
    </r>
    <r>
      <rPr>
        <b/>
        <sz val="10"/>
        <rFont val="Arial"/>
        <family val="2"/>
      </rPr>
      <t>Instructions</t>
    </r>
    <r>
      <rPr>
        <sz val="10"/>
        <rFont val="Arial"/>
        <family val="2"/>
      </rPr>
      <t xml:space="preserve"> and Points of Contact</t>
    </r>
  </si>
  <si>
    <r>
      <t xml:space="preserve">1. Select Service  </t>
    </r>
    <r>
      <rPr>
        <b/>
        <sz val="13"/>
        <rFont val="Wingdings 3"/>
        <family val="1"/>
        <charset val="2"/>
      </rPr>
      <t>a</t>
    </r>
  </si>
  <si>
    <t>Army Cost and Economics</t>
  </si>
  <si>
    <t>NCCA Inflation Site</t>
  </si>
  <si>
    <t>Questions/Comments</t>
  </si>
  <si>
    <t>Download the most recent version of this workbook from either NCCA's web site at:</t>
  </si>
  <si>
    <t>or the Army web site at:</t>
  </si>
  <si>
    <t>Link to Army Cost and Economics</t>
  </si>
  <si>
    <t>Enter starting values in the blue input cells.  The inflation factor (based on your selected appropriation, year, and type) is applied and the results given in the output column</t>
  </si>
  <si>
    <t>KC-130J</t>
  </si>
  <si>
    <t>PMA-207</t>
  </si>
  <si>
    <r>
      <t xml:space="preserve">*  </t>
    </r>
    <r>
      <rPr>
        <b/>
        <sz val="10"/>
        <rFont val="Arial"/>
        <family val="2"/>
      </rPr>
      <t>Inflation Table</t>
    </r>
    <r>
      <rPr>
        <sz val="10"/>
        <rFont val="Arial"/>
        <family val="2"/>
      </rPr>
      <t xml:space="preserve"> holds the most recently generated inflation index table        </t>
    </r>
  </si>
  <si>
    <t>Office of the Deputy Assistant Secretary of the Army, Cost and Economics at (703) 697-1612</t>
  </si>
  <si>
    <t>Assistant Secretary of the Army, (703) 697-1612</t>
  </si>
  <si>
    <r>
      <t>Result</t>
    </r>
    <r>
      <rPr>
        <b/>
        <sz val="10"/>
        <rFont val="Arial"/>
        <family val="2"/>
      </rPr>
      <t xml:space="preserve"> Base      Fiscal Year    Cost</t>
    </r>
  </si>
  <si>
    <r>
      <t xml:space="preserve">*  </t>
    </r>
    <r>
      <rPr>
        <b/>
        <sz val="10"/>
        <rFont val="Arial"/>
        <family val="2"/>
      </rPr>
      <t xml:space="preserve">Query </t>
    </r>
    <r>
      <rPr>
        <sz val="10"/>
        <rFont val="Arial"/>
        <family val="2"/>
      </rPr>
      <t xml:space="preserve">allows users to select a base year and appropriation, and generate the standard inflation tables.     It also has a "Quick Look" inflation calculator option.                                                                                                                                                               </t>
    </r>
    <r>
      <rPr>
        <b/>
        <sz val="10"/>
        <rFont val="Arial"/>
        <family val="2"/>
      </rPr>
      <t/>
    </r>
  </si>
  <si>
    <t>Aircraft Procurement  (APN)</t>
  </si>
  <si>
    <t>TOP</t>
  </si>
  <si>
    <t>COMPOSITES</t>
  </si>
  <si>
    <t>FY1</t>
  </si>
  <si>
    <t>CY1</t>
  </si>
  <si>
    <t>FY2</t>
  </si>
  <si>
    <t>Pay Raise takes effect R1</t>
  </si>
  <si>
    <t>CY2</t>
  </si>
  <si>
    <t>Pay Raise takes effect R2</t>
  </si>
  <si>
    <t>R1=1.037</t>
  </si>
  <si>
    <t>R2 = 1.046</t>
  </si>
  <si>
    <t>Sum of 4 quarters</t>
  </si>
  <si>
    <t>FY2 /F1</t>
  </si>
  <si>
    <t>Raise in pay rate</t>
  </si>
  <si>
    <t>Method 1</t>
  </si>
  <si>
    <t>Method 2</t>
  </si>
  <si>
    <t>Raise = '(1*1.037 + 3*1.046)/4</t>
  </si>
  <si>
    <t>Raise =(1 + 3*1.046)/((1/1.037) + 3)</t>
  </si>
  <si>
    <t>Example</t>
  </si>
  <si>
    <t>Indexes are for base year 2014 - the Raw Index value of 1.0000 for 2014 is a quick way to confirm this</t>
  </si>
  <si>
    <t>NAVY</t>
  </si>
  <si>
    <t>Ratio</t>
  </si>
  <si>
    <t>Budget Year</t>
  </si>
  <si>
    <t>Milpay only</t>
  </si>
  <si>
    <t>You can use any of the indexes for inflation adjustments, but know all transformations are equivalent to a CY to CY change</t>
  </si>
  <si>
    <t>OMN (Composite)</t>
  </si>
  <si>
    <t>The conversion done using the Raw and Weighted Indexes from a given Base Year can be expressed as a comparison of two</t>
  </si>
  <si>
    <t>New Price /Old Price = New Index/Old Index    or   New Price = Old Price * (New Index/Old Index)</t>
  </si>
  <si>
    <t>1)  Convert the existing dollars to the base year of the index.</t>
  </si>
  <si>
    <t>2)  Convert the now base year dollars, to either then year dollars or to a different constant dollar.</t>
  </si>
  <si>
    <t xml:space="preserve">Weighted Index </t>
  </si>
  <si>
    <t xml:space="preserve">Budget Year Index </t>
  </si>
  <si>
    <t>C2012$ 000's</t>
  </si>
  <si>
    <t>C2014$ 000's</t>
  </si>
  <si>
    <t>TY$ 000's</t>
  </si>
  <si>
    <t>Fiscal Yr</t>
  </si>
  <si>
    <t>Calendar Yr</t>
  </si>
  <si>
    <t>`</t>
  </si>
  <si>
    <t>DON Multiple Appropriation Sheet</t>
  </si>
  <si>
    <t>TY06</t>
  </si>
  <si>
    <t>CY14</t>
  </si>
  <si>
    <t>divide &gt;</t>
  </si>
  <si>
    <t>multiply &gt;</t>
  </si>
  <si>
    <t>TY08</t>
  </si>
  <si>
    <t>Old Value*(New Index/Old Index) = New Value  &gt;</t>
  </si>
  <si>
    <t xml:space="preserve">TY $ </t>
  </si>
  <si>
    <t>Wages require no outlay profile - note the three indexes are the same</t>
  </si>
  <si>
    <t>For example a program Base Year or the Base Year of an index.</t>
  </si>
  <si>
    <t>Convert to CY14$ by dividing by weighted factor</t>
  </si>
  <si>
    <t>Weighted factor</t>
  </si>
  <si>
    <t>CY14$'s</t>
  </si>
  <si>
    <t>Slip 1yr and convert to the appropriate TY$ by multiplying by the appropriate yearly weighted factor.</t>
  </si>
  <si>
    <t>TY $</t>
  </si>
  <si>
    <t>We have shifted the TY$ profile 1 yr.  We have changed the TY14 value to TY15, TY15 to TY16, etc.</t>
  </si>
  <si>
    <t>This is a conversion based on the weighted index.   We could alternatively use the Budget Year Index (BYI) as discussed below.</t>
  </si>
  <si>
    <t>Budget Year factor</t>
  </si>
  <si>
    <t>TY14$</t>
  </si>
  <si>
    <t>Factor</t>
  </si>
  <si>
    <t>TY10</t>
  </si>
  <si>
    <t>TY16</t>
  </si>
  <si>
    <t>BYI Examples</t>
  </si>
  <si>
    <t>New Value</t>
  </si>
  <si>
    <t>Old Value</t>
  </si>
  <si>
    <t>TY07</t>
  </si>
  <si>
    <t>TY11</t>
  </si>
  <si>
    <t>TY15</t>
  </si>
  <si>
    <t>Divide by yearly factor to convert</t>
  </si>
  <si>
    <t>Multiply by yearly factor to convert</t>
  </si>
  <si>
    <t xml:space="preserve">Note, the BYI index contains the same relative inflation information so the ratios of two BYI factors will be equal to the ratios of the </t>
  </si>
  <si>
    <t xml:space="preserve">corresponding weighted index.  See below.  </t>
  </si>
  <si>
    <t>TY transformations achieved using the weighted index can also be achieved using the budget year index</t>
  </si>
  <si>
    <t>Slip 1yr and convert to the appropriate new TY$ by multiplying by the appropriate yearly Budget Year factor.</t>
  </si>
  <si>
    <t>Divide by the yearly BYI to converting all to TY14$'s</t>
  </si>
  <si>
    <t>Index example:</t>
  </si>
  <si>
    <t>The mechanics for CY to CY,  CY to TY, TY to TY etc. are the same as identified in the procurement section above.</t>
  </si>
  <si>
    <t>Examples _Notes</t>
  </si>
  <si>
    <r>
      <t xml:space="preserve">*  </t>
    </r>
    <r>
      <rPr>
        <b/>
        <sz val="10"/>
        <rFont val="Arial"/>
        <family val="2"/>
      </rPr>
      <t>Examples_Notes</t>
    </r>
    <r>
      <rPr>
        <sz val="10"/>
        <rFont val="Arial"/>
        <family val="2"/>
      </rPr>
      <t xml:space="preserve">  examples of using the indexes and notes on Composite and Manpower Indexes</t>
    </r>
  </si>
  <si>
    <t>Construction of fiscal year factors from annual Pay guidance.</t>
  </si>
  <si>
    <t xml:space="preserve">For a more detailed discussion on inflation and data normalization you can refer to </t>
  </si>
  <si>
    <t>A brief example of the mechanical application of inflation factors.</t>
  </si>
  <si>
    <t>Notes on two areas that often generate questions</t>
  </si>
  <si>
    <t>Brief review of "Composite Rates"</t>
  </si>
  <si>
    <t>Below we provide examples to briefly review all the basic calculations</t>
  </si>
  <si>
    <t>From the Query Tab make the desired selection - the extract is immediately below</t>
  </si>
  <si>
    <t>Note: any constant $ value can be converted to a new baseline constant $ (in this case 2014) by dividing by the appropriate factor</t>
  </si>
  <si>
    <t>General comments/background:</t>
  </si>
  <si>
    <t>Procurement Example</t>
  </si>
  <si>
    <r>
      <t xml:space="preserve">ratios or an equation based on the ratios.  </t>
    </r>
    <r>
      <rPr>
        <i/>
        <sz val="11"/>
        <rFont val="Arial"/>
        <family val="2"/>
      </rPr>
      <t>Note that Base Years are a subset of Constant Years being the Constant Year of reference</t>
    </r>
  </si>
  <si>
    <t>Wtd '06 Ind</t>
  </si>
  <si>
    <t>Wtd '08 Ind</t>
  </si>
  <si>
    <t xml:space="preserve">   In one equation</t>
  </si>
  <si>
    <t>The examples are all based on adjustments to Aircraft Procurement Values</t>
  </si>
  <si>
    <t>Example: Slip a fiscal year procurement profile by a year using weighted index</t>
  </si>
  <si>
    <t>Example: Slip a fiscal year procurement profile by a year using the budget year index</t>
  </si>
  <si>
    <t>The first step is to extract the inflation factors for the desired appropriation and base year</t>
  </si>
  <si>
    <r>
      <t>Appropriation</t>
    </r>
    <r>
      <rPr>
        <sz val="10"/>
        <rFont val="Arial"/>
        <family val="2"/>
      </rPr>
      <t xml:space="preserve"> - Categories of funds by which legislative acts permit the government to make obligations.  Appropriations may include one (unitary) or multiple cost elements (composite) (see </t>
    </r>
    <r>
      <rPr>
        <b/>
        <sz val="10"/>
        <rFont val="Arial"/>
        <family val="2"/>
      </rPr>
      <t>Composite Inflation</t>
    </r>
    <r>
      <rPr>
        <sz val="10"/>
        <rFont val="Arial"/>
        <family val="2"/>
      </rPr>
      <t xml:space="preserve">).  An appropriation grants budget authority. </t>
    </r>
  </si>
  <si>
    <r>
      <t>Constant Dollar</t>
    </r>
    <r>
      <rPr>
        <sz val="10"/>
        <rFont val="Arial"/>
        <family val="2"/>
      </rPr>
      <t xml:space="preserve"> - Effects of inflation have been removed allowing you to compare purchasing power or funding between years.  Fiscal year dollar is sometimes used to mean a constant dollar for a particular year.  In practice, the Constant Dollar programs report their costs/funding in is referred to as Base Year Dollar.</t>
    </r>
  </si>
  <si>
    <t>Program funding profile in (000's) of Constant (C) 2012$'s</t>
  </si>
  <si>
    <t xml:space="preserve">For questions/comments on this workbook, contact NCCA.  </t>
  </si>
  <si>
    <t>A.  DAU course materials for BCF 106 or BCF 204 for normalization</t>
  </si>
  <si>
    <t>1.) One Constant $ to another Constant $</t>
  </si>
  <si>
    <t>2.) From Constant $ to Then Year $</t>
  </si>
  <si>
    <t>3.) Then Year $ to Constant $</t>
  </si>
  <si>
    <t>4.) From Then Year $ to Then Year $ (to accommodate a one year slip in procurement).</t>
  </si>
  <si>
    <t>Indexes from the above extract</t>
  </si>
  <si>
    <r>
      <t xml:space="preserve">2.) Convert Constant$'s to Then-Year (also called Budget Year)$'s - </t>
    </r>
    <r>
      <rPr>
        <i/>
        <sz val="11"/>
        <rFont val="Arial"/>
        <family val="2"/>
      </rPr>
      <t>convert the CY 2014 procurement stream into Then-Year by multiplying by the weighted index.  You will use the weighted index for CY to TY conversion.  Reflects impact of outlays</t>
    </r>
  </si>
  <si>
    <t xml:space="preserve">3.) The conversions from Then-Year$ to Constant$ (CY 2014) </t>
  </si>
  <si>
    <t>Constructing Fiscal Year Pay Indexes</t>
  </si>
  <si>
    <t>18 = NOT USED</t>
  </si>
  <si>
    <t>31 = NOT USED</t>
  </si>
  <si>
    <t>35 = NOT USED</t>
  </si>
  <si>
    <t>38 = ENVIRON</t>
  </si>
  <si>
    <t>SCN (NAVSEA/BLS HIST) = SCN (1611) (Bureau of Labor Statistics Historical, OSD Future)</t>
  </si>
  <si>
    <t xml:space="preserve">Examples based on an APN procurement </t>
  </si>
  <si>
    <t>Since the title didn't specify less fuel, the index includes OMN Purchase,  CIV Pay, and Fuel</t>
  </si>
  <si>
    <t xml:space="preserve">Examples will convert from: </t>
  </si>
  <si>
    <t>G/ATOR</t>
  </si>
  <si>
    <t>PMM-203</t>
  </si>
  <si>
    <t xml:space="preserve">LITTORAL COMBAT SHIP (LCS) Mission Modules </t>
  </si>
  <si>
    <t>PMS 420</t>
  </si>
  <si>
    <t>MIDS</t>
  </si>
  <si>
    <t>PMW-170</t>
  </si>
  <si>
    <t xml:space="preserve">P-8A </t>
  </si>
  <si>
    <t>SHIP TO SHORE CONNECTOR (SSC)</t>
  </si>
  <si>
    <t>RDT&amp;ENT</t>
  </si>
  <si>
    <t>OPF</t>
  </si>
  <si>
    <t>OPMC</t>
  </si>
  <si>
    <t>AH-64E New Build</t>
  </si>
  <si>
    <t>PNO-437</t>
  </si>
  <si>
    <t>AH-64E Remanufacture</t>
  </si>
  <si>
    <t>AMF JTRS</t>
  </si>
  <si>
    <t>PNO-421</t>
  </si>
  <si>
    <t>CH-47F</t>
  </si>
  <si>
    <t>PNO-278</t>
  </si>
  <si>
    <t>JTN</t>
  </si>
  <si>
    <t>PNO-284</t>
  </si>
  <si>
    <t>JTRS HMS</t>
  </si>
  <si>
    <t>PNO-385</t>
  </si>
  <si>
    <t>PIM</t>
  </si>
  <si>
    <t>PNO-466</t>
  </si>
  <si>
    <r>
      <t xml:space="preserve">1.) Convert Constant 2012$'s to Constant 2014$'s  -  </t>
    </r>
    <r>
      <rPr>
        <i/>
        <sz val="11"/>
        <rFont val="Arial"/>
        <family val="2"/>
      </rPr>
      <t xml:space="preserve">simply </t>
    </r>
    <r>
      <rPr>
        <b/>
        <i/>
        <sz val="11"/>
        <color rgb="FFFF0000"/>
        <rFont val="Arial"/>
        <family val="2"/>
      </rPr>
      <t>divide by Raw Index factor for 2012 0.9707</t>
    </r>
    <r>
      <rPr>
        <i/>
        <sz val="11"/>
        <rFont val="Arial"/>
        <family val="2"/>
      </rPr>
      <t xml:space="preserve"> to convert to the new constant year (or base year) 2014. CY$ to CY$ conversion will always use the Raw Index</t>
    </r>
  </si>
  <si>
    <t>AMDR</t>
  </si>
  <si>
    <t>IWS 2.0</t>
  </si>
  <si>
    <r>
      <t>Fuel</t>
    </r>
    <r>
      <rPr>
        <b/>
        <sz val="10"/>
        <color rgb="FFFF0000"/>
        <rFont val="Arial"/>
        <family val="2"/>
      </rPr>
      <t>*</t>
    </r>
  </si>
  <si>
    <r>
      <t>Mil Pay</t>
    </r>
    <r>
      <rPr>
        <b/>
        <sz val="10"/>
        <color rgb="FFFF0000"/>
        <rFont val="Arial"/>
        <family val="2"/>
      </rPr>
      <t>*</t>
    </r>
  </si>
  <si>
    <r>
      <t>Civ Pay</t>
    </r>
    <r>
      <rPr>
        <b/>
        <sz val="10"/>
        <color rgb="FFFF0000"/>
        <rFont val="Arial"/>
        <family val="2"/>
      </rPr>
      <t>*</t>
    </r>
  </si>
  <si>
    <t>VH-92A</t>
  </si>
  <si>
    <t>PMA-274</t>
  </si>
  <si>
    <t>MQ-8 FIRE SCOUT</t>
  </si>
  <si>
    <t>d</t>
  </si>
  <si>
    <t>27 = Fuel Budget</t>
  </si>
  <si>
    <r>
      <t>Cost Element</t>
    </r>
    <r>
      <rPr>
        <sz val="10"/>
        <rFont val="Arial"/>
        <family val="2"/>
      </rPr>
      <t xml:space="preserve"> - Costs for which inflation/escalation rates are provided by OMB/OSD such as purchases, pay and fuel.</t>
    </r>
  </si>
  <si>
    <r>
      <t>Base Year</t>
    </r>
    <r>
      <rPr>
        <sz val="10"/>
        <rFont val="Arial"/>
        <family val="2"/>
      </rPr>
      <t xml:space="preserve"> - A reference year from which to measure inflation or escalation. The Raw Index will always equal 1.00 for the Base Year chosen.  Base Year and Constant Year are equivalent for the year reflected. Note that acquisition programs will report cost in a Base Year.  </t>
    </r>
  </si>
  <si>
    <r>
      <t>Budget Dollar</t>
    </r>
    <r>
      <rPr>
        <sz val="10"/>
        <rFont val="Arial"/>
        <family val="2"/>
      </rPr>
      <t xml:space="preserve"> - Funds inflated for budgeting purposes. Adjusts for inflation/escalation for the years of expenditure, calculated by applying inflation/escalation rates to the outlay profile.  Also called "</t>
    </r>
    <r>
      <rPr>
        <b/>
        <sz val="10"/>
        <rFont val="Arial"/>
        <family val="2"/>
      </rPr>
      <t>then-year dollar</t>
    </r>
    <r>
      <rPr>
        <sz val="10"/>
        <rFont val="Arial"/>
        <family val="2"/>
      </rPr>
      <t>" for a particular budget year.  The Total Obligational Authority (TOA) of funds appropriated in a specific year (Budget or Then Year Dollars) must properly reflect the impact of inflation/escalation over the years of actual expenditure (outlay).</t>
    </r>
  </si>
  <si>
    <r>
      <t>Budget Year Index (Multiplier)</t>
    </r>
    <r>
      <rPr>
        <sz val="10"/>
        <rFont val="Arial"/>
        <family val="2"/>
      </rPr>
      <t xml:space="preserve"> - An index created to inflate budget dollars from one budget year to another.  Also called TOA deflator.  This index is similar to the Weighted Index but divides the index by the base year value to set budget year index to 1.0 for the base year.  See the Example_Notes Tab for more detail.</t>
    </r>
  </si>
  <si>
    <r>
      <t xml:space="preserve">Constant Price - </t>
    </r>
    <r>
      <rPr>
        <sz val="10"/>
        <rFont val="Arial"/>
        <family val="2"/>
      </rPr>
      <t>A dollar value that has been adjusted for the price escalation of a specific good/commodity/service.  The normalization to a constant price adjusts for market price changes over time including but not limited to,  inflation. OSD Guidance for Fuel, Military Pay and Civilian Pay are for constant price adjustments.</t>
    </r>
  </si>
  <si>
    <r>
      <t>Inflation/Escalation Rate</t>
    </r>
    <r>
      <rPr>
        <sz val="10"/>
        <rFont val="Arial"/>
        <family val="2"/>
      </rPr>
      <t xml:space="preserve"> - The percentage change in the general/specific price level from one period to another. A series of these changes over time forms an index. This rate is not intended to account for changes in quality over time. </t>
    </r>
  </si>
  <si>
    <r>
      <t>Raw Inflation/Escalation Index</t>
    </r>
    <r>
      <rPr>
        <sz val="10"/>
        <rFont val="Arial"/>
        <family val="2"/>
      </rPr>
      <t xml:space="preserve"> - An index built from compounding the annual rate changes (inflation/escalation).  Used to convert from one Base/Constant Dollar to another years Base/Constant Dollar. The index is not influenced by Outlay Profiles.  </t>
    </r>
    <r>
      <rPr>
        <sz val="10"/>
        <color rgb="FF006600"/>
        <rFont val="Arial"/>
        <family val="2"/>
      </rPr>
      <t>This index is equivalent to what the Army referred to as a Compound Index</t>
    </r>
    <r>
      <rPr>
        <sz val="10"/>
        <color rgb="FF008000"/>
        <rFont val="Arial"/>
        <family val="2"/>
      </rPr>
      <t>.</t>
    </r>
  </si>
  <si>
    <t xml:space="preserve">Background and Instructions for Creating and Using Indices  </t>
  </si>
  <si>
    <t>Inflation_Escalation</t>
  </si>
  <si>
    <t xml:space="preserve">Expanded SAR </t>
  </si>
  <si>
    <t>Yes</t>
  </si>
  <si>
    <t>PMA-251</t>
  </si>
  <si>
    <t>AGM-88E AARGM</t>
  </si>
  <si>
    <t>AIM-9X Blk II</t>
  </si>
  <si>
    <t>MPAF</t>
  </si>
  <si>
    <t>CVN 78 CLASS</t>
  </si>
  <si>
    <t xml:space="preserve">O&amp;MN  </t>
  </si>
  <si>
    <t>E-2D AHE</t>
  </si>
  <si>
    <t>JPALS Inc 1A</t>
  </si>
  <si>
    <t>MISC-PROC</t>
  </si>
  <si>
    <t>LPD-17</t>
  </si>
  <si>
    <t>PMA/W 101</t>
  </si>
  <si>
    <t>PDW, OPA, APAF, OPAF</t>
  </si>
  <si>
    <t>MQ-4C TRITON (formerly BAMS UAS)</t>
  </si>
  <si>
    <t>TRIDENT II MSL</t>
  </si>
  <si>
    <t>MCDW, PDW, APAF</t>
  </si>
  <si>
    <t>Key:</t>
  </si>
  <si>
    <r>
      <t>AAG</t>
    </r>
    <r>
      <rPr>
        <b/>
        <vertAlign val="superscript"/>
        <sz val="11"/>
        <rFont val="Calibri"/>
        <family val="2"/>
        <scheme val="minor"/>
      </rPr>
      <t>1</t>
    </r>
  </si>
  <si>
    <r>
      <t>F/A-18 E/F IRST</t>
    </r>
    <r>
      <rPr>
        <b/>
        <vertAlign val="superscript"/>
        <sz val="11"/>
        <rFont val="Calibri"/>
        <family val="2"/>
        <scheme val="minor"/>
      </rPr>
      <t>1</t>
    </r>
    <r>
      <rPr>
        <b/>
        <sz val="11"/>
        <rFont val="Calibri"/>
        <family val="2"/>
        <scheme val="minor"/>
      </rPr>
      <t xml:space="preserve"> </t>
    </r>
  </si>
  <si>
    <r>
      <rPr>
        <b/>
        <vertAlign val="superscript"/>
        <sz val="11"/>
        <color rgb="FFFF0000"/>
        <rFont val="Calibri"/>
        <family val="2"/>
        <scheme val="minor"/>
      </rPr>
      <t>1</t>
    </r>
    <r>
      <rPr>
        <b/>
        <sz val="11"/>
        <color rgb="FFFF0000"/>
        <rFont val="Calibri"/>
        <family val="2"/>
        <scheme val="minor"/>
      </rPr>
      <t xml:space="preserve"> Initial December 2015 SAR planned but may be delayed</t>
    </r>
  </si>
  <si>
    <t>The mechanics of this can be seen as a two step process:</t>
  </si>
  <si>
    <t>Constant $  to  Constant $</t>
  </si>
  <si>
    <t>Constant $  to  Then-Year $</t>
  </si>
  <si>
    <t>Then-Year $ to Constant $</t>
  </si>
  <si>
    <t>Then-Year $ to Then-Year $</t>
  </si>
  <si>
    <t>Constant$</t>
  </si>
  <si>
    <t>TY$</t>
  </si>
  <si>
    <t>B. The DOD Inflation Handbook - 2nd edition</t>
  </si>
  <si>
    <t>*Note: If Then-Year value is based on the use of a Non-OSD (GDP-Deflator Based) then the Then-Year to Then-Year will not be correct.</t>
  </si>
  <si>
    <r>
      <t>Combined Outlay Factor</t>
    </r>
    <r>
      <rPr>
        <sz val="10"/>
        <rFont val="Arial"/>
        <family val="2"/>
      </rPr>
      <t xml:space="preserve"> -  A single factor that  annually captures the application of inflation/escalation to the outlay profile.  Used in the calculation of the Weighted and Budget Indices.</t>
    </r>
  </si>
  <si>
    <r>
      <t>Composite Inflation Rate/Index</t>
    </r>
    <r>
      <rPr>
        <sz val="10"/>
        <rFont val="Arial"/>
        <family val="2"/>
      </rPr>
      <t xml:space="preserve"> - An index that combines the inflation/escalation impact on two or more cost elements; for example, the OMN index can consists of purchases, civilian pay and fuel.  N801 provides percentages (for Navy Indices) used to combine individual indices to produce the Composite Index.  Also called aggregate.  </t>
    </r>
    <r>
      <rPr>
        <sz val="10"/>
        <color indexed="17"/>
        <rFont val="Arial"/>
        <family val="2"/>
      </rPr>
      <t>The Army Composite Index is equivalent to the Weighted Index in this calculator.</t>
    </r>
  </si>
  <si>
    <r>
      <t>Outlay Profile</t>
    </r>
    <r>
      <rPr>
        <sz val="10"/>
        <rFont val="Arial"/>
        <family val="2"/>
      </rPr>
      <t xml:space="preserve"> -  The rates at which dollars in each annual appropriation are expended over time, displayed as percentage of  funds expended per year.  To calculate the annual budget/fiscal year values, inflation is applied according to the outlay profile and summed to determine the required budget amount.  There are no outlay profiles for pay and fuel, which are expended entirely in the year they are appropriated.  Also referred to as  spend-out or expenditure rate.</t>
    </r>
  </si>
  <si>
    <r>
      <t>Weighted Index</t>
    </r>
    <r>
      <rPr>
        <sz val="10"/>
        <rFont val="Arial"/>
        <family val="2"/>
      </rPr>
      <t xml:space="preserve"> - An index used to account for the impact of inflation as an appropriated amount is expended over time.   It is calculated by combining the Raw Inflation Index with the outlay profiles. Note that for Fuel, MILPAY and CIVPAY the Raw Index is the same as the Weighted and Budget Year Indices because these expenses are assumed to be fully expended in one year.  </t>
    </r>
    <r>
      <rPr>
        <sz val="10"/>
        <color rgb="FF006600"/>
        <rFont val="Arial"/>
        <family val="2"/>
      </rPr>
      <t xml:space="preserve"> This index is equivalent to what the Army referred to as the Composite Index.</t>
    </r>
  </si>
  <si>
    <r>
      <t xml:space="preserve">Inflation - </t>
    </r>
    <r>
      <rPr>
        <sz val="10"/>
        <rFont val="Arial"/>
        <family val="2"/>
      </rPr>
      <t>A rise in the general price level.  It is an economy wide measure.  The  JIC measure comes from the annual OSD Inflation Guidance. It is largely based on the implicit price deflator for the Gross Domestic Product (GDP).</t>
    </r>
  </si>
  <si>
    <r>
      <t>Inflation/Escalation Index</t>
    </r>
    <r>
      <rPr>
        <sz val="10"/>
        <rFont val="Arial"/>
        <family val="2"/>
      </rPr>
      <t xml:space="preserve"> - A series of numbers</t>
    </r>
    <r>
      <rPr>
        <sz val="10"/>
        <rFont val="Arial"/>
        <family val="2"/>
      </rPr>
      <t xml:space="preserve"> that represents the cumulative yearly effect of inflation/escalation.  It is usually expressed in reference to a specific reference year, calculated by dividing the index by the factor for the specific reference year.  For the Raw Index this results in a base value of 1.0.  The index may be restated in any base year.</t>
    </r>
  </si>
  <si>
    <t xml:space="preserve"> Examples_Notes</t>
  </si>
  <si>
    <r>
      <t xml:space="preserve">Escalation- </t>
    </r>
    <r>
      <rPr>
        <sz val="10"/>
        <rFont val="Arial"/>
        <family val="2"/>
      </rPr>
      <t xml:space="preserve">The change (or percentage change ) in the price of a good, service or a selection or goods and services overtime.  The change is in the nominal value only and should not reflect a change in the quality of the good or service.  It can be positive or negative and it includes both the impact of inflation and real market forces on a good/commodity/service. Fuel, MILPAY, and CIVPAY are examples of indices reflecting escalation. </t>
    </r>
  </si>
  <si>
    <t xml:space="preserve">EXAMPLES:  </t>
  </si>
  <si>
    <t>Calculator Glossary</t>
  </si>
  <si>
    <t>Glossary</t>
  </si>
  <si>
    <t>Civ pay = Civilian Payroll for all services (OSD Cost Escalation Element)</t>
  </si>
  <si>
    <t>Fuel for all services (OSD Cost Escalation Element)</t>
  </si>
  <si>
    <t>NDSF (NAVSEA/BLS History) = National Defense Sealift Fund (NAVSEA/BLS historical, OSD future)(4557)</t>
  </si>
  <si>
    <t>Civilian Pay (CIVPAY) Appropriation (Escalation)</t>
  </si>
  <si>
    <t>Military Pay Army (MPA) Appropriation (Escalation)</t>
  </si>
  <si>
    <t>Military Pay Army National Guard (MPANG) Appropriation Composite</t>
  </si>
  <si>
    <t>Operations &amp; Maintenance Army Fuel (OMA_F) Appropriation (Escalation)</t>
  </si>
  <si>
    <t>Military Pay only (OSD Cost Escalation Element)</t>
  </si>
  <si>
    <t>GII</t>
  </si>
  <si>
    <t>General Inflation Index</t>
  </si>
  <si>
    <t xml:space="preserve">*New* To accommodate the volatile environment for fuel, the 2.5% rate for FY22 fuel rates and beyond </t>
  </si>
  <si>
    <t>are included in the SAR guidance and was agreed to by CAPE and Service Representatives</t>
  </si>
  <si>
    <r>
      <t xml:space="preserve">** Inflation and Escalation </t>
    </r>
    <r>
      <rPr>
        <sz val="10"/>
        <rFont val="Arial"/>
        <family val="2"/>
      </rPr>
      <t>note on the difference and use in indices</t>
    </r>
    <r>
      <rPr>
        <b/>
        <sz val="10"/>
        <rFont val="Arial"/>
        <family val="2"/>
      </rPr>
      <t xml:space="preserve">  </t>
    </r>
    <r>
      <rPr>
        <sz val="10"/>
        <rFont val="Arial"/>
        <family val="2"/>
      </rPr>
      <t xml:space="preserve">     </t>
    </r>
    <r>
      <rPr>
        <b/>
        <sz val="10"/>
        <color rgb="FFFF0000"/>
        <rFont val="Arial"/>
        <family val="2"/>
      </rPr>
      <t>**Please read**</t>
    </r>
  </si>
  <si>
    <r>
      <t xml:space="preserve">*  </t>
    </r>
    <r>
      <rPr>
        <b/>
        <sz val="10"/>
        <rFont val="Arial"/>
        <family val="2"/>
      </rPr>
      <t>DON</t>
    </r>
    <r>
      <rPr>
        <sz val="10"/>
        <rFont val="Arial"/>
        <family val="2"/>
      </rPr>
      <t xml:space="preserve"> </t>
    </r>
    <r>
      <rPr>
        <b/>
        <sz val="10"/>
        <rFont val="Arial"/>
        <family val="2"/>
      </rPr>
      <t>Multi Appn</t>
    </r>
    <r>
      <rPr>
        <sz val="10"/>
        <rFont val="Arial"/>
        <family val="2"/>
      </rPr>
      <t xml:space="preserve"> displays indexes for all appropriations on one sheet</t>
    </r>
  </si>
  <si>
    <r>
      <t xml:space="preserve">*  The </t>
    </r>
    <r>
      <rPr>
        <b/>
        <sz val="10"/>
        <rFont val="Arial"/>
        <family val="2"/>
      </rPr>
      <t>Composite</t>
    </r>
    <r>
      <rPr>
        <sz val="10"/>
        <rFont val="Arial"/>
        <family val="2"/>
      </rPr>
      <t xml:space="preserve"> sheet has the cost element weightings for the thirteen composite appropriation indices received from N801.  This is for information only.</t>
    </r>
  </si>
  <si>
    <t>*New* Generate Army MPA composite, MPANG composite, and MPAR composite factors with the Query tab</t>
  </si>
  <si>
    <t>MPANG  COMP*</t>
  </si>
  <si>
    <t>MPAR   COMP*</t>
  </si>
  <si>
    <t>Enter Base Year        (1985-2024)</t>
  </si>
  <si>
    <t>JIC Ver 8 Feb 2017</t>
  </si>
  <si>
    <t>JIC  Ver 8  Feb 2017</t>
  </si>
  <si>
    <t>This sheet updated Feb 2017</t>
  </si>
  <si>
    <t>Generate Army MPA composite, MPANG composite, and MPAR composite factors with the Query tab</t>
  </si>
  <si>
    <t>This sheet was updated Feb 2017</t>
  </si>
  <si>
    <t>This sheet has composite factors for 13 appropriations.  March 2017</t>
  </si>
  <si>
    <t xml:space="preserve">Note: In  3/17 this sheet was updated with the N801 factors requested in March 2016 </t>
  </si>
  <si>
    <t>Fuel factor for the current year (currently 2017) reflects price assumptions when PB was originally submitted and not updates throughout the year</t>
  </si>
  <si>
    <t>ARMY</t>
  </si>
  <si>
    <t/>
  </si>
  <si>
    <t>Civ Pay*</t>
  </si>
  <si>
    <t>Fuel*</t>
  </si>
  <si>
    <t>Mil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</si>
</sst>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0.0000"/>
    <numFmt numFmtId="165" formatCode="0.0"/>
    <numFmt numFmtId="166" formatCode="0.0%"/>
    <numFmt numFmtId="167" formatCode="0.00000"/>
    <numFmt numFmtId="168" formatCode="_(* #,##0.0_);_(* \(#,##0.0\);_(* &quot;-&quot;??_);_(@_)"/>
    <numFmt numFmtId="169" formatCode="#,##0.0"/>
    <numFmt numFmtId="170" formatCode="m/d/yy"/>
    <numFmt numFmtId="171" formatCode="0.0000000"/>
    <numFmt numFmtId="172" formatCode="_(* #,##0.0000_);_(* \(#,##0.0000\);_(* &quot;-&quot;??_);_(@_)"/>
    <numFmt numFmtId="173" formatCode="0_);\(0\)"/>
    <numFmt numFmtId="174" formatCode="_(* #,##0_);_(* \(#,##0\);_(* &quot;-&quot;??_);_(@_)"/>
    <numFmt numFmtId="175" formatCode="[$-409]d\-mmm\-yy;@"/>
    <numFmt numFmtId="176" formatCode="00000"/>
    <numFmt numFmtId="177" formatCode="[$-409]mmm\-yy;@"/>
    <numFmt numFmtId="178" formatCode="[$-409]d\-mmm\-yyyy;@"/>
    <numFmt numFmtId="179" formatCode="0.000000"/>
  </numFmts>
  <fonts count="130">
    <font>
      <sz val="10"/>
      <name val="Arial"/>
    </font>
    <font>
      <sz val="10"/>
      <name val="Arial"/>
      <family val="2"/>
    </font>
    <font>
      <b/>
      <sz val="10"/>
      <name val="Arial"/>
      <family val="2"/>
    </font>
    <font>
      <sz val="8"/>
      <color indexed="81"/>
      <name val="Tahoma"/>
      <family val="2"/>
    </font>
    <font>
      <b/>
      <sz val="8"/>
      <color indexed="81"/>
      <name val="Tahoma"/>
      <family val="2"/>
    </font>
    <font>
      <b/>
      <sz val="10"/>
      <name val="Arial"/>
      <family val="2"/>
    </font>
    <font>
      <sz val="10"/>
      <name val="Arial"/>
      <family val="2"/>
    </font>
    <font>
      <b/>
      <sz val="12"/>
      <name val="Arial"/>
      <family val="2"/>
    </font>
    <font>
      <b/>
      <sz val="11"/>
      <name val="Arial"/>
      <family val="2"/>
    </font>
    <font>
      <sz val="11"/>
      <name val="Arial"/>
      <family val="2"/>
    </font>
    <font>
      <u/>
      <sz val="10"/>
      <color indexed="12"/>
      <name val="Arial"/>
      <family val="2"/>
    </font>
    <font>
      <b/>
      <u/>
      <sz val="10"/>
      <color indexed="12"/>
      <name val="Arial"/>
      <family val="2"/>
    </font>
    <font>
      <b/>
      <u/>
      <sz val="11"/>
      <color indexed="12"/>
      <name val="Arial"/>
      <family val="2"/>
    </font>
    <font>
      <b/>
      <sz val="12"/>
      <color indexed="12"/>
      <name val="Arial"/>
      <family val="2"/>
    </font>
    <font>
      <b/>
      <sz val="13"/>
      <name val="Arial"/>
      <family val="2"/>
    </font>
    <font>
      <sz val="9"/>
      <name val="Arial"/>
      <family val="2"/>
    </font>
    <font>
      <b/>
      <sz val="14"/>
      <name val="Wingdings 3"/>
      <family val="1"/>
      <charset val="2"/>
    </font>
    <font>
      <sz val="12"/>
      <name val="Arial"/>
      <family val="2"/>
    </font>
    <font>
      <sz val="10"/>
      <name val="Verdana"/>
      <family val="2"/>
    </font>
    <font>
      <sz val="10"/>
      <color indexed="10"/>
      <name val="Arial"/>
      <family val="2"/>
    </font>
    <font>
      <b/>
      <sz val="10"/>
      <color indexed="10"/>
      <name val="Arial"/>
      <family val="2"/>
    </font>
    <font>
      <b/>
      <sz val="16"/>
      <name val="Arial"/>
      <family val="2"/>
    </font>
    <font>
      <i/>
      <sz val="10"/>
      <name val="Arial"/>
      <family val="2"/>
    </font>
    <font>
      <sz val="8"/>
      <name val="Arial"/>
      <family val="2"/>
    </font>
    <font>
      <b/>
      <sz val="12"/>
      <color indexed="81"/>
      <name val="Tahoma"/>
      <family val="2"/>
    </font>
    <font>
      <b/>
      <sz val="11"/>
      <color indexed="10"/>
      <name val="Arial"/>
      <family val="2"/>
    </font>
    <font>
      <b/>
      <sz val="13"/>
      <color indexed="10"/>
      <name val="Arial"/>
      <family val="2"/>
    </font>
    <font>
      <i/>
      <sz val="16"/>
      <name val="Arial"/>
      <family val="2"/>
    </font>
    <font>
      <sz val="8"/>
      <name val="Arial"/>
      <family val="2"/>
    </font>
    <font>
      <sz val="10"/>
      <color indexed="12"/>
      <name val="Arial"/>
      <family val="2"/>
    </font>
    <font>
      <sz val="10"/>
      <color indexed="17"/>
      <name val="Arial"/>
      <family val="2"/>
    </font>
    <font>
      <sz val="1"/>
      <color indexed="23"/>
      <name val="Arial"/>
      <family val="2"/>
    </font>
    <font>
      <b/>
      <sz val="16"/>
      <name val="Lucida Sans Unicode"/>
      <family val="2"/>
    </font>
    <font>
      <b/>
      <sz val="9"/>
      <name val="Arial"/>
      <family val="2"/>
    </font>
    <font>
      <b/>
      <sz val="18"/>
      <name val="Arial"/>
      <family val="2"/>
    </font>
    <font>
      <sz val="10"/>
      <color indexed="9"/>
      <name val="Arial"/>
      <family val="2"/>
    </font>
    <font>
      <sz val="10"/>
      <color indexed="81"/>
      <name val="Tahoma"/>
      <family val="2"/>
    </font>
    <font>
      <sz val="10"/>
      <color indexed="8"/>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9"/>
      <color indexed="48"/>
      <name val="Arial"/>
      <family val="2"/>
    </font>
    <font>
      <sz val="11"/>
      <color indexed="48"/>
      <name val="Arial"/>
      <family val="2"/>
    </font>
    <font>
      <b/>
      <sz val="12"/>
      <color indexed="48"/>
      <name val="Arial"/>
      <family val="2"/>
    </font>
    <font>
      <b/>
      <sz val="11"/>
      <color indexed="9"/>
      <name val="Arial"/>
      <family val="2"/>
    </font>
    <font>
      <b/>
      <sz val="14"/>
      <color indexed="9"/>
      <name val="Arial"/>
      <family val="2"/>
    </font>
    <font>
      <u/>
      <sz val="10"/>
      <color indexed="9"/>
      <name val="Arial"/>
      <family val="2"/>
    </font>
    <font>
      <b/>
      <sz val="12"/>
      <color indexed="9"/>
      <name val="Arial"/>
      <family val="2"/>
    </font>
    <font>
      <b/>
      <sz val="8"/>
      <name val="Arial"/>
      <family val="2"/>
    </font>
    <font>
      <sz val="10"/>
      <color indexed="8"/>
      <name val="Arial"/>
      <family val="2"/>
    </font>
    <font>
      <b/>
      <sz val="10"/>
      <color indexed="81"/>
      <name val="Tahoma"/>
      <family val="2"/>
    </font>
    <font>
      <sz val="10"/>
      <color indexed="63"/>
      <name val="Inherit"/>
    </font>
    <font>
      <b/>
      <sz val="14"/>
      <color indexed="10"/>
      <name val="Arial"/>
      <family val="2"/>
    </font>
    <font>
      <b/>
      <sz val="10"/>
      <color indexed="9"/>
      <name val="Arial"/>
      <family val="2"/>
    </font>
    <font>
      <b/>
      <sz val="11"/>
      <color indexed="9"/>
      <name val="Arial"/>
      <family val="2"/>
    </font>
    <font>
      <sz val="10"/>
      <color indexed="9"/>
      <name val="Arial"/>
      <family val="2"/>
    </font>
    <font>
      <b/>
      <sz val="9"/>
      <color indexed="9"/>
      <name val="Arial"/>
      <family val="2"/>
    </font>
    <font>
      <b/>
      <sz val="16"/>
      <color indexed="9"/>
      <name val="Lucida Sans Unicode"/>
      <family val="2"/>
    </font>
    <font>
      <sz val="10"/>
      <color indexed="17"/>
      <name val="Arial"/>
      <family val="2"/>
    </font>
    <font>
      <sz val="11"/>
      <color indexed="8"/>
      <name val="Arial"/>
      <family val="2"/>
    </font>
    <font>
      <sz val="14"/>
      <name val="Arial"/>
      <family val="2"/>
    </font>
    <font>
      <b/>
      <i/>
      <sz val="9"/>
      <color indexed="10"/>
      <name val="Arial"/>
      <family val="2"/>
    </font>
    <font>
      <sz val="10"/>
      <color rgb="FF008000"/>
      <name val="Arial"/>
      <family val="2"/>
    </font>
    <font>
      <sz val="10"/>
      <color rgb="FF006600"/>
      <name val="Arial"/>
      <family val="2"/>
    </font>
    <font>
      <i/>
      <sz val="9"/>
      <color rgb="FFFB4E31"/>
      <name val="Arial"/>
      <family val="2"/>
    </font>
    <font>
      <b/>
      <sz val="12"/>
      <color theme="1"/>
      <name val="Arial"/>
      <family val="2"/>
    </font>
    <font>
      <strike/>
      <sz val="1"/>
      <color rgb="FF808080"/>
      <name val="Arial"/>
      <family val="2"/>
    </font>
    <font>
      <b/>
      <sz val="13"/>
      <name val="Wingdings 3"/>
      <family val="1"/>
      <charset val="2"/>
    </font>
    <font>
      <b/>
      <sz val="12"/>
      <color rgb="FF0000FF"/>
      <name val="Arial"/>
      <family val="2"/>
    </font>
    <font>
      <b/>
      <sz val="11"/>
      <color rgb="FF0000FF"/>
      <name val="Arial"/>
      <family val="2"/>
    </font>
    <font>
      <b/>
      <u/>
      <sz val="11"/>
      <color rgb="FF006600"/>
      <name val="Arial"/>
      <family val="2"/>
    </font>
    <font>
      <b/>
      <sz val="10"/>
      <color theme="1"/>
      <name val="Arial"/>
      <family val="2"/>
    </font>
    <font>
      <b/>
      <sz val="11"/>
      <color rgb="FF006600"/>
      <name val="Arial"/>
      <family val="2"/>
    </font>
    <font>
      <sz val="1"/>
      <name val="Arial"/>
      <family val="2"/>
    </font>
    <font>
      <u/>
      <sz val="11"/>
      <color indexed="12"/>
      <name val="Arial"/>
      <family val="2"/>
    </font>
    <font>
      <b/>
      <u/>
      <sz val="11"/>
      <color theme="0"/>
      <name val="Arial"/>
      <family val="2"/>
    </font>
    <font>
      <sz val="10"/>
      <color rgb="FF000000"/>
      <name val="Arial"/>
      <family val="2"/>
    </font>
    <font>
      <sz val="10"/>
      <color theme="0"/>
      <name val="Arial"/>
      <family val="2"/>
    </font>
    <font>
      <b/>
      <u/>
      <sz val="11"/>
      <color rgb="FF0000FF"/>
      <name val="Arial"/>
      <family val="2"/>
    </font>
    <font>
      <b/>
      <sz val="10"/>
      <color rgb="FFFF0000"/>
      <name val="Arial"/>
      <family val="2"/>
    </font>
    <font>
      <b/>
      <sz val="14"/>
      <color rgb="FF006600"/>
      <name val="Arial"/>
      <family val="2"/>
    </font>
    <font>
      <u/>
      <sz val="10"/>
      <color rgb="FF006600"/>
      <name val="Arial"/>
      <family val="2"/>
    </font>
    <font>
      <u/>
      <sz val="11"/>
      <color rgb="FF006600"/>
      <name val="Arial"/>
      <family val="2"/>
    </font>
    <font>
      <b/>
      <sz val="11"/>
      <color rgb="FFFF0000"/>
      <name val="Arial"/>
      <family val="2"/>
    </font>
    <font>
      <b/>
      <sz val="12"/>
      <color rgb="FFFF0000"/>
      <name val="Arial"/>
      <family val="2"/>
    </font>
    <font>
      <sz val="10"/>
      <color rgb="FFFF0000"/>
      <name val="Arial"/>
      <family val="2"/>
    </font>
    <font>
      <b/>
      <sz val="12"/>
      <color rgb="FF006600"/>
      <name val="Arial"/>
      <family val="2"/>
    </font>
    <font>
      <i/>
      <sz val="10"/>
      <color rgb="FFFF0000"/>
      <name val="Arial"/>
      <family val="2"/>
    </font>
    <font>
      <b/>
      <i/>
      <sz val="10"/>
      <name val="Arial"/>
      <family val="2"/>
    </font>
    <font>
      <sz val="10"/>
      <color rgb="FF5058F2"/>
      <name val="Arial"/>
      <family val="2"/>
    </font>
    <font>
      <b/>
      <u/>
      <sz val="10"/>
      <name val="Arial"/>
      <family val="2"/>
    </font>
    <font>
      <b/>
      <u/>
      <sz val="10"/>
      <color rgb="FFFF0000"/>
      <name val="Arial"/>
      <family val="2"/>
    </font>
    <font>
      <u/>
      <sz val="12"/>
      <color indexed="12"/>
      <name val="Arial"/>
      <family val="2"/>
    </font>
    <font>
      <i/>
      <sz val="11"/>
      <name val="Arial"/>
      <family val="2"/>
    </font>
    <font>
      <b/>
      <i/>
      <sz val="11"/>
      <color rgb="FFFF0000"/>
      <name val="Arial"/>
      <family val="2"/>
    </font>
    <font>
      <b/>
      <sz val="14"/>
      <color rgb="FF0000FF"/>
      <name val="Arial"/>
      <family val="2"/>
    </font>
    <font>
      <b/>
      <i/>
      <sz val="11"/>
      <name val="Arial"/>
      <family val="2"/>
    </font>
    <font>
      <b/>
      <i/>
      <sz val="12"/>
      <name val="Arial"/>
      <family val="2"/>
    </font>
    <font>
      <sz val="11"/>
      <color rgb="FF000000"/>
      <name val="Arial"/>
      <family val="2"/>
    </font>
    <font>
      <b/>
      <sz val="14"/>
      <color rgb="FFFF0000"/>
      <name val="Arial"/>
      <family val="2"/>
    </font>
    <font>
      <u/>
      <sz val="11"/>
      <name val="Arial"/>
      <family val="2"/>
    </font>
    <font>
      <b/>
      <sz val="13"/>
      <color rgb="FFFF0000"/>
      <name val="Arial"/>
      <family val="2"/>
    </font>
    <font>
      <b/>
      <u/>
      <sz val="12"/>
      <color indexed="12"/>
      <name val="Arial"/>
      <family val="2"/>
    </font>
    <font>
      <sz val="11"/>
      <name val="Calibri"/>
      <family val="2"/>
      <scheme val="minor"/>
    </font>
    <font>
      <b/>
      <sz val="9"/>
      <color indexed="81"/>
      <name val="Tahoma"/>
      <family val="2"/>
    </font>
    <font>
      <sz val="9"/>
      <color indexed="81"/>
      <name val="Tahoma"/>
      <family val="2"/>
    </font>
    <font>
      <b/>
      <sz val="14"/>
      <color rgb="FFC00000"/>
      <name val="Arial"/>
      <family val="2"/>
    </font>
    <font>
      <b/>
      <sz val="11"/>
      <color rgb="FFC00000"/>
      <name val="Arial"/>
      <family val="2"/>
    </font>
    <font>
      <sz val="11"/>
      <color rgb="FFA880FF"/>
      <name val="Arial"/>
      <family val="2"/>
    </font>
    <font>
      <b/>
      <sz val="11"/>
      <color rgb="FFFF0000"/>
      <name val="Calibri"/>
      <family val="2"/>
      <scheme val="minor"/>
    </font>
    <font>
      <b/>
      <vertAlign val="superscript"/>
      <sz val="11"/>
      <color rgb="FFFF0000"/>
      <name val="Calibri"/>
      <family val="2"/>
      <scheme val="minor"/>
    </font>
    <font>
      <b/>
      <sz val="11"/>
      <name val="Calibri"/>
      <family val="2"/>
      <scheme val="minor"/>
    </font>
    <font>
      <b/>
      <vertAlign val="superscript"/>
      <sz val="11"/>
      <name val="Calibri"/>
      <family val="2"/>
      <scheme val="minor"/>
    </font>
    <font>
      <sz val="16"/>
      <name val="Arial"/>
      <family val="2"/>
    </font>
    <font>
      <b/>
      <sz val="14"/>
      <name val="Arial"/>
      <family val="2"/>
    </font>
    <font>
      <sz val="12"/>
      <color rgb="FFFF0000"/>
      <name val="Arial"/>
      <family val="2"/>
    </font>
    <font>
      <b/>
      <sz val="10"/>
      <color theme="0"/>
      <name val="Arial"/>
      <family val="2"/>
    </font>
    <font>
      <b/>
      <sz val="16"/>
      <color rgb="FFFF0000"/>
      <name val="Arial"/>
      <family val="2"/>
    </font>
    <font>
      <b/>
      <sz val="18"/>
      <color rgb="FFFF0000"/>
      <name val="Arial"/>
      <family val="2"/>
    </font>
  </fonts>
  <fills count="5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46"/>
        <bgColor indexed="64"/>
      </patternFill>
    </fill>
    <fill>
      <patternFill patternType="solid">
        <fgColor indexed="41"/>
        <bgColor indexed="64"/>
      </patternFill>
    </fill>
    <fill>
      <patternFill patternType="solid">
        <fgColor indexed="17"/>
        <bgColor indexed="64"/>
      </patternFill>
    </fill>
    <fill>
      <patternFill patternType="solid">
        <fgColor indexed="48"/>
        <bgColor indexed="64"/>
      </patternFill>
    </fill>
    <fill>
      <patternFill patternType="solid">
        <fgColor indexed="57"/>
        <bgColor indexed="64"/>
      </patternFill>
    </fill>
    <fill>
      <patternFill patternType="solid">
        <fgColor indexed="9"/>
        <bgColor indexed="64"/>
      </patternFill>
    </fill>
    <fill>
      <patternFill patternType="solid">
        <fgColor theme="0"/>
        <bgColor indexed="64"/>
      </patternFill>
    </fill>
    <fill>
      <patternFill patternType="solid">
        <fgColor rgb="FF99CCFF"/>
        <bgColor indexed="64"/>
      </patternFill>
    </fill>
    <fill>
      <patternFill patternType="solid">
        <fgColor theme="0" tint="-0.14996795556505021"/>
        <bgColor indexed="64"/>
      </patternFill>
    </fill>
    <fill>
      <patternFill patternType="solid">
        <fgColor rgb="FFFFFF99"/>
        <bgColor indexed="64"/>
      </patternFill>
    </fill>
    <fill>
      <patternFill patternType="solid">
        <fgColor rgb="FFCCFFCC"/>
        <bgColor indexed="64"/>
      </patternFill>
    </fill>
    <fill>
      <patternFill patternType="solid">
        <fgColor rgb="FF5850F2"/>
        <bgColor indexed="64"/>
      </patternFill>
    </fill>
    <fill>
      <patternFill patternType="solid">
        <fgColor rgb="FFA880FF"/>
        <bgColor indexed="64"/>
      </patternFill>
    </fill>
    <fill>
      <patternFill patternType="solid">
        <fgColor rgb="FFDDDDDD"/>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indexed="10"/>
        <bgColor indexed="64"/>
      </patternFill>
    </fill>
    <fill>
      <patternFill patternType="solid">
        <fgColor theme="5" tint="0.79998168889431442"/>
        <bgColor indexed="64"/>
      </patternFill>
    </fill>
    <fill>
      <patternFill patternType="solid">
        <fgColor theme="6" tint="0.59999389629810485"/>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ck">
        <color indexed="12"/>
      </left>
      <right style="thick">
        <color indexed="12"/>
      </right>
      <top style="thick">
        <color indexed="12"/>
      </top>
      <bottom style="thick">
        <color indexed="12"/>
      </bottom>
      <diagonal/>
    </border>
    <border>
      <left style="medium">
        <color indexed="12"/>
      </left>
      <right style="medium">
        <color indexed="12"/>
      </right>
      <top style="medium">
        <color indexed="12"/>
      </top>
      <bottom style="medium">
        <color indexed="12"/>
      </bottom>
      <diagonal/>
    </border>
    <border>
      <left style="thin">
        <color indexed="64"/>
      </left>
      <right style="thin">
        <color indexed="64"/>
      </right>
      <top/>
      <bottom style="thin">
        <color indexed="64"/>
      </bottom>
      <diagonal/>
    </border>
    <border>
      <left style="medium">
        <color indexed="12"/>
      </left>
      <right style="medium">
        <color indexed="12"/>
      </right>
      <top style="medium">
        <color indexed="12"/>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12"/>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theme="1"/>
      </left>
      <right style="thick">
        <color theme="1"/>
      </right>
      <top style="thick">
        <color theme="1"/>
      </top>
      <bottom style="thick">
        <color theme="1"/>
      </bottom>
      <diagonal/>
    </border>
    <border>
      <left/>
      <right style="thin">
        <color indexed="64"/>
      </right>
      <top/>
      <bottom style="thin">
        <color indexed="64"/>
      </bottom>
      <diagonal/>
    </border>
    <border>
      <left/>
      <right style="medium">
        <color indexed="12"/>
      </right>
      <top style="thin">
        <color indexed="64"/>
      </top>
      <bottom/>
      <diagonal/>
    </border>
    <border>
      <left/>
      <right style="medium">
        <color indexed="12"/>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s>
  <cellStyleXfs count="46">
    <xf numFmtId="0" fontId="0" fillId="0" borderId="0"/>
    <xf numFmtId="0" fontId="37" fillId="2" borderId="0" applyNumberFormat="0" applyBorder="0" applyAlignment="0" applyProtection="0"/>
    <xf numFmtId="0" fontId="37" fillId="3" borderId="0" applyNumberFormat="0" applyBorder="0" applyAlignment="0" applyProtection="0"/>
    <xf numFmtId="0" fontId="37" fillId="4" borderId="0" applyNumberFormat="0" applyBorder="0" applyAlignment="0" applyProtection="0"/>
    <xf numFmtId="0" fontId="37" fillId="5" borderId="0" applyNumberFormat="0" applyBorder="0" applyAlignment="0" applyProtection="0"/>
    <xf numFmtId="0" fontId="37" fillId="6" borderId="0" applyNumberFormat="0" applyBorder="0" applyAlignment="0" applyProtection="0"/>
    <xf numFmtId="0" fontId="37" fillId="7" borderId="0" applyNumberFormat="0" applyBorder="0" applyAlignment="0" applyProtection="0"/>
    <xf numFmtId="0" fontId="37" fillId="8"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5" borderId="0" applyNumberFormat="0" applyBorder="0" applyAlignment="0" applyProtection="0"/>
    <xf numFmtId="0" fontId="37" fillId="8" borderId="0" applyNumberFormat="0" applyBorder="0" applyAlignment="0" applyProtection="0"/>
    <xf numFmtId="0" fontId="37"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0" fontId="38" fillId="3" borderId="0" applyNumberFormat="0" applyBorder="0" applyAlignment="0" applyProtection="0"/>
    <xf numFmtId="0" fontId="39" fillId="20" borderId="1" applyNumberFormat="0" applyAlignment="0" applyProtection="0"/>
    <xf numFmtId="0" fontId="40" fillId="21" borderId="2"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0" fontId="41" fillId="0" borderId="0" applyNumberFormat="0" applyFill="0" applyBorder="0" applyAlignment="0" applyProtection="0"/>
    <xf numFmtId="0" fontId="30"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10" fillId="0" borderId="0" applyNumberFormat="0" applyFill="0" applyBorder="0" applyAlignment="0" applyProtection="0">
      <alignment vertical="top"/>
      <protection locked="0"/>
    </xf>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6"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xf numFmtId="0" fontId="1" fillId="0" borderId="0"/>
  </cellStyleXfs>
  <cellXfs count="784">
    <xf numFmtId="0" fontId="0" fillId="0" borderId="0" xfId="0"/>
    <xf numFmtId="2" fontId="0" fillId="0" borderId="0" xfId="0" applyNumberFormat="1"/>
    <xf numFmtId="164" fontId="0" fillId="0" borderId="0" xfId="0" applyNumberFormat="1"/>
    <xf numFmtId="0" fontId="6" fillId="0" borderId="0" xfId="0" applyFont="1"/>
    <xf numFmtId="0" fontId="2" fillId="0" borderId="0" xfId="0" applyFont="1"/>
    <xf numFmtId="1" fontId="0" fillId="0" borderId="0" xfId="0" applyNumberFormat="1"/>
    <xf numFmtId="1" fontId="2" fillId="0" borderId="0" xfId="0" applyNumberFormat="1" applyFont="1"/>
    <xf numFmtId="1" fontId="0" fillId="0" borderId="0" xfId="0" applyNumberFormat="1" applyAlignment="1">
      <alignment horizontal="right"/>
    </xf>
    <xf numFmtId="0" fontId="2" fillId="0" borderId="0" xfId="0" applyFont="1" applyAlignment="1">
      <alignment wrapText="1"/>
    </xf>
    <xf numFmtId="0" fontId="9" fillId="0" borderId="0" xfId="0" applyFont="1"/>
    <xf numFmtId="10" fontId="0" fillId="0" borderId="0" xfId="0" applyNumberFormat="1"/>
    <xf numFmtId="0" fontId="0" fillId="0" borderId="0" xfId="0" applyFill="1"/>
    <xf numFmtId="164" fontId="0" fillId="0" borderId="0" xfId="0" applyNumberFormat="1" applyFill="1"/>
    <xf numFmtId="10" fontId="0" fillId="0" borderId="0" xfId="0" applyNumberFormat="1" applyFill="1"/>
    <xf numFmtId="0" fontId="6" fillId="0" borderId="0" xfId="0" applyFont="1" applyAlignment="1">
      <alignment wrapText="1"/>
    </xf>
    <xf numFmtId="0" fontId="6" fillId="0" borderId="0" xfId="0" applyFont="1" applyAlignment="1">
      <alignment horizontal="left" vertical="top" wrapText="1"/>
    </xf>
    <xf numFmtId="0" fontId="6" fillId="0" borderId="0" xfId="0" applyFont="1" applyAlignment="1">
      <alignment vertical="top" wrapText="1"/>
    </xf>
    <xf numFmtId="1" fontId="2" fillId="0" borderId="0" xfId="0" applyNumberFormat="1" applyFont="1" applyAlignment="1">
      <alignment horizontal="left"/>
    </xf>
    <xf numFmtId="0" fontId="8" fillId="0" borderId="0" xfId="0" applyFont="1" applyAlignment="1">
      <alignment horizontal="left" vertical="top"/>
    </xf>
    <xf numFmtId="1" fontId="2" fillId="0" borderId="0" xfId="0" applyNumberFormat="1" applyFont="1" applyAlignment="1">
      <alignment horizontal="centerContinuous"/>
    </xf>
    <xf numFmtId="1" fontId="0" fillId="0" borderId="0" xfId="0" applyNumberFormat="1" applyAlignment="1">
      <alignment vertical="top" wrapText="1"/>
    </xf>
    <xf numFmtId="1" fontId="0" fillId="0" borderId="0" xfId="0" applyNumberFormat="1" applyAlignment="1">
      <alignment horizontal="centerContinuous"/>
    </xf>
    <xf numFmtId="2" fontId="0" fillId="0" borderId="0" xfId="0" applyNumberFormat="1" applyAlignment="1">
      <alignment vertical="top" wrapText="1"/>
    </xf>
    <xf numFmtId="2" fontId="2" fillId="0" borderId="0" xfId="0" applyNumberFormat="1" applyFont="1" applyAlignment="1">
      <alignment horizontal="centerContinuous"/>
    </xf>
    <xf numFmtId="2" fontId="5" fillId="0" borderId="0" xfId="0" applyNumberFormat="1" applyFont="1" applyAlignment="1">
      <alignment horizontal="left" vertical="top"/>
    </xf>
    <xf numFmtId="2" fontId="5" fillId="0" borderId="0" xfId="0" applyNumberFormat="1" applyFont="1" applyAlignment="1"/>
    <xf numFmtId="2" fontId="2" fillId="0" borderId="0" xfId="0" applyNumberFormat="1" applyFont="1" applyAlignment="1"/>
    <xf numFmtId="2" fontId="0" fillId="0" borderId="0" xfId="0" applyNumberFormat="1" applyAlignment="1"/>
    <xf numFmtId="2" fontId="5" fillId="0" borderId="0" xfId="0" applyNumberFormat="1" applyFont="1"/>
    <xf numFmtId="2" fontId="0" fillId="0" borderId="0" xfId="0" applyNumberFormat="1" applyAlignment="1">
      <alignment horizontal="centerContinuous"/>
    </xf>
    <xf numFmtId="0" fontId="8" fillId="0" borderId="0" xfId="0" applyFont="1" applyAlignment="1">
      <alignment horizontal="center"/>
    </xf>
    <xf numFmtId="0" fontId="8" fillId="0" borderId="0" xfId="0" applyFont="1" applyAlignment="1">
      <alignment vertical="top" wrapText="1"/>
    </xf>
    <xf numFmtId="0" fontId="11" fillId="0" borderId="0" xfId="36" applyFont="1" applyAlignment="1" applyProtection="1">
      <alignment vertical="center"/>
    </xf>
    <xf numFmtId="1" fontId="0" fillId="0" borderId="0" xfId="0" applyNumberFormat="1" applyAlignment="1">
      <alignment horizontal="left"/>
    </xf>
    <xf numFmtId="1" fontId="0" fillId="0" borderId="10" xfId="0" applyNumberFormat="1" applyBorder="1" applyAlignment="1">
      <alignment horizontal="center"/>
    </xf>
    <xf numFmtId="1" fontId="0" fillId="0" borderId="13" xfId="0" applyNumberFormat="1" applyBorder="1" applyAlignment="1">
      <alignment horizontal="center"/>
    </xf>
    <xf numFmtId="1" fontId="6" fillId="0" borderId="15" xfId="0" applyNumberFormat="1" applyFont="1" applyBorder="1" applyAlignment="1">
      <alignment horizontal="center"/>
    </xf>
    <xf numFmtId="1" fontId="6" fillId="0" borderId="13" xfId="0" applyNumberFormat="1" applyFont="1" applyBorder="1" applyAlignment="1">
      <alignment horizontal="center"/>
    </xf>
    <xf numFmtId="1" fontId="6" fillId="0" borderId="10" xfId="0" applyNumberFormat="1" applyFont="1" applyBorder="1" applyAlignment="1">
      <alignment horizontal="center"/>
    </xf>
    <xf numFmtId="0" fontId="11" fillId="0" borderId="0" xfId="36" applyFont="1" applyFill="1" applyBorder="1" applyAlignment="1" applyProtection="1">
      <alignment horizontal="right" vertical="center" wrapText="1"/>
    </xf>
    <xf numFmtId="0" fontId="2" fillId="0" borderId="16" xfId="0" applyFont="1" applyBorder="1" applyAlignment="1">
      <alignment horizontal="left" vertical="top" wrapText="1"/>
    </xf>
    <xf numFmtId="0" fontId="6" fillId="0" borderId="0" xfId="0" applyFont="1" applyBorder="1"/>
    <xf numFmtId="0" fontId="6" fillId="0" borderId="0" xfId="0" applyFont="1" applyBorder="1" applyAlignment="1">
      <alignment horizontal="right" vertical="top" wrapText="1"/>
    </xf>
    <xf numFmtId="0" fontId="12" fillId="0" borderId="0" xfId="36" applyFont="1" applyFill="1" applyAlignment="1" applyProtection="1">
      <alignment horizontal="center" vertical="center" wrapText="1"/>
    </xf>
    <xf numFmtId="0" fontId="0" fillId="0" borderId="0" xfId="0" applyBorder="1"/>
    <xf numFmtId="0" fontId="0" fillId="0" borderId="0" xfId="0" applyBorder="1" applyProtection="1">
      <protection locked="0"/>
    </xf>
    <xf numFmtId="0" fontId="0" fillId="0" borderId="0" xfId="0" applyProtection="1">
      <protection locked="0"/>
    </xf>
    <xf numFmtId="0" fontId="9" fillId="0" borderId="16" xfId="0" applyFont="1" applyBorder="1" applyProtection="1">
      <protection locked="0"/>
    </xf>
    <xf numFmtId="164" fontId="0" fillId="0" borderId="16" xfId="0" applyNumberFormat="1" applyBorder="1" applyProtection="1">
      <protection locked="0"/>
    </xf>
    <xf numFmtId="0" fontId="0" fillId="0" borderId="16" xfId="0" applyBorder="1" applyProtection="1">
      <protection locked="0"/>
    </xf>
    <xf numFmtId="0" fontId="8" fillId="0" borderId="16" xfId="0" applyFont="1" applyBorder="1" applyProtection="1">
      <protection locked="0"/>
    </xf>
    <xf numFmtId="0" fontId="8" fillId="0" borderId="16" xfId="0" applyFont="1" applyBorder="1" applyAlignment="1" applyProtection="1">
      <alignment horizontal="right"/>
      <protection locked="0"/>
    </xf>
    <xf numFmtId="164" fontId="2" fillId="0" borderId="16" xfId="0" applyNumberFormat="1" applyFont="1" applyBorder="1" applyAlignment="1" applyProtection="1">
      <alignment wrapText="1"/>
      <protection locked="0"/>
    </xf>
    <xf numFmtId="10" fontId="0" fillId="0" borderId="16" xfId="0" applyNumberFormat="1" applyBorder="1" applyProtection="1">
      <protection locked="0"/>
    </xf>
    <xf numFmtId="0" fontId="0" fillId="0" borderId="16" xfId="0" applyBorder="1" applyAlignment="1" applyProtection="1">
      <alignment horizontal="right"/>
      <protection locked="0"/>
    </xf>
    <xf numFmtId="0" fontId="0" fillId="0" borderId="16" xfId="0" applyFill="1" applyBorder="1" applyProtection="1">
      <protection locked="0"/>
    </xf>
    <xf numFmtId="164" fontId="0" fillId="0" borderId="16" xfId="0" applyNumberFormat="1" applyFill="1" applyBorder="1" applyProtection="1">
      <protection locked="0"/>
    </xf>
    <xf numFmtId="10" fontId="0" fillId="0" borderId="16" xfId="0" applyNumberFormat="1" applyFill="1" applyBorder="1" applyProtection="1">
      <protection locked="0"/>
    </xf>
    <xf numFmtId="0" fontId="2" fillId="0" borderId="16" xfId="0" applyFont="1" applyBorder="1" applyAlignment="1" applyProtection="1">
      <alignment horizontal="center" wrapText="1"/>
      <protection locked="0"/>
    </xf>
    <xf numFmtId="164" fontId="2" fillId="0" borderId="16" xfId="0" applyNumberFormat="1" applyFont="1" applyBorder="1" applyAlignment="1" applyProtection="1">
      <alignment horizontal="center" wrapText="1"/>
      <protection locked="0"/>
    </xf>
    <xf numFmtId="0" fontId="2" fillId="0" borderId="19" xfId="0" applyFont="1" applyBorder="1" applyAlignment="1" applyProtection="1">
      <alignment horizontal="center" wrapText="1"/>
      <protection locked="0"/>
    </xf>
    <xf numFmtId="164" fontId="2" fillId="0" borderId="19" xfId="0" applyNumberFormat="1" applyFont="1" applyBorder="1" applyAlignment="1" applyProtection="1">
      <alignment horizontal="center" wrapText="1"/>
      <protection locked="0"/>
    </xf>
    <xf numFmtId="0" fontId="9" fillId="0" borderId="0" xfId="0" applyFont="1" applyBorder="1" applyProtection="1">
      <protection locked="0"/>
    </xf>
    <xf numFmtId="164" fontId="0" fillId="0" borderId="0" xfId="0" applyNumberFormat="1" applyBorder="1" applyProtection="1">
      <protection locked="0"/>
    </xf>
    <xf numFmtId="0" fontId="10" fillId="0" borderId="0" xfId="36" applyAlignment="1" applyProtection="1">
      <alignment vertical="center" wrapText="1"/>
    </xf>
    <xf numFmtId="0" fontId="0" fillId="0" borderId="0" xfId="0" applyAlignment="1">
      <alignment horizontal="center"/>
    </xf>
    <xf numFmtId="0" fontId="0" fillId="0" borderId="16" xfId="0" applyBorder="1"/>
    <xf numFmtId="10" fontId="9" fillId="0" borderId="0" xfId="0" applyNumberFormat="1" applyFont="1" applyBorder="1" applyProtection="1">
      <protection locked="0"/>
    </xf>
    <xf numFmtId="10" fontId="0" fillId="0" borderId="0" xfId="0" applyNumberFormat="1" applyBorder="1" applyProtection="1">
      <protection locked="0"/>
    </xf>
    <xf numFmtId="10" fontId="2" fillId="0" borderId="16" xfId="0" applyNumberFormat="1" applyFont="1" applyBorder="1" applyAlignment="1" applyProtection="1">
      <alignment horizontal="center" wrapText="1"/>
      <protection locked="0"/>
    </xf>
    <xf numFmtId="164" fontId="11" fillId="0" borderId="0" xfId="36" applyNumberFormat="1" applyFont="1" applyAlignment="1" applyProtection="1">
      <alignment horizontal="center"/>
    </xf>
    <xf numFmtId="0" fontId="0" fillId="0" borderId="0" xfId="0" applyAlignment="1">
      <alignment wrapText="1"/>
    </xf>
    <xf numFmtId="169" fontId="0" fillId="0" borderId="0" xfId="0" applyNumberFormat="1"/>
    <xf numFmtId="169" fontId="0" fillId="0" borderId="16" xfId="0" applyNumberFormat="1" applyBorder="1"/>
    <xf numFmtId="164" fontId="2" fillId="0" borderId="16" xfId="0" applyNumberFormat="1" applyFont="1" applyBorder="1" applyAlignment="1">
      <alignment horizontal="center" wrapText="1"/>
    </xf>
    <xf numFmtId="0" fontId="17" fillId="0" borderId="0" xfId="0" applyFont="1" applyAlignment="1">
      <alignment horizontal="right"/>
    </xf>
    <xf numFmtId="0" fontId="7" fillId="24" borderId="16" xfId="0" applyFont="1" applyFill="1" applyBorder="1" applyAlignment="1">
      <alignment horizontal="center" wrapText="1"/>
    </xf>
    <xf numFmtId="169" fontId="7" fillId="0" borderId="16" xfId="0" applyNumberFormat="1" applyFont="1" applyBorder="1" applyAlignment="1">
      <alignment horizontal="center" wrapText="1"/>
    </xf>
    <xf numFmtId="0" fontId="18" fillId="0" borderId="0" xfId="0" applyFont="1" applyAlignment="1">
      <alignment horizontal="center" wrapText="1"/>
    </xf>
    <xf numFmtId="0" fontId="7" fillId="0" borderId="0" xfId="0" applyFont="1" applyAlignment="1">
      <alignment horizontal="left"/>
    </xf>
    <xf numFmtId="0" fontId="17" fillId="0" borderId="0" xfId="0" applyFont="1" applyAlignment="1">
      <alignment horizontal="center"/>
    </xf>
    <xf numFmtId="0" fontId="0" fillId="0" borderId="19" xfId="0" applyBorder="1" applyAlignment="1" applyProtection="1">
      <alignment horizontal="center"/>
      <protection locked="0"/>
    </xf>
    <xf numFmtId="0" fontId="0" fillId="0" borderId="16" xfId="0" applyBorder="1" applyAlignment="1" applyProtection="1">
      <alignment horizontal="center"/>
      <protection locked="0"/>
    </xf>
    <xf numFmtId="0" fontId="2" fillId="0" borderId="16" xfId="0" applyFont="1" applyBorder="1" applyAlignment="1">
      <alignment horizontal="center"/>
    </xf>
    <xf numFmtId="164" fontId="0" fillId="0" borderId="0" xfId="0" applyNumberFormat="1" applyAlignment="1">
      <alignment horizontal="center"/>
    </xf>
    <xf numFmtId="164" fontId="2" fillId="0" borderId="16" xfId="0" applyNumberFormat="1" applyFont="1" applyBorder="1" applyAlignment="1">
      <alignment horizontal="center"/>
    </xf>
    <xf numFmtId="0" fontId="9" fillId="0" borderId="0" xfId="36" applyFont="1" applyFill="1" applyAlignment="1" applyProtection="1">
      <alignment horizontal="left" vertical="top" wrapText="1"/>
    </xf>
    <xf numFmtId="165" fontId="2" fillId="0" borderId="16" xfId="0" applyNumberFormat="1" applyFont="1" applyBorder="1"/>
    <xf numFmtId="0" fontId="9" fillId="0" borderId="0" xfId="0" applyFont="1" applyBorder="1" applyAlignment="1">
      <alignment horizontal="center" wrapText="1"/>
    </xf>
    <xf numFmtId="165" fontId="0" fillId="24" borderId="16" xfId="0" applyNumberFormat="1" applyFill="1" applyBorder="1" applyProtection="1">
      <protection locked="0"/>
    </xf>
    <xf numFmtId="0" fontId="10" fillId="0" borderId="0" xfId="36" applyFill="1" applyAlignment="1" applyProtection="1">
      <alignment horizontal="left" vertical="top" wrapText="1"/>
    </xf>
    <xf numFmtId="0" fontId="8" fillId="0" borderId="0" xfId="0" applyFont="1" applyBorder="1" applyAlignment="1">
      <alignment horizontal="center" wrapText="1"/>
    </xf>
    <xf numFmtId="0" fontId="11" fillId="0" borderId="0" xfId="36" applyFont="1" applyAlignment="1" applyProtection="1">
      <alignment horizontal="center"/>
    </xf>
    <xf numFmtId="0" fontId="0" fillId="25" borderId="0" xfId="0" applyFill="1"/>
    <xf numFmtId="1" fontId="6" fillId="0" borderId="13" xfId="0" applyNumberFormat="1" applyFont="1" applyFill="1" applyBorder="1" applyAlignment="1">
      <alignment horizontal="center"/>
    </xf>
    <xf numFmtId="1" fontId="6" fillId="0" borderId="15" xfId="0" applyNumberFormat="1" applyFont="1" applyFill="1" applyBorder="1" applyAlignment="1">
      <alignment horizontal="center"/>
    </xf>
    <xf numFmtId="0" fontId="0" fillId="0" borderId="0" xfId="0" applyAlignment="1">
      <alignment vertical="top"/>
    </xf>
    <xf numFmtId="1" fontId="2" fillId="25" borderId="0" xfId="0" applyNumberFormat="1" applyFont="1" applyFill="1"/>
    <xf numFmtId="164" fontId="0" fillId="25" borderId="0" xfId="0" applyNumberFormat="1" applyFill="1"/>
    <xf numFmtId="2" fontId="0" fillId="25" borderId="0" xfId="0" applyNumberFormat="1" applyFill="1" applyAlignment="1">
      <alignment vertical="top" wrapText="1"/>
    </xf>
    <xf numFmtId="2" fontId="0" fillId="25" borderId="0" xfId="0" applyNumberFormat="1" applyFill="1"/>
    <xf numFmtId="0" fontId="0" fillId="0" borderId="0" xfId="0" applyBorder="1" applyAlignment="1" applyProtection="1">
      <alignment horizontal="center"/>
      <protection locked="0"/>
    </xf>
    <xf numFmtId="0" fontId="9" fillId="0" borderId="0" xfId="0" applyFont="1" applyBorder="1" applyAlignment="1" applyProtection="1">
      <alignment horizontal="center"/>
      <protection locked="0"/>
    </xf>
    <xf numFmtId="0" fontId="0" fillId="26" borderId="0" xfId="0" applyFill="1"/>
    <xf numFmtId="2" fontId="19" fillId="0" borderId="0" xfId="0" applyNumberFormat="1" applyFont="1" applyAlignment="1">
      <alignment vertical="top" wrapText="1"/>
    </xf>
    <xf numFmtId="10" fontId="0" fillId="0" borderId="16" xfId="0" applyNumberFormat="1" applyBorder="1"/>
    <xf numFmtId="164" fontId="0" fillId="0" borderId="16" xfId="0" applyNumberFormat="1" applyBorder="1"/>
    <xf numFmtId="165" fontId="2" fillId="24" borderId="16" xfId="0" applyNumberFormat="1" applyFont="1" applyFill="1" applyBorder="1"/>
    <xf numFmtId="2" fontId="0" fillId="0" borderId="0" xfId="0" applyNumberFormat="1" applyFill="1"/>
    <xf numFmtId="0" fontId="6" fillId="25" borderId="0" xfId="0" applyFont="1" applyFill="1"/>
    <xf numFmtId="164" fontId="1" fillId="0" borderId="16" xfId="0" applyNumberFormat="1" applyFont="1" applyBorder="1" applyProtection="1">
      <protection locked="0"/>
    </xf>
    <xf numFmtId="10" fontId="1" fillId="0" borderId="16" xfId="0" applyNumberFormat="1" applyFont="1" applyBorder="1" applyProtection="1">
      <protection locked="0"/>
    </xf>
    <xf numFmtId="172" fontId="0" fillId="0" borderId="0" xfId="28" applyNumberFormat="1" applyFont="1"/>
    <xf numFmtId="172" fontId="6" fillId="0" borderId="0" xfId="28" applyNumberFormat="1" applyFont="1"/>
    <xf numFmtId="173" fontId="0" fillId="0" borderId="0" xfId="28" applyNumberFormat="1" applyFont="1"/>
    <xf numFmtId="164" fontId="1" fillId="0" borderId="0" xfId="0" applyNumberFormat="1" applyFont="1" applyBorder="1" applyProtection="1">
      <protection locked="0"/>
    </xf>
    <xf numFmtId="1" fontId="1" fillId="0" borderId="0" xfId="0" applyNumberFormat="1" applyFont="1" applyBorder="1" applyAlignment="1" applyProtection="1">
      <alignment wrapText="1"/>
      <protection locked="0"/>
    </xf>
    <xf numFmtId="164" fontId="1" fillId="0" borderId="21" xfId="0" applyNumberFormat="1" applyFont="1" applyBorder="1" applyAlignment="1" applyProtection="1">
      <alignment wrapText="1"/>
      <protection locked="0"/>
    </xf>
    <xf numFmtId="164" fontId="0" fillId="0" borderId="0" xfId="0" applyNumberFormat="1" applyFill="1" applyBorder="1" applyAlignment="1" applyProtection="1">
      <alignment wrapText="1"/>
      <protection locked="0"/>
    </xf>
    <xf numFmtId="0" fontId="0" fillId="26" borderId="16" xfId="0" applyFill="1" applyBorder="1" applyAlignment="1">
      <alignment horizontal="center" wrapText="1"/>
    </xf>
    <xf numFmtId="164" fontId="1" fillId="0" borderId="16" xfId="0" applyNumberFormat="1" applyFont="1" applyBorder="1" applyProtection="1"/>
    <xf numFmtId="0" fontId="0" fillId="26" borderId="16" xfId="0" applyFill="1" applyBorder="1" applyProtection="1"/>
    <xf numFmtId="0" fontId="0" fillId="0" borderId="0" xfId="0" applyProtection="1"/>
    <xf numFmtId="0" fontId="0" fillId="0" borderId="0" xfId="0" applyFill="1" applyBorder="1"/>
    <xf numFmtId="0" fontId="2" fillId="0" borderId="0" xfId="0" applyFont="1" applyFill="1" applyBorder="1" applyAlignment="1">
      <alignment vertical="top" wrapText="1"/>
    </xf>
    <xf numFmtId="0" fontId="0" fillId="0" borderId="0" xfId="0" applyFill="1" applyBorder="1" applyAlignment="1">
      <alignment horizontal="right"/>
    </xf>
    <xf numFmtId="0" fontId="0" fillId="26" borderId="19" xfId="0" applyFill="1" applyBorder="1" applyProtection="1"/>
    <xf numFmtId="0" fontId="0" fillId="0" borderId="0" xfId="0" applyFill="1" applyBorder="1" applyAlignment="1">
      <alignment horizontal="center" wrapText="1"/>
    </xf>
    <xf numFmtId="170" fontId="6" fillId="0" borderId="0" xfId="0" applyNumberFormat="1" applyFont="1"/>
    <xf numFmtId="1" fontId="25" fillId="0" borderId="0" xfId="0" applyNumberFormat="1" applyFont="1" applyAlignment="1">
      <alignment horizontal="centerContinuous" wrapText="1"/>
    </xf>
    <xf numFmtId="1" fontId="20" fillId="0" borderId="0" xfId="0" applyNumberFormat="1" applyFont="1" applyAlignment="1">
      <alignment horizontal="center" wrapText="1"/>
    </xf>
    <xf numFmtId="1" fontId="0" fillId="0" borderId="0" xfId="0" applyNumberFormat="1" applyFill="1"/>
    <xf numFmtId="164" fontId="1" fillId="0" borderId="0" xfId="0" applyNumberFormat="1" applyFont="1" applyFill="1"/>
    <xf numFmtId="0" fontId="0" fillId="0" borderId="0" xfId="0" applyFill="1" applyBorder="1" applyAlignment="1">
      <alignment horizontal="left"/>
    </xf>
    <xf numFmtId="0" fontId="2" fillId="0" borderId="0" xfId="0" applyFont="1" applyBorder="1"/>
    <xf numFmtId="0" fontId="1" fillId="0" borderId="0" xfId="0" applyFont="1"/>
    <xf numFmtId="0" fontId="2" fillId="0" borderId="0" xfId="0" applyFont="1" applyFill="1" applyBorder="1"/>
    <xf numFmtId="172" fontId="0" fillId="0" borderId="0" xfId="28" applyNumberFormat="1" applyFont="1" applyFill="1"/>
    <xf numFmtId="174" fontId="0" fillId="0" borderId="0" xfId="28" applyNumberFormat="1" applyFont="1"/>
    <xf numFmtId="174" fontId="0" fillId="0" borderId="0" xfId="28" applyNumberFormat="1" applyFont="1" applyFill="1"/>
    <xf numFmtId="0" fontId="0" fillId="0" borderId="26" xfId="0" applyBorder="1" applyProtection="1">
      <protection locked="0"/>
    </xf>
    <xf numFmtId="0" fontId="0" fillId="0" borderId="26" xfId="0" applyBorder="1" applyAlignment="1" applyProtection="1">
      <alignment wrapText="1"/>
      <protection locked="0"/>
    </xf>
    <xf numFmtId="164" fontId="0" fillId="0" borderId="0" xfId="0" applyNumberFormat="1" applyFill="1" applyBorder="1"/>
    <xf numFmtId="0" fontId="0" fillId="0" borderId="0" xfId="0" applyFill="1" applyBorder="1" applyProtection="1">
      <protection locked="0"/>
    </xf>
    <xf numFmtId="0" fontId="0" fillId="0" borderId="0" xfId="0" applyFill="1" applyBorder="1" applyAlignment="1"/>
    <xf numFmtId="0" fontId="6" fillId="0" borderId="0" xfId="0" applyFont="1" applyFill="1" applyBorder="1" applyAlignment="1"/>
    <xf numFmtId="0" fontId="0" fillId="0" borderId="0" xfId="0" applyFill="1" applyBorder="1" applyAlignment="1">
      <alignment vertical="top" wrapText="1"/>
    </xf>
    <xf numFmtId="0" fontId="0" fillId="0" borderId="0" xfId="0" applyFill="1" applyBorder="1" applyAlignment="1">
      <alignment horizontal="right" vertical="top" wrapText="1"/>
    </xf>
    <xf numFmtId="0" fontId="6" fillId="0" borderId="0" xfId="0" applyFont="1" applyFill="1" applyBorder="1" applyAlignment="1">
      <alignment horizontal="left" vertical="top" wrapText="1"/>
    </xf>
    <xf numFmtId="0" fontId="22" fillId="0" borderId="0" xfId="0" applyFont="1" applyFill="1" applyBorder="1" applyAlignment="1">
      <alignment vertical="top" wrapText="1"/>
    </xf>
    <xf numFmtId="0" fontId="6" fillId="0" borderId="0" xfId="0" applyFont="1" applyFill="1" applyBorder="1" applyAlignment="1">
      <alignment vertical="top" wrapText="1"/>
    </xf>
    <xf numFmtId="0" fontId="6" fillId="0" borderId="0" xfId="0" applyFont="1" applyFill="1" applyBorder="1" applyAlignment="1">
      <alignment wrapText="1" shrinkToFit="1"/>
    </xf>
    <xf numFmtId="0" fontId="6" fillId="0" borderId="0" xfId="0" applyFont="1" applyFill="1" applyBorder="1" applyAlignment="1">
      <alignment horizontal="center"/>
    </xf>
    <xf numFmtId="0" fontId="6" fillId="0" borderId="0" xfId="0" applyFont="1" applyFill="1" applyBorder="1" applyAlignment="1">
      <alignment horizontal="right" wrapText="1" shrinkToFit="1"/>
    </xf>
    <xf numFmtId="0" fontId="2" fillId="0" borderId="0" xfId="0" applyFont="1" applyFill="1" applyBorder="1" applyAlignment="1">
      <alignment horizontal="center"/>
    </xf>
    <xf numFmtId="0" fontId="6" fillId="0" borderId="0" xfId="0" applyFont="1" applyFill="1" applyBorder="1" applyAlignment="1">
      <alignment horizontal="right"/>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0" fontId="6" fillId="0" borderId="0" xfId="0" applyFont="1" applyFill="1" applyBorder="1" applyAlignment="1">
      <alignment horizontal="left" vertical="top"/>
    </xf>
    <xf numFmtId="0" fontId="6" fillId="0" borderId="0" xfId="0" applyFont="1" applyFill="1" applyBorder="1" applyAlignment="1">
      <alignment horizontal="left" wrapText="1" shrinkToFit="1"/>
    </xf>
    <xf numFmtId="0" fontId="2" fillId="0" borderId="0" xfId="0" applyFont="1" applyFill="1" applyBorder="1" applyAlignment="1">
      <alignment wrapText="1" shrinkToFit="1"/>
    </xf>
    <xf numFmtId="0" fontId="2" fillId="0" borderId="0" xfId="0" applyFont="1" applyFill="1" applyBorder="1" applyAlignment="1">
      <alignment horizontal="right" wrapText="1" shrinkToFit="1"/>
    </xf>
    <xf numFmtId="0" fontId="6" fillId="0" borderId="0" xfId="0" applyFont="1" applyFill="1" applyBorder="1" applyAlignment="1">
      <alignment horizontal="left" wrapText="1"/>
    </xf>
    <xf numFmtId="0" fontId="6" fillId="0" borderId="0" xfId="0" applyFont="1" applyFill="1" applyBorder="1" applyAlignment="1">
      <alignment horizontal="left"/>
    </xf>
    <xf numFmtId="0" fontId="6" fillId="0" borderId="0" xfId="0" applyFont="1" applyFill="1" applyBorder="1" applyAlignment="1">
      <alignment horizontal="right" vertical="top" wrapText="1"/>
    </xf>
    <xf numFmtId="0" fontId="2" fillId="0" borderId="0" xfId="0" applyFont="1" applyFill="1" applyBorder="1" applyAlignment="1">
      <alignment horizontal="right" wrapText="1"/>
    </xf>
    <xf numFmtId="0" fontId="22" fillId="0" borderId="0" xfId="0" applyFont="1" applyFill="1" applyBorder="1" applyAlignment="1">
      <alignment horizontal="right" vertical="top" wrapText="1"/>
    </xf>
    <xf numFmtId="2" fontId="6" fillId="0" borderId="0" xfId="0" applyNumberFormat="1" applyFont="1"/>
    <xf numFmtId="164" fontId="0" fillId="26" borderId="0" xfId="0" applyNumberFormat="1" applyFill="1"/>
    <xf numFmtId="174" fontId="0" fillId="0" borderId="0" xfId="28" applyNumberFormat="1" applyFont="1" applyBorder="1" applyProtection="1">
      <protection locked="0"/>
    </xf>
    <xf numFmtId="0" fontId="0" fillId="24" borderId="0" xfId="0" applyFill="1"/>
    <xf numFmtId="2" fontId="1" fillId="29" borderId="0" xfId="0" applyNumberFormat="1" applyFont="1" applyFill="1" applyAlignment="1">
      <alignment vertical="top" wrapText="1"/>
    </xf>
    <xf numFmtId="0" fontId="32" fillId="0" borderId="0" xfId="0" applyFont="1" applyFill="1" applyBorder="1" applyAlignment="1">
      <alignment vertical="center"/>
    </xf>
    <xf numFmtId="0" fontId="33" fillId="0" borderId="0" xfId="0" applyFont="1" applyFill="1" applyBorder="1" applyAlignment="1">
      <alignment vertical="center"/>
    </xf>
    <xf numFmtId="0" fontId="0" fillId="30" borderId="0" xfId="0" applyFill="1" applyBorder="1" applyAlignment="1"/>
    <xf numFmtId="0" fontId="8" fillId="0" borderId="0" xfId="36" applyFont="1" applyFill="1" applyBorder="1" applyAlignment="1" applyProtection="1">
      <alignment horizontal="center"/>
    </xf>
    <xf numFmtId="0" fontId="0" fillId="30" borderId="27" xfId="0" applyFill="1" applyBorder="1" applyAlignment="1"/>
    <xf numFmtId="0" fontId="8" fillId="30" borderId="0" xfId="0" applyFont="1" applyFill="1" applyBorder="1" applyAlignment="1">
      <alignment horizontal="center" vertical="center" wrapText="1"/>
    </xf>
    <xf numFmtId="0" fontId="0" fillId="30" borderId="0" xfId="0" applyFill="1" applyBorder="1" applyProtection="1">
      <protection locked="0"/>
    </xf>
    <xf numFmtId="0" fontId="0" fillId="30" borderId="0" xfId="0" applyFill="1" applyBorder="1" applyAlignment="1" applyProtection="1">
      <alignment horizontal="center"/>
      <protection locked="0"/>
    </xf>
    <xf numFmtId="0" fontId="6" fillId="28" borderId="28" xfId="0" applyFont="1" applyFill="1" applyBorder="1" applyAlignment="1">
      <alignment vertical="center" wrapText="1"/>
    </xf>
    <xf numFmtId="0" fontId="6" fillId="0" borderId="0" xfId="0" applyFont="1" applyFill="1"/>
    <xf numFmtId="0" fontId="6" fillId="0" borderId="0" xfId="0" applyFont="1" applyFill="1" applyAlignment="1">
      <alignment horizontal="right" vertical="top" wrapText="1"/>
    </xf>
    <xf numFmtId="0" fontId="6" fillId="0" borderId="0" xfId="0" applyFont="1" applyFill="1" applyAlignment="1">
      <alignment vertical="top" wrapText="1"/>
    </xf>
    <xf numFmtId="0" fontId="6" fillId="0" borderId="0" xfId="0" applyFont="1" applyFill="1" applyBorder="1"/>
    <xf numFmtId="0" fontId="6" fillId="0" borderId="0" xfId="0" applyFont="1" applyFill="1" applyAlignment="1">
      <alignment wrapText="1"/>
    </xf>
    <xf numFmtId="0" fontId="0" fillId="0" borderId="0" xfId="0" applyFill="1" applyAlignment="1">
      <alignment horizontal="center"/>
    </xf>
    <xf numFmtId="1" fontId="6" fillId="0" borderId="0" xfId="0" applyNumberFormat="1" applyFont="1" applyFill="1" applyAlignment="1">
      <alignment wrapText="1"/>
    </xf>
    <xf numFmtId="174" fontId="6" fillId="0" borderId="0" xfId="28" applyNumberFormat="1" applyFont="1" applyFill="1" applyAlignment="1">
      <alignment wrapText="1"/>
    </xf>
    <xf numFmtId="0" fontId="6" fillId="0" borderId="0" xfId="0" applyFont="1" applyFill="1" applyAlignment="1">
      <alignment horizontal="center" vertical="top" wrapText="1"/>
    </xf>
    <xf numFmtId="0" fontId="0" fillId="0" borderId="0" xfId="0" applyFill="1" applyAlignment="1">
      <alignment vertical="top" wrapText="1"/>
    </xf>
    <xf numFmtId="0" fontId="6" fillId="0" borderId="16" xfId="0" applyFont="1" applyFill="1" applyBorder="1" applyAlignment="1">
      <alignment horizontal="left" vertical="top" wrapText="1"/>
    </xf>
    <xf numFmtId="0" fontId="6" fillId="29" borderId="0" xfId="0" applyFont="1" applyFill="1" applyAlignment="1">
      <alignment vertical="top" wrapText="1"/>
    </xf>
    <xf numFmtId="2" fontId="0" fillId="31" borderId="0" xfId="0" applyNumberFormat="1" applyFill="1" applyAlignment="1">
      <alignment vertical="top" wrapText="1"/>
    </xf>
    <xf numFmtId="0" fontId="0" fillId="0" borderId="0" xfId="0" applyAlignment="1">
      <alignment horizontal="right"/>
    </xf>
    <xf numFmtId="164" fontId="0" fillId="25" borderId="0" xfId="0" applyNumberFormat="1" applyFill="1" applyAlignment="1">
      <alignment horizontal="center"/>
    </xf>
    <xf numFmtId="164" fontId="0" fillId="0" borderId="0" xfId="0" applyNumberFormat="1" applyFill="1" applyAlignment="1">
      <alignment horizontal="center"/>
    </xf>
    <xf numFmtId="164" fontId="6" fillId="0" borderId="0" xfId="28" applyNumberFormat="1" applyFont="1" applyAlignment="1">
      <alignment horizontal="center"/>
    </xf>
    <xf numFmtId="164" fontId="6" fillId="0" borderId="0" xfId="28" applyNumberFormat="1" applyFont="1" applyFill="1" applyAlignment="1">
      <alignment horizontal="center"/>
    </xf>
    <xf numFmtId="0" fontId="6" fillId="30" borderId="16" xfId="0" applyFont="1" applyFill="1" applyBorder="1" applyAlignment="1">
      <alignment horizontal="left" vertical="top" wrapText="1"/>
    </xf>
    <xf numFmtId="0" fontId="20" fillId="0" borderId="0" xfId="0" applyFont="1"/>
    <xf numFmtId="1" fontId="2" fillId="0" borderId="0" xfId="0" applyNumberFormat="1" applyFont="1" applyFill="1"/>
    <xf numFmtId="0" fontId="2" fillId="25" borderId="0" xfId="0" applyFont="1" applyFill="1"/>
    <xf numFmtId="0" fontId="6" fillId="32" borderId="0" xfId="0" applyFont="1" applyFill="1" applyAlignment="1">
      <alignment wrapText="1"/>
    </xf>
    <xf numFmtId="172" fontId="6" fillId="32" borderId="0" xfId="29" applyNumberFormat="1" applyFont="1" applyFill="1" applyAlignment="1">
      <alignment wrapText="1"/>
    </xf>
    <xf numFmtId="0" fontId="0" fillId="27" borderId="0" xfId="0" applyFill="1"/>
    <xf numFmtId="164" fontId="1" fillId="0" borderId="16" xfId="0" applyNumberFormat="1" applyFont="1" applyFill="1" applyBorder="1" applyProtection="1">
      <protection locked="0"/>
    </xf>
    <xf numFmtId="164" fontId="0" fillId="0" borderId="16" xfId="0" applyNumberFormat="1" applyBorder="1" applyAlignment="1" applyProtection="1">
      <protection locked="0"/>
    </xf>
    <xf numFmtId="164" fontId="20" fillId="0" borderId="0" xfId="0" applyNumberFormat="1" applyFont="1"/>
    <xf numFmtId="0" fontId="1" fillId="0" borderId="0" xfId="0" applyFont="1" applyFill="1" applyBorder="1" applyProtection="1">
      <protection locked="0"/>
    </xf>
    <xf numFmtId="0" fontId="0" fillId="26" borderId="28" xfId="0" applyFill="1" applyBorder="1" applyAlignment="1">
      <alignment horizontal="center" wrapText="1"/>
    </xf>
    <xf numFmtId="164" fontId="1" fillId="0" borderId="0" xfId="0" applyNumberFormat="1" applyFont="1" applyFill="1" applyBorder="1" applyProtection="1">
      <protection locked="0"/>
    </xf>
    <xf numFmtId="174" fontId="0" fillId="0" borderId="0" xfId="28" applyNumberFormat="1" applyFont="1" applyFill="1" applyBorder="1" applyProtection="1">
      <protection locked="0"/>
    </xf>
    <xf numFmtId="164" fontId="1" fillId="0" borderId="0" xfId="0" applyNumberFormat="1" applyFont="1" applyFill="1" applyBorder="1" applyProtection="1"/>
    <xf numFmtId="49" fontId="0" fillId="0" borderId="0" xfId="0" applyNumberFormat="1" applyAlignment="1">
      <alignment horizontal="right" vertical="justify"/>
    </xf>
    <xf numFmtId="0" fontId="0" fillId="0" borderId="16" xfId="0" applyNumberFormat="1" applyBorder="1" applyAlignment="1" applyProtection="1">
      <alignment horizontal="right"/>
      <protection locked="0"/>
    </xf>
    <xf numFmtId="0" fontId="14" fillId="28" borderId="0" xfId="0" applyFont="1" applyFill="1" applyAlignment="1">
      <alignment horizontal="center" vertical="center" wrapText="1"/>
    </xf>
    <xf numFmtId="164" fontId="1" fillId="33" borderId="0" xfId="0" applyNumberFormat="1" applyFont="1" applyFill="1" applyBorder="1" applyProtection="1">
      <protection locked="0"/>
    </xf>
    <xf numFmtId="0" fontId="0" fillId="26" borderId="16" xfId="0" applyFill="1" applyBorder="1" applyAlignment="1" applyProtection="1">
      <alignment horizontal="right"/>
    </xf>
    <xf numFmtId="164" fontId="9" fillId="30" borderId="21" xfId="0" applyNumberFormat="1" applyFont="1" applyFill="1" applyBorder="1" applyProtection="1">
      <protection locked="0"/>
    </xf>
    <xf numFmtId="164" fontId="59" fillId="30" borderId="0" xfId="0" applyNumberFormat="1" applyFont="1" applyFill="1" applyBorder="1" applyAlignment="1" applyProtection="1">
      <alignment vertical="center"/>
      <protection locked="0"/>
    </xf>
    <xf numFmtId="0" fontId="6" fillId="27" borderId="0" xfId="0" applyFont="1" applyFill="1" applyBorder="1" applyAlignment="1"/>
    <xf numFmtId="0" fontId="0" fillId="27" borderId="0" xfId="0" applyFill="1" applyBorder="1" applyAlignment="1"/>
    <xf numFmtId="0" fontId="6" fillId="27" borderId="0" xfId="0" applyFont="1" applyFill="1" applyBorder="1" applyAlignment="1">
      <alignment horizontal="left" wrapText="1" shrinkToFit="1"/>
    </xf>
    <xf numFmtId="0" fontId="6" fillId="27" borderId="0" xfId="0" applyFont="1" applyFill="1" applyBorder="1" applyAlignment="1">
      <alignment horizontal="left"/>
    </xf>
    <xf numFmtId="0" fontId="29" fillId="27" borderId="0" xfId="0" applyFont="1" applyFill="1" applyBorder="1" applyAlignment="1">
      <alignment horizontal="left"/>
    </xf>
    <xf numFmtId="0" fontId="0" fillId="27" borderId="0" xfId="0" applyFill="1" applyBorder="1" applyAlignment="1">
      <alignment horizontal="right" vertical="top" wrapText="1"/>
    </xf>
    <xf numFmtId="0" fontId="0" fillId="27" borderId="0" xfId="0" applyFill="1" applyBorder="1"/>
    <xf numFmtId="0" fontId="0" fillId="27" borderId="0" xfId="0" applyFill="1" applyAlignment="1">
      <alignment wrapText="1"/>
    </xf>
    <xf numFmtId="0" fontId="10" fillId="0" borderId="0" xfId="36" applyFill="1" applyAlignment="1" applyProtection="1">
      <alignment horizontal="left" vertical="top"/>
    </xf>
    <xf numFmtId="0" fontId="28" fillId="0" borderId="0" xfId="0" applyFont="1" applyFill="1" applyBorder="1" applyAlignment="1">
      <alignment horizontal="center" wrapText="1"/>
    </xf>
    <xf numFmtId="0" fontId="62" fillId="0" borderId="0" xfId="0" applyFont="1"/>
    <xf numFmtId="0" fontId="0" fillId="27" borderId="0" xfId="0" applyFill="1" applyBorder="1" applyAlignment="1">
      <alignment wrapText="1"/>
    </xf>
    <xf numFmtId="0" fontId="0" fillId="35" borderId="0" xfId="0" applyFill="1" applyBorder="1"/>
    <xf numFmtId="0" fontId="9" fillId="27" borderId="0" xfId="36" applyFont="1" applyFill="1" applyAlignment="1" applyProtection="1">
      <alignment horizontal="left" vertical="top"/>
    </xf>
    <xf numFmtId="0" fontId="10" fillId="27" borderId="0" xfId="36" applyFill="1" applyAlignment="1" applyProtection="1">
      <alignment horizontal="left" vertical="top"/>
    </xf>
    <xf numFmtId="0" fontId="55" fillId="30" borderId="28" xfId="0" applyFont="1" applyFill="1" applyBorder="1" applyAlignment="1" applyProtection="1">
      <alignment horizontal="left" vertical="center"/>
      <protection locked="0"/>
    </xf>
    <xf numFmtId="0" fontId="66" fillId="30" borderId="21" xfId="0" applyFont="1" applyFill="1" applyBorder="1" applyProtection="1">
      <protection locked="0"/>
    </xf>
    <xf numFmtId="0" fontId="55" fillId="30" borderId="21" xfId="0" applyFont="1" applyFill="1" applyBorder="1" applyAlignment="1" applyProtection="1">
      <alignment horizontal="right"/>
      <protection locked="0"/>
    </xf>
    <xf numFmtId="0" fontId="55" fillId="30" borderId="21" xfId="0" applyFont="1" applyFill="1" applyBorder="1" applyAlignment="1" applyProtection="1">
      <alignment horizontal="left"/>
      <protection locked="0"/>
    </xf>
    <xf numFmtId="10" fontId="64" fillId="30" borderId="0" xfId="0" applyNumberFormat="1" applyFont="1" applyFill="1" applyBorder="1" applyAlignment="1" applyProtection="1">
      <alignment vertical="center"/>
      <protection locked="0"/>
    </xf>
    <xf numFmtId="0" fontId="65" fillId="30" borderId="0" xfId="0" applyFont="1" applyFill="1" applyBorder="1" applyAlignment="1" applyProtection="1">
      <alignment horizontal="right" vertical="center"/>
      <protection locked="0"/>
    </xf>
    <xf numFmtId="0" fontId="65" fillId="30" borderId="0" xfId="0" applyFont="1" applyFill="1" applyBorder="1" applyAlignment="1" applyProtection="1">
      <alignment horizontal="left" vertical="center"/>
      <protection locked="0"/>
    </xf>
    <xf numFmtId="175" fontId="67" fillId="30" borderId="0" xfId="0" applyNumberFormat="1" applyFont="1" applyFill="1" applyBorder="1" applyAlignment="1" applyProtection="1">
      <alignment vertical="center"/>
      <protection locked="0"/>
    </xf>
    <xf numFmtId="0" fontId="40" fillId="30" borderId="0" xfId="0" applyFont="1" applyFill="1" applyBorder="1" applyAlignment="1">
      <alignment horizontal="center" vertical="center" wrapText="1"/>
    </xf>
    <xf numFmtId="0" fontId="55" fillId="30" borderId="21" xfId="0" applyFont="1" applyFill="1" applyBorder="1" applyProtection="1">
      <protection locked="0"/>
    </xf>
    <xf numFmtId="170" fontId="64" fillId="30" borderId="21" xfId="0" applyNumberFormat="1" applyFont="1" applyFill="1" applyBorder="1" applyProtection="1">
      <protection locked="0"/>
    </xf>
    <xf numFmtId="0" fontId="11" fillId="0" borderId="0" xfId="36" applyFont="1" applyAlignment="1" applyProtection="1"/>
    <xf numFmtId="0" fontId="10" fillId="0" borderId="30" xfId="36" applyBorder="1" applyAlignment="1" applyProtection="1">
      <alignment horizontal="center" vertical="center" wrapText="1"/>
    </xf>
    <xf numFmtId="0" fontId="10" fillId="0" borderId="31" xfId="36" applyBorder="1" applyAlignment="1" applyProtection="1">
      <alignment horizontal="center" vertical="center" wrapText="1"/>
    </xf>
    <xf numFmtId="0" fontId="10" fillId="0" borderId="32" xfId="36" applyBorder="1" applyAlignment="1" applyProtection="1">
      <alignment horizontal="center" vertical="center" wrapText="1"/>
    </xf>
    <xf numFmtId="0" fontId="9" fillId="35" borderId="0" xfId="36" applyFont="1" applyFill="1" applyAlignment="1" applyProtection="1">
      <alignment horizontal="left" vertical="top"/>
    </xf>
    <xf numFmtId="0" fontId="70" fillId="0" borderId="0" xfId="36" applyFont="1" applyFill="1" applyAlignment="1" applyProtection="1">
      <alignment horizontal="left" vertical="top" wrapText="1"/>
    </xf>
    <xf numFmtId="2" fontId="30" fillId="34" borderId="0" xfId="0" applyNumberFormat="1" applyFont="1" applyFill="1"/>
    <xf numFmtId="2" fontId="0" fillId="34" borderId="0" xfId="0" applyNumberFormat="1" applyFill="1"/>
    <xf numFmtId="2" fontId="0" fillId="34" borderId="0" xfId="0" applyNumberFormat="1" applyFill="1" applyAlignment="1">
      <alignment vertical="top"/>
    </xf>
    <xf numFmtId="0" fontId="6" fillId="34" borderId="0" xfId="0" applyFont="1" applyFill="1" applyAlignment="1">
      <alignment wrapText="1"/>
    </xf>
    <xf numFmtId="172" fontId="6" fillId="34" borderId="0" xfId="29" applyNumberFormat="1" applyFont="1" applyFill="1" applyAlignment="1">
      <alignment wrapText="1"/>
    </xf>
    <xf numFmtId="177" fontId="9" fillId="0" borderId="0" xfId="0" applyNumberFormat="1" applyFont="1"/>
    <xf numFmtId="178" fontId="9" fillId="0" borderId="0" xfId="0" applyNumberFormat="1" applyFont="1" applyBorder="1" applyAlignment="1">
      <alignment horizontal="center" wrapText="1"/>
    </xf>
    <xf numFmtId="178" fontId="6" fillId="0" borderId="0" xfId="0" applyNumberFormat="1" applyFont="1" applyFill="1" applyAlignment="1">
      <alignment horizontal="justify" vertical="top"/>
    </xf>
    <xf numFmtId="164" fontId="6" fillId="27" borderId="0" xfId="28" applyNumberFormat="1" applyFont="1" applyFill="1" applyAlignment="1">
      <alignment horizontal="center"/>
    </xf>
    <xf numFmtId="0" fontId="2" fillId="0" borderId="16" xfId="0" applyFont="1" applyBorder="1"/>
    <xf numFmtId="2" fontId="2" fillId="0" borderId="0" xfId="0" applyNumberFormat="1" applyFont="1"/>
    <xf numFmtId="2" fontId="2" fillId="34" borderId="0" xfId="0" applyNumberFormat="1" applyFont="1" applyFill="1"/>
    <xf numFmtId="0" fontId="20" fillId="0" borderId="0" xfId="0" applyFont="1" applyFill="1"/>
    <xf numFmtId="2" fontId="2" fillId="0" borderId="0" xfId="0" applyNumberFormat="1" applyFont="1" applyFill="1"/>
    <xf numFmtId="0" fontId="72" fillId="0" borderId="0" xfId="0" applyFont="1" applyFill="1"/>
    <xf numFmtId="0" fontId="6" fillId="26" borderId="0" xfId="0" applyFont="1" applyFill="1" applyBorder="1" applyAlignment="1">
      <alignment horizontal="left" vertical="top"/>
    </xf>
    <xf numFmtId="0" fontId="6" fillId="26" borderId="0" xfId="0" applyFont="1" applyFill="1" applyBorder="1" applyAlignment="1">
      <alignment horizontal="left"/>
    </xf>
    <xf numFmtId="0" fontId="8" fillId="26" borderId="0" xfId="0" applyFont="1" applyFill="1" applyBorder="1" applyAlignment="1" applyProtection="1">
      <alignment horizontal="center" vertical="center"/>
      <protection locked="0"/>
    </xf>
    <xf numFmtId="172" fontId="0" fillId="26" borderId="0" xfId="28" applyNumberFormat="1" applyFont="1" applyFill="1"/>
    <xf numFmtId="49" fontId="0" fillId="26" borderId="0" xfId="0" applyNumberFormat="1" applyFill="1" applyAlignment="1">
      <alignment horizontal="right" vertical="justify"/>
    </xf>
    <xf numFmtId="0" fontId="0" fillId="26" borderId="0" xfId="0" applyFill="1" applyAlignment="1">
      <alignment horizontal="center"/>
    </xf>
    <xf numFmtId="0" fontId="6" fillId="26" borderId="0" xfId="0" applyFont="1" applyFill="1" applyBorder="1" applyAlignment="1">
      <alignment horizontal="center" vertical="top"/>
    </xf>
    <xf numFmtId="0" fontId="6" fillId="26" borderId="0" xfId="0" applyFont="1" applyFill="1" applyBorder="1" applyAlignment="1">
      <alignment horizontal="center"/>
    </xf>
    <xf numFmtId="0" fontId="2" fillId="26" borderId="0" xfId="0" applyFont="1" applyFill="1" applyBorder="1" applyAlignment="1" applyProtection="1">
      <alignment horizontal="center" wrapText="1"/>
      <protection locked="0"/>
    </xf>
    <xf numFmtId="164" fontId="1" fillId="26" borderId="16" xfId="0" applyNumberFormat="1" applyFont="1" applyFill="1" applyBorder="1" applyProtection="1">
      <protection locked="0"/>
    </xf>
    <xf numFmtId="0" fontId="0" fillId="26" borderId="0" xfId="0" applyNumberFormat="1" applyFill="1" applyAlignment="1">
      <alignment horizontal="right" vertical="justify"/>
    </xf>
    <xf numFmtId="0" fontId="0" fillId="26" borderId="0" xfId="0" applyNumberFormat="1" applyFill="1"/>
    <xf numFmtId="164" fontId="0" fillId="26" borderId="0" xfId="0" applyNumberFormat="1" applyFill="1" applyAlignment="1">
      <alignment horizontal="right" vertical="justify"/>
    </xf>
    <xf numFmtId="164" fontId="0" fillId="26" borderId="0" xfId="28" applyNumberFormat="1" applyFont="1" applyFill="1" applyAlignment="1">
      <alignment horizontal="right" vertical="justify"/>
    </xf>
    <xf numFmtId="49" fontId="2" fillId="0" borderId="33" xfId="0" applyNumberFormat="1" applyFont="1" applyFill="1" applyBorder="1" applyAlignment="1" applyProtection="1">
      <alignment horizontal="center" wrapText="1"/>
      <protection locked="0"/>
    </xf>
    <xf numFmtId="49" fontId="0" fillId="0" borderId="0" xfId="28" applyNumberFormat="1" applyFont="1" applyAlignment="1">
      <alignment horizontal="right" vertical="justify"/>
    </xf>
    <xf numFmtId="10" fontId="0" fillId="0" borderId="0" xfId="0" applyNumberFormat="1" applyFill="1" applyBorder="1" applyProtection="1">
      <protection locked="0"/>
    </xf>
    <xf numFmtId="10" fontId="0" fillId="0" borderId="26" xfId="0" applyNumberFormat="1" applyBorder="1" applyProtection="1">
      <protection locked="0"/>
    </xf>
    <xf numFmtId="174" fontId="0" fillId="26" borderId="0" xfId="28" applyNumberFormat="1" applyFont="1" applyFill="1"/>
    <xf numFmtId="0" fontId="1" fillId="0" borderId="0" xfId="0" applyFont="1" applyFill="1"/>
    <xf numFmtId="167" fontId="9" fillId="36" borderId="0" xfId="0" applyNumberFormat="1" applyFont="1" applyFill="1"/>
    <xf numFmtId="170" fontId="14" fillId="36" borderId="0" xfId="0" applyNumberFormat="1" applyFont="1" applyFill="1" applyAlignment="1">
      <alignment horizontal="left" vertical="center" wrapText="1"/>
    </xf>
    <xf numFmtId="0" fontId="34" fillId="36" borderId="0" xfId="0" applyFont="1" applyFill="1" applyBorder="1" applyAlignment="1">
      <alignment vertical="top"/>
    </xf>
    <xf numFmtId="0" fontId="14" fillId="36" borderId="0" xfId="0" applyFont="1" applyFill="1" applyBorder="1" applyAlignment="1">
      <alignment horizontal="center" vertical="center"/>
    </xf>
    <xf numFmtId="0" fontId="9" fillId="36" borderId="0" xfId="0" applyFont="1" applyFill="1"/>
    <xf numFmtId="174" fontId="53" fillId="36" borderId="0" xfId="28" applyNumberFormat="1" applyFont="1" applyFill="1"/>
    <xf numFmtId="0" fontId="54" fillId="36" borderId="0" xfId="36" applyFont="1" applyFill="1" applyAlignment="1" applyProtection="1">
      <alignment horizontal="left"/>
    </xf>
    <xf numFmtId="0" fontId="53" fillId="36" borderId="0" xfId="0" applyFont="1" applyFill="1"/>
    <xf numFmtId="0" fontId="9" fillId="36" borderId="0" xfId="0" applyFont="1" applyFill="1" applyProtection="1">
      <protection locked="0"/>
    </xf>
    <xf numFmtId="0" fontId="14" fillId="36" borderId="0" xfId="0" applyFont="1" applyFill="1" applyAlignment="1">
      <alignment horizontal="left" vertical="center" wrapText="1"/>
    </xf>
    <xf numFmtId="0" fontId="8" fillId="36" borderId="0" xfId="0" applyFont="1" applyFill="1" applyAlignment="1">
      <alignment horizontal="left" vertical="top"/>
    </xf>
    <xf numFmtId="0" fontId="2" fillId="36" borderId="0" xfId="0" applyFont="1" applyFill="1" applyAlignment="1">
      <alignment horizontal="left" vertical="top"/>
    </xf>
    <xf numFmtId="164" fontId="53" fillId="36" borderId="0" xfId="0" applyNumberFormat="1" applyFont="1" applyFill="1"/>
    <xf numFmtId="0" fontId="53" fillId="36" borderId="0" xfId="0" applyFont="1" applyFill="1" applyProtection="1">
      <protection locked="0"/>
    </xf>
    <xf numFmtId="0" fontId="9" fillId="36" borderId="0" xfId="0" applyFont="1" applyFill="1" applyBorder="1"/>
    <xf numFmtId="0" fontId="8" fillId="36" borderId="0" xfId="0" applyFont="1" applyFill="1" applyBorder="1" applyAlignment="1">
      <alignment horizontal="left" vertical="center" wrapText="1"/>
    </xf>
    <xf numFmtId="0" fontId="16" fillId="36" borderId="0" xfId="0" applyFont="1" applyFill="1" applyBorder="1" applyAlignment="1">
      <alignment horizontal="right" vertical="center" wrapText="1"/>
    </xf>
    <xf numFmtId="0" fontId="8" fillId="36" borderId="0" xfId="0" applyFont="1" applyFill="1" applyBorder="1" applyAlignment="1">
      <alignment horizontal="left" vertical="top"/>
    </xf>
    <xf numFmtId="0" fontId="2" fillId="36" borderId="0" xfId="0" applyFont="1" applyFill="1" applyBorder="1" applyAlignment="1">
      <alignment horizontal="left" vertical="top"/>
    </xf>
    <xf numFmtId="164" fontId="53" fillId="36" borderId="0" xfId="0" applyNumberFormat="1" applyFont="1" applyFill="1" applyBorder="1"/>
    <xf numFmtId="174" fontId="53" fillId="36" borderId="0" xfId="28" applyNumberFormat="1" applyFont="1" applyFill="1" applyBorder="1"/>
    <xf numFmtId="0" fontId="53" fillId="36" borderId="0" xfId="0" applyFont="1" applyFill="1" applyBorder="1"/>
    <xf numFmtId="0" fontId="53" fillId="36" borderId="0" xfId="0" applyFont="1" applyFill="1" applyBorder="1" applyProtection="1">
      <protection locked="0"/>
    </xf>
    <xf numFmtId="0" fontId="9" fillId="36" borderId="0" xfId="0" applyFont="1" applyFill="1" applyBorder="1" applyProtection="1">
      <protection locked="0"/>
    </xf>
    <xf numFmtId="0" fontId="8" fillId="36" borderId="0" xfId="0" applyFont="1" applyFill="1" applyBorder="1" applyAlignment="1">
      <alignment vertical="center"/>
    </xf>
    <xf numFmtId="0" fontId="8" fillId="36" borderId="0" xfId="0" applyFont="1" applyFill="1" applyAlignment="1">
      <alignment horizontal="left" vertical="center"/>
    </xf>
    <xf numFmtId="0" fontId="13" fillId="36" borderId="0" xfId="0" applyFont="1" applyFill="1" applyBorder="1" applyAlignment="1" applyProtection="1">
      <alignment horizontal="center" vertical="center"/>
      <protection locked="0"/>
    </xf>
    <xf numFmtId="0" fontId="8" fillId="36" borderId="0" xfId="0" applyFont="1" applyFill="1" applyBorder="1" applyAlignment="1">
      <alignment horizontal="center" vertical="center" wrapText="1"/>
    </xf>
    <xf numFmtId="0" fontId="8" fillId="36" borderId="0" xfId="0" applyFont="1" applyFill="1" applyAlignment="1">
      <alignment horizontal="center" vertical="center" wrapText="1"/>
    </xf>
    <xf numFmtId="0" fontId="16" fillId="36" borderId="0" xfId="0" applyFont="1" applyFill="1" applyAlignment="1">
      <alignment horizontal="right" vertical="center" wrapText="1"/>
    </xf>
    <xf numFmtId="174" fontId="9" fillId="36" borderId="0" xfId="28" applyNumberFormat="1" applyFont="1" applyFill="1"/>
    <xf numFmtId="0" fontId="8" fillId="36" borderId="13" xfId="0" applyFont="1" applyFill="1" applyBorder="1" applyAlignment="1">
      <alignment vertical="center"/>
    </xf>
    <xf numFmtId="0" fontId="9" fillId="36" borderId="14" xfId="0" applyFont="1" applyFill="1" applyBorder="1"/>
    <xf numFmtId="0" fontId="18" fillId="36" borderId="0" xfId="0" applyFont="1" applyFill="1" applyAlignment="1">
      <alignment horizontal="center" wrapText="1"/>
    </xf>
    <xf numFmtId="0" fontId="8" fillId="36" borderId="13" xfId="0" applyFont="1" applyFill="1" applyBorder="1" applyAlignment="1">
      <alignment horizontal="left" vertical="center"/>
    </xf>
    <xf numFmtId="0" fontId="8" fillId="36" borderId="0" xfId="0" applyFont="1" applyFill="1" applyBorder="1" applyAlignment="1">
      <alignment horizontal="left" vertical="center"/>
    </xf>
    <xf numFmtId="0" fontId="8" fillId="36" borderId="0" xfId="0" applyFont="1" applyFill="1" applyAlignment="1">
      <alignment horizontal="right"/>
    </xf>
    <xf numFmtId="174" fontId="13" fillId="36" borderId="0" xfId="28" applyNumberFormat="1" applyFont="1" applyFill="1" applyAlignment="1">
      <alignment horizontal="center" wrapText="1"/>
    </xf>
    <xf numFmtId="0" fontId="8" fillId="36" borderId="0" xfId="0" applyFont="1" applyFill="1" applyBorder="1" applyAlignment="1">
      <alignment horizontal="left"/>
    </xf>
    <xf numFmtId="176" fontId="16" fillId="36" borderId="0" xfId="0" applyNumberFormat="1" applyFont="1" applyFill="1" applyAlignment="1">
      <alignment horizontal="right" vertical="center"/>
    </xf>
    <xf numFmtId="0" fontId="2" fillId="36" borderId="0" xfId="0" applyFont="1" applyFill="1" applyAlignment="1">
      <alignment horizontal="left"/>
    </xf>
    <xf numFmtId="0" fontId="0" fillId="36" borderId="0" xfId="0" applyFill="1"/>
    <xf numFmtId="0" fontId="8" fillId="36" borderId="0" xfId="0" applyFont="1" applyFill="1" applyBorder="1" applyAlignment="1">
      <alignment horizontal="center"/>
    </xf>
    <xf numFmtId="174" fontId="9" fillId="36" borderId="0" xfId="28" applyNumberFormat="1" applyFont="1" applyFill="1" applyBorder="1"/>
    <xf numFmtId="14" fontId="15" fillId="36" borderId="13" xfId="0" applyNumberFormat="1" applyFont="1" applyFill="1" applyBorder="1" applyAlignment="1">
      <alignment horizontal="left"/>
    </xf>
    <xf numFmtId="14" fontId="15" fillId="36" borderId="0" xfId="0" applyNumberFormat="1" applyFont="1" applyFill="1" applyBorder="1" applyAlignment="1">
      <alignment horizontal="left" vertical="top"/>
    </xf>
    <xf numFmtId="164" fontId="8" fillId="36" borderId="19" xfId="0" applyNumberFormat="1" applyFont="1" applyFill="1" applyBorder="1" applyAlignment="1">
      <alignment horizontal="center" wrapText="1"/>
    </xf>
    <xf numFmtId="164" fontId="9" fillId="36" borderId="10" xfId="0" applyNumberFormat="1" applyFont="1" applyFill="1" applyBorder="1"/>
    <xf numFmtId="164" fontId="9" fillId="36" borderId="12" xfId="0" applyNumberFormat="1" applyFont="1" applyFill="1" applyBorder="1"/>
    <xf numFmtId="0" fontId="6" fillId="36" borderId="26" xfId="0" applyFont="1" applyFill="1" applyBorder="1" applyAlignment="1">
      <alignment horizontal="center" wrapText="1"/>
    </xf>
    <xf numFmtId="1" fontId="6" fillId="36" borderId="16" xfId="0" applyNumberFormat="1" applyFont="1" applyFill="1" applyBorder="1" applyAlignment="1">
      <alignment horizontal="center" wrapText="1"/>
    </xf>
    <xf numFmtId="0" fontId="8" fillId="36" borderId="0" xfId="0" applyFont="1" applyFill="1" applyBorder="1"/>
    <xf numFmtId="0" fontId="15" fillId="36" borderId="0" xfId="0" applyFont="1" applyFill="1" applyBorder="1"/>
    <xf numFmtId="0" fontId="9" fillId="36" borderId="28" xfId="0" applyFont="1" applyFill="1" applyBorder="1"/>
    <xf numFmtId="0" fontId="9" fillId="36" borderId="26" xfId="0" applyFont="1" applyFill="1" applyBorder="1"/>
    <xf numFmtId="1" fontId="0" fillId="36" borderId="12" xfId="0" applyNumberFormat="1" applyFill="1" applyBorder="1" applyAlignment="1">
      <alignment horizontal="center"/>
    </xf>
    <xf numFmtId="0" fontId="8" fillId="36" borderId="16" xfId="0" applyFont="1" applyFill="1" applyBorder="1" applyAlignment="1">
      <alignment horizontal="left" vertical="center" wrapText="1"/>
    </xf>
    <xf numFmtId="164" fontId="0" fillId="36" borderId="16" xfId="0" applyNumberFormat="1" applyFill="1" applyBorder="1" applyAlignment="1">
      <alignment horizontal="center"/>
    </xf>
    <xf numFmtId="164" fontId="0" fillId="36" borderId="26" xfId="0" applyNumberFormat="1" applyFill="1" applyBorder="1"/>
    <xf numFmtId="168" fontId="0" fillId="36" borderId="16" xfId="28" applyNumberFormat="1" applyFont="1" applyFill="1" applyBorder="1"/>
    <xf numFmtId="0" fontId="15" fillId="36" borderId="0" xfId="0" applyFont="1" applyFill="1"/>
    <xf numFmtId="164" fontId="0" fillId="36" borderId="0" xfId="0" applyNumberFormat="1" applyFill="1" applyBorder="1"/>
    <xf numFmtId="164" fontId="0" fillId="36" borderId="0" xfId="0" applyNumberFormat="1" applyFill="1"/>
    <xf numFmtId="164" fontId="15" fillId="36" borderId="0" xfId="0" applyNumberFormat="1" applyFont="1" applyFill="1"/>
    <xf numFmtId="174" fontId="0" fillId="36" borderId="0" xfId="28" applyNumberFormat="1" applyFont="1" applyFill="1"/>
    <xf numFmtId="0" fontId="0" fillId="36" borderId="16" xfId="0" applyFill="1" applyBorder="1" applyProtection="1">
      <protection locked="0"/>
    </xf>
    <xf numFmtId="0" fontId="2" fillId="36" borderId="16" xfId="0" applyFont="1" applyFill="1" applyBorder="1" applyAlignment="1" applyProtection="1">
      <alignment horizontal="left"/>
      <protection locked="0"/>
    </xf>
    <xf numFmtId="0" fontId="0" fillId="36" borderId="0" xfId="0" applyFill="1" applyBorder="1" applyProtection="1">
      <protection locked="0"/>
    </xf>
    <xf numFmtId="0" fontId="0" fillId="36" borderId="0" xfId="0" applyFill="1" applyProtection="1">
      <protection locked="0"/>
    </xf>
    <xf numFmtId="14" fontId="15" fillId="36" borderId="0" xfId="0" applyNumberFormat="1" applyFont="1" applyFill="1"/>
    <xf numFmtId="164" fontId="2" fillId="36" borderId="16" xfId="0" applyNumberFormat="1" applyFont="1" applyFill="1" applyBorder="1" applyAlignment="1" applyProtection="1">
      <alignment horizontal="left"/>
      <protection locked="0"/>
    </xf>
    <xf numFmtId="0" fontId="0" fillId="36" borderId="15" xfId="0" applyFill="1" applyBorder="1"/>
    <xf numFmtId="0" fontId="0" fillId="36" borderId="29" xfId="0" applyFill="1" applyBorder="1"/>
    <xf numFmtId="174" fontId="8" fillId="36" borderId="0" xfId="28" applyNumberFormat="1" applyFont="1" applyFill="1" applyBorder="1" applyAlignment="1">
      <alignment horizontal="center" vertical="center" wrapText="1"/>
    </xf>
    <xf numFmtId="0" fontId="9" fillId="36" borderId="16" xfId="0" applyFont="1" applyFill="1" applyBorder="1" applyProtection="1">
      <protection locked="0"/>
    </xf>
    <xf numFmtId="0" fontId="0" fillId="36" borderId="0" xfId="0" applyFill="1" applyBorder="1" applyAlignment="1"/>
    <xf numFmtId="14" fontId="52" fillId="36" borderId="0" xfId="0" quotePrefix="1" applyNumberFormat="1" applyFont="1" applyFill="1" applyBorder="1" applyAlignment="1">
      <alignment horizontal="left" vertical="top"/>
    </xf>
    <xf numFmtId="0" fontId="9" fillId="36" borderId="0" xfId="0" applyFont="1" applyFill="1" applyBorder="1" applyAlignment="1">
      <alignment horizontal="center"/>
    </xf>
    <xf numFmtId="165" fontId="0" fillId="36" borderId="14" xfId="0" applyNumberFormat="1" applyFill="1" applyBorder="1"/>
    <xf numFmtId="164" fontId="0" fillId="36" borderId="14" xfId="0" applyNumberFormat="1" applyFill="1" applyBorder="1"/>
    <xf numFmtId="0" fontId="0" fillId="36" borderId="41" xfId="0" applyFill="1" applyBorder="1"/>
    <xf numFmtId="164" fontId="0" fillId="36" borderId="19" xfId="0" applyNumberFormat="1" applyFill="1" applyBorder="1"/>
    <xf numFmtId="0" fontId="6" fillId="0" borderId="0" xfId="0" applyFont="1" applyFill="1" applyBorder="1" applyAlignment="1" applyProtection="1">
      <alignment vertical="top"/>
      <protection locked="0"/>
    </xf>
    <xf numFmtId="0" fontId="13" fillId="37" borderId="17" xfId="0" applyFont="1" applyFill="1" applyBorder="1" applyAlignment="1" applyProtection="1">
      <alignment horizontal="center" wrapText="1"/>
      <protection locked="0"/>
    </xf>
    <xf numFmtId="0" fontId="8" fillId="37" borderId="19" xfId="0" applyFont="1" applyFill="1" applyBorder="1" applyAlignment="1">
      <alignment horizontal="center"/>
    </xf>
    <xf numFmtId="168" fontId="0" fillId="37" borderId="18" xfId="28" applyNumberFormat="1" applyFont="1" applyFill="1" applyBorder="1" applyProtection="1">
      <protection locked="0"/>
    </xf>
    <xf numFmtId="168" fontId="0" fillId="37" borderId="20" xfId="28" applyNumberFormat="1" applyFont="1" applyFill="1" applyBorder="1" applyProtection="1">
      <protection locked="0"/>
    </xf>
    <xf numFmtId="0" fontId="78" fillId="36" borderId="0" xfId="0" applyFont="1" applyFill="1" applyAlignment="1">
      <alignment horizontal="justify" vertical="center" wrapText="1"/>
    </xf>
    <xf numFmtId="0" fontId="60" fillId="39" borderId="16" xfId="0" applyFont="1" applyFill="1" applyBorder="1" applyAlignment="1">
      <alignment horizontal="center" wrapText="1"/>
    </xf>
    <xf numFmtId="0" fontId="0" fillId="40" borderId="0" xfId="0" applyFill="1"/>
    <xf numFmtId="0" fontId="0" fillId="40" borderId="0" xfId="0" applyFill="1" applyBorder="1"/>
    <xf numFmtId="164" fontId="0" fillId="40" borderId="0" xfId="0" applyNumberFormat="1" applyFill="1" applyBorder="1" applyProtection="1">
      <protection locked="0"/>
    </xf>
    <xf numFmtId="0" fontId="73" fillId="40" borderId="0" xfId="0" applyFont="1" applyFill="1"/>
    <xf numFmtId="0" fontId="75" fillId="40" borderId="0" xfId="0" applyFont="1" applyFill="1"/>
    <xf numFmtId="0" fontId="76" fillId="40" borderId="40" xfId="0" applyFont="1" applyFill="1" applyBorder="1" applyAlignment="1" applyProtection="1">
      <alignment horizontal="center" vertical="center"/>
      <protection locked="0"/>
    </xf>
    <xf numFmtId="0" fontId="0" fillId="40" borderId="0" xfId="0" applyFill="1" applyBorder="1" applyProtection="1">
      <protection locked="0"/>
    </xf>
    <xf numFmtId="0" fontId="35" fillId="41" borderId="0" xfId="0" applyFont="1" applyFill="1"/>
    <xf numFmtId="0" fontId="56" fillId="41" borderId="0" xfId="0" applyFont="1" applyFill="1" applyBorder="1" applyAlignment="1">
      <alignment vertical="center"/>
    </xf>
    <xf numFmtId="0" fontId="0" fillId="41" borderId="0" xfId="0" applyFill="1"/>
    <xf numFmtId="0" fontId="35" fillId="41" borderId="0" xfId="0" applyFont="1" applyFill="1" applyBorder="1"/>
    <xf numFmtId="164" fontId="35" fillId="41" borderId="0" xfId="0" applyNumberFormat="1" applyFont="1" applyFill="1" applyBorder="1" applyProtection="1">
      <protection locked="0"/>
    </xf>
    <xf numFmtId="0" fontId="58" fillId="41" borderId="17" xfId="0" applyFont="1" applyFill="1" applyBorder="1" applyAlignment="1" applyProtection="1">
      <alignment horizontal="center" vertical="center"/>
      <protection locked="0"/>
    </xf>
    <xf numFmtId="0" fontId="35" fillId="41" borderId="0" xfId="0" applyFont="1" applyFill="1" applyBorder="1" applyProtection="1">
      <protection locked="0"/>
    </xf>
    <xf numFmtId="0" fontId="27" fillId="0" borderId="0" xfId="0" applyFont="1" applyFill="1" applyAlignment="1">
      <alignment horizontal="center"/>
    </xf>
    <xf numFmtId="0" fontId="17" fillId="0" borderId="0" xfId="0" applyFont="1"/>
    <xf numFmtId="0" fontId="7" fillId="0" borderId="0" xfId="0" applyFont="1"/>
    <xf numFmtId="0" fontId="17" fillId="0" borderId="0" xfId="0" applyFont="1" applyAlignment="1">
      <alignment wrapText="1"/>
    </xf>
    <xf numFmtId="0" fontId="79" fillId="0" borderId="0" xfId="0" applyFont="1"/>
    <xf numFmtId="0" fontId="80" fillId="0" borderId="0" xfId="0" applyFont="1"/>
    <xf numFmtId="0" fontId="2" fillId="0" borderId="16" xfId="45" applyFont="1" applyBorder="1" applyAlignment="1">
      <alignment horizontal="center" wrapText="1"/>
    </xf>
    <xf numFmtId="0" fontId="2" fillId="0" borderId="16" xfId="45" applyFont="1" applyBorder="1" applyAlignment="1">
      <alignment wrapText="1"/>
    </xf>
    <xf numFmtId="0" fontId="2" fillId="0" borderId="16" xfId="45" applyFont="1" applyFill="1" applyBorder="1" applyAlignment="1">
      <alignment wrapText="1"/>
    </xf>
    <xf numFmtId="0" fontId="1" fillId="0" borderId="16" xfId="45" applyBorder="1"/>
    <xf numFmtId="0" fontId="1" fillId="0" borderId="16" xfId="45" applyFont="1" applyBorder="1"/>
    <xf numFmtId="0" fontId="1" fillId="0" borderId="16" xfId="45" applyFont="1" applyBorder="1" applyAlignment="1">
      <alignment horizontal="right"/>
    </xf>
    <xf numFmtId="0" fontId="83" fillId="0" borderId="0" xfId="0" applyFont="1" applyBorder="1"/>
    <xf numFmtId="0" fontId="11" fillId="0" borderId="0" xfId="36" applyFont="1" applyBorder="1" applyAlignment="1" applyProtection="1">
      <protection locked="0"/>
    </xf>
    <xf numFmtId="0" fontId="12" fillId="43" borderId="0" xfId="36" applyFont="1" applyFill="1" applyBorder="1" applyAlignment="1" applyProtection="1">
      <alignment horizontal="center" vertical="top" wrapText="1"/>
    </xf>
    <xf numFmtId="0" fontId="12" fillId="0" borderId="0" xfId="36" applyFont="1" applyAlignment="1" applyProtection="1"/>
    <xf numFmtId="0" fontId="85" fillId="0" borderId="0" xfId="36" applyFont="1" applyAlignment="1" applyProtection="1"/>
    <xf numFmtId="0" fontId="6" fillId="0" borderId="0" xfId="0" applyFont="1" applyFill="1" applyBorder="1" applyAlignment="1">
      <alignment vertical="center" wrapText="1"/>
    </xf>
    <xf numFmtId="0" fontId="12" fillId="0" borderId="0" xfId="36" applyFont="1" applyFill="1" applyBorder="1" applyAlignment="1" applyProtection="1">
      <alignment horizontal="center" vertical="center" wrapText="1"/>
    </xf>
    <xf numFmtId="0" fontId="87" fillId="0" borderId="0" xfId="0" applyFont="1"/>
    <xf numFmtId="0" fontId="88" fillId="41" borderId="0" xfId="0" applyFont="1" applyFill="1"/>
    <xf numFmtId="0" fontId="1" fillId="28" borderId="28" xfId="0" applyFont="1" applyFill="1" applyBorder="1" applyAlignment="1">
      <alignment vertical="center" wrapText="1"/>
    </xf>
    <xf numFmtId="2" fontId="1" fillId="0" borderId="0" xfId="0" applyNumberFormat="1" applyFont="1"/>
    <xf numFmtId="179" fontId="0" fillId="26" borderId="0" xfId="28" applyNumberFormat="1" applyFont="1" applyFill="1"/>
    <xf numFmtId="179" fontId="0" fillId="26" borderId="0" xfId="28" applyNumberFormat="1" applyFont="1" applyFill="1" applyAlignment="1">
      <alignment horizontal="right" vertical="justify"/>
    </xf>
    <xf numFmtId="0" fontId="8" fillId="0" borderId="0" xfId="0" applyFont="1" applyFill="1" applyBorder="1" applyAlignment="1"/>
    <xf numFmtId="174" fontId="0" fillId="36" borderId="0" xfId="28" applyNumberFormat="1" applyFont="1" applyFill="1" applyAlignment="1">
      <alignment vertical="center" wrapText="1"/>
    </xf>
    <xf numFmtId="0" fontId="91" fillId="40" borderId="0" xfId="0" applyFont="1" applyFill="1" applyBorder="1" applyAlignment="1">
      <alignment vertical="center"/>
    </xf>
    <xf numFmtId="0" fontId="22" fillId="27" borderId="0" xfId="0" applyFont="1" applyFill="1"/>
    <xf numFmtId="0" fontId="92" fillId="0" borderId="0" xfId="36" applyFont="1" applyFill="1" applyAlignment="1" applyProtection="1">
      <alignment horizontal="left" vertical="top" wrapText="1"/>
    </xf>
    <xf numFmtId="164" fontId="0" fillId="44" borderId="0" xfId="0" applyNumberFormat="1" applyFill="1"/>
    <xf numFmtId="164" fontId="0" fillId="40" borderId="0" xfId="0" applyNumberFormat="1" applyFill="1"/>
    <xf numFmtId="0" fontId="1" fillId="0" borderId="16" xfId="0" applyFont="1" applyBorder="1"/>
    <xf numFmtId="179" fontId="0" fillId="0" borderId="16" xfId="0" applyNumberFormat="1" applyBorder="1" applyAlignment="1" applyProtection="1">
      <alignment horizontal="center"/>
      <protection locked="0"/>
    </xf>
    <xf numFmtId="2" fontId="0" fillId="40" borderId="0" xfId="0" applyNumberFormat="1" applyFill="1"/>
    <xf numFmtId="0" fontId="95" fillId="0" borderId="0" xfId="0" applyFont="1" applyFill="1"/>
    <xf numFmtId="0" fontId="9" fillId="0" borderId="0" xfId="0" applyFont="1" applyFill="1"/>
    <xf numFmtId="0" fontId="8" fillId="0" borderId="0" xfId="0" applyFont="1" applyFill="1" applyBorder="1" applyAlignment="1">
      <alignment vertical="center"/>
    </xf>
    <xf numFmtId="0" fontId="13" fillId="0" borderId="17" xfId="0" applyFont="1" applyFill="1" applyBorder="1" applyAlignment="1" applyProtection="1">
      <alignment horizontal="center" vertical="center"/>
      <protection locked="0"/>
    </xf>
    <xf numFmtId="0" fontId="9" fillId="0" borderId="0" xfId="0" applyFont="1" applyFill="1" applyProtection="1">
      <protection locked="0"/>
    </xf>
    <xf numFmtId="0" fontId="1" fillId="27" borderId="0" xfId="0" applyFont="1" applyFill="1"/>
    <xf numFmtId="0" fontId="96" fillId="0" borderId="0" xfId="0" applyFont="1" applyFill="1"/>
    <xf numFmtId="0" fontId="12" fillId="0" borderId="0" xfId="36" applyFont="1" applyFill="1" applyBorder="1" applyAlignment="1" applyProtection="1"/>
    <xf numFmtId="0" fontId="97" fillId="27" borderId="0" xfId="0" applyFont="1" applyFill="1" applyBorder="1" applyAlignment="1"/>
    <xf numFmtId="0" fontId="10" fillId="0" borderId="0" xfId="36" applyAlignment="1" applyProtection="1"/>
    <xf numFmtId="0" fontId="95" fillId="0" borderId="0" xfId="0" applyFont="1"/>
    <xf numFmtId="0" fontId="40" fillId="49" borderId="0" xfId="0" applyFont="1" applyFill="1" applyBorder="1" applyAlignment="1">
      <alignment horizontal="center" vertical="center" wrapText="1"/>
    </xf>
    <xf numFmtId="10" fontId="64" fillId="49" borderId="0" xfId="0" applyNumberFormat="1" applyFont="1" applyFill="1" applyBorder="1" applyAlignment="1" applyProtection="1">
      <alignment vertical="center"/>
      <protection locked="0"/>
    </xf>
    <xf numFmtId="0" fontId="65" fillId="49" borderId="0" xfId="0" applyFont="1" applyFill="1" applyBorder="1" applyAlignment="1" applyProtection="1">
      <alignment horizontal="right" vertical="center"/>
      <protection locked="0"/>
    </xf>
    <xf numFmtId="0" fontId="65" fillId="49" borderId="0" xfId="0" applyFont="1" applyFill="1" applyBorder="1" applyAlignment="1" applyProtection="1">
      <alignment horizontal="left" vertical="center"/>
      <protection locked="0"/>
    </xf>
    <xf numFmtId="164" fontId="59" fillId="49" borderId="0" xfId="0" applyNumberFormat="1" applyFont="1" applyFill="1" applyBorder="1" applyAlignment="1" applyProtection="1">
      <alignment vertical="center"/>
      <protection locked="0"/>
    </xf>
    <xf numFmtId="175" fontId="67" fillId="49" borderId="0" xfId="0" applyNumberFormat="1" applyFont="1" applyFill="1" applyBorder="1" applyAlignment="1" applyProtection="1">
      <alignment vertical="center"/>
      <protection locked="0"/>
    </xf>
    <xf numFmtId="164" fontId="0" fillId="46" borderId="16" xfId="0" applyNumberFormat="1" applyFill="1" applyBorder="1" applyProtection="1">
      <protection locked="0"/>
    </xf>
    <xf numFmtId="0" fontId="100" fillId="41" borderId="0" xfId="0" applyFont="1" applyFill="1" applyBorder="1"/>
    <xf numFmtId="0" fontId="2" fillId="36" borderId="0" xfId="0" applyFont="1" applyFill="1"/>
    <xf numFmtId="0" fontId="1" fillId="36" borderId="0" xfId="0" applyFont="1" applyFill="1"/>
    <xf numFmtId="0" fontId="2" fillId="36" borderId="16" xfId="0" applyFont="1" applyFill="1" applyBorder="1" applyAlignment="1" applyProtection="1">
      <alignment horizontal="center" wrapText="1"/>
      <protection locked="0"/>
    </xf>
    <xf numFmtId="10" fontId="2" fillId="36" borderId="16" xfId="0" applyNumberFormat="1" applyFont="1" applyFill="1" applyBorder="1" applyAlignment="1" applyProtection="1">
      <alignment horizontal="center" wrapText="1"/>
      <protection locked="0"/>
    </xf>
    <xf numFmtId="164" fontId="2" fillId="36" borderId="16" xfId="0" applyNumberFormat="1" applyFont="1" applyFill="1" applyBorder="1" applyAlignment="1" applyProtection="1">
      <alignment horizontal="center" wrapText="1"/>
      <protection locked="0"/>
    </xf>
    <xf numFmtId="0" fontId="0" fillId="36" borderId="16" xfId="0" applyFill="1" applyBorder="1"/>
    <xf numFmtId="164" fontId="0" fillId="36" borderId="16" xfId="0" applyNumberFormat="1" applyFill="1" applyBorder="1"/>
    <xf numFmtId="0" fontId="79" fillId="36" borderId="0" xfId="0" applyFont="1" applyFill="1"/>
    <xf numFmtId="0" fontId="22" fillId="36" borderId="0" xfId="0" applyFont="1" applyFill="1"/>
    <xf numFmtId="0" fontId="0" fillId="36" borderId="0" xfId="0" applyFill="1" applyAlignment="1">
      <alignment horizontal="center"/>
    </xf>
    <xf numFmtId="164" fontId="2" fillId="36" borderId="0" xfId="0" applyNumberFormat="1" applyFont="1" applyFill="1"/>
    <xf numFmtId="164" fontId="0" fillId="36" borderId="16" xfId="0" applyNumberFormat="1" applyFill="1" applyBorder="1" applyProtection="1">
      <protection locked="0"/>
    </xf>
    <xf numFmtId="164" fontId="0" fillId="36" borderId="0" xfId="0" applyNumberFormat="1" applyFill="1" applyBorder="1" applyProtection="1">
      <protection locked="0"/>
    </xf>
    <xf numFmtId="164" fontId="2" fillId="36" borderId="0" xfId="0" applyNumberFormat="1" applyFont="1" applyFill="1" applyBorder="1" applyProtection="1">
      <protection locked="0"/>
    </xf>
    <xf numFmtId="0" fontId="0" fillId="46" borderId="50" xfId="0" applyFill="1" applyBorder="1" applyAlignment="1">
      <alignment horizontal="center"/>
    </xf>
    <xf numFmtId="0" fontId="0" fillId="46" borderId="51" xfId="0" applyFill="1" applyBorder="1" applyAlignment="1">
      <alignment horizontal="center"/>
    </xf>
    <xf numFmtId="0" fontId="0" fillId="46" borderId="52" xfId="0" applyFill="1" applyBorder="1" applyAlignment="1">
      <alignment horizontal="center"/>
    </xf>
    <xf numFmtId="164" fontId="0" fillId="46" borderId="19" xfId="0" applyNumberFormat="1" applyFill="1" applyBorder="1"/>
    <xf numFmtId="0" fontId="0" fillId="46" borderId="16" xfId="0" applyFill="1" applyBorder="1" applyAlignment="1">
      <alignment horizontal="center"/>
    </xf>
    <xf numFmtId="164" fontId="0" fillId="47" borderId="16" xfId="0" applyNumberFormat="1" applyFill="1" applyBorder="1"/>
    <xf numFmtId="164" fontId="0" fillId="48" borderId="16" xfId="0" applyNumberFormat="1" applyFill="1" applyBorder="1"/>
    <xf numFmtId="164" fontId="0" fillId="0" borderId="16" xfId="0" applyNumberFormat="1" applyFill="1" applyBorder="1"/>
    <xf numFmtId="167" fontId="0" fillId="0" borderId="16" xfId="0" applyNumberFormat="1" applyBorder="1"/>
    <xf numFmtId="164" fontId="2" fillId="0" borderId="16" xfId="0" applyNumberFormat="1" applyFont="1" applyBorder="1"/>
    <xf numFmtId="167" fontId="7" fillId="0" borderId="16" xfId="0" applyNumberFormat="1" applyFont="1" applyBorder="1"/>
    <xf numFmtId="0" fontId="1" fillId="0" borderId="53" xfId="0" applyFont="1" applyBorder="1"/>
    <xf numFmtId="0" fontId="0" fillId="0" borderId="38" xfId="0" applyBorder="1"/>
    <xf numFmtId="0" fontId="0" fillId="0" borderId="39" xfId="0" applyBorder="1"/>
    <xf numFmtId="0" fontId="1" fillId="0" borderId="24" xfId="0" applyFont="1" applyBorder="1"/>
    <xf numFmtId="0" fontId="0" fillId="0" borderId="25" xfId="0" applyBorder="1"/>
    <xf numFmtId="0" fontId="0" fillId="0" borderId="24" xfId="0" applyBorder="1"/>
    <xf numFmtId="0" fontId="2" fillId="0" borderId="24" xfId="0" applyFont="1" applyBorder="1"/>
    <xf numFmtId="0" fontId="0" fillId="0" borderId="54" xfId="0" applyBorder="1"/>
    <xf numFmtId="167" fontId="7" fillId="0" borderId="55" xfId="0" applyNumberFormat="1" applyFont="1" applyBorder="1"/>
    <xf numFmtId="0" fontId="0" fillId="0" borderId="55" xfId="0" applyBorder="1"/>
    <xf numFmtId="0" fontId="0" fillId="0" borderId="56" xfId="0" applyBorder="1"/>
    <xf numFmtId="0" fontId="7" fillId="36" borderId="0" xfId="0" applyFont="1" applyFill="1" applyBorder="1"/>
    <xf numFmtId="0" fontId="0" fillId="36" borderId="0" xfId="0" applyFill="1" applyBorder="1"/>
    <xf numFmtId="0" fontId="98" fillId="36" borderId="0" xfId="0" applyFont="1" applyFill="1" applyBorder="1"/>
    <xf numFmtId="0" fontId="1" fillId="36" borderId="0" xfId="0" applyFont="1" applyFill="1" applyBorder="1"/>
    <xf numFmtId="0" fontId="0" fillId="0" borderId="53"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7" fillId="36" borderId="0" xfId="0" applyFont="1" applyFill="1"/>
    <xf numFmtId="0" fontId="0" fillId="36" borderId="0" xfId="0" applyFill="1" applyBorder="1" applyAlignment="1">
      <alignment horizontal="center"/>
    </xf>
    <xf numFmtId="0" fontId="0" fillId="36" borderId="53" xfId="0" applyFill="1" applyBorder="1" applyAlignment="1">
      <alignment horizontal="center"/>
    </xf>
    <xf numFmtId="0" fontId="0" fillId="36" borderId="38" xfId="0" applyFill="1" applyBorder="1" applyAlignment="1">
      <alignment horizontal="center"/>
    </xf>
    <xf numFmtId="0" fontId="0" fillId="36" borderId="39" xfId="0" applyFill="1" applyBorder="1" applyAlignment="1">
      <alignment horizontal="center"/>
    </xf>
    <xf numFmtId="0" fontId="1" fillId="36" borderId="0" xfId="0" applyFont="1" applyFill="1" applyBorder="1" applyAlignment="1">
      <alignment horizontal="center"/>
    </xf>
    <xf numFmtId="164" fontId="1" fillId="36" borderId="0" xfId="0" applyNumberFormat="1" applyFont="1" applyFill="1" applyBorder="1" applyAlignment="1">
      <alignment horizontal="center"/>
    </xf>
    <xf numFmtId="164" fontId="0" fillId="36" borderId="0" xfId="0" applyNumberFormat="1" applyFill="1" applyBorder="1" applyAlignment="1">
      <alignment horizontal="center"/>
    </xf>
    <xf numFmtId="0" fontId="0" fillId="36" borderId="22" xfId="0" applyFill="1" applyBorder="1" applyAlignment="1">
      <alignment horizontal="center"/>
    </xf>
    <xf numFmtId="0" fontId="1" fillId="36" borderId="23" xfId="0" applyFont="1" applyFill="1" applyBorder="1" applyAlignment="1"/>
    <xf numFmtId="0" fontId="0" fillId="36" borderId="23" xfId="0" applyFill="1" applyBorder="1"/>
    <xf numFmtId="0" fontId="1" fillId="36" borderId="23" xfId="0" applyFont="1" applyFill="1" applyBorder="1" applyAlignment="1">
      <alignment horizontal="center"/>
    </xf>
    <xf numFmtId="0" fontId="1" fillId="36" borderId="45" xfId="0" applyFont="1" applyFill="1" applyBorder="1" applyAlignment="1">
      <alignment horizontal="center"/>
    </xf>
    <xf numFmtId="0" fontId="0" fillId="36" borderId="46" xfId="0" applyFill="1" applyBorder="1" applyAlignment="1">
      <alignment horizontal="center"/>
    </xf>
    <xf numFmtId="0" fontId="0" fillId="36" borderId="47" xfId="0" applyFill="1" applyBorder="1" applyAlignment="1">
      <alignment horizontal="center"/>
    </xf>
    <xf numFmtId="0" fontId="0" fillId="36" borderId="46" xfId="0" applyFill="1" applyBorder="1"/>
    <xf numFmtId="0" fontId="0" fillId="36" borderId="47" xfId="0" applyFill="1" applyBorder="1"/>
    <xf numFmtId="0" fontId="0" fillId="36" borderId="48" xfId="0" applyFill="1" applyBorder="1"/>
    <xf numFmtId="0" fontId="0" fillId="36" borderId="44" xfId="0" applyFill="1" applyBorder="1"/>
    <xf numFmtId="0" fontId="0" fillId="36" borderId="49" xfId="0" applyFill="1" applyBorder="1"/>
    <xf numFmtId="0" fontId="0" fillId="0" borderId="0" xfId="0" applyBorder="1" applyAlignment="1">
      <alignment horizontal="center"/>
    </xf>
    <xf numFmtId="10" fontId="0" fillId="36" borderId="0" xfId="0" applyNumberFormat="1" applyFill="1" applyBorder="1"/>
    <xf numFmtId="0" fontId="99" fillId="36" borderId="0" xfId="0" applyFont="1" applyFill="1"/>
    <xf numFmtId="0" fontId="1" fillId="46" borderId="16" xfId="0" applyFont="1" applyFill="1" applyBorder="1" applyAlignment="1">
      <alignment horizontal="center"/>
    </xf>
    <xf numFmtId="0" fontId="2" fillId="36" borderId="0" xfId="0" applyFont="1" applyFill="1" applyBorder="1"/>
    <xf numFmtId="0" fontId="1" fillId="36" borderId="16" xfId="0" applyFont="1" applyFill="1" applyBorder="1"/>
    <xf numFmtId="0" fontId="22" fillId="36" borderId="0" xfId="0" applyFont="1" applyFill="1" applyBorder="1"/>
    <xf numFmtId="0" fontId="2" fillId="36" borderId="22" xfId="0" applyFont="1" applyFill="1" applyBorder="1"/>
    <xf numFmtId="0" fontId="0" fillId="36" borderId="45" xfId="0" applyFill="1" applyBorder="1"/>
    <xf numFmtId="0" fontId="1" fillId="36" borderId="47" xfId="0" applyFont="1" applyFill="1" applyBorder="1" applyAlignment="1">
      <alignment horizontal="center"/>
    </xf>
    <xf numFmtId="165" fontId="0" fillId="36" borderId="0" xfId="0" applyNumberFormat="1" applyFill="1" applyBorder="1" applyAlignment="1">
      <alignment horizontal="center"/>
    </xf>
    <xf numFmtId="0" fontId="99" fillId="36" borderId="46" xfId="0" applyFont="1" applyFill="1" applyBorder="1"/>
    <xf numFmtId="0" fontId="99" fillId="36" borderId="0" xfId="0" applyFont="1" applyFill="1" applyBorder="1"/>
    <xf numFmtId="0" fontId="101" fillId="36" borderId="0" xfId="0" applyFont="1" applyFill="1"/>
    <xf numFmtId="0" fontId="102" fillId="36" borderId="0" xfId="0" applyFont="1" applyFill="1"/>
    <xf numFmtId="0" fontId="89" fillId="36" borderId="0" xfId="36" applyFont="1" applyFill="1" applyAlignment="1" applyProtection="1"/>
    <xf numFmtId="0" fontId="10" fillId="36" borderId="0" xfId="36" applyFill="1" applyAlignment="1" applyProtection="1"/>
    <xf numFmtId="0" fontId="29" fillId="36" borderId="0" xfId="36" applyFont="1" applyFill="1" applyAlignment="1" applyProtection="1"/>
    <xf numFmtId="0" fontId="71" fillId="36" borderId="0" xfId="36" applyFont="1" applyFill="1" applyAlignment="1" applyProtection="1"/>
    <xf numFmtId="0" fontId="17" fillId="36" borderId="0" xfId="0" applyFont="1" applyFill="1"/>
    <xf numFmtId="0" fontId="8" fillId="36" borderId="0" xfId="0" applyFont="1" applyFill="1"/>
    <xf numFmtId="0" fontId="106" fillId="36" borderId="0" xfId="0" applyFont="1" applyFill="1"/>
    <xf numFmtId="0" fontId="104" fillId="36" borderId="0" xfId="0" applyFont="1" applyFill="1"/>
    <xf numFmtId="0" fontId="8" fillId="36" borderId="0" xfId="0" applyFont="1" applyFill="1" applyAlignment="1">
      <alignment vertical="top" wrapText="1"/>
    </xf>
    <xf numFmtId="0" fontId="103" fillId="0" borderId="0" xfId="36" applyFont="1" applyAlignment="1" applyProtection="1"/>
    <xf numFmtId="0" fontId="107" fillId="36" borderId="0" xfId="0" applyFont="1" applyFill="1"/>
    <xf numFmtId="0" fontId="108" fillId="36" borderId="0" xfId="0" applyFont="1" applyFill="1"/>
    <xf numFmtId="0" fontId="109" fillId="0" borderId="0" xfId="0" applyFont="1"/>
    <xf numFmtId="0" fontId="106" fillId="0" borderId="0" xfId="0" applyFont="1"/>
    <xf numFmtId="0" fontId="105" fillId="36" borderId="0" xfId="0" applyFont="1" applyFill="1"/>
    <xf numFmtId="0" fontId="94" fillId="36" borderId="0" xfId="0" applyFont="1" applyFill="1" applyBorder="1"/>
    <xf numFmtId="0" fontId="111" fillId="36" borderId="0" xfId="0" applyFont="1" applyFill="1"/>
    <xf numFmtId="0" fontId="95" fillId="41" borderId="0" xfId="0" applyFont="1" applyFill="1"/>
    <xf numFmtId="0" fontId="95" fillId="0" borderId="0" xfId="0" applyFont="1" applyAlignment="1"/>
    <xf numFmtId="0" fontId="110" fillId="0" borderId="0" xfId="0" applyFont="1"/>
    <xf numFmtId="22" fontId="95" fillId="0" borderId="0" xfId="0" applyNumberFormat="1" applyFont="1" applyFill="1" applyAlignment="1">
      <alignment horizontal="justify" vertical="top"/>
    </xf>
    <xf numFmtId="0" fontId="112" fillId="0" borderId="0" xfId="0" applyFont="1" applyFill="1" applyBorder="1" applyAlignment="1">
      <alignment vertical="justify" wrapText="1"/>
    </xf>
    <xf numFmtId="0" fontId="112" fillId="0" borderId="0" xfId="0" applyFont="1" applyFill="1" applyBorder="1" applyAlignment="1" applyProtection="1">
      <alignment vertical="top" wrapText="1"/>
      <protection locked="0"/>
    </xf>
    <xf numFmtId="0" fontId="8" fillId="36" borderId="0" xfId="0" applyFont="1" applyFill="1" applyAlignment="1">
      <alignment vertical="top" wrapText="1"/>
    </xf>
    <xf numFmtId="0" fontId="1" fillId="0" borderId="0" xfId="0" applyFont="1" applyFill="1" applyBorder="1" applyAlignment="1"/>
    <xf numFmtId="164" fontId="9" fillId="36" borderId="0" xfId="0" applyNumberFormat="1" applyFont="1" applyFill="1"/>
    <xf numFmtId="0" fontId="0" fillId="42" borderId="0" xfId="0" applyFill="1" applyBorder="1"/>
    <xf numFmtId="0" fontId="1" fillId="0" borderId="0" xfId="0" applyFont="1" applyFill="1" applyAlignment="1">
      <alignment wrapText="1"/>
    </xf>
    <xf numFmtId="0" fontId="2" fillId="0" borderId="0" xfId="0" applyFont="1" applyFill="1"/>
    <xf numFmtId="0" fontId="114" fillId="0" borderId="0" xfId="25" applyFont="1" applyFill="1"/>
    <xf numFmtId="0" fontId="96" fillId="0" borderId="0" xfId="0" applyFont="1"/>
    <xf numFmtId="0" fontId="1" fillId="0" borderId="16" xfId="0" applyFont="1" applyFill="1" applyBorder="1"/>
    <xf numFmtId="0" fontId="82" fillId="0" borderId="16" xfId="0" applyFont="1" applyFill="1" applyBorder="1" applyAlignment="1"/>
    <xf numFmtId="0" fontId="1" fillId="0" borderId="0" xfId="45" applyFont="1" applyBorder="1"/>
    <xf numFmtId="0" fontId="2" fillId="0" borderId="0" xfId="45" applyFont="1" applyBorder="1" applyAlignment="1">
      <alignment horizontal="center"/>
    </xf>
    <xf numFmtId="0" fontId="1" fillId="0" borderId="60" xfId="45" applyFont="1" applyBorder="1"/>
    <xf numFmtId="0" fontId="1" fillId="0" borderId="61" xfId="45" applyFont="1" applyBorder="1"/>
    <xf numFmtId="0" fontId="1" fillId="0" borderId="62" xfId="45" applyFont="1" applyBorder="1"/>
    <xf numFmtId="0" fontId="2" fillId="0" borderId="0" xfId="0" applyFont="1" applyBorder="1" applyAlignment="1">
      <alignment horizontal="center"/>
    </xf>
    <xf numFmtId="0" fontId="81" fillId="0" borderId="0" xfId="36" applyFont="1" applyBorder="1" applyAlignment="1" applyProtection="1"/>
    <xf numFmtId="164" fontId="1" fillId="44" borderId="0" xfId="0" applyNumberFormat="1" applyFont="1" applyFill="1"/>
    <xf numFmtId="10" fontId="1" fillId="0" borderId="0" xfId="45" applyNumberFormat="1"/>
    <xf numFmtId="166" fontId="1" fillId="0" borderId="0" xfId="45" applyNumberFormat="1"/>
    <xf numFmtId="1" fontId="1" fillId="0" borderId="0" xfId="45" applyNumberFormat="1"/>
    <xf numFmtId="171" fontId="1" fillId="0" borderId="0" xfId="45" applyNumberFormat="1"/>
    <xf numFmtId="166" fontId="1" fillId="0" borderId="0" xfId="45" applyNumberFormat="1" applyBorder="1"/>
    <xf numFmtId="10" fontId="1" fillId="0" borderId="0" xfId="45" applyNumberFormat="1" applyBorder="1"/>
    <xf numFmtId="10" fontId="2" fillId="0" borderId="0" xfId="45" applyNumberFormat="1" applyFont="1" applyBorder="1"/>
    <xf numFmtId="10" fontId="1" fillId="0" borderId="0" xfId="45" applyNumberFormat="1" applyFill="1" applyBorder="1"/>
    <xf numFmtId="166" fontId="1" fillId="24" borderId="14" xfId="45" applyNumberFormat="1" applyFill="1" applyBorder="1"/>
    <xf numFmtId="166" fontId="1" fillId="37" borderId="14" xfId="45" applyNumberFormat="1" applyFill="1" applyBorder="1"/>
    <xf numFmtId="166" fontId="1" fillId="37" borderId="14" xfId="45" applyNumberFormat="1" applyFont="1" applyFill="1" applyBorder="1"/>
    <xf numFmtId="10" fontId="1" fillId="24" borderId="14" xfId="45" applyNumberFormat="1" applyFill="1" applyBorder="1"/>
    <xf numFmtId="166" fontId="1" fillId="40" borderId="14" xfId="45" applyNumberFormat="1" applyFill="1" applyBorder="1"/>
    <xf numFmtId="10" fontId="1" fillId="40" borderId="0" xfId="45" applyNumberFormat="1" applyFill="1"/>
    <xf numFmtId="166" fontId="1" fillId="40" borderId="14" xfId="45" applyNumberFormat="1" applyFont="1" applyFill="1" applyBorder="1"/>
    <xf numFmtId="10" fontId="1" fillId="40" borderId="14" xfId="45" applyNumberFormat="1" applyFill="1" applyBorder="1"/>
    <xf numFmtId="1" fontId="1" fillId="40" borderId="0" xfId="45" applyNumberFormat="1" applyFill="1"/>
    <xf numFmtId="166" fontId="1" fillId="40" borderId="0" xfId="45" applyNumberFormat="1" applyFill="1"/>
    <xf numFmtId="166" fontId="1" fillId="45" borderId="14" xfId="45" applyNumberFormat="1" applyFill="1" applyBorder="1"/>
    <xf numFmtId="10" fontId="1" fillId="45" borderId="0" xfId="45" applyNumberFormat="1" applyFill="1"/>
    <xf numFmtId="166" fontId="1" fillId="45" borderId="14" xfId="45" applyNumberFormat="1" applyFont="1" applyFill="1" applyBorder="1"/>
    <xf numFmtId="10" fontId="1" fillId="45" borderId="14" xfId="45" applyNumberFormat="1" applyFill="1" applyBorder="1"/>
    <xf numFmtId="1" fontId="1" fillId="45" borderId="0" xfId="45" applyNumberFormat="1" applyFill="1"/>
    <xf numFmtId="166" fontId="1" fillId="45" borderId="0" xfId="45" applyNumberFormat="1" applyFill="1"/>
    <xf numFmtId="166" fontId="1" fillId="0" borderId="14" xfId="45" applyNumberFormat="1" applyFill="1" applyBorder="1"/>
    <xf numFmtId="10" fontId="1" fillId="0" borderId="0" xfId="45" applyNumberFormat="1" applyFill="1"/>
    <xf numFmtId="10" fontId="1" fillId="0" borderId="13" xfId="45" applyNumberFormat="1" applyFill="1" applyBorder="1"/>
    <xf numFmtId="10" fontId="1" fillId="50" borderId="0" xfId="45" applyNumberFormat="1" applyFill="1"/>
    <xf numFmtId="10" fontId="1" fillId="0" borderId="14" xfId="45" applyNumberFormat="1" applyFill="1" applyBorder="1"/>
    <xf numFmtId="1" fontId="1" fillId="0" borderId="0" xfId="45" applyNumberFormat="1" applyFill="1"/>
    <xf numFmtId="10" fontId="1" fillId="0" borderId="0" xfId="45" applyNumberFormat="1" applyFont="1" applyFill="1"/>
    <xf numFmtId="166" fontId="1" fillId="0" borderId="14" xfId="45" applyNumberFormat="1" applyBorder="1"/>
    <xf numFmtId="10" fontId="1" fillId="0" borderId="13" xfId="45" applyNumberFormat="1" applyBorder="1"/>
    <xf numFmtId="10" fontId="1" fillId="0" borderId="14" xfId="45" applyNumberFormat="1" applyBorder="1"/>
    <xf numFmtId="1" fontId="1" fillId="0" borderId="0" xfId="45" applyNumberFormat="1" applyAlignment="1">
      <alignment horizontal="right"/>
    </xf>
    <xf numFmtId="10" fontId="1" fillId="0" borderId="0" xfId="45" applyNumberFormat="1" applyAlignment="1">
      <alignment vertical="top" wrapText="1"/>
    </xf>
    <xf numFmtId="166" fontId="1" fillId="0" borderId="14" xfId="45" applyNumberFormat="1" applyBorder="1" applyAlignment="1">
      <alignment horizontal="right" vertical="top" wrapText="1"/>
    </xf>
    <xf numFmtId="10" fontId="1" fillId="0" borderId="0" xfId="45" applyNumberFormat="1" applyBorder="1" applyAlignment="1">
      <alignment horizontal="right" vertical="top" wrapText="1"/>
    </xf>
    <xf numFmtId="10" fontId="1" fillId="0" borderId="13" xfId="45" applyNumberFormat="1" applyBorder="1" applyAlignment="1">
      <alignment horizontal="right" vertical="top" wrapText="1"/>
    </xf>
    <xf numFmtId="10" fontId="1" fillId="0" borderId="14" xfId="45" applyNumberFormat="1" applyBorder="1" applyAlignment="1">
      <alignment horizontal="right" vertical="top" wrapText="1"/>
    </xf>
    <xf numFmtId="1" fontId="1" fillId="0" borderId="0" xfId="45" applyNumberFormat="1" applyAlignment="1">
      <alignment horizontal="right" vertical="top" wrapText="1"/>
    </xf>
    <xf numFmtId="166" fontId="1" fillId="0" borderId="12" xfId="45" applyNumberFormat="1" applyBorder="1" applyAlignment="1">
      <alignment horizontal="centerContinuous"/>
    </xf>
    <xf numFmtId="10" fontId="1" fillId="0" borderId="11" xfId="45" applyNumberFormat="1" applyBorder="1" applyAlignment="1">
      <alignment horizontal="centerContinuous"/>
    </xf>
    <xf numFmtId="10" fontId="1" fillId="0" borderId="10" xfId="45" applyNumberFormat="1" applyBorder="1" applyAlignment="1">
      <alignment horizontal="centerContinuous"/>
    </xf>
    <xf numFmtId="10" fontId="1" fillId="0" borderId="12" xfId="45" applyNumberFormat="1" applyBorder="1" applyAlignment="1">
      <alignment horizontal="centerContinuous"/>
    </xf>
    <xf numFmtId="10" fontId="71" fillId="0" borderId="0" xfId="45" applyNumberFormat="1" applyFont="1"/>
    <xf numFmtId="1" fontId="2" fillId="0" borderId="0" xfId="45" applyNumberFormat="1" applyFont="1"/>
    <xf numFmtId="0" fontId="117" fillId="0" borderId="0" xfId="0" applyFont="1" applyFill="1"/>
    <xf numFmtId="0" fontId="118" fillId="36" borderId="0" xfId="0" applyFont="1" applyFill="1"/>
    <xf numFmtId="0" fontId="68" fillId="42" borderId="35" xfId="0" applyFont="1" applyFill="1" applyBorder="1" applyAlignment="1">
      <alignment horizontal="center" vertical="center"/>
    </xf>
    <xf numFmtId="0" fontId="7" fillId="42" borderId="0" xfId="36" applyFont="1" applyFill="1" applyAlignment="1" applyProtection="1">
      <alignment horizontal="left"/>
    </xf>
    <xf numFmtId="0" fontId="9" fillId="42" borderId="0" xfId="0" applyFont="1" applyFill="1"/>
    <xf numFmtId="0" fontId="9" fillId="42" borderId="0" xfId="0" applyFont="1" applyFill="1" applyProtection="1">
      <protection locked="0"/>
    </xf>
    <xf numFmtId="0" fontId="84" fillId="42" borderId="0" xfId="0" applyFont="1" applyFill="1" applyBorder="1" applyAlignment="1">
      <alignment horizontal="left"/>
    </xf>
    <xf numFmtId="0" fontId="9" fillId="42" borderId="35" xfId="0" applyFont="1" applyFill="1" applyBorder="1" applyAlignment="1"/>
    <xf numFmtId="0" fontId="9" fillId="42" borderId="35" xfId="0" applyFont="1" applyFill="1" applyBorder="1"/>
    <xf numFmtId="0" fontId="9" fillId="42" borderId="36" xfId="0" applyFont="1" applyFill="1" applyBorder="1"/>
    <xf numFmtId="174" fontId="119" fillId="0" borderId="0" xfId="28" applyNumberFormat="1" applyFont="1" applyFill="1" applyBorder="1" applyProtection="1">
      <protection locked="0"/>
    </xf>
    <xf numFmtId="0" fontId="94" fillId="36" borderId="0" xfId="0" applyFont="1" applyFill="1"/>
    <xf numFmtId="0" fontId="0" fillId="0" borderId="0" xfId="0" applyAlignment="1">
      <alignment wrapText="1"/>
    </xf>
    <xf numFmtId="0" fontId="7" fillId="24" borderId="0" xfId="0" applyFont="1" applyFill="1" applyAlignment="1">
      <alignment horizontal="center" vertical="center" wrapText="1"/>
    </xf>
    <xf numFmtId="49" fontId="2" fillId="0" borderId="16" xfId="0" applyNumberFormat="1" applyFont="1" applyBorder="1" applyAlignment="1" applyProtection="1">
      <alignment horizontal="left" vertical="top" wrapText="1"/>
    </xf>
    <xf numFmtId="0" fontId="6" fillId="0" borderId="0" xfId="0" applyFont="1" applyAlignment="1">
      <alignment horizontal="right" vertical="top" wrapText="1"/>
    </xf>
    <xf numFmtId="0" fontId="69" fillId="0" borderId="0" xfId="0" applyFont="1" applyAlignment="1">
      <alignment wrapText="1"/>
    </xf>
    <xf numFmtId="0" fontId="12" fillId="0" borderId="0" xfId="36" applyFont="1" applyAlignment="1" applyProtection="1">
      <alignment horizontal="center" wrapText="1"/>
    </xf>
    <xf numFmtId="0" fontId="1" fillId="28" borderId="15" xfId="0" applyFont="1" applyFill="1" applyBorder="1" applyAlignment="1">
      <alignment vertical="center" wrapText="1"/>
    </xf>
    <xf numFmtId="0" fontId="10" fillId="38" borderId="16" xfId="36" applyFill="1" applyBorder="1" applyAlignment="1" applyProtection="1">
      <alignment horizontal="center"/>
    </xf>
    <xf numFmtId="0" fontId="10" fillId="38" borderId="26" xfId="36" applyFill="1" applyBorder="1" applyAlignment="1" applyProtection="1">
      <alignment horizontal="center"/>
    </xf>
    <xf numFmtId="0" fontId="10" fillId="38" borderId="19" xfId="36" applyFill="1" applyBorder="1" applyAlignment="1" applyProtection="1">
      <alignment horizontal="center"/>
    </xf>
    <xf numFmtId="0" fontId="2" fillId="38" borderId="16" xfId="0" applyFont="1" applyFill="1" applyBorder="1" applyAlignment="1">
      <alignment horizontal="left" vertical="center"/>
    </xf>
    <xf numFmtId="0" fontId="12" fillId="36" borderId="0" xfId="36" applyFont="1" applyFill="1" applyAlignment="1" applyProtection="1">
      <alignment horizontal="center" vertical="center"/>
    </xf>
    <xf numFmtId="0" fontId="0" fillId="36" borderId="0" xfId="0" applyFill="1" applyAlignment="1">
      <alignment horizontal="distributed" vertical="top"/>
    </xf>
    <xf numFmtId="0" fontId="0" fillId="36" borderId="0" xfId="0" applyFill="1" applyAlignment="1"/>
    <xf numFmtId="0" fontId="8" fillId="51" borderId="24" xfId="0" applyFont="1" applyFill="1" applyBorder="1" applyAlignment="1">
      <alignment horizontal="center" wrapText="1"/>
    </xf>
    <xf numFmtId="0" fontId="2" fillId="51" borderId="26" xfId="0" applyFont="1" applyFill="1" applyBorder="1" applyAlignment="1">
      <alignment horizontal="center" wrapText="1"/>
    </xf>
    <xf numFmtId="0" fontId="2" fillId="51" borderId="16" xfId="0" applyFont="1" applyFill="1" applyBorder="1" applyAlignment="1">
      <alignment horizontal="center" wrapText="1"/>
    </xf>
    <xf numFmtId="0" fontId="2" fillId="51" borderId="16" xfId="0" applyFont="1" applyFill="1" applyBorder="1" applyAlignment="1">
      <alignment wrapText="1"/>
    </xf>
    <xf numFmtId="0" fontId="2" fillId="36" borderId="16" xfId="0" applyFont="1" applyFill="1" applyBorder="1" applyAlignment="1">
      <alignment wrapText="1"/>
    </xf>
    <xf numFmtId="0" fontId="122" fillId="36" borderId="16" xfId="0" applyFont="1" applyFill="1" applyBorder="1" applyAlignment="1">
      <alignment wrapText="1"/>
    </xf>
    <xf numFmtId="0" fontId="120" fillId="50" borderId="16" xfId="0" applyFont="1" applyFill="1" applyBorder="1" applyAlignment="1">
      <alignment wrapText="1"/>
    </xf>
    <xf numFmtId="0" fontId="120" fillId="0" borderId="0" xfId="0" applyFont="1"/>
    <xf numFmtId="0" fontId="114" fillId="36" borderId="16" xfId="0" applyFont="1" applyFill="1" applyBorder="1"/>
    <xf numFmtId="0" fontId="114" fillId="0" borderId="16" xfId="0" applyFont="1" applyBorder="1"/>
    <xf numFmtId="0" fontId="114" fillId="0" borderId="16" xfId="0" applyFont="1" applyFill="1" applyBorder="1"/>
    <xf numFmtId="0" fontId="0" fillId="0" borderId="0" xfId="0" applyFont="1"/>
    <xf numFmtId="0" fontId="114" fillId="36" borderId="16" xfId="0" applyFont="1" applyFill="1" applyBorder="1" applyAlignment="1">
      <alignment wrapText="1"/>
    </xf>
    <xf numFmtId="0" fontId="0" fillId="0" borderId="0" xfId="0" applyFont="1" applyFill="1" applyBorder="1"/>
    <xf numFmtId="0" fontId="120" fillId="0" borderId="0" xfId="0" applyFont="1" applyFill="1" applyBorder="1"/>
    <xf numFmtId="0" fontId="1" fillId="0" borderId="63" xfId="0" applyFont="1" applyBorder="1" applyAlignment="1"/>
    <xf numFmtId="0" fontId="1" fillId="0" borderId="27" xfId="0" applyFont="1" applyBorder="1" applyAlignment="1"/>
    <xf numFmtId="0" fontId="6" fillId="0" borderId="27" xfId="0" applyFont="1" applyBorder="1"/>
    <xf numFmtId="0" fontId="122" fillId="0" borderId="16" xfId="0" applyFont="1" applyFill="1" applyBorder="1"/>
    <xf numFmtId="0" fontId="122" fillId="0" borderId="16" xfId="0" applyFont="1" applyBorder="1"/>
    <xf numFmtId="0" fontId="122" fillId="0" borderId="16" xfId="0" applyFont="1" applyBorder="1" applyAlignment="1">
      <alignment wrapText="1"/>
    </xf>
    <xf numFmtId="0" fontId="2" fillId="0" borderId="16" xfId="0" applyFont="1" applyFill="1" applyBorder="1"/>
    <xf numFmtId="0" fontId="122" fillId="36" borderId="16" xfId="0" applyFont="1" applyFill="1" applyBorder="1"/>
    <xf numFmtId="0" fontId="1" fillId="0" borderId="0" xfId="0" applyFont="1" applyBorder="1"/>
    <xf numFmtId="0" fontId="9" fillId="36" borderId="0" xfId="0" applyFont="1" applyFill="1" applyAlignment="1">
      <alignment horizontal="distributed" vertical="top"/>
    </xf>
    <xf numFmtId="0" fontId="125" fillId="0" borderId="0" xfId="0" applyFont="1" applyFill="1" applyBorder="1" applyAlignment="1">
      <alignment horizontal="left" vertical="center"/>
    </xf>
    <xf numFmtId="0" fontId="0" fillId="45" borderId="0" xfId="0" applyFill="1"/>
    <xf numFmtId="0" fontId="0" fillId="0" borderId="0" xfId="0" applyAlignment="1"/>
    <xf numFmtId="0" fontId="1" fillId="0" borderId="0" xfId="0" applyFont="1" applyFill="1" applyBorder="1" applyAlignment="1">
      <alignment horizontal="left"/>
    </xf>
    <xf numFmtId="0" fontId="1" fillId="52" borderId="0" xfId="0" applyFont="1" applyFill="1" applyBorder="1" applyAlignment="1"/>
    <xf numFmtId="0" fontId="0" fillId="52" borderId="0" xfId="0" applyFill="1" applyAlignment="1">
      <alignment wrapText="1"/>
    </xf>
    <xf numFmtId="0" fontId="0" fillId="52" borderId="0" xfId="0" applyFill="1"/>
    <xf numFmtId="0" fontId="0" fillId="52" borderId="0" xfId="0" applyFont="1" applyFill="1"/>
    <xf numFmtId="0" fontId="1" fillId="0" borderId="0" xfId="0" applyFont="1" applyAlignment="1">
      <alignment horizontal="right" vertical="top" wrapText="1"/>
    </xf>
    <xf numFmtId="0" fontId="0" fillId="27" borderId="0" xfId="0" applyFill="1" applyAlignment="1">
      <alignment horizontal="justify" vertical="justify" wrapText="1"/>
    </xf>
    <xf numFmtId="164" fontId="6" fillId="0" borderId="0" xfId="28" applyNumberFormat="1" applyFont="1" applyFill="1" applyBorder="1" applyAlignment="1">
      <alignment horizontal="center"/>
    </xf>
    <xf numFmtId="172" fontId="0" fillId="0" borderId="0" xfId="28" applyNumberFormat="1" applyFont="1" applyFill="1" applyBorder="1"/>
    <xf numFmtId="1" fontId="6" fillId="0" borderId="0" xfId="0" applyNumberFormat="1" applyFont="1" applyFill="1" applyBorder="1" applyAlignment="1">
      <alignment horizontal="center"/>
    </xf>
    <xf numFmtId="0" fontId="17" fillId="40" borderId="0" xfId="0" applyFont="1" applyFill="1" applyBorder="1" applyProtection="1">
      <protection locked="0"/>
    </xf>
    <xf numFmtId="2" fontId="1" fillId="0" borderId="0" xfId="45" applyNumberFormat="1"/>
    <xf numFmtId="164" fontId="0" fillId="53" borderId="0" xfId="0" applyNumberFormat="1" applyFill="1"/>
    <xf numFmtId="0" fontId="96" fillId="0" borderId="0" xfId="0" applyFont="1" applyFill="1" applyBorder="1" applyAlignment="1"/>
    <xf numFmtId="0" fontId="126" fillId="0" borderId="0" xfId="0" applyFont="1" applyFill="1"/>
    <xf numFmtId="0" fontId="95" fillId="0" borderId="0" xfId="0" applyFont="1" applyFill="1" applyBorder="1" applyAlignment="1">
      <alignment horizontal="center" vertical="center"/>
    </xf>
    <xf numFmtId="0" fontId="60" fillId="39" borderId="0" xfId="0" applyFont="1" applyFill="1" applyBorder="1" applyAlignment="1">
      <alignment horizontal="center" wrapText="1"/>
    </xf>
    <xf numFmtId="164" fontId="1" fillId="0" borderId="0" xfId="0" applyNumberFormat="1" applyFont="1" applyBorder="1" applyProtection="1"/>
    <xf numFmtId="164" fontId="1" fillId="54" borderId="16" xfId="0" applyNumberFormat="1" applyFont="1" applyFill="1" applyBorder="1" applyProtection="1"/>
    <xf numFmtId="164" fontId="0" fillId="55" borderId="0" xfId="0" applyNumberFormat="1" applyFill="1"/>
    <xf numFmtId="0" fontId="127" fillId="0" borderId="0" xfId="0" applyFont="1"/>
    <xf numFmtId="0" fontId="128" fillId="0" borderId="0" xfId="0" applyFont="1" applyFill="1"/>
    <xf numFmtId="0" fontId="129" fillId="36" borderId="0" xfId="0" applyFont="1" applyFill="1"/>
    <xf numFmtId="0" fontId="6" fillId="0" borderId="28" xfId="0" applyFont="1" applyFill="1" applyBorder="1" applyAlignment="1">
      <alignment vertical="top" wrapText="1"/>
    </xf>
    <xf numFmtId="0" fontId="0" fillId="0" borderId="26" xfId="0" applyBorder="1" applyAlignment="1">
      <alignment vertical="top"/>
    </xf>
    <xf numFmtId="0" fontId="9" fillId="0" borderId="29" xfId="0" applyFont="1" applyFill="1" applyBorder="1" applyAlignment="1">
      <alignment horizontal="center" vertical="center"/>
    </xf>
    <xf numFmtId="0" fontId="1" fillId="0" borderId="29" xfId="0" applyFont="1" applyBorder="1" applyAlignment="1">
      <alignment horizontal="center"/>
    </xf>
    <xf numFmtId="0" fontId="0" fillId="0" borderId="0" xfId="0" applyFill="1" applyAlignment="1">
      <alignment horizontal="center" wrapText="1"/>
    </xf>
    <xf numFmtId="0" fontId="0" fillId="0" borderId="26" xfId="0" applyBorder="1" applyAlignment="1">
      <alignment vertical="top" wrapText="1"/>
    </xf>
    <xf numFmtId="0" fontId="1" fillId="0" borderId="28" xfId="0" applyFont="1" applyFill="1" applyBorder="1" applyAlignment="1">
      <alignment vertical="top" wrapText="1"/>
    </xf>
    <xf numFmtId="0" fontId="12" fillId="36" borderId="44" xfId="36" applyFont="1" applyFill="1" applyBorder="1" applyAlignment="1" applyProtection="1">
      <alignment horizontal="center" vertical="center"/>
    </xf>
    <xf numFmtId="0" fontId="9" fillId="0" borderId="44" xfId="0" applyFont="1" applyBorder="1" applyAlignment="1"/>
    <xf numFmtId="0" fontId="31" fillId="42" borderId="34" xfId="0" applyFont="1" applyFill="1" applyBorder="1" applyAlignment="1">
      <alignment horizontal="left"/>
    </xf>
    <xf numFmtId="0" fontId="31" fillId="42" borderId="35" xfId="0" applyFont="1" applyFill="1" applyBorder="1" applyAlignment="1">
      <alignment horizontal="left"/>
    </xf>
    <xf numFmtId="0" fontId="8" fillId="36" borderId="0" xfId="0" applyFont="1" applyFill="1" applyBorder="1" applyAlignment="1">
      <alignment horizontal="center" vertical="center" wrapText="1"/>
    </xf>
    <xf numFmtId="0" fontId="9" fillId="36" borderId="15" xfId="0" applyFont="1" applyFill="1" applyBorder="1" applyAlignment="1">
      <alignment horizontal="center"/>
    </xf>
    <xf numFmtId="0" fontId="9" fillId="36" borderId="29" xfId="0" applyFont="1" applyFill="1" applyBorder="1" applyAlignment="1">
      <alignment horizontal="center"/>
    </xf>
    <xf numFmtId="0" fontId="8" fillId="36" borderId="28" xfId="0" applyFont="1" applyFill="1" applyBorder="1" applyAlignment="1">
      <alignment horizontal="center" vertical="center" wrapText="1"/>
    </xf>
    <xf numFmtId="0" fontId="8" fillId="36" borderId="27" xfId="0" applyFont="1" applyFill="1" applyBorder="1" applyAlignment="1">
      <alignment horizontal="center" vertical="center" wrapText="1"/>
    </xf>
    <xf numFmtId="0" fontId="8" fillId="36" borderId="26" xfId="0" applyFont="1" applyFill="1" applyBorder="1" applyAlignment="1">
      <alignment horizontal="center" vertical="center" wrapText="1"/>
    </xf>
    <xf numFmtId="0" fontId="94" fillId="0" borderId="37" xfId="0" applyFont="1" applyFill="1" applyBorder="1" applyAlignment="1">
      <alignment horizontal="center" vertical="center" wrapText="1"/>
    </xf>
    <xf numFmtId="0" fontId="94" fillId="0" borderId="0" xfId="0" applyFont="1" applyFill="1" applyAlignment="1">
      <alignment horizontal="center" vertical="center" wrapText="1"/>
    </xf>
    <xf numFmtId="0" fontId="9" fillId="36" borderId="10" xfId="0" applyFont="1" applyFill="1" applyBorder="1" applyAlignment="1">
      <alignment wrapText="1"/>
    </xf>
    <xf numFmtId="0" fontId="0" fillId="0" borderId="42" xfId="0" applyBorder="1" applyAlignment="1">
      <alignment wrapText="1"/>
    </xf>
    <xf numFmtId="0" fontId="0" fillId="0" borderId="13" xfId="0" applyBorder="1" applyAlignment="1">
      <alignment wrapText="1"/>
    </xf>
    <xf numFmtId="0" fontId="0" fillId="0" borderId="43" xfId="0" applyBorder="1" applyAlignment="1">
      <alignment wrapText="1"/>
    </xf>
    <xf numFmtId="0" fontId="77" fillId="42" borderId="35" xfId="0" applyFont="1" applyFill="1" applyBorder="1" applyAlignment="1">
      <alignment horizontal="left"/>
    </xf>
    <xf numFmtId="0" fontId="25" fillId="36" borderId="10" xfId="0"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55" fillId="30" borderId="28" xfId="0" applyFont="1" applyFill="1" applyBorder="1" applyAlignment="1" applyProtection="1">
      <alignment horizontal="center" vertical="center" wrapText="1"/>
      <protection locked="0"/>
    </xf>
    <xf numFmtId="0" fontId="0" fillId="0" borderId="27" xfId="0" applyBorder="1" applyAlignment="1">
      <alignment horizontal="center" vertical="center" wrapText="1"/>
    </xf>
    <xf numFmtId="0" fontId="110" fillId="0" borderId="0" xfId="0" applyFont="1" applyAlignment="1">
      <alignment wrapText="1"/>
    </xf>
    <xf numFmtId="0" fontId="12" fillId="0" borderId="0" xfId="36" applyFont="1" applyBorder="1" applyAlignment="1" applyProtection="1">
      <protection locked="0"/>
    </xf>
    <xf numFmtId="0" fontId="12" fillId="0" borderId="0" xfId="36" applyFont="1" applyAlignment="1" applyProtection="1"/>
    <xf numFmtId="0" fontId="12" fillId="0" borderId="0" xfId="36" applyFont="1" applyBorder="1" applyAlignment="1" applyProtection="1"/>
    <xf numFmtId="0" fontId="21" fillId="45" borderId="0" xfId="0" applyFont="1" applyFill="1" applyAlignment="1">
      <alignment horizontal="center"/>
    </xf>
    <xf numFmtId="0" fontId="0" fillId="45" borderId="0" xfId="0" applyFill="1" applyAlignment="1">
      <alignment horizontal="center"/>
    </xf>
    <xf numFmtId="0" fontId="2" fillId="0" borderId="0" xfId="0" applyFont="1" applyAlignment="1">
      <alignment wrapText="1"/>
    </xf>
    <xf numFmtId="0" fontId="0" fillId="0" borderId="0" xfId="0" applyAlignment="1">
      <alignment wrapText="1"/>
    </xf>
    <xf numFmtId="0" fontId="89" fillId="36" borderId="0" xfId="36" applyFont="1" applyFill="1" applyAlignment="1" applyProtection="1"/>
    <xf numFmtId="0" fontId="55" fillId="49" borderId="28" xfId="0" applyFont="1" applyFill="1" applyBorder="1" applyAlignment="1" applyProtection="1">
      <alignment horizontal="center" vertical="center" wrapText="1"/>
      <protection locked="0"/>
    </xf>
    <xf numFmtId="0" fontId="0" fillId="49" borderId="27" xfId="0" applyFill="1" applyBorder="1" applyAlignment="1">
      <alignment horizontal="center" vertical="center" wrapText="1"/>
    </xf>
    <xf numFmtId="0" fontId="8" fillId="36" borderId="0" xfId="0" applyFont="1" applyFill="1" applyAlignment="1">
      <alignment vertical="top" wrapText="1"/>
    </xf>
    <xf numFmtId="0" fontId="9" fillId="36" borderId="0" xfId="0" applyFont="1" applyFill="1" applyAlignment="1">
      <alignment vertical="top" wrapText="1"/>
    </xf>
    <xf numFmtId="0" fontId="1" fillId="36" borderId="0" xfId="0" applyFont="1" applyFill="1" applyBorder="1" applyAlignment="1">
      <alignment horizontal="center"/>
    </xf>
    <xf numFmtId="0" fontId="0" fillId="0" borderId="0" xfId="0" applyAlignment="1">
      <alignment horizontal="center"/>
    </xf>
    <xf numFmtId="0" fontId="113" fillId="36" borderId="0" xfId="36" applyFont="1" applyFill="1" applyAlignment="1" applyProtection="1"/>
    <xf numFmtId="0" fontId="0" fillId="0" borderId="0" xfId="0" applyAlignment="1"/>
    <xf numFmtId="0" fontId="11" fillId="0" borderId="0" xfId="36" applyFont="1" applyAlignment="1" applyProtection="1"/>
    <xf numFmtId="0" fontId="11" fillId="36" borderId="0" xfId="36" applyFont="1" applyFill="1" applyAlignment="1" applyProtection="1"/>
    <xf numFmtId="0" fontId="23" fillId="0" borderId="0" xfId="0" applyFont="1" applyAlignment="1">
      <alignment horizontal="center" vertical="top" wrapText="1"/>
    </xf>
    <xf numFmtId="0" fontId="57" fillId="41" borderId="0" xfId="36" applyFont="1" applyFill="1" applyBorder="1" applyAlignment="1" applyProtection="1">
      <alignment horizontal="center" wrapText="1"/>
    </xf>
    <xf numFmtId="170" fontId="40" fillId="41" borderId="0" xfId="0" applyNumberFormat="1" applyFont="1" applyFill="1" applyBorder="1" applyAlignment="1">
      <alignment horizontal="left"/>
    </xf>
    <xf numFmtId="0" fontId="55" fillId="41" borderId="0" xfId="0" applyFont="1" applyFill="1" applyBorder="1" applyAlignment="1">
      <alignment horizontal="center" vertical="top" wrapText="1"/>
    </xf>
    <xf numFmtId="0" fontId="55" fillId="41" borderId="0" xfId="0" applyFont="1" applyFill="1" applyBorder="1" applyAlignment="1">
      <alignment horizontal="left" vertical="center" wrapText="1"/>
    </xf>
    <xf numFmtId="0" fontId="86" fillId="41" borderId="0" xfId="36" applyFont="1" applyFill="1" applyAlignment="1" applyProtection="1"/>
    <xf numFmtId="0" fontId="86" fillId="0" borderId="0" xfId="36" applyFont="1" applyAlignment="1" applyProtection="1"/>
    <xf numFmtId="170" fontId="6" fillId="40" borderId="0" xfId="0" applyNumberFormat="1" applyFont="1" applyFill="1" applyBorder="1" applyAlignment="1">
      <alignment horizontal="left"/>
    </xf>
    <xf numFmtId="0" fontId="23" fillId="35" borderId="0" xfId="0" applyFont="1" applyFill="1" applyAlignment="1">
      <alignment horizontal="center" vertical="top" wrapText="1"/>
    </xf>
    <xf numFmtId="0" fontId="8" fillId="40" borderId="0" xfId="0" applyFont="1" applyFill="1" applyBorder="1" applyAlignment="1">
      <alignment horizontal="left" vertical="center" wrapText="1"/>
    </xf>
    <xf numFmtId="0" fontId="8" fillId="40" borderId="0" xfId="0" applyFont="1" applyFill="1" applyBorder="1" applyAlignment="1">
      <alignment horizontal="center" vertical="top" wrapText="1"/>
    </xf>
    <xf numFmtId="0" fontId="81" fillId="40" borderId="0" xfId="36" applyFont="1" applyFill="1" applyAlignment="1" applyProtection="1"/>
    <xf numFmtId="0" fontId="81" fillId="0" borderId="0" xfId="36" applyFont="1" applyAlignment="1" applyProtection="1"/>
    <xf numFmtId="0" fontId="17" fillId="24" borderId="34" xfId="0" applyFont="1" applyFill="1" applyBorder="1" applyAlignment="1">
      <alignment horizontal="center" vertical="top" wrapText="1"/>
    </xf>
    <xf numFmtId="0" fontId="17" fillId="24" borderId="35" xfId="0" applyFont="1" applyFill="1" applyBorder="1" applyAlignment="1">
      <alignment horizontal="center" vertical="top" wrapText="1"/>
    </xf>
    <xf numFmtId="0" fontId="17" fillId="24" borderId="36" xfId="0" applyFont="1" applyFill="1" applyBorder="1" applyAlignment="1">
      <alignment horizontal="center" vertical="top" wrapText="1"/>
    </xf>
    <xf numFmtId="0" fontId="14" fillId="0" borderId="0" xfId="0" applyFont="1" applyAlignment="1">
      <alignment horizontal="center"/>
    </xf>
    <xf numFmtId="164" fontId="12" fillId="0" borderId="0" xfId="36" applyNumberFormat="1" applyFont="1" applyAlignment="1" applyProtection="1"/>
    <xf numFmtId="0" fontId="2" fillId="0" borderId="57" xfId="45" applyFont="1" applyBorder="1" applyAlignment="1">
      <alignment horizontal="center"/>
    </xf>
    <xf numFmtId="0" fontId="2" fillId="0" borderId="58" xfId="45" applyFont="1" applyBorder="1" applyAlignment="1">
      <alignment horizontal="center"/>
    </xf>
    <xf numFmtId="0" fontId="0" fillId="0" borderId="58" xfId="0" applyBorder="1" applyAlignment="1"/>
    <xf numFmtId="0" fontId="0" fillId="0" borderId="59" xfId="0" applyBorder="1" applyAlignment="1"/>
    <xf numFmtId="0" fontId="2" fillId="0" borderId="0" xfId="0" applyFont="1" applyFill="1" applyBorder="1" applyAlignment="1">
      <alignment horizontal="left" wrapText="1"/>
    </xf>
    <xf numFmtId="0" fontId="7" fillId="28" borderId="13" xfId="0" applyFont="1" applyFill="1" applyBorder="1" applyAlignment="1">
      <alignment horizontal="center" vertical="center"/>
    </xf>
    <xf numFmtId="0" fontId="7" fillId="28" borderId="0" xfId="0" applyFont="1" applyFill="1" applyBorder="1" applyAlignment="1">
      <alignment horizontal="center" vertical="center"/>
    </xf>
    <xf numFmtId="0" fontId="12" fillId="0" borderId="0" xfId="36" applyFont="1" applyFill="1" applyAlignment="1" applyProtection="1"/>
    <xf numFmtId="0" fontId="2" fillId="0" borderId="28" xfId="0" applyFont="1" applyBorder="1" applyAlignment="1">
      <alignment horizontal="fill"/>
    </xf>
    <xf numFmtId="0" fontId="0" fillId="0" borderId="27" xfId="0" applyBorder="1" applyAlignment="1"/>
    <xf numFmtId="0" fontId="0" fillId="0" borderId="26" xfId="0" applyBorder="1" applyAlignment="1"/>
    <xf numFmtId="0" fontId="81" fillId="27" borderId="0" xfId="36" applyFont="1" applyFill="1" applyAlignment="1" applyProtection="1"/>
    <xf numFmtId="0" fontId="93" fillId="27" borderId="0" xfId="36" applyFont="1" applyFill="1" applyBorder="1" applyAlignment="1" applyProtection="1"/>
    <xf numFmtId="0" fontId="0" fillId="27" borderId="0" xfId="0" applyFill="1" applyBorder="1" applyAlignment="1" applyProtection="1">
      <alignment horizontal="justify" vertical="center" wrapText="1"/>
    </xf>
    <xf numFmtId="0" fontId="0" fillId="27" borderId="0" xfId="0" applyFill="1" applyAlignment="1">
      <alignment horizontal="justify" vertical="center" wrapText="1"/>
    </xf>
    <xf numFmtId="0" fontId="0" fillId="27" borderId="0" xfId="0" applyFill="1" applyAlignment="1">
      <alignment horizontal="justify" vertical="justify" wrapText="1"/>
    </xf>
    <xf numFmtId="0" fontId="1" fillId="27" borderId="0" xfId="0" applyFont="1" applyFill="1" applyBorder="1" applyAlignment="1">
      <alignment wrapText="1"/>
    </xf>
    <xf numFmtId="0" fontId="0" fillId="27" borderId="0" xfId="0" applyFill="1" applyBorder="1" applyAlignment="1">
      <alignment wrapText="1"/>
    </xf>
    <xf numFmtId="0" fontId="83" fillId="27" borderId="0" xfId="0" applyFont="1" applyFill="1" applyAlignment="1">
      <alignment horizontal="center" vertical="center"/>
    </xf>
    <xf numFmtId="0" fontId="9" fillId="43" borderId="29" xfId="0" applyFont="1" applyFill="1" applyBorder="1" applyAlignment="1"/>
    <xf numFmtId="0" fontId="9" fillId="43" borderId="41" xfId="0" applyFont="1" applyFill="1" applyBorder="1" applyAlignment="1"/>
    <xf numFmtId="0" fontId="124" fillId="45" borderId="0" xfId="0" applyFont="1" applyFill="1" applyAlignment="1">
      <alignment horizontal="center"/>
    </xf>
    <xf numFmtId="173" fontId="26" fillId="0" borderId="0" xfId="28" applyNumberFormat="1" applyFont="1" applyAlignment="1">
      <alignment horizontal="center" wrapText="1"/>
    </xf>
    <xf numFmtId="2" fontId="0" fillId="0" borderId="0" xfId="0" applyNumberFormat="1" applyAlignment="1">
      <alignment horizontal="left" vertical="top" wrapText="1"/>
    </xf>
    <xf numFmtId="0" fontId="0" fillId="0" borderId="0" xfId="0" applyAlignment="1">
      <alignment horizontal="left" vertical="top" wrapText="1"/>
    </xf>
    <xf numFmtId="10" fontId="1" fillId="0" borderId="0" xfId="45" applyNumberFormat="1" applyAlignment="1">
      <alignment horizontal="left" vertical="top" wrapText="1"/>
    </xf>
    <xf numFmtId="0" fontId="1" fillId="0" borderId="0" xfId="45" applyAlignment="1">
      <alignment wrapText="1"/>
    </xf>
    <xf numFmtId="0" fontId="7" fillId="0" borderId="0" xfId="0" applyFont="1" applyAlignment="1">
      <alignment wrapText="1"/>
    </xf>
    <xf numFmtId="0" fontId="17" fillId="0" borderId="0" xfId="0" applyFont="1" applyAlignment="1">
      <alignment wrapText="1"/>
    </xf>
    <xf numFmtId="0" fontId="89" fillId="0" borderId="0" xfId="36" applyFont="1" applyAlignment="1" applyProtection="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66">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10"/>
        </patternFill>
      </fill>
    </dxf>
    <dxf>
      <fill>
        <patternFill>
          <bgColor rgb="FF006600"/>
        </patternFill>
      </fill>
    </dxf>
    <dxf>
      <font>
        <b/>
        <i val="0"/>
        <condense val="0"/>
        <extend val="0"/>
        <color indexed="9"/>
      </font>
      <fill>
        <patternFill>
          <bgColor rgb="FF0000FF"/>
        </patternFill>
      </fill>
    </dxf>
    <dxf>
      <font>
        <color rgb="FFFF0000"/>
      </font>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b/>
        <i val="0"/>
        <condense val="0"/>
        <extend val="0"/>
        <color indexed="10"/>
      </font>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44"/>
        </patternFill>
      </fill>
    </dxf>
    <dxf>
      <fill>
        <patternFill>
          <bgColor indexed="44"/>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theme="6" tint="-0.499984740745262"/>
        </patternFill>
      </fill>
    </dxf>
    <dxf>
      <fill>
        <patternFill>
          <bgColor rgb="FF0000FF"/>
        </patternFill>
      </fill>
    </dxf>
    <dxf>
      <fill>
        <patternFill>
          <bgColor rgb="FFFF0000"/>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condense val="0"/>
        <extend val="0"/>
        <color indexed="9"/>
      </font>
      <fill>
        <patternFill>
          <bgColor indexed="10"/>
        </patternFill>
      </fill>
    </dxf>
    <dxf>
      <fill>
        <patternFill>
          <bgColor indexed="57"/>
        </patternFill>
      </fill>
    </dxf>
    <dxf>
      <font>
        <condense val="0"/>
        <extend val="0"/>
        <color indexed="9"/>
      </font>
      <fill>
        <patternFill>
          <bgColor indexed="1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5850F2"/>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A880FF"/>
      <rgbColor rgb="00FFCC99"/>
      <rgbColor rgb="003366FF"/>
      <rgbColor rgb="0033CCCC"/>
      <rgbColor rgb="0099CC00"/>
      <rgbColor rgb="00FFCC00"/>
      <rgbColor rgb="00FF9900"/>
      <rgbColor rgb="00FF6600"/>
      <rgbColor rgb="00666699"/>
      <rgbColor rgb="00969696"/>
      <rgbColor rgb="00003366"/>
      <rgbColor rgb="0000CC66"/>
      <rgbColor rgb="00003300"/>
      <rgbColor rgb="00333300"/>
      <rgbColor rgb="00993300"/>
      <rgbColor rgb="00993366"/>
      <rgbColor rgb="00333399"/>
      <rgbColor rgb="00333333"/>
    </indexedColors>
    <mruColors>
      <color rgb="FFCCFFCC"/>
      <color rgb="FFC0C0C0"/>
      <color rgb="FF0000FF"/>
      <color rgb="FFA880FF"/>
      <color rgb="FF006600"/>
      <color rgb="FFDDDDDD"/>
      <color rgb="FF0066FF"/>
      <color rgb="FF5058F2"/>
      <color rgb="FF5850F2"/>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Lines="20" dropStyle="combo" dx="17" fmlaLink="N45" fmlaRange="ServRange" val="0"/>
</file>

<file path=xl/ctrlProps/ctrlProp2.xml><?xml version="1.0" encoding="utf-8"?>
<formControlPr xmlns="http://schemas.microsoft.com/office/spreadsheetml/2009/9/main" objectType="Drop" dropLines="4" dropStyle="combo" dx="17" fmlaLink="$O$34" fmlaRange="$O$29:$O$32" val="0"/>
</file>

<file path=xl/ctrlProps/ctrlProp3.xml><?xml version="1.0" encoding="utf-8"?>
<formControlPr xmlns="http://schemas.microsoft.com/office/spreadsheetml/2009/9/main" objectType="Drop" dropLines="3" dropStyle="combo" dx="17" fmlaLink="J7" fmlaRange="Query!$P$21:$P$23" noThreeD="1" sel="2" val="0"/>
</file>

<file path=xl/ctrlProps/ctrlProp4.xml><?xml version="1.0" encoding="utf-8"?>
<formControlPr xmlns="http://schemas.microsoft.com/office/spreadsheetml/2009/9/main" objectType="Drop" dropLines="3" dropStyle="combo" dx="17" fmlaLink="J7" fmlaRange="Query!$P$21:$P$23" noThreeD="1" sel="2"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SAR Calc'!A1"/><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hyperlink" Target="#SAR!A1"/></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1504950</xdr:colOff>
      <xdr:row>0</xdr:row>
      <xdr:rowOff>209550</xdr:rowOff>
    </xdr:from>
    <xdr:to>
      <xdr:col>2</xdr:col>
      <xdr:colOff>95250</xdr:colOff>
      <xdr:row>2</xdr:row>
      <xdr:rowOff>371475</xdr:rowOff>
    </xdr:to>
    <xdr:sp macro="" textlink="">
      <xdr:nvSpPr>
        <xdr:cNvPr id="24589" name="Text Box 13">
          <a:extLst>
            <a:ext uri="{FF2B5EF4-FFF2-40B4-BE49-F238E27FC236}">
              <a16:creationId xmlns:a16="http://schemas.microsoft.com/office/drawing/2014/main" xmlns="" id="{00000000-0008-0000-0000-00000D600000}"/>
            </a:ext>
          </a:extLst>
        </xdr:cNvPr>
        <xdr:cNvSpPr txBox="1">
          <a:spLocks noChangeArrowheads="1"/>
        </xdr:cNvSpPr>
      </xdr:nvSpPr>
      <xdr:spPr bwMode="auto">
        <a:xfrm>
          <a:off x="2428875" y="209550"/>
          <a:ext cx="4410075" cy="762000"/>
        </a:xfrm>
        <a:prstGeom prst="rect">
          <a:avLst/>
        </a:prstGeom>
        <a:ln>
          <a:noFill/>
          <a:headEnd/>
          <a:tailEnd/>
        </a:ln>
      </xdr:spPr>
      <xdr:style>
        <a:lnRef idx="2">
          <a:schemeClr val="dk1"/>
        </a:lnRef>
        <a:fillRef idx="1">
          <a:schemeClr val="lt1"/>
        </a:fillRef>
        <a:effectRef idx="0">
          <a:schemeClr val="dk1"/>
        </a:effectRef>
        <a:fontRef idx="minor">
          <a:schemeClr val="dk1"/>
        </a:fontRef>
      </xdr:style>
      <xdr:txBody>
        <a:bodyPr vertOverflow="clip" wrap="square" lIns="36576" tIns="32004" rIns="36576" bIns="0" anchor="t" upright="1"/>
        <a:lstStyle/>
        <a:p>
          <a:pPr algn="ctr" rtl="0">
            <a:defRPr sz="1000"/>
          </a:pPr>
          <a:r>
            <a:rPr lang="en-US" sz="1600" b="0" i="0" u="none" strike="noStrike" baseline="0">
              <a:solidFill>
                <a:srgbClr val="000000"/>
              </a:solidFill>
              <a:latin typeface="Arial"/>
              <a:cs typeface="Arial"/>
            </a:rPr>
            <a:t>Joint Inflation Calculator March 2017</a:t>
          </a:r>
        </a:p>
        <a:p>
          <a:pPr algn="ctr" rtl="0">
            <a:defRPr sz="1000"/>
          </a:pPr>
          <a:r>
            <a:rPr lang="en-US" sz="1600" b="1" i="0" u="none" strike="noStrike" baseline="0">
              <a:solidFill>
                <a:srgbClr val="000000"/>
              </a:solidFill>
              <a:latin typeface="Arial"/>
              <a:cs typeface="Arial"/>
            </a:rPr>
            <a:t>Inflation Calculator For PB18 Budget</a:t>
          </a:r>
        </a:p>
        <a:p>
          <a:pPr algn="ctr" rtl="0">
            <a:defRPr sz="1000"/>
          </a:pPr>
          <a:r>
            <a:rPr lang="en-US" sz="1600" b="1" i="0" u="none" strike="noStrike" baseline="0">
              <a:solidFill>
                <a:srgbClr val="000000"/>
              </a:solidFill>
              <a:latin typeface="Arial"/>
              <a:cs typeface="Arial"/>
            </a:rPr>
            <a:t>Main Sheet</a:t>
          </a:r>
        </a:p>
      </xdr:txBody>
    </xdr:sp>
    <xdr:clientData/>
  </xdr:twoCellAnchor>
  <xdr:oneCellAnchor>
    <xdr:from>
      <xdr:col>2</xdr:col>
      <xdr:colOff>19050</xdr:colOff>
      <xdr:row>0</xdr:row>
      <xdr:rowOff>247650</xdr:rowOff>
    </xdr:from>
    <xdr:ext cx="2686050" cy="333375"/>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762750" y="247650"/>
          <a:ext cx="2686050" cy="33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600" b="1">
              <a:solidFill>
                <a:srgbClr val="FF0000"/>
              </a:solidFill>
              <a:latin typeface="Arial" panose="020B0604020202020204" pitchFamily="34" charset="0"/>
              <a:cs typeface="Arial" panose="020B0604020202020204" pitchFamily="34" charset="0"/>
            </a:rPr>
            <a:t>Updated August 2017 </a:t>
          </a:r>
        </a:p>
        <a:p>
          <a:pPr algn="ctr"/>
          <a:endParaRPr lang="en-US" sz="1600" b="1">
            <a:solidFill>
              <a:srgbClr val="FF0000"/>
            </a:solidFill>
          </a:endParaRPr>
        </a:p>
      </xdr:txBody>
    </xdr:sp>
    <xdr:clientData/>
  </xdr:oneCellAnchor>
  <xdr:twoCellAnchor>
    <xdr:from>
      <xdr:col>1</xdr:col>
      <xdr:colOff>0</xdr:colOff>
      <xdr:row>0</xdr:row>
      <xdr:rowOff>0</xdr:rowOff>
    </xdr:from>
    <xdr:to>
      <xdr:col>2</xdr:col>
      <xdr:colOff>0</xdr:colOff>
      <xdr:row>0</xdr:row>
      <xdr:rowOff>0</xdr:rowOff>
    </xdr:to>
    <xdr:sp macro="" textlink="">
      <xdr:nvSpPr>
        <xdr:cNvPr id="24578" name="Rectangle 2">
          <a:extLst>
            <a:ext uri="{FF2B5EF4-FFF2-40B4-BE49-F238E27FC236}">
              <a16:creationId xmlns:a16="http://schemas.microsoft.com/office/drawing/2014/main" xmlns="" id="{00000000-0008-0000-0000-000002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0</xdr:colOff>
      <xdr:row>0</xdr:row>
      <xdr:rowOff>0</xdr:rowOff>
    </xdr:from>
    <xdr:to>
      <xdr:col>2</xdr:col>
      <xdr:colOff>0</xdr:colOff>
      <xdr:row>0</xdr:row>
      <xdr:rowOff>0</xdr:rowOff>
    </xdr:to>
    <xdr:sp macro="" textlink="">
      <xdr:nvSpPr>
        <xdr:cNvPr id="24579" name="Rectangle 3">
          <a:extLst>
            <a:ext uri="{FF2B5EF4-FFF2-40B4-BE49-F238E27FC236}">
              <a16:creationId xmlns:a16="http://schemas.microsoft.com/office/drawing/2014/main" xmlns="" id="{00000000-0008-0000-0000-000003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1188720</xdr:colOff>
      <xdr:row>2</xdr:row>
      <xdr:rowOff>323851</xdr:rowOff>
    </xdr:from>
    <xdr:to>
      <xdr:col>2</xdr:col>
      <xdr:colOff>350520</xdr:colOff>
      <xdr:row>5</xdr:row>
      <xdr:rowOff>609600</xdr:rowOff>
    </xdr:to>
    <xdr:sp macro="" textlink="">
      <xdr:nvSpPr>
        <xdr:cNvPr id="24586" name="Text Box 10">
          <a:extLst>
            <a:ext uri="{FF2B5EF4-FFF2-40B4-BE49-F238E27FC236}">
              <a16:creationId xmlns:a16="http://schemas.microsoft.com/office/drawing/2014/main" xmlns="" id="{00000000-0008-0000-0000-00000A600000}"/>
            </a:ext>
          </a:extLst>
        </xdr:cNvPr>
        <xdr:cNvSpPr txBox="1">
          <a:spLocks noChangeArrowheads="1"/>
        </xdr:cNvSpPr>
      </xdr:nvSpPr>
      <xdr:spPr bwMode="auto">
        <a:xfrm>
          <a:off x="2112645" y="923926"/>
          <a:ext cx="4981575" cy="1190624"/>
        </a:xfrm>
        <a:prstGeom prst="rect">
          <a:avLst/>
        </a:prstGeom>
        <a:solidFill>
          <a:schemeClr val="tx2">
            <a:lumMod val="40000"/>
            <a:lumOff val="60000"/>
          </a:schemeClr>
        </a:solidFill>
        <a:ln w="9525" cap="sq">
          <a:solidFill>
            <a:srgbClr val="000000"/>
          </a:solidFill>
          <a:miter lim="800000"/>
          <a:headEnd/>
          <a:tailEnd/>
        </a:ln>
      </xdr:spPr>
      <xdr:txBody>
        <a:bodyPr vertOverflow="clip" wrap="square" lIns="27432" tIns="22860" rIns="0" bIns="0" anchor="t" upright="1"/>
        <a:lstStyle/>
        <a:p>
          <a:pPr algn="l" rtl="0">
            <a:defRPr sz="1000"/>
          </a:pPr>
          <a:r>
            <a:rPr lang="en-US" sz="1100" b="1" i="0" u="none" strike="noStrike" baseline="0">
              <a:solidFill>
                <a:srgbClr val="000000"/>
              </a:solidFill>
              <a:latin typeface="Arial"/>
              <a:cs typeface="Arial"/>
            </a:rPr>
            <a:t>This Joint Calculator was prepared by The Naval Center for Cost Analysis to provide Army and DON inflation rates and indexes for the cost estimating community</a:t>
          </a:r>
          <a:r>
            <a:rPr lang="en-US" sz="1100" b="1" i="0" u="none" strike="noStrike" baseline="0">
              <a:solidFill>
                <a:sysClr val="windowText" lastClr="000000"/>
              </a:solidFill>
              <a:latin typeface="Arial"/>
              <a:cs typeface="Arial"/>
            </a:rPr>
            <a:t>.  Inflation rates reflect revised OSD Inflation Guidance dated March 2017 and may be revised further. The post FYDP Fuel rate is an exception and has been set by AT&amp;L to 2.5% for all post FYDP years and is reflected in SAR Guidance.</a:t>
          </a:r>
          <a:r>
            <a:rPr lang="en-US" sz="1100" b="1" i="0" u="none" strike="noStrike" baseline="0">
              <a:solidFill>
                <a:srgbClr val="FF0000"/>
              </a:solidFill>
              <a:latin typeface="Arial"/>
              <a:cs typeface="Arial"/>
            </a:rPr>
            <a:t> </a:t>
          </a:r>
          <a:r>
            <a:rPr lang="en-US" sz="1200" b="1" i="1" u="none" strike="noStrike" baseline="0">
              <a:solidFill>
                <a:srgbClr val="FF0000"/>
              </a:solidFill>
              <a:latin typeface="Arial"/>
              <a:cs typeface="Arial"/>
            </a:rPr>
            <a:t>This file reflects the August 2017 guidance increasing FY18 Mil Pay from 1.9% to 2.1% </a:t>
          </a:r>
        </a:p>
        <a:p>
          <a:pPr algn="l" rtl="0">
            <a:defRPr sz="1000"/>
          </a:pPr>
          <a:r>
            <a:rPr lang="en-US" sz="1000" b="1" i="0" u="none" strike="noStrike" baseline="0">
              <a:solidFill>
                <a:srgbClr val="FF0000"/>
              </a:solidFill>
              <a:latin typeface="Arial"/>
              <a:cs typeface="Arial"/>
            </a:rPr>
            <a:t>.</a:t>
          </a:r>
        </a:p>
      </xdr:txBody>
    </xdr:sp>
    <xdr:clientData/>
  </xdr:twoCellAnchor>
  <xdr:twoCellAnchor editAs="oneCell">
    <xdr:from>
      <xdr:col>5</xdr:col>
      <xdr:colOff>228600</xdr:colOff>
      <xdr:row>12</xdr:row>
      <xdr:rowOff>123825</xdr:rowOff>
    </xdr:from>
    <xdr:to>
      <xdr:col>13</xdr:col>
      <xdr:colOff>142875</xdr:colOff>
      <xdr:row>14</xdr:row>
      <xdr:rowOff>103868</xdr:rowOff>
    </xdr:to>
    <xdr:sp macro="" textlink="">
      <xdr:nvSpPr>
        <xdr:cNvPr id="24613" name="Text Box 37">
          <a:extLst>
            <a:ext uri="{FF2B5EF4-FFF2-40B4-BE49-F238E27FC236}">
              <a16:creationId xmlns:a16="http://schemas.microsoft.com/office/drawing/2014/main" xmlns="" id="{00000000-0008-0000-0000-000025600000}"/>
            </a:ext>
          </a:extLst>
        </xdr:cNvPr>
        <xdr:cNvSpPr txBox="1">
          <a:spLocks noChangeArrowheads="1"/>
        </xdr:cNvSpPr>
      </xdr:nvSpPr>
      <xdr:spPr bwMode="auto">
        <a:xfrm>
          <a:off x="10001250" y="3228975"/>
          <a:ext cx="4924425" cy="342900"/>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5</xdr:col>
      <xdr:colOff>304800</xdr:colOff>
      <xdr:row>12</xdr:row>
      <xdr:rowOff>114300</xdr:rowOff>
    </xdr:from>
    <xdr:to>
      <xdr:col>13</xdr:col>
      <xdr:colOff>295275</xdr:colOff>
      <xdr:row>14</xdr:row>
      <xdr:rowOff>136072</xdr:rowOff>
    </xdr:to>
    <xdr:sp macro="" textlink="">
      <xdr:nvSpPr>
        <xdr:cNvPr id="24615" name="Text Box 39">
          <a:extLst>
            <a:ext uri="{FF2B5EF4-FFF2-40B4-BE49-F238E27FC236}">
              <a16:creationId xmlns:a16="http://schemas.microsoft.com/office/drawing/2014/main" xmlns="" id="{00000000-0008-0000-0000-000027600000}"/>
            </a:ext>
          </a:extLst>
        </xdr:cNvPr>
        <xdr:cNvSpPr txBox="1">
          <a:spLocks noChangeArrowheads="1"/>
        </xdr:cNvSpPr>
      </xdr:nvSpPr>
      <xdr:spPr bwMode="auto">
        <a:xfrm>
          <a:off x="10248900" y="3571875"/>
          <a:ext cx="5000625" cy="345622"/>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6</xdr:col>
      <xdr:colOff>38100</xdr:colOff>
      <xdr:row>20</xdr:row>
      <xdr:rowOff>0</xdr:rowOff>
    </xdr:from>
    <xdr:to>
      <xdr:col>14</xdr:col>
      <xdr:colOff>0</xdr:colOff>
      <xdr:row>21</xdr:row>
      <xdr:rowOff>152400</xdr:rowOff>
    </xdr:to>
    <xdr:sp macro="" textlink="">
      <xdr:nvSpPr>
        <xdr:cNvPr id="24616" name="Text Box 40">
          <a:extLst>
            <a:ext uri="{FF2B5EF4-FFF2-40B4-BE49-F238E27FC236}">
              <a16:creationId xmlns:a16="http://schemas.microsoft.com/office/drawing/2014/main" xmlns="" id="{00000000-0008-0000-0000-000028600000}"/>
            </a:ext>
          </a:extLst>
        </xdr:cNvPr>
        <xdr:cNvSpPr txBox="1">
          <a:spLocks noChangeArrowheads="1"/>
        </xdr:cNvSpPr>
      </xdr:nvSpPr>
      <xdr:spPr bwMode="auto">
        <a:xfrm>
          <a:off x="10420350" y="4419600"/>
          <a:ext cx="4972050" cy="314325"/>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0</xdr:col>
      <xdr:colOff>152401</xdr:colOff>
      <xdr:row>2</xdr:row>
      <xdr:rowOff>285750</xdr:rowOff>
    </xdr:from>
    <xdr:to>
      <xdr:col>1</xdr:col>
      <xdr:colOff>1162050</xdr:colOff>
      <xdr:row>5</xdr:row>
      <xdr:rowOff>597027</xdr:rowOff>
    </xdr:to>
    <xdr:pic>
      <xdr:nvPicPr>
        <xdr:cNvPr id="16" name="Picture 15" descr="C:\Users\Thomas.TANNERY\Documents\Inflation_Calc\JIC_Nov_2016\Navy_150706-N-ZZ999-004.JPG">
          <a:extLst>
            <a:ext uri="{FF2B5EF4-FFF2-40B4-BE49-F238E27FC236}">
              <a16:creationId xmlns:a16="http://schemas.microsoft.com/office/drawing/2014/main" xmlns="" id="{00000000-0008-0000-0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1" y="885825"/>
          <a:ext cx="1933574" cy="1216152"/>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390524</xdr:colOff>
      <xdr:row>2</xdr:row>
      <xdr:rowOff>304799</xdr:rowOff>
    </xdr:from>
    <xdr:to>
      <xdr:col>4</xdr:col>
      <xdr:colOff>128777</xdr:colOff>
      <xdr:row>5</xdr:row>
      <xdr:rowOff>619207</xdr:rowOff>
    </xdr:to>
    <xdr:pic>
      <xdr:nvPicPr>
        <xdr:cNvPr id="17" name="Picture 16" descr="C:\Users\Thomas.TANNERY\Documents\Inflation_Calc\JIC_Nov_2016\Army2original.jpg">
          <a:extLst>
            <a:ext uri="{FF2B5EF4-FFF2-40B4-BE49-F238E27FC236}">
              <a16:creationId xmlns:a16="http://schemas.microsoft.com/office/drawing/2014/main" xmlns="" id="{00000000-0008-0000-0000-00001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34224" y="904874"/>
          <a:ext cx="1938528" cy="1219283"/>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1162050</xdr:colOff>
      <xdr:row>14</xdr:row>
      <xdr:rowOff>57150</xdr:rowOff>
    </xdr:from>
    <xdr:to>
      <xdr:col>3</xdr:col>
      <xdr:colOff>762000</xdr:colOff>
      <xdr:row>14</xdr:row>
      <xdr:rowOff>304800</xdr:rowOff>
    </xdr:to>
    <xdr:pic macro="[0]!prtquicklook">
      <xdr:nvPicPr>
        <xdr:cNvPr id="1076" name="Picture 52" descr="Image by FlamingText.com">
          <a:extLst>
            <a:ext uri="{FF2B5EF4-FFF2-40B4-BE49-F238E27FC236}">
              <a16:creationId xmlns:a16="http://schemas.microsoft.com/office/drawing/2014/main" xmlns="" id="{00000000-0008-0000-0100-000034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38450" y="5219700"/>
          <a:ext cx="1047750" cy="247650"/>
        </a:xfrm>
        <a:prstGeom prst="rect">
          <a:avLst/>
        </a:prstGeom>
        <a:noFill/>
      </xdr:spPr>
    </xdr:pic>
    <xdr:clientData/>
  </xdr:twoCellAnchor>
  <xdr:twoCellAnchor editAs="oneCell">
    <xdr:from>
      <xdr:col>3</xdr:col>
      <xdr:colOff>133350</xdr:colOff>
      <xdr:row>0</xdr:row>
      <xdr:rowOff>819151</xdr:rowOff>
    </xdr:from>
    <xdr:to>
      <xdr:col>4</xdr:col>
      <xdr:colOff>369570</xdr:colOff>
      <xdr:row>0</xdr:row>
      <xdr:rowOff>1130047</xdr:rowOff>
    </xdr:to>
    <xdr:sp macro="[0]!MarineFilter" textlink="">
      <xdr:nvSpPr>
        <xdr:cNvPr id="1132" name="AutoShape 108">
          <a:extLst>
            <a:ext uri="{FF2B5EF4-FFF2-40B4-BE49-F238E27FC236}">
              <a16:creationId xmlns:a16="http://schemas.microsoft.com/office/drawing/2014/main" xmlns="" id="{00000000-0008-0000-0100-00006C040000}"/>
            </a:ext>
          </a:extLst>
        </xdr:cNvPr>
        <xdr:cNvSpPr>
          <a:spLocks noChangeArrowheads="1"/>
        </xdr:cNvSpPr>
      </xdr:nvSpPr>
      <xdr:spPr bwMode="auto">
        <a:xfrm>
          <a:off x="2790825" y="819151"/>
          <a:ext cx="1341120" cy="310896"/>
        </a:xfrm>
        <a:prstGeom prst="roundRect">
          <a:avLst>
            <a:gd name="adj" fmla="val 16667"/>
          </a:avLst>
        </a:prstGeom>
        <a:solidFill>
          <a:srgbClr val="FF0000"/>
        </a:solidFill>
        <a:ln w="25400">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Marine Corps</a:t>
          </a:r>
        </a:p>
      </xdr:txBody>
    </xdr:sp>
    <xdr:clientData/>
  </xdr:twoCellAnchor>
  <xdr:twoCellAnchor editAs="oneCell">
    <xdr:from>
      <xdr:col>4</xdr:col>
      <xdr:colOff>1095375</xdr:colOff>
      <xdr:row>0</xdr:row>
      <xdr:rowOff>390525</xdr:rowOff>
    </xdr:from>
    <xdr:to>
      <xdr:col>6</xdr:col>
      <xdr:colOff>20193</xdr:colOff>
      <xdr:row>0</xdr:row>
      <xdr:rowOff>701421</xdr:rowOff>
    </xdr:to>
    <xdr:sp macro="[0]!ArmyFilter" textlink="">
      <xdr:nvSpPr>
        <xdr:cNvPr id="1136" name="AutoShape 112">
          <a:extLst>
            <a:ext uri="{FF2B5EF4-FFF2-40B4-BE49-F238E27FC236}">
              <a16:creationId xmlns:a16="http://schemas.microsoft.com/office/drawing/2014/main" xmlns="" id="{00000000-0008-0000-0100-000070040000}"/>
            </a:ext>
          </a:extLst>
        </xdr:cNvPr>
        <xdr:cNvSpPr>
          <a:spLocks noChangeAspect="1" noChangeArrowheads="1"/>
        </xdr:cNvSpPr>
      </xdr:nvSpPr>
      <xdr:spPr bwMode="auto">
        <a:xfrm>
          <a:off x="4857750" y="390525"/>
          <a:ext cx="1344168" cy="310896"/>
        </a:xfrm>
        <a:prstGeom prst="roundRect">
          <a:avLst>
            <a:gd name="adj" fmla="val 16667"/>
          </a:avLst>
        </a:prstGeom>
        <a:solidFill>
          <a:schemeClr val="accent3">
            <a:lumMod val="50000"/>
          </a:schemeClr>
        </a:solidFill>
        <a:ln w="28575"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ARMY </a:t>
          </a:r>
        </a:p>
      </xdr:txBody>
    </xdr:sp>
    <xdr:clientData/>
  </xdr:twoCellAnchor>
  <xdr:twoCellAnchor editAs="oneCell">
    <xdr:from>
      <xdr:col>3</xdr:col>
      <xdr:colOff>142874</xdr:colOff>
      <xdr:row>0</xdr:row>
      <xdr:rowOff>400050</xdr:rowOff>
    </xdr:from>
    <xdr:to>
      <xdr:col>4</xdr:col>
      <xdr:colOff>379094</xdr:colOff>
      <xdr:row>0</xdr:row>
      <xdr:rowOff>710946</xdr:rowOff>
    </xdr:to>
    <xdr:sp macro="[0]!NavyFilter" textlink="">
      <xdr:nvSpPr>
        <xdr:cNvPr id="1137" name="AutoShape 113">
          <a:extLst>
            <a:ext uri="{FF2B5EF4-FFF2-40B4-BE49-F238E27FC236}">
              <a16:creationId xmlns:a16="http://schemas.microsoft.com/office/drawing/2014/main" xmlns="" id="{00000000-0008-0000-0100-000071040000}"/>
            </a:ext>
          </a:extLst>
        </xdr:cNvPr>
        <xdr:cNvSpPr>
          <a:spLocks noChangeAspect="1" noChangeArrowheads="1"/>
        </xdr:cNvSpPr>
      </xdr:nvSpPr>
      <xdr:spPr bwMode="auto">
        <a:xfrm>
          <a:off x="2800349" y="400050"/>
          <a:ext cx="1341120" cy="310896"/>
        </a:xfrm>
        <a:prstGeom prst="roundRect">
          <a:avLst>
            <a:gd name="adj" fmla="val 16667"/>
          </a:avLst>
        </a:prstGeom>
        <a:solidFill>
          <a:srgbClr val="0000FF"/>
        </a:solidFill>
        <a:ln w="25400">
          <a:solidFill>
            <a:srgbClr val="000000"/>
          </a:solidFill>
          <a:round/>
          <a:headEnd/>
          <a:tailEnd/>
        </a:ln>
        <a:effectLst/>
      </xdr:spPr>
      <xdr:txBody>
        <a:bodyPr vertOverflow="clip" wrap="square" lIns="36576" tIns="0" rIns="36576" bIns="27432" anchor="b" upright="1"/>
        <a:lstStyle/>
        <a:p>
          <a:pPr algn="ctr" rtl="0">
            <a:defRPr sz="1000"/>
          </a:pPr>
          <a:r>
            <a:rPr lang="en-US" sz="1200" b="1" i="0" u="none" strike="noStrike" baseline="0">
              <a:solidFill>
                <a:srgbClr val="FFFFFF"/>
              </a:solidFill>
              <a:latin typeface="Arial"/>
              <a:cs typeface="Arial"/>
            </a:rPr>
            <a:t>NAVY</a:t>
          </a:r>
        </a:p>
      </xdr:txBody>
    </xdr:sp>
    <xdr:clientData/>
  </xdr:twoCellAnchor>
  <xdr:twoCellAnchor editAs="oneCell">
    <xdr:from>
      <xdr:col>2</xdr:col>
      <xdr:colOff>28575</xdr:colOff>
      <xdr:row>6</xdr:row>
      <xdr:rowOff>142875</xdr:rowOff>
    </xdr:from>
    <xdr:to>
      <xdr:col>3</xdr:col>
      <xdr:colOff>876300</xdr:colOff>
      <xdr:row>6</xdr:row>
      <xdr:rowOff>390525</xdr:rowOff>
    </xdr:to>
    <xdr:sp macro="[0]!_xludf.Table" textlink="">
      <xdr:nvSpPr>
        <xdr:cNvPr id="1138" name="AutoShape 114">
          <a:extLst>
            <a:ext uri="{FF2B5EF4-FFF2-40B4-BE49-F238E27FC236}">
              <a16:creationId xmlns:a16="http://schemas.microsoft.com/office/drawing/2014/main" xmlns="" id="{00000000-0008-0000-0100-000072040000}"/>
            </a:ext>
          </a:extLst>
        </xdr:cNvPr>
        <xdr:cNvSpPr>
          <a:spLocks noChangeArrowheads="1"/>
        </xdr:cNvSpPr>
      </xdr:nvSpPr>
      <xdr:spPr bwMode="auto">
        <a:xfrm>
          <a:off x="1190625" y="3009900"/>
          <a:ext cx="2343150" cy="247650"/>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vertOverflow="clip" wrap="square" lIns="36576" tIns="22860" rIns="0" bIns="0" anchor="t" upright="1"/>
        <a:lstStyle/>
        <a:p>
          <a:pPr algn="l" rtl="0">
            <a:defRPr sz="1000"/>
          </a:pPr>
          <a:r>
            <a:rPr lang="en-US" sz="1200" b="1" i="0" u="none" strike="noStrike" baseline="0">
              <a:solidFill>
                <a:srgbClr val="000000"/>
              </a:solidFill>
              <a:latin typeface="Berlin Sans FB Demi"/>
            </a:rPr>
            <a:t>Generate Inflation Table</a:t>
          </a:r>
        </a:p>
      </xdr:txBody>
    </xdr:sp>
    <xdr:clientData/>
  </xdr:twoCellAnchor>
  <xdr:oneCellAnchor>
    <xdr:from>
      <xdr:col>5</xdr:col>
      <xdr:colOff>133350</xdr:colOff>
      <xdr:row>6</xdr:row>
      <xdr:rowOff>171450</xdr:rowOff>
    </xdr:from>
    <xdr:ext cx="2333625" cy="219075"/>
    <xdr:sp macro="" textlink="">
      <xdr:nvSpPr>
        <xdr:cNvPr id="1139" name="AutoShape 115">
          <a:hlinkClick xmlns:r="http://schemas.openxmlformats.org/officeDocument/2006/relationships" r:id="rId2"/>
          <a:extLst>
            <a:ext uri="{FF2B5EF4-FFF2-40B4-BE49-F238E27FC236}">
              <a16:creationId xmlns:a16="http://schemas.microsoft.com/office/drawing/2014/main" xmlns="" id="{00000000-0008-0000-0100-000073040000}"/>
            </a:ext>
          </a:extLst>
        </xdr:cNvPr>
        <xdr:cNvSpPr>
          <a:spLocks noChangeArrowheads="1"/>
        </xdr:cNvSpPr>
      </xdr:nvSpPr>
      <xdr:spPr bwMode="auto">
        <a:xfrm>
          <a:off x="5362575" y="3038475"/>
          <a:ext cx="2333625" cy="219075"/>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wrap="square" lIns="27432" tIns="22860" rIns="0" bIns="0" anchor="t" upright="1">
          <a:noAutofit/>
        </a:bodyPr>
        <a:lstStyle/>
        <a:p>
          <a:pPr algn="l" rtl="0">
            <a:defRPr sz="1000"/>
          </a:pPr>
          <a:r>
            <a:rPr lang="en-US" sz="1200" b="1" i="0" u="none" strike="noStrike" baseline="0">
              <a:solidFill>
                <a:srgbClr val="000000"/>
              </a:solidFill>
              <a:latin typeface="Berlin Sans FB Demi"/>
            </a:rPr>
            <a:t>Go To SAR Calculator Worksheet</a:t>
          </a:r>
        </a:p>
      </xdr:txBody>
    </xdr:sp>
    <xdr:clientData/>
  </xdr:oneCellAnchor>
  <xdr:twoCellAnchor editAs="oneCell">
    <xdr:from>
      <xdr:col>4</xdr:col>
      <xdr:colOff>1114425</xdr:colOff>
      <xdr:row>0</xdr:row>
      <xdr:rowOff>828674</xdr:rowOff>
    </xdr:from>
    <xdr:to>
      <xdr:col>6</xdr:col>
      <xdr:colOff>39243</xdr:colOff>
      <xdr:row>0</xdr:row>
      <xdr:rowOff>1139570</xdr:rowOff>
    </xdr:to>
    <xdr:sp macro="[0]!DoDFilter" textlink="">
      <xdr:nvSpPr>
        <xdr:cNvPr id="1176" name="AutoShape 152">
          <a:extLst>
            <a:ext uri="{FF2B5EF4-FFF2-40B4-BE49-F238E27FC236}">
              <a16:creationId xmlns:a16="http://schemas.microsoft.com/office/drawing/2014/main" xmlns="" id="{00000000-0008-0000-0100-000098040000}"/>
            </a:ext>
          </a:extLst>
        </xdr:cNvPr>
        <xdr:cNvSpPr>
          <a:spLocks noChangeAspect="1" noChangeArrowheads="1"/>
        </xdr:cNvSpPr>
      </xdr:nvSpPr>
      <xdr:spPr bwMode="auto">
        <a:xfrm>
          <a:off x="4876800" y="828674"/>
          <a:ext cx="1344168" cy="310896"/>
        </a:xfrm>
        <a:prstGeom prst="roundRect">
          <a:avLst>
            <a:gd name="adj" fmla="val 16667"/>
          </a:avLst>
        </a:prstGeom>
        <a:solidFill>
          <a:srgbClr val="A880FF"/>
        </a:solidFill>
        <a:ln w="25400"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DoD Wide</a:t>
          </a:r>
        </a:p>
      </xdr:txBody>
    </xdr:sp>
    <xdr:clientData/>
  </xdr:twoCellAnchor>
  <xdr:twoCellAnchor editAs="absolute">
    <xdr:from>
      <xdr:col>3</xdr:col>
      <xdr:colOff>419100</xdr:colOff>
      <xdr:row>0</xdr:row>
      <xdr:rowOff>19050</xdr:rowOff>
    </xdr:from>
    <xdr:to>
      <xdr:col>5</xdr:col>
      <xdr:colOff>394025</xdr:colOff>
      <xdr:row>0</xdr:row>
      <xdr:rowOff>409575</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3248025" y="19050"/>
          <a:ext cx="25943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en-US" sz="1800" b="1">
              <a:latin typeface="Arial" pitchFamily="34" charset="0"/>
              <a:cs typeface="Arial" pitchFamily="34" charset="0"/>
            </a:rPr>
            <a:t>Inflation Query Sheet</a:t>
          </a:r>
        </a:p>
      </xdr:txBody>
    </xdr:sp>
    <xdr:clientData/>
  </xdr:twoCellAnchor>
  <mc:AlternateContent xmlns:mc="http://schemas.openxmlformats.org/markup-compatibility/2006">
    <mc:Choice xmlns:a14="http://schemas.microsoft.com/office/drawing/2010/main" Requires="a14">
      <xdr:twoCellAnchor editAs="oneCell">
        <xdr:from>
          <xdr:col>3</xdr:col>
          <xdr:colOff>609600</xdr:colOff>
          <xdr:row>2</xdr:row>
          <xdr:rowOff>238125</xdr:rowOff>
        </xdr:from>
        <xdr:to>
          <xdr:col>7</xdr:col>
          <xdr:colOff>28575</xdr:colOff>
          <xdr:row>2</xdr:row>
          <xdr:rowOff>552450</xdr:rowOff>
        </xdr:to>
        <xdr:sp macro="" textlink="">
          <xdr:nvSpPr>
            <xdr:cNvPr id="1053" name="Drop Down 29"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xdr:row>
          <xdr:rowOff>19050</xdr:rowOff>
        </xdr:from>
        <xdr:to>
          <xdr:col>5</xdr:col>
          <xdr:colOff>895350</xdr:colOff>
          <xdr:row>8</xdr:row>
          <xdr:rowOff>219075</xdr:rowOff>
        </xdr:to>
        <xdr:sp macro="" textlink="">
          <xdr:nvSpPr>
            <xdr:cNvPr id="1061" name="Drop Down 3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333375</xdr:colOff>
      <xdr:row>4</xdr:row>
      <xdr:rowOff>57150</xdr:rowOff>
    </xdr:from>
    <xdr:to>
      <xdr:col>9</xdr:col>
      <xdr:colOff>438150</xdr:colOff>
      <xdr:row>11</xdr:row>
      <xdr:rowOff>85725</xdr:rowOff>
    </xdr:to>
    <xdr:sp macro="" textlink="">
      <xdr:nvSpPr>
        <xdr:cNvPr id="12289" name="Text Box 1">
          <a:extLst>
            <a:ext uri="{FF2B5EF4-FFF2-40B4-BE49-F238E27FC236}">
              <a16:creationId xmlns:a16="http://schemas.microsoft.com/office/drawing/2014/main" xmlns="" id="{00000000-0008-0000-0200-000001300000}"/>
            </a:ext>
          </a:extLst>
        </xdr:cNvPr>
        <xdr:cNvSpPr txBox="1">
          <a:spLocks noChangeArrowheads="1"/>
        </xdr:cNvSpPr>
      </xdr:nvSpPr>
      <xdr:spPr bwMode="auto">
        <a:xfrm>
          <a:off x="3771900" y="1466850"/>
          <a:ext cx="1828800" cy="11715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holds the inflation table most recently generated from the Query sheet.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Inflation/Escalation Rate is the change that occurred from the prior year.</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733425</xdr:colOff>
      <xdr:row>117</xdr:row>
      <xdr:rowOff>152398</xdr:rowOff>
    </xdr:from>
    <xdr:ext cx="7553325" cy="990602"/>
    <xdr:sp macro="" textlink="">
      <xdr:nvSpPr>
        <xdr:cNvPr id="2" name="TextBox 1">
          <a:extLst>
            <a:ext uri="{FF2B5EF4-FFF2-40B4-BE49-F238E27FC236}">
              <a16:creationId xmlns:a16="http://schemas.microsoft.com/office/drawing/2014/main" xmlns="" id="{00000000-0008-0000-0300-000002000000}"/>
            </a:ext>
          </a:extLst>
        </xdr:cNvPr>
        <xdr:cNvSpPr txBox="1"/>
      </xdr:nvSpPr>
      <xdr:spPr>
        <a:xfrm>
          <a:off x="733425" y="20021548"/>
          <a:ext cx="7553325" cy="990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4.) Convert Then-Year $'s to Then-Year$'s:</a:t>
          </a:r>
          <a:r>
            <a:rPr lang="en-US" sz="1200" b="0" i="0" u="none" strike="noStrike">
              <a:solidFill>
                <a:srgbClr val="FF0000"/>
              </a:solidFill>
              <a:latin typeface="Arial" pitchFamily="34" charset="0"/>
              <a:ea typeface="+mn-ea"/>
              <a:cs typeface="Arial" pitchFamily="34" charset="0"/>
            </a:rPr>
            <a:t>*</a:t>
          </a:r>
        </a:p>
        <a:p>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Use the </a:t>
          </a:r>
          <a:r>
            <a:rPr lang="en-US" sz="1100" b="1" i="0" u="none" strike="noStrike">
              <a:solidFill>
                <a:schemeClr val="tx1"/>
              </a:solidFill>
              <a:latin typeface="Arial" pitchFamily="34" charset="0"/>
              <a:ea typeface="+mn-ea"/>
              <a:cs typeface="Arial" pitchFamily="34" charset="0"/>
            </a:rPr>
            <a:t>Weighted Index </a:t>
          </a:r>
          <a:r>
            <a:rPr lang="en-US" sz="1100" b="0" i="0" u="none" strike="noStrike">
              <a:solidFill>
                <a:schemeClr val="tx1"/>
              </a:solidFill>
              <a:latin typeface="Arial" pitchFamily="34" charset="0"/>
              <a:ea typeface="+mn-ea"/>
              <a:cs typeface="Arial" pitchFamily="34" charset="0"/>
            </a:rPr>
            <a:t>to convert to CY$'s and then multiply by the weighted index for the for the desired year.  To convert TY06$ above to TY08$ you divide by 06 weighted index (Wtd)(.8981) (this converts to CY14$) and then multiply by the weighted factor for the TY you want to convert to ,TY08. Or, equivalently [Old Value  * (New Index/Old Index)] = New Value  </a:t>
          </a:r>
          <a:endParaRPr lang="en-US" sz="1100">
            <a:latin typeface="Arial" pitchFamily="34" charset="0"/>
            <a:cs typeface="Arial" pitchFamily="34" charset="0"/>
          </a:endParaRPr>
        </a:p>
      </xdr:txBody>
    </xdr:sp>
    <xdr:clientData/>
  </xdr:oneCellAnchor>
  <xdr:oneCellAnchor>
    <xdr:from>
      <xdr:col>0</xdr:col>
      <xdr:colOff>762000</xdr:colOff>
      <xdr:row>111</xdr:row>
      <xdr:rowOff>104774</xdr:rowOff>
    </xdr:from>
    <xdr:ext cx="7724775" cy="876301"/>
    <xdr:sp macro="" textlink="">
      <xdr:nvSpPr>
        <xdr:cNvPr id="3" name="TextBox 2">
          <a:extLst>
            <a:ext uri="{FF2B5EF4-FFF2-40B4-BE49-F238E27FC236}">
              <a16:creationId xmlns:a16="http://schemas.microsoft.com/office/drawing/2014/main" xmlns="" id="{00000000-0008-0000-0300-000003000000}"/>
            </a:ext>
          </a:extLst>
        </xdr:cNvPr>
        <xdr:cNvSpPr txBox="1"/>
      </xdr:nvSpPr>
      <xdr:spPr>
        <a:xfrm>
          <a:off x="762000" y="18659474"/>
          <a:ext cx="7724775" cy="8763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If you wanted to convert the CY 2012 stream to TY, using the above factors, you would first convert to CY 2014 as above and then perform the conversion to TY$'s This is most easily done via an equation to combine the steps (CY2012 value/2012 Raw Factor)*the corresponding yearly weighted factor</a:t>
          </a:r>
          <a:r>
            <a:rPr lang="en-US" sz="1100" b="0" i="1" u="none" strike="noStrike" baseline="0">
              <a:solidFill>
                <a:schemeClr val="tx1"/>
              </a:solidFill>
              <a:latin typeface="Arial" pitchFamily="34" charset="0"/>
              <a:ea typeface="+mn-ea"/>
              <a:cs typeface="Arial" pitchFamily="34" charset="0"/>
            </a:rPr>
            <a:t>  or  equivalently </a:t>
          </a:r>
          <a:r>
            <a:rPr lang="en-US" sz="1100" b="0" i="1" u="none" strike="noStrike">
              <a:solidFill>
                <a:schemeClr val="tx1"/>
              </a:solidFill>
              <a:latin typeface="Arial" pitchFamily="34" charset="0"/>
              <a:ea typeface="+mn-ea"/>
              <a:cs typeface="Arial" pitchFamily="34" charset="0"/>
            </a:rPr>
            <a:t>(CY2012 value*(New yearly weighted factor/ 2012 Raw Factor).</a:t>
          </a:r>
          <a:r>
            <a:rPr lang="en-US">
              <a:latin typeface="Arial" pitchFamily="34" charset="0"/>
              <a:cs typeface="Arial" pitchFamily="34" charset="0"/>
            </a:rPr>
            <a:t>  That</a:t>
          </a:r>
          <a:r>
            <a:rPr lang="en-US" baseline="0">
              <a:latin typeface="Arial" pitchFamily="34" charset="0"/>
              <a:cs typeface="Arial" pitchFamily="34" charset="0"/>
            </a:rPr>
            <a:t> is  </a:t>
          </a:r>
          <a:r>
            <a:rPr lang="en-US" sz="1100" b="1" i="0" u="none" strike="noStrike">
              <a:solidFill>
                <a:schemeClr val="tx1"/>
              </a:solidFill>
              <a:latin typeface="Arial" pitchFamily="34" charset="0"/>
              <a:ea typeface="+mn-ea"/>
              <a:cs typeface="Arial" pitchFamily="34" charset="0"/>
            </a:rPr>
            <a:t>Old Price(or value) * (New Index/Old Index) = New Price (value)</a:t>
          </a:r>
          <a:r>
            <a:rPr lang="en-US">
              <a:latin typeface="Arial" pitchFamily="34" charset="0"/>
              <a:cs typeface="Arial" pitchFamily="34" charset="0"/>
            </a:rPr>
            <a:t> </a:t>
          </a:r>
          <a:endParaRPr lang="en-US" baseline="0">
            <a:latin typeface="Arial" pitchFamily="34" charset="0"/>
            <a:cs typeface="Arial" pitchFamily="34" charset="0"/>
          </a:endParaRPr>
        </a:p>
      </xdr:txBody>
    </xdr:sp>
    <xdr:clientData/>
  </xdr:oneCellAnchor>
  <xdr:oneCellAnchor>
    <xdr:from>
      <xdr:col>0</xdr:col>
      <xdr:colOff>742950</xdr:colOff>
      <xdr:row>204</xdr:row>
      <xdr:rowOff>104773</xdr:rowOff>
    </xdr:from>
    <xdr:ext cx="8058150" cy="5476877"/>
    <xdr:sp macro="" textlink="">
      <xdr:nvSpPr>
        <xdr:cNvPr id="4" name="TextBox 3">
          <a:extLst>
            <a:ext uri="{FF2B5EF4-FFF2-40B4-BE49-F238E27FC236}">
              <a16:creationId xmlns:a16="http://schemas.microsoft.com/office/drawing/2014/main" xmlns="" id="{00000000-0008-0000-0300-000004000000}"/>
            </a:ext>
          </a:extLst>
        </xdr:cNvPr>
        <xdr:cNvSpPr txBox="1"/>
      </xdr:nvSpPr>
      <xdr:spPr>
        <a:xfrm>
          <a:off x="742950" y="23288623"/>
          <a:ext cx="8058150" cy="547687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200" b="1" i="0" u="none" strike="noStrike">
              <a:solidFill>
                <a:schemeClr val="tx1"/>
              </a:solidFill>
              <a:latin typeface="Arial" pitchFamily="34" charset="0"/>
              <a:ea typeface="+mn-ea"/>
              <a:cs typeface="Arial" pitchFamily="34" charset="0"/>
            </a:rPr>
            <a:t>Indexes:</a:t>
          </a:r>
        </a:p>
        <a:p>
          <a:r>
            <a:rPr lang="en-US" sz="1100" b="0" i="0" u="none" strike="noStrike">
              <a:solidFill>
                <a:schemeClr val="tx1"/>
              </a:solidFill>
              <a:latin typeface="Arial" pitchFamily="34" charset="0"/>
              <a:ea typeface="+mn-ea"/>
              <a:cs typeface="Arial" pitchFamily="34" charset="0"/>
            </a:rPr>
            <a:t>Basic manpower (Pay Only) indexes have no outlay rate profiles - they are 100% expended in year one and are the same for "Raw" and "Weighted".  Manpower appropriations identified as "Purchases" or "Composite" have outlay profiles associated with them. Common questions related to manpower</a:t>
          </a:r>
          <a:r>
            <a:rPr lang="en-US" sz="1100" b="0" i="0" u="none" strike="noStrike" baseline="0">
              <a:solidFill>
                <a:schemeClr val="tx1"/>
              </a:solidFill>
              <a:latin typeface="Arial" pitchFamily="34" charset="0"/>
              <a:ea typeface="+mn-ea"/>
              <a:cs typeface="Arial" pitchFamily="34" charset="0"/>
            </a:rPr>
            <a:t> indexes are; "how is the fiscal year  conversion made", discussed immediately below,  and "what are composite indexes" discussed in their section.</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p>
        <a:p>
          <a:endParaRPr lang="en-US" sz="1100"/>
        </a:p>
        <a:p>
          <a:endParaRPr lang="en-US" sz="1100"/>
        </a:p>
        <a:p>
          <a:endParaRPr lang="en-US" sz="1100"/>
        </a:p>
        <a:p>
          <a:r>
            <a:rPr lang="en-US" sz="1200" b="1">
              <a:latin typeface="Arial" pitchFamily="34" charset="0"/>
              <a:cs typeface="Arial" pitchFamily="34" charset="0"/>
            </a:rPr>
            <a:t>Two</a:t>
          </a:r>
          <a:r>
            <a:rPr lang="en-US" sz="1200" b="1" baseline="0">
              <a:latin typeface="Arial" pitchFamily="34" charset="0"/>
              <a:cs typeface="Arial" pitchFamily="34" charset="0"/>
            </a:rPr>
            <a:t>  methods of constructing "Fiscal Year" indexes:</a:t>
          </a:r>
          <a:endParaRPr lang="en-US" sz="1200" b="1">
            <a:latin typeface="Arial" pitchFamily="34" charset="0"/>
            <a:cs typeface="Arial" pitchFamily="34" charset="0"/>
          </a:endParaRPr>
        </a:p>
        <a:p>
          <a:r>
            <a:rPr lang="en-US" sz="1100">
              <a:latin typeface="Arial" pitchFamily="34" charset="0"/>
              <a:cs typeface="Arial" pitchFamily="34" charset="0"/>
            </a:rPr>
            <a:t>The military and civilian pay</a:t>
          </a:r>
          <a:r>
            <a:rPr lang="en-US" sz="1100" baseline="0">
              <a:latin typeface="Arial" pitchFamily="34" charset="0"/>
              <a:cs typeface="Arial" pitchFamily="34" charset="0"/>
            </a:rPr>
            <a:t> raises provided in OSD inflation guidance are effective January 1st.  To be consistent with the budget and other cost elements , they must be converted to a fiscal year (FY)basis.  There are two methods for doing this. </a:t>
          </a:r>
        </a:p>
        <a:p>
          <a:r>
            <a:rPr lang="en-US" sz="1100" baseline="0">
              <a:latin typeface="Arial" pitchFamily="34" charset="0"/>
              <a:cs typeface="Arial" pitchFamily="34" charset="0"/>
            </a:rPr>
            <a:t>The first method is simpler but does not include the compounding effect of the raises.    It calculates the FY raise by averaging  1 quarter of the prior year and 3 quarters of the current year:    FY2 raise =( 1*R1 + 3*R2)/4 </a:t>
          </a:r>
        </a:p>
        <a:p>
          <a:r>
            <a:rPr lang="en-US" sz="1100">
              <a:latin typeface="Arial" pitchFamily="34" charset="0"/>
              <a:cs typeface="Arial" pitchFamily="34" charset="0"/>
            </a:rPr>
            <a:t>R1 = pay raise that becomes effective Jan. 1 of FY1</a:t>
          </a:r>
        </a:p>
        <a:p>
          <a:r>
            <a:rPr lang="en-US" sz="1100">
              <a:latin typeface="Arial" pitchFamily="34" charset="0"/>
              <a:cs typeface="Arial" pitchFamily="34" charset="0"/>
            </a:rPr>
            <a:t>R2 = pay raise that becomes effective</a:t>
          </a:r>
          <a:r>
            <a:rPr lang="en-US" sz="1100" baseline="0">
              <a:latin typeface="Arial" pitchFamily="34" charset="0"/>
              <a:cs typeface="Arial" pitchFamily="34" charset="0"/>
            </a:rPr>
            <a:t> Jan.1 of FY2</a:t>
          </a:r>
        </a:p>
        <a:p>
          <a:r>
            <a:rPr lang="en-US" sz="1100" baseline="0">
              <a:latin typeface="Arial" pitchFamily="34" charset="0"/>
              <a:cs typeface="Arial" pitchFamily="34" charset="0"/>
            </a:rPr>
            <a:t>Pay for the 1st Q of FY1 = 1.0000</a:t>
          </a:r>
        </a:p>
        <a:p>
          <a:r>
            <a:rPr lang="en-US" sz="1100" baseline="0">
              <a:latin typeface="Arial" pitchFamily="34" charset="0"/>
              <a:cs typeface="Arial" pitchFamily="34" charset="0"/>
            </a:rPr>
            <a:t>This is the method used for the Army manpower pay indexes.</a:t>
          </a:r>
        </a:p>
        <a:p>
          <a:endParaRPr lang="en-US" sz="1100">
            <a:latin typeface="Arial" pitchFamily="34" charset="0"/>
            <a:cs typeface="Arial" pitchFamily="34" charset="0"/>
          </a:endParaRPr>
        </a:p>
        <a:p>
          <a:r>
            <a:rPr lang="en-US" sz="1100">
              <a:latin typeface="Arial" pitchFamily="34" charset="0"/>
              <a:cs typeface="Arial" pitchFamily="34" charset="0"/>
            </a:rPr>
            <a:t>The second method  is</a:t>
          </a:r>
          <a:r>
            <a:rPr lang="en-US" sz="1100" baseline="0">
              <a:latin typeface="Arial" pitchFamily="34" charset="0"/>
              <a:cs typeface="Arial" pitchFamily="34" charset="0"/>
            </a:rPr>
            <a:t> used for the DON manpower pay accounts and allows for the compounding effect of the pay raise.</a:t>
          </a:r>
        </a:p>
        <a:p>
          <a:r>
            <a:rPr lang="en-US" sz="1100" baseline="0">
              <a:latin typeface="Arial" pitchFamily="34" charset="0"/>
              <a:cs typeface="Arial" pitchFamily="34" charset="0"/>
            </a:rPr>
            <a:t>Pay in FY1 will include 3 quarters of the pay raise received in Jan. of FY1 (R1) and one quarter of the pay from the previous calendar year, therefore,</a:t>
          </a:r>
        </a:p>
        <a:p>
          <a:r>
            <a:rPr lang="en-US" sz="1100" baseline="0">
              <a:latin typeface="Arial" pitchFamily="34" charset="0"/>
              <a:cs typeface="Arial" pitchFamily="34" charset="0"/>
            </a:rPr>
            <a:t>Pay received in FY1 = 1Q * 1.000 + 3 Q * (1*R1)</a:t>
          </a:r>
        </a:p>
        <a:p>
          <a:endParaRPr lang="en-US" sz="1100" baseline="0">
            <a:latin typeface="Arial" pitchFamily="34" charset="0"/>
            <a:cs typeface="Arial" pitchFamily="34" charset="0"/>
          </a:endParaRPr>
        </a:p>
        <a:p>
          <a:r>
            <a:rPr lang="en-US" sz="1100" baseline="0">
              <a:latin typeface="Arial" pitchFamily="34" charset="0"/>
              <a:cs typeface="Arial" pitchFamily="34" charset="0"/>
            </a:rPr>
            <a:t>Pay in FY2 will include 1Q of the R1 raise and 3Q of the pay raised received in Jan of F2 at the start of the new calendar year, therefore,</a:t>
          </a:r>
        </a:p>
        <a:p>
          <a:r>
            <a:rPr lang="en-US" sz="1100" baseline="0">
              <a:latin typeface="Arial" pitchFamily="34" charset="0"/>
              <a:cs typeface="Arial" pitchFamily="34" charset="0"/>
            </a:rPr>
            <a:t>Pay received in FY2 = 1Q * (1*R1) + 3Q * (R1*R2)</a:t>
          </a:r>
        </a:p>
        <a:p>
          <a:r>
            <a:rPr lang="en-US" sz="1100" baseline="0">
              <a:latin typeface="Arial" pitchFamily="34" charset="0"/>
              <a:cs typeface="Arial" pitchFamily="34" charset="0"/>
            </a:rPr>
            <a:t> The pay raise from FY1 to FY2  = Pay in FY2/ Pay in FY1 or   </a:t>
          </a:r>
        </a:p>
        <a:p>
          <a:r>
            <a:rPr lang="en-US" sz="1100" baseline="0">
              <a:latin typeface="Arial" pitchFamily="34" charset="0"/>
              <a:cs typeface="Arial" pitchFamily="34" charset="0"/>
            </a:rPr>
            <a:t>[1Q*(1*R1) + 3Q*(R1*R2) ]/ [ 1*(1.0000) + 3Q*(1*R1)]  or simplify by dividing each element by R1 to get :  (1 + 3R2) / ((1/R1)+3)  (method used by DON)</a:t>
          </a:r>
        </a:p>
        <a:p>
          <a:endParaRPr lang="en-US" sz="1100" baseline="0"/>
        </a:p>
        <a:p>
          <a:r>
            <a:rPr lang="en-US" sz="1100" baseline="0">
              <a:latin typeface="Arial" pitchFamily="34" charset="0"/>
              <a:cs typeface="Arial" pitchFamily="34" charset="0"/>
            </a:rPr>
            <a:t>A numerical example is given below.  </a:t>
          </a:r>
          <a:r>
            <a:rPr lang="en-US" sz="1100" b="1" i="1" baseline="0">
              <a:latin typeface="Arial" pitchFamily="34" charset="0"/>
              <a:cs typeface="Arial" pitchFamily="34" charset="0"/>
            </a:rPr>
            <a:t>The differences are small but, to be consistent,  analysts normalizing Army manpower should extract indexes supplied via the Army service selection and when working on DON manpower  Navy /Marine Corps selection should be made</a:t>
          </a:r>
          <a:r>
            <a:rPr lang="en-US" sz="1100" b="1" i="1" baseline="0"/>
            <a:t>.</a:t>
          </a:r>
        </a:p>
        <a:p>
          <a:endParaRPr lang="en-US" sz="1100" baseline="0"/>
        </a:p>
      </xdr:txBody>
    </xdr:sp>
    <xdr:clientData/>
  </xdr:oneCellAnchor>
  <xdr:oneCellAnchor>
    <xdr:from>
      <xdr:col>0</xdr:col>
      <xdr:colOff>790576</xdr:colOff>
      <xdr:row>282</xdr:row>
      <xdr:rowOff>57150</xdr:rowOff>
    </xdr:from>
    <xdr:ext cx="7620000" cy="3209925"/>
    <xdr:sp macro="" textlink="">
      <xdr:nvSpPr>
        <xdr:cNvPr id="5" name="TextBox 4">
          <a:extLst>
            <a:ext uri="{FF2B5EF4-FFF2-40B4-BE49-F238E27FC236}">
              <a16:creationId xmlns:a16="http://schemas.microsoft.com/office/drawing/2014/main" xmlns="" id="{00000000-0008-0000-0300-000005000000}"/>
            </a:ext>
          </a:extLst>
        </xdr:cNvPr>
        <xdr:cNvSpPr txBox="1"/>
      </xdr:nvSpPr>
      <xdr:spPr>
        <a:xfrm>
          <a:off x="790576" y="42786300"/>
          <a:ext cx="7620000" cy="32099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latin typeface="Arial" pitchFamily="34" charset="0"/>
              <a:cs typeface="Arial" pitchFamily="34" charset="0"/>
            </a:rPr>
            <a:t>The term Composite Index, as used in this calculator, refers  to an </a:t>
          </a:r>
          <a:r>
            <a:rPr lang="en-US" sz="1100" baseline="0">
              <a:latin typeface="Arial" pitchFamily="34" charset="0"/>
              <a:cs typeface="Arial" pitchFamily="34" charset="0"/>
            </a:rPr>
            <a:t>index that combines a purchases component (potentially  reflecting a multiyear outlay element) and a pay component  (with a single year outlay ).  The one exception is the OMN Composite index which combines  fuel and civilian pay, two elements both outlayed in one year, with a purchases element that has a multi-year outlays.  As such these indices are a combination of inflation and escalation and the analyst should be aware of the mix of adjustments.   </a:t>
          </a:r>
        </a:p>
        <a:p>
          <a:endParaRPr lang="en-US" sz="1100" baseline="0">
            <a:latin typeface="Arial" pitchFamily="34" charset="0"/>
            <a:cs typeface="Arial" pitchFamily="34" charset="0"/>
          </a:endParaRPr>
        </a:p>
        <a:p>
          <a:r>
            <a:rPr lang="en-US" sz="1100" baseline="0">
              <a:latin typeface="Arial" pitchFamily="34" charset="0"/>
              <a:cs typeface="Arial" pitchFamily="34" charset="0"/>
            </a:rPr>
            <a:t>Composite</a:t>
          </a:r>
          <a:r>
            <a:rPr lang="en-US" sz="1100">
              <a:latin typeface="Arial" pitchFamily="34" charset="0"/>
              <a:cs typeface="Arial" pitchFamily="34" charset="0"/>
            </a:rPr>
            <a:t> Indexes are not provided</a:t>
          </a:r>
          <a:r>
            <a:rPr lang="en-US" sz="1100" baseline="0">
              <a:latin typeface="Arial" pitchFamily="34" charset="0"/>
              <a:cs typeface="Arial" pitchFamily="34" charset="0"/>
            </a:rPr>
            <a:t> in OSD Guidance but are constructed for each relevant service appropriation based on service specific appropriation-wide weighting schemes.  </a:t>
          </a:r>
          <a:r>
            <a:rPr lang="en-US" sz="1100" b="1" baseline="0">
              <a:latin typeface="Arial" pitchFamily="34" charset="0"/>
              <a:cs typeface="Arial" pitchFamily="34" charset="0"/>
            </a:rPr>
            <a:t>We remind analysts that for the procurement  portion of SARs reporting the use of composite indexes are not acceptable.</a:t>
          </a:r>
        </a:p>
        <a:p>
          <a:endParaRPr lang="en-US" sz="1100" baseline="0">
            <a:latin typeface="Arial" pitchFamily="34" charset="0"/>
            <a:cs typeface="Arial" pitchFamily="34" charset="0"/>
          </a:endParaRPr>
        </a:p>
        <a:p>
          <a:r>
            <a:rPr lang="en-US" sz="1100" baseline="0">
              <a:latin typeface="Arial" pitchFamily="34" charset="0"/>
              <a:cs typeface="Arial" pitchFamily="34" charset="0"/>
            </a:rPr>
            <a:t>In other situations, it is up to the analyst and their organization to decide on when composite indexes are appropriate.  If you have knowledge of  the personnel  vs. purchases  distribution in your estimates you will have a better estimate making use of that information and estimate each separately.  Remember the composites reflect a service wide weighting of purchases and manpower and if you are dealing with estimates that don't reflect that distribution (a likely case) you are just adding noise to the numbers.</a:t>
          </a:r>
        </a:p>
        <a:p>
          <a:endParaRPr lang="en-US" sz="1100" baseline="0">
            <a:latin typeface="Arial" pitchFamily="34" charset="0"/>
            <a:cs typeface="Arial" pitchFamily="34" charset="0"/>
          </a:endParaRPr>
        </a:p>
        <a:p>
          <a:r>
            <a:rPr lang="en-US" sz="1100">
              <a:latin typeface="Arial" pitchFamily="34" charset="0"/>
              <a:cs typeface="Arial" pitchFamily="34" charset="0"/>
            </a:rPr>
            <a:t>One potential</a:t>
          </a:r>
          <a:r>
            <a:rPr lang="en-US" sz="1100" baseline="0">
              <a:latin typeface="Arial" pitchFamily="34" charset="0"/>
              <a:cs typeface="Arial" pitchFamily="34" charset="0"/>
            </a:rPr>
            <a:t> exception is for military manpower where, for example, the use of the MPN Composite index  would be appropriate if your manpower costs include permanent change of station travel and allowances and not just pay.  </a:t>
          </a:r>
          <a:endParaRPr lang="en-US" sz="1100">
            <a:latin typeface="Arial" pitchFamily="34" charset="0"/>
            <a:cs typeface="Arial" pitchFamily="34" charset="0"/>
          </a:endParaRPr>
        </a:p>
      </xdr:txBody>
    </xdr:sp>
    <xdr:clientData/>
  </xdr:oneCellAnchor>
  <xdr:oneCellAnchor>
    <xdr:from>
      <xdr:col>0</xdr:col>
      <xdr:colOff>781050</xdr:colOff>
      <xdr:row>153</xdr:row>
      <xdr:rowOff>104773</xdr:rowOff>
    </xdr:from>
    <xdr:ext cx="7391400" cy="1228727"/>
    <xdr:sp macro="" textlink="">
      <xdr:nvSpPr>
        <xdr:cNvPr id="6" name="TextBox 5">
          <a:extLst>
            <a:ext uri="{FF2B5EF4-FFF2-40B4-BE49-F238E27FC236}">
              <a16:creationId xmlns:a16="http://schemas.microsoft.com/office/drawing/2014/main" xmlns="" id="{00000000-0008-0000-0300-000006000000}"/>
            </a:ext>
          </a:extLst>
        </xdr:cNvPr>
        <xdr:cNvSpPr txBox="1"/>
      </xdr:nvSpPr>
      <xdr:spPr>
        <a:xfrm>
          <a:off x="781050" y="21469348"/>
          <a:ext cx="7391400" cy="122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Budget Year Index (BYI) </a:t>
          </a:r>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was added to the calculator by request.  It is intended</a:t>
          </a:r>
          <a:r>
            <a:rPr lang="en-US" sz="1100" b="0" i="0" u="none" strike="noStrike" baseline="0">
              <a:solidFill>
                <a:schemeClr val="tx1"/>
              </a:solidFill>
              <a:latin typeface="Arial" pitchFamily="34" charset="0"/>
              <a:ea typeface="+mn-ea"/>
              <a:cs typeface="Arial" pitchFamily="34" charset="0"/>
            </a:rPr>
            <a:t> to facilitate TY to TY conversions.  </a:t>
          </a:r>
          <a:r>
            <a:rPr lang="en-US" sz="1100" b="0" i="0" u="none" strike="noStrike">
              <a:solidFill>
                <a:schemeClr val="tx1"/>
              </a:solidFill>
              <a:latin typeface="Arial" pitchFamily="34" charset="0"/>
              <a:ea typeface="+mn-ea"/>
              <a:cs typeface="Arial" pitchFamily="34" charset="0"/>
            </a:rPr>
            <a:t>It doesn't accomplish anything more than the weighted index it just saves one step in TY conversion relative to the selected base year.  The BYI simply baselines the weighted index to a desired year.  In the index shown above, the baseline is 2014 (note value of 1.0000) achieved</a:t>
          </a:r>
          <a:r>
            <a:rPr lang="en-US" sz="1100" b="0" i="0" u="none" strike="noStrike" baseline="0">
              <a:solidFill>
                <a:schemeClr val="tx1"/>
              </a:solidFill>
              <a:latin typeface="Arial" pitchFamily="34" charset="0"/>
              <a:ea typeface="+mn-ea"/>
              <a:cs typeface="Arial" pitchFamily="34" charset="0"/>
            </a:rPr>
            <a:t> by </a:t>
          </a:r>
          <a:r>
            <a:rPr lang="en-US" sz="1100" b="0" i="0" u="none" strike="noStrike">
              <a:solidFill>
                <a:schemeClr val="tx1"/>
              </a:solidFill>
              <a:latin typeface="Arial" pitchFamily="34" charset="0"/>
              <a:ea typeface="+mn-ea"/>
              <a:cs typeface="Arial" pitchFamily="34" charset="0"/>
            </a:rPr>
            <a:t>dividing the weighted index by the weighted factor of the baseline year (1.0373).  If you have a TY14$ value</a:t>
          </a:r>
          <a:r>
            <a:rPr lang="en-US" sz="1100" b="0" i="0" u="none" strike="noStrike" baseline="0">
              <a:solidFill>
                <a:schemeClr val="tx1"/>
              </a:solidFill>
              <a:latin typeface="Arial" pitchFamily="34" charset="0"/>
              <a:ea typeface="+mn-ea"/>
              <a:cs typeface="Arial" pitchFamily="34" charset="0"/>
            </a:rPr>
            <a:t> or a group of</a:t>
          </a:r>
          <a:r>
            <a:rPr lang="en-US" sz="1100" b="0" i="0" u="none" strike="noStrike">
              <a:solidFill>
                <a:schemeClr val="tx1"/>
              </a:solidFill>
              <a:latin typeface="Arial" pitchFamily="34" charset="0"/>
              <a:ea typeface="+mn-ea"/>
              <a:cs typeface="Arial" pitchFamily="34" charset="0"/>
            </a:rPr>
            <a:t> TY14$ values and want to convert them to a desired new TY, just multiply by the appropriate BYI yearly factor.  Conversely,</a:t>
          </a:r>
          <a:r>
            <a:rPr lang="en-US" sz="1100" b="0" i="0" u="none" strike="noStrike" baseline="0">
              <a:solidFill>
                <a:schemeClr val="tx1"/>
              </a:solidFill>
              <a:latin typeface="Arial" pitchFamily="34" charset="0"/>
              <a:ea typeface="+mn-ea"/>
              <a:cs typeface="Arial" pitchFamily="34" charset="0"/>
            </a:rPr>
            <a:t> if you want to transform  various TY$ values into TY14$'s, simply divide by the factor.</a:t>
          </a:r>
        </a:p>
      </xdr:txBody>
    </xdr:sp>
    <xdr:clientData/>
  </xdr:oneCellAnchor>
  <xdr:oneCellAnchor>
    <xdr:from>
      <xdr:col>0</xdr:col>
      <xdr:colOff>771525</xdr:colOff>
      <xdr:row>107</xdr:row>
      <xdr:rowOff>152400</xdr:rowOff>
    </xdr:from>
    <xdr:ext cx="7562849" cy="438150"/>
    <xdr:sp macro="" textlink="">
      <xdr:nvSpPr>
        <xdr:cNvPr id="7" name="TextBox 6">
          <a:extLst>
            <a:ext uri="{FF2B5EF4-FFF2-40B4-BE49-F238E27FC236}">
              <a16:creationId xmlns:a16="http://schemas.microsoft.com/office/drawing/2014/main" xmlns="" id="{00000000-0008-0000-0300-000007000000}"/>
            </a:ext>
          </a:extLst>
        </xdr:cNvPr>
        <xdr:cNvSpPr txBox="1"/>
      </xdr:nvSpPr>
      <xdr:spPr>
        <a:xfrm>
          <a:off x="771525" y="17564100"/>
          <a:ext cx="7562849"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Dividing the TY$ by the appropriate yearly Weighted Index factor removes the outlay profile and converts the values into a Constant $ value</a:t>
          </a:r>
          <a:endParaRPr lang="en-US" sz="1100" i="1">
            <a:latin typeface="Arial" pitchFamily="34" charset="0"/>
            <a:cs typeface="Arial" pitchFamily="34" charset="0"/>
          </a:endParaRPr>
        </a:p>
      </xdr:txBody>
    </xdr:sp>
    <xdr:clientData/>
  </xdr:oneCellAnchor>
  <xdr:oneCellAnchor>
    <xdr:from>
      <xdr:col>0</xdr:col>
      <xdr:colOff>762001</xdr:colOff>
      <xdr:row>16</xdr:row>
      <xdr:rowOff>190500</xdr:rowOff>
    </xdr:from>
    <xdr:ext cx="7067550" cy="962025"/>
    <xdr:sp macro="" textlink="">
      <xdr:nvSpPr>
        <xdr:cNvPr id="8" name="TextBox 7">
          <a:extLst>
            <a:ext uri="{FF2B5EF4-FFF2-40B4-BE49-F238E27FC236}">
              <a16:creationId xmlns:a16="http://schemas.microsoft.com/office/drawing/2014/main" xmlns="" id="{00000000-0008-0000-0300-000008000000}"/>
            </a:ext>
          </a:extLst>
        </xdr:cNvPr>
        <xdr:cNvSpPr txBox="1"/>
      </xdr:nvSpPr>
      <xdr:spPr>
        <a:xfrm>
          <a:off x="762001" y="3143250"/>
          <a:ext cx="7067550"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Arial" pitchFamily="34" charset="0"/>
              <a:ea typeface="+mn-ea"/>
              <a:cs typeface="Arial" pitchFamily="34" charset="0"/>
            </a:rPr>
            <a:t>There are two primary inflation factor categories: 1. Those </a:t>
          </a:r>
          <a:r>
            <a:rPr lang="en-US" sz="1100" b="0" i="0" u="none" strike="noStrike">
              <a:solidFill>
                <a:sysClr val="windowText" lastClr="000000"/>
              </a:solidFill>
              <a:latin typeface="Arial" pitchFamily="34" charset="0"/>
              <a:ea typeface="+mn-ea"/>
              <a:cs typeface="Arial" pitchFamily="34" charset="0"/>
            </a:rPr>
            <a:t>that</a:t>
          </a:r>
          <a:r>
            <a:rPr lang="en-US" sz="1100" b="1" i="0" u="none" strike="noStrike">
              <a:solidFill>
                <a:srgbClr val="FF0000"/>
              </a:solidFill>
              <a:latin typeface="Arial" pitchFamily="34" charset="0"/>
              <a:ea typeface="+mn-ea"/>
              <a:cs typeface="Arial" pitchFamily="34" charset="0"/>
            </a:rPr>
            <a:t> don't include outlay profiles </a:t>
          </a:r>
          <a:r>
            <a:rPr lang="en-US" sz="1100" b="0" i="0" u="none" strike="noStrike">
              <a:solidFill>
                <a:schemeClr val="tx1"/>
              </a:solidFill>
              <a:latin typeface="Arial" pitchFamily="34" charset="0"/>
              <a:ea typeface="+mn-ea"/>
              <a:cs typeface="Arial" pitchFamily="34" charset="0"/>
            </a:rPr>
            <a:t>(Raw Indexes based on simple compounding of inflation - used to construct "Constant Dollars") and 2. Weighted Indexes, those </a:t>
          </a:r>
          <a:r>
            <a:rPr lang="en-US" sz="1100" b="1" i="0" u="none" strike="noStrike">
              <a:solidFill>
                <a:srgbClr val="FF0000"/>
              </a:solidFill>
              <a:latin typeface="Arial" pitchFamily="34" charset="0"/>
              <a:ea typeface="+mn-ea"/>
              <a:cs typeface="Arial" pitchFamily="34" charset="0"/>
            </a:rPr>
            <a:t>that include outlay profiles</a:t>
          </a:r>
          <a:r>
            <a:rPr lang="en-US" sz="1100" b="0" i="0" u="none" strike="noStrike">
              <a:solidFill>
                <a:schemeClr val="tx1"/>
              </a:solidFill>
              <a:latin typeface="Arial" pitchFamily="34" charset="0"/>
              <a:ea typeface="+mn-ea"/>
              <a:cs typeface="Arial" pitchFamily="34" charset="0"/>
            </a:rPr>
            <a:t>. The Budget Year Index is a subset of this index where the index is normalized (set to zero) for a desired base year  (Weighted Indexes are used to construct "Then Year" ("Budget Year") dollars or convert to, or from, Constant $'s </a:t>
          </a:r>
          <a:r>
            <a:rPr lang="en-US" b="0">
              <a:latin typeface="Arial" pitchFamily="34" charset="0"/>
              <a:cs typeface="Arial" pitchFamily="34" charset="0"/>
            </a:rPr>
            <a:t> </a:t>
          </a:r>
          <a:endParaRPr lang="en-US" sz="1100" b="0">
            <a:latin typeface="Arial" pitchFamily="34" charset="0"/>
            <a:cs typeface="Arial" pitchFamily="34" charset="0"/>
          </a:endParaRPr>
        </a:p>
      </xdr:txBody>
    </xdr:sp>
    <xdr:clientData/>
  </xdr:oneCellAnchor>
  <xdr:oneCellAnchor>
    <xdr:from>
      <xdr:col>0</xdr:col>
      <xdr:colOff>784860</xdr:colOff>
      <xdr:row>32</xdr:row>
      <xdr:rowOff>0</xdr:rowOff>
    </xdr:from>
    <xdr:ext cx="7741920" cy="1714572"/>
    <xdr:sp macro="" textlink="">
      <xdr:nvSpPr>
        <xdr:cNvPr id="10" name="TextBox 9">
          <a:extLst>
            <a:ext uri="{FF2B5EF4-FFF2-40B4-BE49-F238E27FC236}">
              <a16:creationId xmlns:a16="http://schemas.microsoft.com/office/drawing/2014/main" xmlns="" id="{00000000-0008-0000-0300-00000A000000}"/>
            </a:ext>
          </a:extLst>
        </xdr:cNvPr>
        <xdr:cNvSpPr txBox="1"/>
      </xdr:nvSpPr>
      <xdr:spPr>
        <a:xfrm>
          <a:off x="784860" y="5935980"/>
          <a:ext cx="7741920" cy="1714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latin typeface="Arial" panose="020B0604020202020204" pitchFamily="34" charset="0"/>
              <a:cs typeface="Arial" panose="020B0604020202020204" pitchFamily="34" charset="0"/>
            </a:rPr>
            <a:t>The examples below demonstrates the mechanical use of the indices to perform various dollar conversions.  It</a:t>
          </a:r>
          <a:r>
            <a:rPr lang="en-US" sz="1100" baseline="0">
              <a:latin typeface="Arial" panose="020B0604020202020204" pitchFamily="34" charset="0"/>
              <a:cs typeface="Arial" panose="020B0604020202020204" pitchFamily="34" charset="0"/>
            </a:rPr>
            <a:t> is similar to what might have been presented on a DAU class.</a:t>
          </a:r>
        </a:p>
        <a:p>
          <a:endParaRPr lang="en-US" sz="1100" baseline="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The analyst should be aware that not all conversions are appropriate at all times.  A then-year to then-year conversion of a major Navy procurement using the JIC indices will often produce an incorrect adjustment.  To produce a more realistic estimate many large Navy programs will use non-OSD indices (IHS Global Insight and others) for their then-year program cost.  Using the OSD guidance based JIC's general inflation indices to convert to another then-year value will be incorrect </a:t>
          </a:r>
        </a:p>
        <a:p>
          <a:r>
            <a:rPr lang="en-US" sz="1100">
              <a:latin typeface="Arial" panose="020B0604020202020204" pitchFamily="34" charset="0"/>
              <a:cs typeface="Arial" panose="020B0604020202020204" pitchFamily="34" charset="0"/>
            </a:rPr>
            <a:t>because we are not using the original industry/commodity based indices used to produce the initial then-year estimate.  </a:t>
          </a:r>
        </a:p>
        <a:p>
          <a:r>
            <a:rPr lang="en-US" sz="1100">
              <a:latin typeface="Arial" panose="020B0604020202020204" pitchFamily="34" charset="0"/>
              <a:cs typeface="Arial" panose="020B0604020202020204" pitchFamily="34" charset="0"/>
            </a:rPr>
            <a:t>Similarly, a constant $ to then-year $ conversion will only be correct if we want the then-year costs to reflect only inflation</a:t>
          </a:r>
        </a:p>
        <a:p>
          <a:r>
            <a:rPr lang="en-US" sz="1100">
              <a:latin typeface="Arial" panose="020B0604020202020204" pitchFamily="34" charset="0"/>
              <a:cs typeface="Arial" panose="020B0604020202020204" pitchFamily="34" charset="0"/>
            </a:rPr>
            <a:t> or if the general inflation rate is a good proxy for the actual cost increases (escalation).</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152400</xdr:colOff>
      <xdr:row>3</xdr:row>
      <xdr:rowOff>180975</xdr:rowOff>
    </xdr:from>
    <xdr:to>
      <xdr:col>3</xdr:col>
      <xdr:colOff>352425</xdr:colOff>
      <xdr:row>3</xdr:row>
      <xdr:rowOff>190500</xdr:rowOff>
    </xdr:to>
    <xdr:sp macro="" textlink="">
      <xdr:nvSpPr>
        <xdr:cNvPr id="33795" name="Line 3">
          <a:extLst>
            <a:ext uri="{FF2B5EF4-FFF2-40B4-BE49-F238E27FC236}">
              <a16:creationId xmlns:a16="http://schemas.microsoft.com/office/drawing/2014/main" xmlns="" id="{00000000-0008-0000-0500-000003840000}"/>
            </a:ext>
          </a:extLst>
        </xdr:cNvPr>
        <xdr:cNvSpPr>
          <a:spLocks noChangeShapeType="1"/>
        </xdr:cNvSpPr>
      </xdr:nvSpPr>
      <xdr:spPr bwMode="auto">
        <a:xfrm flipV="1">
          <a:off x="1524000" y="1323975"/>
          <a:ext cx="200025" cy="9525"/>
        </a:xfrm>
        <a:prstGeom prst="line">
          <a:avLst/>
        </a:prstGeom>
        <a:noFill/>
        <a:ln w="19050">
          <a:solidFill>
            <a:srgbClr val="000000"/>
          </a:solidFill>
          <a:round/>
          <a:headEnd/>
          <a:tailEnd type="triangle" w="med" len="med"/>
        </a:ln>
      </xdr:spPr>
    </xdr:sp>
    <xdr:clientData/>
  </xdr:twoCellAnchor>
  <xdr:twoCellAnchor>
    <xdr:from>
      <xdr:col>7</xdr:col>
      <xdr:colOff>209550</xdr:colOff>
      <xdr:row>3</xdr:row>
      <xdr:rowOff>200025</xdr:rowOff>
    </xdr:from>
    <xdr:to>
      <xdr:col>7</xdr:col>
      <xdr:colOff>438150</xdr:colOff>
      <xdr:row>3</xdr:row>
      <xdr:rowOff>209550</xdr:rowOff>
    </xdr:to>
    <xdr:sp macro="" textlink="">
      <xdr:nvSpPr>
        <xdr:cNvPr id="33796" name="Line 4">
          <a:extLst>
            <a:ext uri="{FF2B5EF4-FFF2-40B4-BE49-F238E27FC236}">
              <a16:creationId xmlns:a16="http://schemas.microsoft.com/office/drawing/2014/main" xmlns="" id="{00000000-0008-0000-0500-000004840000}"/>
            </a:ext>
          </a:extLst>
        </xdr:cNvPr>
        <xdr:cNvSpPr>
          <a:spLocks noChangeShapeType="1"/>
        </xdr:cNvSpPr>
      </xdr:nvSpPr>
      <xdr:spPr bwMode="auto">
        <a:xfrm flipV="1">
          <a:off x="3676650" y="1343025"/>
          <a:ext cx="228600" cy="9525"/>
        </a:xfrm>
        <a:prstGeom prst="line">
          <a:avLst/>
        </a:prstGeom>
        <a:noFill/>
        <a:ln w="19050">
          <a:solidFill>
            <a:srgbClr val="000000"/>
          </a:solidFill>
          <a:round/>
          <a:headEnd/>
          <a:tailEnd type="triangle" w="med" len="med"/>
        </a:ln>
      </xdr:spPr>
    </xdr:sp>
    <xdr:clientData/>
  </xdr:twoCellAnchor>
  <xdr:twoCellAnchor>
    <xdr:from>
      <xdr:col>2</xdr:col>
      <xdr:colOff>419100</xdr:colOff>
      <xdr:row>1</xdr:row>
      <xdr:rowOff>19050</xdr:rowOff>
    </xdr:from>
    <xdr:to>
      <xdr:col>12</xdr:col>
      <xdr:colOff>476250</xdr:colOff>
      <xdr:row>2</xdr:row>
      <xdr:rowOff>285750</xdr:rowOff>
    </xdr:to>
    <xdr:sp macro="" textlink="">
      <xdr:nvSpPr>
        <xdr:cNvPr id="33797" name="Rectangle 5">
          <a:extLst>
            <a:ext uri="{FF2B5EF4-FFF2-40B4-BE49-F238E27FC236}">
              <a16:creationId xmlns:a16="http://schemas.microsoft.com/office/drawing/2014/main" xmlns="" id="{00000000-0008-0000-0500-000005840000}"/>
            </a:ext>
          </a:extLst>
        </xdr:cNvPr>
        <xdr:cNvSpPr>
          <a:spLocks noChangeArrowheads="1"/>
        </xdr:cNvSpPr>
      </xdr:nvSpPr>
      <xdr:spPr bwMode="auto">
        <a:xfrm>
          <a:off x="1266825" y="400050"/>
          <a:ext cx="5353050" cy="647700"/>
        </a:xfrm>
        <a:prstGeom prst="rect">
          <a:avLst/>
        </a:prstGeom>
        <a:solidFill>
          <a:sysClr val="window" lastClr="FFFFFF"/>
        </a:solidFill>
        <a:ln w="9525">
          <a:no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a:t>
          </a:r>
          <a:endParaRPr lang="en-US" sz="1000" b="0" i="0" u="none" strike="noStrike" baseline="0">
            <a:solidFill>
              <a:srgbClr val="000000"/>
            </a:solidFill>
            <a:latin typeface="Arial"/>
            <a:cs typeface="Arial"/>
          </a:endParaRPr>
        </a:p>
        <a:p>
          <a:pPr algn="l" rtl="0">
            <a:defRPr sz="1000"/>
          </a:pPr>
          <a:r>
            <a:rPr lang="en-US" sz="1000" b="0" i="1" u="none" strike="noStrike" baseline="0">
              <a:solidFill>
                <a:srgbClr val="FF0000"/>
              </a:solidFill>
              <a:latin typeface="Arial"/>
              <a:cs typeface="Arial"/>
            </a:rPr>
            <a:t>Note: several appropriations may be missing data for the early years.  Any time series using a base year value that is missing cannot be calculated.</a:t>
          </a:r>
        </a:p>
        <a:p>
          <a:pPr algn="l" rtl="0">
            <a:defRPr sz="1000"/>
          </a:pPr>
          <a:endParaRPr lang="en-US" sz="1000" b="0" i="1" u="none" strike="noStrike" baseline="0">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57150</xdr:colOff>
          <xdr:row>3</xdr:row>
          <xdr:rowOff>47625</xdr:rowOff>
        </xdr:from>
        <xdr:to>
          <xdr:col>10</xdr:col>
          <xdr:colOff>333375</xdr:colOff>
          <xdr:row>3</xdr:row>
          <xdr:rowOff>276225</xdr:rowOff>
        </xdr:to>
        <xdr:sp macro="" textlink="">
          <xdr:nvSpPr>
            <xdr:cNvPr id="33799" name="Drop Down 7" hidden="1">
              <a:extLst>
                <a:ext uri="{63B3BB69-23CF-44E3-9099-C40C66FF867C}">
                  <a14:compatExt spid="_x0000_s337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295275</xdr:colOff>
      <xdr:row>0</xdr:row>
      <xdr:rowOff>57149</xdr:rowOff>
    </xdr:from>
    <xdr:to>
      <xdr:col>14</xdr:col>
      <xdr:colOff>47625</xdr:colOff>
      <xdr:row>9</xdr:row>
      <xdr:rowOff>685800</xdr:rowOff>
    </xdr:to>
    <xdr:sp macro="" textlink="">
      <xdr:nvSpPr>
        <xdr:cNvPr id="16386" name="Text Box 2">
          <a:extLst>
            <a:ext uri="{FF2B5EF4-FFF2-40B4-BE49-F238E27FC236}">
              <a16:creationId xmlns:a16="http://schemas.microsoft.com/office/drawing/2014/main" xmlns="" id="{00000000-0008-0000-0600-000002400000}"/>
            </a:ext>
          </a:extLst>
        </xdr:cNvPr>
        <xdr:cNvSpPr txBox="1">
          <a:spLocks noChangeArrowheads="1"/>
        </xdr:cNvSpPr>
      </xdr:nvSpPr>
      <xdr:spPr bwMode="auto">
        <a:xfrm>
          <a:off x="2924175" y="57149"/>
          <a:ext cx="6191250" cy="2628901"/>
        </a:xfrm>
        <a:prstGeom prst="rect">
          <a:avLst/>
        </a:prstGeom>
        <a:solidFill>
          <a:srgbClr val="DDDDDD"/>
        </a:solidFill>
        <a:ln w="12700">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converts Then Year dollars into constant Base-Year dollars for the SAR Program Funding Summary or other documents that display constant fiscal-year dollars.  </a:t>
          </a:r>
          <a:r>
            <a:rPr lang="en-US" sz="1000" b="1" i="0" u="none" strike="noStrike" baseline="0">
              <a:solidFill>
                <a:srgbClr val="000000"/>
              </a:solidFill>
              <a:latin typeface="Arial"/>
              <a:cs typeface="Arial"/>
            </a:rPr>
            <a:t>Composite</a:t>
          </a:r>
          <a:r>
            <a:rPr lang="en-US" sz="1000" b="0" i="0" u="none" strike="noStrike" baseline="0">
              <a:solidFill>
                <a:srgbClr val="000000"/>
              </a:solidFill>
              <a:latin typeface="Arial"/>
              <a:cs typeface="Arial"/>
            </a:rPr>
            <a:t> indices should not be used in SARs</a:t>
          </a:r>
          <a:r>
            <a:rPr lang="en-US" sz="1000" b="0" i="0" u="none" strike="noStrike" baseline="0">
              <a:solidFill>
                <a:sysClr val="windowText" lastClr="000000"/>
              </a:solidFill>
              <a:latin typeface="Arial"/>
              <a:cs typeface="Arial"/>
            </a:rPr>
            <a:t> </a:t>
          </a:r>
          <a:r>
            <a:rPr lang="en-US" sz="1000" b="0" i="1" baseline="0">
              <a:latin typeface="+mn-lt"/>
              <a:ea typeface="+mn-ea"/>
              <a:cs typeface="+mn-cs"/>
            </a:rPr>
            <a:t>(</a:t>
          </a:r>
          <a:r>
            <a:rPr lang="en-US" sz="1000" b="1" i="1" baseline="0">
              <a:solidFill>
                <a:srgbClr val="FF0000"/>
              </a:solidFill>
              <a:latin typeface="Arial" pitchFamily="34" charset="0"/>
              <a:ea typeface="+mn-ea"/>
              <a:cs typeface="Arial" pitchFamily="34" charset="0"/>
            </a:rPr>
            <a:t>except where appropriate for O&amp;S costs</a:t>
          </a:r>
          <a:r>
            <a:rPr lang="en-US" sz="1000" b="0" i="0" baseline="0">
              <a:latin typeface="+mn-lt"/>
              <a:ea typeface="+mn-ea"/>
              <a:cs typeface="+mn-cs"/>
            </a:rPr>
            <a:t>) </a:t>
          </a:r>
          <a:r>
            <a:rPr lang="en-US" sz="1000" b="0" i="0" u="none" strike="noStrike" baseline="0">
              <a:solidFill>
                <a:sysClr val="windowText" lastClr="000000"/>
              </a:solidFill>
              <a:latin typeface="Arial"/>
              <a:cs typeface="Arial"/>
            </a:rPr>
            <a:t>a</a:t>
          </a:r>
          <a:r>
            <a:rPr lang="en-US" sz="1000" b="0" i="0" u="none" strike="noStrike" baseline="0">
              <a:solidFill>
                <a:srgbClr val="000000"/>
              </a:solidFill>
              <a:latin typeface="Arial"/>
              <a:cs typeface="Arial"/>
            </a:rPr>
            <a:t>nd analysts should use only the </a:t>
          </a:r>
          <a:r>
            <a:rPr lang="en-US" sz="1000" b="1" i="0" u="none" strike="noStrike" baseline="0">
              <a:solidFill>
                <a:srgbClr val="000000"/>
              </a:solidFill>
              <a:latin typeface="Arial"/>
              <a:cs typeface="Arial"/>
            </a:rPr>
            <a:t>Puchases</a:t>
          </a:r>
          <a:r>
            <a:rPr lang="en-US" sz="1000" b="0" i="0" u="none" strike="noStrike" baseline="0">
              <a:solidFill>
                <a:srgbClr val="000000"/>
              </a:solidFill>
              <a:latin typeface="Arial"/>
              <a:cs typeface="Arial"/>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  </a:t>
          </a:r>
          <a:endParaRPr lang="en-US" sz="1000" b="0" i="0" u="none" strike="noStrike" baseline="0">
            <a:solidFill>
              <a:srgbClr val="FF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(1) select a program's appropriation and (2) enter the program's base year.  Use the SAR Calculator button to return to this sheet.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this sheet, enter TY costs in the table's blue, Input, column for appropriate years.  Leave zeros or blanks in unused years.  The table calculates base-year cost by dividing then-year cost by the weighted index.  After completing inputs save this file, copy and paste desired cells, using Paste Special, Values for numbers only and just Paste to maintain format and equations (remember to not update links).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Repeat by selecting other appropriations on the Query sheet as needed.  To see the inflation rates related to the weighted index, click Generate Table on the Query sheet.  See SAR sheet for further explanation and notes on appropriation use.  </a:t>
          </a:r>
        </a:p>
        <a:p>
          <a:pPr algn="l" rtl="0">
            <a:defRPr sz="1000"/>
          </a:pPr>
          <a:r>
            <a:rPr lang="en-US" sz="1000" b="0" i="0" u="none" strike="noStrike" baseline="0">
              <a:solidFill>
                <a:srgbClr val="000000"/>
              </a:solidFill>
              <a:latin typeface="Arial"/>
              <a:cs typeface="Arial"/>
            </a:rPr>
            <a:t>                                                                                                          </a:t>
          </a:r>
          <a:endParaRPr lang="en-US" sz="1000" b="1" i="0" u="none" strike="noStrike" baseline="0">
            <a:solidFill>
              <a:srgbClr val="000000"/>
            </a:solidFill>
            <a:latin typeface="Arial"/>
            <a:cs typeface="Arial"/>
          </a:endParaRPr>
        </a:p>
      </xdr:txBody>
    </xdr:sp>
    <xdr:clientData/>
  </xdr:twoCellAnchor>
  <xdr:twoCellAnchor>
    <xdr:from>
      <xdr:col>10</xdr:col>
      <xdr:colOff>638174</xdr:colOff>
      <xdr:row>9</xdr:row>
      <xdr:rowOff>438150</xdr:rowOff>
    </xdr:from>
    <xdr:to>
      <xdr:col>12</xdr:col>
      <xdr:colOff>571499</xdr:colOff>
      <xdr:row>9</xdr:row>
      <xdr:rowOff>657225</xdr:rowOff>
    </xdr:to>
    <xdr:sp macro="" textlink="">
      <xdr:nvSpPr>
        <xdr:cNvPr id="7" name="TextBox 6">
          <a:hlinkClick xmlns:r="http://schemas.openxmlformats.org/officeDocument/2006/relationships" r:id="rId1"/>
          <a:extLst>
            <a:ext uri="{FF2B5EF4-FFF2-40B4-BE49-F238E27FC236}">
              <a16:creationId xmlns:a16="http://schemas.microsoft.com/office/drawing/2014/main" xmlns="" id="{00000000-0008-0000-0600-000007000000}"/>
            </a:ext>
          </a:extLst>
        </xdr:cNvPr>
        <xdr:cNvSpPr txBox="1"/>
      </xdr:nvSpPr>
      <xdr:spPr>
        <a:xfrm>
          <a:off x="7181849" y="2505075"/>
          <a:ext cx="1362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0000FF"/>
              </a:solidFill>
              <a:latin typeface="Arial" pitchFamily="34" charset="0"/>
              <a:cs typeface="Arial" pitchFamily="34" charset="0"/>
            </a:rPr>
            <a:t>Go to SAR Sheet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57149</xdr:colOff>
      <xdr:row>1</xdr:row>
      <xdr:rowOff>57149</xdr:rowOff>
    </xdr:from>
    <xdr:to>
      <xdr:col>14</xdr:col>
      <xdr:colOff>409575</xdr:colOff>
      <xdr:row>9</xdr:row>
      <xdr:rowOff>76200</xdr:rowOff>
    </xdr:to>
    <xdr:sp macro="" textlink="">
      <xdr:nvSpPr>
        <xdr:cNvPr id="9217" name="Text Box 1">
          <a:extLst>
            <a:ext uri="{FF2B5EF4-FFF2-40B4-BE49-F238E27FC236}">
              <a16:creationId xmlns:a16="http://schemas.microsoft.com/office/drawing/2014/main" xmlns="" id="{00000000-0008-0000-0700-000001240000}"/>
            </a:ext>
          </a:extLst>
        </xdr:cNvPr>
        <xdr:cNvSpPr txBox="1">
          <a:spLocks noChangeArrowheads="1"/>
        </xdr:cNvSpPr>
      </xdr:nvSpPr>
      <xdr:spPr bwMode="auto">
        <a:xfrm>
          <a:off x="57149" y="409574"/>
          <a:ext cx="7877176" cy="2876551"/>
        </a:xfrm>
        <a:prstGeom prst="rect">
          <a:avLst/>
        </a:prstGeom>
        <a:solidFill>
          <a:schemeClr val="bg1">
            <a:lumMod val="85000"/>
          </a:schemeClr>
        </a:solidFill>
        <a:ln w="12700">
          <a:solidFill>
            <a:sysClr val="windowText" lastClr="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lists the current </a:t>
          </a:r>
          <a:r>
            <a:rPr lang="en-US" sz="1000" b="0" i="0" u="none" strike="noStrike" baseline="0">
              <a:solidFill>
                <a:sysClr val="windowText" lastClr="000000"/>
              </a:solidFill>
              <a:latin typeface="Arial"/>
              <a:cs typeface="Arial"/>
            </a:rPr>
            <a:t>Army </a:t>
          </a:r>
          <a:r>
            <a:rPr lang="en-US" sz="1000" b="0" i="0" u="none" strike="noStrike" baseline="0">
              <a:solidFill>
                <a:srgbClr val="000000"/>
              </a:solidFill>
              <a:latin typeface="Arial"/>
              <a:cs typeface="Arial"/>
            </a:rPr>
            <a:t>and </a:t>
          </a:r>
          <a:r>
            <a:rPr lang="en-US" sz="1000" b="0" i="0" u="none" strike="noStrike" baseline="0">
              <a:solidFill>
                <a:sysClr val="windowText" lastClr="000000"/>
              </a:solidFill>
              <a:latin typeface="Arial"/>
              <a:cs typeface="Arial"/>
            </a:rPr>
            <a:t>Navy</a:t>
          </a:r>
          <a:r>
            <a:rPr lang="en-US" sz="1000" b="0" i="0" u="none" strike="noStrike" baseline="0">
              <a:solidFill>
                <a:srgbClr val="000000"/>
              </a:solidFill>
              <a:latin typeface="Arial"/>
              <a:cs typeface="Arial"/>
            </a:rPr>
            <a:t> Selected Acquisition Report (SAR) programs and their cost reporting parameters.  It was updated by DASA(C&amp;E) staff in Jan. 2017 and ASN(RDA) staff in Jan. 2016.  A cell containing "1" indicates an applicable appropriation.  To use an automated form to convert from then-year to base-year dollars, go to the SAR Calculator.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convert from current/then-year to base-year dollars using standard inflation tables, follow instructions below.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at Step 1, select appropriation(s) relevant to the SAR program, as listed below.  </a:t>
          </a:r>
          <a:r>
            <a:rPr lang="en-US" sz="1000" b="1" i="0" baseline="0">
              <a:latin typeface="Arial" pitchFamily="34" charset="0"/>
              <a:ea typeface="+mn-ea"/>
              <a:cs typeface="Arial" pitchFamily="34" charset="0"/>
            </a:rPr>
            <a:t>Composite</a:t>
          </a:r>
          <a:r>
            <a:rPr lang="en-US" sz="1000" b="0" i="0" baseline="0">
              <a:latin typeface="Arial" pitchFamily="34" charset="0"/>
              <a:ea typeface="+mn-ea"/>
              <a:cs typeface="Arial" pitchFamily="34" charset="0"/>
            </a:rPr>
            <a:t> indices should not be used in SARs </a:t>
          </a:r>
          <a:r>
            <a:rPr lang="en-US" sz="1000" b="0" i="0" baseline="0">
              <a:latin typeface="+mn-lt"/>
              <a:ea typeface="+mn-ea"/>
              <a:cs typeface="+mn-cs"/>
            </a:rPr>
            <a:t>(</a:t>
          </a:r>
          <a:r>
            <a:rPr lang="en-US" sz="1000" b="1" i="0" baseline="0">
              <a:solidFill>
                <a:srgbClr val="FF0000"/>
              </a:solidFill>
              <a:latin typeface="Arial" pitchFamily="34" charset="0"/>
              <a:ea typeface="+mn-ea"/>
              <a:cs typeface="Arial" pitchFamily="34" charset="0"/>
            </a:rPr>
            <a:t>except where appropriate for O&amp;S cost</a:t>
          </a:r>
          <a:r>
            <a:rPr lang="en-US" sz="1000" b="0" i="0" baseline="0">
              <a:latin typeface="+mn-lt"/>
              <a:ea typeface="+mn-ea"/>
              <a:cs typeface="+mn-cs"/>
            </a:rPr>
            <a:t>) </a:t>
          </a:r>
          <a:r>
            <a:rPr lang="en-US" sz="1000" b="0" i="0" baseline="0">
              <a:latin typeface="Arial" pitchFamily="34" charset="0"/>
              <a:ea typeface="+mn-ea"/>
              <a:cs typeface="Arial" pitchFamily="34" charset="0"/>
            </a:rPr>
            <a:t>and analysts should use only the </a:t>
          </a:r>
          <a:r>
            <a:rPr lang="en-US" sz="1000" b="1" i="0" baseline="0">
              <a:latin typeface="Arial" pitchFamily="34" charset="0"/>
              <a:ea typeface="+mn-ea"/>
              <a:cs typeface="Arial" pitchFamily="34" charset="0"/>
            </a:rPr>
            <a:t>Puchases</a:t>
          </a:r>
          <a:r>
            <a:rPr lang="en-US" sz="1000" b="0" i="0" baseline="0">
              <a:latin typeface="Arial" pitchFamily="34" charset="0"/>
              <a:ea typeface="+mn-ea"/>
              <a:cs typeface="Arial" pitchFamily="34" charset="0"/>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At Step 2, enter the base year for the program (blue font).  Click the "Generate Table" button and copy the table to your file.  Repeat as necessary for all the program's appropriations.  The Quick Look function is not needed.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Use the Weighted Index column on the Inflation Table to convert between then-year and base-year.  Divide the current/then-year cost by the values in the Weighted Index column to calculate the base year cost.  See Instructions sheet for further detail.</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11</xdr:col>
      <xdr:colOff>209550</xdr:colOff>
      <xdr:row>5</xdr:row>
      <xdr:rowOff>66675</xdr:rowOff>
    </xdr:from>
    <xdr:to>
      <xdr:col>15</xdr:col>
      <xdr:colOff>209550</xdr:colOff>
      <xdr:row>20</xdr:row>
      <xdr:rowOff>66675</xdr:rowOff>
    </xdr:to>
    <xdr:pic>
      <xdr:nvPicPr>
        <xdr:cNvPr id="3" name="Picture 2">
          <a:extLst>
            <a:ext uri="{FF2B5EF4-FFF2-40B4-BE49-F238E27FC236}">
              <a16:creationId xmlns:a16="http://schemas.microsoft.com/office/drawing/2014/main" xmlns="" id="{00000000-0008-0000-08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96075" y="981075"/>
          <a:ext cx="2438400" cy="2971800"/>
        </a:xfrm>
        <a:prstGeom prst="rect">
          <a:avLst/>
        </a:prstGeom>
        <a:noFill/>
        <a:ln w="1">
          <a:noFill/>
          <a:miter lim="800000"/>
          <a:headEnd/>
          <a:tailEnd/>
        </a:ln>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95250</xdr:colOff>
      <xdr:row>99</xdr:row>
      <xdr:rowOff>47625</xdr:rowOff>
    </xdr:from>
    <xdr:to>
      <xdr:col>10</xdr:col>
      <xdr:colOff>247650</xdr:colOff>
      <xdr:row>117</xdr:row>
      <xdr:rowOff>104775</xdr:rowOff>
    </xdr:to>
    <xdr:sp macro="" textlink="">
      <xdr:nvSpPr>
        <xdr:cNvPr id="6188" name="Text Box 44">
          <a:extLst>
            <a:ext uri="{FF2B5EF4-FFF2-40B4-BE49-F238E27FC236}">
              <a16:creationId xmlns:a16="http://schemas.microsoft.com/office/drawing/2014/main" xmlns="" id="{00000000-0008-0000-0900-00002C180000}"/>
            </a:ext>
          </a:extLst>
        </xdr:cNvPr>
        <xdr:cNvSpPr txBox="1">
          <a:spLocks noChangeArrowheads="1"/>
        </xdr:cNvSpPr>
      </xdr:nvSpPr>
      <xdr:spPr bwMode="auto">
        <a:xfrm>
          <a:off x="10239375" y="16411575"/>
          <a:ext cx="2114550" cy="31527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June 2009</a:t>
          </a:r>
        </a:p>
        <a:p>
          <a:pPr algn="l" rtl="0">
            <a:defRPr sz="1000"/>
          </a:pPr>
          <a:r>
            <a:rPr lang="en-US" sz="1000" b="0" i="0" u="none" strike="noStrike" baseline="0">
              <a:solidFill>
                <a:srgbClr val="000000"/>
              </a:solidFill>
              <a:latin typeface="Arial"/>
              <a:cs typeface="Arial"/>
            </a:rPr>
            <a:t>The Query page service selection buttons invoke macros that do an advanced filter that place the desired appropriations and cost elements in this area.  Look-up functions use this area to create the inflation table.   </a:t>
          </a:r>
        </a:p>
      </xdr:txBody>
    </xdr:sp>
    <xdr:clientData/>
  </xdr:twoCellAnchor>
  <xdr:twoCellAnchor>
    <xdr:from>
      <xdr:col>9</xdr:col>
      <xdr:colOff>291465</xdr:colOff>
      <xdr:row>9</xdr:row>
      <xdr:rowOff>129540</xdr:rowOff>
    </xdr:from>
    <xdr:to>
      <xdr:col>11</xdr:col>
      <xdr:colOff>510540</xdr:colOff>
      <xdr:row>18</xdr:row>
      <xdr:rowOff>62865</xdr:rowOff>
    </xdr:to>
    <xdr:sp macro="" textlink="">
      <xdr:nvSpPr>
        <xdr:cNvPr id="6189" name="Text Box 45">
          <a:extLst>
            <a:ext uri="{FF2B5EF4-FFF2-40B4-BE49-F238E27FC236}">
              <a16:creationId xmlns:a16="http://schemas.microsoft.com/office/drawing/2014/main" xmlns="" id="{00000000-0008-0000-0900-00002D180000}"/>
            </a:ext>
          </a:extLst>
        </xdr:cNvPr>
        <xdr:cNvSpPr txBox="1">
          <a:spLocks noChangeArrowheads="1"/>
        </xdr:cNvSpPr>
      </xdr:nvSpPr>
      <xdr:spPr bwMode="auto">
        <a:xfrm>
          <a:off x="5610225" y="1775460"/>
          <a:ext cx="1864995" cy="137350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Jan 2016</a:t>
          </a:r>
        </a:p>
        <a:p>
          <a:pPr algn="l" rtl="0">
            <a:defRPr sz="1000"/>
          </a:pPr>
          <a:r>
            <a:rPr lang="en-US" sz="1000" b="0" i="0" u="none" strike="noStrike" baseline="0">
              <a:solidFill>
                <a:srgbClr val="000000"/>
              </a:solidFill>
              <a:latin typeface="Arial"/>
              <a:cs typeface="Arial"/>
            </a:rPr>
            <a:t>This is the full set of appropriations and cost elements that populate  the user defined service pick list. This includes the Army elements  updated Feb 2013</a:t>
          </a:r>
        </a:p>
      </xdr:txBody>
    </xdr:sp>
    <xdr:clientData/>
  </xdr:twoCellAnchor>
  <xdr:oneCellAnchor>
    <xdr:from>
      <xdr:col>6</xdr:col>
      <xdr:colOff>4248150</xdr:colOff>
      <xdr:row>1</xdr:row>
      <xdr:rowOff>142875</xdr:rowOff>
    </xdr:from>
    <xdr:ext cx="1172180" cy="254557"/>
    <xdr:sp macro="" textlink="">
      <xdr:nvSpPr>
        <xdr:cNvPr id="5" name="TextBox 4">
          <a:hlinkClick xmlns:r="http://schemas.openxmlformats.org/officeDocument/2006/relationships" r:id="rId1"/>
          <a:extLst>
            <a:ext uri="{FF2B5EF4-FFF2-40B4-BE49-F238E27FC236}">
              <a16:creationId xmlns:a16="http://schemas.microsoft.com/office/drawing/2014/main" xmlns="" id="{00000000-0008-0000-0900-000005000000}"/>
            </a:ext>
          </a:extLst>
        </xdr:cNvPr>
        <xdr:cNvSpPr txBox="1"/>
      </xdr:nvSpPr>
      <xdr:spPr>
        <a:xfrm>
          <a:off x="4248150" y="304800"/>
          <a:ext cx="117218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solidFill>
                <a:srgbClr val="0000FF"/>
              </a:solidFill>
              <a:latin typeface="Arial" pitchFamily="34" charset="0"/>
              <a:cs typeface="Arial" pitchFamily="34" charset="0"/>
            </a:rPr>
            <a:t>Return to Main</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xdr:col>
      <xdr:colOff>161925</xdr:colOff>
      <xdr:row>20</xdr:row>
      <xdr:rowOff>123824</xdr:rowOff>
    </xdr:from>
    <xdr:to>
      <xdr:col>1</xdr:col>
      <xdr:colOff>6029325</xdr:colOff>
      <xdr:row>30</xdr:row>
      <xdr:rowOff>553720</xdr:rowOff>
    </xdr:to>
    <xdr:sp macro="" textlink="">
      <xdr:nvSpPr>
        <xdr:cNvPr id="13313" name="Text Box 1">
          <a:extLst>
            <a:ext uri="{FF2B5EF4-FFF2-40B4-BE49-F238E27FC236}">
              <a16:creationId xmlns:a16="http://schemas.microsoft.com/office/drawing/2014/main" xmlns="" id="{00000000-0008-0000-0B00-000001340000}"/>
            </a:ext>
          </a:extLst>
        </xdr:cNvPr>
        <xdr:cNvSpPr txBox="1">
          <a:spLocks noChangeArrowheads="1"/>
        </xdr:cNvSpPr>
      </xdr:nvSpPr>
      <xdr:spPr bwMode="auto">
        <a:xfrm>
          <a:off x="161925" y="9994264"/>
          <a:ext cx="5867400" cy="6983096"/>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endParaRPr lang="en-US" sz="10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Creating a Table for a Specific Appropriation/Cost Category and Base Year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first two steps to prepare an inflation index table.   Entries should be made only in the blue, unprotected cells.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 </a:t>
          </a:r>
          <a:r>
            <a:rPr lang="en-US" sz="1000" b="0" i="0" u="none" strike="noStrike" baseline="0">
              <a:solidFill>
                <a:srgbClr val="000000"/>
              </a:solidFill>
              <a:latin typeface="Arial"/>
              <a:cs typeface="Arial"/>
            </a:rPr>
            <a:t> Select applicable service.</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2</a:t>
          </a:r>
          <a:r>
            <a:rPr lang="en-US" sz="1000" b="0" i="0" u="none" strike="noStrike" baseline="0">
              <a:solidFill>
                <a:srgbClr val="000000"/>
              </a:solidFill>
              <a:latin typeface="Arial"/>
              <a:cs typeface="Arial"/>
            </a:rPr>
            <a:t>.  Click on the drop-down menu and select a cost type or appropriation/cost category.  </a:t>
          </a:r>
        </a:p>
        <a:p>
          <a:pPr algn="l" rtl="0">
            <a:defRPr sz="1000"/>
          </a:pPr>
          <a:r>
            <a:rPr lang="en-US" sz="1000" b="0" i="0" u="none" strike="noStrike" baseline="0">
              <a:solidFill>
                <a:srgbClr val="000000"/>
              </a:solidFill>
              <a:latin typeface="Arial"/>
              <a:cs typeface="Arial"/>
            </a:rPr>
            <a:t>If the title is followed by "Purchases", that inflation index applies only to the procurement/purchases for that appropriation and excludes pay and fuel.  For Pay and Fuel the indices are used to produce a Constant Price adjustment for the specific commodity and not a general inflation adjustment. If the appropriation is followed by “COMPOSITE” the index is based on a weighted average for all the cost elements within the appropriation.  The COMPOSITE index is a mixed adjustment. It adjusts purchases for inflation and Pay/Fuel commodity specific price changes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3</a:t>
          </a:r>
          <a:r>
            <a:rPr lang="en-US" sz="1000" b="0" i="0" u="none" strike="noStrike" baseline="0">
              <a:solidFill>
                <a:srgbClr val="000000"/>
              </a:solidFill>
              <a:latin typeface="Arial"/>
              <a:cs typeface="Arial"/>
            </a:rPr>
            <a:t>.  Enter a base year for the index (blue font) and hit Enter.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see the table, click on the "Generate Table"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 Table sheet holds the latest data generated from the Query sheet in a form for copying to other applications for the analysts use.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table has six columns with the following rates and indices.  The first five columns are the same as shown in NCAD's pre-2002 inflation tables and the first four are the same as in the published Army Inflation Indices. </a:t>
          </a:r>
        </a:p>
        <a:p>
          <a:pPr algn="l" rtl="0">
            <a:defRPr sz="1000"/>
          </a:pPr>
          <a:r>
            <a:rPr lang="en-US" sz="900" b="0" i="0" u="none" strike="noStrike" baseline="0">
              <a:solidFill>
                <a:srgbClr val="FF0000"/>
              </a:solidFill>
              <a:latin typeface="Arial"/>
              <a:cs typeface="Arial"/>
            </a:rPr>
            <a:t>Note: Army terms  "Compound" and "Composite"  are equivalent to "Raw" and "Weighted" respectively in this calculator.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Fiscal Year</a:t>
          </a:r>
        </a:p>
        <a:p>
          <a:pPr algn="l" rtl="0">
            <a:defRPr sz="1000"/>
          </a:pPr>
          <a:r>
            <a:rPr lang="en-US" sz="1000" b="0" i="0" u="none" strike="noStrike" baseline="0">
              <a:solidFill>
                <a:srgbClr val="000000"/>
              </a:solidFill>
              <a:latin typeface="Arial"/>
              <a:cs typeface="Arial"/>
            </a:rPr>
            <a:t>2. Inflation Rate %  – The FY to FY inflation rate provided by OSD.</a:t>
          </a:r>
        </a:p>
        <a:p>
          <a:pPr algn="l" rtl="0">
            <a:defRPr sz="1000"/>
          </a:pPr>
          <a:r>
            <a:rPr lang="en-US" sz="1000" b="0" i="0" u="none" strike="noStrike" baseline="0">
              <a:solidFill>
                <a:srgbClr val="000000"/>
              </a:solidFill>
              <a:latin typeface="Arial"/>
              <a:cs typeface="Arial"/>
            </a:rPr>
            <a:t>3. Raw Index – An index for the FY inflation rates based on the year selected by the user.</a:t>
          </a:r>
        </a:p>
        <a:p>
          <a:pPr algn="l" rtl="0">
            <a:defRPr sz="1000"/>
          </a:pPr>
          <a:r>
            <a:rPr lang="en-US" sz="1000" b="0" i="0" u="none" strike="noStrike" baseline="0">
              <a:solidFill>
                <a:srgbClr val="000000"/>
              </a:solidFill>
              <a:latin typeface="Arial"/>
              <a:cs typeface="Arial"/>
            </a:rPr>
            <a:t>4. Weighted Index – The Raw Index multiplied by the outlay factors applicable to certain appropriations.  This accounts for inflation that occurs during the expenditure years that is included in a budget dollar.  This index is used to convert from fiscal to budget year dollars.  For costs like fuel that are expended entirely in the appropriation year there are no outlays therefore Weighted Index = Raw Index.</a:t>
          </a:r>
        </a:p>
        <a:p>
          <a:pPr algn="l" rtl="0">
            <a:defRPr sz="1000"/>
          </a:pPr>
          <a:r>
            <a:rPr lang="en-US" sz="1000" b="0" i="0" u="none" strike="noStrike" baseline="0">
              <a:solidFill>
                <a:srgbClr val="000000"/>
              </a:solidFill>
              <a:latin typeface="Arial"/>
              <a:cs typeface="Arial"/>
            </a:rPr>
            <a:t>5. Budget Year Index – The Weighted Index based in the year selected by the user.  This is used to convert from one budget year to another</a:t>
          </a:r>
          <a:r>
            <a:rPr lang="en-US" sz="1000" b="0" i="0" u="none" strike="noStrike" baseline="0">
              <a:solidFill>
                <a:srgbClr val="FF0000"/>
              </a:solidFill>
              <a:latin typeface="Arial"/>
              <a:cs typeface="Arial"/>
            </a:rPr>
            <a:t>.**</a:t>
          </a:r>
        </a:p>
        <a:p>
          <a:pPr algn="l" rtl="0">
            <a:defRPr sz="1000"/>
          </a:pPr>
          <a:r>
            <a:rPr lang="en-US" sz="1000" b="0" i="0" u="none" strike="noStrike" baseline="0">
              <a:solidFill>
                <a:srgbClr val="000000"/>
              </a:solidFill>
              <a:latin typeface="Arial"/>
              <a:cs typeface="Arial"/>
            </a:rPr>
            <a:t>6. Budget Year Inflation Rate –  The BY to BY inflation rate derived from the budget year index.</a:t>
          </a:r>
        </a:p>
        <a:p>
          <a:pPr algn="l" rtl="0">
            <a:defRPr sz="1000"/>
          </a:pPr>
          <a:r>
            <a:rPr lang="en-US" sz="1000" b="0" i="0" u="none" strike="noStrike" baseline="0">
              <a:solidFill>
                <a:srgbClr val="FF0000"/>
              </a:solidFill>
              <a:latin typeface="Arial"/>
              <a:cs typeface="Arial"/>
            </a:rPr>
            <a:t>**</a:t>
          </a:r>
          <a:r>
            <a:rPr lang="en-US" sz="1000" b="0" i="0" u="none" strike="noStrike" baseline="0">
              <a:solidFill>
                <a:srgbClr val="000000"/>
              </a:solidFill>
              <a:latin typeface="Arial"/>
              <a:cs typeface="Arial"/>
            </a:rPr>
            <a:t>Note the use of these indices to adjust from one Budget/Then-Year value to another will be incorrect if the original value wasn't calculated using the indices contained in this calculator.  If a custom (non-OSD) index was used (as is the case with many large Navy programs) to calculate a Then-Year value, the conversion of the Then-Year/Budget value to another Then-Year/Budget value using a JIC index will be incorrect.  You need to use the same index used to create the original Then-Year/Budget values.</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more on using inflation tables see "Using Inflation Tables" below</a:t>
          </a:r>
        </a:p>
      </xdr:txBody>
    </xdr:sp>
    <xdr:clientData/>
  </xdr:twoCellAnchor>
  <xdr:twoCellAnchor>
    <xdr:from>
      <xdr:col>1</xdr:col>
      <xdr:colOff>190500</xdr:colOff>
      <xdr:row>9</xdr:row>
      <xdr:rowOff>200025</xdr:rowOff>
    </xdr:from>
    <xdr:to>
      <xdr:col>1</xdr:col>
      <xdr:colOff>6019800</xdr:colOff>
      <xdr:row>18</xdr:row>
      <xdr:rowOff>523875</xdr:rowOff>
    </xdr:to>
    <xdr:sp macro="" textlink="">
      <xdr:nvSpPr>
        <xdr:cNvPr id="13314" name="Text Box 2">
          <a:extLst>
            <a:ext uri="{FF2B5EF4-FFF2-40B4-BE49-F238E27FC236}">
              <a16:creationId xmlns:a16="http://schemas.microsoft.com/office/drawing/2014/main" xmlns="" id="{00000000-0008-0000-0B00-000002340000}"/>
            </a:ext>
          </a:extLst>
        </xdr:cNvPr>
        <xdr:cNvSpPr txBox="1">
          <a:spLocks noChangeArrowheads="1"/>
        </xdr:cNvSpPr>
      </xdr:nvSpPr>
      <xdr:spPr bwMode="auto">
        <a:xfrm>
          <a:off x="257175" y="2276475"/>
          <a:ext cx="5829300" cy="66675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Background                                                                                    </a:t>
          </a:r>
          <a:r>
            <a:rPr lang="en-US" sz="1200" b="1" i="0" u="none" strike="noStrike" baseline="0">
              <a:solidFill>
                <a:srgbClr val="FF0000"/>
              </a:solidFill>
              <a:latin typeface="Arial"/>
              <a:cs typeface="Arial"/>
            </a:rPr>
            <a:t>   Update for 2015</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indices are developed from inflation/escalation rates and expenditure outlay (spend-out) rates published annually by OSD, and from composite weighting factors provided by the services.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Annual OSD Inflation Guidance provides inflation/escalation rates for several cost elements, four of which are used in this calculator.  The calculator generates tables for the individual cost elements, and also combines them for appropriations that contain multiple (composite) cost elements.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Purchases (all procurement and purchases use the same OSD purchases inflation rate)</a:t>
          </a:r>
        </a:p>
        <a:p>
          <a:pPr algn="l" rtl="0">
            <a:defRPr sz="1000"/>
          </a:pPr>
          <a:r>
            <a:rPr lang="en-US" sz="1000" b="0" i="0" u="none" strike="noStrike" baseline="0">
              <a:solidFill>
                <a:srgbClr val="000000"/>
              </a:solidFill>
              <a:latin typeface="Arial"/>
              <a:cs typeface="Arial"/>
            </a:rPr>
            <a:t>2. Fuel (escalation)</a:t>
          </a:r>
        </a:p>
        <a:p>
          <a:pPr algn="l" rtl="0">
            <a:defRPr sz="1000"/>
          </a:pPr>
          <a:r>
            <a:rPr lang="en-US" sz="1000" b="0" i="0" u="none" strike="noStrike" baseline="0">
              <a:solidFill>
                <a:srgbClr val="000000"/>
              </a:solidFill>
              <a:latin typeface="Arial"/>
              <a:cs typeface="Arial"/>
            </a:rPr>
            <a:t>3. Military Pay (escalation)</a:t>
          </a:r>
        </a:p>
        <a:p>
          <a:pPr algn="l" rtl="0">
            <a:defRPr sz="1000"/>
          </a:pPr>
          <a:r>
            <a:rPr lang="en-US" sz="1000" b="0" i="0" u="none" strike="noStrike" baseline="0">
              <a:solidFill>
                <a:srgbClr val="000000"/>
              </a:solidFill>
              <a:latin typeface="Arial"/>
              <a:cs typeface="Arial"/>
            </a:rPr>
            <a:t>4. Civilian Pay (escalation)</a:t>
          </a:r>
        </a:p>
        <a:p>
          <a:pPr algn="l" rtl="0">
            <a:defRPr sz="1000"/>
          </a:pPr>
          <a:r>
            <a:rPr lang="en-US" sz="900" b="0" i="1" u="none" strike="noStrike" baseline="0">
              <a:solidFill>
                <a:srgbClr val="FF0000"/>
              </a:solidFill>
              <a:latin typeface="Arial"/>
              <a:cs typeface="Arial"/>
            </a:rPr>
            <a:t>Note: All appropriations here contain a "Purchases" element  and some appropriations contain two or more of the above OSD cost elements.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OSD also provides rates for other cost elements such as medical that are not used here.  OSD provides military and civilian pay rates on a calendar year basis.  These are adjusted to a fiscal year basis.  The SCN (BLSHIST) index uses historic inflation rates developed by NAVSEA and the Bureau of Labor Statistics for prior years, and OSD rates for current and future years.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OSD Outlay Profiles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calculator reflects OSD guidance containing expenditure outlay profiles for 23 Dept. of Navy appropriations, 20 Army appropriations, and 4 DoD-Wide used in this calculator.  The outlay profiles show the phasing of expenditures as a percent per year during the expenditure period.   The expenditure period can be as long as 10 years for some appropriations.   The outlay profiles are used to adjust the fiscal year inflation rates for purchases to account for the inflation that occurs during the period of expenditure.  After the outlays have been applied, the resulting rate or index is called "weighted."  The result of these outlay adjustments is an separate inflation rate for the purchases portion of each appropriation.  The outlay rates apply </a:t>
          </a:r>
          <a:r>
            <a:rPr lang="en-US" sz="1000" b="0" i="0" u="sng" strike="noStrike" baseline="0">
              <a:solidFill>
                <a:srgbClr val="000000"/>
              </a:solidFill>
              <a:latin typeface="Arial"/>
              <a:cs typeface="Arial"/>
            </a:rPr>
            <a:t>only</a:t>
          </a:r>
          <a:r>
            <a:rPr lang="en-US" sz="1000" b="0" i="0" u="none" strike="noStrike" baseline="0">
              <a:solidFill>
                <a:srgbClr val="000000"/>
              </a:solidFill>
              <a:latin typeface="Arial"/>
              <a:cs typeface="Arial"/>
            </a:rPr>
            <a:t> to purchases cost element; fuel and pay are assumed to expend entirely during the year of appropriation.</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Composite Appropriations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Composite appropriations include a combination of purchases, pay and fuel.  To determine the inflation/escalation for the whole appropriation, it is necessary to combine the rates (inflation and escalation) from two or more cost elements.  For the thirteen Navy appropriations, N801 calculates the percent each cost element contributes to the appropriation each year.  These percent's are then applied to the cost elements’ rates to calculate a composite rate for each appropriation.  </a:t>
          </a:r>
          <a:r>
            <a:rPr lang="en-US" sz="1000" b="1" i="0" u="none" strike="noStrike" baseline="0">
              <a:solidFill>
                <a:srgbClr val="FF0000"/>
              </a:solidFill>
              <a:latin typeface="Arial"/>
              <a:cs typeface="Arial"/>
            </a:rPr>
            <a:t>Note that individual activities may experience composite percentages significantly different from the Navy-wide average and give a misleading result for any particular instance</a:t>
          </a:r>
          <a:r>
            <a:rPr lang="en-US" sz="1000" b="0" i="0" u="none" strike="noStrike" baseline="0">
              <a:solidFill>
                <a:srgbClr val="FF0000"/>
              </a:solidFill>
              <a:latin typeface="Arial"/>
              <a:cs typeface="Arial"/>
            </a:rPr>
            <a:t>.  </a:t>
          </a:r>
          <a:r>
            <a:rPr lang="en-US" sz="1000" b="0" i="0" u="none" strike="noStrike" baseline="0">
              <a:solidFill>
                <a:srgbClr val="008000"/>
              </a:solidFill>
              <a:latin typeface="Arial"/>
              <a:cs typeface="Arial"/>
            </a:rPr>
            <a:t>The three Army manpower appropriations have a Composite/Consolidated cost index combining a pay and purchases component.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xdr:col>
      <xdr:colOff>155575</xdr:colOff>
      <xdr:row>36</xdr:row>
      <xdr:rowOff>344806</xdr:rowOff>
    </xdr:from>
    <xdr:to>
      <xdr:col>1</xdr:col>
      <xdr:colOff>6003925</xdr:colOff>
      <xdr:row>45</xdr:row>
      <xdr:rowOff>597408</xdr:rowOff>
    </xdr:to>
    <xdr:sp macro="" textlink="">
      <xdr:nvSpPr>
        <xdr:cNvPr id="13315" name="Text Box 3">
          <a:extLst>
            <a:ext uri="{FF2B5EF4-FFF2-40B4-BE49-F238E27FC236}">
              <a16:creationId xmlns:a16="http://schemas.microsoft.com/office/drawing/2014/main" xmlns="" id="{00000000-0008-0000-0B00-000003340000}"/>
            </a:ext>
          </a:extLst>
        </xdr:cNvPr>
        <xdr:cNvSpPr txBox="1">
          <a:spLocks noChangeArrowheads="1"/>
        </xdr:cNvSpPr>
      </xdr:nvSpPr>
      <xdr:spPr bwMode="auto">
        <a:xfrm>
          <a:off x="155575" y="20973670"/>
          <a:ext cx="5848350" cy="6561962"/>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Inflation Tables to Inflate and Deflate Costs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There are four conversions that can be performed using the inflation tables:  </a:t>
          </a:r>
        </a:p>
        <a:p>
          <a:pPr algn="l" rtl="0">
            <a:defRPr sz="1000"/>
          </a:pPr>
          <a:r>
            <a:rPr lang="en-US" sz="1000" b="0" i="0" u="none" strike="noStrike" baseline="0">
              <a:solidFill>
                <a:srgbClr val="000000"/>
              </a:solidFill>
              <a:latin typeface="Arial"/>
              <a:cs typeface="Arial"/>
            </a:rPr>
            <a:t>A) Convert Constant Year (CY) dollars from one year to another  </a:t>
          </a:r>
        </a:p>
        <a:p>
          <a:pPr algn="l" rtl="0">
            <a:defRPr sz="1000"/>
          </a:pPr>
          <a:r>
            <a:rPr lang="en-US" sz="1000" b="0" i="0" u="none" strike="noStrike" baseline="0">
              <a:solidFill>
                <a:srgbClr val="000000"/>
              </a:solidFill>
              <a:latin typeface="Arial"/>
              <a:cs typeface="Arial"/>
            </a:rPr>
            <a:t>B) Convert CY dollars to Then Year (TY) dollars* (TY $'s are also know as Budget Year $'s)</a:t>
          </a:r>
        </a:p>
        <a:p>
          <a:pPr algn="l" rtl="0">
            <a:defRPr sz="1000"/>
          </a:pPr>
          <a:r>
            <a:rPr lang="en-US" sz="1000" b="0" i="0" u="none" strike="noStrike" baseline="0">
              <a:solidFill>
                <a:srgbClr val="000000"/>
              </a:solidFill>
              <a:latin typeface="Arial"/>
              <a:cs typeface="Arial"/>
            </a:rPr>
            <a:t>C) Convert TY dollars to CY dollars</a:t>
          </a:r>
        </a:p>
        <a:p>
          <a:pPr algn="l" rtl="0">
            <a:defRPr sz="1000"/>
          </a:pPr>
          <a:r>
            <a:rPr lang="en-US" sz="1000" b="0" i="0" u="none" strike="noStrike" baseline="0">
              <a:solidFill>
                <a:srgbClr val="000000"/>
              </a:solidFill>
              <a:latin typeface="Arial"/>
              <a:cs typeface="Arial"/>
            </a:rPr>
            <a:t>D) Convert TY dollars TY dollars expressed in terms of another year.*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create a table for the desired cost/appropriation and base year  XX (see create a table) where YY is the year you want for your existing cost data.  XX is the year you convert to.</a:t>
          </a:r>
        </a:p>
        <a:p>
          <a:pPr algn="l" rtl="0">
            <a:defRPr sz="1000"/>
          </a:pPr>
          <a:r>
            <a:rPr lang="en-US" sz="1000" b="1" i="1" u="none" strike="noStrike" baseline="0">
              <a:solidFill>
                <a:srgbClr val="0000FF"/>
              </a:solidFill>
              <a:latin typeface="Arial"/>
              <a:cs typeface="Arial"/>
            </a:rPr>
            <a:t>(A more detailed discussion is found on the "Example_Notes" tab)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  Convert  CY XX dollars to CY YY dollars.</a:t>
          </a:r>
        </a:p>
        <a:p>
          <a:pPr algn="l" rtl="0">
            <a:defRPr sz="1000"/>
          </a:pPr>
          <a:r>
            <a:rPr lang="en-US" sz="1000" b="0" i="0" u="none" strike="noStrike" baseline="0">
              <a:solidFill>
                <a:srgbClr val="000000"/>
              </a:solidFill>
              <a:latin typeface="Arial"/>
              <a:cs typeface="Arial"/>
            </a:rPr>
            <a:t>    1.  Locate the YY inflation index in the column headed "Raw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1" u="none" strike="noStrike" baseline="0">
              <a:solidFill>
                <a:srgbClr val="000000"/>
              </a:solidFill>
              <a:latin typeface="Arial"/>
              <a:cs typeface="Arial"/>
            </a:rPr>
            <a:t>       If you wanted to convert CY YY dollars to CY XX dollars you would divide by the index</a:t>
          </a:r>
        </a:p>
        <a:p>
          <a:pPr algn="l" rtl="0">
            <a:defRPr sz="1000"/>
          </a:pPr>
          <a:r>
            <a:rPr lang="en-US" sz="1000" b="0" i="0" u="none" strike="noStrike" baseline="0">
              <a:solidFill>
                <a:srgbClr val="000000"/>
              </a:solidFill>
              <a:latin typeface="Arial"/>
              <a:cs typeface="Arial"/>
            </a:rPr>
            <a:t>B.  Convert Constant YY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headed "Weighted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0" u="none" strike="noStrike" baseline="0">
              <a:solidFill>
                <a:srgbClr val="000000"/>
              </a:solidFill>
              <a:latin typeface="Arial"/>
              <a:cs typeface="Arial"/>
            </a:rPr>
            <a:t>C.  Convert Then-Year (Budget year) XX dollars to Constant YY dollars.</a:t>
          </a:r>
        </a:p>
        <a:p>
          <a:pPr algn="l" rtl="0">
            <a:defRPr sz="1000"/>
          </a:pPr>
          <a:r>
            <a:rPr lang="en-US" sz="1000" b="0" i="0" u="none" strike="noStrike" baseline="0">
              <a:solidFill>
                <a:srgbClr val="000000"/>
              </a:solidFill>
              <a:latin typeface="Arial"/>
              <a:cs typeface="Arial"/>
            </a:rPr>
            <a:t>    1.  Locate the XX inflation index in the column headed "Weighted Index."</a:t>
          </a:r>
        </a:p>
        <a:p>
          <a:pPr algn="l" rtl="0">
            <a:defRPr sz="1000"/>
          </a:pPr>
          <a:r>
            <a:rPr lang="en-US" sz="1000" b="0" i="0" u="none" strike="noStrike" baseline="0">
              <a:solidFill>
                <a:srgbClr val="000000"/>
              </a:solidFill>
              <a:latin typeface="Arial"/>
              <a:cs typeface="Arial"/>
            </a:rPr>
            <a:t>    2.  Divide the dollar amount by this index.</a:t>
          </a:r>
        </a:p>
        <a:p>
          <a:pPr algn="l" rtl="0">
            <a:defRPr sz="1000"/>
          </a:pPr>
          <a:r>
            <a:rPr lang="en-US" sz="1000" b="0" i="0" u="none" strike="noStrike" baseline="0">
              <a:solidFill>
                <a:srgbClr val="000000"/>
              </a:solidFill>
              <a:latin typeface="Arial"/>
              <a:cs typeface="Arial"/>
            </a:rPr>
            <a:t>    3.  Locate the YY inflation index in the column headed "Raw Index."</a:t>
          </a:r>
        </a:p>
        <a:p>
          <a:pPr algn="l" rtl="0">
            <a:defRPr sz="1000"/>
          </a:pPr>
          <a:r>
            <a:rPr lang="en-US" sz="1000" b="0" i="0" u="none" strike="noStrike" baseline="0">
              <a:solidFill>
                <a:srgbClr val="000000"/>
              </a:solidFill>
              <a:latin typeface="Arial"/>
              <a:cs typeface="Arial"/>
            </a:rPr>
            <a:t>    4.  Multiply the result of step 2 above by this index.</a:t>
          </a:r>
        </a:p>
        <a:p>
          <a:pPr algn="l" rtl="0">
            <a:defRPr sz="1000"/>
          </a:pPr>
          <a:r>
            <a:rPr lang="en-US" sz="1000" b="0" i="0" u="none" strike="noStrike" baseline="0">
              <a:solidFill>
                <a:srgbClr val="000000"/>
              </a:solidFill>
              <a:latin typeface="Arial"/>
              <a:cs typeface="Arial"/>
            </a:rPr>
            <a:t>D.  Convert Then-Year (Budget year) XX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"Budget Year Index."</a:t>
          </a:r>
        </a:p>
        <a:p>
          <a:pPr algn="l" rtl="0">
            <a:defRPr sz="1000"/>
          </a:pPr>
          <a:r>
            <a:rPr lang="en-US" sz="1000" b="0" i="0" u="none" strike="noStrike" baseline="0">
              <a:solidFill>
                <a:srgbClr val="000000"/>
              </a:solidFill>
              <a:latin typeface="Arial"/>
              <a:cs typeface="Arial"/>
            </a:rPr>
            <a:t>    2. Multiply the dollar amount by this multiplier.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The conversion from Constant $ to Then-Year(Budget) $  or Then-Year (Budget) $ to Then-Year (Budget) $ with the indices in this calculator makes adjustments for inflation only and not for other market forces that impact the price/cost of a good or product. If an analyst is adjusting the Then-Year costs of a major Navy procurement to another Then-Year cost,  the result is probably incorrect due to the common use of non-OSD indices (IHS Global Insight or other) to produce a Then-Year estimate intended to be more realistic. Adjusting from Constant $ to Then-Year $ using these indices will only adjust for the general inflation rate and the analyst with need to determine (based on their organizations policy) if this is an adequate adjustment or not.equacy</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If you want to adjust MILPAY, CIVPAY, or Fuel for inflation only and not Price escalation you could</a:t>
          </a:r>
        </a:p>
        <a:p>
          <a:pPr algn="l" rtl="0">
            <a:defRPr sz="1000"/>
          </a:pPr>
          <a:r>
            <a:rPr lang="en-US" sz="1000" b="0" i="0" u="none" strike="noStrike" baseline="0">
              <a:solidFill>
                <a:srgbClr val="000000"/>
              </a:solidFill>
              <a:latin typeface="Arial"/>
              <a:cs typeface="Arial"/>
            </a:rPr>
            <a:t>use the OMN Purchases Raw Index as a proxy for the general inflation rate.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all cases the indices used must be fully documented and justified especially when non-standard Indices (those not found in the JIC) are used. </a:t>
          </a:r>
        </a:p>
      </xdr:txBody>
    </xdr:sp>
    <xdr:clientData/>
  </xdr:twoCellAnchor>
  <xdr:twoCellAnchor>
    <xdr:from>
      <xdr:col>1</xdr:col>
      <xdr:colOff>141605</xdr:colOff>
      <xdr:row>32</xdr:row>
      <xdr:rowOff>339725</xdr:rowOff>
    </xdr:from>
    <xdr:to>
      <xdr:col>1</xdr:col>
      <xdr:colOff>6018530</xdr:colOff>
      <xdr:row>36</xdr:row>
      <xdr:rowOff>153035</xdr:rowOff>
    </xdr:to>
    <xdr:sp macro="" textlink="">
      <xdr:nvSpPr>
        <xdr:cNvPr id="13316" name="Text Box 4">
          <a:extLst>
            <a:ext uri="{FF2B5EF4-FFF2-40B4-BE49-F238E27FC236}">
              <a16:creationId xmlns:a16="http://schemas.microsoft.com/office/drawing/2014/main" xmlns="" id="{00000000-0008-0000-0B00-000004340000}"/>
            </a:ext>
          </a:extLst>
        </xdr:cNvPr>
        <xdr:cNvSpPr txBox="1">
          <a:spLocks noChangeArrowheads="1"/>
        </xdr:cNvSpPr>
      </xdr:nvSpPr>
      <xdr:spPr bwMode="auto">
        <a:xfrm>
          <a:off x="141605" y="18165445"/>
          <a:ext cx="5876925" cy="261747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Quick Look (Optional)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addition to generating tables, users may specify one of four conversions, the output year and the input values.  The model will calculate the adjusted cost for the output year.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6 step procedure.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example, to convert a FY02 budget/then-year dollar to a FY07 Constant dollar for Navy aircraft procurement, the user  would: </a:t>
          </a:r>
        </a:p>
        <a:p>
          <a:pPr algn="l" rtl="0">
            <a:defRPr sz="1000"/>
          </a:pPr>
          <a:r>
            <a:rPr lang="en-US" sz="1000" b="0" i="0" u="none" strike="noStrike" baseline="0">
              <a:solidFill>
                <a:srgbClr val="000000"/>
              </a:solidFill>
              <a:latin typeface="Arial"/>
              <a:cs typeface="Arial"/>
            </a:rPr>
            <a:t>1.  Select Service</a:t>
          </a:r>
        </a:p>
        <a:p>
          <a:pPr algn="l" rtl="0">
            <a:defRPr sz="1000"/>
          </a:pPr>
          <a:r>
            <a:rPr lang="en-US" sz="1000" b="0" i="0" u="none" strike="noStrike" baseline="0">
              <a:solidFill>
                <a:srgbClr val="000000"/>
              </a:solidFill>
              <a:latin typeface="Arial"/>
              <a:cs typeface="Arial"/>
            </a:rPr>
            <a:t>2.  Select desired cost element or appropriation, APN - Aircraft Procurement Navy</a:t>
          </a:r>
        </a:p>
        <a:p>
          <a:pPr algn="l" rtl="0">
            <a:defRPr sz="1000"/>
          </a:pPr>
          <a:r>
            <a:rPr lang="en-US" sz="1000" b="0" i="0" u="none" strike="noStrike" baseline="0">
              <a:solidFill>
                <a:srgbClr val="000000"/>
              </a:solidFill>
              <a:latin typeface="Arial"/>
              <a:cs typeface="Arial"/>
            </a:rPr>
            <a:t>3.  Enter the base/input year, 2002</a:t>
          </a:r>
        </a:p>
        <a:p>
          <a:pPr algn="l" rtl="0">
            <a:defRPr sz="1000"/>
          </a:pPr>
          <a:r>
            <a:rPr lang="en-US" sz="1000" b="0" i="0" u="none" strike="noStrike" baseline="0">
              <a:solidFill>
                <a:srgbClr val="000000"/>
              </a:solidFill>
              <a:latin typeface="Arial"/>
              <a:cs typeface="Arial"/>
            </a:rPr>
            <a:t>4.  Select the desired conversion, Then-Year $ to Constant $</a:t>
          </a:r>
        </a:p>
        <a:p>
          <a:pPr algn="l" rtl="0">
            <a:defRPr sz="1000"/>
          </a:pPr>
          <a:r>
            <a:rPr lang="en-US" sz="1000" b="0" i="0" u="none" strike="noStrike" baseline="0">
              <a:solidFill>
                <a:srgbClr val="000000"/>
              </a:solidFill>
              <a:latin typeface="Arial"/>
              <a:cs typeface="Arial"/>
            </a:rPr>
            <a:t>5.  Enter the output/target year, 2007</a:t>
          </a:r>
        </a:p>
        <a:p>
          <a:pPr algn="l" rtl="0">
            <a:defRPr sz="1000"/>
          </a:pPr>
          <a:r>
            <a:rPr lang="en-US" sz="1000" b="0" i="0" u="none" strike="noStrike" baseline="0">
              <a:solidFill>
                <a:srgbClr val="000000"/>
              </a:solidFill>
              <a:latin typeface="Arial"/>
              <a:cs typeface="Arial"/>
            </a:rPr>
            <a:t>6.  Enter the input cost in the blue cells on the Quick Look table</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13</xdr:col>
      <xdr:colOff>428625</xdr:colOff>
      <xdr:row>4</xdr:row>
      <xdr:rowOff>0</xdr:rowOff>
    </xdr:from>
    <xdr:ext cx="184731" cy="264560"/>
    <xdr:sp macro="" textlink="">
      <xdr:nvSpPr>
        <xdr:cNvPr id="5" name="TextBox 4">
          <a:extLst>
            <a:ext uri="{FF2B5EF4-FFF2-40B4-BE49-F238E27FC236}">
              <a16:creationId xmlns:a16="http://schemas.microsoft.com/office/drawing/2014/main" xmlns="" id="{00000000-0008-0000-0C00-000005000000}"/>
            </a:ext>
          </a:extLst>
        </xdr:cNvPr>
        <xdr:cNvSpPr txBox="1"/>
      </xdr:nvSpPr>
      <xdr:spPr>
        <a:xfrm>
          <a:off x="8963025" y="4114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194310</xdr:colOff>
      <xdr:row>4</xdr:row>
      <xdr:rowOff>104775</xdr:rowOff>
    </xdr:from>
    <xdr:to>
      <xdr:col>11</xdr:col>
      <xdr:colOff>521970</xdr:colOff>
      <xdr:row>60</xdr:row>
      <xdr:rowOff>114300</xdr:rowOff>
    </xdr:to>
    <xdr:sp macro="" textlink="">
      <xdr:nvSpPr>
        <xdr:cNvPr id="2" name="TextBox 1">
          <a:extLst>
            <a:ext uri="{FF2B5EF4-FFF2-40B4-BE49-F238E27FC236}">
              <a16:creationId xmlns:a16="http://schemas.microsoft.com/office/drawing/2014/main" xmlns="" id="{00000000-0008-0000-0C00-000002000000}"/>
            </a:ext>
          </a:extLst>
        </xdr:cNvPr>
        <xdr:cNvSpPr txBox="1"/>
      </xdr:nvSpPr>
      <xdr:spPr>
        <a:xfrm>
          <a:off x="194310" y="1028700"/>
          <a:ext cx="7642860" cy="913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15000"/>
            </a:lnSpc>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Cost Community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A current cross service OSD led effort is underway to develop best practices for incorporating inflation and price escalation into cost analysis </a:t>
          </a:r>
          <a:r>
            <a:rPr lang="en-US" sz="1100" b="1" i="1">
              <a:effectLst/>
              <a:latin typeface="Arial" panose="020B0604020202020204" pitchFamily="34" charset="0"/>
              <a:ea typeface="Times New Roman" panose="02020603050405020304" pitchFamily="18" charset="0"/>
              <a:cs typeface="Times New Roman" panose="02020603050405020304" pitchFamily="18" charset="0"/>
            </a:rPr>
            <a:t>It hopes to encourage analysts to better document and understand the use of indices (inflation and escalation).</a:t>
          </a:r>
          <a:r>
            <a:rPr lang="en-US" sz="1100">
              <a:solidFill>
                <a:srgbClr val="000000"/>
              </a:solidFill>
              <a:effectLst/>
              <a:latin typeface="Arial" panose="020B0604020202020204" pitchFamily="34" charset="0"/>
              <a:ea typeface="Times New Roman" panose="02020603050405020304" pitchFamily="18" charset="0"/>
              <a:cs typeface="Times New Roman" panose="02020603050405020304" pitchFamily="18" charset="0"/>
            </a:rPr>
            <a:t> CAPE guidance on the Inflation/Escalation issue and the need for better documentation is expected in the near future and will provide additional assistance to the cost analyst.</a:t>
          </a:r>
          <a:r>
            <a:rPr lang="en-US" sz="1100">
              <a:effectLst/>
              <a:latin typeface="Arial" panose="020B0604020202020204" pitchFamily="34" charset="0"/>
              <a:ea typeface="Times New Roman" panose="02020603050405020304" pitchFamily="18" charset="0"/>
              <a:cs typeface="Times New Roman" panose="02020603050405020304" pitchFamily="18" charset="0"/>
            </a:rPr>
            <a:t>  Below, is a review of a few points, for JIC users, related to this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Inflation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114300" algn="l"/>
              <a:tab pos="283210" algn="l"/>
              <a:tab pos="34290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Inflation is an economy wide measure and reflects an increase in the general price level overtime.  The GDP Implicit Price Deflator, reflected in OSD Inflation Guidance, is an example of an inflation index. This inflation index is reflected in this calculator inflation indices.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Escalation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1000"/>
            </a:spcAft>
            <a:tabLst>
              <a:tab pos="114300" algn="l"/>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Escalation is an increase in the nominal price (a decline is de-escalation) of a good, service, or a particular set of goods and services.  It reflects not only inflation but also the real price change of the good or service.  The JIC's fuel, milpay and civpay indices are examples of escalation indices. Navy cost analysts (traditionally less so for Army analysts) often make use of other commodity specific escalation indices (from BLS, IHS Global Insight, or custom built) to provide a more realistic cost estimate.  Such non-standard indices are not found in this calculator with one exception the NAVSEA/BLS index which reflects SCN escalation for history and OSD inflation guidance for the out years.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Use of Joint Inflation Calculator (JIC)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100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The JIC contains numerous indices based on the rate of inflation given in the annual OSD Inflation Guidance.  It also contains a number of indices based on price escalation (Fuel and Pay - from OSD Guidance) and still others (Composite) that are a combination of inflation and escalation based rates.  Analysts are responsible for the proper selection and use of the indices and should confer with their management on what is appropriate.</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85750" algn="l"/>
            </a:tabLst>
          </a:pPr>
          <a:r>
            <a:rPr lang="en-US" sz="1100">
              <a:solidFill>
                <a:srgbClr val="000000"/>
              </a:solidFill>
              <a:effectLst/>
              <a:latin typeface="Arial" panose="020B0604020202020204" pitchFamily="34" charset="0"/>
              <a:ea typeface="Times New Roman" panose="02020603050405020304" pitchFamily="18" charset="0"/>
            </a:rPr>
            <a:t>To adjust for inflation only (Constant Dollar), the fuel, milpay, and civpay indices should not be used. It is suggested that you use the General Inflation Index now provided in the JIC (last selection in</a:t>
          </a:r>
          <a:r>
            <a:rPr lang="en-US" sz="1100" baseline="0">
              <a:solidFill>
                <a:srgbClr val="000000"/>
              </a:solidFill>
              <a:effectLst/>
              <a:latin typeface="Arial" panose="020B0604020202020204" pitchFamily="34" charset="0"/>
              <a:ea typeface="Times New Roman" panose="02020603050405020304" pitchFamily="18" charset="0"/>
            </a:rPr>
            <a:t> the Navy pick list)</a:t>
          </a:r>
          <a:r>
            <a:rPr lang="en-US" sz="1100">
              <a:solidFill>
                <a:srgbClr val="000000"/>
              </a:solidFill>
              <a:effectLst/>
              <a:latin typeface="Arial" panose="020B0604020202020204" pitchFamily="34" charset="0"/>
              <a:ea typeface="Times New Roman" panose="02020603050405020304" pitchFamily="18" charset="0"/>
            </a:rPr>
            <a:t>. </a:t>
          </a:r>
          <a:r>
            <a:rPr lang="en-US" sz="1100" i="1" u="sng">
              <a:solidFill>
                <a:srgbClr val="000000"/>
              </a:solidFill>
              <a:effectLst/>
              <a:latin typeface="Arial" panose="020B0604020202020204" pitchFamily="34" charset="0"/>
              <a:ea typeface="Times New Roman" panose="02020603050405020304" pitchFamily="18" charset="0"/>
            </a:rPr>
            <a:t>Prior to 1983 this index is based on OPM Table 10.1 GDP Price index (Gross Domestic Product and Deflators used in the Historical Tables) due to the variability between cost categories in guidance prior to 1983. From 1983 on is based on annual OSD Inflation Guidance.</a:t>
          </a:r>
          <a:r>
            <a:rPr lang="en-US" sz="1100" i="1">
              <a:solidFill>
                <a:srgbClr val="000000"/>
              </a:solidFill>
              <a:effectLst/>
              <a:latin typeface="Arial" panose="020B0604020202020204" pitchFamily="34" charset="0"/>
              <a:ea typeface="Times New Roman" panose="02020603050405020304" pitchFamily="18" charset="0"/>
            </a:rPr>
            <a:t> A</a:t>
          </a:r>
          <a:r>
            <a:rPr lang="en-US" sz="1100">
              <a:solidFill>
                <a:srgbClr val="000000"/>
              </a:solidFill>
              <a:effectLst/>
              <a:latin typeface="Arial" panose="020B0604020202020204" pitchFamily="34" charset="0"/>
              <a:ea typeface="Times New Roman" panose="02020603050405020304" pitchFamily="18" charset="0"/>
            </a:rPr>
            <a:t>nalyst should realize that the use of the milpay, civpay, or fuel index is making an escalation adjustment (Constant Price) and not an inflation adjustment.</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200">
              <a:effectLst/>
              <a:latin typeface="Times New Roman" panose="02020603050405020304" pitchFamily="18" charset="0"/>
              <a:ea typeface="Times New Roman" panose="02020603050405020304" pitchFamily="18" charset="0"/>
            </a:rPr>
            <a:t> </a:t>
          </a: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Additionally, analysts are reminded not all conversions are appropriate at all times. A then-year $ to then-year $ conversion of a major Navy procurement using the JIC's indices will often produce an incorrect adjustment.  To produce a more realistic estimate many large Navy programs will use non-OSD indices (IHS Global Insight and others) for their then-year program cost estimate. Using the OSD guidance based JIC inflation indices to convert to another then-year value will be incorrect because we are not using the original industry/commodity index used to produce the initial then-year estimate. (This is less of an issue for major Army procurements. ) Similarly, a constant $ to then-year $ conversion will only be correct if we want the then-year costs to reflect only inflation or when the general inflation rate is a good proxy for the actual cost increases.</a:t>
          </a:r>
          <a:endParaRPr lang="en-US" sz="1200">
            <a:effectLst/>
            <a:latin typeface="Times New Roman" panose="02020603050405020304" pitchFamily="18" charset="0"/>
            <a:ea typeface="Times New Roman" panose="02020603050405020304" pitchFamily="18" charset="0"/>
          </a:endParaRPr>
        </a:p>
        <a:p>
          <a:pPr marL="0" marR="0">
            <a:lnSpc>
              <a:spcPct val="115000"/>
            </a:lnSpc>
            <a:spcBef>
              <a:spcPts val="0"/>
            </a:spcBef>
            <a:spcAft>
              <a:spcPts val="1000"/>
            </a:spcAft>
            <a:tabLst>
              <a:tab pos="114300" algn="l"/>
              <a:tab pos="283210" algn="l"/>
            </a:tabLs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3</xdr:row>
      <xdr:rowOff>180975</xdr:rowOff>
    </xdr:from>
    <xdr:to>
      <xdr:col>3</xdr:col>
      <xdr:colOff>409575</xdr:colOff>
      <xdr:row>3</xdr:row>
      <xdr:rowOff>190500</xdr:rowOff>
    </xdr:to>
    <xdr:sp macro="" textlink="">
      <xdr:nvSpPr>
        <xdr:cNvPr id="29707" name="Line 11">
          <a:extLst>
            <a:ext uri="{FF2B5EF4-FFF2-40B4-BE49-F238E27FC236}">
              <a16:creationId xmlns:a16="http://schemas.microsoft.com/office/drawing/2014/main" xmlns="" id="{00000000-0008-0000-0400-00000B740000}"/>
            </a:ext>
          </a:extLst>
        </xdr:cNvPr>
        <xdr:cNvSpPr>
          <a:spLocks noChangeShapeType="1"/>
        </xdr:cNvSpPr>
      </xdr:nvSpPr>
      <xdr:spPr bwMode="auto">
        <a:xfrm flipV="1">
          <a:off x="1581150" y="1323975"/>
          <a:ext cx="200025" cy="9525"/>
        </a:xfrm>
        <a:prstGeom prst="line">
          <a:avLst/>
        </a:prstGeom>
        <a:noFill/>
        <a:ln w="19050">
          <a:solidFill>
            <a:srgbClr val="FFFFFF"/>
          </a:solidFill>
          <a:round/>
          <a:headEnd/>
          <a:tailEnd type="triangle" w="med" len="med"/>
        </a:ln>
      </xdr:spPr>
    </xdr:sp>
    <xdr:clientData/>
  </xdr:twoCellAnchor>
  <xdr:twoCellAnchor>
    <xdr:from>
      <xdr:col>9</xdr:col>
      <xdr:colOff>438150</xdr:colOff>
      <xdr:row>3</xdr:row>
      <xdr:rowOff>142875</xdr:rowOff>
    </xdr:from>
    <xdr:to>
      <xdr:col>10</xdr:col>
      <xdr:colOff>142875</xdr:colOff>
      <xdr:row>3</xdr:row>
      <xdr:rowOff>152400</xdr:rowOff>
    </xdr:to>
    <xdr:sp macro="" textlink="">
      <xdr:nvSpPr>
        <xdr:cNvPr id="29708" name="Line 12">
          <a:extLst>
            <a:ext uri="{FF2B5EF4-FFF2-40B4-BE49-F238E27FC236}">
              <a16:creationId xmlns:a16="http://schemas.microsoft.com/office/drawing/2014/main" xmlns="" id="{00000000-0008-0000-0400-00000C740000}"/>
            </a:ext>
          </a:extLst>
        </xdr:cNvPr>
        <xdr:cNvSpPr>
          <a:spLocks noChangeShapeType="1"/>
        </xdr:cNvSpPr>
      </xdr:nvSpPr>
      <xdr:spPr bwMode="auto">
        <a:xfrm flipV="1">
          <a:off x="4981575" y="1285875"/>
          <a:ext cx="228600" cy="9525"/>
        </a:xfrm>
        <a:prstGeom prst="line">
          <a:avLst/>
        </a:prstGeom>
        <a:noFill/>
        <a:ln w="19050">
          <a:solidFill>
            <a:srgbClr val="FFFFFF"/>
          </a:solidFill>
          <a:round/>
          <a:headEnd/>
          <a:tailEnd type="triangle" w="med" len="med"/>
        </a:ln>
      </xdr:spPr>
    </xdr:sp>
    <xdr:clientData/>
  </xdr:twoCellAnchor>
  <xdr:twoCellAnchor>
    <xdr:from>
      <xdr:col>2</xdr:col>
      <xdr:colOff>390525</xdr:colOff>
      <xdr:row>1</xdr:row>
      <xdr:rowOff>19050</xdr:rowOff>
    </xdr:from>
    <xdr:to>
      <xdr:col>14</xdr:col>
      <xdr:colOff>238125</xdr:colOff>
      <xdr:row>2</xdr:row>
      <xdr:rowOff>9525</xdr:rowOff>
    </xdr:to>
    <xdr:sp macro="" textlink="">
      <xdr:nvSpPr>
        <xdr:cNvPr id="29709" name="Rectangle 13">
          <a:extLst>
            <a:ext uri="{FF2B5EF4-FFF2-40B4-BE49-F238E27FC236}">
              <a16:creationId xmlns:a16="http://schemas.microsoft.com/office/drawing/2014/main" xmlns="" id="{00000000-0008-0000-0400-00000D740000}"/>
            </a:ext>
          </a:extLst>
        </xdr:cNvPr>
        <xdr:cNvSpPr>
          <a:spLocks noChangeArrowheads="1"/>
        </xdr:cNvSpPr>
      </xdr:nvSpPr>
      <xdr:spPr bwMode="auto">
        <a:xfrm>
          <a:off x="1238250" y="400050"/>
          <a:ext cx="6162675" cy="371475"/>
        </a:xfrm>
        <a:prstGeom prst="rect">
          <a:avLst/>
        </a:prstGeom>
        <a:solidFill>
          <a:sysClr val="window" lastClr="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  </a:t>
          </a:r>
          <a:r>
            <a:rPr lang="en-US" sz="900" b="0" i="0" u="none" strike="noStrike" baseline="0">
              <a:solidFill>
                <a:srgbClr val="FF0000"/>
              </a:solidFill>
              <a:latin typeface="Arial"/>
              <a:cs typeface="Arial"/>
            </a:rPr>
            <a:t>Note * indicates OSD cost element  (OSD Fuel may differ significantly from FMB Fuel rates in the Budget Window)</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10</xdr:col>
          <xdr:colOff>304800</xdr:colOff>
          <xdr:row>3</xdr:row>
          <xdr:rowOff>9525</xdr:rowOff>
        </xdr:from>
        <xdr:to>
          <xdr:col>13</xdr:col>
          <xdr:colOff>285750</xdr:colOff>
          <xdr:row>3</xdr:row>
          <xdr:rowOff>266700</xdr:rowOff>
        </xdr:to>
        <xdr:sp macro="" textlink="">
          <xdr:nvSpPr>
            <xdr:cNvPr id="29697" name="Drop Down 1"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57150</xdr:colOff>
      <xdr:row>1</xdr:row>
      <xdr:rowOff>38100</xdr:rowOff>
    </xdr:from>
    <xdr:to>
      <xdr:col>19</xdr:col>
      <xdr:colOff>200025</xdr:colOff>
      <xdr:row>2</xdr:row>
      <xdr:rowOff>114300</xdr:rowOff>
    </xdr:to>
    <xdr:sp macro="" textlink="">
      <xdr:nvSpPr>
        <xdr:cNvPr id="14337" name="Text Box 1">
          <a:extLst>
            <a:ext uri="{FF2B5EF4-FFF2-40B4-BE49-F238E27FC236}">
              <a16:creationId xmlns:a16="http://schemas.microsoft.com/office/drawing/2014/main" xmlns="" id="{00000000-0008-0000-0E00-000001380000}"/>
            </a:ext>
          </a:extLst>
        </xdr:cNvPr>
        <xdr:cNvSpPr txBox="1">
          <a:spLocks noChangeArrowheads="1"/>
        </xdr:cNvSpPr>
      </xdr:nvSpPr>
      <xdr:spPr bwMode="auto">
        <a:xfrm>
          <a:off x="542925" y="276225"/>
          <a:ext cx="7686675" cy="542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These raw FY inflation rates are transferred from the "Inflation" sheet in the Inflation Update workbook.  They are obtained directly from OSD except for the military and civilian pay rates which are adjusted from calendar to fiscal year, and SCN(NAVSEA/BLSHIST) which uses historical data from Bureal of Labor Statistics.  This sheet is not protected.  </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571500</xdr:colOff>
      <xdr:row>15</xdr:row>
      <xdr:rowOff>9525</xdr:rowOff>
    </xdr:from>
    <xdr:to>
      <xdr:col>8</xdr:col>
      <xdr:colOff>294705</xdr:colOff>
      <xdr:row>39</xdr:row>
      <xdr:rowOff>132849</xdr:rowOff>
    </xdr:to>
    <xdr:pic>
      <xdr:nvPicPr>
        <xdr:cNvPr id="4" name="Picture 3" descr="Wor202.png">
          <a:extLst>
            <a:ext uri="{FF2B5EF4-FFF2-40B4-BE49-F238E27FC236}">
              <a16:creationId xmlns:a16="http://schemas.microsoft.com/office/drawing/2014/main" xmlns="" id="{00000000-0008-0000-1100-000004000000}"/>
            </a:ext>
          </a:extLst>
        </xdr:cNvPr>
        <xdr:cNvPicPr>
          <a:picLocks noChangeAspect="1"/>
        </xdr:cNvPicPr>
      </xdr:nvPicPr>
      <xdr:blipFill>
        <a:blip xmlns:r="http://schemas.openxmlformats.org/officeDocument/2006/relationships" r:embed="rId1" cstate="print"/>
        <a:stretch>
          <a:fillRect/>
        </a:stretch>
      </xdr:blipFill>
      <xdr:spPr>
        <a:xfrm>
          <a:off x="571500" y="2638425"/>
          <a:ext cx="4561905" cy="4009524"/>
        </a:xfrm>
        <a:prstGeom prst="rect">
          <a:avLst/>
        </a:prstGeom>
      </xdr:spPr>
    </xdr:pic>
    <xdr:clientData/>
  </xdr:twoCellAnchor>
  <xdr:twoCellAnchor editAs="oneCell">
    <xdr:from>
      <xdr:col>1</xdr:col>
      <xdr:colOff>0</xdr:colOff>
      <xdr:row>7</xdr:row>
      <xdr:rowOff>0</xdr:rowOff>
    </xdr:from>
    <xdr:to>
      <xdr:col>12</xdr:col>
      <xdr:colOff>333375</xdr:colOff>
      <xdr:row>9</xdr:row>
      <xdr:rowOff>38055</xdr:rowOff>
    </xdr:to>
    <xdr:pic>
      <xdr:nvPicPr>
        <xdr:cNvPr id="5" name="Picture 4" descr="Wor1FA.png">
          <a:extLst>
            <a:ext uri="{FF2B5EF4-FFF2-40B4-BE49-F238E27FC236}">
              <a16:creationId xmlns:a16="http://schemas.microsoft.com/office/drawing/2014/main" xmlns="" id="{00000000-0008-0000-1100-000005000000}"/>
            </a:ext>
          </a:extLst>
        </xdr:cNvPr>
        <xdr:cNvPicPr>
          <a:picLocks noChangeAspect="1"/>
        </xdr:cNvPicPr>
      </xdr:nvPicPr>
      <xdr:blipFill>
        <a:blip xmlns:r="http://schemas.openxmlformats.org/officeDocument/2006/relationships" r:embed="rId2" cstate="print"/>
        <a:stretch>
          <a:fillRect/>
        </a:stretch>
      </xdr:blipFill>
      <xdr:spPr>
        <a:xfrm>
          <a:off x="419100" y="1247775"/>
          <a:ext cx="7038975" cy="3619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0000"/>
        </a:solidFill>
        <a:ln w="25400">
          <a:solidFill>
            <a:srgbClr val="000000"/>
          </a:solidFill>
          <a:round/>
          <a:headEnd/>
          <a:tailEnd/>
        </a:ln>
        <a:effectLst/>
      </a:spPr>
      <a:bodyPr vertOverflow="clip" wrap="square" lIns="36576" tIns="27432" rIns="36576" bIns="27432" anchor="ctr" upright="1"/>
      <a:lstStyle>
        <a:defPPr algn="ctr" rtl="0">
          <a:defRPr sz="1200" b="1" i="0" u="none" strike="noStrike" baseline="0">
            <a:solidFill>
              <a:srgbClr val="FFFFFF"/>
            </a:solidFill>
            <a:latin typeface="Arial"/>
            <a:cs typeface="Arial"/>
          </a:defRPr>
        </a:defPPr>
      </a:lstStyle>
    </a:spDef>
    <a:lnDef>
      <a:spPr bwMode="auto">
        <a:xfrm>
          <a:off x="0" y="0"/>
          <a:ext cx="1" cy="1"/>
        </a:xfrm>
        <a:custGeom>
          <a:avLst/>
          <a:gdLst/>
          <a:ahLst/>
          <a:cxnLst/>
          <a:rect l="0" t="0" r="0" b="0"/>
          <a:pathLst/>
        </a:custGeom>
        <a:solidFill>
          <a:srgbClr val="DDDDDD"/>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ncca.navy.mil/tools/OSD_Inflation_handbook.pdf" TargetMode="External"/><Relationship Id="rId1" Type="http://schemas.openxmlformats.org/officeDocument/2006/relationships/hyperlink" Target="https://myclass.dau.mil/webapps/portal/frameset.jsp?tab_tab_group_id=_21_1"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asafm.army.mil/offices/office.aspx?officecode=1400"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asafm.army.mil/offices/BU/GeneralInfo.aspx?OfficeCode=1200" TargetMode="External"/><Relationship Id="rId2" Type="http://schemas.openxmlformats.org/officeDocument/2006/relationships/hyperlink" Target="https://www.ncca.navy.mil/tools/inflation.cfm" TargetMode="External"/><Relationship Id="rId1" Type="http://schemas.openxmlformats.org/officeDocument/2006/relationships/hyperlink" Target="mailto:Jic@navy.mil" TargetMode="External"/><Relationship Id="rId5" Type="http://schemas.openxmlformats.org/officeDocument/2006/relationships/drawing" Target="../drawings/drawing10.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5.xml"/><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H28"/>
  <sheetViews>
    <sheetView showGridLines="0" showRowColHeaders="0" showRuler="0" zoomScaleNormal="100" workbookViewId="0"/>
  </sheetViews>
  <sheetFormatPr defaultColWidth="9.140625" defaultRowHeight="12.75"/>
  <cols>
    <col min="1" max="1" width="13.85546875" style="181" customWidth="1"/>
    <col min="2" max="2" width="87.28515625" style="183" customWidth="1"/>
    <col min="3" max="3" width="18.5703125" style="182" customWidth="1"/>
    <col min="4" max="4" width="14.42578125" style="181" bestFit="1" customWidth="1"/>
    <col min="5" max="5" width="15" style="181" customWidth="1"/>
    <col min="6" max="6" width="9.140625" style="181"/>
    <col min="7" max="7" width="9" style="181" customWidth="1"/>
    <col min="8" max="8" width="11.28515625" style="181" bestFit="1" customWidth="1"/>
    <col min="9" max="16384" width="9.140625" style="181"/>
  </cols>
  <sheetData>
    <row r="1" spans="1:8" ht="25.5" customHeight="1">
      <c r="B1" s="544"/>
      <c r="C1" s="260">
        <f ca="1">NOW()</f>
        <v>43007.591650578703</v>
      </c>
      <c r="E1" s="543"/>
    </row>
    <row r="2" spans="1:8" ht="21.95" customHeight="1">
      <c r="A2" s="686"/>
      <c r="B2" s="391"/>
      <c r="C2" s="391"/>
      <c r="D2" s="426"/>
      <c r="E2" s="611"/>
    </row>
    <row r="3" spans="1:8" ht="45.75" customHeight="1">
      <c r="B3" s="370"/>
      <c r="C3" s="231"/>
      <c r="D3" s="543"/>
    </row>
    <row r="4" spans="1:8">
      <c r="C4"/>
    </row>
    <row r="5" spans="1:8">
      <c r="A5" s="410"/>
      <c r="C5"/>
    </row>
    <row r="6" spans="1:8" ht="51" customHeight="1">
      <c r="A6"/>
      <c r="C6"/>
      <c r="D6" s="184"/>
      <c r="E6" s="692"/>
      <c r="F6" s="692"/>
    </row>
    <row r="7" spans="1:8" ht="14.25">
      <c r="B7" s="690" t="s">
        <v>144</v>
      </c>
      <c r="C7" s="691"/>
      <c r="D7" s="184"/>
      <c r="E7" s="11"/>
    </row>
    <row r="8" spans="1:8">
      <c r="A8" s="287" t="s">
        <v>2</v>
      </c>
      <c r="B8" s="633" t="s">
        <v>730</v>
      </c>
      <c r="C8" s="631" t="s">
        <v>676</v>
      </c>
      <c r="D8" s="184"/>
      <c r="E8" s="11"/>
    </row>
    <row r="9" spans="1:8" s="185" customFormat="1" ht="16.5" customHeight="1">
      <c r="B9" s="412" t="s">
        <v>501</v>
      </c>
      <c r="C9" s="630" t="s">
        <v>97</v>
      </c>
      <c r="D9" s="329"/>
      <c r="E9" s="186"/>
      <c r="G9" s="187"/>
    </row>
    <row r="10" spans="1:8" s="185" customFormat="1" ht="31.5" customHeight="1">
      <c r="B10" s="629" t="s">
        <v>516</v>
      </c>
      <c r="C10" s="630" t="s">
        <v>98</v>
      </c>
      <c r="E10"/>
      <c r="F10"/>
      <c r="G10" s="187"/>
    </row>
    <row r="11" spans="1:8" s="185" customFormat="1">
      <c r="B11" s="412" t="s">
        <v>512</v>
      </c>
      <c r="C11" s="630" t="s">
        <v>154</v>
      </c>
      <c r="E11" s="186"/>
      <c r="G11" s="187"/>
      <c r="H11" s="188"/>
    </row>
    <row r="12" spans="1:8" s="185" customFormat="1" ht="15" customHeight="1">
      <c r="B12" s="412" t="s">
        <v>593</v>
      </c>
      <c r="C12" s="630" t="s">
        <v>592</v>
      </c>
      <c r="E12" s="186"/>
      <c r="G12" s="187"/>
      <c r="H12" s="188"/>
    </row>
    <row r="13" spans="1:8" s="185" customFormat="1">
      <c r="B13" s="412" t="s">
        <v>731</v>
      </c>
      <c r="C13" s="630" t="s">
        <v>232</v>
      </c>
      <c r="E13"/>
      <c r="G13" s="187"/>
      <c r="H13" s="188"/>
    </row>
    <row r="14" spans="1:8" s="185" customFormat="1">
      <c r="B14" s="180" t="s">
        <v>308</v>
      </c>
      <c r="C14" s="630" t="s">
        <v>309</v>
      </c>
      <c r="E14" s="186"/>
      <c r="G14" s="187"/>
      <c r="H14" s="188"/>
    </row>
    <row r="15" spans="1:8" s="185" customFormat="1">
      <c r="B15" s="180" t="s">
        <v>155</v>
      </c>
      <c r="C15" s="630" t="s">
        <v>96</v>
      </c>
      <c r="E15" s="186"/>
      <c r="G15" s="187"/>
      <c r="H15" s="188"/>
    </row>
    <row r="16" spans="1:8" s="185" customFormat="1">
      <c r="B16" s="180" t="s">
        <v>185</v>
      </c>
      <c r="C16" s="630" t="s">
        <v>186</v>
      </c>
      <c r="E16" s="186"/>
    </row>
    <row r="17" spans="2:6" s="185" customFormat="1">
      <c r="B17" s="180" t="s">
        <v>403</v>
      </c>
      <c r="C17" s="630" t="s">
        <v>398</v>
      </c>
      <c r="E17" s="186"/>
    </row>
    <row r="18" spans="2:6" s="185" customFormat="1">
      <c r="B18" s="180" t="s">
        <v>128</v>
      </c>
      <c r="C18" s="630" t="s">
        <v>95</v>
      </c>
      <c r="E18"/>
      <c r="F18"/>
    </row>
    <row r="19" spans="2:6" s="185" customFormat="1">
      <c r="B19" s="412" t="s">
        <v>499</v>
      </c>
      <c r="C19" s="632" t="s">
        <v>717</v>
      </c>
    </row>
    <row r="20" spans="2:6" s="185" customFormat="1" ht="15">
      <c r="B20" s="408"/>
      <c r="C20" s="409"/>
    </row>
    <row r="21" spans="2:6" s="185" customFormat="1">
      <c r="B21" s="189" t="s">
        <v>122</v>
      </c>
      <c r="C21" s="39"/>
    </row>
    <row r="22" spans="2:6" s="185" customFormat="1">
      <c r="B22" s="688" t="s">
        <v>276</v>
      </c>
      <c r="C22" s="693"/>
    </row>
    <row r="23" spans="2:6" s="185" customFormat="1">
      <c r="B23" s="694" t="s">
        <v>732</v>
      </c>
      <c r="C23" s="689"/>
      <c r="E23" s="190"/>
    </row>
    <row r="24" spans="2:6" s="185" customFormat="1">
      <c r="B24" s="688" t="s">
        <v>140</v>
      </c>
      <c r="C24" s="693"/>
    </row>
    <row r="25" spans="2:6" s="185" customFormat="1">
      <c r="B25" s="688" t="s">
        <v>213</v>
      </c>
      <c r="C25" s="689"/>
    </row>
    <row r="27" spans="2:6" ht="12.75" customHeight="1"/>
    <row r="28" spans="2:6">
      <c r="B28" s="190"/>
    </row>
  </sheetData>
  <mergeCells count="6">
    <mergeCell ref="B25:C25"/>
    <mergeCell ref="B7:C7"/>
    <mergeCell ref="E6:F6"/>
    <mergeCell ref="B22:C22"/>
    <mergeCell ref="B23:C23"/>
    <mergeCell ref="B24:C24"/>
  </mergeCells>
  <phoneticPr fontId="0" type="noConversion"/>
  <hyperlinks>
    <hyperlink ref="C8" location="Inflation_Escalation!A1" display="Inflation_Escalation"/>
    <hyperlink ref="C9" location="Instructions!A1" display="Instructions"/>
    <hyperlink ref="C10" location="Query!A1" display="Query"/>
    <hyperlink ref="C11" location="'Inflation Table'!A1" display="Inflation Table"/>
    <hyperlink ref="C12" location="Examples_notes!A1" display="Examples _Notes"/>
    <hyperlink ref="C13" location="'Multi Appn'!A1" display="Multi Appn"/>
    <hyperlink ref="C14" location="'Army Multi Appn'!A1" display="Army Multi Appn"/>
    <hyperlink ref="C15" location="SAR!A1" display="SAR"/>
    <hyperlink ref="C16" location="'SAR Calc'!A1" display="SAR Calculator"/>
    <hyperlink ref="C17" location="'Army Notes'!A1" display="Army Notes"/>
    <hyperlink ref="C18" location="Titles!A1" display="Titles"/>
    <hyperlink ref="C19" location="Glossary!A1" display="Glossary"/>
  </hyperlinks>
  <pageMargins left="0.2" right="0.16" top="0.45" bottom="0.36" header="0.28000000000000003" footer="0.43"/>
  <pageSetup scale="6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T140"/>
  <sheetViews>
    <sheetView showGridLines="0" tabSelected="1" zoomScaleNormal="100" workbookViewId="0">
      <selection activeCell="C8" sqref="C8:H8"/>
    </sheetView>
  </sheetViews>
  <sheetFormatPr defaultRowHeight="12.75"/>
  <cols>
    <col min="1" max="1" width="5.7109375" customWidth="1"/>
    <col min="2" max="2" width="14.28515625" customWidth="1"/>
    <col min="3" max="3" width="22.42578125" customWidth="1"/>
    <col min="4" max="4" width="16.5703125" customWidth="1"/>
    <col min="5" max="5" width="22.7109375" customWidth="1"/>
    <col min="6" max="6" width="13.5703125" style="2" customWidth="1"/>
    <col min="7" max="7" width="19.7109375" customWidth="1"/>
    <col min="8" max="8" width="4.28515625" style="2" customWidth="1"/>
    <col min="9" max="9" width="11.85546875" style="2" customWidth="1"/>
    <col min="10" max="10" width="9.28515625" style="2" customWidth="1"/>
    <col min="11" max="11" width="15" style="2" customWidth="1"/>
    <col min="12" max="12" width="8.85546875" style="138" customWidth="1"/>
    <col min="13" max="13" width="9.140625" customWidth="1"/>
    <col min="14" max="14" width="12.7109375" customWidth="1"/>
    <col min="15" max="15" width="9.140625" style="45" customWidth="1"/>
    <col min="16" max="16" width="8.28515625" style="45" customWidth="1"/>
    <col min="17" max="19" width="8.7109375" style="45" customWidth="1"/>
    <col min="20" max="20" width="11.28515625" style="45" customWidth="1"/>
    <col min="21" max="21" width="10" style="46" customWidth="1"/>
    <col min="22" max="22" width="8.7109375" style="46" customWidth="1"/>
    <col min="23" max="24" width="9.140625" customWidth="1"/>
    <col min="25" max="25" width="9.85546875" customWidth="1"/>
    <col min="26" max="26" width="7.42578125" customWidth="1"/>
    <col min="27" max="27" width="9.140625" style="11" customWidth="1"/>
    <col min="28" max="28" width="10.7109375" customWidth="1"/>
    <col min="29" max="47" width="9.140625" customWidth="1"/>
  </cols>
  <sheetData>
    <row r="1" spans="1:46" s="292" customFormat="1" ht="102" customHeight="1" thickBot="1">
      <c r="A1" s="288"/>
      <c r="B1" s="545"/>
      <c r="C1" s="289" t="s">
        <v>502</v>
      </c>
      <c r="D1" s="290"/>
      <c r="E1" s="290"/>
      <c r="F1" s="290"/>
      <c r="G1" s="291"/>
      <c r="H1" s="291"/>
      <c r="I1" s="695" t="s">
        <v>459</v>
      </c>
      <c r="J1" s="696"/>
      <c r="K1" s="364"/>
      <c r="L1" s="293"/>
      <c r="M1" s="294" t="s">
        <v>267</v>
      </c>
      <c r="N1" s="295"/>
      <c r="O1" s="295">
        <v>17</v>
      </c>
      <c r="P1" s="296"/>
      <c r="Q1" s="296"/>
      <c r="R1" s="296"/>
      <c r="S1" s="296"/>
      <c r="T1" s="296"/>
      <c r="U1" s="296"/>
      <c r="V1" s="296"/>
    </row>
    <row r="2" spans="1:46" s="615" customFormat="1" ht="18.95" customHeight="1" thickBot="1">
      <c r="A2" s="697"/>
      <c r="B2" s="698"/>
      <c r="C2" s="698"/>
      <c r="D2" s="698"/>
      <c r="E2" s="613" t="str">
        <f>Titles!H8</f>
        <v>DoD Wide</v>
      </c>
      <c r="F2" s="711"/>
      <c r="G2" s="711"/>
      <c r="H2" s="711"/>
      <c r="I2" s="711"/>
      <c r="J2" s="711"/>
      <c r="K2" s="711"/>
      <c r="L2" s="711"/>
      <c r="M2" s="614">
        <v>5</v>
      </c>
      <c r="P2" s="616"/>
      <c r="Q2" s="616"/>
      <c r="R2" s="617"/>
      <c r="S2" s="617"/>
      <c r="T2" s="617"/>
      <c r="U2" s="617"/>
      <c r="V2" s="616"/>
      <c r="AA2" s="618"/>
      <c r="AB2" s="618"/>
      <c r="AC2" s="618"/>
      <c r="AD2" s="618"/>
      <c r="AE2" s="618"/>
      <c r="AF2" s="618"/>
      <c r="AG2" s="618"/>
      <c r="AH2" s="619"/>
      <c r="AI2" s="619"/>
      <c r="AJ2" s="619"/>
      <c r="AK2" s="619"/>
      <c r="AL2" s="619"/>
      <c r="AM2" s="619"/>
      <c r="AN2" s="619"/>
      <c r="AO2" s="619"/>
      <c r="AP2" s="619"/>
      <c r="AQ2" s="619"/>
      <c r="AR2" s="619"/>
      <c r="AS2" s="619"/>
      <c r="AT2" s="620"/>
    </row>
    <row r="3" spans="1:46" s="292" customFormat="1" ht="63" customHeight="1">
      <c r="C3" s="297" t="s">
        <v>452</v>
      </c>
      <c r="D3" s="375" t="s">
        <v>153</v>
      </c>
      <c r="E3" s="298"/>
      <c r="F3" s="298"/>
      <c r="G3" s="298"/>
      <c r="H3" s="298"/>
      <c r="I3" s="687"/>
      <c r="J3" s="299"/>
      <c r="K3" s="300"/>
      <c r="L3" s="293"/>
      <c r="M3" s="295"/>
      <c r="N3" s="295"/>
      <c r="O3" s="301" t="s">
        <v>152</v>
      </c>
      <c r="P3" s="296"/>
      <c r="Q3" s="296"/>
      <c r="R3" s="296"/>
      <c r="S3" s="296"/>
      <c r="T3" s="296"/>
      <c r="U3" s="296"/>
      <c r="V3" s="296"/>
    </row>
    <row r="4" spans="1:46" s="302" customFormat="1" ht="11.25" customHeight="1">
      <c r="C4" s="612"/>
      <c r="D4" s="304"/>
      <c r="E4" s="305"/>
      <c r="F4" s="305"/>
      <c r="G4" s="305"/>
      <c r="H4" s="305"/>
      <c r="I4" s="305"/>
      <c r="J4" s="306"/>
      <c r="K4" s="307"/>
      <c r="L4" s="308"/>
      <c r="M4" s="309"/>
      <c r="N4" s="309"/>
      <c r="O4" s="310"/>
      <c r="P4" s="311"/>
      <c r="Q4" s="311"/>
      <c r="R4" s="311"/>
      <c r="S4" s="311"/>
      <c r="T4" s="311"/>
      <c r="U4" s="311"/>
      <c r="V4" s="311"/>
    </row>
    <row r="5" spans="1:46" s="302" customFormat="1" ht="7.5" customHeight="1" thickBot="1">
      <c r="C5" s="303"/>
      <c r="D5" s="304"/>
      <c r="E5" s="305"/>
      <c r="F5" s="305"/>
      <c r="G5" s="305"/>
      <c r="H5" s="305"/>
      <c r="I5" s="305"/>
      <c r="J5" s="306"/>
      <c r="K5" s="307"/>
      <c r="L5" s="308"/>
      <c r="M5" s="309"/>
      <c r="N5" s="309"/>
      <c r="O5" s="310"/>
      <c r="P5" s="311"/>
      <c r="Q5" s="311"/>
      <c r="R5" s="311"/>
      <c r="S5" s="311"/>
      <c r="T5" s="311"/>
      <c r="U5" s="311"/>
      <c r="V5" s="311"/>
    </row>
    <row r="6" spans="1:46" s="427" customFormat="1" ht="24" customHeight="1" thickTop="1" thickBot="1">
      <c r="C6" s="428" t="str">
        <f>IF($Q$45="Army","3. Enter Base/Input Year(1985 - 2060)","3. Enter Base/Input Year(1970 - 2060)")</f>
        <v>3. Enter Base/Input Year(1970 - 2060)</v>
      </c>
      <c r="E6" s="429">
        <v>2017</v>
      </c>
      <c r="F6" s="705"/>
      <c r="G6" s="706"/>
      <c r="I6" s="426"/>
      <c r="J6" s="679"/>
      <c r="K6" s="679"/>
      <c r="L6" s="680"/>
      <c r="M6" s="680"/>
      <c r="N6" s="680"/>
      <c r="O6" s="680"/>
      <c r="P6" s="430"/>
      <c r="Q6" s="430"/>
      <c r="R6" s="430"/>
      <c r="S6" s="430"/>
      <c r="T6" s="430"/>
      <c r="U6" s="430"/>
      <c r="V6" s="430"/>
    </row>
    <row r="7" spans="1:46" s="292" customFormat="1" ht="41.25" customHeight="1" thickTop="1">
      <c r="C7" s="312"/>
      <c r="D7" s="313"/>
      <c r="E7" s="314"/>
      <c r="F7" s="315"/>
      <c r="G7" s="316"/>
      <c r="K7" s="295"/>
      <c r="L7" s="621"/>
      <c r="M7" s="295"/>
      <c r="N7" s="295"/>
      <c r="O7" s="301"/>
      <c r="P7" s="296"/>
      <c r="Q7" s="296"/>
      <c r="R7" s="296"/>
      <c r="S7" s="296"/>
      <c r="T7" s="296"/>
      <c r="U7" s="296"/>
      <c r="V7" s="296"/>
    </row>
    <row r="8" spans="1:46" s="292" customFormat="1" ht="30" customHeight="1">
      <c r="C8" s="712" t="s">
        <v>399</v>
      </c>
      <c r="D8" s="713"/>
      <c r="E8" s="713"/>
      <c r="F8" s="713"/>
      <c r="G8" s="713"/>
      <c r="H8" s="714"/>
      <c r="I8" s="317"/>
      <c r="L8" s="318"/>
      <c r="O8" s="296"/>
      <c r="P8" s="296"/>
      <c r="Q8" s="296"/>
      <c r="R8" s="296"/>
      <c r="S8" s="296"/>
      <c r="T8" s="296"/>
      <c r="U8" s="296"/>
      <c r="V8" s="296"/>
    </row>
    <row r="9" spans="1:46" s="292" customFormat="1" ht="18.75" customHeight="1">
      <c r="C9" s="319" t="s">
        <v>400</v>
      </c>
      <c r="D9" s="312"/>
      <c r="E9" s="302"/>
      <c r="F9" s="302"/>
      <c r="G9" s="302"/>
      <c r="H9" s="320"/>
      <c r="I9" s="321"/>
      <c r="L9" s="318"/>
      <c r="O9" s="296"/>
      <c r="P9" s="296"/>
      <c r="Q9" s="296"/>
      <c r="R9" s="296"/>
      <c r="S9" s="296"/>
      <c r="T9" s="296"/>
      <c r="U9" s="296"/>
      <c r="V9" s="296"/>
    </row>
    <row r="10" spans="1:46" s="292" customFormat="1" ht="12.75" customHeight="1" thickBot="1">
      <c r="C10" s="319"/>
      <c r="D10" s="312"/>
      <c r="E10" s="302"/>
      <c r="F10" s="302"/>
      <c r="G10" s="302"/>
      <c r="H10" s="320"/>
      <c r="L10" s="318"/>
      <c r="O10" s="296"/>
      <c r="P10" s="296"/>
      <c r="Q10" s="296"/>
      <c r="R10" s="296"/>
      <c r="S10" s="296"/>
      <c r="T10" s="296"/>
      <c r="U10" s="296"/>
      <c r="V10" s="296"/>
    </row>
    <row r="11" spans="1:46" s="292" customFormat="1" ht="18.75" customHeight="1" thickTop="1" thickBot="1">
      <c r="C11" s="322" t="s">
        <v>453</v>
      </c>
      <c r="D11" s="323"/>
      <c r="E11" s="371">
        <v>2020</v>
      </c>
      <c r="F11" s="302"/>
      <c r="G11" s="302"/>
      <c r="H11" s="320"/>
      <c r="K11" s="324"/>
      <c r="L11" s="325"/>
      <c r="O11" s="296"/>
      <c r="P11" s="296"/>
      <c r="Q11" s="296"/>
      <c r="R11" s="296"/>
      <c r="S11" s="296"/>
      <c r="T11" s="296"/>
      <c r="U11" s="296"/>
      <c r="V11" s="296"/>
    </row>
    <row r="12" spans="1:46" s="292" customFormat="1" ht="18.75" customHeight="1" thickTop="1">
      <c r="C12" s="322" t="s">
        <v>302</v>
      </c>
      <c r="D12" s="323"/>
      <c r="E12" s="365"/>
      <c r="F12" s="326"/>
      <c r="G12" s="302"/>
      <c r="H12" s="320"/>
      <c r="I12" s="327"/>
      <c r="J12" s="328"/>
      <c r="L12" s="318"/>
      <c r="O12" s="296"/>
      <c r="P12" s="296"/>
      <c r="Q12" s="296"/>
      <c r="R12" s="296"/>
      <c r="S12" s="296"/>
      <c r="T12" s="296"/>
      <c r="U12" s="296"/>
      <c r="V12" s="296"/>
    </row>
    <row r="13" spans="1:46" s="292" customFormat="1" ht="15">
      <c r="C13" s="700" t="s">
        <v>135</v>
      </c>
      <c r="D13" s="701"/>
      <c r="E13" s="701"/>
      <c r="F13" s="701"/>
      <c r="G13" s="701"/>
      <c r="H13" s="368"/>
      <c r="I13" s="330"/>
      <c r="J13" s="328"/>
      <c r="L13" s="318"/>
      <c r="O13" s="296"/>
      <c r="P13" s="296"/>
      <c r="Q13" s="296"/>
      <c r="R13" s="296"/>
      <c r="S13" s="296"/>
      <c r="T13" s="296"/>
      <c r="U13" s="296"/>
      <c r="V13" s="296"/>
    </row>
    <row r="14" spans="1:46" s="292" customFormat="1" ht="32.25" customHeight="1">
      <c r="C14" s="702" t="str">
        <f>LOOKUP($O$45,Titles!$A101:$G150,Titles!$G$101:$G$150)</f>
        <v>Civ pay = Civilian Payroll for all services (OSD Cost Escalation Element)</v>
      </c>
      <c r="D14" s="703"/>
      <c r="E14" s="703"/>
      <c r="F14" s="703"/>
      <c r="G14" s="704"/>
      <c r="H14" s="320"/>
      <c r="I14" s="327"/>
      <c r="J14" s="302"/>
      <c r="K14" s="302"/>
      <c r="L14" s="331"/>
      <c r="O14" s="296"/>
      <c r="P14" s="296"/>
      <c r="Q14" s="296"/>
      <c r="R14" s="296"/>
      <c r="S14" s="296"/>
      <c r="T14" s="296"/>
      <c r="U14" s="296"/>
      <c r="V14" s="296"/>
    </row>
    <row r="15" spans="1:46" s="292" customFormat="1" ht="28.5" customHeight="1">
      <c r="C15" s="332">
        <f ca="1">NOW()</f>
        <v>43007.591650578703</v>
      </c>
      <c r="D15" s="333"/>
      <c r="E15" s="372" t="s">
        <v>134</v>
      </c>
      <c r="F15" s="334" t="s">
        <v>129</v>
      </c>
      <c r="G15" s="334" t="s">
        <v>450</v>
      </c>
      <c r="H15" s="320"/>
      <c r="I15" s="302"/>
      <c r="J15" s="302"/>
      <c r="L15" s="331"/>
      <c r="O15" s="296"/>
      <c r="P15" s="296"/>
      <c r="Q15" s="296"/>
      <c r="R15" s="296"/>
      <c r="S15" s="296"/>
      <c r="T15" s="296"/>
      <c r="U15" s="296"/>
      <c r="V15" s="296"/>
    </row>
    <row r="16" spans="1:46" s="292" customFormat="1" ht="15" customHeight="1">
      <c r="C16" s="335" t="s">
        <v>142</v>
      </c>
      <c r="D16" s="336"/>
      <c r="E16" s="337">
        <f>+E6</f>
        <v>2017</v>
      </c>
      <c r="F16" s="303" t="s">
        <v>451</v>
      </c>
      <c r="G16" s="338">
        <f>+E11</f>
        <v>2020</v>
      </c>
      <c r="H16" s="320"/>
      <c r="I16" s="302"/>
      <c r="J16" s="339"/>
      <c r="K16" s="340"/>
      <c r="L16" s="331"/>
      <c r="O16" s="296"/>
      <c r="P16" s="296"/>
      <c r="Q16" s="296"/>
      <c r="R16" s="296"/>
      <c r="S16" s="296"/>
      <c r="T16" s="296"/>
      <c r="U16" s="296"/>
      <c r="V16" s="296"/>
    </row>
    <row r="17" spans="3:25" s="292" customFormat="1" ht="14.25" customHeight="1" thickBot="1">
      <c r="C17" s="341" t="s">
        <v>143</v>
      </c>
      <c r="D17" s="342"/>
      <c r="E17" s="343" t="str">
        <f>LOOKUP(O34,P36:P39,Q36:Q39)</f>
        <v>Constant$</v>
      </c>
      <c r="F17" s="344" t="s">
        <v>451</v>
      </c>
      <c r="G17" s="345" t="str">
        <f>LOOKUP(O34,P36:P39,R36:R39)</f>
        <v>Constant$</v>
      </c>
      <c r="H17" s="320"/>
      <c r="I17" s="302"/>
      <c r="J17" s="302"/>
      <c r="K17" s="340"/>
      <c r="L17" s="331"/>
      <c r="O17" s="296"/>
      <c r="P17" s="296"/>
      <c r="Q17" s="296"/>
      <c r="R17" s="296"/>
      <c r="S17" s="296"/>
      <c r="T17" s="296"/>
      <c r="U17" s="296"/>
      <c r="V17" s="296"/>
    </row>
    <row r="18" spans="3:25" s="292" customFormat="1" ht="15" thickBot="1">
      <c r="C18" s="707" t="s">
        <v>509</v>
      </c>
      <c r="D18" s="708"/>
      <c r="E18" s="373">
        <v>100</v>
      </c>
      <c r="F18" s="346">
        <f t="shared" ref="F18:F23" si="0">LOOKUP($O$34,$P$36:$P$39,$O$36:$O$39)</f>
        <v>1.0586009891993597</v>
      </c>
      <c r="G18" s="347">
        <f t="shared" ref="G18:G23" si="1">+F18*E18</f>
        <v>105.86009891993598</v>
      </c>
      <c r="H18" s="320"/>
      <c r="I18" s="302"/>
      <c r="J18" s="302"/>
      <c r="K18" s="340"/>
      <c r="L18" s="331"/>
      <c r="O18" s="296"/>
      <c r="P18" s="296"/>
      <c r="Q18" s="296"/>
      <c r="R18" s="296"/>
      <c r="S18" s="296"/>
      <c r="T18" s="296"/>
      <c r="U18" s="296"/>
      <c r="V18" s="296"/>
    </row>
    <row r="19" spans="3:25" s="292" customFormat="1" ht="15" thickBot="1">
      <c r="C19" s="709"/>
      <c r="D19" s="710"/>
      <c r="E19" s="373">
        <v>10000</v>
      </c>
      <c r="F19" s="346">
        <f t="shared" si="0"/>
        <v>1.0586009891993597</v>
      </c>
      <c r="G19" s="347">
        <f t="shared" si="1"/>
        <v>10586.009891993597</v>
      </c>
      <c r="H19" s="366"/>
      <c r="I19" s="302"/>
      <c r="K19" s="348"/>
      <c r="L19" s="318"/>
      <c r="O19" s="296"/>
      <c r="P19" s="296"/>
      <c r="Q19" s="296"/>
      <c r="R19" s="296"/>
      <c r="S19" s="296"/>
      <c r="T19" s="296"/>
      <c r="U19" s="296"/>
      <c r="V19" s="296"/>
    </row>
    <row r="20" spans="3:25" s="329" customFormat="1" ht="13.5" thickBot="1">
      <c r="C20" s="709"/>
      <c r="D20" s="710"/>
      <c r="E20" s="373">
        <v>100000</v>
      </c>
      <c r="F20" s="346">
        <f t="shared" si="0"/>
        <v>1.0586009891993597</v>
      </c>
      <c r="G20" s="347">
        <f t="shared" si="1"/>
        <v>105860.09891993598</v>
      </c>
      <c r="H20" s="367"/>
      <c r="I20" s="349"/>
      <c r="J20" s="350"/>
      <c r="K20" s="351"/>
      <c r="L20" s="352"/>
      <c r="O20" s="353">
        <v>1</v>
      </c>
      <c r="P20" s="354" t="s">
        <v>107</v>
      </c>
      <c r="Q20" s="353"/>
      <c r="R20" s="353"/>
      <c r="S20" s="355"/>
      <c r="T20" s="355"/>
      <c r="U20" s="356"/>
      <c r="V20" s="356"/>
    </row>
    <row r="21" spans="3:25" s="329" customFormat="1" ht="13.5" thickBot="1">
      <c r="C21" s="709"/>
      <c r="D21" s="710"/>
      <c r="E21" s="373">
        <v>1000</v>
      </c>
      <c r="F21" s="346">
        <f t="shared" si="0"/>
        <v>1.0586009891993597</v>
      </c>
      <c r="G21" s="347">
        <f t="shared" si="1"/>
        <v>1058.6009891993597</v>
      </c>
      <c r="H21" s="367"/>
      <c r="I21" s="349"/>
      <c r="J21" s="350"/>
      <c r="K21" s="357"/>
      <c r="L21" s="352"/>
      <c r="O21" s="353">
        <v>2</v>
      </c>
      <c r="P21" s="354" t="s">
        <v>31</v>
      </c>
      <c r="Q21" s="353"/>
      <c r="R21" s="353"/>
      <c r="S21" s="355"/>
      <c r="T21" s="355"/>
      <c r="U21" s="356"/>
      <c r="V21" s="356"/>
    </row>
    <row r="22" spans="3:25" s="329" customFormat="1" ht="13.5" thickBot="1">
      <c r="C22" s="709"/>
      <c r="D22" s="710"/>
      <c r="E22" s="373">
        <v>1000</v>
      </c>
      <c r="F22" s="346">
        <f t="shared" si="0"/>
        <v>1.0586009891993597</v>
      </c>
      <c r="G22" s="347">
        <f t="shared" si="1"/>
        <v>1058.6009891993597</v>
      </c>
      <c r="H22" s="367"/>
      <c r="I22" s="349"/>
      <c r="J22" s="350"/>
      <c r="K22" s="350"/>
      <c r="L22" s="352"/>
      <c r="O22" s="353">
        <v>3</v>
      </c>
      <c r="P22" s="358" t="s">
        <v>547</v>
      </c>
      <c r="Q22" s="353"/>
      <c r="R22" s="353"/>
      <c r="S22" s="355"/>
      <c r="T22" s="355"/>
      <c r="U22" s="356"/>
      <c r="V22" s="356"/>
    </row>
    <row r="23" spans="3:25" s="329" customFormat="1">
      <c r="C23" s="359"/>
      <c r="D23" s="360"/>
      <c r="E23" s="374">
        <v>1000</v>
      </c>
      <c r="F23" s="346">
        <f t="shared" si="0"/>
        <v>1.0586009891993597</v>
      </c>
      <c r="G23" s="347">
        <f t="shared" si="1"/>
        <v>1058.6009891993597</v>
      </c>
      <c r="H23" s="369"/>
      <c r="I23" s="349"/>
      <c r="J23" s="350"/>
      <c r="K23" s="350"/>
      <c r="L23" s="352"/>
      <c r="O23" s="353">
        <v>4</v>
      </c>
      <c r="P23" s="358" t="s">
        <v>548</v>
      </c>
      <c r="Q23" s="353"/>
      <c r="R23" s="353"/>
      <c r="S23" s="355"/>
      <c r="T23" s="355"/>
      <c r="U23" s="356"/>
      <c r="V23" s="356"/>
    </row>
    <row r="24" spans="3:25" s="329" customFormat="1">
      <c r="F24" s="350"/>
      <c r="H24" s="350"/>
      <c r="I24" s="350"/>
      <c r="J24" s="350"/>
      <c r="K24" s="350"/>
      <c r="L24" s="352"/>
      <c r="O24" s="353">
        <v>5</v>
      </c>
      <c r="P24" s="354" t="s">
        <v>108</v>
      </c>
      <c r="Q24" s="353"/>
      <c r="R24" s="353"/>
      <c r="S24" s="355"/>
      <c r="T24" s="355"/>
      <c r="U24" s="356"/>
      <c r="V24" s="356"/>
    </row>
    <row r="25" spans="3:25" s="329" customFormat="1" ht="34.5" customHeight="1">
      <c r="F25" s="350"/>
      <c r="H25" s="350"/>
      <c r="I25" s="315"/>
      <c r="J25" s="315"/>
      <c r="K25" s="315"/>
      <c r="L25" s="361"/>
      <c r="O25" s="355">
        <v>4</v>
      </c>
      <c r="P25" s="355"/>
      <c r="Q25" s="355"/>
      <c r="R25" s="355"/>
      <c r="S25" s="355"/>
      <c r="T25" s="355"/>
      <c r="U25" s="356"/>
      <c r="V25" s="356"/>
    </row>
    <row r="26" spans="3:25" s="329" customFormat="1" ht="14.25">
      <c r="F26" s="350"/>
      <c r="H26" s="350"/>
      <c r="I26" s="350"/>
      <c r="J26" s="350"/>
      <c r="K26" s="350"/>
      <c r="L26" s="352"/>
      <c r="O26" s="296" t="s">
        <v>151</v>
      </c>
      <c r="P26" s="296"/>
      <c r="Q26" s="296"/>
      <c r="R26" s="296"/>
      <c r="S26" s="296"/>
      <c r="T26" s="296"/>
      <c r="U26" s="296"/>
      <c r="V26" s="296"/>
    </row>
    <row r="27" spans="3:25" s="329" customFormat="1" ht="15">
      <c r="C27" s="699"/>
      <c r="D27" s="699"/>
      <c r="E27" s="699"/>
      <c r="F27" s="699"/>
      <c r="G27" s="699"/>
      <c r="H27" s="350"/>
      <c r="I27" s="350"/>
      <c r="J27" s="350"/>
      <c r="K27" s="350"/>
      <c r="L27" s="352"/>
      <c r="O27" s="362" t="s">
        <v>32</v>
      </c>
      <c r="P27" s="362" t="s">
        <v>32</v>
      </c>
      <c r="Q27" s="362" t="s">
        <v>32</v>
      </c>
      <c r="R27" s="362" t="s">
        <v>32</v>
      </c>
      <c r="S27" s="362"/>
      <c r="T27" s="362"/>
      <c r="U27" s="362"/>
      <c r="V27" s="362"/>
    </row>
    <row r="28" spans="3:25" s="329" customFormat="1" ht="14.25">
      <c r="F28" s="350"/>
      <c r="H28" s="350"/>
      <c r="I28" s="350"/>
      <c r="J28" s="350"/>
      <c r="K28" s="350"/>
      <c r="L28" s="352"/>
      <c r="O28" s="362" t="s">
        <v>132</v>
      </c>
      <c r="P28" s="362"/>
      <c r="Q28" s="362"/>
      <c r="R28" s="362"/>
      <c r="S28" s="362"/>
      <c r="T28" s="362"/>
      <c r="U28" s="362"/>
      <c r="V28" s="362"/>
    </row>
    <row r="29" spans="3:25" s="329" customFormat="1" ht="14.25">
      <c r="F29" s="350"/>
      <c r="H29" s="350"/>
      <c r="I29" s="350"/>
      <c r="J29" s="350"/>
      <c r="K29" s="350"/>
      <c r="L29" s="352"/>
      <c r="O29" s="362" t="s">
        <v>699</v>
      </c>
      <c r="P29" s="362"/>
      <c r="Q29" s="362"/>
      <c r="R29" s="362"/>
      <c r="S29" s="362"/>
      <c r="T29" s="362"/>
      <c r="U29" s="362"/>
      <c r="V29" s="362"/>
    </row>
    <row r="30" spans="3:25" s="329" customFormat="1" ht="14.25">
      <c r="F30" s="350"/>
      <c r="H30" s="350"/>
      <c r="I30" s="350"/>
      <c r="J30" s="350"/>
      <c r="K30" s="350"/>
      <c r="L30" s="352"/>
      <c r="O30" s="362" t="s">
        <v>700</v>
      </c>
      <c r="P30" s="362"/>
      <c r="Q30" s="362"/>
      <c r="R30" s="362"/>
      <c r="S30" s="362"/>
      <c r="T30" s="362"/>
      <c r="U30" s="362"/>
      <c r="V30" s="362"/>
    </row>
    <row r="31" spans="3:25" s="329" customFormat="1" ht="14.25">
      <c r="F31" s="350"/>
      <c r="H31" s="350"/>
      <c r="I31" s="350"/>
      <c r="J31" s="350"/>
      <c r="K31" s="350"/>
      <c r="L31" s="352"/>
      <c r="O31" s="362" t="s">
        <v>701</v>
      </c>
      <c r="P31" s="362"/>
      <c r="Q31" s="362"/>
      <c r="R31" s="362"/>
      <c r="S31" s="362"/>
      <c r="T31" s="362"/>
      <c r="U31" s="362"/>
      <c r="V31" s="362"/>
    </row>
    <row r="32" spans="3:25" s="329" customFormat="1" ht="14.25">
      <c r="F32" s="350"/>
      <c r="H32" s="350"/>
      <c r="I32" s="350"/>
      <c r="J32" s="350"/>
      <c r="K32" s="350"/>
      <c r="L32" s="352"/>
      <c r="O32" s="362" t="s">
        <v>702</v>
      </c>
      <c r="P32" s="362"/>
      <c r="Q32" s="362"/>
      <c r="R32" s="362"/>
      <c r="S32" s="362"/>
      <c r="T32" s="362"/>
      <c r="U32" s="362"/>
      <c r="V32" s="362"/>
      <c r="Y32" s="363"/>
    </row>
    <row r="33" spans="1:30" s="329" customFormat="1" ht="14.25">
      <c r="F33" s="350"/>
      <c r="H33" s="350"/>
      <c r="I33" s="350"/>
      <c r="J33" s="350"/>
      <c r="K33" s="350"/>
      <c r="L33" s="352"/>
      <c r="O33" s="362"/>
      <c r="P33" s="362"/>
      <c r="Q33" s="362"/>
      <c r="R33" s="362"/>
      <c r="S33" s="362"/>
      <c r="T33" s="362"/>
      <c r="U33" s="362"/>
      <c r="V33" s="362"/>
      <c r="Y33" s="363"/>
    </row>
    <row r="34" spans="1:30" s="329" customFormat="1" ht="14.25">
      <c r="F34" s="350"/>
      <c r="H34" s="350"/>
      <c r="I34" s="350"/>
      <c r="J34" s="350"/>
      <c r="K34" s="350"/>
      <c r="L34" s="352"/>
      <c r="N34" s="329">
        <v>4</v>
      </c>
      <c r="O34" s="362">
        <v>1</v>
      </c>
      <c r="P34" s="362"/>
      <c r="Q34" s="362" t="s">
        <v>131</v>
      </c>
      <c r="R34" s="362" t="s">
        <v>130</v>
      </c>
      <c r="S34" s="362"/>
      <c r="T34" s="362"/>
      <c r="U34" s="362"/>
      <c r="V34" s="362"/>
      <c r="Y34" s="363"/>
    </row>
    <row r="35" spans="1:30" s="329" customFormat="1" ht="14.25">
      <c r="F35" s="350"/>
      <c r="H35" s="350"/>
      <c r="I35" s="350"/>
      <c r="J35" s="350"/>
      <c r="K35" s="350"/>
      <c r="L35" s="352"/>
      <c r="O35" s="362"/>
      <c r="P35" s="362"/>
      <c r="Q35" s="362"/>
      <c r="R35" s="362"/>
      <c r="S35" s="362"/>
      <c r="T35" s="362"/>
      <c r="U35" s="362"/>
      <c r="V35" s="362"/>
      <c r="Y35" s="363"/>
    </row>
    <row r="36" spans="1:30" ht="14.25">
      <c r="A36" s="329"/>
      <c r="B36" s="329"/>
      <c r="C36" s="329"/>
      <c r="D36" s="329"/>
      <c r="E36" s="329"/>
      <c r="F36" s="350"/>
      <c r="G36" s="329"/>
      <c r="H36" s="350"/>
      <c r="I36" s="350"/>
      <c r="J36" s="350"/>
      <c r="K36" s="350"/>
      <c r="L36" s="352"/>
      <c r="O36" s="48">
        <f>LOOKUP(E$11,$Q$48:$Q$139,$S$48:$S$139)</f>
        <v>1.0586009891993597</v>
      </c>
      <c r="P36" s="49">
        <v>1</v>
      </c>
      <c r="Q36" s="47" t="s">
        <v>703</v>
      </c>
      <c r="R36" s="47" t="s">
        <v>703</v>
      </c>
      <c r="S36" s="47"/>
      <c r="T36" s="47"/>
      <c r="U36" s="47"/>
      <c r="V36" s="47"/>
      <c r="Y36" s="158"/>
    </row>
    <row r="37" spans="1:30" ht="14.25">
      <c r="A37" s="329"/>
      <c r="B37" s="329"/>
      <c r="C37" s="329"/>
      <c r="D37" s="329"/>
      <c r="E37" s="329"/>
      <c r="F37" s="350"/>
      <c r="G37" s="329"/>
      <c r="H37" s="350"/>
      <c r="I37" s="350"/>
      <c r="J37" s="350"/>
      <c r="K37" s="350"/>
      <c r="L37" s="352"/>
      <c r="O37" s="48">
        <f>LOOKUP(E$11,$Q$48:$Q$139,$T$48:$T$139)</f>
        <v>1.0586009891993597</v>
      </c>
      <c r="P37" s="49">
        <v>2</v>
      </c>
      <c r="Q37" s="47" t="s">
        <v>703</v>
      </c>
      <c r="R37" s="47" t="s">
        <v>704</v>
      </c>
      <c r="S37" s="47"/>
      <c r="T37" s="47"/>
      <c r="U37" s="47"/>
      <c r="V37" s="47"/>
      <c r="Y37" s="144"/>
    </row>
    <row r="38" spans="1:30" ht="14.25">
      <c r="A38" s="329"/>
      <c r="B38" s="329"/>
      <c r="C38" s="329"/>
      <c r="D38" s="329"/>
      <c r="E38" s="329"/>
      <c r="F38" s="350"/>
      <c r="G38" s="329"/>
      <c r="H38" s="350"/>
      <c r="I38" s="350"/>
      <c r="J38" s="350"/>
      <c r="K38" s="350"/>
      <c r="L38" s="352"/>
      <c r="O38" s="48">
        <f>O36/LOOKUP(E$6,$Q$48:$Q$139,$T$48:$T$139)</f>
        <v>1.0586009891993597</v>
      </c>
      <c r="P38" s="49">
        <v>3</v>
      </c>
      <c r="Q38" s="47" t="s">
        <v>704</v>
      </c>
      <c r="R38" s="47" t="s">
        <v>703</v>
      </c>
      <c r="S38" s="47"/>
      <c r="T38" s="47"/>
      <c r="U38" s="47"/>
      <c r="V38" s="47"/>
      <c r="W38" s="103"/>
      <c r="X38" s="103" t="s">
        <v>437</v>
      </c>
      <c r="Y38" s="268"/>
      <c r="Z38" s="103"/>
      <c r="AA38" s="103"/>
      <c r="AB38" s="103"/>
    </row>
    <row r="39" spans="1:30" ht="14.25">
      <c r="A39" s="329"/>
      <c r="B39" s="329"/>
      <c r="C39" s="329"/>
      <c r="D39" s="329"/>
      <c r="E39" s="329"/>
      <c r="F39" s="350"/>
      <c r="G39" s="329"/>
      <c r="H39" s="350"/>
      <c r="I39" s="350"/>
      <c r="J39" s="350"/>
      <c r="K39" s="350"/>
      <c r="L39" s="352"/>
      <c r="O39" s="48">
        <f>LOOKUP(E$11,$Q$48:$Q$139,$U$48:$U$139)</f>
        <v>1.0586009891993597</v>
      </c>
      <c r="P39" s="49">
        <v>4</v>
      </c>
      <c r="Q39" s="47" t="s">
        <v>704</v>
      </c>
      <c r="R39" s="47" t="s">
        <v>704</v>
      </c>
      <c r="S39" s="47"/>
      <c r="T39" s="47"/>
      <c r="U39" s="47"/>
      <c r="V39" s="47"/>
      <c r="W39" s="103"/>
      <c r="X39" s="273">
        <v>75</v>
      </c>
      <c r="Y39" s="274">
        <v>73</v>
      </c>
      <c r="Z39" s="273">
        <v>74</v>
      </c>
      <c r="AA39" s="103"/>
      <c r="AB39" s="103"/>
    </row>
    <row r="40" spans="1:30" ht="14.25">
      <c r="A40" s="329"/>
      <c r="B40" s="329"/>
      <c r="C40" s="329"/>
      <c r="D40" s="329"/>
      <c r="E40" s="329"/>
      <c r="F40" s="350"/>
      <c r="G40" s="329"/>
      <c r="H40" s="350"/>
      <c r="I40" s="350"/>
      <c r="J40" s="350"/>
      <c r="K40" s="350"/>
      <c r="L40" s="352"/>
      <c r="O40" s="47"/>
      <c r="P40" s="47"/>
      <c r="Q40" s="47"/>
      <c r="R40" s="47"/>
      <c r="S40" s="47"/>
      <c r="T40" s="47"/>
      <c r="U40" s="47"/>
      <c r="V40" s="47"/>
      <c r="W40" s="103"/>
      <c r="X40" s="273">
        <v>77</v>
      </c>
      <c r="Y40" s="275">
        <v>73</v>
      </c>
      <c r="Z40" s="273">
        <v>76</v>
      </c>
      <c r="AA40" s="103"/>
      <c r="AB40" s="103"/>
    </row>
    <row r="41" spans="1:30" ht="14.25">
      <c r="A41" s="329"/>
      <c r="B41" s="329"/>
      <c r="C41" s="329"/>
      <c r="D41" s="329"/>
      <c r="E41" s="329"/>
      <c r="F41" s="350"/>
      <c r="G41" s="329"/>
      <c r="H41" s="350"/>
      <c r="I41" s="350"/>
      <c r="J41" s="350"/>
      <c r="K41" s="350"/>
      <c r="L41" s="352"/>
      <c r="O41" s="47"/>
      <c r="P41" s="47"/>
      <c r="Q41" s="47"/>
      <c r="R41" s="47"/>
      <c r="S41" s="47"/>
      <c r="T41" s="47"/>
      <c r="U41" s="47"/>
      <c r="V41" s="47"/>
      <c r="W41" s="103"/>
      <c r="X41" s="273">
        <v>79</v>
      </c>
      <c r="Y41" s="275">
        <v>73</v>
      </c>
      <c r="Z41" s="273">
        <v>78</v>
      </c>
      <c r="AA41" s="103"/>
      <c r="AB41" s="103"/>
    </row>
    <row r="42" spans="1:30">
      <c r="A42" s="329"/>
      <c r="B42" s="329"/>
      <c r="C42" s="329"/>
      <c r="D42" s="329"/>
      <c r="E42" s="329"/>
      <c r="F42" s="350"/>
      <c r="G42" s="329"/>
      <c r="H42" s="350"/>
      <c r="I42" s="350"/>
      <c r="J42" s="350"/>
      <c r="K42" s="350"/>
      <c r="L42" s="417"/>
      <c r="O42" s="49" t="s">
        <v>253</v>
      </c>
      <c r="P42" s="49"/>
      <c r="Q42" s="49"/>
      <c r="R42" s="49"/>
      <c r="S42" s="49"/>
      <c r="T42" s="49"/>
      <c r="U42" s="49"/>
      <c r="V42" s="49"/>
      <c r="W42" s="103">
        <v>0.86</v>
      </c>
      <c r="X42" s="103">
        <v>0.94299999999999995</v>
      </c>
      <c r="Y42" s="269"/>
      <c r="Z42" s="103"/>
      <c r="AA42" s="103"/>
      <c r="AB42" s="103"/>
    </row>
    <row r="43" spans="1:30" ht="15">
      <c r="A43" s="329"/>
      <c r="B43" s="329"/>
      <c r="C43" s="329"/>
      <c r="D43" s="329"/>
      <c r="E43" s="329"/>
      <c r="F43" s="350"/>
      <c r="G43" s="329"/>
      <c r="H43" s="350"/>
      <c r="I43" s="350"/>
      <c r="J43" s="350"/>
      <c r="K43" s="350"/>
      <c r="L43" s="352"/>
      <c r="O43" s="49"/>
      <c r="P43" s="49"/>
      <c r="Q43" s="49"/>
      <c r="R43" s="50" t="s">
        <v>133</v>
      </c>
      <c r="S43" s="48"/>
      <c r="T43" s="49"/>
      <c r="U43" s="48"/>
      <c r="V43" s="48"/>
      <c r="W43" s="103"/>
      <c r="X43" s="103" t="s">
        <v>439</v>
      </c>
      <c r="Y43" s="103"/>
      <c r="Z43" s="103" t="s">
        <v>438</v>
      </c>
      <c r="AA43" s="103"/>
      <c r="AB43" s="103"/>
    </row>
    <row r="44" spans="1:30" ht="30" customHeight="1">
      <c r="A44" s="329"/>
      <c r="B44" s="329"/>
      <c r="C44" s="329"/>
      <c r="D44" s="329"/>
      <c r="E44" s="329"/>
      <c r="F44" s="350"/>
      <c r="G44" s="329"/>
      <c r="H44" s="350"/>
      <c r="I44" s="350"/>
      <c r="J44" s="350"/>
      <c r="K44" s="350"/>
      <c r="L44" s="352"/>
      <c r="O44" s="177" t="str">
        <f>LOOKUP($O$45,Titles!$A101:$F$150,Titles!$D$101:$D$150)</f>
        <v>Civ Pay*</v>
      </c>
      <c r="P44" s="49"/>
      <c r="Q44" s="236" t="str">
        <f>C14</f>
        <v>Civ pay = Civilian Payroll for all services (OSD Cost Escalation Element)</v>
      </c>
      <c r="R44" s="176"/>
      <c r="S44" s="176"/>
      <c r="T44" s="176"/>
      <c r="U44" s="176"/>
      <c r="V44" s="176"/>
      <c r="W44" s="270"/>
      <c r="X44" s="103" t="e">
        <f>VLOOKUP($O$46,X39:Z41,2)</f>
        <v>#N/A</v>
      </c>
      <c r="Y44" s="103"/>
      <c r="Z44" s="103" t="e">
        <f>VLOOKUP($O$46,X39:Z41,3)</f>
        <v>#N/A</v>
      </c>
      <c r="AA44" s="103"/>
      <c r="AB44" s="103"/>
    </row>
    <row r="45" spans="1:30" ht="15">
      <c r="A45" s="329"/>
      <c r="B45" s="329"/>
      <c r="C45" s="329"/>
      <c r="D45" s="329"/>
      <c r="E45" s="329"/>
      <c r="F45" s="350"/>
      <c r="G45" s="329"/>
      <c r="H45" s="350"/>
      <c r="I45" s="350"/>
      <c r="J45" s="350"/>
      <c r="K45" s="350"/>
      <c r="L45" s="352"/>
      <c r="N45">
        <v>1</v>
      </c>
      <c r="O45" s="51">
        <f>IF(AND(E2="Army",N45&gt;26),26,IF(AND(E2="Marine Corps",N45&gt;16),16,IF(AND(E2="DoD Wide",N45&gt;8),8,N45)))</f>
        <v>1</v>
      </c>
      <c r="P45" s="117">
        <f>LOOKUP(E6,Q48:Q139,P48:P139)</f>
        <v>6.1055577604728226</v>
      </c>
      <c r="Q45" s="245" t="str">
        <f>E2</f>
        <v>DoD Wide</v>
      </c>
      <c r="R45" s="237"/>
      <c r="S45" s="238" t="s">
        <v>88</v>
      </c>
      <c r="T45" s="239">
        <f>+E6</f>
        <v>2017</v>
      </c>
      <c r="U45" s="219"/>
      <c r="V45" s="246">
        <f ca="1">NOW()</f>
        <v>43007.591650578703</v>
      </c>
      <c r="W45" s="103"/>
      <c r="X45" s="103" t="str">
        <f>LOOKUP(E6,Q48:Q139,W48:W139)</f>
        <v/>
      </c>
      <c r="Y45" s="103"/>
      <c r="Z45" s="103" t="e">
        <f>LOOKUP(E6,Q48:Q139,Z48:Z139)</f>
        <v>#N/A</v>
      </c>
      <c r="AA45" s="103"/>
      <c r="AB45" s="103"/>
    </row>
    <row r="46" spans="1:30" ht="14.25">
      <c r="A46" s="329"/>
      <c r="B46" s="329"/>
      <c r="C46" s="329"/>
      <c r="D46" s="329"/>
      <c r="E46" s="329"/>
      <c r="F46" s="350"/>
      <c r="G46" s="329"/>
      <c r="H46" s="350"/>
      <c r="I46" s="350"/>
      <c r="J46" s="350"/>
      <c r="K46" s="350"/>
      <c r="L46" s="352"/>
      <c r="M46" s="142"/>
      <c r="N46" s="123"/>
      <c r="O46" s="140">
        <f>LOOKUP(Query!$O$45,Titles!$A$101:$G$150,Titles!$C$101:$C$150)</f>
        <v>26</v>
      </c>
      <c r="P46" s="118">
        <f>LOOKUP(E6,Q48:Q139,T48:T139)</f>
        <v>1</v>
      </c>
      <c r="Q46" s="178"/>
      <c r="R46" s="179">
        <v>1</v>
      </c>
      <c r="S46" s="102">
        <v>2</v>
      </c>
      <c r="T46" s="102">
        <v>3</v>
      </c>
      <c r="U46" s="102">
        <v>4</v>
      </c>
      <c r="V46" s="101">
        <v>5</v>
      </c>
      <c r="W46" s="103"/>
      <c r="X46" s="103" t="str">
        <f>IF(OR(O46=75,O46=77,O46=79),"Yes","No")</f>
        <v>No</v>
      </c>
      <c r="Y46" s="103"/>
      <c r="Z46" s="103"/>
      <c r="AA46" s="103"/>
      <c r="AB46" s="103"/>
    </row>
    <row r="47" spans="1:30" ht="51">
      <c r="A47" s="329"/>
      <c r="B47" s="329"/>
      <c r="C47" s="329"/>
      <c r="D47" s="329"/>
      <c r="E47" s="329"/>
      <c r="F47" s="350"/>
      <c r="G47" s="329"/>
      <c r="H47" s="350"/>
      <c r="I47" s="350"/>
      <c r="J47" s="350"/>
      <c r="K47" s="350"/>
      <c r="L47" s="352"/>
      <c r="M47" s="133"/>
      <c r="N47" s="123"/>
      <c r="O47" s="141" t="s">
        <v>206</v>
      </c>
      <c r="P47" s="52" t="str">
        <f>IF(Q45="Army","Raw Index 1985","Raw Index 1970")</f>
        <v>Raw Index 1970</v>
      </c>
      <c r="Q47" s="60" t="s">
        <v>27</v>
      </c>
      <c r="R47" s="60" t="s">
        <v>107</v>
      </c>
      <c r="S47" s="60" t="s">
        <v>31</v>
      </c>
      <c r="T47" s="61" t="s">
        <v>30</v>
      </c>
      <c r="U47" s="61" t="s">
        <v>100</v>
      </c>
      <c r="V47" s="60" t="s">
        <v>108</v>
      </c>
      <c r="W47" s="276" t="s">
        <v>440</v>
      </c>
      <c r="X47" s="276" t="s">
        <v>441</v>
      </c>
      <c r="Y47" s="276" t="s">
        <v>442</v>
      </c>
      <c r="Z47" s="276" t="s">
        <v>440</v>
      </c>
      <c r="AA47" s="276" t="s">
        <v>441</v>
      </c>
      <c r="AB47" s="276" t="s">
        <v>442</v>
      </c>
      <c r="AC47" s="282" t="s">
        <v>27</v>
      </c>
      <c r="AD47" s="282" t="s">
        <v>443</v>
      </c>
    </row>
    <row r="48" spans="1:30" ht="12.75" customHeight="1">
      <c r="A48" s="329"/>
      <c r="B48" s="329"/>
      <c r="C48" s="329"/>
      <c r="D48" s="329"/>
      <c r="E48" s="329"/>
      <c r="F48" s="350"/>
      <c r="G48" s="329"/>
      <c r="H48" s="350"/>
      <c r="I48" s="350"/>
      <c r="J48" s="350"/>
      <c r="K48" s="350"/>
      <c r="L48" s="352"/>
      <c r="M48" s="140"/>
      <c r="N48" s="143"/>
      <c r="O48" s="140">
        <v>2</v>
      </c>
      <c r="P48" s="110">
        <f>HLOOKUP($O$46,'1970=1 Infl Index'!$A$6:$CD$62,O48)</f>
        <v>1</v>
      </c>
      <c r="Q48" s="49">
        <f>IF(ISNUMBER(SEARCH("army",$Q$45)),1985,1970)</f>
        <v>1970</v>
      </c>
      <c r="R48" s="111">
        <f>(HLOOKUP($O$46,Inflation!$A$6:$CD$62,O48))/100</f>
        <v>0.1176</v>
      </c>
      <c r="S48" s="48">
        <f>IF($X$46="Yes",($W$42*X48+(1-$W$42)*AA48),P48/$P$45)</f>
        <v>0.16378520017842868</v>
      </c>
      <c r="T48" s="207">
        <f t="shared" ref="T48:T58" si="2">IF(AND($X$46="Yes",AB48&lt;&gt;"N/A"),($W$42*Y48+(1-$W$42)*AB48),IF(AND($X$46="Yes",AB48="N/A"),"N/A",IF((HLOOKUP($O$46,comboutfac,$O48))*rawindx=0,"N/A",(HLOOKUP($O$46,comboutfac,$O48))*rawindx)))</f>
        <v>0.16378520017842868</v>
      </c>
      <c r="U48" s="48">
        <f>IF($T48="N/A","N/A",+T48/$P$46)</f>
        <v>0.16378520017842868</v>
      </c>
      <c r="V48" s="48"/>
      <c r="W48" s="277" t="str">
        <f>IF($X$46&lt;&gt;"Yes","",HLOOKUP($X$44,'1970=1 Infl Index'!$A$6:$CD$62,$O48))</f>
        <v/>
      </c>
      <c r="X48" s="271" t="e">
        <f>W48/$X$45</f>
        <v>#VALUE!</v>
      </c>
      <c r="Y48" s="281" t="e">
        <f t="shared" ref="Y48:Y79" si="3">IF((HLOOKUP($X$44,comboutfac,$O48))*rawindx2=0,"N/A",(HLOOKUP($X$44,comboutfac,$O48))*rawindx2)</f>
        <v>#N/A</v>
      </c>
      <c r="Z48" s="277" t="e">
        <f>HLOOKUP($Z$44,'1970=1 Infl Index'!$A$6:$CD$62,$O48)</f>
        <v>#N/A</v>
      </c>
      <c r="AA48" s="168" t="e">
        <f>Z48/$Z$45</f>
        <v>#N/A</v>
      </c>
      <c r="AB48" s="168" t="str">
        <f t="shared" ref="AB48:AB79" si="4">IF($X$46&lt;&gt;"Yes","",IF((HLOOKUP($Z$44,comboutfac,$O48))*rawindx3=0,"N/A",(HLOOKUP($Z$44,comboutfac,$O48))*rawindx3))</f>
        <v/>
      </c>
      <c r="AC48" s="283">
        <v>1970</v>
      </c>
      <c r="AD48" s="283">
        <v>1985</v>
      </c>
    </row>
    <row r="49" spans="1:30">
      <c r="M49" s="285"/>
      <c r="N49" s="284"/>
      <c r="O49" s="140">
        <f t="shared" ref="O49:O88" si="5">+O48+1</f>
        <v>3</v>
      </c>
      <c r="P49" s="110">
        <f>HLOOKUP($O$46,'1970=1 Infl Index'!$A$6:$CD$62,O49)</f>
        <v>1.0886</v>
      </c>
      <c r="Q49" s="49">
        <f>Q48+1</f>
        <v>1971</v>
      </c>
      <c r="R49" s="111">
        <f>IF($X$46="yes",(S49/S48)-1,(HLOOKUP($O$46,Inflation!$A$6:$CD$62,O49))/100)</f>
        <v>8.8599999999999998E-2</v>
      </c>
      <c r="S49" s="48">
        <f t="shared" ref="S49:S58" si="6">IF($X$46="Yes",($W$42*X49+(1-$W$42)*AA49),P49/$P$45)</f>
        <v>0.17829656891423748</v>
      </c>
      <c r="T49" s="207">
        <f t="shared" si="2"/>
        <v>0.17829656891423748</v>
      </c>
      <c r="U49" s="48">
        <f t="shared" ref="U49:U112" si="7">IF($T49="N/A","N/A",+T49/$P$46)</f>
        <v>0.17829656891423748</v>
      </c>
      <c r="V49" s="53">
        <f t="shared" ref="V49:V112" si="8">IF($U48="N/A","N/A",(U49-U48)/U48)</f>
        <v>8.8600000000000109E-2</v>
      </c>
      <c r="W49" s="277" t="str">
        <f>IF($X$46&lt;&gt;"Yes","",HLOOKUP($X$44,'1970=1 Infl Index'!$A$6:$CD$62,$O49))</f>
        <v/>
      </c>
      <c r="X49" s="271" t="e">
        <f t="shared" ref="X49:X112" si="9">W49/$X$45</f>
        <v>#VALUE!</v>
      </c>
      <c r="Y49" s="281" t="e">
        <f t="shared" si="3"/>
        <v>#N/A</v>
      </c>
      <c r="Z49" s="277" t="e">
        <f>HLOOKUP($Z$44,'1970=1 Infl Index'!$A$6:$CD$62,$O49)</f>
        <v>#N/A</v>
      </c>
      <c r="AA49" s="168" t="e">
        <f t="shared" ref="AA49:AA112" si="10">Z49/$Z$45</f>
        <v>#N/A</v>
      </c>
      <c r="AB49" s="103" t="str">
        <f t="shared" si="4"/>
        <v/>
      </c>
      <c r="AC49" s="283">
        <v>1971</v>
      </c>
      <c r="AD49" s="283">
        <v>1986</v>
      </c>
    </row>
    <row r="50" spans="1:30">
      <c r="A50" s="11"/>
      <c r="B50" s="11"/>
      <c r="C50" s="11"/>
      <c r="D50" s="11"/>
      <c r="E50" s="11"/>
      <c r="F50" s="12"/>
      <c r="G50" s="11"/>
      <c r="H50" s="12"/>
      <c r="I50" s="12"/>
      <c r="J50" s="12"/>
      <c r="K50" s="12"/>
      <c r="L50" s="139"/>
      <c r="M50" s="285"/>
      <c r="N50" s="284"/>
      <c r="O50" s="140">
        <f t="shared" si="5"/>
        <v>4</v>
      </c>
      <c r="P50" s="110">
        <f>HLOOKUP($O$46,'1970=1 Infl Index'!$A$6:$CD$62,O50)</f>
        <v>1.18091328</v>
      </c>
      <c r="Q50" s="49">
        <f t="shared" ref="Q50:Q102" si="11">Q49+1</f>
        <v>1972</v>
      </c>
      <c r="R50" s="111">
        <f>IF($X$46="yes",(S50/S49)-1,(HLOOKUP($O$46,Inflation!$A$6:$CD$62,O50))/100)</f>
        <v>8.48E-2</v>
      </c>
      <c r="S50" s="48">
        <f t="shared" si="6"/>
        <v>0.1934161179581648</v>
      </c>
      <c r="T50" s="207">
        <f t="shared" si="2"/>
        <v>0.1934161179581648</v>
      </c>
      <c r="U50" s="48">
        <f t="shared" si="7"/>
        <v>0.1934161179581648</v>
      </c>
      <c r="V50" s="53">
        <f t="shared" si="8"/>
        <v>8.4799999999999875E-2</v>
      </c>
      <c r="W50" s="277" t="str">
        <f>IF($X$46&lt;&gt;"Yes","",HLOOKUP($X$44,'1970=1 Infl Index'!$A$6:$CD$62,$O50))</f>
        <v/>
      </c>
      <c r="X50" s="271" t="e">
        <f t="shared" si="9"/>
        <v>#VALUE!</v>
      </c>
      <c r="Y50" s="281" t="e">
        <f t="shared" si="3"/>
        <v>#N/A</v>
      </c>
      <c r="Z50" s="277" t="e">
        <f>HLOOKUP($Z$44,'1970=1 Infl Index'!$A$6:$CD$62,$O50)</f>
        <v>#N/A</v>
      </c>
      <c r="AA50" s="168" t="e">
        <f t="shared" si="10"/>
        <v>#N/A</v>
      </c>
      <c r="AB50" s="103" t="str">
        <f t="shared" si="4"/>
        <v/>
      </c>
      <c r="AC50" s="283">
        <v>1972</v>
      </c>
      <c r="AD50" s="283">
        <v>1987</v>
      </c>
    </row>
    <row r="51" spans="1:30">
      <c r="A51" s="11"/>
      <c r="B51" s="11"/>
      <c r="C51" s="11"/>
      <c r="D51" s="11"/>
      <c r="E51" s="11"/>
      <c r="F51" s="12"/>
      <c r="G51" s="11"/>
      <c r="H51" s="12"/>
      <c r="I51" s="12"/>
      <c r="J51" s="12"/>
      <c r="K51" s="12"/>
      <c r="L51" s="139"/>
      <c r="M51" s="285"/>
      <c r="N51" s="284"/>
      <c r="O51" s="140">
        <f t="shared" si="5"/>
        <v>5</v>
      </c>
      <c r="P51" s="110">
        <f>HLOOKUP($O$46,'1970=1 Infl Index'!$A$6:$CD$62,O51)</f>
        <v>1.251413802816</v>
      </c>
      <c r="Q51" s="49">
        <f t="shared" si="11"/>
        <v>1973</v>
      </c>
      <c r="R51" s="111">
        <f>IF($X$46="yes",(S51/S50)-1,(HLOOKUP($O$46,Inflation!$A$6:$CD$62,O51))/100)</f>
        <v>5.9699999999999996E-2</v>
      </c>
      <c r="S51" s="48">
        <f t="shared" si="6"/>
        <v>0.20496306020026725</v>
      </c>
      <c r="T51" s="207">
        <f t="shared" si="2"/>
        <v>0.20496306020026725</v>
      </c>
      <c r="U51" s="48">
        <f t="shared" si="7"/>
        <v>0.20496306020026725</v>
      </c>
      <c r="V51" s="53">
        <f t="shared" si="8"/>
        <v>5.9700000000000079E-2</v>
      </c>
      <c r="W51" s="277" t="str">
        <f>IF($X$46&lt;&gt;"Yes","",HLOOKUP($X$44,'1970=1 Infl Index'!$A$6:$CD$62,$O51))</f>
        <v/>
      </c>
      <c r="X51" s="271" t="e">
        <f t="shared" si="9"/>
        <v>#VALUE!</v>
      </c>
      <c r="Y51" s="281" t="e">
        <f t="shared" si="3"/>
        <v>#N/A</v>
      </c>
      <c r="Z51" s="277" t="e">
        <f>HLOOKUP($Z$44,'1970=1 Infl Index'!$A$6:$CD$62,$O51)</f>
        <v>#N/A</v>
      </c>
      <c r="AA51" s="168" t="e">
        <f t="shared" si="10"/>
        <v>#N/A</v>
      </c>
      <c r="AB51" s="103" t="str">
        <f t="shared" si="4"/>
        <v/>
      </c>
      <c r="AC51" s="283">
        <v>1973</v>
      </c>
      <c r="AD51" s="283">
        <v>1988</v>
      </c>
    </row>
    <row r="52" spans="1:30">
      <c r="A52" s="11"/>
      <c r="B52" s="11"/>
      <c r="C52" s="11"/>
      <c r="D52" s="11"/>
      <c r="E52" s="11"/>
      <c r="F52" s="12"/>
      <c r="G52" s="11"/>
      <c r="H52" s="12"/>
      <c r="I52" s="12"/>
      <c r="J52" s="12"/>
      <c r="K52" s="12"/>
      <c r="L52" s="139"/>
      <c r="M52" s="285"/>
      <c r="N52" s="284"/>
      <c r="O52" s="140">
        <f t="shared" si="5"/>
        <v>6</v>
      </c>
      <c r="P52" s="110">
        <f>HLOOKUP($O$46,'1970=1 Infl Index'!$A$6:$CD$62,O52)</f>
        <v>1.3652924588722559</v>
      </c>
      <c r="Q52" s="49">
        <f t="shared" si="11"/>
        <v>1974</v>
      </c>
      <c r="R52" s="111">
        <f>IF($X$46="yes",(S52/S51)-1,(HLOOKUP($O$46,Inflation!$A$6:$CD$62,O52))/100)</f>
        <v>9.0999999999999998E-2</v>
      </c>
      <c r="S52" s="48">
        <f t="shared" si="6"/>
        <v>0.22361469867849154</v>
      </c>
      <c r="T52" s="207">
        <f t="shared" si="2"/>
        <v>0.22361469867849154</v>
      </c>
      <c r="U52" s="48">
        <f t="shared" si="7"/>
        <v>0.22361469867849154</v>
      </c>
      <c r="V52" s="53">
        <f t="shared" si="8"/>
        <v>9.0999999999999859E-2</v>
      </c>
      <c r="W52" s="277" t="str">
        <f>IF($X$46&lt;&gt;"Yes","",HLOOKUP($X$44,'1970=1 Infl Index'!$A$6:$CD$62,$O52))</f>
        <v/>
      </c>
      <c r="X52" s="271" t="e">
        <f t="shared" si="9"/>
        <v>#VALUE!</v>
      </c>
      <c r="Y52" s="281" t="e">
        <f t="shared" si="3"/>
        <v>#N/A</v>
      </c>
      <c r="Z52" s="277" t="e">
        <f>HLOOKUP($Z$44,'1970=1 Infl Index'!$A$6:$CD$62,$O52)</f>
        <v>#N/A</v>
      </c>
      <c r="AA52" s="168" t="e">
        <f t="shared" si="10"/>
        <v>#N/A</v>
      </c>
      <c r="AB52" s="103" t="str">
        <f t="shared" si="4"/>
        <v/>
      </c>
      <c r="AC52" s="283">
        <v>1974</v>
      </c>
      <c r="AD52" s="283">
        <v>1989</v>
      </c>
    </row>
    <row r="53" spans="1:30">
      <c r="M53" s="285"/>
      <c r="N53" s="284"/>
      <c r="O53" s="140">
        <f t="shared" si="5"/>
        <v>7</v>
      </c>
      <c r="P53" s="110">
        <f>HLOOKUP($O$46,'1970=1 Infl Index'!$A$6:$CD$62,O53)</f>
        <v>1.4777925574833299</v>
      </c>
      <c r="Q53" s="49">
        <f t="shared" si="11"/>
        <v>1975</v>
      </c>
      <c r="R53" s="111">
        <f>IF($X$46="yes",(S53/S52)-1,(HLOOKUP($O$46,Inflation!$A$6:$CD$62,O53))/100)</f>
        <v>8.2400000000000001E-2</v>
      </c>
      <c r="S53" s="48">
        <f t="shared" si="6"/>
        <v>0.24204054984959927</v>
      </c>
      <c r="T53" s="207">
        <f t="shared" si="2"/>
        <v>0.24204054984959927</v>
      </c>
      <c r="U53" s="48">
        <f t="shared" si="7"/>
        <v>0.24204054984959927</v>
      </c>
      <c r="V53" s="53">
        <f t="shared" si="8"/>
        <v>8.2400000000000126E-2</v>
      </c>
      <c r="W53" s="277" t="str">
        <f>IF($X$46&lt;&gt;"Yes","",HLOOKUP($X$44,'1970=1 Infl Index'!$A$6:$CD$62,$O53))</f>
        <v/>
      </c>
      <c r="X53" s="271" t="e">
        <f t="shared" si="9"/>
        <v>#VALUE!</v>
      </c>
      <c r="Y53" s="281" t="e">
        <f t="shared" si="3"/>
        <v>#N/A</v>
      </c>
      <c r="Z53" s="277" t="e">
        <f>HLOOKUP($Z$44,'1970=1 Infl Index'!$A$6:$CD$62,$O53)</f>
        <v>#N/A</v>
      </c>
      <c r="AA53" s="168" t="e">
        <f t="shared" si="10"/>
        <v>#N/A</v>
      </c>
      <c r="AB53" s="103" t="str">
        <f t="shared" si="4"/>
        <v/>
      </c>
      <c r="AC53" s="283">
        <v>1975</v>
      </c>
      <c r="AD53" s="283">
        <v>1990</v>
      </c>
    </row>
    <row r="54" spans="1:30">
      <c r="M54" s="285"/>
      <c r="N54" s="284"/>
      <c r="O54" s="140">
        <f t="shared" si="5"/>
        <v>8</v>
      </c>
      <c r="P54" s="110">
        <f>HLOOKUP($O$46,'1970=1 Infl Index'!$A$6:$CD$62,O54)</f>
        <v>1.5997104434757048</v>
      </c>
      <c r="Q54" s="49">
        <f t="shared" si="11"/>
        <v>1976</v>
      </c>
      <c r="R54" s="111">
        <f>IF($X$46="yes",(S54/S53)-1,(HLOOKUP($O$46,Inflation!$A$6:$CD$62,O54))/100)</f>
        <v>8.2500000000000004E-2</v>
      </c>
      <c r="S54" s="48">
        <f t="shared" si="6"/>
        <v>0.26200889521219123</v>
      </c>
      <c r="T54" s="207">
        <f t="shared" si="2"/>
        <v>0.26200889521219123</v>
      </c>
      <c r="U54" s="48">
        <f t="shared" si="7"/>
        <v>0.26200889521219123</v>
      </c>
      <c r="V54" s="53">
        <f t="shared" si="8"/>
        <v>8.2500000000000059E-2</v>
      </c>
      <c r="W54" s="277" t="str">
        <f>IF($X$46&lt;&gt;"Yes","",HLOOKUP($X$44,'1970=1 Infl Index'!$A$6:$CD$62,$O54))</f>
        <v/>
      </c>
      <c r="X54" s="271" t="e">
        <f t="shared" si="9"/>
        <v>#VALUE!</v>
      </c>
      <c r="Y54" s="281" t="e">
        <f t="shared" si="3"/>
        <v>#N/A</v>
      </c>
      <c r="Z54" s="277" t="e">
        <f>HLOOKUP($Z$44,'1970=1 Infl Index'!$A$6:$CD$62,$O54)</f>
        <v>#N/A</v>
      </c>
      <c r="AA54" s="168" t="e">
        <f t="shared" si="10"/>
        <v>#N/A</v>
      </c>
      <c r="AB54" s="103" t="str">
        <f t="shared" si="4"/>
        <v/>
      </c>
      <c r="AC54" s="283">
        <v>1976</v>
      </c>
      <c r="AD54" s="283">
        <v>1991</v>
      </c>
    </row>
    <row r="55" spans="1:30">
      <c r="M55" s="285"/>
      <c r="N55" s="284"/>
      <c r="O55" s="140">
        <f t="shared" si="5"/>
        <v>9</v>
      </c>
      <c r="P55" s="110">
        <f>HLOOKUP($O$46,'1970=1 Infl Index'!$A$6:$CD$62,O55)</f>
        <v>1.6467419305138906</v>
      </c>
      <c r="Q55" s="215" t="str">
        <f>IF($Q$45&lt;&gt;"Army","197T",Q54+1)</f>
        <v>197T</v>
      </c>
      <c r="R55" s="111">
        <f>IF($X$46="yes",(S55/S54)-1,(HLOOKUP($O$46,Inflation!$A$6:$CD$62,O55))/100)</f>
        <v>2.9399999999999999E-2</v>
      </c>
      <c r="S55" s="48">
        <f t="shared" si="6"/>
        <v>0.26971195673142967</v>
      </c>
      <c r="T55" s="207">
        <f t="shared" si="2"/>
        <v>0.26971195673142967</v>
      </c>
      <c r="U55" s="48">
        <f t="shared" si="7"/>
        <v>0.26971195673142967</v>
      </c>
      <c r="V55" s="53">
        <f t="shared" si="8"/>
        <v>2.9400000000000072E-2</v>
      </c>
      <c r="W55" s="277" t="str">
        <f>IF($X$46&lt;&gt;"Yes","",HLOOKUP($X$44,'1970=1 Infl Index'!$A$6:$CD$62,$O55))</f>
        <v/>
      </c>
      <c r="X55" s="271" t="e">
        <f t="shared" si="9"/>
        <v>#VALUE!</v>
      </c>
      <c r="Y55" s="281" t="e">
        <f t="shared" si="3"/>
        <v>#N/A</v>
      </c>
      <c r="Z55" s="277" t="e">
        <f>HLOOKUP($Z$44,'1970=1 Infl Index'!$A$6:$CD$62,$O55)</f>
        <v>#N/A</v>
      </c>
      <c r="AA55" s="168" t="e">
        <f t="shared" si="10"/>
        <v>#N/A</v>
      </c>
      <c r="AB55" s="103" t="str">
        <f t="shared" si="4"/>
        <v/>
      </c>
      <c r="AC55" s="283" t="s">
        <v>1</v>
      </c>
      <c r="AD55" s="283">
        <v>1992</v>
      </c>
    </row>
    <row r="56" spans="1:30">
      <c r="M56" s="285"/>
      <c r="N56" s="284"/>
      <c r="O56" s="140">
        <f t="shared" si="5"/>
        <v>10</v>
      </c>
      <c r="P56" s="110">
        <f>HLOOKUP($O$46,'1970=1 Infl Index'!$A$6:$CD$62,O56)</f>
        <v>1.742088288290645</v>
      </c>
      <c r="Q56" s="49">
        <f>IF($Q$45="Army",1993,1977)</f>
        <v>1977</v>
      </c>
      <c r="R56" s="111">
        <f>IF($X$46="yes",(S56/S55)-1,(HLOOKUP($O$46,Inflation!$A$6:$CD$62,O56))/100)</f>
        <v>5.79E-2</v>
      </c>
      <c r="S56" s="48">
        <f t="shared" si="6"/>
        <v>0.28532827902617947</v>
      </c>
      <c r="T56" s="207">
        <f t="shared" si="2"/>
        <v>0.28532827902617947</v>
      </c>
      <c r="U56" s="48">
        <f t="shared" si="7"/>
        <v>0.28532827902617947</v>
      </c>
      <c r="V56" s="53">
        <f t="shared" si="8"/>
        <v>5.7900000000000069E-2</v>
      </c>
      <c r="W56" s="277" t="str">
        <f>IF($X$46&lt;&gt;"Yes","",HLOOKUP($X$44,'1970=1 Infl Index'!$A$6:$CD$62,$O56))</f>
        <v/>
      </c>
      <c r="X56" s="271" t="e">
        <f t="shared" si="9"/>
        <v>#VALUE!</v>
      </c>
      <c r="Y56" s="281" t="e">
        <f t="shared" si="3"/>
        <v>#N/A</v>
      </c>
      <c r="Z56" s="277" t="e">
        <f>HLOOKUP($Z$44,'1970=1 Infl Index'!$A$6:$CD$62,$O56)</f>
        <v>#N/A</v>
      </c>
      <c r="AA56" s="168" t="e">
        <f t="shared" si="10"/>
        <v>#N/A</v>
      </c>
      <c r="AB56" s="103" t="str">
        <f t="shared" si="4"/>
        <v/>
      </c>
      <c r="AC56" s="283">
        <v>1977</v>
      </c>
      <c r="AD56" s="283">
        <v>1993</v>
      </c>
    </row>
    <row r="57" spans="1:30">
      <c r="M57" s="285"/>
      <c r="N57" s="284"/>
      <c r="O57" s="140">
        <f t="shared" si="5"/>
        <v>11</v>
      </c>
      <c r="P57" s="110">
        <f>HLOOKUP($O$46,'1970=1 Infl Index'!$A$6:$CD$62,O57)</f>
        <v>1.8769259218043408</v>
      </c>
      <c r="Q57" s="49">
        <f t="shared" si="11"/>
        <v>1978</v>
      </c>
      <c r="R57" s="111">
        <f>IF($X$46="yes",(S57/S56)-1,(HLOOKUP($O$46,Inflation!$A$6:$CD$62,O57))/100)</f>
        <v>7.7399999999999997E-2</v>
      </c>
      <c r="S57" s="48">
        <f t="shared" si="6"/>
        <v>0.30741268782280573</v>
      </c>
      <c r="T57" s="207">
        <f t="shared" si="2"/>
        <v>0.30741268782280573</v>
      </c>
      <c r="U57" s="48">
        <f t="shared" si="7"/>
        <v>0.30741268782280573</v>
      </c>
      <c r="V57" s="53">
        <f t="shared" si="8"/>
        <v>7.7399999999999913E-2</v>
      </c>
      <c r="W57" s="277" t="str">
        <f>IF($X$46&lt;&gt;"Yes","",HLOOKUP($X$44,'1970=1 Infl Index'!$A$6:$CD$62,$O57))</f>
        <v/>
      </c>
      <c r="X57" s="271" t="e">
        <f t="shared" si="9"/>
        <v>#VALUE!</v>
      </c>
      <c r="Y57" s="281" t="e">
        <f t="shared" si="3"/>
        <v>#N/A</v>
      </c>
      <c r="Z57" s="277" t="e">
        <f>HLOOKUP($Z$44,'1970=1 Infl Index'!$A$6:$CD$62,$O57)</f>
        <v>#N/A</v>
      </c>
      <c r="AA57" s="168" t="e">
        <f t="shared" si="10"/>
        <v>#N/A</v>
      </c>
      <c r="AB57" s="103" t="str">
        <f t="shared" si="4"/>
        <v/>
      </c>
      <c r="AC57" s="283">
        <v>1978</v>
      </c>
      <c r="AD57" s="283">
        <v>1994</v>
      </c>
    </row>
    <row r="58" spans="1:30">
      <c r="A58" s="11"/>
      <c r="B58" s="11"/>
      <c r="C58" s="11"/>
      <c r="D58" s="11"/>
      <c r="E58" s="11"/>
      <c r="F58" s="11"/>
      <c r="G58" s="11"/>
      <c r="H58" s="11"/>
      <c r="I58" s="11"/>
      <c r="J58" s="12"/>
      <c r="K58" s="12"/>
      <c r="L58" s="139"/>
      <c r="M58" s="285"/>
      <c r="N58" s="284"/>
      <c r="O58" s="49">
        <f t="shared" si="5"/>
        <v>12</v>
      </c>
      <c r="P58" s="110">
        <f>HLOOKUP($O$46,'1970=1 Infl Index'!$A$6:$CD$62,O58)</f>
        <v>1.9902922474813229</v>
      </c>
      <c r="Q58" s="49">
        <f t="shared" si="11"/>
        <v>1979</v>
      </c>
      <c r="R58" s="111">
        <f>IF($X$46="yes",(S58/S57)-1,(HLOOKUP($O$46,Inflation!$A$6:$CD$62,O58))/100)</f>
        <v>6.0400000000000002E-2</v>
      </c>
      <c r="S58" s="48">
        <f t="shared" si="6"/>
        <v>0.32598041416730322</v>
      </c>
      <c r="T58" s="207">
        <f t="shared" si="2"/>
        <v>0.32598041416730322</v>
      </c>
      <c r="U58" s="48">
        <f t="shared" si="7"/>
        <v>0.32598041416730322</v>
      </c>
      <c r="V58" s="53">
        <f t="shared" si="8"/>
        <v>6.0400000000000086E-2</v>
      </c>
      <c r="W58" s="277" t="str">
        <f>IF($X$46&lt;&gt;"Yes","",HLOOKUP($X$44,'1970=1 Infl Index'!$A$6:$CD$62,$O58))</f>
        <v/>
      </c>
      <c r="X58" s="271" t="e">
        <f t="shared" si="9"/>
        <v>#VALUE!</v>
      </c>
      <c r="Y58" s="281" t="e">
        <f t="shared" si="3"/>
        <v>#N/A</v>
      </c>
      <c r="Z58" s="277" t="e">
        <f>HLOOKUP($Z$44,'1970=1 Infl Index'!$A$6:$CD$62,$O58)</f>
        <v>#N/A</v>
      </c>
      <c r="AA58" s="168" t="e">
        <f t="shared" si="10"/>
        <v>#N/A</v>
      </c>
      <c r="AB58" s="103" t="str">
        <f t="shared" si="4"/>
        <v/>
      </c>
      <c r="AC58" s="283">
        <v>1979</v>
      </c>
      <c r="AD58" s="283">
        <v>1995</v>
      </c>
    </row>
    <row r="59" spans="1:30">
      <c r="M59" s="285"/>
      <c r="N59" s="284"/>
      <c r="O59" s="49">
        <f t="shared" si="5"/>
        <v>13</v>
      </c>
      <c r="P59" s="110">
        <f>HLOOKUP($O$46,'1970=1 Infl Index'!$A$6:$CD$62,O59)</f>
        <v>2.1262292079842973</v>
      </c>
      <c r="Q59" s="49">
        <f t="shared" si="11"/>
        <v>1980</v>
      </c>
      <c r="R59" s="111">
        <f>IF($X$46="yes",(S59/S58)-1,(HLOOKUP($O$46,Inflation!$A$6:$CD$62,O59))/100)</f>
        <v>6.83E-2</v>
      </c>
      <c r="S59" s="48">
        <f>IF($X$46="Yes",($X$42*X59+(1-$X$42)*AA59),P59/$P$45)</f>
        <v>0.34824487645493002</v>
      </c>
      <c r="T59" s="207">
        <f t="shared" ref="T59:T103" si="12">IF(AND($X$46="Yes",AB59&lt;&gt;"N/A"),($X$42*Y59+(1-$X$42)*AB59),IF(AND($X$46="Yes",AB59="N/A"),"N/A",IF((HLOOKUP($O$46,comboutfac,$O59))*rawindx=0,"N/A",(HLOOKUP($O$46,comboutfac,$O59))*rawindx)))</f>
        <v>0.34824487645493002</v>
      </c>
      <c r="U59" s="48">
        <f t="shared" si="7"/>
        <v>0.34824487645493002</v>
      </c>
      <c r="V59" s="53">
        <f t="shared" si="8"/>
        <v>6.8299999999999958E-2</v>
      </c>
      <c r="W59" s="277" t="str">
        <f>IF($X$46&lt;&gt;"Yes","",HLOOKUP($X$44,'1970=1 Infl Index'!$A$6:$CD$62,$O59))</f>
        <v/>
      </c>
      <c r="X59" s="271" t="e">
        <f t="shared" si="9"/>
        <v>#VALUE!</v>
      </c>
      <c r="Y59" s="281" t="e">
        <f t="shared" si="3"/>
        <v>#N/A</v>
      </c>
      <c r="Z59" s="277" t="e">
        <f>HLOOKUP($Z$44,'1970=1 Infl Index'!$A$6:$CD$62,$O59)</f>
        <v>#N/A</v>
      </c>
      <c r="AA59" s="168" t="e">
        <f t="shared" si="10"/>
        <v>#N/A</v>
      </c>
      <c r="AB59" s="103" t="str">
        <f t="shared" si="4"/>
        <v/>
      </c>
      <c r="AC59" s="283">
        <v>1980</v>
      </c>
      <c r="AD59" s="283">
        <v>1996</v>
      </c>
    </row>
    <row r="60" spans="1:30">
      <c r="M60" s="285"/>
      <c r="N60" s="284"/>
      <c r="O60" s="49">
        <f t="shared" si="5"/>
        <v>14</v>
      </c>
      <c r="P60" s="110">
        <f>HLOOKUP($O$46,'1970=1 Infl Index'!$A$6:$CD$62,O60)</f>
        <v>2.3112111490789311</v>
      </c>
      <c r="Q60" s="49">
        <f t="shared" si="11"/>
        <v>1981</v>
      </c>
      <c r="R60" s="111">
        <f>IF($X$46="yes",(S60/S59)-1,(HLOOKUP($O$46,Inflation!$A$6:$CD$62,O60))/100)</f>
        <v>8.6999999999999994E-2</v>
      </c>
      <c r="S60" s="48">
        <f t="shared" ref="S60:S123" si="13">IF($X$46="Yes",($X$42*X60+(1-$X$42)*AA60),P60/$P$45)</f>
        <v>0.37854218070650891</v>
      </c>
      <c r="T60" s="207">
        <f t="shared" si="12"/>
        <v>0.37854218070650891</v>
      </c>
      <c r="U60" s="48">
        <f t="shared" si="7"/>
        <v>0.37854218070650891</v>
      </c>
      <c r="V60" s="53">
        <f t="shared" si="8"/>
        <v>8.6999999999999952E-2</v>
      </c>
      <c r="W60" s="277" t="str">
        <f>IF($X$46&lt;&gt;"Yes","",HLOOKUP($X$44,'1970=1 Infl Index'!$A$6:$CD$62,$O60))</f>
        <v/>
      </c>
      <c r="X60" s="271" t="e">
        <f t="shared" si="9"/>
        <v>#VALUE!</v>
      </c>
      <c r="Y60" s="281" t="e">
        <f t="shared" si="3"/>
        <v>#N/A</v>
      </c>
      <c r="Z60" s="277" t="e">
        <f>HLOOKUP($Z$44,'1970=1 Infl Index'!$A$6:$CD$62,$O60)</f>
        <v>#N/A</v>
      </c>
      <c r="AA60" s="168" t="e">
        <f t="shared" si="10"/>
        <v>#N/A</v>
      </c>
      <c r="AB60" s="103" t="str">
        <f t="shared" si="4"/>
        <v/>
      </c>
      <c r="AC60" s="283">
        <v>1981</v>
      </c>
      <c r="AD60" s="283">
        <v>1997</v>
      </c>
    </row>
    <row r="61" spans="1:30">
      <c r="M61" s="285"/>
      <c r="N61" s="284"/>
      <c r="O61" s="49">
        <f t="shared" si="5"/>
        <v>15</v>
      </c>
      <c r="P61" s="110">
        <f>HLOOKUP($O$46,'1970=1 Infl Index'!$A$6:$CD$62,O61)</f>
        <v>2.4380966411633644</v>
      </c>
      <c r="Q61" s="49">
        <f t="shared" si="11"/>
        <v>1982</v>
      </c>
      <c r="R61" s="111">
        <f>IF($X$46="yes",(S61/S60)-1,(HLOOKUP($O$46,Inflation!$A$6:$CD$62,O61))/100)</f>
        <v>5.4900000000000004E-2</v>
      </c>
      <c r="S61" s="48">
        <f t="shared" si="13"/>
        <v>0.39932414642729624</v>
      </c>
      <c r="T61" s="207">
        <f t="shared" si="12"/>
        <v>0.39932414642729624</v>
      </c>
      <c r="U61" s="48">
        <f t="shared" si="7"/>
        <v>0.39932414642729624</v>
      </c>
      <c r="V61" s="53">
        <f t="shared" si="8"/>
        <v>5.4899999999999984E-2</v>
      </c>
      <c r="W61" s="277" t="str">
        <f>IF($X$46&lt;&gt;"Yes","",HLOOKUP($X$44,'1970=1 Infl Index'!$A$6:$CD$62,$O61))</f>
        <v/>
      </c>
      <c r="X61" s="271" t="e">
        <f t="shared" si="9"/>
        <v>#VALUE!</v>
      </c>
      <c r="Y61" s="281" t="e">
        <f t="shared" si="3"/>
        <v>#N/A</v>
      </c>
      <c r="Z61" s="277" t="e">
        <f>HLOOKUP($Z$44,'1970=1 Infl Index'!$A$6:$CD$62,$O61)</f>
        <v>#N/A</v>
      </c>
      <c r="AA61" s="168" t="e">
        <f t="shared" si="10"/>
        <v>#N/A</v>
      </c>
      <c r="AB61" s="103" t="str">
        <f t="shared" si="4"/>
        <v/>
      </c>
      <c r="AC61" s="283">
        <v>1982</v>
      </c>
      <c r="AD61" s="283">
        <v>1998</v>
      </c>
    </row>
    <row r="62" spans="1:30">
      <c r="M62" s="285"/>
      <c r="N62" s="284"/>
      <c r="O62" s="49">
        <f t="shared" si="5"/>
        <v>16</v>
      </c>
      <c r="P62" s="110">
        <f>HLOOKUP($O$46,'1970=1 Infl Index'!$A$6:$CD$62,O62)</f>
        <v>2.5429347967333888</v>
      </c>
      <c r="Q62" s="49">
        <f t="shared" si="11"/>
        <v>1983</v>
      </c>
      <c r="R62" s="111">
        <f>IF($X$46="yes",(S62/S61)-1,(HLOOKUP($O$46,Inflation!$A$6:$CD$62,O62))/100)</f>
        <v>4.2999999999999997E-2</v>
      </c>
      <c r="S62" s="48">
        <f t="shared" si="13"/>
        <v>0.41649508472366997</v>
      </c>
      <c r="T62" s="207">
        <f t="shared" si="12"/>
        <v>0.41649508472366997</v>
      </c>
      <c r="U62" s="48">
        <f t="shared" si="7"/>
        <v>0.41649508472366997</v>
      </c>
      <c r="V62" s="53">
        <f t="shared" si="8"/>
        <v>4.2999999999999976E-2</v>
      </c>
      <c r="W62" s="277" t="str">
        <f>IF($X$46&lt;&gt;"Yes","",HLOOKUP($X$44,'1970=1 Infl Index'!$A$6:$CD$62,$O62))</f>
        <v/>
      </c>
      <c r="X62" s="271" t="e">
        <f t="shared" si="9"/>
        <v>#VALUE!</v>
      </c>
      <c r="Y62" s="281" t="e">
        <f t="shared" si="3"/>
        <v>#N/A</v>
      </c>
      <c r="Z62" s="277" t="e">
        <f>HLOOKUP($Z$44,'1970=1 Infl Index'!$A$6:$CD$62,$O62)</f>
        <v>#N/A</v>
      </c>
      <c r="AA62" s="168" t="e">
        <f t="shared" si="10"/>
        <v>#N/A</v>
      </c>
      <c r="AB62" s="103" t="str">
        <f t="shared" si="4"/>
        <v/>
      </c>
      <c r="AC62" s="283">
        <v>1983</v>
      </c>
      <c r="AD62" s="283">
        <v>1999</v>
      </c>
    </row>
    <row r="63" spans="1:30">
      <c r="M63" s="285"/>
      <c r="N63" s="284"/>
      <c r="O63" s="49">
        <f t="shared" si="5"/>
        <v>17</v>
      </c>
      <c r="P63" s="110">
        <f>HLOOKUP($O$46,'1970=1 Infl Index'!$A$6:$CD$62,O63)</f>
        <v>2.6192228406353908</v>
      </c>
      <c r="Q63" s="49">
        <f t="shared" si="11"/>
        <v>1984</v>
      </c>
      <c r="R63" s="111">
        <f>IF($X$46="yes",(S63/S62)-1,(HLOOKUP($O$46,Inflation!$A$6:$CD$62,O63))/100)</f>
        <v>0.03</v>
      </c>
      <c r="S63" s="48">
        <f t="shared" si="13"/>
        <v>0.42898993726538009</v>
      </c>
      <c r="T63" s="207">
        <f t="shared" si="12"/>
        <v>0.42898993726538009</v>
      </c>
      <c r="U63" s="48">
        <f t="shared" si="7"/>
        <v>0.42898993726538009</v>
      </c>
      <c r="V63" s="53">
        <f t="shared" si="8"/>
        <v>3.0000000000000054E-2</v>
      </c>
      <c r="W63" s="277" t="str">
        <f>IF($X$46&lt;&gt;"Yes","",HLOOKUP($X$44,'1970=1 Infl Index'!$A$6:$CD$62,$O63))</f>
        <v/>
      </c>
      <c r="X63" s="271" t="e">
        <f t="shared" si="9"/>
        <v>#VALUE!</v>
      </c>
      <c r="Y63" s="281" t="e">
        <f t="shared" si="3"/>
        <v>#N/A</v>
      </c>
      <c r="Z63" s="277" t="e">
        <f>HLOOKUP($Z$44,'1970=1 Infl Index'!$A$6:$CD$62,$O63)</f>
        <v>#N/A</v>
      </c>
      <c r="AA63" s="168" t="e">
        <f t="shared" si="10"/>
        <v>#N/A</v>
      </c>
      <c r="AB63" s="103" t="str">
        <f t="shared" si="4"/>
        <v/>
      </c>
      <c r="AC63" s="283">
        <v>1984</v>
      </c>
      <c r="AD63" s="283">
        <v>2000</v>
      </c>
    </row>
    <row r="64" spans="1:30">
      <c r="M64" s="285"/>
      <c r="N64" s="284"/>
      <c r="O64" s="49">
        <f t="shared" si="5"/>
        <v>18</v>
      </c>
      <c r="P64" s="110">
        <f>HLOOKUP($O$46,'1970=1 Infl Index'!$A$6:$CD$62,O64)</f>
        <v>2.7140387074663921</v>
      </c>
      <c r="Q64" s="49">
        <f t="shared" si="11"/>
        <v>1985</v>
      </c>
      <c r="R64" s="111">
        <f>IF($X$46="yes",(S64/S63)-1,(HLOOKUP($O$46,Inflation!$A$6:$CD$62,O64))/100)</f>
        <v>3.6200000000000003E-2</v>
      </c>
      <c r="S64" s="48">
        <f t="shared" si="13"/>
        <v>0.44451937299438687</v>
      </c>
      <c r="T64" s="207">
        <f t="shared" si="12"/>
        <v>0.44451937299438687</v>
      </c>
      <c r="U64" s="48">
        <f t="shared" si="7"/>
        <v>0.44451937299438687</v>
      </c>
      <c r="V64" s="53">
        <f t="shared" si="8"/>
        <v>3.6200000000000045E-2</v>
      </c>
      <c r="W64" s="277" t="str">
        <f>IF($X$46&lt;&gt;"Yes","",HLOOKUP($X$44,'1970=1 Infl Index'!$A$6:$CD$62,$O64))</f>
        <v/>
      </c>
      <c r="X64" s="271" t="e">
        <f t="shared" si="9"/>
        <v>#VALUE!</v>
      </c>
      <c r="Y64" s="281" t="e">
        <f t="shared" si="3"/>
        <v>#N/A</v>
      </c>
      <c r="Z64" s="277" t="e">
        <f>HLOOKUP($Z$44,'1970=1 Infl Index'!$A$6:$CD$62,$O64)</f>
        <v>#N/A</v>
      </c>
      <c r="AA64" s="168" t="e">
        <f t="shared" si="10"/>
        <v>#N/A</v>
      </c>
      <c r="AB64" s="103" t="str">
        <f t="shared" si="4"/>
        <v/>
      </c>
      <c r="AC64" s="283">
        <v>1985</v>
      </c>
      <c r="AD64" s="283">
        <v>2001</v>
      </c>
    </row>
    <row r="65" spans="13:30">
      <c r="M65" s="285"/>
      <c r="N65" s="284"/>
      <c r="O65" s="49">
        <f t="shared" si="5"/>
        <v>19</v>
      </c>
      <c r="P65" s="110">
        <f>HLOOKUP($O$46,'1970=1 Infl Index'!$A$6:$CD$62,O65)</f>
        <v>2.7140387074663921</v>
      </c>
      <c r="Q65" s="49">
        <f t="shared" si="11"/>
        <v>1986</v>
      </c>
      <c r="R65" s="111">
        <f>IF($X$46="yes",(S65/S64)-1,(HLOOKUP($O$46,Inflation!$A$6:$CD$62,O65))/100)</f>
        <v>0</v>
      </c>
      <c r="S65" s="48">
        <f t="shared" si="13"/>
        <v>0.44451937299438687</v>
      </c>
      <c r="T65" s="207">
        <f t="shared" si="12"/>
        <v>0.44451937299438687</v>
      </c>
      <c r="U65" s="48">
        <f t="shared" si="7"/>
        <v>0.44451937299438687</v>
      </c>
      <c r="V65" s="53">
        <f t="shared" si="8"/>
        <v>0</v>
      </c>
      <c r="W65" s="277" t="str">
        <f>IF($X$46&lt;&gt;"Yes","",HLOOKUP($X$44,'1970=1 Infl Index'!$A$6:$CD$62,$O65))</f>
        <v/>
      </c>
      <c r="X65" s="271" t="e">
        <f t="shared" si="9"/>
        <v>#VALUE!</v>
      </c>
      <c r="Y65" s="281" t="e">
        <f t="shared" si="3"/>
        <v>#N/A</v>
      </c>
      <c r="Z65" s="277" t="e">
        <f>HLOOKUP($Z$44,'1970=1 Infl Index'!$A$6:$CD$62,$O65)</f>
        <v>#N/A</v>
      </c>
      <c r="AA65" s="168" t="e">
        <f t="shared" si="10"/>
        <v>#N/A</v>
      </c>
      <c r="AB65" s="103" t="str">
        <f t="shared" si="4"/>
        <v/>
      </c>
      <c r="AC65" s="283">
        <v>1986</v>
      </c>
      <c r="AD65" s="283">
        <v>2002</v>
      </c>
    </row>
    <row r="66" spans="13:30">
      <c r="M66" s="285"/>
      <c r="N66" s="284"/>
      <c r="O66" s="49">
        <f t="shared" si="5"/>
        <v>20</v>
      </c>
      <c r="P66" s="110">
        <f>HLOOKUP($O$46,'1970=1 Infl Index'!$A$6:$CD$62,O66)</f>
        <v>2.775104578384386</v>
      </c>
      <c r="Q66" s="49">
        <f t="shared" si="11"/>
        <v>1987</v>
      </c>
      <c r="R66" s="111">
        <f>IF($X$46="yes",(S66/S65)-1,(HLOOKUP($O$46,Inflation!$A$6:$CD$62,O66))/100)</f>
        <v>2.2499999999999999E-2</v>
      </c>
      <c r="S66" s="48">
        <f t="shared" si="13"/>
        <v>0.45452105888676059</v>
      </c>
      <c r="T66" s="207">
        <f t="shared" si="12"/>
        <v>0.45452105888676059</v>
      </c>
      <c r="U66" s="48">
        <f t="shared" si="7"/>
        <v>0.45452105888676059</v>
      </c>
      <c r="V66" s="53">
        <f t="shared" si="8"/>
        <v>2.250000000000002E-2</v>
      </c>
      <c r="W66" s="277" t="str">
        <f>IF($X$46&lt;&gt;"Yes","",HLOOKUP($X$44,'1970=1 Infl Index'!$A$6:$CD$62,$O66))</f>
        <v/>
      </c>
      <c r="X66" s="271" t="e">
        <f t="shared" si="9"/>
        <v>#VALUE!</v>
      </c>
      <c r="Y66" s="281" t="e">
        <f t="shared" si="3"/>
        <v>#N/A</v>
      </c>
      <c r="Z66" s="277" t="e">
        <f>HLOOKUP($Z$44,'1970=1 Infl Index'!$A$6:$CD$62,$O66)</f>
        <v>#N/A</v>
      </c>
      <c r="AA66" s="168" t="e">
        <f t="shared" si="10"/>
        <v>#N/A</v>
      </c>
      <c r="AB66" s="103" t="str">
        <f t="shared" si="4"/>
        <v/>
      </c>
      <c r="AC66" s="283">
        <v>1987</v>
      </c>
      <c r="AD66" s="283">
        <v>2003</v>
      </c>
    </row>
    <row r="67" spans="13:30">
      <c r="M67" s="285"/>
      <c r="N67" s="284"/>
      <c r="O67" s="49">
        <f t="shared" si="5"/>
        <v>21</v>
      </c>
      <c r="P67" s="110">
        <f>HLOOKUP($O$46,'1970=1 Infl Index'!$A$6:$CD$62,O67)</f>
        <v>2.8372669209401962</v>
      </c>
      <c r="Q67" s="49">
        <f t="shared" si="11"/>
        <v>1988</v>
      </c>
      <c r="R67" s="111">
        <f>IF($X$46="yes",(S67/S66)-1,(HLOOKUP($O$46,Inflation!$A$6:$CD$62,O67))/100)</f>
        <v>2.2400000000000003E-2</v>
      </c>
      <c r="S67" s="48">
        <f t="shared" si="13"/>
        <v>0.46470233060582405</v>
      </c>
      <c r="T67" s="207">
        <f t="shared" si="12"/>
        <v>0.46470233060582405</v>
      </c>
      <c r="U67" s="48">
        <f t="shared" si="7"/>
        <v>0.46470233060582405</v>
      </c>
      <c r="V67" s="53">
        <f t="shared" si="8"/>
        <v>2.2400000000000066E-2</v>
      </c>
      <c r="W67" s="277" t="str">
        <f>IF($X$46&lt;&gt;"Yes","",HLOOKUP($X$44,'1970=1 Infl Index'!$A$6:$CD$62,$O67))</f>
        <v/>
      </c>
      <c r="X67" s="271" t="e">
        <f t="shared" si="9"/>
        <v>#VALUE!</v>
      </c>
      <c r="Y67" s="281" t="e">
        <f t="shared" si="3"/>
        <v>#N/A</v>
      </c>
      <c r="Z67" s="277" t="e">
        <f>HLOOKUP($Z$44,'1970=1 Infl Index'!$A$6:$CD$62,$O67)</f>
        <v>#N/A</v>
      </c>
      <c r="AA67" s="168" t="e">
        <f t="shared" si="10"/>
        <v>#N/A</v>
      </c>
      <c r="AB67" s="103" t="str">
        <f t="shared" si="4"/>
        <v/>
      </c>
      <c r="AC67" s="283">
        <v>1988</v>
      </c>
      <c r="AD67" s="283">
        <v>2004</v>
      </c>
    </row>
    <row r="68" spans="13:30">
      <c r="M68" s="285"/>
      <c r="N68" s="284"/>
      <c r="O68" s="49">
        <f t="shared" si="5"/>
        <v>22</v>
      </c>
      <c r="P68" s="110">
        <f>HLOOKUP($O$46,'1970=1 Infl Index'!$A$6:$CD$62,O68)</f>
        <v>2.9388410767098554</v>
      </c>
      <c r="Q68" s="49">
        <f t="shared" si="11"/>
        <v>1989</v>
      </c>
      <c r="R68" s="111">
        <f>IF($X$46="yes",(S68/S67)-1,(HLOOKUP($O$46,Inflation!$A$6:$CD$62,O68))/100)</f>
        <v>3.5799999999999998E-2</v>
      </c>
      <c r="S68" s="48">
        <f t="shared" si="13"/>
        <v>0.48133867404151254</v>
      </c>
      <c r="T68" s="207">
        <f t="shared" si="12"/>
        <v>0.48133867404151254</v>
      </c>
      <c r="U68" s="48">
        <f t="shared" si="7"/>
        <v>0.48133867404151254</v>
      </c>
      <c r="V68" s="53">
        <f t="shared" si="8"/>
        <v>3.5799999999999964E-2</v>
      </c>
      <c r="W68" s="277" t="str">
        <f>IF($X$46&lt;&gt;"Yes","",HLOOKUP($X$44,'1970=1 Infl Index'!$A$6:$CD$62,$O68))</f>
        <v/>
      </c>
      <c r="X68" s="271" t="e">
        <f t="shared" si="9"/>
        <v>#VALUE!</v>
      </c>
      <c r="Y68" s="281" t="e">
        <f t="shared" si="3"/>
        <v>#N/A</v>
      </c>
      <c r="Z68" s="277" t="e">
        <f>HLOOKUP($Z$44,'1970=1 Infl Index'!$A$6:$CD$62,$O68)</f>
        <v>#N/A</v>
      </c>
      <c r="AA68" s="168" t="e">
        <f t="shared" si="10"/>
        <v>#N/A</v>
      </c>
      <c r="AB68" s="103" t="str">
        <f t="shared" si="4"/>
        <v/>
      </c>
      <c r="AC68" s="283">
        <v>1989</v>
      </c>
      <c r="AD68" s="283">
        <v>2005</v>
      </c>
    </row>
    <row r="69" spans="13:30">
      <c r="M69" s="285"/>
      <c r="N69" s="284"/>
      <c r="O69" s="49">
        <f t="shared" si="5"/>
        <v>23</v>
      </c>
      <c r="P69" s="110">
        <f>HLOOKUP($O$46,'1970=1 Infl Index'!$A$6:$CD$62,O69)</f>
        <v>3.0481659647634616</v>
      </c>
      <c r="Q69" s="49">
        <f t="shared" si="11"/>
        <v>1990</v>
      </c>
      <c r="R69" s="111">
        <f>IF($X$46="yes",(S69/S68)-1,(HLOOKUP($O$46,Inflation!$A$6:$CD$62,O69))/100)</f>
        <v>3.7200000000000004E-2</v>
      </c>
      <c r="S69" s="48">
        <f t="shared" si="13"/>
        <v>0.49924447271585676</v>
      </c>
      <c r="T69" s="207">
        <f t="shared" si="12"/>
        <v>0.49924447271585676</v>
      </c>
      <c r="U69" s="48">
        <f t="shared" si="7"/>
        <v>0.49924447271585676</v>
      </c>
      <c r="V69" s="53">
        <f t="shared" si="8"/>
        <v>3.7199999999999907E-2</v>
      </c>
      <c r="W69" s="277" t="str">
        <f>IF($X$46&lt;&gt;"Yes","",HLOOKUP($X$44,'1970=1 Infl Index'!$A$6:$CD$62,$O69))</f>
        <v/>
      </c>
      <c r="X69" s="271" t="e">
        <f t="shared" si="9"/>
        <v>#VALUE!</v>
      </c>
      <c r="Y69" s="281" t="e">
        <f t="shared" si="3"/>
        <v>#N/A</v>
      </c>
      <c r="Z69" s="277" t="e">
        <f>HLOOKUP($Z$44,'1970=1 Infl Index'!$A$6:$CD$62,$O69)</f>
        <v>#N/A</v>
      </c>
      <c r="AA69" s="168" t="e">
        <f t="shared" si="10"/>
        <v>#N/A</v>
      </c>
      <c r="AB69" s="103" t="str">
        <f t="shared" si="4"/>
        <v/>
      </c>
      <c r="AC69" s="283">
        <v>1990</v>
      </c>
      <c r="AD69" s="283">
        <v>2006</v>
      </c>
    </row>
    <row r="70" spans="13:30">
      <c r="M70" s="285"/>
      <c r="N70" s="284"/>
      <c r="O70" s="49">
        <f t="shared" si="5"/>
        <v>24</v>
      </c>
      <c r="P70" s="110">
        <f>HLOOKUP($O$46,'1970=1 Infl Index'!$A$6:$CD$62,O70)</f>
        <v>3.1694829701610474</v>
      </c>
      <c r="Q70" s="49">
        <f t="shared" si="11"/>
        <v>1991</v>
      </c>
      <c r="R70" s="111">
        <f>IF($X$46="yes",(S70/S69)-1,(HLOOKUP($O$46,Inflation!$A$6:$CD$62,O70))/100)</f>
        <v>3.9800000000000002E-2</v>
      </c>
      <c r="S70" s="48">
        <f t="shared" si="13"/>
        <v>0.51911440272994791</v>
      </c>
      <c r="T70" s="207">
        <f t="shared" si="12"/>
        <v>0.51911440272994791</v>
      </c>
      <c r="U70" s="48">
        <f t="shared" si="7"/>
        <v>0.51911440272994791</v>
      </c>
      <c r="V70" s="53">
        <f t="shared" si="8"/>
        <v>3.9800000000000106E-2</v>
      </c>
      <c r="W70" s="277" t="str">
        <f>IF($X$46&lt;&gt;"Yes","",HLOOKUP($X$44,'1970=1 Infl Index'!$A$6:$CD$62,$O70))</f>
        <v/>
      </c>
      <c r="X70" s="271" t="e">
        <f t="shared" si="9"/>
        <v>#VALUE!</v>
      </c>
      <c r="Y70" s="281" t="e">
        <f t="shared" si="3"/>
        <v>#N/A</v>
      </c>
      <c r="Z70" s="277" t="e">
        <f>HLOOKUP($Z$44,'1970=1 Infl Index'!$A$6:$CD$62,$O70)</f>
        <v>#N/A</v>
      </c>
      <c r="AA70" s="168" t="e">
        <f t="shared" si="10"/>
        <v>#N/A</v>
      </c>
      <c r="AB70" s="103" t="str">
        <f t="shared" si="4"/>
        <v/>
      </c>
      <c r="AC70" s="283">
        <v>1991</v>
      </c>
      <c r="AD70" s="283">
        <v>2007</v>
      </c>
    </row>
    <row r="71" spans="13:30">
      <c r="M71" s="285"/>
      <c r="N71" s="284"/>
      <c r="O71" s="49">
        <f t="shared" si="5"/>
        <v>25</v>
      </c>
      <c r="P71" s="110">
        <f>HLOOKUP($O$46,'1970=1 Infl Index'!$A$6:$CD$62,O71)</f>
        <v>3.3019673583137794</v>
      </c>
      <c r="Q71" s="49">
        <f t="shared" si="11"/>
        <v>1992</v>
      </c>
      <c r="R71" s="111">
        <f>IF($X$46="yes",(S71/S70)-1,(HLOOKUP($O$46,Inflation!$A$6:$CD$62,O71))/100)</f>
        <v>4.1799999999999997E-2</v>
      </c>
      <c r="S71" s="48">
        <f t="shared" si="13"/>
        <v>0.54081338476405971</v>
      </c>
      <c r="T71" s="207">
        <f t="shared" si="12"/>
        <v>0.54081338476405971</v>
      </c>
      <c r="U71" s="48">
        <f t="shared" si="7"/>
        <v>0.54081338476405971</v>
      </c>
      <c r="V71" s="53">
        <f t="shared" si="8"/>
        <v>4.1799999999999962E-2</v>
      </c>
      <c r="W71" s="277" t="str">
        <f>IF($X$46&lt;&gt;"Yes","",HLOOKUP($X$44,'1970=1 Infl Index'!$A$6:$CD$62,$O71))</f>
        <v/>
      </c>
      <c r="X71" s="271" t="e">
        <f t="shared" si="9"/>
        <v>#VALUE!</v>
      </c>
      <c r="Y71" s="281" t="e">
        <f t="shared" si="3"/>
        <v>#N/A</v>
      </c>
      <c r="Z71" s="277" t="e">
        <f>HLOOKUP($Z$44,'1970=1 Infl Index'!$A$6:$CD$62,$O71)</f>
        <v>#N/A</v>
      </c>
      <c r="AA71" s="168" t="e">
        <f t="shared" si="10"/>
        <v>#N/A</v>
      </c>
      <c r="AB71" s="103" t="str">
        <f t="shared" si="4"/>
        <v/>
      </c>
      <c r="AC71" s="283">
        <v>1992</v>
      </c>
      <c r="AD71" s="283">
        <v>2008</v>
      </c>
    </row>
    <row r="72" spans="13:30">
      <c r="M72" s="285"/>
      <c r="N72" s="284"/>
      <c r="O72" s="49">
        <f t="shared" si="5"/>
        <v>26</v>
      </c>
      <c r="P72" s="110">
        <f>HLOOKUP($O$46,'1970=1 Infl Index'!$A$6:$CD$62,O72)</f>
        <v>3.4281025114013657</v>
      </c>
      <c r="Q72" s="49">
        <f t="shared" si="11"/>
        <v>1993</v>
      </c>
      <c r="R72" s="111">
        <f>IF($X$46="yes",(S72/S71)-1,(HLOOKUP($O$46,Inflation!$A$6:$CD$62,O72))/100)</f>
        <v>3.8199999999999998E-2</v>
      </c>
      <c r="S72" s="48">
        <f t="shared" si="13"/>
        <v>0.56147245606204677</v>
      </c>
      <c r="T72" s="207">
        <f t="shared" si="12"/>
        <v>0.56147245606204677</v>
      </c>
      <c r="U72" s="48">
        <f t="shared" si="7"/>
        <v>0.56147245606204677</v>
      </c>
      <c r="V72" s="53">
        <f t="shared" si="8"/>
        <v>3.8199999999999949E-2</v>
      </c>
      <c r="W72" s="277" t="str">
        <f>IF($X$46&lt;&gt;"Yes","",HLOOKUP($X$44,'1970=1 Infl Index'!$A$6:$CD$62,$O72))</f>
        <v/>
      </c>
      <c r="X72" s="271" t="e">
        <f t="shared" si="9"/>
        <v>#VALUE!</v>
      </c>
      <c r="Y72" s="281" t="e">
        <f t="shared" si="3"/>
        <v>#N/A</v>
      </c>
      <c r="Z72" s="277" t="e">
        <f>HLOOKUP($Z$44,'1970=1 Infl Index'!$A$6:$CD$62,$O72)</f>
        <v>#N/A</v>
      </c>
      <c r="AA72" s="168" t="e">
        <f t="shared" si="10"/>
        <v>#N/A</v>
      </c>
      <c r="AB72" s="103" t="str">
        <f t="shared" si="4"/>
        <v/>
      </c>
      <c r="AC72" s="283">
        <v>1993</v>
      </c>
      <c r="AD72" s="283">
        <v>2009</v>
      </c>
    </row>
    <row r="73" spans="13:30">
      <c r="M73" s="285"/>
      <c r="N73" s="284"/>
      <c r="O73" s="49">
        <f t="shared" si="5"/>
        <v>27</v>
      </c>
      <c r="P73" s="110">
        <f>HLOOKUP($O$46,'1970=1 Infl Index'!$A$6:$CD$62,O73)</f>
        <v>3.4589554340039776</v>
      </c>
      <c r="Q73" s="49">
        <f t="shared" si="11"/>
        <v>1994</v>
      </c>
      <c r="R73" s="111">
        <f>IF($X$46="yes",(S73/S72)-1,(HLOOKUP($O$46,Inflation!$A$6:$CD$62,O73))/100)</f>
        <v>9.0000000000000011E-3</v>
      </c>
      <c r="S73" s="48">
        <f t="shared" si="13"/>
        <v>0.56652570816660519</v>
      </c>
      <c r="T73" s="207">
        <f t="shared" si="12"/>
        <v>0.56652570816660519</v>
      </c>
      <c r="U73" s="48">
        <f t="shared" si="7"/>
        <v>0.56652570816660519</v>
      </c>
      <c r="V73" s="53">
        <f t="shared" si="8"/>
        <v>9.000000000000008E-3</v>
      </c>
      <c r="W73" s="277" t="str">
        <f>IF($X$46&lt;&gt;"Yes","",HLOOKUP($X$44,'1970=1 Infl Index'!$A$6:$CD$62,$O73))</f>
        <v/>
      </c>
      <c r="X73" s="271" t="e">
        <f t="shared" si="9"/>
        <v>#VALUE!</v>
      </c>
      <c r="Y73" s="281" t="e">
        <f t="shared" si="3"/>
        <v>#N/A</v>
      </c>
      <c r="Z73" s="277" t="e">
        <f>HLOOKUP($Z$44,'1970=1 Infl Index'!$A$6:$CD$62,$O73)</f>
        <v>#N/A</v>
      </c>
      <c r="AA73" s="168" t="e">
        <f t="shared" si="10"/>
        <v>#N/A</v>
      </c>
      <c r="AB73" s="103" t="str">
        <f t="shared" si="4"/>
        <v/>
      </c>
      <c r="AC73" s="283">
        <v>1994</v>
      </c>
      <c r="AD73" s="283">
        <v>2010</v>
      </c>
    </row>
    <row r="74" spans="13:30">
      <c r="M74" s="285"/>
      <c r="N74" s="284"/>
      <c r="O74" s="49">
        <f t="shared" si="5"/>
        <v>28</v>
      </c>
      <c r="P74" s="110">
        <f>HLOOKUP($O$46,'1970=1 Infl Index'!$A$6:$CD$62,O74)</f>
        <v>3.5108397655140369</v>
      </c>
      <c r="Q74" s="49">
        <f t="shared" si="11"/>
        <v>1995</v>
      </c>
      <c r="R74" s="111">
        <f>IF($X$46="yes",(S74/S73)-1,(HLOOKUP($O$46,Inflation!$A$6:$CD$62,O74))/100)</f>
        <v>1.4999999999999999E-2</v>
      </c>
      <c r="S74" s="48">
        <f t="shared" si="13"/>
        <v>0.57502359378910417</v>
      </c>
      <c r="T74" s="207">
        <f t="shared" si="12"/>
        <v>0.57502359378910417</v>
      </c>
      <c r="U74" s="48">
        <f t="shared" si="7"/>
        <v>0.57502359378910417</v>
      </c>
      <c r="V74" s="53">
        <f t="shared" si="8"/>
        <v>1.4999999999999826E-2</v>
      </c>
      <c r="W74" s="277" t="str">
        <f>IF($X$46&lt;&gt;"Yes","",HLOOKUP($X$44,'1970=1 Infl Index'!$A$6:$CD$62,$O74))</f>
        <v/>
      </c>
      <c r="X74" s="271" t="e">
        <f t="shared" si="9"/>
        <v>#VALUE!</v>
      </c>
      <c r="Y74" s="281" t="e">
        <f t="shared" si="3"/>
        <v>#N/A</v>
      </c>
      <c r="Z74" s="277" t="e">
        <f>HLOOKUP($Z$44,'1970=1 Infl Index'!$A$6:$CD$62,$O74)</f>
        <v>#N/A</v>
      </c>
      <c r="AA74" s="168" t="e">
        <f t="shared" si="10"/>
        <v>#N/A</v>
      </c>
      <c r="AB74" s="103" t="str">
        <f t="shared" si="4"/>
        <v/>
      </c>
      <c r="AC74" s="283">
        <v>1995</v>
      </c>
      <c r="AD74" s="283">
        <v>2011</v>
      </c>
    </row>
    <row r="75" spans="13:30">
      <c r="M75" s="285"/>
      <c r="N75" s="284"/>
      <c r="O75" s="49">
        <f t="shared" si="5"/>
        <v>29</v>
      </c>
      <c r="P75" s="110">
        <f>HLOOKUP($O$46,'1970=1 Infl Index'!$A$6:$CD$62,O75)</f>
        <v>3.5810565608243179</v>
      </c>
      <c r="Q75" s="49">
        <f t="shared" si="11"/>
        <v>1996</v>
      </c>
      <c r="R75" s="111">
        <f>IF($X$46="yes",(S75/S74)-1,(HLOOKUP($O$46,Inflation!$A$6:$CD$62,O75))/100)</f>
        <v>0.02</v>
      </c>
      <c r="S75" s="48">
        <f t="shared" si="13"/>
        <v>0.58652406566488624</v>
      </c>
      <c r="T75" s="207">
        <f t="shared" si="12"/>
        <v>0.58652406566488624</v>
      </c>
      <c r="U75" s="48">
        <f t="shared" si="7"/>
        <v>0.58652406566488624</v>
      </c>
      <c r="V75" s="53">
        <f t="shared" si="8"/>
        <v>1.9999999999999976E-2</v>
      </c>
      <c r="W75" s="277" t="str">
        <f>IF($X$46&lt;&gt;"Yes","",HLOOKUP($X$44,'1970=1 Infl Index'!$A$6:$CD$62,$O75))</f>
        <v/>
      </c>
      <c r="X75" s="271" t="e">
        <f t="shared" si="9"/>
        <v>#VALUE!</v>
      </c>
      <c r="Y75" s="281" t="e">
        <f t="shared" si="3"/>
        <v>#N/A</v>
      </c>
      <c r="Z75" s="277" t="e">
        <f>HLOOKUP($Z$44,'1970=1 Infl Index'!$A$6:$CD$62,$O75)</f>
        <v>#N/A</v>
      </c>
      <c r="AA75" s="168" t="e">
        <f t="shared" si="10"/>
        <v>#N/A</v>
      </c>
      <c r="AB75" s="103" t="str">
        <f t="shared" si="4"/>
        <v/>
      </c>
      <c r="AC75" s="283">
        <v>1996</v>
      </c>
      <c r="AD75" s="283">
        <v>2012</v>
      </c>
    </row>
    <row r="76" spans="13:30">
      <c r="M76" s="285"/>
      <c r="N76" s="284"/>
      <c r="O76" s="49">
        <f t="shared" si="5"/>
        <v>30</v>
      </c>
      <c r="P76" s="110">
        <f>HLOOKUP($O$46,'1970=1 Infl Index'!$A$6:$CD$62,O76)</f>
        <v>3.6795356162469868</v>
      </c>
      <c r="Q76" s="49">
        <f t="shared" si="11"/>
        <v>1997</v>
      </c>
      <c r="R76" s="111">
        <f>IF($X$46="yes",(S76/S75)-1,(HLOOKUP($O$46,Inflation!$A$6:$CD$62,O76))/100)</f>
        <v>2.75E-2</v>
      </c>
      <c r="S76" s="48">
        <f t="shared" si="13"/>
        <v>0.60265347747067066</v>
      </c>
      <c r="T76" s="207">
        <f t="shared" si="12"/>
        <v>0.60265347747067066</v>
      </c>
      <c r="U76" s="48">
        <f t="shared" si="7"/>
        <v>0.60265347747067066</v>
      </c>
      <c r="V76" s="53">
        <f t="shared" si="8"/>
        <v>2.7500000000000087E-2</v>
      </c>
      <c r="W76" s="277" t="str">
        <f>IF($X$46&lt;&gt;"Yes","",HLOOKUP($X$44,'1970=1 Infl Index'!$A$6:$CD$62,$O76))</f>
        <v/>
      </c>
      <c r="X76" s="271" t="e">
        <f t="shared" si="9"/>
        <v>#VALUE!</v>
      </c>
      <c r="Y76" s="281" t="e">
        <f t="shared" si="3"/>
        <v>#N/A</v>
      </c>
      <c r="Z76" s="277" t="e">
        <f>HLOOKUP($Z$44,'1970=1 Infl Index'!$A$6:$CD$62,$O76)</f>
        <v>#N/A</v>
      </c>
      <c r="AA76" s="168" t="e">
        <f t="shared" si="10"/>
        <v>#N/A</v>
      </c>
      <c r="AB76" s="103" t="str">
        <f t="shared" si="4"/>
        <v/>
      </c>
      <c r="AC76" s="283">
        <v>1997</v>
      </c>
      <c r="AD76" s="283">
        <v>2013</v>
      </c>
    </row>
    <row r="77" spans="13:30">
      <c r="M77" s="285"/>
      <c r="N77" s="284"/>
      <c r="O77" s="49">
        <f t="shared" si="5"/>
        <v>31</v>
      </c>
      <c r="P77" s="110">
        <f>HLOOKUP($O$46,'1970=1 Infl Index'!$A$6:$CD$62,O77)</f>
        <v>3.7844023813100258</v>
      </c>
      <c r="Q77" s="49">
        <f t="shared" si="11"/>
        <v>1998</v>
      </c>
      <c r="R77" s="111">
        <f>IF($X$46="yes",(S77/S76)-1,(HLOOKUP($O$46,Inflation!$A$6:$CD$62,O77))/100)</f>
        <v>2.8500000000000001E-2</v>
      </c>
      <c r="S77" s="48">
        <f t="shared" si="13"/>
        <v>0.61982910157858484</v>
      </c>
      <c r="T77" s="207">
        <f t="shared" si="12"/>
        <v>0.61982910157858484</v>
      </c>
      <c r="U77" s="48">
        <f t="shared" si="7"/>
        <v>0.61982910157858484</v>
      </c>
      <c r="V77" s="53">
        <f t="shared" si="8"/>
        <v>2.8500000000000105E-2</v>
      </c>
      <c r="W77" s="277" t="str">
        <f>IF($X$46&lt;&gt;"Yes","",HLOOKUP($X$44,'1970=1 Infl Index'!$A$6:$CD$62,$O77))</f>
        <v/>
      </c>
      <c r="X77" s="271" t="e">
        <f t="shared" si="9"/>
        <v>#VALUE!</v>
      </c>
      <c r="Y77" s="281" t="e">
        <f t="shared" si="3"/>
        <v>#N/A</v>
      </c>
      <c r="Z77" s="277" t="e">
        <f>HLOOKUP($Z$44,'1970=1 Infl Index'!$A$6:$CD$62,$O77)</f>
        <v>#N/A</v>
      </c>
      <c r="AA77" s="168" t="e">
        <f t="shared" si="10"/>
        <v>#N/A</v>
      </c>
      <c r="AB77" s="103" t="str">
        <f t="shared" si="4"/>
        <v/>
      </c>
      <c r="AC77" s="283">
        <v>1998</v>
      </c>
      <c r="AD77" s="283">
        <v>2014</v>
      </c>
    </row>
    <row r="78" spans="13:30">
      <c r="M78" s="285"/>
      <c r="N78" s="284"/>
      <c r="O78" s="49">
        <f t="shared" si="5"/>
        <v>32</v>
      </c>
      <c r="P78" s="110">
        <f>HLOOKUP($O$46,'1970=1 Infl Index'!$A$6:$CD$62,O78)</f>
        <v>3.9130720622745669</v>
      </c>
      <c r="Q78" s="49">
        <f t="shared" si="11"/>
        <v>1999</v>
      </c>
      <c r="R78" s="111">
        <f>IF($X$46="yes",(S78/S77)-1,(HLOOKUP($O$46,Inflation!$A$6:$CD$62,O78))/100)</f>
        <v>3.4000000000000002E-2</v>
      </c>
      <c r="S78" s="48">
        <f t="shared" si="13"/>
        <v>0.64090329103225674</v>
      </c>
      <c r="T78" s="207">
        <f t="shared" si="12"/>
        <v>0.64090329103225674</v>
      </c>
      <c r="U78" s="48">
        <f t="shared" si="7"/>
        <v>0.64090329103225674</v>
      </c>
      <c r="V78" s="53">
        <f t="shared" si="8"/>
        <v>3.4000000000000023E-2</v>
      </c>
      <c r="W78" s="277" t="str">
        <f>IF($X$46&lt;&gt;"Yes","",HLOOKUP($X$44,'1970=1 Infl Index'!$A$6:$CD$62,$O78))</f>
        <v/>
      </c>
      <c r="X78" s="271" t="e">
        <f t="shared" si="9"/>
        <v>#VALUE!</v>
      </c>
      <c r="Y78" s="281" t="e">
        <f t="shared" si="3"/>
        <v>#N/A</v>
      </c>
      <c r="Z78" s="277" t="e">
        <f>HLOOKUP($Z$44,'1970=1 Infl Index'!$A$6:$CD$62,$O78)</f>
        <v>#N/A</v>
      </c>
      <c r="AA78" s="168" t="e">
        <f t="shared" si="10"/>
        <v>#N/A</v>
      </c>
      <c r="AB78" s="103" t="str">
        <f t="shared" si="4"/>
        <v/>
      </c>
      <c r="AC78" s="283">
        <v>1999</v>
      </c>
      <c r="AD78" s="283">
        <v>2015</v>
      </c>
    </row>
    <row r="79" spans="13:30">
      <c r="M79" s="285"/>
      <c r="N79" s="284"/>
      <c r="O79" s="49">
        <f t="shared" si="5"/>
        <v>33</v>
      </c>
      <c r="P79" s="110">
        <f>HLOOKUP($O$46,'1970=1 Infl Index'!$A$6:$CD$62,O79)</f>
        <v>4.0894689310136743</v>
      </c>
      <c r="Q79" s="49">
        <f t="shared" si="11"/>
        <v>2000</v>
      </c>
      <c r="R79" s="111">
        <f>IF($X$46="yes",(S79/S78)-1,(HLOOKUP($O$46,Inflation!$A$6:$CD$62,O79))/100)</f>
        <v>4.5078870496592094E-2</v>
      </c>
      <c r="S79" s="48">
        <f t="shared" si="13"/>
        <v>0.6697944874895394</v>
      </c>
      <c r="T79" s="207">
        <f t="shared" si="12"/>
        <v>0.6697944874895394</v>
      </c>
      <c r="U79" s="48">
        <f t="shared" si="7"/>
        <v>0.6697944874895394</v>
      </c>
      <c r="V79" s="53">
        <f t="shared" si="8"/>
        <v>4.507887049659192E-2</v>
      </c>
      <c r="W79" s="277" t="str">
        <f>IF($X$46&lt;&gt;"Yes","",HLOOKUP($X$44,'1970=1 Infl Index'!$A$6:$CD$62,$O79))</f>
        <v/>
      </c>
      <c r="X79" s="271" t="e">
        <f t="shared" si="9"/>
        <v>#VALUE!</v>
      </c>
      <c r="Y79" s="281" t="e">
        <f t="shared" si="3"/>
        <v>#N/A</v>
      </c>
      <c r="Z79" s="277" t="e">
        <f>HLOOKUP($Z$44,'1970=1 Infl Index'!$A$6:$CD$62,$O79)</f>
        <v>#N/A</v>
      </c>
      <c r="AA79" s="168" t="e">
        <f t="shared" si="10"/>
        <v>#N/A</v>
      </c>
      <c r="AB79" s="103" t="str">
        <f t="shared" si="4"/>
        <v/>
      </c>
      <c r="AC79" s="283">
        <v>2000</v>
      </c>
      <c r="AD79" s="283">
        <v>2016</v>
      </c>
    </row>
    <row r="80" spans="13:30">
      <c r="M80" s="285"/>
      <c r="N80" s="284"/>
      <c r="O80" s="49">
        <f t="shared" si="5"/>
        <v>34</v>
      </c>
      <c r="P80" s="110">
        <f>HLOOKUP($O$46,'1970=1 Infl Index'!$A$6:$CD$62,O80)</f>
        <v>4.2516345320019981</v>
      </c>
      <c r="Q80" s="49">
        <f t="shared" si="11"/>
        <v>2001</v>
      </c>
      <c r="R80" s="111">
        <f>IF($X$46="yes",(S80/S79)-1,(HLOOKUP($O$46,Inflation!$A$6:$CD$62,O80))/100)</f>
        <v>3.9654440154440085E-2</v>
      </c>
      <c r="S80" s="48">
        <f t="shared" si="13"/>
        <v>0.69635481290946721</v>
      </c>
      <c r="T80" s="207">
        <f t="shared" si="12"/>
        <v>0.69635481290946721</v>
      </c>
      <c r="U80" s="48">
        <f t="shared" si="7"/>
        <v>0.69635481290946721</v>
      </c>
      <c r="V80" s="53">
        <f t="shared" si="8"/>
        <v>3.9654440154440085E-2</v>
      </c>
      <c r="W80" s="277" t="str">
        <f>IF($X$46&lt;&gt;"Yes","",HLOOKUP($X$44,'1970=1 Infl Index'!$A$6:$CD$62,$O80))</f>
        <v/>
      </c>
      <c r="X80" s="271" t="e">
        <f t="shared" si="9"/>
        <v>#VALUE!</v>
      </c>
      <c r="Y80" s="281" t="e">
        <f t="shared" ref="Y80:Y103" si="14">IF((HLOOKUP($X$44,comboutfac,$O80))*rawindx2=0,"N/A",(HLOOKUP($X$44,comboutfac,$O80))*rawindx2)</f>
        <v>#N/A</v>
      </c>
      <c r="Z80" s="277" t="e">
        <f>HLOOKUP($Z$44,'1970=1 Infl Index'!$A$6:$CD$62,$O80)</f>
        <v>#N/A</v>
      </c>
      <c r="AA80" s="168" t="e">
        <f t="shared" si="10"/>
        <v>#N/A</v>
      </c>
      <c r="AB80" s="103" t="str">
        <f t="shared" ref="AB80:AB103" si="15">IF($X$46&lt;&gt;"Yes","",IF((HLOOKUP($Z$44,comboutfac,$O80))*rawindx3=0,"N/A",(HLOOKUP($Z$44,comboutfac,$O80))*rawindx3))</f>
        <v/>
      </c>
      <c r="AC80" s="283">
        <v>2001</v>
      </c>
      <c r="AD80" s="283">
        <v>2017</v>
      </c>
    </row>
    <row r="81" spans="12:30">
      <c r="M81" s="285"/>
      <c r="N81" s="284"/>
      <c r="O81" s="49">
        <f t="shared" si="5"/>
        <v>35</v>
      </c>
      <c r="P81" s="110">
        <f>HLOOKUP($O$46,'1970=1 Infl Index'!$A$6:$CD$62,O81)</f>
        <v>4.4379018365558167</v>
      </c>
      <c r="Q81" s="49">
        <f t="shared" si="11"/>
        <v>2002</v>
      </c>
      <c r="R81" s="111">
        <f>IF($X$46="yes",(S81/S80)-1,(HLOOKUP($O$46,Inflation!$A$6:$CD$62,O81))/100)</f>
        <v>4.3810751641936152E-2</v>
      </c>
      <c r="S81" s="48">
        <f t="shared" si="13"/>
        <v>0.72686264067251072</v>
      </c>
      <c r="T81" s="207">
        <f t="shared" si="12"/>
        <v>0.72686264067251072</v>
      </c>
      <c r="U81" s="48">
        <f t="shared" si="7"/>
        <v>0.72686264067251072</v>
      </c>
      <c r="V81" s="53">
        <f t="shared" si="8"/>
        <v>4.3810751641936041E-2</v>
      </c>
      <c r="W81" s="277" t="str">
        <f>IF($X$46&lt;&gt;"Yes","",HLOOKUP($X$44,'1970=1 Infl Index'!$A$6:$CD$62,$O81))</f>
        <v/>
      </c>
      <c r="X81" s="271" t="e">
        <f t="shared" si="9"/>
        <v>#VALUE!</v>
      </c>
      <c r="Y81" s="281" t="e">
        <f t="shared" si="14"/>
        <v>#N/A</v>
      </c>
      <c r="Z81" s="277" t="e">
        <f>HLOOKUP($Z$44,'1970=1 Infl Index'!$A$6:$CD$62,$O81)</f>
        <v>#N/A</v>
      </c>
      <c r="AA81" s="168" t="e">
        <f t="shared" si="10"/>
        <v>#N/A</v>
      </c>
      <c r="AB81" s="103" t="str">
        <f t="shared" si="15"/>
        <v/>
      </c>
      <c r="AC81" s="283">
        <v>2002</v>
      </c>
      <c r="AD81" s="283">
        <v>2018</v>
      </c>
    </row>
    <row r="82" spans="12:30">
      <c r="M82" s="285"/>
      <c r="N82" s="284"/>
      <c r="O82" s="55">
        <f t="shared" si="5"/>
        <v>36</v>
      </c>
      <c r="P82" s="110">
        <f>HLOOKUP($O$46,'1970=1 Infl Index'!$A$6:$CD$62,O82)</f>
        <v>4.6252181872008533</v>
      </c>
      <c r="Q82" s="49">
        <f t="shared" si="11"/>
        <v>2003</v>
      </c>
      <c r="R82" s="111">
        <f>IF($X$46="yes",(S82/S81)-1,(HLOOKUP($O$46,Inflation!$A$6:$CD$62,O82))/100)</f>
        <v>4.2208313194779912E-2</v>
      </c>
      <c r="S82" s="48">
        <f t="shared" si="13"/>
        <v>0.75754228665960077</v>
      </c>
      <c r="T82" s="207">
        <f t="shared" si="12"/>
        <v>0.75754228665960077</v>
      </c>
      <c r="U82" s="48">
        <f t="shared" si="7"/>
        <v>0.75754228665960077</v>
      </c>
      <c r="V82" s="53">
        <f t="shared" si="8"/>
        <v>4.2208313194779842E-2</v>
      </c>
      <c r="W82" s="277" t="str">
        <f>IF($X$46&lt;&gt;"Yes","",HLOOKUP($X$44,'1970=1 Infl Index'!$A$6:$CD$62,$O82))</f>
        <v/>
      </c>
      <c r="X82" s="271" t="e">
        <f t="shared" si="9"/>
        <v>#VALUE!</v>
      </c>
      <c r="Y82" s="281" t="e">
        <f t="shared" si="14"/>
        <v>#N/A</v>
      </c>
      <c r="Z82" s="277" t="e">
        <f>HLOOKUP($Z$44,'1970=1 Infl Index'!$A$6:$CD$62,$O82)</f>
        <v>#N/A</v>
      </c>
      <c r="AA82" s="168" t="e">
        <f t="shared" si="10"/>
        <v>#N/A</v>
      </c>
      <c r="AB82" s="103" t="str">
        <f t="shared" si="15"/>
        <v/>
      </c>
      <c r="AC82" s="283">
        <v>2003</v>
      </c>
      <c r="AD82" s="283">
        <v>2019</v>
      </c>
    </row>
    <row r="83" spans="12:30">
      <c r="M83" s="285"/>
      <c r="N83" s="284"/>
      <c r="O83" s="49">
        <f t="shared" si="5"/>
        <v>37</v>
      </c>
      <c r="P83" s="110">
        <f>HLOOKUP($O$46,'1970=1 Infl Index'!$A$6:$CD$62,O83)</f>
        <v>4.8148521328760872</v>
      </c>
      <c r="Q83" s="49">
        <f t="shared" si="11"/>
        <v>2004</v>
      </c>
      <c r="R83" s="111">
        <f>IF($X$46="yes",(S83/S82)-1,(HLOOKUP($O$46,Inflation!$A$6:$CD$62,O83))/100)</f>
        <v>4.0999999999999703E-2</v>
      </c>
      <c r="S83" s="48">
        <f t="shared" si="13"/>
        <v>0.78860152041264431</v>
      </c>
      <c r="T83" s="207">
        <f t="shared" si="12"/>
        <v>0.78860152041264431</v>
      </c>
      <c r="U83" s="48">
        <f t="shared" si="7"/>
        <v>0.78860152041264431</v>
      </c>
      <c r="V83" s="53">
        <f t="shared" si="8"/>
        <v>4.0999999999999877E-2</v>
      </c>
      <c r="W83" s="277" t="str">
        <f>IF($X$46&lt;&gt;"Yes","",HLOOKUP($X$44,'1970=1 Infl Index'!$A$6:$CD$62,$O83))</f>
        <v/>
      </c>
      <c r="X83" s="271" t="e">
        <f t="shared" si="9"/>
        <v>#VALUE!</v>
      </c>
      <c r="Y83" s="281" t="e">
        <f t="shared" si="14"/>
        <v>#N/A</v>
      </c>
      <c r="Z83" s="277" t="e">
        <f>HLOOKUP($Z$44,'1970=1 Infl Index'!$A$6:$CD$62,$O83)</f>
        <v>#N/A</v>
      </c>
      <c r="AA83" s="168" t="e">
        <f t="shared" si="10"/>
        <v>#N/A</v>
      </c>
      <c r="AB83" s="103" t="str">
        <f t="shared" si="15"/>
        <v/>
      </c>
      <c r="AC83" s="283">
        <v>2004</v>
      </c>
      <c r="AD83" s="283">
        <v>2020</v>
      </c>
    </row>
    <row r="84" spans="12:30">
      <c r="M84" s="285"/>
      <c r="N84" s="284"/>
      <c r="O84" s="49">
        <f t="shared" si="5"/>
        <v>38</v>
      </c>
      <c r="P84" s="110">
        <f>HLOOKUP($O$46,'1970=1 Infl Index'!$A$6:$CD$62,O84)</f>
        <v>4.9903787760562812</v>
      </c>
      <c r="Q84" s="49">
        <f t="shared" si="11"/>
        <v>2005</v>
      </c>
      <c r="R84" s="111">
        <f>IF($X$46="yes",(S84/S83)-1,(HLOOKUP($O$46,Inflation!$A$6:$CD$62,O84))/100)</f>
        <v>3.6455251030802716E-2</v>
      </c>
      <c r="S84" s="48">
        <f t="shared" si="13"/>
        <v>0.81735018680256</v>
      </c>
      <c r="T84" s="207">
        <f t="shared" si="12"/>
        <v>0.81735018680256</v>
      </c>
      <c r="U84" s="48">
        <f t="shared" si="7"/>
        <v>0.81735018680256</v>
      </c>
      <c r="V84" s="53">
        <f t="shared" si="8"/>
        <v>3.6455251030802778E-2</v>
      </c>
      <c r="W84" s="277" t="str">
        <f>IF($X$46&lt;&gt;"Yes","",HLOOKUP($X$44,'1970=1 Infl Index'!$A$6:$CD$62,$O84))</f>
        <v/>
      </c>
      <c r="X84" s="271" t="e">
        <f t="shared" si="9"/>
        <v>#VALUE!</v>
      </c>
      <c r="Y84" s="281" t="e">
        <f t="shared" si="14"/>
        <v>#N/A</v>
      </c>
      <c r="Z84" s="277" t="e">
        <f>HLOOKUP($Z$44,'1970=1 Infl Index'!$A$6:$CD$62,$O84)</f>
        <v>#N/A</v>
      </c>
      <c r="AA84" s="168" t="e">
        <f t="shared" si="10"/>
        <v>#N/A</v>
      </c>
      <c r="AB84" s="103" t="str">
        <f t="shared" si="15"/>
        <v/>
      </c>
      <c r="AC84" s="283">
        <v>2005</v>
      </c>
      <c r="AD84" s="283">
        <v>2021</v>
      </c>
    </row>
    <row r="85" spans="12:30">
      <c r="M85" s="285"/>
      <c r="N85" s="284"/>
      <c r="O85" s="49">
        <f t="shared" si="5"/>
        <v>39</v>
      </c>
      <c r="P85" s="110">
        <f>HLOOKUP($O$46,'1970=1 Infl Index'!$A$6:$CD$62,O85)</f>
        <v>5.1499432501735205</v>
      </c>
      <c r="Q85" s="49">
        <f t="shared" si="11"/>
        <v>2006</v>
      </c>
      <c r="R85" s="111">
        <f>IF($X$46="yes",(S85/S84)-1,(HLOOKUP($O$46,Inflation!$A$6:$CD$62,O85))/100)</f>
        <v>3.1974421437271694E-2</v>
      </c>
      <c r="S85" s="48">
        <f t="shared" si="13"/>
        <v>0.84348448613721771</v>
      </c>
      <c r="T85" s="207">
        <f t="shared" si="12"/>
        <v>0.84348448613721771</v>
      </c>
      <c r="U85" s="48">
        <f t="shared" si="7"/>
        <v>0.84348448613721771</v>
      </c>
      <c r="V85" s="53">
        <f t="shared" si="8"/>
        <v>3.1974421437271597E-2</v>
      </c>
      <c r="W85" s="277" t="str">
        <f>IF($X$46&lt;&gt;"Yes","",HLOOKUP($X$44,'1970=1 Infl Index'!$A$6:$CD$62,$O85))</f>
        <v/>
      </c>
      <c r="X85" s="271" t="e">
        <f t="shared" si="9"/>
        <v>#VALUE!</v>
      </c>
      <c r="Y85" s="281" t="e">
        <f t="shared" si="14"/>
        <v>#N/A</v>
      </c>
      <c r="Z85" s="277" t="e">
        <f>HLOOKUP($Z$44,'1970=1 Infl Index'!$A$6:$CD$62,$O85)</f>
        <v>#N/A</v>
      </c>
      <c r="AA85" s="168" t="e">
        <f t="shared" si="10"/>
        <v>#N/A</v>
      </c>
      <c r="AB85" s="103" t="str">
        <f t="shared" si="15"/>
        <v/>
      </c>
      <c r="AC85" s="283">
        <v>2006</v>
      </c>
      <c r="AD85" s="214">
        <v>2022</v>
      </c>
    </row>
    <row r="86" spans="12:30">
      <c r="M86" s="285"/>
      <c r="N86" s="284"/>
      <c r="O86" s="49">
        <f t="shared" si="5"/>
        <v>40</v>
      </c>
      <c r="P86" s="110">
        <f>HLOOKUP($O$46,'1970=1 Infl Index'!$A$6:$CD$62,O86)</f>
        <v>5.274566088960885</v>
      </c>
      <c r="Q86" s="49">
        <f t="shared" si="11"/>
        <v>2007</v>
      </c>
      <c r="R86" s="111">
        <f>IF($X$46="yes",(S86/S85)-1,(HLOOKUP($O$46,Inflation!$A$6:$CD$62,O86))/100)</f>
        <v>2.4198876129977842E-2</v>
      </c>
      <c r="S86" s="48">
        <f t="shared" si="13"/>
        <v>0.86389586273481023</v>
      </c>
      <c r="T86" s="207">
        <f t="shared" si="12"/>
        <v>0.86389586273481023</v>
      </c>
      <c r="U86" s="48">
        <f t="shared" si="7"/>
        <v>0.86389586273481023</v>
      </c>
      <c r="V86" s="53">
        <f t="shared" si="8"/>
        <v>2.4198876129977804E-2</v>
      </c>
      <c r="W86" s="277" t="str">
        <f>IF($X$46&lt;&gt;"Yes","",HLOOKUP($X$44,'1970=1 Infl Index'!$A$6:$CD$62,$O86))</f>
        <v/>
      </c>
      <c r="X86" s="271" t="e">
        <f t="shared" si="9"/>
        <v>#VALUE!</v>
      </c>
      <c r="Y86" s="281" t="e">
        <f t="shared" si="14"/>
        <v>#N/A</v>
      </c>
      <c r="Z86" s="277" t="e">
        <f>HLOOKUP($Z$44,'1970=1 Infl Index'!$A$6:$CD$62,$O86)</f>
        <v>#N/A</v>
      </c>
      <c r="AA86" s="168" t="e">
        <f t="shared" si="10"/>
        <v>#N/A</v>
      </c>
      <c r="AB86" s="103" t="str">
        <f t="shared" si="15"/>
        <v/>
      </c>
      <c r="AC86" s="283">
        <v>2007</v>
      </c>
      <c r="AD86" s="214">
        <v>2023</v>
      </c>
    </row>
    <row r="87" spans="12:30">
      <c r="M87" s="285"/>
      <c r="N87" s="284"/>
      <c r="O87" s="49">
        <f t="shared" si="5"/>
        <v>41</v>
      </c>
      <c r="P87" s="110">
        <f>HLOOKUP($O$46,'1970=1 Infl Index'!$A$6:$CD$62,O87)</f>
        <v>5.4423118196454725</v>
      </c>
      <c r="Q87" s="49">
        <f t="shared" si="11"/>
        <v>2008</v>
      </c>
      <c r="R87" s="111">
        <f>IF($X$46="yes",(S87/S86)-1,(HLOOKUP($O$46,Inflation!$A$6:$CD$62,O87))/100)</f>
        <v>3.1802754549926204E-2</v>
      </c>
      <c r="S87" s="48">
        <f t="shared" si="13"/>
        <v>0.89137013081406224</v>
      </c>
      <c r="T87" s="207">
        <f t="shared" si="12"/>
        <v>0.89137013081406224</v>
      </c>
      <c r="U87" s="48">
        <f t="shared" si="7"/>
        <v>0.89137013081406224</v>
      </c>
      <c r="V87" s="53">
        <f t="shared" si="8"/>
        <v>3.1802754549926329E-2</v>
      </c>
      <c r="W87" s="277" t="str">
        <f>IF($X$46&lt;&gt;"Yes","",HLOOKUP($X$44,'1970=1 Infl Index'!$A$6:$CD$62,$O87))</f>
        <v/>
      </c>
      <c r="X87" s="271" t="e">
        <f t="shared" si="9"/>
        <v>#VALUE!</v>
      </c>
      <c r="Y87" s="281" t="e">
        <f t="shared" si="14"/>
        <v>#N/A</v>
      </c>
      <c r="Z87" s="277" t="e">
        <f>HLOOKUP($Z$44,'1970=1 Infl Index'!$A$6:$CD$62,$O87)</f>
        <v>#N/A</v>
      </c>
      <c r="AA87" s="168" t="e">
        <f t="shared" si="10"/>
        <v>#N/A</v>
      </c>
      <c r="AB87" s="103" t="str">
        <f t="shared" si="15"/>
        <v/>
      </c>
      <c r="AC87" s="283">
        <v>2008</v>
      </c>
      <c r="AD87" s="214">
        <v>2024</v>
      </c>
    </row>
    <row r="88" spans="12:30" ht="12.75" customHeight="1">
      <c r="L88" s="205" t="s">
        <v>381</v>
      </c>
      <c r="M88" s="285"/>
      <c r="N88" s="284"/>
      <c r="O88" s="55">
        <f t="shared" si="5"/>
        <v>42</v>
      </c>
      <c r="P88" s="206">
        <f>IF($Q$45="Army",P87/P86*P87,HLOOKUP($O$46,'1970=1 Infl Index'!$A$6:$CD$62,O88))</f>
        <v>5.6492588753062662</v>
      </c>
      <c r="Q88" s="55">
        <f t="shared" si="11"/>
        <v>2009</v>
      </c>
      <c r="R88" s="111">
        <f>IF($X$46="yes",(S88/S87)-1,(HLOOKUP($O$46,Inflation!$A$6:$CD$62,O88))/100)</f>
        <v>3.8025578562728368E-2</v>
      </c>
      <c r="S88" s="48">
        <f t="shared" si="13"/>
        <v>0.92526499575180177</v>
      </c>
      <c r="T88" s="207">
        <f t="shared" si="12"/>
        <v>0.92526499575180177</v>
      </c>
      <c r="U88" s="48">
        <f t="shared" si="7"/>
        <v>0.92526499575180177</v>
      </c>
      <c r="V88" s="53">
        <f t="shared" si="8"/>
        <v>3.8025578562728299E-2</v>
      </c>
      <c r="W88" s="271" t="str">
        <f>IF($X$46&lt;&gt;"Yes","",W87/W86*W87)</f>
        <v/>
      </c>
      <c r="X88" s="414" t="e">
        <f t="shared" si="9"/>
        <v>#VALUE!</v>
      </c>
      <c r="Y88" s="415" t="e">
        <f t="shared" si="14"/>
        <v>#N/A</v>
      </c>
      <c r="Z88" s="280" t="e">
        <f>Z87/Z86*Z87</f>
        <v>#N/A</v>
      </c>
      <c r="AA88" s="168" t="e">
        <f t="shared" si="10"/>
        <v>#N/A</v>
      </c>
      <c r="AB88" s="103" t="str">
        <f t="shared" si="15"/>
        <v/>
      </c>
      <c r="AC88" s="283">
        <v>2009</v>
      </c>
      <c r="AD88" s="214">
        <v>2025</v>
      </c>
    </row>
    <row r="89" spans="12:30">
      <c r="M89" s="285"/>
      <c r="N89" s="284"/>
      <c r="O89" s="49">
        <f t="shared" ref="O89:O139" si="16">+O88+1</f>
        <v>43</v>
      </c>
      <c r="P89" s="110">
        <f>IF($Q$45="Army",P88/P87*P88,HLOOKUP($O$46,'1970=1 Infl Index'!$A$6:$CD$62,O89))</f>
        <v>5.7883154442699629</v>
      </c>
      <c r="Q89" s="49">
        <f t="shared" si="11"/>
        <v>2010</v>
      </c>
      <c r="R89" s="111">
        <f>IF($X$46="yes",(S89/S88)-1,(HLOOKUP($O$46,Inflation!$A$6:$CD$62,O89))/100)</f>
        <v>2.4615010930289172E-2</v>
      </c>
      <c r="S89" s="48">
        <f t="shared" si="13"/>
        <v>0.94804040373564624</v>
      </c>
      <c r="T89" s="207">
        <f t="shared" si="12"/>
        <v>0.94804040373564624</v>
      </c>
      <c r="U89" s="48">
        <f t="shared" si="7"/>
        <v>0.94804040373564624</v>
      </c>
      <c r="V89" s="53">
        <f t="shared" si="8"/>
        <v>2.4615010930289075E-2</v>
      </c>
      <c r="W89" s="271" t="str">
        <f t="shared" ref="W89:W123" si="17">IF($X$46&lt;&gt;"Yes","",W88/W87*W88)</f>
        <v/>
      </c>
      <c r="X89" s="414" t="e">
        <f t="shared" si="9"/>
        <v>#VALUE!</v>
      </c>
      <c r="Y89" s="415" t="e">
        <f t="shared" si="14"/>
        <v>#N/A</v>
      </c>
      <c r="Z89" s="280" t="e">
        <f t="shared" ref="Z89:Z123" si="18">Z88/Z87*Z88</f>
        <v>#N/A</v>
      </c>
      <c r="AA89" s="168" t="e">
        <f t="shared" si="10"/>
        <v>#N/A</v>
      </c>
      <c r="AB89" s="103" t="str">
        <f>IF($X$46&lt;&gt;"Yes","",IF((HLOOKUP($Z$44,comboutfac,$O89))*rawindx3=0,"N/A",(HLOOKUP($Z$44,comboutfac,$O89))*rawindx3))</f>
        <v/>
      </c>
      <c r="AC89" s="283">
        <v>2010</v>
      </c>
      <c r="AD89" s="214">
        <v>2026</v>
      </c>
    </row>
    <row r="90" spans="12:30">
      <c r="M90" s="285"/>
      <c r="N90" s="284"/>
      <c r="O90" s="49">
        <f t="shared" si="16"/>
        <v>44</v>
      </c>
      <c r="P90" s="110">
        <f>IF($Q$45="Army",P89/P88*P89,HLOOKUP($O$46,'1970=1 Infl Index'!$A$6:$CD$62,O90))</f>
        <v>5.8168293134535585</v>
      </c>
      <c r="Q90" s="49">
        <f t="shared" si="11"/>
        <v>2011</v>
      </c>
      <c r="R90" s="111">
        <f>IF($X$46="yes",(S90/S89)-1,(HLOOKUP($O$46,Inflation!$A$6:$CD$62,O90))/100)</f>
        <v>4.9261083743841194E-3</v>
      </c>
      <c r="S90" s="48">
        <f t="shared" si="13"/>
        <v>0.95271055350774303</v>
      </c>
      <c r="T90" s="207">
        <f t="shared" si="12"/>
        <v>0.95271055350774303</v>
      </c>
      <c r="U90" s="48">
        <f t="shared" si="7"/>
        <v>0.95271055350774303</v>
      </c>
      <c r="V90" s="53">
        <f t="shared" si="8"/>
        <v>4.9261083743842452E-3</v>
      </c>
      <c r="W90" s="271" t="str">
        <f t="shared" si="17"/>
        <v/>
      </c>
      <c r="X90" s="414" t="e">
        <f t="shared" si="9"/>
        <v>#VALUE!</v>
      </c>
      <c r="Y90" s="415" t="e">
        <f t="shared" si="14"/>
        <v>#N/A</v>
      </c>
      <c r="Z90" s="280" t="e">
        <f t="shared" si="18"/>
        <v>#N/A</v>
      </c>
      <c r="AA90" s="168" t="e">
        <f t="shared" si="10"/>
        <v>#N/A</v>
      </c>
      <c r="AB90" s="103" t="str">
        <f t="shared" si="15"/>
        <v/>
      </c>
      <c r="AC90" s="283">
        <v>2011</v>
      </c>
      <c r="AD90" s="214">
        <v>2027</v>
      </c>
    </row>
    <row r="91" spans="12:30">
      <c r="M91" s="285"/>
      <c r="N91" s="284"/>
      <c r="O91" s="49">
        <f t="shared" si="16"/>
        <v>45</v>
      </c>
      <c r="P91" s="110">
        <f>IF($Q$45="Army",P90/P89*P90,HLOOKUP($O$46,'1970=1 Infl Index'!$A$6:$CD$62,O91))</f>
        <v>5.8168293134535585</v>
      </c>
      <c r="Q91" s="49">
        <f t="shared" si="11"/>
        <v>2012</v>
      </c>
      <c r="R91" s="111">
        <f>IF($X$46="yes",(S91/S90)-1,(HLOOKUP($O$46,Inflation!$A$6:$CD$62,O91))/100)</f>
        <v>0</v>
      </c>
      <c r="S91" s="48">
        <f t="shared" si="13"/>
        <v>0.95271055350774303</v>
      </c>
      <c r="T91" s="207">
        <f t="shared" si="12"/>
        <v>0.95271055350774303</v>
      </c>
      <c r="U91" s="48">
        <f t="shared" si="7"/>
        <v>0.95271055350774303</v>
      </c>
      <c r="V91" s="53">
        <f t="shared" si="8"/>
        <v>0</v>
      </c>
      <c r="W91" s="271" t="str">
        <f t="shared" si="17"/>
        <v/>
      </c>
      <c r="X91" s="414" t="e">
        <f t="shared" si="9"/>
        <v>#VALUE!</v>
      </c>
      <c r="Y91" s="415" t="e">
        <f t="shared" si="14"/>
        <v>#N/A</v>
      </c>
      <c r="Z91" s="280" t="e">
        <f t="shared" si="18"/>
        <v>#N/A</v>
      </c>
      <c r="AA91" s="168" t="e">
        <f t="shared" si="10"/>
        <v>#N/A</v>
      </c>
      <c r="AB91" s="103" t="str">
        <f t="shared" si="15"/>
        <v/>
      </c>
      <c r="AC91" s="283">
        <v>2012</v>
      </c>
      <c r="AD91" s="214">
        <v>2028</v>
      </c>
    </row>
    <row r="92" spans="12:30">
      <c r="M92" s="285"/>
      <c r="N92" s="284"/>
      <c r="O92" s="49">
        <f t="shared" si="16"/>
        <v>46</v>
      </c>
      <c r="P92" s="110">
        <f>IF($Q$45="Army",P91/P90*P91,HLOOKUP($O$46,'1970=1 Infl Index'!$A$6:$CD$62,O92))</f>
        <v>5.8168293134535585</v>
      </c>
      <c r="Q92" s="49">
        <f t="shared" si="11"/>
        <v>2013</v>
      </c>
      <c r="R92" s="111">
        <f>IF($X$46="yes",(S92/S91)-1,(HLOOKUP($O$46,Inflation!$A$6:$CD$62,O92))/100)</f>
        <v>0</v>
      </c>
      <c r="S92" s="48">
        <f t="shared" si="13"/>
        <v>0.95271055350774303</v>
      </c>
      <c r="T92" s="207">
        <f t="shared" si="12"/>
        <v>0.95271055350774303</v>
      </c>
      <c r="U92" s="48">
        <f t="shared" si="7"/>
        <v>0.95271055350774303</v>
      </c>
      <c r="V92" s="53">
        <f t="shared" si="8"/>
        <v>0</v>
      </c>
      <c r="W92" s="271" t="str">
        <f t="shared" si="17"/>
        <v/>
      </c>
      <c r="X92" s="414" t="e">
        <f t="shared" si="9"/>
        <v>#VALUE!</v>
      </c>
      <c r="Y92" s="415" t="e">
        <f t="shared" si="14"/>
        <v>#N/A</v>
      </c>
      <c r="Z92" s="280" t="e">
        <f t="shared" si="18"/>
        <v>#N/A</v>
      </c>
      <c r="AA92" s="168" t="e">
        <f t="shared" si="10"/>
        <v>#N/A</v>
      </c>
      <c r="AB92" s="103" t="str">
        <f t="shared" si="15"/>
        <v/>
      </c>
      <c r="AC92" s="283">
        <v>2013</v>
      </c>
      <c r="AD92" s="214">
        <v>2029</v>
      </c>
    </row>
    <row r="93" spans="12:30">
      <c r="M93" s="285"/>
      <c r="N93" s="284"/>
      <c r="O93" s="49">
        <f t="shared" si="16"/>
        <v>47</v>
      </c>
      <c r="P93" s="110">
        <f>IF($Q$45="Army",P92/P91*P92,HLOOKUP($O$46,'1970=1 Infl Index'!$A$6:$CD$62,O93))</f>
        <v>5.8604555333044601</v>
      </c>
      <c r="Q93" s="49">
        <f t="shared" si="11"/>
        <v>2014</v>
      </c>
      <c r="R93" s="111">
        <f>IF($X$46="yes",(S93/S92)-1,(HLOOKUP($O$46,Inflation!$A$6:$CD$62,O93))/100)</f>
        <v>7.5000000000000622E-3</v>
      </c>
      <c r="S93" s="48">
        <f t="shared" si="13"/>
        <v>0.95985588265905109</v>
      </c>
      <c r="T93" s="207">
        <f t="shared" si="12"/>
        <v>0.95985588265905109</v>
      </c>
      <c r="U93" s="48">
        <f t="shared" si="7"/>
        <v>0.95985588265905109</v>
      </c>
      <c r="V93" s="53">
        <f t="shared" si="8"/>
        <v>7.4999999999999815E-3</v>
      </c>
      <c r="W93" s="271" t="str">
        <f t="shared" si="17"/>
        <v/>
      </c>
      <c r="X93" s="414" t="e">
        <f t="shared" si="9"/>
        <v>#VALUE!</v>
      </c>
      <c r="Y93" s="415" t="e">
        <f t="shared" si="14"/>
        <v>#N/A</v>
      </c>
      <c r="Z93" s="280" t="e">
        <f t="shared" si="18"/>
        <v>#N/A</v>
      </c>
      <c r="AA93" s="168" t="e">
        <f t="shared" si="10"/>
        <v>#N/A</v>
      </c>
      <c r="AB93" s="103" t="str">
        <f t="shared" si="15"/>
        <v/>
      </c>
      <c r="AC93" s="283">
        <v>2014</v>
      </c>
      <c r="AD93" s="214">
        <v>2030</v>
      </c>
    </row>
    <row r="94" spans="12:30">
      <c r="M94" s="285"/>
      <c r="N94" s="284"/>
      <c r="O94" s="49">
        <f t="shared" si="16"/>
        <v>48</v>
      </c>
      <c r="P94" s="110">
        <f>IF($Q$45="Army",P93/P92*P93,HLOOKUP($O$46,'1970=1 Infl Index'!$A$6:$CD$62,O94))</f>
        <v>5.9190600886375044</v>
      </c>
      <c r="Q94" s="49">
        <f t="shared" si="11"/>
        <v>2015</v>
      </c>
      <c r="R94" s="111">
        <f>IF($X$46="yes",(S94/S93)-1,(HLOOKUP($O$46,Inflation!$A$6:$CD$62,O94))/100)</f>
        <v>1.0000000000000009E-2</v>
      </c>
      <c r="S94" s="48">
        <f t="shared" si="13"/>
        <v>0.96945444148564153</v>
      </c>
      <c r="T94" s="207">
        <f t="shared" si="12"/>
        <v>0.96945444148564153</v>
      </c>
      <c r="U94" s="48">
        <f t="shared" si="7"/>
        <v>0.96945444148564153</v>
      </c>
      <c r="V94" s="53">
        <f t="shared" si="8"/>
        <v>9.9999999999999291E-3</v>
      </c>
      <c r="W94" s="271" t="str">
        <f t="shared" si="17"/>
        <v/>
      </c>
      <c r="X94" s="414" t="e">
        <f t="shared" si="9"/>
        <v>#VALUE!</v>
      </c>
      <c r="Y94" s="415" t="e">
        <f t="shared" si="14"/>
        <v>#N/A</v>
      </c>
      <c r="Z94" s="280" t="e">
        <f t="shared" si="18"/>
        <v>#N/A</v>
      </c>
      <c r="AA94" s="168" t="e">
        <f t="shared" si="10"/>
        <v>#N/A</v>
      </c>
      <c r="AB94" s="103" t="str">
        <f t="shared" si="15"/>
        <v/>
      </c>
      <c r="AC94" s="283">
        <v>2015</v>
      </c>
      <c r="AD94" s="214">
        <v>2031</v>
      </c>
    </row>
    <row r="95" spans="12:30">
      <c r="M95" s="285"/>
      <c r="N95" s="284"/>
      <c r="O95" s="49">
        <f t="shared" si="16"/>
        <v>49</v>
      </c>
      <c r="P95" s="110">
        <f>IF($Q$45="Army",P94/P93*P94,HLOOKUP($O$46,'1970=1 Infl Index'!$A$6:$CD$62,O95))</f>
        <v>5.9916016215848504</v>
      </c>
      <c r="Q95" s="49">
        <f t="shared" si="11"/>
        <v>2016</v>
      </c>
      <c r="R95" s="111">
        <f>IF($X$46="yes",(S95/S94)-1,(HLOOKUP($O$46,Inflation!$A$6:$CD$62,O95))/100)</f>
        <v>1.2255583126550729E-2</v>
      </c>
      <c r="S95" s="48">
        <f t="shared" si="13"/>
        <v>0.98133567098067265</v>
      </c>
      <c r="T95" s="207">
        <f t="shared" si="12"/>
        <v>0.98133567098067265</v>
      </c>
      <c r="U95" s="48">
        <f t="shared" si="7"/>
        <v>0.98133567098067265</v>
      </c>
      <c r="V95" s="53">
        <f t="shared" si="8"/>
        <v>1.2255583126550762E-2</v>
      </c>
      <c r="W95" s="271" t="str">
        <f t="shared" si="17"/>
        <v/>
      </c>
      <c r="X95" s="414" t="e">
        <f t="shared" si="9"/>
        <v>#VALUE!</v>
      </c>
      <c r="Y95" s="415" t="e">
        <f t="shared" si="14"/>
        <v>#N/A</v>
      </c>
      <c r="Z95" s="280" t="e">
        <f t="shared" si="18"/>
        <v>#N/A</v>
      </c>
      <c r="AA95" s="168" t="e">
        <f t="shared" si="10"/>
        <v>#N/A</v>
      </c>
      <c r="AB95" s="103" t="str">
        <f t="shared" si="15"/>
        <v/>
      </c>
      <c r="AC95" s="283">
        <v>2016</v>
      </c>
      <c r="AD95" s="214">
        <v>2032</v>
      </c>
    </row>
    <row r="96" spans="12:30">
      <c r="M96" s="285"/>
      <c r="N96" s="284"/>
      <c r="O96" s="49">
        <f t="shared" si="16"/>
        <v>50</v>
      </c>
      <c r="P96" s="110">
        <f>IF($Q$45="Army",P95/P94*P95,HLOOKUP($O$46,'1970=1 Infl Index'!$A$6:$CD$62,O96))</f>
        <v>6.1055577604728226</v>
      </c>
      <c r="Q96" s="49">
        <f t="shared" si="11"/>
        <v>2017</v>
      </c>
      <c r="R96" s="111">
        <f>IF($X$46="yes",(S96/S95)-1,(HLOOKUP($O$46,Inflation!$A$6:$CD$62,O96))/100)</f>
        <v>1.9019311710819276E-2</v>
      </c>
      <c r="S96" s="48">
        <f t="shared" si="13"/>
        <v>1</v>
      </c>
      <c r="T96" s="207">
        <f t="shared" si="12"/>
        <v>1</v>
      </c>
      <c r="U96" s="48">
        <f t="shared" si="7"/>
        <v>1</v>
      </c>
      <c r="V96" s="53">
        <f t="shared" si="8"/>
        <v>1.9019311710819227E-2</v>
      </c>
      <c r="W96" s="271" t="str">
        <f t="shared" si="17"/>
        <v/>
      </c>
      <c r="X96" s="271" t="e">
        <f t="shared" si="9"/>
        <v>#VALUE!</v>
      </c>
      <c r="Y96" s="281" t="e">
        <f t="shared" si="14"/>
        <v>#N/A</v>
      </c>
      <c r="Z96" s="280" t="e">
        <f t="shared" si="18"/>
        <v>#N/A</v>
      </c>
      <c r="AA96" s="168" t="e">
        <f t="shared" si="10"/>
        <v>#N/A</v>
      </c>
      <c r="AB96" s="103" t="str">
        <f t="shared" si="15"/>
        <v/>
      </c>
      <c r="AC96" s="283">
        <v>2017</v>
      </c>
      <c r="AD96" s="214">
        <v>2033</v>
      </c>
    </row>
    <row r="97" spans="3:30">
      <c r="M97" s="285"/>
      <c r="N97" s="284"/>
      <c r="O97" s="49">
        <f t="shared" si="16"/>
        <v>51</v>
      </c>
      <c r="P97" s="110">
        <f>IF($Q$45="Army",P96/P95*P96,HLOOKUP($O$46,'1970=1 Infl Index'!$A$6:$CD$62,O97))</f>
        <v>6.2245688010724196</v>
      </c>
      <c r="Q97" s="49">
        <f t="shared" si="11"/>
        <v>2018</v>
      </c>
      <c r="R97" s="111">
        <f>IF($X$46="yes",(S97/S96)-1,(HLOOKUP($O$46,Inflation!$A$6:$CD$62,O97))/100)</f>
        <v>1.9492247108048089E-2</v>
      </c>
      <c r="S97" s="48">
        <f t="shared" si="13"/>
        <v>1.0194922471080481</v>
      </c>
      <c r="T97" s="207">
        <f t="shared" si="12"/>
        <v>1.0194922471080481</v>
      </c>
      <c r="U97" s="48">
        <f t="shared" si="7"/>
        <v>1.0194922471080481</v>
      </c>
      <c r="V97" s="53">
        <f t="shared" si="8"/>
        <v>1.9492247108048089E-2</v>
      </c>
      <c r="W97" s="271" t="str">
        <f t="shared" si="17"/>
        <v/>
      </c>
      <c r="X97" s="271" t="e">
        <f t="shared" si="9"/>
        <v>#VALUE!</v>
      </c>
      <c r="Y97" s="281" t="e">
        <f t="shared" si="14"/>
        <v>#N/A</v>
      </c>
      <c r="Z97" s="280" t="e">
        <f t="shared" si="18"/>
        <v>#N/A</v>
      </c>
      <c r="AA97" s="168" t="e">
        <f t="shared" si="10"/>
        <v>#N/A</v>
      </c>
      <c r="AB97" s="103" t="str">
        <f t="shared" si="15"/>
        <v/>
      </c>
      <c r="AC97" s="283">
        <v>2018</v>
      </c>
      <c r="AD97" s="214">
        <v>2034</v>
      </c>
    </row>
    <row r="98" spans="3:30">
      <c r="M98" s="285"/>
      <c r="N98" s="284"/>
      <c r="O98" s="49">
        <f t="shared" si="16"/>
        <v>52</v>
      </c>
      <c r="P98" s="110">
        <f>IF($Q$45="Army",P97/P96*P97,HLOOKUP($O$46,'1970=1 Infl Index'!$A$6:$CD$62,O98))</f>
        <v>6.3428356082927948</v>
      </c>
      <c r="Q98" s="49">
        <f t="shared" si="11"/>
        <v>2019</v>
      </c>
      <c r="R98" s="111">
        <f>IF($X$46="yes",(S98/S97)-1,(HLOOKUP($O$46,Inflation!$A$6:$CD$62,O98))/100)</f>
        <v>1.8999999999999906E-2</v>
      </c>
      <c r="S98" s="48">
        <f t="shared" si="13"/>
        <v>1.0388625998031009</v>
      </c>
      <c r="T98" s="207">
        <f t="shared" si="12"/>
        <v>1.0388625998031009</v>
      </c>
      <c r="U98" s="48">
        <f t="shared" si="7"/>
        <v>1.0388625998031009</v>
      </c>
      <c r="V98" s="53">
        <f t="shared" si="8"/>
        <v>1.8999999999999916E-2</v>
      </c>
      <c r="W98" s="271" t="str">
        <f t="shared" si="17"/>
        <v/>
      </c>
      <c r="X98" s="271" t="e">
        <f t="shared" si="9"/>
        <v>#VALUE!</v>
      </c>
      <c r="Y98" s="281" t="e">
        <f t="shared" si="14"/>
        <v>#N/A</v>
      </c>
      <c r="Z98" s="280" t="e">
        <f t="shared" si="18"/>
        <v>#N/A</v>
      </c>
      <c r="AA98" s="168" t="e">
        <f t="shared" si="10"/>
        <v>#N/A</v>
      </c>
      <c r="AB98" s="103" t="str">
        <f t="shared" si="15"/>
        <v/>
      </c>
      <c r="AC98" s="283">
        <v>2019</v>
      </c>
      <c r="AD98" s="214">
        <v>2035</v>
      </c>
    </row>
    <row r="99" spans="3:30">
      <c r="M99" s="285"/>
      <c r="N99" s="284"/>
      <c r="O99" s="49">
        <f t="shared" si="16"/>
        <v>53</v>
      </c>
      <c r="P99" s="110">
        <f>IF($Q$45="Army",P98/P97*P98,HLOOKUP($O$46,'1970=1 Infl Index'!$A$6:$CD$62,O99))</f>
        <v>6.4633494848503572</v>
      </c>
      <c r="Q99" s="49">
        <f t="shared" si="11"/>
        <v>2020</v>
      </c>
      <c r="R99" s="111">
        <f>IF($X$46="yes",(S99/S98)-1,(HLOOKUP($O$46,Inflation!$A$6:$CD$62,O99))/100)</f>
        <v>1.8999999999999906E-2</v>
      </c>
      <c r="S99" s="48">
        <f t="shared" si="13"/>
        <v>1.0586009891993597</v>
      </c>
      <c r="T99" s="207">
        <f t="shared" si="12"/>
        <v>1.0586009891993597</v>
      </c>
      <c r="U99" s="48">
        <f t="shared" si="7"/>
        <v>1.0586009891993597</v>
      </c>
      <c r="V99" s="53">
        <f t="shared" si="8"/>
        <v>1.8999999999999913E-2</v>
      </c>
      <c r="W99" s="271" t="str">
        <f t="shared" si="17"/>
        <v/>
      </c>
      <c r="X99" s="271" t="e">
        <f t="shared" si="9"/>
        <v>#VALUE!</v>
      </c>
      <c r="Y99" s="281" t="e">
        <f t="shared" si="14"/>
        <v>#N/A</v>
      </c>
      <c r="Z99" s="280" t="e">
        <f t="shared" si="18"/>
        <v>#N/A</v>
      </c>
      <c r="AA99" s="168" t="e">
        <f t="shared" si="10"/>
        <v>#N/A</v>
      </c>
      <c r="AB99" s="103" t="str">
        <f t="shared" si="15"/>
        <v/>
      </c>
      <c r="AC99" s="283">
        <v>2020</v>
      </c>
      <c r="AD99" s="214">
        <v>2036</v>
      </c>
    </row>
    <row r="100" spans="3:30" ht="14.25" customHeight="1">
      <c r="C100" s="416"/>
      <c r="M100" s="285"/>
      <c r="N100" s="284"/>
      <c r="O100" s="49">
        <f t="shared" si="16"/>
        <v>54</v>
      </c>
      <c r="P100" s="110">
        <f>IF($Q$45="Army",P99/P98*P99,HLOOKUP($O$46,'1970=1 Infl Index'!$A$6:$CD$62,O100))</f>
        <v>6.5958935536428367</v>
      </c>
      <c r="Q100" s="49">
        <f t="shared" si="11"/>
        <v>2021</v>
      </c>
      <c r="R100" s="111">
        <f>IF($X$46="yes",(S100/S99)-1,(HLOOKUP($O$46,Inflation!$A$6:$CD$62,O100))/100)</f>
        <v>2.0507024895242587E-2</v>
      </c>
      <c r="S100" s="48">
        <f t="shared" si="13"/>
        <v>1.0803097460389994</v>
      </c>
      <c r="T100" s="207">
        <f t="shared" si="12"/>
        <v>1.0803097460389994</v>
      </c>
      <c r="U100" s="48">
        <f t="shared" si="7"/>
        <v>1.0803097460389994</v>
      </c>
      <c r="V100" s="53">
        <f t="shared" si="8"/>
        <v>2.0507024895242577E-2</v>
      </c>
      <c r="W100" s="271" t="str">
        <f t="shared" si="17"/>
        <v/>
      </c>
      <c r="X100" s="271" t="e">
        <f t="shared" si="9"/>
        <v>#VALUE!</v>
      </c>
      <c r="Y100" s="281" t="e">
        <f t="shared" si="14"/>
        <v>#N/A</v>
      </c>
      <c r="Z100" s="280" t="e">
        <f t="shared" si="18"/>
        <v>#N/A</v>
      </c>
      <c r="AA100" s="168" t="e">
        <f t="shared" si="10"/>
        <v>#N/A</v>
      </c>
      <c r="AB100" s="103" t="str">
        <f t="shared" si="15"/>
        <v/>
      </c>
      <c r="AC100" s="283">
        <v>2021</v>
      </c>
      <c r="AD100" s="214">
        <v>2037</v>
      </c>
    </row>
    <row r="101" spans="3:30">
      <c r="M101" s="285"/>
      <c r="N101" s="284"/>
      <c r="O101" s="49">
        <f t="shared" si="16"/>
        <v>55</v>
      </c>
      <c r="P101" s="110">
        <f>IF($Q$45="Army",P100/P99*P100,HLOOKUP($O$46,'1970=1 Infl Index'!$A$6:$CD$62,O101))</f>
        <v>6.7344073182693354</v>
      </c>
      <c r="Q101" s="49">
        <f t="shared" si="11"/>
        <v>2022</v>
      </c>
      <c r="R101" s="111">
        <f>IF($X$46="yes",(S101/S100)-1,(HLOOKUP($O$46,Inflation!$A$6:$CD$62,O101))/100)</f>
        <v>2.0999999999999908E-2</v>
      </c>
      <c r="S101" s="48">
        <f t="shared" si="13"/>
        <v>1.1029962507058182</v>
      </c>
      <c r="T101" s="207">
        <f t="shared" si="12"/>
        <v>1.1029962507058182</v>
      </c>
      <c r="U101" s="48">
        <f t="shared" si="7"/>
        <v>1.1029962507058182</v>
      </c>
      <c r="V101" s="53">
        <f t="shared" si="8"/>
        <v>2.0999999999999793E-2</v>
      </c>
      <c r="W101" s="271" t="str">
        <f t="shared" si="17"/>
        <v/>
      </c>
      <c r="X101" s="271" t="e">
        <f t="shared" si="9"/>
        <v>#VALUE!</v>
      </c>
      <c r="Y101" s="281" t="e">
        <f t="shared" si="14"/>
        <v>#N/A</v>
      </c>
      <c r="Z101" s="280" t="e">
        <f t="shared" si="18"/>
        <v>#N/A</v>
      </c>
      <c r="AA101" s="168" t="e">
        <f t="shared" si="10"/>
        <v>#N/A</v>
      </c>
      <c r="AB101" s="103" t="str">
        <f t="shared" si="15"/>
        <v/>
      </c>
      <c r="AC101" s="214">
        <v>2022</v>
      </c>
      <c r="AD101" s="214">
        <v>2038</v>
      </c>
    </row>
    <row r="102" spans="3:30">
      <c r="M102" s="285"/>
      <c r="N102" s="284"/>
      <c r="O102" s="49">
        <f t="shared" si="16"/>
        <v>56</v>
      </c>
      <c r="P102" s="110">
        <f>IF($Q$45="Army",P101/P100*P101,HLOOKUP($O$46,'1970=1 Infl Index'!$A$6:$CD$62,O102))</f>
        <v>6.8758298719529911</v>
      </c>
      <c r="Q102" s="49">
        <f t="shared" si="11"/>
        <v>2023</v>
      </c>
      <c r="R102" s="111">
        <f>IF($X$46="yes",(S102/S101)-1,(HLOOKUP($O$46,Inflation!$A$6:$CD$62,O102))/100)</f>
        <v>2.0999999999999908E-2</v>
      </c>
      <c r="S102" s="48">
        <f t="shared" si="13"/>
        <v>1.1261591719706403</v>
      </c>
      <c r="T102" s="207">
        <f t="shared" si="12"/>
        <v>1.1261591719706403</v>
      </c>
      <c r="U102" s="48">
        <f t="shared" si="7"/>
        <v>1.1261591719706403</v>
      </c>
      <c r="V102" s="53">
        <f t="shared" si="8"/>
        <v>2.0999999999999935E-2</v>
      </c>
      <c r="W102" s="271" t="str">
        <f t="shared" si="17"/>
        <v/>
      </c>
      <c r="X102" s="271" t="e">
        <f t="shared" si="9"/>
        <v>#VALUE!</v>
      </c>
      <c r="Y102" s="281" t="e">
        <f t="shared" si="14"/>
        <v>#N/A</v>
      </c>
      <c r="Z102" s="280" t="e">
        <f t="shared" si="18"/>
        <v>#N/A</v>
      </c>
      <c r="AA102" s="168" t="e">
        <f t="shared" si="10"/>
        <v>#N/A</v>
      </c>
      <c r="AB102" s="103" t="str">
        <f t="shared" si="15"/>
        <v/>
      </c>
      <c r="AC102" s="214">
        <v>2023</v>
      </c>
      <c r="AD102" s="214">
        <v>2039</v>
      </c>
    </row>
    <row r="103" spans="3:30">
      <c r="M103" s="285"/>
      <c r="N103" s="284"/>
      <c r="O103" s="49">
        <f t="shared" si="16"/>
        <v>57</v>
      </c>
      <c r="P103" s="110">
        <f>IF($Q$45="Army",P102/P101*P102,HLOOKUP($O$46,'1970=1 Infl Index'!$A$6:$CD$62,O103))</f>
        <v>7.0202222992640033</v>
      </c>
      <c r="Q103" s="49">
        <f>Q102+1</f>
        <v>2024</v>
      </c>
      <c r="R103" s="111">
        <f>IF($X$46="yes",(S103/S102)-1,(HLOOKUP($O$46,Inflation!$A$6:$CD$62,O103))/100)</f>
        <v>2.0999999999999908E-2</v>
      </c>
      <c r="S103" s="48">
        <f t="shared" si="13"/>
        <v>1.1498085145820236</v>
      </c>
      <c r="T103" s="207">
        <f t="shared" si="12"/>
        <v>1.1498085145820236</v>
      </c>
      <c r="U103" s="48">
        <f t="shared" si="7"/>
        <v>1.1498085145820236</v>
      </c>
      <c r="V103" s="53">
        <f t="shared" si="8"/>
        <v>2.0999999999999866E-2</v>
      </c>
      <c r="W103" s="271" t="str">
        <f t="shared" si="17"/>
        <v/>
      </c>
      <c r="X103" s="271" t="e">
        <f t="shared" si="9"/>
        <v>#VALUE!</v>
      </c>
      <c r="Y103" s="281" t="e">
        <f t="shared" si="14"/>
        <v>#N/A</v>
      </c>
      <c r="Z103" s="280" t="e">
        <f t="shared" si="18"/>
        <v>#N/A</v>
      </c>
      <c r="AA103" s="168" t="e">
        <f t="shared" si="10"/>
        <v>#N/A</v>
      </c>
      <c r="AB103" s="103" t="str">
        <f t="shared" si="15"/>
        <v/>
      </c>
      <c r="AC103" s="214" t="s">
        <v>444</v>
      </c>
      <c r="AD103" s="214" t="s">
        <v>445</v>
      </c>
    </row>
    <row r="104" spans="3:30">
      <c r="K104" s="350"/>
      <c r="L104" s="286"/>
      <c r="M104" s="285"/>
      <c r="N104" s="284"/>
      <c r="O104" s="49">
        <f t="shared" si="16"/>
        <v>58</v>
      </c>
      <c r="P104" s="48">
        <f>P103/P102*P103</f>
        <v>7.1676469675485466</v>
      </c>
      <c r="Q104" s="49">
        <f>+Q103+1</f>
        <v>2025</v>
      </c>
      <c r="R104" s="111">
        <f>IF($X$46="yes",(S104/S103)-1,R103)</f>
        <v>2.0999999999999908E-2</v>
      </c>
      <c r="S104" s="48">
        <f t="shared" si="13"/>
        <v>1.173954493388246</v>
      </c>
      <c r="T104" s="207">
        <f>IF(AND($X$46="Yes",AB104&lt;&gt;"N/A"),($X$42*Y104+(1-$X$42)*AB104),IF(AND($X$46="Yes",AB104="N/A"),"N/A",T103/S103*S104))</f>
        <v>1.173954493388246</v>
      </c>
      <c r="U104" s="48">
        <f t="shared" si="7"/>
        <v>1.173954493388246</v>
      </c>
      <c r="V104" s="53">
        <f t="shared" si="8"/>
        <v>2.0999999999999897E-2</v>
      </c>
      <c r="W104" s="271" t="str">
        <f t="shared" si="17"/>
        <v/>
      </c>
      <c r="X104" s="271" t="e">
        <f t="shared" si="9"/>
        <v>#VALUE!</v>
      </c>
      <c r="Y104" s="280" t="e">
        <f>Y103/X103*X104</f>
        <v>#N/A</v>
      </c>
      <c r="Z104" s="280" t="e">
        <f t="shared" si="18"/>
        <v>#N/A</v>
      </c>
      <c r="AA104" s="168" t="e">
        <f t="shared" si="10"/>
        <v>#N/A</v>
      </c>
      <c r="AB104" s="168" t="str">
        <f>IF($X$46&lt;&gt;"Yes","",(AB103/AA103*AA104))</f>
        <v/>
      </c>
      <c r="AC104" s="214" t="s">
        <v>446</v>
      </c>
      <c r="AD104" s="214" t="s">
        <v>447</v>
      </c>
    </row>
    <row r="105" spans="3:30">
      <c r="M105" s="285"/>
      <c r="N105" s="284"/>
      <c r="O105" s="49">
        <f t="shared" si="16"/>
        <v>59</v>
      </c>
      <c r="P105" s="48">
        <f>P104/P103*P104</f>
        <v>7.318167553867065</v>
      </c>
      <c r="Q105" s="49">
        <f>+Q104+1</f>
        <v>2026</v>
      </c>
      <c r="R105" s="111">
        <f t="shared" ref="R105:R123" si="19">IF($X$46="yes",(S105/S104)-1,R104)</f>
        <v>2.0999999999999908E-2</v>
      </c>
      <c r="S105" s="48">
        <f t="shared" si="13"/>
        <v>1.198607537749399</v>
      </c>
      <c r="T105" s="207">
        <f t="shared" ref="T105:T123" si="20">IF(AND($X$46="Yes",AB105&lt;&gt;"N/A"),($X$42*Y105+(1-$X$42)*AB105),IF(AND($X$46="Yes",AB105="N/A"),"N/A",T104/S104*S105))</f>
        <v>1.198607537749399</v>
      </c>
      <c r="U105" s="48">
        <f t="shared" si="7"/>
        <v>1.198607537749399</v>
      </c>
      <c r="V105" s="53">
        <f t="shared" si="8"/>
        <v>2.0999999999999866E-2</v>
      </c>
      <c r="W105" s="271" t="str">
        <f t="shared" si="17"/>
        <v/>
      </c>
      <c r="X105" s="271" t="e">
        <f t="shared" si="9"/>
        <v>#VALUE!</v>
      </c>
      <c r="Y105" s="280" t="e">
        <f t="shared" ref="Y105:Y123" si="21">Y104/X104*X105</f>
        <v>#N/A</v>
      </c>
      <c r="Z105" s="280" t="e">
        <f t="shared" si="18"/>
        <v>#N/A</v>
      </c>
      <c r="AA105" s="168" t="e">
        <f t="shared" si="10"/>
        <v>#N/A</v>
      </c>
      <c r="AB105" s="168" t="str">
        <f t="shared" ref="AB105:AB123" si="22">IF($X$46&lt;&gt;"Yes","",(AB104/AA104*AA105))</f>
        <v/>
      </c>
      <c r="AC105" s="214" t="s">
        <v>448</v>
      </c>
      <c r="AD105" s="214" t="s">
        <v>449</v>
      </c>
    </row>
    <row r="106" spans="3:30">
      <c r="M106" s="285"/>
      <c r="N106" s="284"/>
      <c r="O106" s="49">
        <f t="shared" si="16"/>
        <v>60</v>
      </c>
      <c r="P106" s="48">
        <f t="shared" ref="P106:P123" si="23">P105/P104*P105</f>
        <v>7.4718490724982729</v>
      </c>
      <c r="Q106" s="49">
        <f t="shared" ref="Q106:Q123" si="24">+Q105+1</f>
        <v>2027</v>
      </c>
      <c r="R106" s="111">
        <f t="shared" si="19"/>
        <v>2.0999999999999908E-2</v>
      </c>
      <c r="S106" s="48">
        <f t="shared" si="13"/>
        <v>1.2237782960421364</v>
      </c>
      <c r="T106" s="207">
        <f t="shared" si="20"/>
        <v>1.2237782960421364</v>
      </c>
      <c r="U106" s="48">
        <f t="shared" si="7"/>
        <v>1.2237782960421364</v>
      </c>
      <c r="V106" s="53">
        <f t="shared" si="8"/>
        <v>2.1000000000000022E-2</v>
      </c>
      <c r="W106" s="271" t="str">
        <f t="shared" si="17"/>
        <v/>
      </c>
      <c r="X106" s="271" t="e">
        <f t="shared" si="9"/>
        <v>#VALUE!</v>
      </c>
      <c r="Y106" s="280" t="e">
        <f t="shared" si="21"/>
        <v>#N/A</v>
      </c>
      <c r="Z106" s="280" t="e">
        <f t="shared" si="18"/>
        <v>#N/A</v>
      </c>
      <c r="AA106" s="168" t="e">
        <f t="shared" si="10"/>
        <v>#N/A</v>
      </c>
      <c r="AB106" s="168" t="str">
        <f t="shared" si="22"/>
        <v/>
      </c>
      <c r="AC106" s="214">
        <v>2027</v>
      </c>
      <c r="AD106" s="214">
        <v>2043</v>
      </c>
    </row>
    <row r="107" spans="3:30">
      <c r="M107" s="285"/>
      <c r="N107" s="284"/>
      <c r="O107" s="49">
        <f t="shared" si="16"/>
        <v>61</v>
      </c>
      <c r="P107" s="48">
        <f t="shared" si="23"/>
        <v>7.6287579030207358</v>
      </c>
      <c r="Q107" s="49">
        <f t="shared" si="24"/>
        <v>2028</v>
      </c>
      <c r="R107" s="111">
        <f t="shared" si="19"/>
        <v>2.0999999999999908E-2</v>
      </c>
      <c r="S107" s="48">
        <f t="shared" si="13"/>
        <v>1.2494776402590211</v>
      </c>
      <c r="T107" s="207">
        <f t="shared" si="20"/>
        <v>1.2494776402590211</v>
      </c>
      <c r="U107" s="48">
        <f t="shared" si="7"/>
        <v>1.2494776402590211</v>
      </c>
      <c r="V107" s="53">
        <f t="shared" si="8"/>
        <v>2.0999999999999859E-2</v>
      </c>
      <c r="W107" s="271" t="str">
        <f t="shared" si="17"/>
        <v/>
      </c>
      <c r="X107" s="271" t="e">
        <f t="shared" si="9"/>
        <v>#VALUE!</v>
      </c>
      <c r="Y107" s="280" t="e">
        <f t="shared" si="21"/>
        <v>#N/A</v>
      </c>
      <c r="Z107" s="280" t="e">
        <f t="shared" si="18"/>
        <v>#N/A</v>
      </c>
      <c r="AA107" s="168" t="e">
        <f t="shared" si="10"/>
        <v>#N/A</v>
      </c>
      <c r="AB107" s="168" t="str">
        <f t="shared" si="22"/>
        <v/>
      </c>
      <c r="AC107" s="214">
        <v>2028</v>
      </c>
      <c r="AD107" s="214">
        <v>2044</v>
      </c>
    </row>
    <row r="108" spans="3:30">
      <c r="M108" s="285"/>
      <c r="N108" s="284"/>
      <c r="O108" s="49">
        <f t="shared" si="16"/>
        <v>62</v>
      </c>
      <c r="P108" s="48">
        <f t="shared" si="23"/>
        <v>7.7889618189841707</v>
      </c>
      <c r="Q108" s="49">
        <f t="shared" si="24"/>
        <v>2029</v>
      </c>
      <c r="R108" s="111">
        <f t="shared" si="19"/>
        <v>2.0999999999999908E-2</v>
      </c>
      <c r="S108" s="48">
        <f t="shared" si="13"/>
        <v>1.2757166707044605</v>
      </c>
      <c r="T108" s="207">
        <f t="shared" si="20"/>
        <v>1.2757166707044605</v>
      </c>
      <c r="U108" s="48">
        <f t="shared" si="7"/>
        <v>1.2757166707044605</v>
      </c>
      <c r="V108" s="53">
        <f t="shared" si="8"/>
        <v>2.099999999999997E-2</v>
      </c>
      <c r="W108" s="271" t="str">
        <f t="shared" si="17"/>
        <v/>
      </c>
      <c r="X108" s="271" t="e">
        <f t="shared" si="9"/>
        <v>#VALUE!</v>
      </c>
      <c r="Y108" s="280" t="e">
        <f t="shared" si="21"/>
        <v>#N/A</v>
      </c>
      <c r="Z108" s="280" t="e">
        <f t="shared" si="18"/>
        <v>#N/A</v>
      </c>
      <c r="AA108" s="168" t="e">
        <f t="shared" si="10"/>
        <v>#N/A</v>
      </c>
      <c r="AB108" s="168" t="str">
        <f t="shared" si="22"/>
        <v/>
      </c>
      <c r="AC108" s="214">
        <v>2029</v>
      </c>
      <c r="AD108" s="214">
        <v>2045</v>
      </c>
    </row>
    <row r="109" spans="3:30">
      <c r="M109" s="285"/>
      <c r="N109" s="284"/>
      <c r="O109" s="49">
        <f t="shared" si="16"/>
        <v>63</v>
      </c>
      <c r="P109" s="48">
        <f t="shared" si="23"/>
        <v>7.9525300171828377</v>
      </c>
      <c r="Q109" s="49">
        <f t="shared" si="24"/>
        <v>2030</v>
      </c>
      <c r="R109" s="111">
        <f t="shared" si="19"/>
        <v>2.0999999999999908E-2</v>
      </c>
      <c r="S109" s="48">
        <f t="shared" si="13"/>
        <v>1.302506720789254</v>
      </c>
      <c r="T109" s="207">
        <f t="shared" si="20"/>
        <v>1.302506720789254</v>
      </c>
      <c r="U109" s="48">
        <f t="shared" si="7"/>
        <v>1.302506720789254</v>
      </c>
      <c r="V109" s="53">
        <f t="shared" si="8"/>
        <v>2.099999999999988E-2</v>
      </c>
      <c r="W109" s="271" t="str">
        <f t="shared" si="17"/>
        <v/>
      </c>
      <c r="X109" s="271" t="e">
        <f t="shared" si="9"/>
        <v>#VALUE!</v>
      </c>
      <c r="Y109" s="280" t="e">
        <f t="shared" si="21"/>
        <v>#N/A</v>
      </c>
      <c r="Z109" s="280" t="e">
        <f t="shared" si="18"/>
        <v>#N/A</v>
      </c>
      <c r="AA109" s="168" t="e">
        <f t="shared" si="10"/>
        <v>#N/A</v>
      </c>
      <c r="AB109" s="168" t="str">
        <f t="shared" si="22"/>
        <v/>
      </c>
      <c r="AC109" s="214">
        <v>2030</v>
      </c>
      <c r="AD109" s="214">
        <v>2046</v>
      </c>
    </row>
    <row r="110" spans="3:30">
      <c r="M110" s="285"/>
      <c r="N110" s="284"/>
      <c r="O110" s="49">
        <f t="shared" si="16"/>
        <v>64</v>
      </c>
      <c r="P110" s="48">
        <f t="shared" si="23"/>
        <v>8.1195331475436774</v>
      </c>
      <c r="Q110" s="49">
        <f t="shared" si="24"/>
        <v>2031</v>
      </c>
      <c r="R110" s="111">
        <f t="shared" si="19"/>
        <v>2.0999999999999908E-2</v>
      </c>
      <c r="S110" s="48">
        <f t="shared" si="13"/>
        <v>1.3298593619258283</v>
      </c>
      <c r="T110" s="207">
        <f t="shared" si="20"/>
        <v>1.3298593619258283</v>
      </c>
      <c r="U110" s="48">
        <f t="shared" si="7"/>
        <v>1.3298593619258283</v>
      </c>
      <c r="V110" s="53">
        <f t="shared" si="8"/>
        <v>2.0999999999999987E-2</v>
      </c>
      <c r="W110" s="271" t="str">
        <f t="shared" si="17"/>
        <v/>
      </c>
      <c r="X110" s="271" t="e">
        <f t="shared" si="9"/>
        <v>#VALUE!</v>
      </c>
      <c r="Y110" s="280" t="e">
        <f t="shared" si="21"/>
        <v>#N/A</v>
      </c>
      <c r="Z110" s="280" t="e">
        <f t="shared" si="18"/>
        <v>#N/A</v>
      </c>
      <c r="AA110" s="168" t="e">
        <f t="shared" si="10"/>
        <v>#N/A</v>
      </c>
      <c r="AB110" s="168" t="str">
        <f t="shared" si="22"/>
        <v/>
      </c>
      <c r="AC110" s="214">
        <v>2031</v>
      </c>
      <c r="AD110" s="214">
        <v>2047</v>
      </c>
    </row>
    <row r="111" spans="3:30">
      <c r="M111" s="285"/>
      <c r="N111" s="284"/>
      <c r="O111" s="49">
        <f t="shared" si="16"/>
        <v>65</v>
      </c>
      <c r="P111" s="48">
        <f t="shared" si="23"/>
        <v>8.2900433436420933</v>
      </c>
      <c r="Q111" s="49">
        <f t="shared" si="24"/>
        <v>2032</v>
      </c>
      <c r="R111" s="111">
        <f t="shared" si="19"/>
        <v>2.0999999999999908E-2</v>
      </c>
      <c r="S111" s="48">
        <f t="shared" si="13"/>
        <v>1.3577864085262705</v>
      </c>
      <c r="T111" s="207">
        <f t="shared" si="20"/>
        <v>1.3577864085262705</v>
      </c>
      <c r="U111" s="48">
        <f t="shared" si="7"/>
        <v>1.3577864085262705</v>
      </c>
      <c r="V111" s="53">
        <f t="shared" si="8"/>
        <v>2.0999999999999859E-2</v>
      </c>
      <c r="W111" s="271" t="str">
        <f t="shared" si="17"/>
        <v/>
      </c>
      <c r="X111" s="271" t="e">
        <f t="shared" si="9"/>
        <v>#VALUE!</v>
      </c>
      <c r="Y111" s="280" t="e">
        <f t="shared" si="21"/>
        <v>#N/A</v>
      </c>
      <c r="Z111" s="280" t="e">
        <f t="shared" si="18"/>
        <v>#N/A</v>
      </c>
      <c r="AA111" s="168" t="e">
        <f t="shared" si="10"/>
        <v>#N/A</v>
      </c>
      <c r="AB111" s="168" t="str">
        <f t="shared" si="22"/>
        <v/>
      </c>
      <c r="AC111" s="214">
        <v>2032</v>
      </c>
      <c r="AD111" s="214">
        <v>2048</v>
      </c>
    </row>
    <row r="112" spans="3:30">
      <c r="M112" s="285"/>
      <c r="N112" s="284"/>
      <c r="O112" s="49">
        <f t="shared" si="16"/>
        <v>66</v>
      </c>
      <c r="P112" s="48">
        <f t="shared" si="23"/>
        <v>8.4641342538585764</v>
      </c>
      <c r="Q112" s="49">
        <f t="shared" si="24"/>
        <v>2033</v>
      </c>
      <c r="R112" s="111">
        <f t="shared" si="19"/>
        <v>2.0999999999999908E-2</v>
      </c>
      <c r="S112" s="48">
        <f t="shared" si="13"/>
        <v>1.3862999231053221</v>
      </c>
      <c r="T112" s="207">
        <f t="shared" si="20"/>
        <v>1.3862999231053221</v>
      </c>
      <c r="U112" s="48">
        <f t="shared" si="7"/>
        <v>1.3862999231053221</v>
      </c>
      <c r="V112" s="53">
        <f t="shared" si="8"/>
        <v>2.0999999999999942E-2</v>
      </c>
      <c r="W112" s="271" t="str">
        <f t="shared" si="17"/>
        <v/>
      </c>
      <c r="X112" s="271" t="e">
        <f t="shared" si="9"/>
        <v>#VALUE!</v>
      </c>
      <c r="Y112" s="280" t="e">
        <f t="shared" si="21"/>
        <v>#N/A</v>
      </c>
      <c r="Z112" s="280" t="e">
        <f t="shared" si="18"/>
        <v>#N/A</v>
      </c>
      <c r="AA112" s="168" t="e">
        <f t="shared" si="10"/>
        <v>#N/A</v>
      </c>
      <c r="AB112" s="168" t="str">
        <f t="shared" si="22"/>
        <v/>
      </c>
      <c r="AC112" s="214">
        <v>2033</v>
      </c>
      <c r="AD112" s="214">
        <v>2049</v>
      </c>
    </row>
    <row r="113" spans="13:30">
      <c r="M113" s="285"/>
      <c r="N113" s="284"/>
      <c r="O113" s="49">
        <f t="shared" si="16"/>
        <v>67</v>
      </c>
      <c r="P113" s="48">
        <f t="shared" si="23"/>
        <v>8.6418810731896052</v>
      </c>
      <c r="Q113" s="49">
        <f t="shared" si="24"/>
        <v>2034</v>
      </c>
      <c r="R113" s="111">
        <f t="shared" si="19"/>
        <v>2.0999999999999908E-2</v>
      </c>
      <c r="S113" s="48">
        <f t="shared" si="13"/>
        <v>1.4154122214905336</v>
      </c>
      <c r="T113" s="207">
        <f t="shared" si="20"/>
        <v>1.4154122214905336</v>
      </c>
      <c r="U113" s="48">
        <f t="shared" ref="U113:U123" si="25">IF($T113="N/A","N/A",+T113/$P$46)</f>
        <v>1.4154122214905336</v>
      </c>
      <c r="V113" s="53">
        <f t="shared" ref="V113:V123" si="26">IF($U112="N/A","N/A",(U113-U112)/U112)</f>
        <v>2.0999999999999776E-2</v>
      </c>
      <c r="W113" s="271" t="str">
        <f t="shared" si="17"/>
        <v/>
      </c>
      <c r="X113" s="271" t="e">
        <f t="shared" ref="X113:X123" si="27">W113/$X$45</f>
        <v>#VALUE!</v>
      </c>
      <c r="Y113" s="280" t="e">
        <f t="shared" si="21"/>
        <v>#N/A</v>
      </c>
      <c r="Z113" s="280" t="e">
        <f t="shared" si="18"/>
        <v>#N/A</v>
      </c>
      <c r="AA113" s="168" t="e">
        <f t="shared" ref="AA113:AA123" si="28">Z113/$Z$45</f>
        <v>#N/A</v>
      </c>
      <c r="AB113" s="168" t="str">
        <f t="shared" si="22"/>
        <v/>
      </c>
      <c r="AC113" s="214">
        <v>2034</v>
      </c>
      <c r="AD113" s="214">
        <v>2050</v>
      </c>
    </row>
    <row r="114" spans="13:30">
      <c r="M114" s="285"/>
      <c r="N114" s="284"/>
      <c r="O114" s="49">
        <f t="shared" si="16"/>
        <v>68</v>
      </c>
      <c r="P114" s="48">
        <f t="shared" si="23"/>
        <v>8.8233605757265856</v>
      </c>
      <c r="Q114" s="49">
        <f t="shared" si="24"/>
        <v>2035</v>
      </c>
      <c r="R114" s="111">
        <f t="shared" si="19"/>
        <v>2.0999999999999908E-2</v>
      </c>
      <c r="S114" s="48">
        <f t="shared" si="13"/>
        <v>1.4451358781418346</v>
      </c>
      <c r="T114" s="207">
        <f t="shared" si="20"/>
        <v>1.4451358781418346</v>
      </c>
      <c r="U114" s="48">
        <f t="shared" si="25"/>
        <v>1.4451358781418346</v>
      </c>
      <c r="V114" s="53">
        <f t="shared" si="26"/>
        <v>2.0999999999999894E-2</v>
      </c>
      <c r="W114" s="271" t="str">
        <f t="shared" si="17"/>
        <v/>
      </c>
      <c r="X114" s="271" t="e">
        <f t="shared" si="27"/>
        <v>#VALUE!</v>
      </c>
      <c r="Y114" s="280" t="e">
        <f t="shared" si="21"/>
        <v>#N/A</v>
      </c>
      <c r="Z114" s="280" t="e">
        <f t="shared" si="18"/>
        <v>#N/A</v>
      </c>
      <c r="AA114" s="168" t="e">
        <f t="shared" si="28"/>
        <v>#N/A</v>
      </c>
      <c r="AB114" s="168" t="str">
        <f t="shared" si="22"/>
        <v/>
      </c>
      <c r="AC114" s="214">
        <v>2035</v>
      </c>
      <c r="AD114" s="214">
        <v>2051</v>
      </c>
    </row>
    <row r="115" spans="13:30">
      <c r="M115" s="285"/>
      <c r="N115" s="284"/>
      <c r="O115" s="49">
        <f t="shared" si="16"/>
        <v>69</v>
      </c>
      <c r="P115" s="48">
        <f t="shared" si="23"/>
        <v>9.0086511478168436</v>
      </c>
      <c r="Q115" s="49">
        <f t="shared" si="24"/>
        <v>2036</v>
      </c>
      <c r="R115" s="111">
        <f t="shared" si="19"/>
        <v>2.0999999999999908E-2</v>
      </c>
      <c r="S115" s="48">
        <f t="shared" si="13"/>
        <v>1.4754837315828131</v>
      </c>
      <c r="T115" s="207">
        <f t="shared" si="20"/>
        <v>1.4754837315828131</v>
      </c>
      <c r="U115" s="48">
        <f t="shared" si="25"/>
        <v>1.4754837315828131</v>
      </c>
      <c r="V115" s="53">
        <f t="shared" si="26"/>
        <v>2.0999999999999949E-2</v>
      </c>
      <c r="W115" s="271" t="str">
        <f t="shared" si="17"/>
        <v/>
      </c>
      <c r="X115" s="271" t="e">
        <f t="shared" si="27"/>
        <v>#VALUE!</v>
      </c>
      <c r="Y115" s="280" t="e">
        <f t="shared" si="21"/>
        <v>#N/A</v>
      </c>
      <c r="Z115" s="280" t="e">
        <f t="shared" si="18"/>
        <v>#N/A</v>
      </c>
      <c r="AA115" s="168" t="e">
        <f t="shared" si="28"/>
        <v>#N/A</v>
      </c>
      <c r="AB115" s="168" t="str">
        <f t="shared" si="22"/>
        <v/>
      </c>
      <c r="AC115" s="214">
        <v>2036</v>
      </c>
      <c r="AD115" s="214">
        <v>2052</v>
      </c>
    </row>
    <row r="116" spans="13:30">
      <c r="M116" s="285"/>
      <c r="N116" s="284"/>
      <c r="O116" s="49">
        <f t="shared" si="16"/>
        <v>70</v>
      </c>
      <c r="P116" s="48">
        <f t="shared" si="23"/>
        <v>9.197832821920997</v>
      </c>
      <c r="Q116" s="49">
        <f t="shared" si="24"/>
        <v>2037</v>
      </c>
      <c r="R116" s="111">
        <f t="shared" si="19"/>
        <v>2.0999999999999908E-2</v>
      </c>
      <c r="S116" s="48">
        <f t="shared" si="13"/>
        <v>1.5064688899460521</v>
      </c>
      <c r="T116" s="207">
        <f t="shared" si="20"/>
        <v>1.5064688899460521</v>
      </c>
      <c r="U116" s="48">
        <f t="shared" si="25"/>
        <v>1.5064688899460521</v>
      </c>
      <c r="V116" s="53">
        <f t="shared" si="26"/>
        <v>2.0999999999999953E-2</v>
      </c>
      <c r="W116" s="271" t="str">
        <f t="shared" si="17"/>
        <v/>
      </c>
      <c r="X116" s="271" t="e">
        <f t="shared" si="27"/>
        <v>#VALUE!</v>
      </c>
      <c r="Y116" s="280" t="e">
        <f t="shared" si="21"/>
        <v>#N/A</v>
      </c>
      <c r="Z116" s="280" t="e">
        <f t="shared" si="18"/>
        <v>#N/A</v>
      </c>
      <c r="AA116" s="168" t="e">
        <f t="shared" si="28"/>
        <v>#N/A</v>
      </c>
      <c r="AB116" s="168" t="str">
        <f t="shared" si="22"/>
        <v/>
      </c>
      <c r="AC116" s="214">
        <v>2037</v>
      </c>
      <c r="AD116" s="214">
        <v>2053</v>
      </c>
    </row>
    <row r="117" spans="13:30">
      <c r="M117" s="285"/>
      <c r="N117" s="284"/>
      <c r="O117" s="49">
        <f t="shared" si="16"/>
        <v>71</v>
      </c>
      <c r="P117" s="48">
        <f t="shared" si="23"/>
        <v>9.3909873111813376</v>
      </c>
      <c r="Q117" s="49">
        <f t="shared" si="24"/>
        <v>2038</v>
      </c>
      <c r="R117" s="111">
        <f t="shared" si="19"/>
        <v>2.0999999999999908E-2</v>
      </c>
      <c r="S117" s="48">
        <f t="shared" si="13"/>
        <v>1.5381047366349192</v>
      </c>
      <c r="T117" s="207">
        <f t="shared" si="20"/>
        <v>1.5381047366349192</v>
      </c>
      <c r="U117" s="48">
        <f t="shared" si="25"/>
        <v>1.5381047366349192</v>
      </c>
      <c r="V117" s="53">
        <f t="shared" si="26"/>
        <v>2.1000000000000001E-2</v>
      </c>
      <c r="W117" s="271" t="str">
        <f t="shared" si="17"/>
        <v/>
      </c>
      <c r="X117" s="271" t="e">
        <f t="shared" si="27"/>
        <v>#VALUE!</v>
      </c>
      <c r="Y117" s="280" t="e">
        <f t="shared" si="21"/>
        <v>#N/A</v>
      </c>
      <c r="Z117" s="280" t="e">
        <f t="shared" si="18"/>
        <v>#N/A</v>
      </c>
      <c r="AA117" s="168" t="e">
        <f t="shared" si="28"/>
        <v>#N/A</v>
      </c>
      <c r="AB117" s="168" t="str">
        <f t="shared" si="22"/>
        <v/>
      </c>
      <c r="AC117" s="214">
        <v>2038</v>
      </c>
      <c r="AD117" s="214">
        <v>2054</v>
      </c>
    </row>
    <row r="118" spans="13:30">
      <c r="M118" s="285"/>
      <c r="N118" s="284"/>
      <c r="O118" s="49">
        <f t="shared" si="16"/>
        <v>72</v>
      </c>
      <c r="P118" s="48">
        <f t="shared" si="23"/>
        <v>9.5881980447161439</v>
      </c>
      <c r="Q118" s="49">
        <f t="shared" si="24"/>
        <v>2039</v>
      </c>
      <c r="R118" s="111">
        <f t="shared" si="19"/>
        <v>2.0999999999999908E-2</v>
      </c>
      <c r="S118" s="48">
        <f t="shared" si="13"/>
        <v>1.5704049361042522</v>
      </c>
      <c r="T118" s="207">
        <f t="shared" si="20"/>
        <v>1.5704049361042522</v>
      </c>
      <c r="U118" s="48">
        <f t="shared" si="25"/>
        <v>1.5704049361042522</v>
      </c>
      <c r="V118" s="53">
        <f t="shared" si="26"/>
        <v>2.0999999999999831E-2</v>
      </c>
      <c r="W118" s="271" t="str">
        <f t="shared" si="17"/>
        <v/>
      </c>
      <c r="X118" s="271" t="e">
        <f t="shared" si="27"/>
        <v>#VALUE!</v>
      </c>
      <c r="Y118" s="280" t="e">
        <f t="shared" si="21"/>
        <v>#N/A</v>
      </c>
      <c r="Z118" s="280" t="e">
        <f t="shared" si="18"/>
        <v>#N/A</v>
      </c>
      <c r="AA118" s="168" t="e">
        <f t="shared" si="28"/>
        <v>#N/A</v>
      </c>
      <c r="AB118" s="168" t="str">
        <f t="shared" si="22"/>
        <v/>
      </c>
      <c r="AC118" s="214">
        <v>2039</v>
      </c>
      <c r="AD118" s="214">
        <v>2055</v>
      </c>
    </row>
    <row r="119" spans="13:30">
      <c r="M119" s="285"/>
      <c r="N119" s="284"/>
      <c r="O119" s="49">
        <f t="shared" si="16"/>
        <v>73</v>
      </c>
      <c r="P119" s="48">
        <f t="shared" si="23"/>
        <v>9.7895502036551818</v>
      </c>
      <c r="Q119" s="49">
        <f t="shared" si="24"/>
        <v>2040</v>
      </c>
      <c r="R119" s="111">
        <f t="shared" si="19"/>
        <v>2.0999999999999908E-2</v>
      </c>
      <c r="S119" s="48">
        <f t="shared" si="13"/>
        <v>1.6033834397624414</v>
      </c>
      <c r="T119" s="207">
        <f t="shared" si="20"/>
        <v>1.6033834397624414</v>
      </c>
      <c r="U119" s="48">
        <f t="shared" si="25"/>
        <v>1.6033834397624414</v>
      </c>
      <c r="V119" s="53">
        <f t="shared" si="26"/>
        <v>2.099999999999988E-2</v>
      </c>
      <c r="W119" s="271" t="str">
        <f t="shared" si="17"/>
        <v/>
      </c>
      <c r="X119" s="271" t="e">
        <f t="shared" si="27"/>
        <v>#VALUE!</v>
      </c>
      <c r="Y119" s="280" t="e">
        <f t="shared" si="21"/>
        <v>#N/A</v>
      </c>
      <c r="Z119" s="280" t="e">
        <f t="shared" si="18"/>
        <v>#N/A</v>
      </c>
      <c r="AA119" s="168" t="e">
        <f t="shared" si="28"/>
        <v>#N/A</v>
      </c>
      <c r="AB119" s="168" t="str">
        <f t="shared" si="22"/>
        <v/>
      </c>
      <c r="AC119" s="214">
        <v>2040</v>
      </c>
      <c r="AD119" s="214">
        <v>2056</v>
      </c>
    </row>
    <row r="120" spans="13:30">
      <c r="M120" s="285"/>
      <c r="N120" s="284"/>
      <c r="O120" s="49">
        <f t="shared" si="16"/>
        <v>74</v>
      </c>
      <c r="P120" s="48">
        <f t="shared" si="23"/>
        <v>9.9951307579319391</v>
      </c>
      <c r="Q120" s="49">
        <f t="shared" si="24"/>
        <v>2041</v>
      </c>
      <c r="R120" s="111">
        <f t="shared" si="19"/>
        <v>2.0999999999999908E-2</v>
      </c>
      <c r="S120" s="48">
        <f t="shared" si="13"/>
        <v>1.6370544919974523</v>
      </c>
      <c r="T120" s="207">
        <f t="shared" si="20"/>
        <v>1.6370544919974523</v>
      </c>
      <c r="U120" s="48">
        <f t="shared" si="25"/>
        <v>1.6370544919974523</v>
      </c>
      <c r="V120" s="53">
        <f t="shared" si="26"/>
        <v>2.0999999999999828E-2</v>
      </c>
      <c r="W120" s="271" t="str">
        <f t="shared" si="17"/>
        <v/>
      </c>
      <c r="X120" s="271" t="e">
        <f t="shared" si="27"/>
        <v>#VALUE!</v>
      </c>
      <c r="Y120" s="280" t="e">
        <f t="shared" si="21"/>
        <v>#N/A</v>
      </c>
      <c r="Z120" s="280" t="e">
        <f t="shared" si="18"/>
        <v>#N/A</v>
      </c>
      <c r="AA120" s="168" t="e">
        <f t="shared" si="28"/>
        <v>#N/A</v>
      </c>
      <c r="AB120" s="168" t="str">
        <f t="shared" si="22"/>
        <v/>
      </c>
      <c r="AC120" s="214">
        <v>2041</v>
      </c>
      <c r="AD120" s="214">
        <v>2057</v>
      </c>
    </row>
    <row r="121" spans="13:30">
      <c r="M121" s="285"/>
      <c r="N121" s="284"/>
      <c r="O121" s="49">
        <f t="shared" si="16"/>
        <v>75</v>
      </c>
      <c r="P121" s="48">
        <f t="shared" si="23"/>
        <v>10.205028503848508</v>
      </c>
      <c r="Q121" s="49">
        <f t="shared" si="24"/>
        <v>2042</v>
      </c>
      <c r="R121" s="111">
        <f t="shared" si="19"/>
        <v>2.0999999999999908E-2</v>
      </c>
      <c r="S121" s="48">
        <f t="shared" si="13"/>
        <v>1.6714326363293985</v>
      </c>
      <c r="T121" s="207">
        <f t="shared" si="20"/>
        <v>1.6714326363293985</v>
      </c>
      <c r="U121" s="48">
        <f t="shared" si="25"/>
        <v>1.6714326363293985</v>
      </c>
      <c r="V121" s="53">
        <f t="shared" si="26"/>
        <v>2.0999999999999814E-2</v>
      </c>
      <c r="W121" s="271" t="str">
        <f t="shared" si="17"/>
        <v/>
      </c>
      <c r="X121" s="271" t="e">
        <f t="shared" si="27"/>
        <v>#VALUE!</v>
      </c>
      <c r="Y121" s="280" t="e">
        <f t="shared" si="21"/>
        <v>#N/A</v>
      </c>
      <c r="Z121" s="280" t="e">
        <f t="shared" si="18"/>
        <v>#N/A</v>
      </c>
      <c r="AA121" s="168" t="e">
        <f t="shared" si="28"/>
        <v>#N/A</v>
      </c>
      <c r="AB121" s="168" t="str">
        <f t="shared" si="22"/>
        <v/>
      </c>
      <c r="AC121" s="214">
        <v>2042</v>
      </c>
      <c r="AD121" s="214">
        <v>2058</v>
      </c>
    </row>
    <row r="122" spans="13:30">
      <c r="M122" s="285"/>
      <c r="N122" s="284"/>
      <c r="O122" s="49">
        <f t="shared" si="16"/>
        <v>76</v>
      </c>
      <c r="P122" s="48">
        <f t="shared" si="23"/>
        <v>10.419334102429326</v>
      </c>
      <c r="Q122" s="49">
        <f t="shared" si="24"/>
        <v>2043</v>
      </c>
      <c r="R122" s="111">
        <f t="shared" si="19"/>
        <v>2.0999999999999908E-2</v>
      </c>
      <c r="S122" s="48">
        <f t="shared" si="13"/>
        <v>1.7065327216923158</v>
      </c>
      <c r="T122" s="207">
        <f t="shared" si="20"/>
        <v>1.7065327216923158</v>
      </c>
      <c r="U122" s="48">
        <f t="shared" si="25"/>
        <v>1.7065327216923158</v>
      </c>
      <c r="V122" s="53">
        <f t="shared" si="26"/>
        <v>2.0999999999999963E-2</v>
      </c>
      <c r="W122" s="271" t="str">
        <f t="shared" si="17"/>
        <v/>
      </c>
      <c r="X122" s="271" t="e">
        <f t="shared" si="27"/>
        <v>#VALUE!</v>
      </c>
      <c r="Y122" s="280" t="e">
        <f t="shared" si="21"/>
        <v>#N/A</v>
      </c>
      <c r="Z122" s="280" t="e">
        <f t="shared" si="18"/>
        <v>#N/A</v>
      </c>
      <c r="AA122" s="168" t="e">
        <f t="shared" si="28"/>
        <v>#N/A</v>
      </c>
      <c r="AB122" s="168" t="str">
        <f t="shared" si="22"/>
        <v/>
      </c>
      <c r="AC122" s="214">
        <v>2043</v>
      </c>
      <c r="AD122" s="214">
        <v>2059</v>
      </c>
    </row>
    <row r="123" spans="13:30">
      <c r="M123" t="s">
        <v>306</v>
      </c>
      <c r="N123" s="170"/>
      <c r="O123" s="49">
        <f t="shared" si="16"/>
        <v>77</v>
      </c>
      <c r="P123" s="48">
        <f t="shared" si="23"/>
        <v>10.638140118580342</v>
      </c>
      <c r="Q123" s="49">
        <f t="shared" si="24"/>
        <v>2044</v>
      </c>
      <c r="R123" s="111">
        <f t="shared" si="19"/>
        <v>2.0999999999999908E-2</v>
      </c>
      <c r="S123" s="48">
        <f t="shared" si="13"/>
        <v>1.7423699088478544</v>
      </c>
      <c r="T123" s="207">
        <f t="shared" si="20"/>
        <v>1.7423699088478544</v>
      </c>
      <c r="U123" s="48">
        <f t="shared" si="25"/>
        <v>1.7423699088478544</v>
      </c>
      <c r="V123" s="53">
        <f t="shared" si="26"/>
        <v>2.0999999999999932E-2</v>
      </c>
      <c r="W123" s="271" t="str">
        <f t="shared" si="17"/>
        <v/>
      </c>
      <c r="X123" s="271" t="e">
        <f t="shared" si="27"/>
        <v>#VALUE!</v>
      </c>
      <c r="Y123" s="280" t="e">
        <f t="shared" si="21"/>
        <v>#N/A</v>
      </c>
      <c r="Z123" s="280" t="e">
        <f t="shared" si="18"/>
        <v>#N/A</v>
      </c>
      <c r="AA123" s="168" t="e">
        <f t="shared" si="28"/>
        <v>#N/A</v>
      </c>
      <c r="AB123" s="168" t="str">
        <f t="shared" si="22"/>
        <v/>
      </c>
      <c r="AC123" s="214">
        <v>2044</v>
      </c>
      <c r="AD123" s="214">
        <v>2060</v>
      </c>
    </row>
    <row r="124" spans="13:30">
      <c r="O124" s="49">
        <f t="shared" si="16"/>
        <v>78</v>
      </c>
      <c r="P124" s="48">
        <f>IF($Q$45="Army","",P123/P122*P123)</f>
        <v>10.861541061070529</v>
      </c>
      <c r="Q124" s="49">
        <f>IF($Q$45="Army","",+Q123+1)</f>
        <v>2045</v>
      </c>
      <c r="R124" s="111">
        <f>IF($Q$45="Army","",R123)</f>
        <v>2.0999999999999908E-2</v>
      </c>
      <c r="S124" s="48">
        <f>IF($Q$45="Army","",+P124/$P$45)</f>
        <v>1.7789596769336593</v>
      </c>
      <c r="T124" s="48">
        <f>IF($Q$45="Army","",T123/S123*S124)</f>
        <v>1.7789596769336593</v>
      </c>
      <c r="U124" s="48">
        <f>IF($Q$45="Army","",+T124/$P$46)</f>
        <v>1.7789596769336593</v>
      </c>
      <c r="V124" s="53">
        <f>IF($Q$45="Army","",(U124-U123)/U123)</f>
        <v>2.1000000000000001E-2</v>
      </c>
      <c r="W124" s="103"/>
      <c r="X124" s="103"/>
      <c r="Y124" s="278"/>
      <c r="Z124" s="278"/>
      <c r="AA124" s="279"/>
      <c r="AB124" s="279"/>
      <c r="AC124" s="214">
        <v>2045</v>
      </c>
      <c r="AD124" s="214">
        <v>2061</v>
      </c>
    </row>
    <row r="125" spans="13:30">
      <c r="O125" s="49">
        <f t="shared" si="16"/>
        <v>79</v>
      </c>
      <c r="P125" s="48">
        <f t="shared" ref="P125:P139" si="29">IF($Q$45="Army","",P124/P123*P124)</f>
        <v>11.089633423353009</v>
      </c>
      <c r="Q125" s="49">
        <f t="shared" ref="Q125:Q139" si="30">IF($Q$45="Army","",+Q124+1)</f>
        <v>2046</v>
      </c>
      <c r="R125" s="111">
        <f t="shared" ref="R125:R139" si="31">IF($Q$45="Army","",R124)</f>
        <v>2.0999999999999908E-2</v>
      </c>
      <c r="S125" s="48">
        <f t="shared" ref="S125:S139" si="32">IF($Q$45="Army","",+P125/$P$45)</f>
        <v>1.816317830149266</v>
      </c>
      <c r="T125" s="48">
        <f t="shared" ref="T125:T139" si="33">IF($Q$45="Army","",T124/S124*S125)</f>
        <v>1.816317830149266</v>
      </c>
      <c r="U125" s="48">
        <f t="shared" ref="U125:U139" si="34">IF($Q$45="Army","",+T125/$P$46)</f>
        <v>1.816317830149266</v>
      </c>
      <c r="V125" s="53">
        <f t="shared" ref="V125:V139" si="35">IF($Q$45="Army","",(U125-U124)/U124)</f>
        <v>2.099999999999989E-2</v>
      </c>
      <c r="W125" s="103"/>
      <c r="X125" s="103"/>
      <c r="Y125" s="278"/>
      <c r="Z125" s="279"/>
      <c r="AA125" s="279"/>
      <c r="AB125" s="279"/>
      <c r="AC125" s="214">
        <v>2046</v>
      </c>
    </row>
    <row r="126" spans="13:30">
      <c r="O126" s="49">
        <f t="shared" si="16"/>
        <v>80</v>
      </c>
      <c r="P126" s="48">
        <f t="shared" si="29"/>
        <v>11.32251572524342</v>
      </c>
      <c r="Q126" s="49">
        <f t="shared" si="30"/>
        <v>2047</v>
      </c>
      <c r="R126" s="111">
        <f t="shared" si="31"/>
        <v>2.0999999999999908E-2</v>
      </c>
      <c r="S126" s="48">
        <f t="shared" si="32"/>
        <v>1.8544605045824003</v>
      </c>
      <c r="T126" s="48">
        <f t="shared" si="33"/>
        <v>1.8544605045824003</v>
      </c>
      <c r="U126" s="48">
        <f t="shared" si="34"/>
        <v>1.8544605045824003</v>
      </c>
      <c r="V126" s="53">
        <f t="shared" si="35"/>
        <v>2.0999999999999869E-2</v>
      </c>
      <c r="W126" s="103"/>
      <c r="X126" s="103"/>
      <c r="Y126" s="278"/>
      <c r="Z126" s="279"/>
      <c r="AA126" s="279"/>
      <c r="AB126" s="279"/>
      <c r="AC126" s="214">
        <v>2047</v>
      </c>
    </row>
    <row r="127" spans="13:30">
      <c r="O127" s="49">
        <f t="shared" si="16"/>
        <v>81</v>
      </c>
      <c r="P127" s="48">
        <f t="shared" si="29"/>
        <v>11.56028855547353</v>
      </c>
      <c r="Q127" s="49">
        <f t="shared" si="30"/>
        <v>2048</v>
      </c>
      <c r="R127" s="111">
        <f t="shared" si="31"/>
        <v>2.0999999999999908E-2</v>
      </c>
      <c r="S127" s="48">
        <f t="shared" si="32"/>
        <v>1.8934041751786304</v>
      </c>
      <c r="T127" s="48">
        <f t="shared" si="33"/>
        <v>1.8934041751786304</v>
      </c>
      <c r="U127" s="48">
        <f t="shared" si="34"/>
        <v>1.8934041751786304</v>
      </c>
      <c r="V127" s="53">
        <f t="shared" si="35"/>
        <v>2.0999999999999807E-2</v>
      </c>
      <c r="W127" s="103"/>
      <c r="X127" s="103"/>
      <c r="Y127" s="278"/>
      <c r="Z127" s="279"/>
      <c r="AA127" s="279"/>
      <c r="AB127" s="279"/>
      <c r="AC127" s="214">
        <v>2048</v>
      </c>
    </row>
    <row r="128" spans="13:30">
      <c r="O128" s="49">
        <f t="shared" si="16"/>
        <v>82</v>
      </c>
      <c r="P128" s="48">
        <f t="shared" si="29"/>
        <v>11.803054615138473</v>
      </c>
      <c r="Q128" s="49">
        <f t="shared" si="30"/>
        <v>2049</v>
      </c>
      <c r="R128" s="111">
        <f t="shared" si="31"/>
        <v>2.0999999999999908E-2</v>
      </c>
      <c r="S128" s="48">
        <f t="shared" si="32"/>
        <v>1.9331656628573815</v>
      </c>
      <c r="T128" s="48">
        <f t="shared" si="33"/>
        <v>1.9331656628573815</v>
      </c>
      <c r="U128" s="48">
        <f t="shared" si="34"/>
        <v>1.9331656628573815</v>
      </c>
      <c r="V128" s="53">
        <f t="shared" si="35"/>
        <v>2.0999999999999925E-2</v>
      </c>
      <c r="W128" s="103"/>
      <c r="X128" s="103"/>
      <c r="Y128" s="278"/>
      <c r="Z128" s="279"/>
      <c r="AA128" s="279"/>
      <c r="AB128" s="279"/>
      <c r="AC128" s="214">
        <v>2049</v>
      </c>
    </row>
    <row r="129" spans="15:29">
      <c r="O129" s="49">
        <f t="shared" si="16"/>
        <v>83</v>
      </c>
      <c r="P129" s="48">
        <f t="shared" si="29"/>
        <v>12.05091876205638</v>
      </c>
      <c r="Q129" s="49">
        <f t="shared" si="30"/>
        <v>2050</v>
      </c>
      <c r="R129" s="111">
        <f t="shared" si="31"/>
        <v>2.0999999999999908E-2</v>
      </c>
      <c r="S129" s="48">
        <f t="shared" si="32"/>
        <v>1.9737621417773863</v>
      </c>
      <c r="T129" s="48">
        <f t="shared" si="33"/>
        <v>1.9737621417773863</v>
      </c>
      <c r="U129" s="48">
        <f t="shared" si="34"/>
        <v>1.9737621417773863</v>
      </c>
      <c r="V129" s="53">
        <f t="shared" si="35"/>
        <v>2.0999999999999911E-2</v>
      </c>
      <c r="W129" s="103"/>
      <c r="X129" s="103"/>
      <c r="Y129" s="278"/>
      <c r="Z129" s="279"/>
      <c r="AA129" s="279"/>
      <c r="AB129" s="279"/>
      <c r="AC129" s="214">
        <v>2050</v>
      </c>
    </row>
    <row r="130" spans="15:29">
      <c r="O130" s="49">
        <f t="shared" si="16"/>
        <v>84</v>
      </c>
      <c r="P130" s="48">
        <f t="shared" si="29"/>
        <v>12.303988056059563</v>
      </c>
      <c r="Q130" s="49">
        <f t="shared" si="30"/>
        <v>2051</v>
      </c>
      <c r="R130" s="111">
        <f t="shared" si="31"/>
        <v>2.0999999999999908E-2</v>
      </c>
      <c r="S130" s="48">
        <f t="shared" si="32"/>
        <v>2.0152111467547109</v>
      </c>
      <c r="T130" s="48">
        <f t="shared" si="33"/>
        <v>2.0152111467547109</v>
      </c>
      <c r="U130" s="48">
        <f t="shared" si="34"/>
        <v>2.0152111467547109</v>
      </c>
      <c r="V130" s="53">
        <f t="shared" si="35"/>
        <v>2.0999999999999752E-2</v>
      </c>
      <c r="W130" s="103"/>
      <c r="X130" s="103"/>
      <c r="Y130" s="278"/>
      <c r="Z130" s="279"/>
      <c r="AA130" s="279"/>
      <c r="AB130" s="279"/>
      <c r="AC130" s="214">
        <v>2051</v>
      </c>
    </row>
    <row r="131" spans="15:29">
      <c r="O131" s="49">
        <f t="shared" si="16"/>
        <v>85</v>
      </c>
      <c r="P131" s="48">
        <f t="shared" si="29"/>
        <v>12.562371805236813</v>
      </c>
      <c r="Q131" s="49">
        <f t="shared" si="30"/>
        <v>2052</v>
      </c>
      <c r="R131" s="111">
        <f t="shared" si="31"/>
        <v>2.0999999999999908E-2</v>
      </c>
      <c r="S131" s="48">
        <f t="shared" si="32"/>
        <v>2.05753058083656</v>
      </c>
      <c r="T131" s="48">
        <f t="shared" si="33"/>
        <v>2.05753058083656</v>
      </c>
      <c r="U131" s="48">
        <f t="shared" si="34"/>
        <v>2.05753058083656</v>
      </c>
      <c r="V131" s="53">
        <f t="shared" si="35"/>
        <v>2.1000000000000098E-2</v>
      </c>
      <c r="W131" s="103"/>
      <c r="X131" s="103"/>
      <c r="Y131" s="278"/>
      <c r="Z131" s="279"/>
      <c r="AA131" s="279"/>
      <c r="AB131" s="279"/>
      <c r="AC131" s="214">
        <v>2052</v>
      </c>
    </row>
    <row r="132" spans="15:29">
      <c r="O132" s="49">
        <f t="shared" si="16"/>
        <v>86</v>
      </c>
      <c r="P132" s="48">
        <f t="shared" si="29"/>
        <v>12.826181613146785</v>
      </c>
      <c r="Q132" s="49">
        <f t="shared" si="30"/>
        <v>2053</v>
      </c>
      <c r="R132" s="111">
        <f t="shared" si="31"/>
        <v>2.0999999999999908E-2</v>
      </c>
      <c r="S132" s="48">
        <f t="shared" si="32"/>
        <v>2.1007387230341275</v>
      </c>
      <c r="T132" s="48">
        <f t="shared" si="33"/>
        <v>2.1007387230341275</v>
      </c>
      <c r="U132" s="48">
        <f t="shared" si="34"/>
        <v>2.1007387230341275</v>
      </c>
      <c r="V132" s="53">
        <f t="shared" si="35"/>
        <v>2.0999999999999831E-2</v>
      </c>
      <c r="W132" s="103"/>
      <c r="X132" s="103"/>
      <c r="Y132" s="278"/>
      <c r="Z132" s="279"/>
      <c r="AA132" s="279"/>
      <c r="AB132" s="279"/>
      <c r="AC132" s="214">
        <v>2053</v>
      </c>
    </row>
    <row r="133" spans="15:29">
      <c r="O133" s="49">
        <f t="shared" si="16"/>
        <v>87</v>
      </c>
      <c r="P133" s="48">
        <f t="shared" si="29"/>
        <v>13.095531427022866</v>
      </c>
      <c r="Q133" s="49">
        <f t="shared" si="30"/>
        <v>2054</v>
      </c>
      <c r="R133" s="111">
        <f t="shared" si="31"/>
        <v>2.0999999999999908E-2</v>
      </c>
      <c r="S133" s="48">
        <f t="shared" si="32"/>
        <v>2.144854236217844</v>
      </c>
      <c r="T133" s="48">
        <f t="shared" si="33"/>
        <v>2.144854236217844</v>
      </c>
      <c r="U133" s="48">
        <f t="shared" si="34"/>
        <v>2.144854236217844</v>
      </c>
      <c r="V133" s="53">
        <f t="shared" si="35"/>
        <v>2.0999999999999932E-2</v>
      </c>
      <c r="W133" s="103"/>
      <c r="X133" s="103"/>
      <c r="Y133" s="272"/>
      <c r="Z133" s="103"/>
      <c r="AA133" s="103"/>
      <c r="AB133" s="103"/>
      <c r="AC133" s="214">
        <v>2054</v>
      </c>
    </row>
    <row r="134" spans="15:29">
      <c r="O134" s="49">
        <f t="shared" si="16"/>
        <v>88</v>
      </c>
      <c r="P134" s="48">
        <f t="shared" si="29"/>
        <v>13.370537586990345</v>
      </c>
      <c r="Q134" s="49">
        <f t="shared" si="30"/>
        <v>2055</v>
      </c>
      <c r="R134" s="111">
        <f t="shared" si="31"/>
        <v>2.0999999999999908E-2</v>
      </c>
      <c r="S134" s="48">
        <f t="shared" si="32"/>
        <v>2.1898961751784185</v>
      </c>
      <c r="T134" s="48">
        <f t="shared" si="33"/>
        <v>2.1898961751784185</v>
      </c>
      <c r="U134" s="48">
        <f t="shared" si="34"/>
        <v>2.1898961751784185</v>
      </c>
      <c r="V134" s="53">
        <f t="shared" si="35"/>
        <v>2.0999999999999901E-2</v>
      </c>
      <c r="W134" s="103"/>
      <c r="X134" s="103"/>
      <c r="Y134" s="272"/>
      <c r="Z134" s="103"/>
      <c r="AA134" s="103"/>
      <c r="AB134" s="103"/>
      <c r="AC134" s="214">
        <v>2055</v>
      </c>
    </row>
    <row r="135" spans="15:29">
      <c r="O135" s="49">
        <f t="shared" si="16"/>
        <v>89</v>
      </c>
      <c r="P135" s="48">
        <f t="shared" si="29"/>
        <v>13.651318876317141</v>
      </c>
      <c r="Q135" s="49">
        <f t="shared" si="30"/>
        <v>2056</v>
      </c>
      <c r="R135" s="111">
        <f t="shared" si="31"/>
        <v>2.0999999999999908E-2</v>
      </c>
      <c r="S135" s="48">
        <f t="shared" si="32"/>
        <v>2.2358839948571654</v>
      </c>
      <c r="T135" s="48">
        <f t="shared" si="33"/>
        <v>2.2358839948571654</v>
      </c>
      <c r="U135" s="48">
        <f t="shared" si="34"/>
        <v>2.2358839948571654</v>
      </c>
      <c r="V135" s="53">
        <f t="shared" si="35"/>
        <v>2.1000000000000039E-2</v>
      </c>
      <c r="W135" s="103"/>
      <c r="X135" s="103"/>
      <c r="Y135" s="272"/>
      <c r="Z135" s="103"/>
      <c r="AA135" s="103"/>
      <c r="AB135" s="103"/>
      <c r="AC135" s="214">
        <v>2056</v>
      </c>
    </row>
    <row r="136" spans="15:29">
      <c r="O136" s="49">
        <f t="shared" si="16"/>
        <v>90</v>
      </c>
      <c r="P136" s="48">
        <f t="shared" si="29"/>
        <v>13.937996572719801</v>
      </c>
      <c r="Q136" s="49">
        <f t="shared" si="30"/>
        <v>2057</v>
      </c>
      <c r="R136" s="111">
        <f t="shared" si="31"/>
        <v>2.0999999999999908E-2</v>
      </c>
      <c r="S136" s="48">
        <f t="shared" si="32"/>
        <v>2.2828375587491654</v>
      </c>
      <c r="T136" s="48">
        <f t="shared" si="33"/>
        <v>2.2828375587491654</v>
      </c>
      <c r="U136" s="48">
        <f t="shared" si="34"/>
        <v>2.2828375587491654</v>
      </c>
      <c r="V136" s="53">
        <f t="shared" si="35"/>
        <v>2.099999999999979E-2</v>
      </c>
      <c r="W136" s="103"/>
      <c r="X136" s="103"/>
      <c r="Y136" s="272"/>
      <c r="Z136" s="103"/>
      <c r="AA136" s="103"/>
      <c r="AB136" s="103"/>
      <c r="AC136" s="214">
        <v>2057</v>
      </c>
    </row>
    <row r="137" spans="15:29">
      <c r="O137" s="49">
        <f t="shared" si="16"/>
        <v>91</v>
      </c>
      <c r="P137" s="48">
        <f t="shared" si="29"/>
        <v>14.230694500746916</v>
      </c>
      <c r="Q137" s="49">
        <f t="shared" si="30"/>
        <v>2058</v>
      </c>
      <c r="R137" s="111">
        <f t="shared" si="31"/>
        <v>2.0999999999999908E-2</v>
      </c>
      <c r="S137" s="48">
        <f t="shared" si="32"/>
        <v>2.3307771474828978</v>
      </c>
      <c r="T137" s="48">
        <f t="shared" si="33"/>
        <v>2.3307771474828978</v>
      </c>
      <c r="U137" s="48">
        <f t="shared" si="34"/>
        <v>2.3307771474828978</v>
      </c>
      <c r="V137" s="53">
        <f t="shared" si="35"/>
        <v>2.0999999999999963E-2</v>
      </c>
      <c r="W137" s="103"/>
      <c r="X137" s="103"/>
      <c r="Y137" s="272"/>
      <c r="Z137" s="103"/>
      <c r="AA137" s="103"/>
      <c r="AB137" s="103"/>
      <c r="AC137" s="214">
        <v>2058</v>
      </c>
    </row>
    <row r="138" spans="15:29">
      <c r="O138" s="49">
        <f t="shared" si="16"/>
        <v>92</v>
      </c>
      <c r="P138" s="48">
        <f t="shared" si="29"/>
        <v>14.5295390852626</v>
      </c>
      <c r="Q138" s="49">
        <f t="shared" si="30"/>
        <v>2059</v>
      </c>
      <c r="R138" s="111">
        <f t="shared" si="31"/>
        <v>2.0999999999999908E-2</v>
      </c>
      <c r="S138" s="48">
        <f t="shared" si="32"/>
        <v>2.3797234675800385</v>
      </c>
      <c r="T138" s="48">
        <f t="shared" si="33"/>
        <v>2.3797234675800385</v>
      </c>
      <c r="U138" s="48">
        <f t="shared" si="34"/>
        <v>2.3797234675800385</v>
      </c>
      <c r="V138" s="53">
        <f t="shared" si="35"/>
        <v>2.0999999999999946E-2</v>
      </c>
      <c r="W138" s="103"/>
      <c r="X138" s="103"/>
      <c r="Y138" s="272"/>
      <c r="Z138" s="103"/>
      <c r="AA138" s="103"/>
      <c r="AB138" s="103"/>
      <c r="AC138" s="214">
        <v>2059</v>
      </c>
    </row>
    <row r="139" spans="15:29">
      <c r="O139" s="49">
        <f t="shared" si="16"/>
        <v>93</v>
      </c>
      <c r="P139" s="48">
        <f t="shared" si="29"/>
        <v>14.834659406053113</v>
      </c>
      <c r="Q139" s="49">
        <f t="shared" si="30"/>
        <v>2060</v>
      </c>
      <c r="R139" s="111">
        <f t="shared" si="31"/>
        <v>2.0999999999999908E-2</v>
      </c>
      <c r="S139" s="48">
        <f t="shared" si="32"/>
        <v>2.4296976603992193</v>
      </c>
      <c r="T139" s="48">
        <f t="shared" si="33"/>
        <v>2.4296976603992193</v>
      </c>
      <c r="U139" s="48">
        <f t="shared" si="34"/>
        <v>2.4296976603992193</v>
      </c>
      <c r="V139" s="53">
        <f t="shared" si="35"/>
        <v>2.0999999999999998E-2</v>
      </c>
      <c r="W139" s="103"/>
      <c r="X139" s="103"/>
      <c r="Y139" s="272"/>
      <c r="Z139" s="103"/>
      <c r="AA139" s="103"/>
      <c r="AB139" s="103"/>
      <c r="AC139" s="214">
        <v>2060</v>
      </c>
    </row>
    <row r="140" spans="15:29">
      <c r="Y140" s="214"/>
      <c r="AC140" s="214">
        <v>2061</v>
      </c>
    </row>
  </sheetData>
  <mergeCells count="9">
    <mergeCell ref="I1:J1"/>
    <mergeCell ref="A2:D2"/>
    <mergeCell ref="C27:G27"/>
    <mergeCell ref="C13:G13"/>
    <mergeCell ref="C14:G14"/>
    <mergeCell ref="F6:G6"/>
    <mergeCell ref="C18:D22"/>
    <mergeCell ref="F2:L2"/>
    <mergeCell ref="C8:H8"/>
  </mergeCells>
  <phoneticPr fontId="0" type="noConversion"/>
  <conditionalFormatting sqref="R44:V44">
    <cfRule type="expression" dxfId="65" priority="21" stopIfTrue="1">
      <formula>$J$2=1</formula>
    </cfRule>
    <cfRule type="expression" dxfId="64" priority="22" stopIfTrue="1">
      <formula>$J$2=2</formula>
    </cfRule>
    <cfRule type="expression" dxfId="63" priority="23" stopIfTrue="1">
      <formula>$J$2=3</formula>
    </cfRule>
  </conditionalFormatting>
  <conditionalFormatting sqref="Q44">
    <cfRule type="expression" dxfId="62" priority="24" stopIfTrue="1">
      <formula>$L$2=1</formula>
    </cfRule>
    <cfRule type="expression" dxfId="61" priority="25" stopIfTrue="1">
      <formula>$L$2=2</formula>
    </cfRule>
    <cfRule type="expression" dxfId="60" priority="26" stopIfTrue="1">
      <formula>$L$2=3</formula>
    </cfRule>
  </conditionalFormatting>
  <conditionalFormatting sqref="A2:XFD2">
    <cfRule type="expression" dxfId="59" priority="1" stopIfTrue="1">
      <formula>$E$2="Marine Corps"</formula>
    </cfRule>
    <cfRule type="expression" dxfId="58" priority="2" stopIfTrue="1">
      <formula>$E$2="Navy"</formula>
    </cfRule>
    <cfRule type="expression" dxfId="57" priority="3" stopIfTrue="1">
      <formula>$E$2="Army"</formula>
    </cfRule>
  </conditionalFormatting>
  <hyperlinks>
    <hyperlink ref="I1" location="Main!A1" display="Return to Main"/>
  </hyperlinks>
  <pageMargins left="0" right="0" top="0" bottom="0" header="0.17" footer="0.45"/>
  <pageSetup scale="53" orientation="portrait"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3" r:id="rId4" name="Drop Down 29">
              <controlPr defaultSize="0" autoLine="0" autoPict="0">
                <anchor moveWithCells="1">
                  <from>
                    <xdr:col>3</xdr:col>
                    <xdr:colOff>609600</xdr:colOff>
                    <xdr:row>2</xdr:row>
                    <xdr:rowOff>238125</xdr:rowOff>
                  </from>
                  <to>
                    <xdr:col>7</xdr:col>
                    <xdr:colOff>28575</xdr:colOff>
                    <xdr:row>2</xdr:row>
                    <xdr:rowOff>552450</xdr:rowOff>
                  </to>
                </anchor>
              </controlPr>
            </control>
          </mc:Choice>
        </mc:AlternateContent>
        <mc:AlternateContent xmlns:mc="http://schemas.openxmlformats.org/markup-compatibility/2006">
          <mc:Choice Requires="x14">
            <control shapeId="1061" r:id="rId5" name="Drop Down 37">
              <controlPr defaultSize="0" autoLine="0" autoPict="0">
                <anchor moveWithCells="1">
                  <from>
                    <xdr:col>4</xdr:col>
                    <xdr:colOff>161925</xdr:colOff>
                    <xdr:row>8</xdr:row>
                    <xdr:rowOff>19050</xdr:rowOff>
                  </from>
                  <to>
                    <xdr:col>5</xdr:col>
                    <xdr:colOff>895350</xdr:colOff>
                    <xdr:row>8</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C96"/>
  <sheetViews>
    <sheetView showGridLines="0" showRowColHeaders="0" zoomScaleNormal="100" workbookViewId="0">
      <pane ySplit="4" topLeftCell="A39" activePane="bottomLeft" state="frozen"/>
      <selection activeCell="I10" sqref="I10"/>
      <selection pane="bottomLeft" sqref="A1:F1"/>
    </sheetView>
  </sheetViews>
  <sheetFormatPr defaultRowHeight="12.75"/>
  <cols>
    <col min="1" max="1" width="7.5703125" customWidth="1"/>
    <col min="2" max="2" width="8.140625" style="10" customWidth="1"/>
    <col min="3" max="3" width="7.85546875" style="2" customWidth="1"/>
    <col min="4" max="4" width="9.7109375" style="2" bestFit="1" customWidth="1"/>
    <col min="5" max="5" width="8.28515625" style="2" customWidth="1"/>
    <col min="6" max="6" width="9.28515625" style="10" customWidth="1"/>
    <col min="7" max="7" width="8.42578125" customWidth="1"/>
    <col min="8" max="8" width="8.85546875" customWidth="1"/>
    <col min="9" max="9" width="8.5703125" customWidth="1"/>
    <col min="12" max="20" width="9.140625" hidden="1" customWidth="1"/>
    <col min="21" max="27" width="9.140625" customWidth="1"/>
  </cols>
  <sheetData>
    <row r="1" spans="1:29" ht="30" customHeight="1">
      <c r="A1" s="715" t="s">
        <v>724</v>
      </c>
      <c r="B1" s="716"/>
      <c r="C1" s="716"/>
      <c r="D1" s="716"/>
      <c r="E1" s="716"/>
      <c r="F1" s="716"/>
      <c r="H1" s="718" t="s">
        <v>459</v>
      </c>
      <c r="I1" s="719"/>
      <c r="J1" s="404"/>
      <c r="N1" s="96" t="s">
        <v>197</v>
      </c>
      <c r="U1" s="611"/>
    </row>
    <row r="2" spans="1:29" ht="27.75" customHeight="1">
      <c r="A2" s="244" t="s">
        <v>745</v>
      </c>
      <c r="B2" s="240"/>
      <c r="C2" s="241" t="s">
        <v>88</v>
      </c>
      <c r="D2" s="242">
        <v>2010</v>
      </c>
      <c r="E2" s="220"/>
      <c r="F2" s="243">
        <v>42956.332650231481</v>
      </c>
      <c r="G2" s="18"/>
      <c r="H2" s="720" t="s">
        <v>494</v>
      </c>
      <c r="I2" s="719"/>
      <c r="K2" s="173"/>
      <c r="L2" s="175">
        <f>IF(A2="Army",2,IF(A2="Navy",1,IF(A2="Marine Corps",3,4)))</f>
        <v>2</v>
      </c>
      <c r="M2" s="172"/>
      <c r="N2" s="172"/>
      <c r="O2" s="172"/>
      <c r="P2" s="172"/>
    </row>
    <row r="3" spans="1:29" ht="2.25" customHeight="1">
      <c r="A3" s="45"/>
      <c r="B3" s="67">
        <v>1</v>
      </c>
      <c r="C3" s="62">
        <v>2</v>
      </c>
      <c r="D3" s="62">
        <v>3</v>
      </c>
      <c r="E3" s="63">
        <v>4</v>
      </c>
      <c r="F3" s="68">
        <v>5</v>
      </c>
      <c r="G3" s="9"/>
    </row>
    <row r="4" spans="1:29" ht="51" customHeight="1">
      <c r="A4" s="58" t="s">
        <v>27</v>
      </c>
      <c r="B4" s="69" t="s">
        <v>107</v>
      </c>
      <c r="C4" s="58" t="s">
        <v>31</v>
      </c>
      <c r="D4" s="59" t="s">
        <v>30</v>
      </c>
      <c r="E4" s="59" t="s">
        <v>100</v>
      </c>
      <c r="F4" s="69" t="s">
        <v>108</v>
      </c>
      <c r="H4" s="717"/>
      <c r="I4" s="717"/>
      <c r="J4" s="717"/>
      <c r="K4" s="717"/>
      <c r="L4" s="717"/>
      <c r="M4" s="717"/>
      <c r="N4" s="717"/>
      <c r="O4" s="717"/>
      <c r="P4" s="717"/>
      <c r="Q4" s="717"/>
      <c r="R4" s="717"/>
      <c r="S4" s="717"/>
      <c r="T4" s="717"/>
      <c r="U4" s="717"/>
      <c r="V4" s="717"/>
      <c r="W4" s="717"/>
      <c r="X4" s="717"/>
      <c r="Y4" s="717"/>
      <c r="Z4" s="717"/>
      <c r="AA4" s="717"/>
      <c r="AB4" s="717"/>
      <c r="AC4" s="717"/>
    </row>
    <row r="5" spans="1:29" ht="13.5" customHeight="1">
      <c r="A5" s="54">
        <v>1985</v>
      </c>
      <c r="B5" s="53">
        <v>-7.2449401073936381E-2</v>
      </c>
      <c r="C5" s="48">
        <v>0.41337514747110882</v>
      </c>
      <c r="D5" s="48">
        <v>0.41337514747110882</v>
      </c>
      <c r="E5" s="48">
        <v>0.41337514747110882</v>
      </c>
      <c r="F5" s="53"/>
      <c r="G5" s="8"/>
    </row>
    <row r="6" spans="1:29">
      <c r="A6" s="49">
        <v>1986</v>
      </c>
      <c r="B6" s="53">
        <v>-0.13350552190951193</v>
      </c>
      <c r="C6" s="48">
        <v>0.35818728266355693</v>
      </c>
      <c r="D6" s="48">
        <v>0.35818728266355693</v>
      </c>
      <c r="E6" s="48">
        <v>0.35818728266355693</v>
      </c>
      <c r="F6" s="53">
        <v>-0.13350552190951204</v>
      </c>
      <c r="G6" s="2"/>
    </row>
    <row r="7" spans="1:29">
      <c r="A7" s="49">
        <v>1987</v>
      </c>
      <c r="B7" s="53">
        <v>-8.181724740466656E-2</v>
      </c>
      <c r="C7" s="48">
        <v>0.32888138514066745</v>
      </c>
      <c r="D7" s="48">
        <v>0.32888138514066745</v>
      </c>
      <c r="E7" s="48">
        <v>0.32888138514066745</v>
      </c>
      <c r="F7" s="53">
        <v>-8.1817247404666588E-2</v>
      </c>
      <c r="G7" s="2"/>
    </row>
    <row r="8" spans="1:29">
      <c r="A8" s="49">
        <v>1988</v>
      </c>
      <c r="B8" s="53">
        <v>-0.1617597671554909</v>
      </c>
      <c r="C8" s="48">
        <v>0.27568160885853776</v>
      </c>
      <c r="D8" s="48">
        <v>0.27568160885853776</v>
      </c>
      <c r="E8" s="48">
        <v>0.27568160885853776</v>
      </c>
      <c r="F8" s="53">
        <v>-0.16175976715549087</v>
      </c>
      <c r="G8" s="10"/>
    </row>
    <row r="9" spans="1:29">
      <c r="A9" s="49">
        <v>1989</v>
      </c>
      <c r="B9" s="53">
        <v>8.0128205128215946E-4</v>
      </c>
      <c r="C9" s="48">
        <v>0.2759025075835847</v>
      </c>
      <c r="D9" s="48">
        <v>0.2759025075835847</v>
      </c>
      <c r="E9" s="48">
        <v>0.2759025075835847</v>
      </c>
      <c r="F9" s="53">
        <v>8.012820512821639E-4</v>
      </c>
      <c r="G9" s="10"/>
    </row>
    <row r="10" spans="1:29">
      <c r="A10" s="49">
        <v>1990</v>
      </c>
      <c r="B10" s="53">
        <v>-0.10781958900453692</v>
      </c>
      <c r="C10" s="48">
        <v>0.24615481261060149</v>
      </c>
      <c r="D10" s="48">
        <v>0.24615481261060149</v>
      </c>
      <c r="E10" s="48">
        <v>0.24615481261060149</v>
      </c>
      <c r="F10" s="53">
        <v>-0.10781958900453685</v>
      </c>
      <c r="G10" s="10"/>
    </row>
    <row r="11" spans="1:29">
      <c r="A11" s="49">
        <v>1991</v>
      </c>
      <c r="B11" s="53">
        <v>0.87212084953634461</v>
      </c>
      <c r="C11" s="48">
        <v>0.46083155690201894</v>
      </c>
      <c r="D11" s="48">
        <v>0.46083155690201894</v>
      </c>
      <c r="E11" s="48">
        <v>0.46083155690201894</v>
      </c>
      <c r="F11" s="53">
        <v>0.8721208495363445</v>
      </c>
      <c r="G11" s="10"/>
    </row>
    <row r="12" spans="1:29">
      <c r="A12" s="54">
        <v>1992</v>
      </c>
      <c r="B12" s="53">
        <v>-0.33298713749300957</v>
      </c>
      <c r="C12" s="48">
        <v>0.30738057590276868</v>
      </c>
      <c r="D12" s="48">
        <v>0.30738057590276868</v>
      </c>
      <c r="E12" s="48">
        <v>0.30738057590276868</v>
      </c>
      <c r="F12" s="53">
        <v>-0.33298713749300957</v>
      </c>
      <c r="G12" s="10"/>
    </row>
    <row r="13" spans="1:29" ht="12.75" customHeight="1">
      <c r="A13" s="54">
        <v>1993</v>
      </c>
      <c r="B13" s="53">
        <v>1.3893879506527762E-2</v>
      </c>
      <c r="C13" s="48">
        <v>0.3116512845870088</v>
      </c>
      <c r="D13" s="48">
        <v>0.3116512845870088</v>
      </c>
      <c r="E13" s="48">
        <v>0.3116512845870088</v>
      </c>
      <c r="F13" s="53">
        <v>1.3893879506527573E-2</v>
      </c>
      <c r="G13" s="10"/>
    </row>
    <row r="14" spans="1:29" ht="12.75" customHeight="1">
      <c r="A14" s="49">
        <v>1994</v>
      </c>
      <c r="B14" s="53">
        <v>0.14105138806851736</v>
      </c>
      <c r="C14" s="48">
        <v>0.35561013087134297</v>
      </c>
      <c r="D14" s="48">
        <v>0.35561013087134297</v>
      </c>
      <c r="E14" s="48">
        <v>0.35561013087134297</v>
      </c>
      <c r="F14" s="53">
        <v>0.1410513880685175</v>
      </c>
      <c r="G14" s="10"/>
      <c r="H14" s="267"/>
    </row>
    <row r="15" spans="1:29">
      <c r="A15" s="49">
        <v>1995</v>
      </c>
      <c r="B15" s="53">
        <v>-0.12402940262967188</v>
      </c>
      <c r="C15" s="48">
        <v>0.31150401877031086</v>
      </c>
      <c r="D15" s="48">
        <v>0.31150401877031086</v>
      </c>
      <c r="E15" s="48">
        <v>0.31150401877031086</v>
      </c>
      <c r="F15" s="53">
        <v>-0.12402940262967187</v>
      </c>
      <c r="G15" s="70" t="s">
        <v>99</v>
      </c>
      <c r="H15" s="685" t="s">
        <v>744</v>
      </c>
    </row>
    <row r="16" spans="1:29">
      <c r="A16" s="49">
        <v>1996</v>
      </c>
      <c r="B16" s="53">
        <v>5.5999999999999994E-2</v>
      </c>
      <c r="C16" s="48">
        <v>0.32894824382144833</v>
      </c>
      <c r="D16" s="48">
        <v>0.32894824382144833</v>
      </c>
      <c r="E16" s="48">
        <v>0.32894824382144833</v>
      </c>
      <c r="F16" s="53">
        <v>5.6000000000000175E-2</v>
      </c>
      <c r="G16" s="10"/>
    </row>
    <row r="17" spans="1:7">
      <c r="A17" s="49">
        <v>1997</v>
      </c>
      <c r="B17" s="53">
        <v>1.2999999999999901E-2</v>
      </c>
      <c r="C17" s="48">
        <v>0.33322457099112712</v>
      </c>
      <c r="D17" s="48">
        <v>0.33322457099112712</v>
      </c>
      <c r="E17" s="48">
        <v>0.33322457099112712</v>
      </c>
      <c r="F17" s="53">
        <v>1.2999999999999899E-2</v>
      </c>
      <c r="G17" s="10"/>
    </row>
    <row r="18" spans="1:7">
      <c r="A18" s="49">
        <v>1998</v>
      </c>
      <c r="B18" s="53">
        <v>0.19699999999999998</v>
      </c>
      <c r="C18" s="48">
        <v>0.39886981147637918</v>
      </c>
      <c r="D18" s="48">
        <v>0.39886981147637918</v>
      </c>
      <c r="E18" s="48">
        <v>0.39886981147637918</v>
      </c>
      <c r="F18" s="53">
        <v>0.19700000000000004</v>
      </c>
      <c r="G18" s="10"/>
    </row>
    <row r="19" spans="1:7">
      <c r="A19" s="49">
        <v>1999</v>
      </c>
      <c r="B19" s="53">
        <v>-8.8000000000000009E-2</v>
      </c>
      <c r="C19" s="48">
        <v>0.36376926806645782</v>
      </c>
      <c r="D19" s="48">
        <v>0.36376926806645782</v>
      </c>
      <c r="E19" s="48">
        <v>0.36376926806645782</v>
      </c>
      <c r="F19" s="53">
        <v>-8.7999999999999981E-2</v>
      </c>
      <c r="G19" s="10"/>
    </row>
    <row r="20" spans="1:7">
      <c r="A20" s="49">
        <v>2000</v>
      </c>
      <c r="B20" s="53">
        <v>-0.253</v>
      </c>
      <c r="C20" s="48">
        <v>0.27173564324564398</v>
      </c>
      <c r="D20" s="48">
        <v>0.27173564324564398</v>
      </c>
      <c r="E20" s="48">
        <v>0.27173564324564398</v>
      </c>
      <c r="F20" s="53">
        <v>-0.25300000000000006</v>
      </c>
      <c r="G20" s="10"/>
    </row>
    <row r="21" spans="1:7">
      <c r="A21" s="49">
        <v>2001</v>
      </c>
      <c r="B21" s="53">
        <v>0.629</v>
      </c>
      <c r="C21" s="48">
        <v>0.44265736284715401</v>
      </c>
      <c r="D21" s="48">
        <v>0.44265736284715401</v>
      </c>
      <c r="E21" s="48">
        <v>0.44265736284715401</v>
      </c>
      <c r="F21" s="53">
        <v>0.62899999999999989</v>
      </c>
      <c r="G21" s="10"/>
    </row>
    <row r="22" spans="1:7">
      <c r="A22" s="49">
        <v>2002</v>
      </c>
      <c r="B22" s="53">
        <v>-0.01</v>
      </c>
      <c r="C22" s="48">
        <v>0.43823078921868253</v>
      </c>
      <c r="D22" s="48">
        <v>0.43823078921868253</v>
      </c>
      <c r="E22" s="48">
        <v>0.43823078921868253</v>
      </c>
      <c r="F22" s="53">
        <v>-9.9999999999998788E-3</v>
      </c>
      <c r="G22" s="10"/>
    </row>
    <row r="23" spans="1:7">
      <c r="A23" s="49">
        <v>2003</v>
      </c>
      <c r="B23" s="53">
        <v>-0.16</v>
      </c>
      <c r="C23" s="48">
        <v>0.3681138629436933</v>
      </c>
      <c r="D23" s="48">
        <v>0.3681138629436933</v>
      </c>
      <c r="E23" s="48">
        <v>0.3681138629436933</v>
      </c>
      <c r="F23" s="53">
        <v>-0.16000000000000003</v>
      </c>
      <c r="G23" s="10"/>
    </row>
    <row r="24" spans="1:7">
      <c r="A24" s="49">
        <v>2004</v>
      </c>
      <c r="B24" s="53">
        <v>8.3000000000000004E-2</v>
      </c>
      <c r="C24" s="48">
        <v>0.39866731356801982</v>
      </c>
      <c r="D24" s="48">
        <v>0.39866731356801982</v>
      </c>
      <c r="E24" s="48">
        <v>0.39866731356801982</v>
      </c>
      <c r="F24" s="53">
        <v>8.2999999999999921E-2</v>
      </c>
      <c r="G24" s="70"/>
    </row>
    <row r="25" spans="1:7">
      <c r="A25" s="49">
        <v>2005</v>
      </c>
      <c r="B25" s="53">
        <v>0.33</v>
      </c>
      <c r="C25" s="48">
        <v>0.53022752704546638</v>
      </c>
      <c r="D25" s="48">
        <v>0.53022752704546638</v>
      </c>
      <c r="E25" s="48">
        <v>0.53022752704546638</v>
      </c>
      <c r="F25" s="53">
        <v>0.33000000000000007</v>
      </c>
      <c r="G25" s="10"/>
    </row>
    <row r="26" spans="1:7">
      <c r="A26" s="49">
        <v>2006</v>
      </c>
      <c r="B26" s="53">
        <v>0.59699999999999998</v>
      </c>
      <c r="C26" s="48">
        <v>0.8467733606916098</v>
      </c>
      <c r="D26" s="48">
        <v>0.8467733606916098</v>
      </c>
      <c r="E26" s="48">
        <v>0.8467733606916098</v>
      </c>
      <c r="F26" s="53">
        <v>0.59699999999999998</v>
      </c>
      <c r="G26" s="10"/>
    </row>
    <row r="27" spans="1:7">
      <c r="A27" s="49">
        <v>2007</v>
      </c>
      <c r="B27" s="53">
        <v>1.3999999999999999E-2</v>
      </c>
      <c r="C27" s="48">
        <v>0.85862818774129235</v>
      </c>
      <c r="D27" s="48">
        <v>0.85862818774129235</v>
      </c>
      <c r="E27" s="48">
        <v>0.85862818774129235</v>
      </c>
      <c r="F27" s="53">
        <v>1.4000000000000012E-2</v>
      </c>
      <c r="G27" s="10"/>
    </row>
    <row r="28" spans="1:7">
      <c r="A28" s="49">
        <v>2008</v>
      </c>
      <c r="B28" s="53">
        <v>0.35100000000000003</v>
      </c>
      <c r="C28" s="48">
        <v>1.1600066816384862</v>
      </c>
      <c r="D28" s="48">
        <v>1.1600066816384862</v>
      </c>
      <c r="E28" s="48">
        <v>1.1600066816384862</v>
      </c>
      <c r="F28" s="53">
        <v>0.35100000000000026</v>
      </c>
      <c r="G28" s="10"/>
    </row>
    <row r="29" spans="1:7">
      <c r="A29" s="49">
        <v>2009</v>
      </c>
      <c r="B29" s="53">
        <v>-0.312</v>
      </c>
      <c r="C29" s="48">
        <v>0.7980845969672784</v>
      </c>
      <c r="D29" s="48">
        <v>0.7980845969672784</v>
      </c>
      <c r="E29" s="48">
        <v>0.7980845969672784</v>
      </c>
      <c r="F29" s="53">
        <v>-0.31200000000000011</v>
      </c>
      <c r="G29" s="10"/>
    </row>
    <row r="30" spans="1:7">
      <c r="A30" s="49">
        <v>2010</v>
      </c>
      <c r="B30" s="53">
        <v>0.253</v>
      </c>
      <c r="C30" s="48">
        <v>1</v>
      </c>
      <c r="D30" s="48">
        <v>1</v>
      </c>
      <c r="E30" s="48">
        <v>1</v>
      </c>
      <c r="F30" s="53">
        <v>0.25300000000000022</v>
      </c>
      <c r="G30" s="10"/>
    </row>
    <row r="31" spans="1:7">
      <c r="A31" s="49">
        <v>2011</v>
      </c>
      <c r="B31" s="53">
        <v>0.24199999999999999</v>
      </c>
      <c r="C31" s="48">
        <v>1.242</v>
      </c>
      <c r="D31" s="48">
        <v>1.242</v>
      </c>
      <c r="E31" s="48">
        <v>1.242</v>
      </c>
      <c r="F31" s="53">
        <v>0.24199999999999999</v>
      </c>
      <c r="G31" s="10"/>
    </row>
    <row r="32" spans="1:7">
      <c r="A32" s="49">
        <v>2012</v>
      </c>
      <c r="B32" s="53">
        <v>3.1E-2</v>
      </c>
      <c r="C32" s="48">
        <v>1.280502</v>
      </c>
      <c r="D32" s="48">
        <v>1.280502</v>
      </c>
      <c r="E32" s="48">
        <v>1.280502</v>
      </c>
      <c r="F32" s="53">
        <v>3.1000000000000031E-2</v>
      </c>
      <c r="G32" s="10"/>
    </row>
    <row r="33" spans="1:7">
      <c r="A33" s="49">
        <v>2013</v>
      </c>
      <c r="B33" s="53">
        <v>8.4000000000000005E-2</v>
      </c>
      <c r="C33" s="48">
        <v>1.3880641680000001</v>
      </c>
      <c r="D33" s="48">
        <v>1.3880641680000001</v>
      </c>
      <c r="E33" s="48">
        <v>1.3880641680000001</v>
      </c>
      <c r="F33" s="53">
        <v>8.4000000000000047E-2</v>
      </c>
      <c r="G33" s="70" t="s">
        <v>99</v>
      </c>
    </row>
    <row r="34" spans="1:7">
      <c r="A34" s="49">
        <v>2014</v>
      </c>
      <c r="B34" s="53">
        <v>-2.8999999999999998E-2</v>
      </c>
      <c r="C34" s="48">
        <v>1.3478103071280001</v>
      </c>
      <c r="D34" s="48">
        <v>1.3478103071280001</v>
      </c>
      <c r="E34" s="48">
        <v>1.3478103071280001</v>
      </c>
      <c r="F34" s="53">
        <v>-2.8999999999999998E-2</v>
      </c>
      <c r="G34" s="10"/>
    </row>
    <row r="35" spans="1:7">
      <c r="A35" s="49">
        <v>2015</v>
      </c>
      <c r="B35" s="53">
        <v>-5.9000000000000004E-2</v>
      </c>
      <c r="C35" s="48">
        <v>1.2682894990074478</v>
      </c>
      <c r="D35" s="48">
        <v>1.2682894990074478</v>
      </c>
      <c r="E35" s="48">
        <v>1.2682894990074478</v>
      </c>
      <c r="F35" s="53">
        <v>-5.9000000000000212E-2</v>
      </c>
      <c r="G35" s="10"/>
    </row>
    <row r="36" spans="1:7">
      <c r="A36" s="49">
        <v>2016</v>
      </c>
      <c r="B36" s="53">
        <v>-0.308</v>
      </c>
      <c r="C36" s="48">
        <v>0.87765633331315396</v>
      </c>
      <c r="D36" s="48">
        <v>0.87765633331315396</v>
      </c>
      <c r="E36" s="48">
        <v>0.87765633331315396</v>
      </c>
      <c r="F36" s="53">
        <v>-0.30799999999999994</v>
      </c>
      <c r="G36" s="10"/>
    </row>
    <row r="37" spans="1:7">
      <c r="A37" s="49">
        <v>2017</v>
      </c>
      <c r="B37" s="53">
        <v>0.06</v>
      </c>
      <c r="C37" s="48">
        <v>0.93031571331194318</v>
      </c>
      <c r="D37" s="48">
        <v>0.93031571331194318</v>
      </c>
      <c r="E37" s="48">
        <v>0.93031571331194318</v>
      </c>
      <c r="F37" s="53">
        <v>5.9999999999999984E-2</v>
      </c>
      <c r="G37" s="10"/>
    </row>
    <row r="38" spans="1:7">
      <c r="A38" s="49">
        <v>2018</v>
      </c>
      <c r="B38" s="53">
        <v>-4.0000000000000001E-3</v>
      </c>
      <c r="C38" s="48">
        <v>0.92659445045869537</v>
      </c>
      <c r="D38" s="48">
        <v>0.92659445045869537</v>
      </c>
      <c r="E38" s="48">
        <v>0.92659445045869537</v>
      </c>
      <c r="F38" s="53">
        <v>-4.0000000000000382E-3</v>
      </c>
      <c r="G38" s="10"/>
    </row>
    <row r="39" spans="1:7">
      <c r="A39" s="55">
        <v>2019</v>
      </c>
      <c r="B39" s="53">
        <v>4.0000000000000001E-3</v>
      </c>
      <c r="C39" s="56">
        <v>0.93030082826053029</v>
      </c>
      <c r="D39" s="48">
        <v>0.93030082826053029</v>
      </c>
      <c r="E39" s="48">
        <v>0.93030082826053029</v>
      </c>
      <c r="F39" s="57">
        <v>4.0000000000001441E-3</v>
      </c>
      <c r="G39" s="10"/>
    </row>
    <row r="40" spans="1:7">
      <c r="A40" s="55">
        <v>2020</v>
      </c>
      <c r="B40" s="57">
        <v>8.0000000000000002E-3</v>
      </c>
      <c r="C40" s="56">
        <v>0.93774323488661449</v>
      </c>
      <c r="D40" s="56">
        <v>0.93774323488661449</v>
      </c>
      <c r="E40" s="56">
        <v>0.93774323488661449</v>
      </c>
      <c r="F40" s="57">
        <v>7.9999999999999516E-3</v>
      </c>
      <c r="G40" s="13"/>
    </row>
    <row r="41" spans="1:7">
      <c r="A41" s="49">
        <v>2021</v>
      </c>
      <c r="B41" s="53">
        <v>1.2E-2</v>
      </c>
      <c r="C41" s="48">
        <v>0.94899615370525381</v>
      </c>
      <c r="D41" s="48">
        <v>0.94899615370525381</v>
      </c>
      <c r="E41" s="48">
        <v>0.94899615370525381</v>
      </c>
      <c r="F41" s="53">
        <v>1.1999999999999946E-2</v>
      </c>
      <c r="G41" s="10"/>
    </row>
    <row r="42" spans="1:7">
      <c r="A42" s="49">
        <v>2022</v>
      </c>
      <c r="B42" s="53">
        <v>2.4E-2</v>
      </c>
      <c r="C42" s="48">
        <v>0.97177206139417982</v>
      </c>
      <c r="D42" s="48">
        <v>0.97177206139417982</v>
      </c>
      <c r="E42" s="48">
        <v>0.97177206139417982</v>
      </c>
      <c r="F42" s="53">
        <v>2.3999999999999917E-2</v>
      </c>
      <c r="G42" s="70"/>
    </row>
    <row r="43" spans="1:7">
      <c r="A43" s="49">
        <v>2023</v>
      </c>
      <c r="B43" s="53">
        <v>2.5000000000000001E-2</v>
      </c>
      <c r="C43" s="48">
        <v>0.99606636292903428</v>
      </c>
      <c r="D43" s="48">
        <v>0.99606636292903428</v>
      </c>
      <c r="E43" s="48">
        <v>0.99606636292903428</v>
      </c>
      <c r="F43" s="53">
        <v>2.499999999999996E-2</v>
      </c>
      <c r="G43" s="10"/>
    </row>
    <row r="44" spans="1:7">
      <c r="A44" s="49">
        <v>2024</v>
      </c>
      <c r="B44" s="53">
        <v>2.5000000000000001E-2</v>
      </c>
      <c r="C44" s="48">
        <v>1.0209680220022601</v>
      </c>
      <c r="D44" s="48">
        <v>1.0209680220022601</v>
      </c>
      <c r="E44" s="48">
        <v>1.0209680220022601</v>
      </c>
      <c r="F44" s="53">
        <v>2.4999999999999977E-2</v>
      </c>
      <c r="G44" s="10"/>
    </row>
    <row r="45" spans="1:7">
      <c r="A45" s="55">
        <v>2025</v>
      </c>
      <c r="B45" s="53">
        <v>2.5000000000000001E-2</v>
      </c>
      <c r="C45" s="48">
        <v>1.0464922225523166</v>
      </c>
      <c r="D45" s="48">
        <v>1.0464922225523166</v>
      </c>
      <c r="E45" s="56">
        <v>1.0464922225523166</v>
      </c>
      <c r="F45" s="53">
        <v>2.4999999999999939E-2</v>
      </c>
      <c r="G45" s="10"/>
    </row>
    <row r="46" spans="1:7">
      <c r="A46" s="55">
        <v>2026</v>
      </c>
      <c r="B46" s="53">
        <v>2.5000000000000001E-2</v>
      </c>
      <c r="C46" s="48">
        <v>1.0726545281161244</v>
      </c>
      <c r="D46" s="48">
        <v>1.0726545281161244</v>
      </c>
      <c r="E46" s="48">
        <v>1.0726545281161244</v>
      </c>
      <c r="F46" s="53">
        <v>2.4999999999999922E-2</v>
      </c>
      <c r="G46" s="10"/>
    </row>
    <row r="47" spans="1:7">
      <c r="A47" s="49">
        <v>2027</v>
      </c>
      <c r="B47" s="53">
        <v>2.5000000000000001E-2</v>
      </c>
      <c r="C47" s="48">
        <v>1.0994708913190272</v>
      </c>
      <c r="D47" s="48">
        <v>1.0994708913190272</v>
      </c>
      <c r="E47" s="48">
        <v>1.0994708913190272</v>
      </c>
      <c r="F47" s="53">
        <v>2.4999999999999727E-2</v>
      </c>
      <c r="G47" s="10"/>
    </row>
    <row r="48" spans="1:7">
      <c r="A48" s="49">
        <v>2028</v>
      </c>
      <c r="B48" s="53">
        <v>2.5000000000000001E-2</v>
      </c>
      <c r="C48" s="48">
        <v>1.1269576636020029</v>
      </c>
      <c r="D48" s="48">
        <v>1.1269576636020029</v>
      </c>
      <c r="E48" s="48">
        <v>1.1269576636020029</v>
      </c>
      <c r="F48" s="53">
        <v>2.5000000000000012E-2</v>
      </c>
      <c r="G48" s="10"/>
    </row>
    <row r="49" spans="1:7">
      <c r="A49" s="49">
        <v>2029</v>
      </c>
      <c r="B49" s="53">
        <v>2.5000000000000001E-2</v>
      </c>
      <c r="C49" s="48">
        <v>1.1551316051920528</v>
      </c>
      <c r="D49" s="48">
        <v>1.1551316051920528</v>
      </c>
      <c r="E49" s="48">
        <v>1.1551316051920528</v>
      </c>
      <c r="F49" s="53">
        <v>2.4999999999999876E-2</v>
      </c>
      <c r="G49" s="10"/>
    </row>
    <row r="50" spans="1:7">
      <c r="A50" s="49">
        <v>2030</v>
      </c>
      <c r="B50" s="53">
        <v>2.5000000000000001E-2</v>
      </c>
      <c r="C50" s="48">
        <v>1.1840098953218539</v>
      </c>
      <c r="D50" s="48">
        <v>1.1840098953218539</v>
      </c>
      <c r="E50" s="48">
        <v>1.1840098953218539</v>
      </c>
      <c r="F50" s="53">
        <v>2.4999999999999752E-2</v>
      </c>
      <c r="G50" s="10"/>
    </row>
    <row r="51" spans="1:7">
      <c r="A51" s="49">
        <v>2031</v>
      </c>
      <c r="B51" s="53">
        <v>2.5000000000000001E-2</v>
      </c>
      <c r="C51" s="48">
        <v>1.2136101427049002</v>
      </c>
      <c r="D51" s="48">
        <v>1.2136101427049002</v>
      </c>
      <c r="E51" s="48">
        <v>1.2136101427049002</v>
      </c>
      <c r="F51" s="53">
        <v>2.4999999999999994E-2</v>
      </c>
      <c r="G51" s="70" t="s">
        <v>99</v>
      </c>
    </row>
    <row r="52" spans="1:7">
      <c r="A52" s="49">
        <v>2032</v>
      </c>
      <c r="B52" s="53">
        <v>2.5000000000000001E-2</v>
      </c>
      <c r="C52" s="48">
        <v>1.2439503962725225</v>
      </c>
      <c r="D52" s="48">
        <v>1.2439503962725225</v>
      </c>
      <c r="E52" s="48">
        <v>1.2439503962725225</v>
      </c>
      <c r="F52" s="53">
        <v>2.4999999999999804E-2</v>
      </c>
      <c r="G52" s="10"/>
    </row>
    <row r="53" spans="1:7">
      <c r="A53" s="49">
        <v>2033</v>
      </c>
      <c r="B53" s="53">
        <v>2.5000000000000001E-2</v>
      </c>
      <c r="C53" s="48">
        <v>1.2750491561793353</v>
      </c>
      <c r="D53" s="48">
        <v>1.2750491561793353</v>
      </c>
      <c r="E53" s="48">
        <v>1.2750491561793353</v>
      </c>
      <c r="F53" s="53">
        <v>2.4999999999999852E-2</v>
      </c>
      <c r="G53" s="10"/>
    </row>
    <row r="54" spans="1:7">
      <c r="A54" s="49">
        <v>2034</v>
      </c>
      <c r="B54" s="53">
        <v>2.5000000000000001E-2</v>
      </c>
      <c r="C54" s="48">
        <v>1.3069253850838187</v>
      </c>
      <c r="D54" s="48">
        <v>1.3069253850838187</v>
      </c>
      <c r="E54" s="48">
        <v>1.3069253850838187</v>
      </c>
      <c r="F54" s="53">
        <v>2.5000000000000001E-2</v>
      </c>
      <c r="G54" s="10"/>
    </row>
    <row r="55" spans="1:7">
      <c r="A55" s="49">
        <v>2035</v>
      </c>
      <c r="B55" s="53">
        <v>2.5000000000000001E-2</v>
      </c>
      <c r="C55" s="48">
        <v>1.3395985197109141</v>
      </c>
      <c r="D55" s="48">
        <v>1.3395985197109141</v>
      </c>
      <c r="E55" s="48">
        <v>1.3395985197109141</v>
      </c>
      <c r="F55" s="53">
        <v>2.4999999999999967E-2</v>
      </c>
      <c r="G55" s="10"/>
    </row>
    <row r="56" spans="1:7">
      <c r="A56" s="49">
        <v>2036</v>
      </c>
      <c r="B56" s="53">
        <v>2.5000000000000001E-2</v>
      </c>
      <c r="C56" s="48">
        <v>1.3730884827036869</v>
      </c>
      <c r="D56" s="48">
        <v>1.3730884827036869</v>
      </c>
      <c r="E56" s="48">
        <v>1.3730884827036869</v>
      </c>
      <c r="F56" s="53">
        <v>2.4999999999999915E-2</v>
      </c>
      <c r="G56" s="10"/>
    </row>
    <row r="57" spans="1:7">
      <c r="A57" s="49">
        <v>2037</v>
      </c>
      <c r="B57" s="53">
        <v>2.5000000000000001E-2</v>
      </c>
      <c r="C57" s="48">
        <v>1.4074156947712788</v>
      </c>
      <c r="D57" s="48">
        <v>1.4074156947712788</v>
      </c>
      <c r="E57" s="48">
        <v>1.4074156947712788</v>
      </c>
      <c r="F57" s="53">
        <v>2.4999999999999821E-2</v>
      </c>
      <c r="G57" s="10"/>
    </row>
    <row r="58" spans="1:7">
      <c r="A58" s="49">
        <v>2038</v>
      </c>
      <c r="B58" s="53">
        <v>2.5000000000000001E-2</v>
      </c>
      <c r="C58" s="48">
        <v>1.4426010871405606</v>
      </c>
      <c r="D58" s="48">
        <v>1.4426010871405606</v>
      </c>
      <c r="E58" s="48">
        <v>1.4426010871405606</v>
      </c>
      <c r="F58" s="53">
        <v>2.4999999999999845E-2</v>
      </c>
      <c r="G58" s="10"/>
    </row>
    <row r="59" spans="1:7">
      <c r="A59" s="49">
        <v>2039</v>
      </c>
      <c r="B59" s="53">
        <v>2.5000000000000001E-2</v>
      </c>
      <c r="C59" s="48">
        <v>1.4786661143190745</v>
      </c>
      <c r="D59" s="48">
        <v>1.4786661143190745</v>
      </c>
      <c r="E59" s="48">
        <v>1.4786661143190745</v>
      </c>
      <c r="F59" s="53">
        <v>2.4999999999999918E-2</v>
      </c>
      <c r="G59" s="10"/>
    </row>
    <row r="60" spans="1:7">
      <c r="A60" s="49">
        <v>2040</v>
      </c>
      <c r="B60" s="53">
        <v>2.5000000000000001E-2</v>
      </c>
      <c r="C60" s="48">
        <v>1.5156327671770513</v>
      </c>
      <c r="D60" s="48">
        <v>1.5156327671770513</v>
      </c>
      <c r="E60" s="48">
        <v>1.5156327671770513</v>
      </c>
      <c r="F60" s="53">
        <v>2.4999999999999988E-2</v>
      </c>
      <c r="G60" s="70"/>
    </row>
    <row r="61" spans="1:7">
      <c r="A61" s="49">
        <v>2041</v>
      </c>
      <c r="B61" s="53">
        <v>2.5000000000000001E-2</v>
      </c>
      <c r="C61" s="48">
        <v>1.5535235863564776</v>
      </c>
      <c r="D61" s="48">
        <v>1.5535235863564776</v>
      </c>
      <c r="E61" s="48">
        <v>1.5535235863564776</v>
      </c>
      <c r="F61" s="53">
        <v>2.4999999999999991E-2</v>
      </c>
    </row>
    <row r="62" spans="1:7">
      <c r="A62" s="66">
        <v>2042</v>
      </c>
      <c r="B62" s="105">
        <v>2.5000000000000001E-2</v>
      </c>
      <c r="C62" s="106">
        <v>1.5923616760153894</v>
      </c>
      <c r="D62" s="106">
        <v>1.5923616760153894</v>
      </c>
      <c r="E62" s="106">
        <v>1.5923616760153894</v>
      </c>
      <c r="F62" s="105">
        <v>2.4999999999999897E-2</v>
      </c>
    </row>
    <row r="63" spans="1:7">
      <c r="A63" s="66">
        <v>2043</v>
      </c>
      <c r="B63" s="105">
        <v>2.5000000000000001E-2</v>
      </c>
      <c r="C63" s="106">
        <v>1.6321707179157738</v>
      </c>
      <c r="D63" s="106">
        <v>1.6321707179157738</v>
      </c>
      <c r="E63" s="106">
        <v>1.6321707179157738</v>
      </c>
      <c r="F63" s="105">
        <v>2.4999999999999838E-2</v>
      </c>
    </row>
    <row r="64" spans="1:7">
      <c r="A64" s="66">
        <v>2044</v>
      </c>
      <c r="B64" s="105">
        <v>2.5000000000000001E-2</v>
      </c>
      <c r="C64" s="106">
        <v>1.6729749858636682</v>
      </c>
      <c r="D64" s="106">
        <v>1.6729749858636682</v>
      </c>
      <c r="E64" s="106">
        <v>1.6729749858636682</v>
      </c>
      <c r="F64" s="105">
        <v>2.5000000000000019E-2</v>
      </c>
    </row>
    <row r="65" spans="1:7">
      <c r="A65" s="66">
        <v>2045</v>
      </c>
      <c r="B65" s="105">
        <v>2.5000000000000001E-2</v>
      </c>
      <c r="C65" s="106">
        <v>1.7147993605102601</v>
      </c>
      <c r="D65" s="106">
        <v>1.7147993605102601</v>
      </c>
      <c r="E65" s="106">
        <v>1.7147993605102601</v>
      </c>
      <c r="F65" s="105">
        <v>2.5000000000000078E-2</v>
      </c>
    </row>
    <row r="66" spans="1:7">
      <c r="A66" s="66">
        <v>2046</v>
      </c>
      <c r="B66" s="105">
        <v>2.5000000000000001E-2</v>
      </c>
      <c r="C66" s="106">
        <v>1.7576693445230163</v>
      </c>
      <c r="D66" s="106">
        <v>1.7576693445230163</v>
      </c>
      <c r="E66" s="106">
        <v>1.7576693445230163</v>
      </c>
      <c r="F66" s="105">
        <v>2.4999999999999831E-2</v>
      </c>
    </row>
    <row r="67" spans="1:7">
      <c r="A67" s="66">
        <v>2047</v>
      </c>
      <c r="B67" s="105">
        <v>2.5000000000000001E-2</v>
      </c>
      <c r="C67" s="106">
        <v>1.8016110781360917</v>
      </c>
      <c r="D67" s="106">
        <v>1.8016110781360917</v>
      </c>
      <c r="E67" s="106">
        <v>1.8016110781360917</v>
      </c>
      <c r="F67" s="105">
        <v>2.5000000000000001E-2</v>
      </c>
    </row>
    <row r="68" spans="1:7">
      <c r="A68" s="66">
        <v>2048</v>
      </c>
      <c r="B68" s="105">
        <v>2.5000000000000001E-2</v>
      </c>
      <c r="C68" s="106">
        <v>1.8466513550894939</v>
      </c>
      <c r="D68" s="106">
        <v>1.8466513550894939</v>
      </c>
      <c r="E68" s="106">
        <v>1.8466513550894939</v>
      </c>
      <c r="F68" s="105">
        <v>2.4999999999999939E-2</v>
      </c>
    </row>
    <row r="69" spans="1:7">
      <c r="A69" s="66">
        <v>2049</v>
      </c>
      <c r="B69" s="105">
        <v>2.5000000000000001E-2</v>
      </c>
      <c r="C69" s="106">
        <v>1.8928176389667311</v>
      </c>
      <c r="D69" s="106">
        <v>1.8928176389667311</v>
      </c>
      <c r="E69" s="106">
        <v>1.8928176389667311</v>
      </c>
      <c r="F69" s="105">
        <v>2.4999999999999922E-2</v>
      </c>
    </row>
    <row r="70" spans="1:7">
      <c r="A70" s="66">
        <v>2050</v>
      </c>
      <c r="B70" s="105">
        <v>2.5000000000000001E-2</v>
      </c>
      <c r="C70" s="106">
        <v>1.9401380799408989</v>
      </c>
      <c r="D70" s="106">
        <v>1.9401380799408989</v>
      </c>
      <c r="E70" s="106">
        <v>1.9401380799408989</v>
      </c>
      <c r="F70" s="105">
        <v>2.499999999999979E-2</v>
      </c>
    </row>
    <row r="71" spans="1:7">
      <c r="A71" s="66">
        <v>2051</v>
      </c>
      <c r="B71" s="105">
        <v>2.5000000000000001E-2</v>
      </c>
      <c r="C71" s="106">
        <v>1.9886415319394213</v>
      </c>
      <c r="D71" s="106">
        <v>1.9886415319394213</v>
      </c>
      <c r="E71" s="106">
        <v>1.9886415319394213</v>
      </c>
      <c r="F71" s="105">
        <v>2.4999999999999935E-2</v>
      </c>
    </row>
    <row r="72" spans="1:7">
      <c r="A72" s="66">
        <v>2052</v>
      </c>
      <c r="B72" s="105">
        <v>2.5000000000000001E-2</v>
      </c>
      <c r="C72" s="106">
        <v>2.0383575702379066</v>
      </c>
      <c r="D72" s="106">
        <v>2.0383575702379066</v>
      </c>
      <c r="E72" s="106">
        <v>2.0383575702379066</v>
      </c>
      <c r="F72" s="105">
        <v>2.4999999999999915E-2</v>
      </c>
    </row>
    <row r="73" spans="1:7">
      <c r="A73" s="66">
        <v>2053</v>
      </c>
      <c r="B73" s="105">
        <v>2.5000000000000001E-2</v>
      </c>
      <c r="C73" s="106">
        <v>2.0893165094938539</v>
      </c>
      <c r="D73" s="106">
        <v>2.0893165094938539</v>
      </c>
      <c r="E73" s="106">
        <v>2.0893165094938539</v>
      </c>
      <c r="F73" s="105">
        <v>2.4999999999999821E-2</v>
      </c>
      <c r="G73" s="70" t="s">
        <v>99</v>
      </c>
    </row>
    <row r="74" spans="1:7">
      <c r="A74" s="66">
        <v>2054</v>
      </c>
      <c r="B74" s="105">
        <v>2.5000000000000001E-2</v>
      </c>
      <c r="C74" s="106">
        <v>2.1415494222312002</v>
      </c>
      <c r="D74" s="106">
        <v>2.1415494222312002</v>
      </c>
      <c r="E74" s="106">
        <v>2.1415494222312002</v>
      </c>
      <c r="F74" s="105">
        <v>2.4999999999999932E-2</v>
      </c>
    </row>
    <row r="75" spans="1:7">
      <c r="A75" s="66">
        <v>2055</v>
      </c>
      <c r="B75" s="105">
        <v>2.5000000000000001E-2</v>
      </c>
      <c r="C75" s="106">
        <v>2.1950881577869801</v>
      </c>
      <c r="D75" s="106">
        <v>2.1950881577869801</v>
      </c>
      <c r="E75" s="106">
        <v>2.1950881577869801</v>
      </c>
      <c r="F75" s="105">
        <v>2.4999999999999963E-2</v>
      </c>
    </row>
    <row r="76" spans="1:7">
      <c r="A76" s="66">
        <v>2056</v>
      </c>
      <c r="B76" s="105">
        <v>2.5000000000000001E-2</v>
      </c>
      <c r="C76" s="106">
        <v>2.2499653617316544</v>
      </c>
      <c r="D76" s="106">
        <v>2.2499653617316544</v>
      </c>
      <c r="E76" s="106">
        <v>2.2499653617316544</v>
      </c>
      <c r="F76" s="105">
        <v>2.4999999999999918E-2</v>
      </c>
    </row>
    <row r="77" spans="1:7">
      <c r="A77" s="66">
        <v>2057</v>
      </c>
      <c r="B77" s="105">
        <v>2.5000000000000001E-2</v>
      </c>
      <c r="C77" s="106">
        <v>2.3062144957749453</v>
      </c>
      <c r="D77" s="106">
        <v>2.3062144957749453</v>
      </c>
      <c r="E77" s="106">
        <v>2.3062144957749453</v>
      </c>
      <c r="F77" s="105">
        <v>2.4999999999999797E-2</v>
      </c>
    </row>
    <row r="78" spans="1:7">
      <c r="A78" s="66">
        <v>2058</v>
      </c>
      <c r="B78" s="105">
        <v>2.5000000000000001E-2</v>
      </c>
      <c r="C78" s="106">
        <v>2.3638698581693189</v>
      </c>
      <c r="D78" s="106">
        <v>2.3638698581693189</v>
      </c>
      <c r="E78" s="106">
        <v>2.3638698581693189</v>
      </c>
      <c r="F78" s="105">
        <v>2.5000000000000001E-2</v>
      </c>
    </row>
    <row r="79" spans="1:7">
      <c r="A79" s="66">
        <v>2059</v>
      </c>
      <c r="B79" s="105">
        <v>2.5000000000000001E-2</v>
      </c>
      <c r="C79" s="106">
        <v>2.4229666046235518</v>
      </c>
      <c r="D79" s="106">
        <v>2.4229666046235518</v>
      </c>
      <c r="E79" s="106">
        <v>2.4229666046235518</v>
      </c>
      <c r="F79" s="105">
        <v>2.499999999999997E-2</v>
      </c>
    </row>
    <row r="80" spans="1:7">
      <c r="A80" s="66">
        <v>2060</v>
      </c>
      <c r="B80" s="105">
        <v>2.5000000000000001E-2</v>
      </c>
      <c r="C80" s="106">
        <v>2.4835407697391401</v>
      </c>
      <c r="D80" s="106">
        <v>2.4835407697391401</v>
      </c>
      <c r="E80" s="106">
        <v>2.4835407697391401</v>
      </c>
      <c r="F80" s="105">
        <v>2.4999999999999762E-2</v>
      </c>
    </row>
    <row r="81" spans="1:7">
      <c r="A81" s="66" t="s">
        <v>746</v>
      </c>
      <c r="B81" s="105" t="s">
        <v>746</v>
      </c>
      <c r="C81" s="106" t="s">
        <v>746</v>
      </c>
      <c r="D81" s="106" t="s">
        <v>746</v>
      </c>
      <c r="E81" s="106" t="s">
        <v>746</v>
      </c>
      <c r="F81" s="105" t="s">
        <v>746</v>
      </c>
    </row>
    <row r="82" spans="1:7">
      <c r="A82" s="66" t="s">
        <v>746</v>
      </c>
      <c r="B82" s="105" t="s">
        <v>746</v>
      </c>
      <c r="C82" s="106" t="s">
        <v>746</v>
      </c>
      <c r="D82" s="106" t="s">
        <v>746</v>
      </c>
      <c r="E82" s="106" t="s">
        <v>746</v>
      </c>
      <c r="F82" s="105" t="s">
        <v>746</v>
      </c>
    </row>
    <row r="83" spans="1:7">
      <c r="A83" s="66" t="s">
        <v>746</v>
      </c>
      <c r="B83" s="105" t="s">
        <v>746</v>
      </c>
      <c r="C83" s="106" t="s">
        <v>746</v>
      </c>
      <c r="D83" s="106" t="s">
        <v>746</v>
      </c>
      <c r="E83" s="106" t="s">
        <v>746</v>
      </c>
      <c r="F83" s="105" t="s">
        <v>746</v>
      </c>
    </row>
    <row r="84" spans="1:7">
      <c r="A84" s="66" t="s">
        <v>746</v>
      </c>
      <c r="B84" s="105" t="s">
        <v>746</v>
      </c>
      <c r="C84" s="106" t="s">
        <v>746</v>
      </c>
      <c r="D84" s="106" t="s">
        <v>746</v>
      </c>
      <c r="E84" s="106" t="s">
        <v>746</v>
      </c>
      <c r="F84" s="105" t="s">
        <v>746</v>
      </c>
    </row>
    <row r="85" spans="1:7">
      <c r="A85" s="66" t="s">
        <v>746</v>
      </c>
      <c r="B85" s="105" t="s">
        <v>746</v>
      </c>
      <c r="C85" s="106" t="s">
        <v>746</v>
      </c>
      <c r="D85" s="106" t="s">
        <v>746</v>
      </c>
      <c r="E85" s="106" t="s">
        <v>746</v>
      </c>
      <c r="F85" s="105" t="s">
        <v>746</v>
      </c>
    </row>
    <row r="86" spans="1:7">
      <c r="A86" s="66" t="s">
        <v>746</v>
      </c>
      <c r="B86" s="105" t="s">
        <v>746</v>
      </c>
      <c r="C86" s="106" t="s">
        <v>746</v>
      </c>
      <c r="D86" s="106" t="s">
        <v>746</v>
      </c>
      <c r="E86" s="106" t="s">
        <v>746</v>
      </c>
      <c r="F86" s="105" t="s">
        <v>746</v>
      </c>
    </row>
    <row r="87" spans="1:7">
      <c r="A87" s="66" t="s">
        <v>746</v>
      </c>
      <c r="B87" s="105" t="s">
        <v>746</v>
      </c>
      <c r="C87" s="106" t="s">
        <v>746</v>
      </c>
      <c r="D87" s="106" t="s">
        <v>746</v>
      </c>
      <c r="E87" s="106" t="s">
        <v>746</v>
      </c>
      <c r="F87" s="105" t="s">
        <v>746</v>
      </c>
    </row>
    <row r="88" spans="1:7">
      <c r="A88" s="66" t="s">
        <v>746</v>
      </c>
      <c r="B88" s="105" t="s">
        <v>746</v>
      </c>
      <c r="C88" s="106" t="s">
        <v>746</v>
      </c>
      <c r="D88" s="106" t="s">
        <v>746</v>
      </c>
      <c r="E88" s="106" t="s">
        <v>746</v>
      </c>
      <c r="F88" s="105" t="s">
        <v>746</v>
      </c>
    </row>
    <row r="89" spans="1:7">
      <c r="A89" s="66" t="s">
        <v>746</v>
      </c>
      <c r="B89" s="105" t="s">
        <v>746</v>
      </c>
      <c r="C89" s="106" t="s">
        <v>746</v>
      </c>
      <c r="D89" s="106" t="s">
        <v>746</v>
      </c>
      <c r="E89" s="106" t="s">
        <v>746</v>
      </c>
      <c r="F89" s="105" t="s">
        <v>746</v>
      </c>
    </row>
    <row r="90" spans="1:7">
      <c r="A90" s="66" t="s">
        <v>746</v>
      </c>
      <c r="B90" s="105" t="s">
        <v>746</v>
      </c>
      <c r="C90" s="106" t="s">
        <v>746</v>
      </c>
      <c r="D90" s="106" t="s">
        <v>746</v>
      </c>
      <c r="E90" s="106" t="s">
        <v>746</v>
      </c>
      <c r="F90" s="105" t="s">
        <v>746</v>
      </c>
    </row>
    <row r="91" spans="1:7">
      <c r="A91" s="66" t="s">
        <v>746</v>
      </c>
      <c r="B91" s="105" t="s">
        <v>746</v>
      </c>
      <c r="C91" s="106" t="s">
        <v>746</v>
      </c>
      <c r="D91" s="106" t="s">
        <v>746</v>
      </c>
      <c r="E91" s="106" t="s">
        <v>746</v>
      </c>
      <c r="F91" s="105" t="s">
        <v>746</v>
      </c>
    </row>
    <row r="92" spans="1:7">
      <c r="A92" s="66" t="s">
        <v>746</v>
      </c>
      <c r="B92" s="105" t="s">
        <v>746</v>
      </c>
      <c r="C92" s="106" t="s">
        <v>746</v>
      </c>
      <c r="D92" s="106" t="s">
        <v>746</v>
      </c>
      <c r="E92" s="106" t="s">
        <v>746</v>
      </c>
      <c r="F92" s="105" t="s">
        <v>746</v>
      </c>
    </row>
    <row r="93" spans="1:7">
      <c r="A93" s="66" t="s">
        <v>746</v>
      </c>
      <c r="B93" s="105" t="s">
        <v>746</v>
      </c>
      <c r="C93" s="106" t="s">
        <v>746</v>
      </c>
      <c r="D93" s="106" t="s">
        <v>746</v>
      </c>
      <c r="E93" s="106" t="s">
        <v>746</v>
      </c>
      <c r="F93" s="105" t="s">
        <v>746</v>
      </c>
    </row>
    <row r="94" spans="1:7">
      <c r="A94" s="66" t="s">
        <v>746</v>
      </c>
      <c r="B94" s="105" t="s">
        <v>746</v>
      </c>
      <c r="C94" s="106" t="s">
        <v>746</v>
      </c>
      <c r="D94" s="106" t="s">
        <v>746</v>
      </c>
      <c r="E94" s="106" t="s">
        <v>746</v>
      </c>
      <c r="F94" s="105" t="s">
        <v>746</v>
      </c>
    </row>
    <row r="95" spans="1:7">
      <c r="A95" s="66" t="s">
        <v>746</v>
      </c>
      <c r="B95" s="105" t="s">
        <v>746</v>
      </c>
      <c r="C95" s="106" t="s">
        <v>746</v>
      </c>
      <c r="D95" s="106" t="s">
        <v>746</v>
      </c>
      <c r="E95" s="106" t="s">
        <v>746</v>
      </c>
      <c r="F95" s="105" t="s">
        <v>746</v>
      </c>
    </row>
    <row r="96" spans="1:7">
      <c r="A96" s="66" t="s">
        <v>746</v>
      </c>
      <c r="B96" s="105" t="s">
        <v>746</v>
      </c>
      <c r="C96" s="106" t="s">
        <v>746</v>
      </c>
      <c r="D96" s="106" t="s">
        <v>746</v>
      </c>
      <c r="E96" s="106" t="s">
        <v>746</v>
      </c>
      <c r="F96" s="105" t="s">
        <v>746</v>
      </c>
      <c r="G96" s="70" t="s">
        <v>99</v>
      </c>
    </row>
  </sheetData>
  <mergeCells count="4">
    <mergeCell ref="A1:F1"/>
    <mergeCell ref="H4:AC4"/>
    <mergeCell ref="H1:I1"/>
    <mergeCell ref="H2:I2"/>
  </mergeCells>
  <phoneticPr fontId="0" type="noConversion"/>
  <conditionalFormatting sqref="B2">
    <cfRule type="expression" dxfId="56" priority="1345" stopIfTrue="1">
      <formula>$L2=1</formula>
    </cfRule>
    <cfRule type="expression" dxfId="55" priority="1346" stopIfTrue="1">
      <formula>$L$2=2</formula>
    </cfRule>
    <cfRule type="expression" dxfId="54" priority="1347" stopIfTrue="1">
      <formula>$L$2=3</formula>
    </cfRule>
  </conditionalFormatting>
  <conditionalFormatting sqref="A5:A96">
    <cfRule type="cellIs" dxfId="53" priority="1351" stopIfTrue="1" operator="equal">
      <formula>$D$2</formula>
    </cfRule>
  </conditionalFormatting>
  <conditionalFormatting sqref="B5:F96">
    <cfRule type="cellIs" dxfId="52" priority="1352" stopIfTrue="1" operator="equal">
      <formula>1</formula>
    </cfRule>
  </conditionalFormatting>
  <conditionalFormatting sqref="A2 K2 M2:P2">
    <cfRule type="cellIs" dxfId="51" priority="1353" stopIfTrue="1" operator="equal">
      <formula>"army"</formula>
    </cfRule>
    <cfRule type="cellIs" dxfId="50" priority="1354" stopIfTrue="1" operator="equal">
      <formula>"navy"</formula>
    </cfRule>
    <cfRule type="cellIs" dxfId="49" priority="1355" stopIfTrue="1" operator="equal">
      <formula>"marine corps"</formula>
    </cfRule>
  </conditionalFormatting>
  <conditionalFormatting sqref="H4">
    <cfRule type="expression" dxfId="48" priority="1356" stopIfTrue="1">
      <formula>$L2=2</formula>
    </cfRule>
  </conditionalFormatting>
  <conditionalFormatting sqref="C2:F2">
    <cfRule type="expression" dxfId="47" priority="1360" stopIfTrue="1">
      <formula>$L2=1</formula>
    </cfRule>
    <cfRule type="expression" dxfId="46" priority="1361" stopIfTrue="1">
      <formula>$L$2=2</formula>
    </cfRule>
    <cfRule type="expression" dxfId="45" priority="1362" stopIfTrue="1">
      <formula>$L$2=3</formula>
    </cfRule>
  </conditionalFormatting>
  <conditionalFormatting sqref="A1">
    <cfRule type="expression" dxfId="44" priority="4" stopIfTrue="1">
      <formula>$L$2=1</formula>
    </cfRule>
    <cfRule type="expression" dxfId="43" priority="5" stopIfTrue="1">
      <formula>$L$2=2</formula>
    </cfRule>
    <cfRule type="expression" dxfId="42" priority="6" stopIfTrue="1">
      <formula>$L$2=3</formula>
    </cfRule>
  </conditionalFormatting>
  <hyperlinks>
    <hyperlink ref="G51" location="'Inflation Table'!A5" display="Top"/>
    <hyperlink ref="G33" location="'Inflation Table'!A5" display="Top"/>
    <hyperlink ref="G15" location="'Inflation Table'!A5" display="Top"/>
    <hyperlink ref="G96" location="'Inflation Table'!A5" display="Top"/>
    <hyperlink ref="G73" location="'Inflation Table'!A5" display="Top"/>
    <hyperlink ref="H1:I1" location="Main!A1" display="Return to Main"/>
    <hyperlink ref="H2:I2" location="Query!A1" display="Go to Query"/>
  </hyperlinks>
  <pageMargins left="0.63" right="0.7" top="0.35" bottom="0.28999999999999998" header="0.35" footer="0.2"/>
  <pageSetup fitToHeight="2" orientation="portrait" horizontalDpi="300" verticalDpi="3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5" stopIfTrue="1" id="{293DA860-AF3E-4F22-B395-FC16DD98F3FD}">
            <xm:f>Query!$O$46=27</xm:f>
            <x14:dxf>
              <font>
                <color rgb="FFFF0000"/>
              </font>
            </x14:dxf>
          </x14:cfRule>
          <xm:sqref>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S316"/>
  <sheetViews>
    <sheetView showGridLines="0" showRowColHeaders="0" workbookViewId="0">
      <selection activeCell="Q18" sqref="Q18"/>
    </sheetView>
  </sheetViews>
  <sheetFormatPr defaultColWidth="9.140625" defaultRowHeight="12.75"/>
  <cols>
    <col min="1" max="1" width="12.140625" style="329" customWidth="1"/>
    <col min="2" max="3" width="9.140625" style="329"/>
    <col min="4" max="4" width="9.5703125" style="329" customWidth="1"/>
    <col min="5" max="5" width="10.28515625" style="329" customWidth="1"/>
    <col min="6" max="12" width="9.140625" style="329"/>
    <col min="13" max="13" width="9.140625" style="329" customWidth="1"/>
    <col min="14" max="16384" width="9.140625" style="329"/>
  </cols>
  <sheetData>
    <row r="2" spans="1:13" s="663" customFormat="1" ht="24" customHeight="1">
      <c r="A2" s="721" t="s">
        <v>713</v>
      </c>
      <c r="B2" s="722"/>
      <c r="C2" s="722"/>
      <c r="D2" s="722"/>
      <c r="E2" s="722"/>
      <c r="F2" s="722"/>
      <c r="G2" s="722"/>
      <c r="H2" s="722"/>
      <c r="I2" s="722"/>
      <c r="J2" s="722"/>
      <c r="K2" s="722"/>
      <c r="L2" s="722"/>
      <c r="M2" s="722"/>
    </row>
    <row r="3" spans="1:13" ht="15">
      <c r="B3" s="445"/>
      <c r="L3" s="725" t="s">
        <v>459</v>
      </c>
      <c r="M3" s="725"/>
    </row>
    <row r="4" spans="1:13" ht="15">
      <c r="B4" s="445"/>
      <c r="J4" s="523"/>
      <c r="K4" s="523"/>
    </row>
    <row r="5" spans="1:13" ht="15.75">
      <c r="B5" s="732" t="s">
        <v>596</v>
      </c>
      <c r="C5" s="733"/>
      <c r="D5" s="733"/>
      <c r="E5" s="733"/>
      <c r="F5" s="733"/>
      <c r="G5" s="733"/>
      <c r="H5" s="733"/>
      <c r="I5" s="733"/>
    </row>
    <row r="6" spans="1:13">
      <c r="B6" s="524"/>
    </row>
    <row r="7" spans="1:13">
      <c r="B7" s="525"/>
    </row>
    <row r="8" spans="1:13" ht="18">
      <c r="B8" s="526" t="s">
        <v>597</v>
      </c>
    </row>
    <row r="9" spans="1:13" ht="15.75">
      <c r="B9" s="732" t="s">
        <v>594</v>
      </c>
      <c r="C9" s="733"/>
      <c r="D9" s="733"/>
      <c r="E9" s="733"/>
      <c r="F9" s="733"/>
      <c r="G9" s="733"/>
      <c r="H9" s="733"/>
      <c r="I9" s="733"/>
    </row>
    <row r="10" spans="1:13" ht="15.75">
      <c r="B10" s="732" t="s">
        <v>598</v>
      </c>
      <c r="C10" s="733"/>
      <c r="D10" s="733"/>
      <c r="E10" s="733"/>
    </row>
    <row r="13" spans="1:13" ht="15">
      <c r="B13" s="527" t="s">
        <v>595</v>
      </c>
      <c r="K13" s="522"/>
    </row>
    <row r="14" spans="1:13">
      <c r="B14" s="734" t="s">
        <v>616</v>
      </c>
      <c r="C14" s="733"/>
      <c r="D14" s="733"/>
      <c r="E14" s="733"/>
      <c r="F14" s="733"/>
      <c r="G14" s="733"/>
      <c r="H14" s="733"/>
    </row>
    <row r="15" spans="1:13">
      <c r="B15" s="735" t="s">
        <v>705</v>
      </c>
      <c r="C15" s="733"/>
      <c r="D15" s="733"/>
      <c r="E15" s="733"/>
      <c r="F15" s="733"/>
    </row>
    <row r="17" spans="2:2" ht="15.75">
      <c r="B17" s="488" t="s">
        <v>602</v>
      </c>
    </row>
    <row r="18" spans="2:2" ht="15">
      <c r="B18" s="527"/>
    </row>
    <row r="19" spans="2:2" ht="15">
      <c r="B19" s="527"/>
    </row>
    <row r="20" spans="2:2" ht="15">
      <c r="B20" s="527"/>
    </row>
    <row r="21" spans="2:2" ht="15">
      <c r="B21" s="527"/>
    </row>
    <row r="22" spans="2:2" ht="15">
      <c r="B22" s="527"/>
    </row>
    <row r="23" spans="2:2" ht="14.25">
      <c r="B23" s="292" t="s">
        <v>543</v>
      </c>
    </row>
    <row r="24" spans="2:2" ht="14.25">
      <c r="B24" s="292" t="s">
        <v>604</v>
      </c>
    </row>
    <row r="25" spans="2:2" ht="14.25">
      <c r="B25" s="530" t="s">
        <v>564</v>
      </c>
    </row>
    <row r="26" spans="2:2" ht="14.25">
      <c r="B26" s="292"/>
    </row>
    <row r="27" spans="2:2" ht="14.25">
      <c r="B27" s="292" t="s">
        <v>544</v>
      </c>
    </row>
    <row r="28" spans="2:2" ht="15" customHeight="1"/>
    <row r="29" spans="2:2" ht="17.45" customHeight="1">
      <c r="B29" s="292" t="s">
        <v>698</v>
      </c>
    </row>
    <row r="30" spans="2:2" ht="14.25">
      <c r="B30" s="292" t="s">
        <v>545</v>
      </c>
    </row>
    <row r="31" spans="2:2" ht="14.25">
      <c r="B31" s="292" t="s">
        <v>546</v>
      </c>
    </row>
    <row r="46" spans="2:2" ht="15.75">
      <c r="B46" s="488" t="s">
        <v>630</v>
      </c>
    </row>
    <row r="47" spans="2:2" ht="15">
      <c r="B47" s="527" t="s">
        <v>599</v>
      </c>
    </row>
    <row r="48" spans="2:2" ht="15">
      <c r="B48" s="527" t="s">
        <v>608</v>
      </c>
    </row>
    <row r="49" spans="1:10" ht="15">
      <c r="B49" s="527" t="s">
        <v>632</v>
      </c>
    </row>
    <row r="50" spans="1:10" ht="15">
      <c r="B50" s="527" t="s">
        <v>617</v>
      </c>
    </row>
    <row r="51" spans="1:10" ht="15">
      <c r="B51" s="527" t="s">
        <v>618</v>
      </c>
    </row>
    <row r="52" spans="1:10" ht="15">
      <c r="B52" s="527" t="s">
        <v>619</v>
      </c>
    </row>
    <row r="53" spans="1:10" ht="15">
      <c r="B53" s="527" t="s">
        <v>620</v>
      </c>
    </row>
    <row r="55" spans="1:10" ht="15">
      <c r="B55" s="527" t="s">
        <v>611</v>
      </c>
    </row>
    <row r="56" spans="1:10" ht="15">
      <c r="B56" s="527" t="s">
        <v>600</v>
      </c>
    </row>
    <row r="57" spans="1:10">
      <c r="B57" s="482"/>
      <c r="C57" s="509"/>
      <c r="D57" s="349"/>
      <c r="E57" s="349"/>
      <c r="F57" s="349"/>
      <c r="G57" s="509"/>
    </row>
    <row r="58" spans="1:10" ht="24" customHeight="1">
      <c r="A58" s="532" t="s">
        <v>518</v>
      </c>
      <c r="B58" s="726" t="s">
        <v>159</v>
      </c>
      <c r="C58" s="727"/>
      <c r="D58" s="727"/>
      <c r="E58" s="727"/>
      <c r="F58" s="727"/>
      <c r="G58" s="727"/>
    </row>
    <row r="59" spans="1:10" ht="24" customHeight="1">
      <c r="B59" s="437" t="s">
        <v>537</v>
      </c>
      <c r="C59" s="438"/>
      <c r="D59" s="439" t="s">
        <v>88</v>
      </c>
      <c r="E59" s="440">
        <v>2014</v>
      </c>
      <c r="F59" s="441"/>
      <c r="G59" s="442">
        <v>41677.484085648146</v>
      </c>
      <c r="J59" s="292"/>
    </row>
    <row r="60" spans="1:10" ht="51">
      <c r="B60" s="447" t="s">
        <v>27</v>
      </c>
      <c r="C60" s="448" t="s">
        <v>107</v>
      </c>
      <c r="D60" s="447" t="s">
        <v>31</v>
      </c>
      <c r="E60" s="449" t="s">
        <v>30</v>
      </c>
      <c r="F60" s="449" t="s">
        <v>100</v>
      </c>
      <c r="G60" s="448" t="s">
        <v>108</v>
      </c>
    </row>
    <row r="61" spans="1:10">
      <c r="B61" s="49">
        <v>2005</v>
      </c>
      <c r="C61" s="53">
        <v>2.7999999999999997E-2</v>
      </c>
      <c r="D61" s="48">
        <v>0.84268318076096083</v>
      </c>
      <c r="E61" s="48">
        <v>0.87390763619895917</v>
      </c>
      <c r="F61" s="48">
        <v>0.84252052568776725</v>
      </c>
      <c r="G61" s="53">
        <v>2.8163860246301981E-2</v>
      </c>
    </row>
    <row r="62" spans="1:10">
      <c r="B62" s="49">
        <v>2006</v>
      </c>
      <c r="C62" s="53">
        <v>3.1E-2</v>
      </c>
      <c r="D62" s="48">
        <v>0.86880635936455053</v>
      </c>
      <c r="E62" s="48">
        <v>0.89814301271473962</v>
      </c>
      <c r="F62" s="48">
        <v>0.86588546875100381</v>
      </c>
      <c r="G62" s="53">
        <v>2.7732194469877465E-2</v>
      </c>
    </row>
    <row r="63" spans="1:10">
      <c r="B63" s="49">
        <v>2007</v>
      </c>
      <c r="C63" s="53">
        <v>2.7000000000000003E-2</v>
      </c>
      <c r="D63" s="48">
        <v>0.89226413106739344</v>
      </c>
      <c r="E63" s="48">
        <v>0.91908366121293028</v>
      </c>
      <c r="F63" s="48">
        <v>0.88607401665942565</v>
      </c>
      <c r="G63" s="53">
        <v>2.3315494527864987E-2</v>
      </c>
    </row>
    <row r="64" spans="1:10">
      <c r="B64" s="49">
        <v>2008</v>
      </c>
      <c r="C64" s="53">
        <v>2.4E-2</v>
      </c>
      <c r="D64" s="48">
        <v>0.91367847021301096</v>
      </c>
      <c r="E64" s="48">
        <v>0.93286938489037241</v>
      </c>
      <c r="F64" s="48">
        <v>0.89936461474851315</v>
      </c>
      <c r="G64" s="53">
        <v>1.4999421988689147E-2</v>
      </c>
    </row>
    <row r="65" spans="2:12">
      <c r="B65" s="55">
        <v>2009</v>
      </c>
      <c r="C65" s="53">
        <v>1.4999999999999999E-2</v>
      </c>
      <c r="D65" s="48">
        <v>0.92738364726620603</v>
      </c>
      <c r="E65" s="48">
        <v>0.94589034336842426</v>
      </c>
      <c r="F65" s="56">
        <v>0.91191791480846274</v>
      </c>
      <c r="G65" s="53">
        <v>1.3957965272471649E-2</v>
      </c>
    </row>
    <row r="66" spans="2:12">
      <c r="B66" s="55">
        <v>2010</v>
      </c>
      <c r="C66" s="53">
        <v>8.0000000000000002E-3</v>
      </c>
      <c r="D66" s="48">
        <v>0.93480271644433566</v>
      </c>
      <c r="E66" s="48">
        <v>0.9659797901425845</v>
      </c>
      <c r="F66" s="48">
        <v>0.93128583260188103</v>
      </c>
      <c r="G66" s="53">
        <v>2.1238663567089023E-2</v>
      </c>
    </row>
    <row r="67" spans="2:12">
      <c r="B67" s="49">
        <v>2011</v>
      </c>
      <c r="C67" s="53">
        <v>0.02</v>
      </c>
      <c r="D67" s="48">
        <v>0.95349877077322243</v>
      </c>
      <c r="E67" s="48">
        <v>0.98643361898787107</v>
      </c>
      <c r="F67" s="48">
        <v>0.95100504538506714</v>
      </c>
      <c r="G67" s="53">
        <v>2.1174178853439033E-2</v>
      </c>
    </row>
    <row r="68" spans="2:12">
      <c r="B68" s="49">
        <v>2012</v>
      </c>
      <c r="C68" s="53">
        <v>1.8000000000000002E-2</v>
      </c>
      <c r="D68" s="48">
        <v>0.97066174864714039</v>
      </c>
      <c r="E68" s="48">
        <v>1.0019986599562385</v>
      </c>
      <c r="F68" s="48">
        <v>0.96601105512318886</v>
      </c>
      <c r="G68" s="53">
        <v>1.5779106336965543E-2</v>
      </c>
    </row>
    <row r="69" spans="2:12">
      <c r="B69" s="49">
        <v>2013</v>
      </c>
      <c r="C69" s="53">
        <v>1.4999999999999999E-2</v>
      </c>
      <c r="D69" s="48">
        <v>0.98522167487684742</v>
      </c>
      <c r="E69" s="48">
        <v>1.0188544168049432</v>
      </c>
      <c r="F69" s="48">
        <v>0.98226142362071589</v>
      </c>
      <c r="G69" s="53">
        <v>1.6822135120860223E-2</v>
      </c>
    </row>
    <row r="70" spans="2:12">
      <c r="B70" s="49">
        <v>2014</v>
      </c>
      <c r="C70" s="53">
        <v>1.4999999999999999E-2</v>
      </c>
      <c r="D70" s="48">
        <v>1</v>
      </c>
      <c r="E70" s="48">
        <v>1.0372538229683721</v>
      </c>
      <c r="F70" s="48">
        <v>1</v>
      </c>
      <c r="G70" s="53">
        <v>1.8058915837189153E-2</v>
      </c>
    </row>
    <row r="71" spans="2:12">
      <c r="B71" s="49">
        <v>2015</v>
      </c>
      <c r="C71" s="53">
        <v>1.7000000000000001E-2</v>
      </c>
      <c r="D71" s="48">
        <v>1.0169999999999999</v>
      </c>
      <c r="E71" s="48">
        <v>1.0571962429203869</v>
      </c>
      <c r="F71" s="48">
        <v>1.0192261715603461</v>
      </c>
      <c r="G71" s="53">
        <v>1.9226171560346117E-2</v>
      </c>
    </row>
    <row r="72" spans="2:12">
      <c r="B72" s="49">
        <v>2016</v>
      </c>
      <c r="C72" s="53">
        <v>1.9E-2</v>
      </c>
      <c r="D72" s="48">
        <v>1.0363229999999999</v>
      </c>
      <c r="E72" s="48">
        <v>1.0781751840690137</v>
      </c>
      <c r="F72" s="48">
        <v>1.0394516368072131</v>
      </c>
      <c r="G72" s="53">
        <v>1.9843942209513275E-2</v>
      </c>
    </row>
    <row r="73" spans="2:12">
      <c r="B73" s="49">
        <v>2017</v>
      </c>
      <c r="C73" s="53">
        <v>0.02</v>
      </c>
      <c r="D73" s="48">
        <v>1.05704946</v>
      </c>
      <c r="E73" s="48">
        <v>1.0997386877503941</v>
      </c>
      <c r="F73" s="48">
        <v>1.0602406695433575</v>
      </c>
      <c r="G73" s="53">
        <v>2.0000000000000143E-2</v>
      </c>
    </row>
    <row r="74" spans="2:12" ht="12.75" customHeight="1">
      <c r="B74" s="49">
        <v>2018</v>
      </c>
      <c r="C74" s="53">
        <v>0.02</v>
      </c>
      <c r="D74" s="48">
        <v>1.0781904492000001</v>
      </c>
      <c r="E74" s="48">
        <v>1.1217334615054022</v>
      </c>
      <c r="F74" s="48">
        <v>1.0814454829342248</v>
      </c>
      <c r="G74" s="53">
        <v>2.0000000000000167E-2</v>
      </c>
    </row>
    <row r="75" spans="2:12" ht="12.75" customHeight="1">
      <c r="B75" s="49">
        <v>2019</v>
      </c>
      <c r="C75" s="53">
        <v>0.02</v>
      </c>
      <c r="D75" s="48">
        <v>1.0997542581839999</v>
      </c>
      <c r="E75" s="48">
        <v>1.14416813073551</v>
      </c>
      <c r="F75" s="48">
        <v>1.1030743925929092</v>
      </c>
      <c r="G75" s="53">
        <v>1.9999999999999872E-2</v>
      </c>
      <c r="H75" s="531"/>
      <c r="I75" s="531"/>
      <c r="J75" s="531"/>
      <c r="K75" s="531"/>
      <c r="L75" s="531"/>
    </row>
    <row r="76" spans="2:12" ht="12.75" customHeight="1">
      <c r="B76" s="49">
        <v>2020</v>
      </c>
      <c r="C76" s="53">
        <v>0.02</v>
      </c>
      <c r="D76" s="48">
        <v>1.12174934334768</v>
      </c>
      <c r="E76" s="48">
        <v>1.1670514933502203</v>
      </c>
      <c r="F76" s="48">
        <v>1.1251358804447675</v>
      </c>
      <c r="G76" s="53">
        <v>2.0000000000000153E-2</v>
      </c>
      <c r="H76" s="531"/>
      <c r="I76" s="531"/>
      <c r="J76" s="531"/>
      <c r="K76" s="531"/>
      <c r="L76" s="531"/>
    </row>
    <row r="77" spans="2:12" ht="12.75" customHeight="1">
      <c r="C77" s="68"/>
      <c r="D77" s="63"/>
      <c r="E77" s="63"/>
      <c r="F77" s="63"/>
      <c r="G77" s="68"/>
      <c r="H77" s="546"/>
      <c r="I77" s="546"/>
      <c r="J77" s="546"/>
      <c r="K77" s="546"/>
      <c r="L77" s="546"/>
    </row>
    <row r="78" spans="2:12" ht="18.75" customHeight="1">
      <c r="B78" s="529" t="s">
        <v>603</v>
      </c>
      <c r="C78" s="531"/>
      <c r="D78" s="531"/>
      <c r="E78" s="531"/>
      <c r="F78" s="531"/>
      <c r="G78" s="531"/>
      <c r="H78" s="531"/>
      <c r="I78" s="531"/>
      <c r="J78" s="531"/>
      <c r="K78" s="531"/>
      <c r="L78" s="531"/>
    </row>
    <row r="79" spans="2:12" ht="15" customHeight="1">
      <c r="B79" s="528" t="s">
        <v>517</v>
      </c>
      <c r="C79" s="531"/>
      <c r="D79" s="531"/>
      <c r="E79" s="531"/>
      <c r="F79" s="531"/>
      <c r="G79" s="531"/>
      <c r="H79" s="531"/>
      <c r="I79" s="531"/>
      <c r="J79" s="531"/>
      <c r="K79" s="531"/>
      <c r="L79" s="531"/>
    </row>
    <row r="80" spans="2:12" ht="14.25">
      <c r="B80" s="539" t="s">
        <v>621</v>
      </c>
    </row>
    <row r="81" spans="2:17" ht="14.25">
      <c r="B81" s="530" t="s">
        <v>536</v>
      </c>
      <c r="C81" s="292"/>
      <c r="D81" s="292"/>
      <c r="E81" s="292"/>
      <c r="F81" s="292"/>
    </row>
    <row r="82" spans="2:17" ht="14.25">
      <c r="C82" s="292"/>
      <c r="D82" s="292"/>
      <c r="E82" s="292"/>
      <c r="F82" s="292"/>
    </row>
    <row r="83" spans="2:17" ht="13.5" thickBot="1">
      <c r="B83" s="445" t="s">
        <v>31</v>
      </c>
    </row>
    <row r="84" spans="2:17" ht="13.5" thickBot="1">
      <c r="B84" s="459">
        <v>2005</v>
      </c>
      <c r="C84" s="460">
        <v>2006</v>
      </c>
      <c r="D84" s="460">
        <v>2007</v>
      </c>
      <c r="E84" s="460">
        <v>2008</v>
      </c>
      <c r="F84" s="460">
        <v>2009</v>
      </c>
      <c r="G84" s="460">
        <v>2010</v>
      </c>
      <c r="H84" s="460">
        <v>2011</v>
      </c>
      <c r="I84" s="460">
        <v>2012</v>
      </c>
      <c r="J84" s="460">
        <v>2013</v>
      </c>
      <c r="K84" s="460">
        <v>2014</v>
      </c>
      <c r="L84" s="461">
        <v>2015</v>
      </c>
    </row>
    <row r="85" spans="2:17">
      <c r="B85" s="369">
        <f>D61</f>
        <v>0.84268318076096083</v>
      </c>
      <c r="C85" s="369">
        <f>D62</f>
        <v>0.86880635936455053</v>
      </c>
      <c r="D85" s="369">
        <f>D63</f>
        <v>0.89226413106739344</v>
      </c>
      <c r="E85" s="369">
        <f>D64</f>
        <v>0.91367847021301096</v>
      </c>
      <c r="F85" s="369">
        <f>D65</f>
        <v>0.92738364726620603</v>
      </c>
      <c r="G85" s="369">
        <f>D66</f>
        <v>0.93480271644433566</v>
      </c>
      <c r="H85" s="369">
        <f>D67</f>
        <v>0.95349877077322243</v>
      </c>
      <c r="I85" s="369">
        <f>D68</f>
        <v>0.97066174864714039</v>
      </c>
      <c r="J85" s="369">
        <f>D69</f>
        <v>0.98522167487684742</v>
      </c>
      <c r="K85" s="462">
        <f>D70</f>
        <v>1</v>
      </c>
      <c r="L85" s="369">
        <f>D71</f>
        <v>1.0169999999999999</v>
      </c>
    </row>
    <row r="86" spans="2:17">
      <c r="B86" s="350"/>
      <c r="C86" s="350"/>
      <c r="D86" s="350"/>
      <c r="E86" s="350"/>
      <c r="F86" s="350"/>
      <c r="G86" s="350"/>
      <c r="H86" s="350"/>
      <c r="I86" s="350"/>
      <c r="J86" s="350"/>
      <c r="K86" s="350"/>
      <c r="L86" s="350"/>
    </row>
    <row r="87" spans="2:17">
      <c r="B87" s="455" t="s">
        <v>30</v>
      </c>
      <c r="C87" s="350"/>
      <c r="D87" s="350"/>
      <c r="E87" s="350"/>
      <c r="F87" s="350"/>
      <c r="G87" s="350"/>
      <c r="H87" s="350"/>
      <c r="I87" s="350"/>
      <c r="J87" s="350"/>
      <c r="K87" s="350"/>
      <c r="L87" s="350"/>
    </row>
    <row r="88" spans="2:17">
      <c r="B88" s="456">
        <f>E61</f>
        <v>0.87390763619895917</v>
      </c>
      <c r="C88" s="456">
        <f>E62</f>
        <v>0.89814301271473962</v>
      </c>
      <c r="D88" s="456">
        <f>E63</f>
        <v>0.91908366121293028</v>
      </c>
      <c r="E88" s="456">
        <f>E64</f>
        <v>0.93286938489037241</v>
      </c>
      <c r="F88" s="456">
        <f>E65</f>
        <v>0.94589034336842426</v>
      </c>
      <c r="G88" s="456">
        <f>E66</f>
        <v>0.9659797901425845</v>
      </c>
      <c r="H88" s="456">
        <f>E67</f>
        <v>0.98643361898787107</v>
      </c>
      <c r="I88" s="456">
        <f>E68</f>
        <v>1.0019986599562385</v>
      </c>
      <c r="J88" s="456">
        <f>E69</f>
        <v>1.0188544168049432</v>
      </c>
      <c r="K88" s="456">
        <f>E70</f>
        <v>1.0372538229683721</v>
      </c>
      <c r="L88" s="456">
        <f>E71</f>
        <v>1.0571962429203869</v>
      </c>
    </row>
    <row r="89" spans="2:17">
      <c r="B89" s="457"/>
      <c r="C89" s="457"/>
      <c r="D89" s="457"/>
      <c r="E89" s="457"/>
      <c r="F89" s="457"/>
      <c r="G89" s="457"/>
      <c r="H89" s="457"/>
      <c r="I89" s="457"/>
      <c r="J89" s="457"/>
      <c r="K89" s="457"/>
      <c r="L89" s="457"/>
    </row>
    <row r="90" spans="2:17">
      <c r="B90" s="458" t="s">
        <v>100</v>
      </c>
      <c r="C90" s="457"/>
      <c r="D90" s="457"/>
      <c r="E90" s="457"/>
      <c r="F90" s="457"/>
      <c r="G90" s="457"/>
      <c r="H90" s="457"/>
      <c r="I90" s="457"/>
      <c r="J90" s="457"/>
      <c r="K90" s="457"/>
      <c r="L90" s="457"/>
    </row>
    <row r="91" spans="2:17">
      <c r="B91" s="456">
        <f>F61</f>
        <v>0.84252052568776725</v>
      </c>
      <c r="C91" s="456">
        <f>F62</f>
        <v>0.86588546875100381</v>
      </c>
      <c r="D91" s="456">
        <f>F63</f>
        <v>0.88607401665942565</v>
      </c>
      <c r="E91" s="456">
        <f>F64</f>
        <v>0.89936461474851315</v>
      </c>
      <c r="F91" s="456">
        <f>F65</f>
        <v>0.91191791480846274</v>
      </c>
      <c r="G91" s="456">
        <f>F66</f>
        <v>0.93128583260188103</v>
      </c>
      <c r="H91" s="456">
        <f>F67</f>
        <v>0.95100504538506714</v>
      </c>
      <c r="I91" s="456">
        <f>F68</f>
        <v>0.96601105512318886</v>
      </c>
      <c r="J91" s="456">
        <f>F69</f>
        <v>0.98226142362071589</v>
      </c>
      <c r="K91" s="443">
        <f>F70</f>
        <v>1</v>
      </c>
      <c r="L91" s="456">
        <f>F71</f>
        <v>1.0192261715603461</v>
      </c>
    </row>
    <row r="93" spans="2:17" ht="15.75">
      <c r="B93" s="488" t="s">
        <v>715</v>
      </c>
    </row>
    <row r="94" spans="2:17">
      <c r="B94" s="445"/>
    </row>
    <row r="95" spans="2:17">
      <c r="B95" s="445" t="s">
        <v>614</v>
      </c>
    </row>
    <row r="96" spans="2:17">
      <c r="B96" s="463">
        <v>2005</v>
      </c>
      <c r="C96" s="463">
        <v>2006</v>
      </c>
      <c r="D96" s="463">
        <v>2007</v>
      </c>
      <c r="E96" s="463">
        <v>2008</v>
      </c>
      <c r="F96" s="463">
        <v>2009</v>
      </c>
      <c r="G96" s="463">
        <v>2010</v>
      </c>
      <c r="H96" s="463">
        <v>2011</v>
      </c>
      <c r="I96" s="463">
        <v>2012</v>
      </c>
      <c r="J96" s="463">
        <v>2013</v>
      </c>
      <c r="K96" s="463">
        <v>2014</v>
      </c>
      <c r="L96" s="463">
        <v>2015</v>
      </c>
      <c r="M96" s="454"/>
      <c r="N96" s="454"/>
      <c r="O96" s="454"/>
      <c r="P96" s="454"/>
      <c r="Q96" s="454"/>
    </row>
    <row r="97" spans="1:17">
      <c r="A97" s="445" t="s">
        <v>549</v>
      </c>
      <c r="B97" s="450">
        <v>100000</v>
      </c>
      <c r="C97" s="450">
        <v>110000</v>
      </c>
      <c r="D97" s="450">
        <v>120000</v>
      </c>
      <c r="E97" s="450">
        <v>130000</v>
      </c>
      <c r="F97" s="450">
        <v>140000</v>
      </c>
      <c r="G97" s="450">
        <v>150000</v>
      </c>
      <c r="H97" s="450">
        <v>160000</v>
      </c>
      <c r="I97" s="450">
        <v>170000</v>
      </c>
      <c r="J97" s="450">
        <v>180000</v>
      </c>
      <c r="K97" s="450">
        <v>190000</v>
      </c>
      <c r="L97" s="450">
        <v>200000</v>
      </c>
    </row>
    <row r="99" spans="1:17">
      <c r="B99" s="728" t="s">
        <v>657</v>
      </c>
      <c r="C99" s="729"/>
      <c r="D99" s="729"/>
      <c r="E99" s="729"/>
      <c r="F99" s="729"/>
      <c r="G99" s="729"/>
      <c r="H99" s="729"/>
      <c r="I99" s="729"/>
      <c r="J99" s="729"/>
      <c r="K99" s="729"/>
      <c r="L99" s="729"/>
      <c r="P99" s="482"/>
    </row>
    <row r="100" spans="1:17" ht="30.75" customHeight="1">
      <c r="B100" s="729"/>
      <c r="C100" s="729"/>
      <c r="D100" s="729"/>
      <c r="E100" s="729"/>
      <c r="F100" s="729"/>
      <c r="G100" s="729"/>
      <c r="H100" s="729"/>
      <c r="I100" s="729"/>
      <c r="J100" s="729"/>
      <c r="K100" s="729"/>
      <c r="L100" s="729"/>
      <c r="M100" s="454"/>
      <c r="N100" s="454"/>
      <c r="O100" s="454"/>
      <c r="P100" s="454"/>
      <c r="Q100" s="454"/>
    </row>
    <row r="101" spans="1:17">
      <c r="A101" s="445" t="s">
        <v>550</v>
      </c>
      <c r="B101" s="450">
        <f t="shared" ref="B101:L101" si="0">B97/$I$85</f>
        <v>103022.49999999999</v>
      </c>
      <c r="C101" s="450">
        <f t="shared" si="0"/>
        <v>113324.74999999997</v>
      </c>
      <c r="D101" s="450">
        <f t="shared" si="0"/>
        <v>123626.99999999997</v>
      </c>
      <c r="E101" s="450">
        <f t="shared" si="0"/>
        <v>133929.24999999997</v>
      </c>
      <c r="F101" s="450">
        <f t="shared" si="0"/>
        <v>144231.49999999997</v>
      </c>
      <c r="G101" s="450">
        <f t="shared" si="0"/>
        <v>154533.74999999997</v>
      </c>
      <c r="H101" s="450">
        <f t="shared" si="0"/>
        <v>164835.99999999997</v>
      </c>
      <c r="I101" s="450">
        <f t="shared" si="0"/>
        <v>175138.24999999997</v>
      </c>
      <c r="J101" s="450">
        <f t="shared" si="0"/>
        <v>185440.49999999997</v>
      </c>
      <c r="K101" s="450">
        <f t="shared" si="0"/>
        <v>195742.74999999997</v>
      </c>
      <c r="L101" s="450">
        <f t="shared" si="0"/>
        <v>206044.99999999997</v>
      </c>
    </row>
    <row r="102" spans="1:17">
      <c r="A102" s="445"/>
      <c r="B102" s="484" t="s">
        <v>601</v>
      </c>
      <c r="C102" s="482"/>
      <c r="D102" s="482"/>
      <c r="E102" s="482"/>
      <c r="F102" s="482"/>
      <c r="G102" s="482"/>
      <c r="H102" s="482"/>
      <c r="I102" s="482"/>
      <c r="J102" s="482"/>
      <c r="K102" s="482"/>
      <c r="L102" s="482"/>
    </row>
    <row r="103" spans="1:17">
      <c r="B103" s="445"/>
    </row>
    <row r="104" spans="1:17">
      <c r="B104" s="728" t="s">
        <v>622</v>
      </c>
      <c r="C104" s="729"/>
      <c r="D104" s="729"/>
      <c r="E104" s="729"/>
      <c r="F104" s="729"/>
      <c r="G104" s="729"/>
      <c r="H104" s="729"/>
      <c r="I104" s="729"/>
      <c r="J104" s="729"/>
      <c r="K104" s="729"/>
      <c r="L104" s="729"/>
    </row>
    <row r="105" spans="1:17" ht="35.25" customHeight="1">
      <c r="B105" s="729"/>
      <c r="C105" s="729"/>
      <c r="D105" s="729"/>
      <c r="E105" s="729"/>
      <c r="F105" s="729"/>
      <c r="G105" s="729"/>
      <c r="H105" s="729"/>
      <c r="I105" s="729"/>
      <c r="J105" s="729"/>
      <c r="K105" s="729"/>
      <c r="L105" s="729"/>
      <c r="M105" s="454"/>
      <c r="N105" s="454"/>
      <c r="O105" s="454"/>
      <c r="P105" s="454"/>
      <c r="Q105" s="454"/>
    </row>
    <row r="106" spans="1:17">
      <c r="A106" s="445" t="s">
        <v>551</v>
      </c>
      <c r="B106" s="450">
        <f t="shared" ref="B106:L106" si="1">B101*B88</f>
        <v>90032.149450307261</v>
      </c>
      <c r="C106" s="450">
        <f t="shared" si="1"/>
        <v>101781.83238014467</v>
      </c>
      <c r="D106" s="450">
        <f t="shared" si="1"/>
        <v>113623.5557847709</v>
      </c>
      <c r="E106" s="450">
        <f t="shared" si="1"/>
        <v>124938.49706632888</v>
      </c>
      <c r="F106" s="450">
        <f t="shared" si="1"/>
        <v>136427.18305954285</v>
      </c>
      <c r="G106" s="450">
        <f t="shared" si="1"/>
        <v>149276.4793949466</v>
      </c>
      <c r="H106" s="450">
        <f t="shared" si="1"/>
        <v>162599.77201948469</v>
      </c>
      <c r="I106" s="450">
        <f t="shared" si="1"/>
        <v>175488.29180708065</v>
      </c>
      <c r="J106" s="450">
        <f t="shared" si="1"/>
        <v>188936.87247951704</v>
      </c>
      <c r="K106" s="450">
        <f t="shared" si="1"/>
        <v>203034.91575584229</v>
      </c>
      <c r="L106" s="450">
        <f t="shared" si="1"/>
        <v>217829.9998725311</v>
      </c>
    </row>
    <row r="107" spans="1:17" ht="16.5" customHeight="1">
      <c r="A107" s="445"/>
      <c r="B107" s="482"/>
      <c r="C107" s="482"/>
      <c r="D107" s="482"/>
      <c r="E107" s="482"/>
      <c r="F107" s="482"/>
      <c r="G107" s="482"/>
      <c r="H107" s="482"/>
      <c r="I107" s="482"/>
      <c r="J107" s="482"/>
      <c r="K107" s="482"/>
      <c r="L107" s="482"/>
    </row>
    <row r="108" spans="1:17" ht="13.5" customHeight="1">
      <c r="B108" s="488" t="s">
        <v>623</v>
      </c>
    </row>
    <row r="109" spans="1:17" ht="14.25" customHeight="1">
      <c r="B109" s="292"/>
    </row>
    <row r="110" spans="1:17" ht="21" customHeight="1">
      <c r="B110" s="292"/>
    </row>
    <row r="111" spans="1:17" ht="18" customHeight="1">
      <c r="A111" s="445" t="s">
        <v>550</v>
      </c>
      <c r="B111" s="513">
        <f>B106/B88</f>
        <v>103022.49999999999</v>
      </c>
      <c r="C111" s="513">
        <f t="shared" ref="C111:L111" si="2">C106/C88</f>
        <v>113324.74999999997</v>
      </c>
      <c r="D111" s="513">
        <f t="shared" si="2"/>
        <v>123626.99999999997</v>
      </c>
      <c r="E111" s="513">
        <f t="shared" si="2"/>
        <v>133929.24999999997</v>
      </c>
      <c r="F111" s="513">
        <f t="shared" si="2"/>
        <v>144231.49999999997</v>
      </c>
      <c r="G111" s="513">
        <f t="shared" si="2"/>
        <v>154533.74999999997</v>
      </c>
      <c r="H111" s="513">
        <f t="shared" si="2"/>
        <v>164835.99999999997</v>
      </c>
      <c r="I111" s="513">
        <f t="shared" si="2"/>
        <v>175138.24999999997</v>
      </c>
      <c r="J111" s="513">
        <f t="shared" si="2"/>
        <v>185440.49999999997</v>
      </c>
      <c r="K111" s="513">
        <f t="shared" si="2"/>
        <v>195742.74999999997</v>
      </c>
      <c r="L111" s="513">
        <f t="shared" si="2"/>
        <v>206044.99999999997</v>
      </c>
    </row>
    <row r="112" spans="1:17">
      <c r="B112" s="445"/>
    </row>
    <row r="114" spans="2:11">
      <c r="B114" s="453"/>
    </row>
    <row r="115" spans="2:11">
      <c r="B115" s="453"/>
    </row>
    <row r="116" spans="2:11">
      <c r="B116" s="445"/>
    </row>
    <row r="117" spans="2:11">
      <c r="B117" s="445"/>
    </row>
    <row r="125" spans="2:11" ht="13.5" thickBot="1"/>
    <row r="126" spans="2:11">
      <c r="D126" s="496" t="s">
        <v>556</v>
      </c>
      <c r="E126" s="497" t="s">
        <v>605</v>
      </c>
      <c r="F126" s="498"/>
      <c r="G126" s="499" t="s">
        <v>557</v>
      </c>
      <c r="H126" s="499" t="s">
        <v>606</v>
      </c>
      <c r="I126" s="498"/>
      <c r="J126" s="500" t="s">
        <v>560</v>
      </c>
      <c r="K126" s="482"/>
    </row>
    <row r="127" spans="2:11">
      <c r="B127" s="482"/>
      <c r="D127" s="501">
        <f>C106</f>
        <v>101781.83238014467</v>
      </c>
      <c r="E127" s="494">
        <f>C88</f>
        <v>0.89814301271473962</v>
      </c>
      <c r="F127" s="493" t="s">
        <v>558</v>
      </c>
      <c r="G127" s="482">
        <f>D127/E127</f>
        <v>113324.74999999997</v>
      </c>
      <c r="H127" s="495">
        <f>E88</f>
        <v>0.93286938489037241</v>
      </c>
      <c r="I127" s="493" t="s">
        <v>559</v>
      </c>
      <c r="J127" s="502">
        <f>G127*H127</f>
        <v>105717.18982535521</v>
      </c>
      <c r="K127" s="482"/>
    </row>
    <row r="128" spans="2:11">
      <c r="B128" s="482"/>
      <c r="D128" s="503"/>
      <c r="E128" s="482"/>
      <c r="F128" s="730" t="s">
        <v>607</v>
      </c>
      <c r="G128" s="731"/>
      <c r="H128" s="482"/>
      <c r="I128" s="482"/>
      <c r="J128" s="504"/>
      <c r="K128" s="482"/>
    </row>
    <row r="129" spans="1:19">
      <c r="B129" s="482"/>
      <c r="D129" s="503"/>
      <c r="E129" s="482"/>
      <c r="F129" s="482"/>
      <c r="G129" s="493" t="s">
        <v>561</v>
      </c>
      <c r="H129" s="508"/>
      <c r="I129" s="508"/>
      <c r="J129" s="504">
        <f>C106*(E88/C88)</f>
        <v>105717.18982535522</v>
      </c>
      <c r="K129" s="482"/>
    </row>
    <row r="130" spans="1:19" ht="13.5" thickBot="1">
      <c r="A130" s="435" t="s">
        <v>518</v>
      </c>
      <c r="D130" s="505"/>
      <c r="E130" s="506"/>
      <c r="F130" s="506"/>
      <c r="G130" s="506"/>
      <c r="H130" s="506"/>
      <c r="I130" s="506"/>
      <c r="J130" s="507"/>
    </row>
    <row r="132" spans="1:19" ht="15">
      <c r="B132" s="622" t="s">
        <v>706</v>
      </c>
    </row>
    <row r="135" spans="1:19" ht="15">
      <c r="B135" s="534" t="s">
        <v>609</v>
      </c>
    </row>
    <row r="136" spans="1:19" ht="14.25">
      <c r="B136" s="530" t="s">
        <v>67</v>
      </c>
      <c r="D136" s="511">
        <v>2014</v>
      </c>
      <c r="E136" s="511">
        <v>2015</v>
      </c>
      <c r="F136" s="511">
        <v>2016</v>
      </c>
      <c r="G136" s="511">
        <v>2017</v>
      </c>
      <c r="H136" s="511">
        <v>2018</v>
      </c>
      <c r="I136" s="511">
        <v>2019</v>
      </c>
      <c r="J136" s="511">
        <v>2020</v>
      </c>
      <c r="M136" s="482"/>
      <c r="N136" s="482"/>
      <c r="O136" s="482"/>
      <c r="P136" s="482"/>
      <c r="Q136" s="482"/>
      <c r="R136" s="482"/>
      <c r="S136" s="482"/>
    </row>
    <row r="137" spans="1:19" ht="14.25">
      <c r="B137" s="530" t="s">
        <v>566</v>
      </c>
      <c r="D137" s="451">
        <f>E70</f>
        <v>1.0372538229683721</v>
      </c>
      <c r="E137" s="451">
        <f>E71</f>
        <v>1.0571962429203869</v>
      </c>
      <c r="F137" s="48">
        <f>E72</f>
        <v>1.0781751840690137</v>
      </c>
      <c r="G137" s="48">
        <f>E73</f>
        <v>1.0997386877503941</v>
      </c>
      <c r="H137" s="48">
        <f>E74</f>
        <v>1.1217334615054022</v>
      </c>
      <c r="I137" s="48">
        <f>E75</f>
        <v>1.14416813073551</v>
      </c>
      <c r="J137" s="48">
        <f>E76</f>
        <v>1.1670514933502203</v>
      </c>
      <c r="M137" s="349"/>
      <c r="N137" s="349"/>
      <c r="O137" s="457"/>
      <c r="P137" s="457"/>
      <c r="Q137" s="457"/>
      <c r="R137" s="457"/>
      <c r="S137" s="457"/>
    </row>
    <row r="138" spans="1:19">
      <c r="B138" s="510"/>
      <c r="D138" s="350"/>
      <c r="E138" s="350"/>
      <c r="F138" s="350"/>
      <c r="G138" s="350"/>
      <c r="H138" s="350"/>
      <c r="I138" s="350"/>
      <c r="J138" s="350"/>
      <c r="M138" s="349"/>
      <c r="N138" s="349"/>
      <c r="O138" s="457"/>
      <c r="P138" s="457"/>
      <c r="Q138" s="457"/>
      <c r="R138" s="457"/>
      <c r="S138" s="457"/>
    </row>
    <row r="139" spans="1:19">
      <c r="I139" s="489"/>
      <c r="J139" s="489"/>
      <c r="K139" s="489"/>
      <c r="L139" s="489"/>
    </row>
    <row r="140" spans="1:19">
      <c r="D140" s="511">
        <v>2014</v>
      </c>
      <c r="E140" s="511">
        <v>2015</v>
      </c>
      <c r="F140" s="511">
        <v>2016</v>
      </c>
      <c r="G140" s="511">
        <v>2017</v>
      </c>
      <c r="H140" s="511">
        <v>2018</v>
      </c>
      <c r="I140" s="511">
        <v>2019</v>
      </c>
      <c r="J140" s="511">
        <v>2020</v>
      </c>
      <c r="K140" s="482"/>
      <c r="L140" s="482"/>
    </row>
    <row r="141" spans="1:19" ht="15">
      <c r="B141" s="528" t="s">
        <v>562</v>
      </c>
      <c r="D141" s="66">
        <v>100000</v>
      </c>
      <c r="E141" s="66">
        <v>110000</v>
      </c>
      <c r="F141" s="66">
        <v>120000</v>
      </c>
      <c r="G141" s="66">
        <v>130000</v>
      </c>
      <c r="H141" s="66">
        <v>140000</v>
      </c>
      <c r="I141" s="66">
        <v>150000</v>
      </c>
      <c r="J141" s="66">
        <v>0</v>
      </c>
    </row>
    <row r="142" spans="1:19">
      <c r="B142" s="445"/>
      <c r="D142" s="44"/>
      <c r="E142" s="44"/>
      <c r="F142" s="44"/>
      <c r="G142" s="44"/>
      <c r="H142" s="44"/>
      <c r="I142" s="44"/>
      <c r="J142" s="44"/>
    </row>
    <row r="143" spans="1:19" ht="14.25">
      <c r="B143" s="530" t="s">
        <v>565</v>
      </c>
    </row>
    <row r="144" spans="1:19" ht="15">
      <c r="B144" s="528" t="s">
        <v>567</v>
      </c>
      <c r="D144" s="450">
        <f t="shared" ref="D144:I144" si="3">D141/D137</f>
        <v>96408.41786808164</v>
      </c>
      <c r="E144" s="450">
        <f t="shared" si="3"/>
        <v>104048.79958345032</v>
      </c>
      <c r="F144" s="450">
        <f t="shared" si="3"/>
        <v>111299.16712340027</v>
      </c>
      <c r="G144" s="450">
        <f t="shared" si="3"/>
        <v>118209.89972256563</v>
      </c>
      <c r="H144" s="450">
        <f t="shared" si="3"/>
        <v>124806.83228626836</v>
      </c>
      <c r="I144" s="450">
        <f t="shared" si="3"/>
        <v>131099.61374608023</v>
      </c>
      <c r="J144" s="450">
        <f>J141/J137</f>
        <v>0</v>
      </c>
    </row>
    <row r="145" spans="2:18">
      <c r="B145" s="445"/>
      <c r="D145" s="482"/>
      <c r="E145" s="482"/>
      <c r="F145" s="482"/>
      <c r="G145" s="482"/>
      <c r="H145" s="482"/>
      <c r="I145" s="482"/>
      <c r="J145" s="482"/>
    </row>
    <row r="146" spans="2:18" ht="14.25">
      <c r="B146" s="530" t="s">
        <v>568</v>
      </c>
      <c r="D146" s="482"/>
      <c r="E146" s="482"/>
      <c r="F146" s="482"/>
      <c r="G146" s="482"/>
      <c r="H146" s="482"/>
      <c r="I146" s="482"/>
      <c r="J146" s="482"/>
    </row>
    <row r="147" spans="2:18" ht="15">
      <c r="B147" s="528" t="s">
        <v>569</v>
      </c>
      <c r="D147" s="450">
        <v>0</v>
      </c>
      <c r="E147" s="450">
        <f t="shared" ref="E147:J147" si="4">D144*E137</f>
        <v>101922.61715603461</v>
      </c>
      <c r="F147" s="450">
        <f t="shared" si="4"/>
        <v>112182.83364304647</v>
      </c>
      <c r="G147" s="450">
        <f t="shared" si="4"/>
        <v>122400.00000000001</v>
      </c>
      <c r="H147" s="450">
        <f t="shared" si="4"/>
        <v>132600.00000000003</v>
      </c>
      <c r="I147" s="450">
        <f t="shared" si="4"/>
        <v>142799.99999999997</v>
      </c>
      <c r="J147" s="450">
        <f t="shared" si="4"/>
        <v>153000</v>
      </c>
    </row>
    <row r="148" spans="2:18">
      <c r="B148" s="446"/>
      <c r="D148" s="482"/>
      <c r="E148" s="482"/>
      <c r="F148" s="482"/>
      <c r="G148" s="482"/>
      <c r="H148" s="482"/>
      <c r="I148" s="482"/>
      <c r="J148" s="482"/>
    </row>
    <row r="149" spans="2:18">
      <c r="B149" s="446" t="s">
        <v>570</v>
      </c>
    </row>
    <row r="150" spans="2:18">
      <c r="N150" s="329" t="s">
        <v>554</v>
      </c>
    </row>
    <row r="151" spans="2:18" ht="14.25">
      <c r="B151" s="533" t="s">
        <v>571</v>
      </c>
    </row>
    <row r="152" spans="2:18">
      <c r="B152" s="510"/>
    </row>
    <row r="153" spans="2:18">
      <c r="B153" s="510"/>
    </row>
    <row r="158" spans="2:18">
      <c r="B158" s="723"/>
      <c r="C158" s="724"/>
      <c r="D158" s="724"/>
      <c r="E158" s="724"/>
      <c r="F158" s="724"/>
      <c r="G158" s="724"/>
      <c r="H158" s="724"/>
      <c r="I158" s="724"/>
      <c r="J158" s="724"/>
      <c r="K158" s="724"/>
      <c r="L158" s="724"/>
      <c r="M158" s="724"/>
      <c r="N158" s="724"/>
      <c r="O158" s="724"/>
      <c r="P158" s="724"/>
      <c r="Q158" s="724"/>
      <c r="R158" s="724"/>
    </row>
    <row r="159" spans="2:18">
      <c r="B159" s="724"/>
      <c r="C159" s="724"/>
      <c r="D159" s="724"/>
      <c r="E159" s="724"/>
      <c r="F159" s="724"/>
      <c r="G159" s="724"/>
      <c r="H159" s="724"/>
      <c r="I159" s="724"/>
      <c r="J159" s="724"/>
      <c r="K159" s="724"/>
      <c r="L159" s="724"/>
      <c r="M159" s="724"/>
      <c r="N159" s="724"/>
      <c r="O159" s="724"/>
      <c r="P159" s="724"/>
      <c r="Q159" s="724"/>
      <c r="R159" s="724"/>
    </row>
    <row r="160" spans="2:18">
      <c r="B160" s="724"/>
      <c r="C160" s="724"/>
      <c r="D160" s="724"/>
      <c r="E160" s="724"/>
      <c r="F160" s="724"/>
      <c r="G160" s="724"/>
      <c r="H160" s="724"/>
      <c r="I160" s="724"/>
      <c r="J160" s="724"/>
      <c r="K160" s="724"/>
      <c r="L160" s="724"/>
      <c r="M160" s="724"/>
      <c r="N160" s="724"/>
      <c r="O160" s="724"/>
      <c r="P160" s="724"/>
      <c r="Q160" s="724"/>
      <c r="R160" s="724"/>
    </row>
    <row r="161" spans="2:18">
      <c r="B161" s="724"/>
      <c r="C161" s="724"/>
      <c r="D161" s="724"/>
      <c r="E161" s="724"/>
      <c r="F161" s="724"/>
      <c r="G161" s="724"/>
      <c r="H161" s="724"/>
      <c r="I161" s="724"/>
      <c r="J161" s="724"/>
      <c r="K161" s="724"/>
      <c r="L161" s="724"/>
      <c r="M161" s="724"/>
      <c r="N161" s="724"/>
      <c r="O161" s="724"/>
      <c r="P161" s="724"/>
      <c r="Q161" s="724"/>
      <c r="R161" s="724"/>
    </row>
    <row r="164" spans="2:18" ht="13.5" thickBot="1"/>
    <row r="165" spans="2:18">
      <c r="C165" s="515" t="s">
        <v>577</v>
      </c>
      <c r="D165" s="498"/>
      <c r="E165" s="498"/>
      <c r="F165" s="498"/>
      <c r="G165" s="498"/>
      <c r="H165" s="498"/>
      <c r="I165" s="498"/>
      <c r="J165" s="498"/>
      <c r="K165" s="516"/>
    </row>
    <row r="166" spans="2:18">
      <c r="C166" s="503"/>
      <c r="D166" s="482"/>
      <c r="E166" s="482"/>
      <c r="F166" s="482"/>
      <c r="G166" s="482"/>
      <c r="H166" s="482"/>
      <c r="I166" s="482"/>
      <c r="J166" s="482"/>
      <c r="K166" s="504"/>
    </row>
    <row r="167" spans="2:18">
      <c r="C167" s="501" t="s">
        <v>573</v>
      </c>
      <c r="D167" s="489" t="s">
        <v>574</v>
      </c>
      <c r="E167" s="493" t="s">
        <v>578</v>
      </c>
      <c r="F167" s="482"/>
      <c r="G167" s="482"/>
      <c r="H167" s="489"/>
      <c r="I167" s="493" t="s">
        <v>579</v>
      </c>
      <c r="J167" s="493" t="s">
        <v>574</v>
      </c>
      <c r="K167" s="517" t="s">
        <v>573</v>
      </c>
    </row>
    <row r="168" spans="2:18">
      <c r="C168" s="501">
        <v>100000</v>
      </c>
      <c r="D168" s="495">
        <f>F62</f>
        <v>0.86588546875100381</v>
      </c>
      <c r="E168" s="518">
        <f>C168*D168</f>
        <v>86588.546875100379</v>
      </c>
      <c r="F168" s="484" t="s">
        <v>556</v>
      </c>
      <c r="G168" s="482"/>
      <c r="H168" s="493" t="s">
        <v>580</v>
      </c>
      <c r="I168" s="489">
        <v>180000</v>
      </c>
      <c r="J168" s="495">
        <f>F63</f>
        <v>0.88607401665942565</v>
      </c>
      <c r="K168" s="502">
        <f>I168/J168</f>
        <v>203143.30023874901</v>
      </c>
    </row>
    <row r="169" spans="2:18">
      <c r="C169" s="501">
        <v>125000</v>
      </c>
      <c r="D169" s="495">
        <f>F66</f>
        <v>0.93128583260188103</v>
      </c>
      <c r="E169" s="518">
        <f>C169*D169</f>
        <v>116410.72907523513</v>
      </c>
      <c r="F169" s="484" t="s">
        <v>575</v>
      </c>
      <c r="G169" s="482"/>
      <c r="H169" s="493" t="s">
        <v>581</v>
      </c>
      <c r="I169" s="489">
        <v>220000</v>
      </c>
      <c r="J169" s="495">
        <f>F67</f>
        <v>0.95100504538506714</v>
      </c>
      <c r="K169" s="502">
        <f>I169/J169</f>
        <v>231334.20907448581</v>
      </c>
    </row>
    <row r="170" spans="2:18">
      <c r="C170" s="501">
        <v>133000</v>
      </c>
      <c r="D170" s="495">
        <f>F72</f>
        <v>1.0394516368072131</v>
      </c>
      <c r="E170" s="518">
        <f>C170*D170</f>
        <v>138247.06769535935</v>
      </c>
      <c r="F170" s="484" t="s">
        <v>576</v>
      </c>
      <c r="G170" s="482"/>
      <c r="H170" s="493" t="s">
        <v>582</v>
      </c>
      <c r="I170" s="489">
        <v>130000</v>
      </c>
      <c r="J170" s="495">
        <f>F71</f>
        <v>1.0192261715603461</v>
      </c>
      <c r="K170" s="502">
        <f>I170/J170</f>
        <v>127547.74516924086</v>
      </c>
    </row>
    <row r="171" spans="2:18">
      <c r="C171" s="519" t="s">
        <v>584</v>
      </c>
      <c r="D171" s="482"/>
      <c r="E171" s="482"/>
      <c r="F171" s="482"/>
      <c r="G171" s="482"/>
      <c r="H171" s="520" t="s">
        <v>583</v>
      </c>
      <c r="I171" s="482"/>
      <c r="J171" s="482"/>
      <c r="K171" s="504"/>
    </row>
    <row r="172" spans="2:18" ht="13.5" thickBot="1">
      <c r="C172" s="505"/>
      <c r="D172" s="506"/>
      <c r="E172" s="506"/>
      <c r="F172" s="506"/>
      <c r="G172" s="506"/>
      <c r="H172" s="506"/>
      <c r="I172" s="506"/>
      <c r="J172" s="506"/>
      <c r="K172" s="507"/>
    </row>
    <row r="176" spans="2:18" ht="14.25">
      <c r="B176" s="535" t="s">
        <v>585</v>
      </c>
    </row>
    <row r="177" spans="2:18" ht="14.25">
      <c r="B177" s="292" t="s">
        <v>586</v>
      </c>
    </row>
    <row r="180" spans="2:18" ht="15">
      <c r="B180" s="292" t="s">
        <v>442</v>
      </c>
      <c r="C180" s="527"/>
      <c r="D180" s="527"/>
      <c r="E180" s="527"/>
      <c r="F180" s="292" t="s">
        <v>539</v>
      </c>
      <c r="G180" s="527"/>
      <c r="H180" s="527"/>
    </row>
    <row r="181" spans="2:18" ht="14.25">
      <c r="B181" s="292">
        <v>2006</v>
      </c>
      <c r="C181" s="292">
        <v>2012</v>
      </c>
      <c r="D181" s="292" t="s">
        <v>538</v>
      </c>
      <c r="E181" s="292"/>
      <c r="F181" s="292">
        <v>2006</v>
      </c>
      <c r="G181" s="292">
        <v>2012</v>
      </c>
      <c r="H181" s="292" t="s">
        <v>538</v>
      </c>
    </row>
    <row r="182" spans="2:18" ht="14.25">
      <c r="B182" s="548">
        <f>C88</f>
        <v>0.89814301271473962</v>
      </c>
      <c r="C182" s="548">
        <f>I88</f>
        <v>1.0019986599562385</v>
      </c>
      <c r="D182" s="292">
        <f>C182/B182</f>
        <v>1.1156337529449607</v>
      </c>
      <c r="E182" s="292"/>
      <c r="F182" s="548">
        <f>C91</f>
        <v>0.86588546875100381</v>
      </c>
      <c r="G182" s="548">
        <f>I91</f>
        <v>0.96601105512318886</v>
      </c>
      <c r="H182" s="292">
        <f>G182/F182</f>
        <v>1.1156337529449607</v>
      </c>
    </row>
    <row r="183" spans="2:18">
      <c r="L183" s="349"/>
      <c r="M183" s="349"/>
      <c r="N183" s="457"/>
      <c r="O183" s="457"/>
      <c r="P183" s="457"/>
      <c r="Q183" s="457"/>
      <c r="R183" s="457"/>
    </row>
    <row r="184" spans="2:18" ht="15">
      <c r="B184" s="528" t="s">
        <v>587</v>
      </c>
      <c r="C184" s="521"/>
      <c r="D184" s="521"/>
      <c r="E184" s="521"/>
      <c r="F184" s="521"/>
      <c r="G184" s="521"/>
      <c r="H184" s="521"/>
      <c r="I184" s="521"/>
      <c r="J184" s="521"/>
      <c r="K184" s="521"/>
      <c r="L184" s="349"/>
      <c r="M184" s="349"/>
      <c r="N184" s="457"/>
      <c r="O184" s="457"/>
      <c r="P184" s="457"/>
      <c r="Q184" s="457"/>
      <c r="R184" s="457"/>
    </row>
    <row r="185" spans="2:18">
      <c r="B185" s="446"/>
      <c r="L185" s="349"/>
      <c r="M185" s="349"/>
      <c r="N185" s="457"/>
      <c r="O185" s="457"/>
      <c r="P185" s="457"/>
      <c r="Q185" s="457"/>
      <c r="R185" s="457"/>
    </row>
    <row r="186" spans="2:18" ht="15">
      <c r="B186" s="534" t="s">
        <v>610</v>
      </c>
      <c r="L186" s="482"/>
      <c r="M186" s="482"/>
      <c r="N186" s="482"/>
      <c r="O186" s="482"/>
      <c r="P186" s="482"/>
      <c r="Q186" s="482"/>
      <c r="R186" s="482"/>
    </row>
    <row r="187" spans="2:18" ht="14.25">
      <c r="B187" s="530" t="s">
        <v>67</v>
      </c>
      <c r="D187" s="511">
        <v>2014</v>
      </c>
      <c r="E187" s="511">
        <v>2015</v>
      </c>
      <c r="F187" s="511">
        <v>2016</v>
      </c>
      <c r="G187" s="511">
        <v>2017</v>
      </c>
      <c r="H187" s="511">
        <v>2018</v>
      </c>
      <c r="I187" s="511">
        <v>2019</v>
      </c>
      <c r="J187" s="511">
        <v>2020</v>
      </c>
      <c r="L187" s="482"/>
      <c r="M187" s="482"/>
      <c r="N187" s="482"/>
      <c r="O187" s="482"/>
      <c r="P187" s="482"/>
      <c r="Q187" s="482"/>
      <c r="R187" s="482"/>
    </row>
    <row r="188" spans="2:18" ht="14.25">
      <c r="B188" s="530" t="s">
        <v>572</v>
      </c>
      <c r="D188" s="451">
        <f>F70</f>
        <v>1</v>
      </c>
      <c r="E188" s="451">
        <f>F71</f>
        <v>1.0192261715603461</v>
      </c>
      <c r="F188" s="48">
        <f>F72</f>
        <v>1.0394516368072131</v>
      </c>
      <c r="G188" s="48">
        <f>F73</f>
        <v>1.0602406695433575</v>
      </c>
      <c r="H188" s="48">
        <f>F74</f>
        <v>1.0814454829342248</v>
      </c>
      <c r="I188" s="48">
        <f>F75</f>
        <v>1.1030743925929092</v>
      </c>
      <c r="J188" s="48">
        <f>F76</f>
        <v>1.1251358804447675</v>
      </c>
    </row>
    <row r="189" spans="2:18">
      <c r="B189" s="510"/>
    </row>
    <row r="190" spans="2:18">
      <c r="I190" s="489"/>
      <c r="J190" s="489"/>
    </row>
    <row r="191" spans="2:18">
      <c r="D191" s="511">
        <v>2014</v>
      </c>
      <c r="E191" s="511">
        <v>2015</v>
      </c>
      <c r="F191" s="511">
        <v>2016</v>
      </c>
      <c r="G191" s="511">
        <v>2017</v>
      </c>
      <c r="H191" s="511">
        <v>2018</v>
      </c>
      <c r="I191" s="511">
        <v>2019</v>
      </c>
      <c r="J191" s="511">
        <v>2020</v>
      </c>
    </row>
    <row r="192" spans="2:18">
      <c r="B192" s="445" t="s">
        <v>562</v>
      </c>
      <c r="D192" s="66">
        <v>100000</v>
      </c>
      <c r="E192" s="66">
        <v>110000</v>
      </c>
      <c r="F192" s="66">
        <v>120000</v>
      </c>
      <c r="G192" s="66">
        <v>130000</v>
      </c>
      <c r="H192" s="66">
        <v>140000</v>
      </c>
      <c r="I192" s="66">
        <v>150000</v>
      </c>
      <c r="J192" s="66">
        <v>0</v>
      </c>
    </row>
    <row r="193" spans="1:10">
      <c r="B193" s="445"/>
      <c r="D193" s="44"/>
      <c r="E193" s="44"/>
      <c r="F193" s="44"/>
      <c r="G193" s="44"/>
      <c r="H193" s="44"/>
      <c r="I193" s="44"/>
      <c r="J193" s="44"/>
    </row>
    <row r="194" spans="1:10" ht="14.25">
      <c r="B194" s="530" t="s">
        <v>589</v>
      </c>
      <c r="D194" s="482"/>
      <c r="E194" s="482"/>
      <c r="F194" s="482"/>
      <c r="G194" s="482"/>
      <c r="H194" s="482"/>
      <c r="I194" s="482"/>
      <c r="J194" s="482"/>
    </row>
    <row r="195" spans="1:10">
      <c r="B195" s="445" t="s">
        <v>573</v>
      </c>
      <c r="D195" s="450">
        <f>D192/D188</f>
        <v>100000</v>
      </c>
      <c r="E195" s="450">
        <f t="shared" ref="E195:J195" si="5">E192/E188</f>
        <v>107925.01514320381</v>
      </c>
      <c r="F195" s="450">
        <f t="shared" si="5"/>
        <v>115445.4865919427</v>
      </c>
      <c r="G195" s="450">
        <f t="shared" si="5"/>
        <v>122613.67039993912</v>
      </c>
      <c r="H195" s="450">
        <f t="shared" si="5"/>
        <v>129456.36392150432</v>
      </c>
      <c r="I195" s="450">
        <f t="shared" si="5"/>
        <v>135983.57554779868</v>
      </c>
      <c r="J195" s="450">
        <f t="shared" si="5"/>
        <v>0</v>
      </c>
    </row>
    <row r="196" spans="1:10">
      <c r="B196" s="514"/>
      <c r="C196" s="482"/>
      <c r="D196" s="482"/>
      <c r="E196" s="482"/>
      <c r="F196" s="482"/>
      <c r="G196" s="482"/>
      <c r="H196" s="482"/>
      <c r="I196" s="482"/>
      <c r="J196" s="482"/>
    </row>
    <row r="197" spans="1:10" ht="14.25">
      <c r="B197" s="530" t="s">
        <v>588</v>
      </c>
      <c r="D197" s="482"/>
      <c r="E197" s="482"/>
      <c r="F197" s="482"/>
      <c r="G197" s="482"/>
      <c r="H197" s="482"/>
      <c r="I197" s="482"/>
      <c r="J197" s="482"/>
    </row>
    <row r="198" spans="1:10">
      <c r="B198" s="445" t="s">
        <v>569</v>
      </c>
      <c r="D198" s="450">
        <v>0</v>
      </c>
      <c r="E198" s="450">
        <f t="shared" ref="E198:J198" si="6">D195*E188</f>
        <v>101922.61715603461</v>
      </c>
      <c r="F198" s="450">
        <f t="shared" si="6"/>
        <v>112182.83364304646</v>
      </c>
      <c r="G198" s="450">
        <f t="shared" si="6"/>
        <v>122400.00000000003</v>
      </c>
      <c r="H198" s="450">
        <f t="shared" si="6"/>
        <v>132600.00000000003</v>
      </c>
      <c r="I198" s="450">
        <f t="shared" si="6"/>
        <v>142799.99999999997</v>
      </c>
      <c r="J198" s="450">
        <f t="shared" si="6"/>
        <v>153000.00000000003</v>
      </c>
    </row>
    <row r="204" spans="1:10" ht="18">
      <c r="B204" s="536" t="s">
        <v>624</v>
      </c>
    </row>
    <row r="206" spans="1:10" ht="15">
      <c r="A206" s="532" t="s">
        <v>518</v>
      </c>
    </row>
    <row r="239" spans="3:10" ht="13.5" thickBot="1"/>
    <row r="240" spans="3:10">
      <c r="C240" s="470" t="s">
        <v>535</v>
      </c>
      <c r="D240" s="471"/>
      <c r="E240" s="471"/>
      <c r="F240" s="471"/>
      <c r="G240" s="471"/>
      <c r="H240" s="471"/>
      <c r="I240" s="471"/>
      <c r="J240" s="472"/>
    </row>
    <row r="241" spans="3:10">
      <c r="C241" s="473" t="s">
        <v>552</v>
      </c>
      <c r="D241" s="423" t="s">
        <v>553</v>
      </c>
      <c r="E241" s="66"/>
      <c r="F241" s="66"/>
      <c r="G241" s="66"/>
      <c r="H241" s="66"/>
      <c r="I241" s="66"/>
      <c r="J241" s="474"/>
    </row>
    <row r="242" spans="3:10">
      <c r="C242" s="473" t="s">
        <v>520</v>
      </c>
      <c r="D242" s="66"/>
      <c r="E242" s="464">
        <v>1</v>
      </c>
      <c r="F242" s="66"/>
      <c r="G242" s="66"/>
      <c r="H242" s="66"/>
      <c r="I242" s="66"/>
      <c r="J242" s="474"/>
    </row>
    <row r="243" spans="3:10">
      <c r="C243" s="473" t="s">
        <v>520</v>
      </c>
      <c r="D243" s="423" t="s">
        <v>521</v>
      </c>
      <c r="E243" s="464">
        <v>1.0369999999999999</v>
      </c>
      <c r="F243" s="423" t="s">
        <v>523</v>
      </c>
      <c r="G243" s="66"/>
      <c r="H243" s="66"/>
      <c r="I243" s="66"/>
      <c r="J243" s="474"/>
    </row>
    <row r="244" spans="3:10">
      <c r="C244" s="473" t="s">
        <v>520</v>
      </c>
      <c r="D244" s="423" t="s">
        <v>521</v>
      </c>
      <c r="E244" s="464">
        <v>1.0369999999999999</v>
      </c>
      <c r="F244" s="423" t="s">
        <v>526</v>
      </c>
      <c r="G244" s="66"/>
      <c r="H244" s="66"/>
      <c r="I244" s="66"/>
      <c r="J244" s="474"/>
    </row>
    <row r="245" spans="3:10">
      <c r="C245" s="473" t="s">
        <v>520</v>
      </c>
      <c r="D245" s="423" t="s">
        <v>521</v>
      </c>
      <c r="E245" s="464">
        <v>1.0369999999999999</v>
      </c>
      <c r="F245" s="66"/>
      <c r="G245" s="66"/>
      <c r="H245" s="66"/>
      <c r="I245" s="66"/>
      <c r="J245" s="474"/>
    </row>
    <row r="246" spans="3:10">
      <c r="C246" s="473" t="s">
        <v>522</v>
      </c>
      <c r="D246" s="423" t="s">
        <v>521</v>
      </c>
      <c r="E246" s="465">
        <v>1.0369999999999999</v>
      </c>
      <c r="F246" s="66"/>
      <c r="G246" s="66"/>
      <c r="H246" s="66"/>
      <c r="I246" s="66"/>
      <c r="J246" s="474"/>
    </row>
    <row r="247" spans="3:10">
      <c r="C247" s="473" t="s">
        <v>522</v>
      </c>
      <c r="D247" s="423" t="s">
        <v>524</v>
      </c>
      <c r="E247" s="465">
        <f>1.037*1.046</f>
        <v>1.0847020000000001</v>
      </c>
      <c r="F247" s="423" t="s">
        <v>525</v>
      </c>
      <c r="G247" s="66"/>
      <c r="H247" s="66"/>
      <c r="I247" s="66"/>
      <c r="J247" s="474"/>
    </row>
    <row r="248" spans="3:10">
      <c r="C248" s="473" t="s">
        <v>522</v>
      </c>
      <c r="D248" s="423" t="s">
        <v>524</v>
      </c>
      <c r="E248" s="465">
        <f>1.037*1.046</f>
        <v>1.0847020000000001</v>
      </c>
      <c r="F248" s="423" t="s">
        <v>527</v>
      </c>
      <c r="G248" s="66"/>
      <c r="H248" s="66"/>
      <c r="I248" s="66"/>
      <c r="J248" s="474"/>
    </row>
    <row r="249" spans="3:10">
      <c r="C249" s="473" t="s">
        <v>522</v>
      </c>
      <c r="D249" s="423" t="s">
        <v>524</v>
      </c>
      <c r="E249" s="465">
        <f>1.037*1.046</f>
        <v>1.0847020000000001</v>
      </c>
      <c r="F249" s="66"/>
      <c r="G249" s="66">
        <f>1.037*1.046</f>
        <v>1.0847020000000001</v>
      </c>
      <c r="H249" s="66"/>
      <c r="I249" s="66"/>
      <c r="J249" s="474"/>
    </row>
    <row r="250" spans="3:10">
      <c r="C250" s="475"/>
      <c r="D250" s="423" t="s">
        <v>524</v>
      </c>
      <c r="E250" s="466">
        <f>1.037*1.046</f>
        <v>1.0847020000000001</v>
      </c>
      <c r="F250" s="66"/>
      <c r="G250" s="66"/>
      <c r="H250" s="66"/>
      <c r="I250" s="66"/>
      <c r="J250" s="474"/>
    </row>
    <row r="251" spans="3:10">
      <c r="C251" s="475"/>
      <c r="D251" s="423"/>
      <c r="E251" s="106"/>
      <c r="F251" s="66"/>
      <c r="G251" s="106">
        <f>SUM(E242:E245)</f>
        <v>4.1109999999999998</v>
      </c>
      <c r="H251" s="423" t="s">
        <v>520</v>
      </c>
      <c r="I251" s="423" t="s">
        <v>528</v>
      </c>
      <c r="J251" s="474"/>
    </row>
    <row r="252" spans="3:10">
      <c r="C252" s="475"/>
      <c r="D252" s="66"/>
      <c r="E252" s="106"/>
      <c r="F252" s="66"/>
      <c r="G252" s="106">
        <f>SUM(E246:E249)</f>
        <v>4.2911060000000001</v>
      </c>
      <c r="H252" s="423" t="s">
        <v>522</v>
      </c>
      <c r="I252" s="423" t="s">
        <v>528</v>
      </c>
      <c r="J252" s="474"/>
    </row>
    <row r="253" spans="3:10">
      <c r="C253" s="475"/>
      <c r="D253" s="66"/>
      <c r="E253" s="106"/>
      <c r="F253" s="66"/>
      <c r="G253" s="467">
        <f>G252/G251</f>
        <v>1.0438107516419364</v>
      </c>
      <c r="H253" s="423" t="s">
        <v>529</v>
      </c>
      <c r="I253" s="423" t="s">
        <v>530</v>
      </c>
      <c r="J253" s="474"/>
    </row>
    <row r="254" spans="3:10">
      <c r="C254" s="476" t="s">
        <v>531</v>
      </c>
      <c r="D254" s="262" t="s">
        <v>533</v>
      </c>
      <c r="E254" s="468"/>
      <c r="F254" s="262"/>
      <c r="G254" s="66"/>
      <c r="H254" s="66"/>
      <c r="I254" s="66"/>
      <c r="J254" s="474"/>
    </row>
    <row r="255" spans="3:10" ht="15.75">
      <c r="C255" s="475"/>
      <c r="D255" s="469">
        <f>((1*1.037)+(3*1.046))/4</f>
        <v>1.04375</v>
      </c>
      <c r="E255" s="106"/>
      <c r="F255" s="66"/>
      <c r="G255" s="66"/>
      <c r="H255" s="66"/>
      <c r="I255" s="66"/>
      <c r="J255" s="474"/>
    </row>
    <row r="256" spans="3:10">
      <c r="C256" s="475"/>
      <c r="D256" s="66"/>
      <c r="E256" s="106"/>
      <c r="F256" s="66"/>
      <c r="G256" s="66"/>
      <c r="H256" s="66"/>
      <c r="I256" s="66"/>
      <c r="J256" s="474"/>
    </row>
    <row r="257" spans="2:12">
      <c r="C257" s="476" t="s">
        <v>532</v>
      </c>
      <c r="D257" s="262" t="s">
        <v>534</v>
      </c>
      <c r="E257" s="468"/>
      <c r="F257" s="262"/>
      <c r="G257" s="262"/>
      <c r="H257" s="66"/>
      <c r="I257" s="66"/>
      <c r="J257" s="474"/>
    </row>
    <row r="258" spans="2:12" ht="16.5" thickBot="1">
      <c r="C258" s="477"/>
      <c r="D258" s="478">
        <f>(1+3*1.046)/((1/1.037)+3)</f>
        <v>1.0438107516419362</v>
      </c>
      <c r="E258" s="479"/>
      <c r="F258" s="479"/>
      <c r="G258" s="479"/>
      <c r="H258" s="479"/>
      <c r="I258" s="479"/>
      <c r="J258" s="480"/>
    </row>
    <row r="263" spans="2:12" ht="15.75">
      <c r="B263" s="481" t="s">
        <v>540</v>
      </c>
      <c r="C263" s="482"/>
      <c r="D263" s="482"/>
      <c r="E263" s="482"/>
      <c r="F263" s="482"/>
      <c r="G263" s="482"/>
      <c r="H263" s="482"/>
      <c r="I263" s="482"/>
      <c r="J263" s="482"/>
      <c r="K263" s="482"/>
      <c r="L263" s="482"/>
    </row>
    <row r="264" spans="2:12">
      <c r="B264" s="483" t="s">
        <v>563</v>
      </c>
      <c r="C264" s="482"/>
      <c r="D264" s="482"/>
      <c r="E264" s="482"/>
      <c r="F264" s="482"/>
      <c r="G264" s="482"/>
      <c r="H264" s="482"/>
      <c r="I264" s="482"/>
      <c r="J264" s="482"/>
      <c r="K264" s="482"/>
      <c r="L264" s="482"/>
    </row>
    <row r="265" spans="2:12" ht="13.5" thickBot="1">
      <c r="B265" s="484" t="s">
        <v>31</v>
      </c>
      <c r="C265" s="482"/>
      <c r="D265" s="482"/>
      <c r="E265" s="482"/>
      <c r="F265" s="482"/>
      <c r="G265" s="482"/>
      <c r="H265" s="482"/>
      <c r="I265" s="482"/>
      <c r="J265" s="482"/>
      <c r="K265" s="482"/>
      <c r="L265" s="482"/>
    </row>
    <row r="266" spans="2:12">
      <c r="B266" s="485">
        <v>2005</v>
      </c>
      <c r="C266" s="486">
        <v>2006</v>
      </c>
      <c r="D266" s="486">
        <v>2007</v>
      </c>
      <c r="E266" s="486">
        <v>2008</v>
      </c>
      <c r="F266" s="486">
        <v>2009</v>
      </c>
      <c r="G266" s="486">
        <v>2010</v>
      </c>
      <c r="H266" s="486">
        <v>2011</v>
      </c>
      <c r="I266" s="486">
        <v>2012</v>
      </c>
      <c r="J266" s="486">
        <v>2013</v>
      </c>
      <c r="K266" s="486">
        <v>2014</v>
      </c>
      <c r="L266" s="487">
        <v>2015</v>
      </c>
    </row>
    <row r="267" spans="2:12">
      <c r="B267" s="48">
        <v>0.80173187865734674</v>
      </c>
      <c r="C267" s="48">
        <v>0.8273667916252323</v>
      </c>
      <c r="D267" s="48">
        <v>0.84738813812982849</v>
      </c>
      <c r="E267" s="48">
        <v>0.87433741509529039</v>
      </c>
      <c r="F267" s="48">
        <v>0.90758460116332917</v>
      </c>
      <c r="G267" s="48">
        <v>0.93954471782775895</v>
      </c>
      <c r="H267" s="48">
        <v>0.95727925425193439</v>
      </c>
      <c r="I267" s="48">
        <v>0.97212205618723302</v>
      </c>
      <c r="J267" s="48">
        <v>0.98840798241312089</v>
      </c>
      <c r="K267" s="48">
        <v>1</v>
      </c>
      <c r="L267" s="48">
        <v>1.01</v>
      </c>
    </row>
    <row r="269" spans="2:12">
      <c r="B269" s="446" t="s">
        <v>30</v>
      </c>
    </row>
    <row r="270" spans="2:12">
      <c r="B270" s="48">
        <v>0.80173187865734674</v>
      </c>
      <c r="C270" s="48">
        <v>0.8273667916252323</v>
      </c>
      <c r="D270" s="48">
        <v>0.84738813812982849</v>
      </c>
      <c r="E270" s="48">
        <v>0.87433741509529039</v>
      </c>
      <c r="F270" s="48">
        <v>0.90758460116332917</v>
      </c>
      <c r="G270" s="48">
        <v>0.93954471782775895</v>
      </c>
      <c r="H270" s="48">
        <v>0.95727925425193439</v>
      </c>
      <c r="I270" s="48">
        <v>0.97212205618723302</v>
      </c>
      <c r="J270" s="48">
        <v>0.98840798241312089</v>
      </c>
      <c r="K270" s="48">
        <v>1</v>
      </c>
      <c r="L270" s="48">
        <v>1.01</v>
      </c>
    </row>
    <row r="272" spans="2:12">
      <c r="B272" s="446" t="s">
        <v>100</v>
      </c>
    </row>
    <row r="273" spans="1:12">
      <c r="B273" s="48">
        <v>0.80173187865734674</v>
      </c>
      <c r="C273" s="48">
        <v>0.8273667916252323</v>
      </c>
      <c r="D273" s="48">
        <v>0.84738813812982849</v>
      </c>
      <c r="E273" s="48">
        <v>0.87433741509529039</v>
      </c>
      <c r="F273" s="56">
        <v>0.90758460116332917</v>
      </c>
      <c r="G273" s="48">
        <v>0.93954471782775895</v>
      </c>
      <c r="H273" s="48">
        <v>0.95727925425193439</v>
      </c>
      <c r="I273" s="48">
        <v>0.97212205618723302</v>
      </c>
      <c r="J273" s="48">
        <v>0.98840798241312089</v>
      </c>
      <c r="K273" s="48">
        <v>1</v>
      </c>
      <c r="L273" s="48">
        <v>1.01</v>
      </c>
    </row>
    <row r="275" spans="1:12" ht="15">
      <c r="B275" s="538" t="s">
        <v>541</v>
      </c>
      <c r="C275" s="512"/>
      <c r="D275" s="512"/>
      <c r="E275" s="512"/>
      <c r="F275" s="512"/>
      <c r="G275" s="512"/>
      <c r="H275" s="512"/>
      <c r="I275" s="512"/>
      <c r="J275" s="512"/>
      <c r="K275" s="512"/>
      <c r="L275" s="512"/>
    </row>
    <row r="276" spans="1:12">
      <c r="C276" s="482"/>
      <c r="D276" s="482"/>
      <c r="E276" s="482"/>
      <c r="F276" s="482"/>
      <c r="G276" s="482"/>
      <c r="H276" s="482"/>
      <c r="I276" s="482"/>
      <c r="J276" s="484"/>
      <c r="K276" s="482"/>
      <c r="L276" s="482"/>
    </row>
    <row r="277" spans="1:12">
      <c r="B277" s="489"/>
      <c r="C277" s="489"/>
      <c r="D277" s="489"/>
      <c r="E277" s="489"/>
      <c r="F277" s="489"/>
      <c r="G277" s="489"/>
      <c r="H277" s="489"/>
      <c r="I277" s="489"/>
      <c r="J277" s="489"/>
      <c r="K277" s="489"/>
      <c r="L277" s="489"/>
    </row>
    <row r="282" spans="1:12" ht="18">
      <c r="A282" s="532" t="s">
        <v>518</v>
      </c>
      <c r="B282" s="536" t="s">
        <v>519</v>
      </c>
    </row>
    <row r="283" spans="1:12" ht="15.75">
      <c r="B283" s="452"/>
    </row>
    <row r="284" spans="1:12" ht="15.75">
      <c r="B284" s="395"/>
    </row>
    <row r="303" spans="2:15" ht="15">
      <c r="B303" s="534" t="s">
        <v>590</v>
      </c>
    </row>
    <row r="304" spans="2:15" ht="15.75">
      <c r="B304" s="488" t="s">
        <v>542</v>
      </c>
      <c r="O304"/>
    </row>
    <row r="305" spans="1:15" ht="14.25">
      <c r="B305" s="537" t="s">
        <v>631</v>
      </c>
      <c r="M305" s="482"/>
      <c r="N305" s="482"/>
      <c r="O305" s="482"/>
    </row>
    <row r="306" spans="1:15" ht="15" thickBot="1">
      <c r="B306" s="292" t="s">
        <v>31</v>
      </c>
      <c r="M306" s="482"/>
      <c r="N306" s="482"/>
      <c r="O306" s="482"/>
    </row>
    <row r="307" spans="1:15">
      <c r="B307" s="490">
        <v>2005</v>
      </c>
      <c r="C307" s="491">
        <v>2006</v>
      </c>
      <c r="D307" s="491">
        <v>2007</v>
      </c>
      <c r="E307" s="491">
        <v>2008</v>
      </c>
      <c r="F307" s="491">
        <v>2009</v>
      </c>
      <c r="G307" s="491">
        <v>2010</v>
      </c>
      <c r="H307" s="491">
        <v>2011</v>
      </c>
      <c r="I307" s="491">
        <v>2012</v>
      </c>
      <c r="J307" s="491">
        <v>2013</v>
      </c>
      <c r="K307" s="491">
        <v>2014</v>
      </c>
      <c r="L307" s="492">
        <v>2015</v>
      </c>
      <c r="M307" s="489"/>
      <c r="N307" s="489"/>
      <c r="O307" s="489"/>
    </row>
    <row r="308" spans="1:15">
      <c r="B308" s="48">
        <v>0.7782218146644625</v>
      </c>
      <c r="C308" s="48">
        <v>0.83815144358681803</v>
      </c>
      <c r="D308" s="48">
        <v>0.85954859097066638</v>
      </c>
      <c r="E308" s="48">
        <v>0.90825418965493399</v>
      </c>
      <c r="F308" s="48">
        <v>0.91339809304736519</v>
      </c>
      <c r="G308" s="48">
        <v>0.94045299975512064</v>
      </c>
      <c r="H308" s="48">
        <v>0.96956269206230372</v>
      </c>
      <c r="I308" s="48">
        <v>0.97979956017954739</v>
      </c>
      <c r="J308" s="48">
        <v>0.99381343563695845</v>
      </c>
      <c r="K308" s="48">
        <v>1</v>
      </c>
      <c r="L308" s="48">
        <v>1.0134744038104564</v>
      </c>
      <c r="M308" s="457"/>
      <c r="N308" s="457"/>
      <c r="O308" s="457"/>
    </row>
    <row r="309" spans="1:15">
      <c r="B309" s="482"/>
      <c r="C309" s="482"/>
      <c r="D309" s="482"/>
      <c r="E309" s="482"/>
      <c r="F309" s="482"/>
      <c r="G309" s="482"/>
      <c r="H309" s="482"/>
      <c r="I309" s="482"/>
      <c r="J309" s="482"/>
      <c r="K309" s="482"/>
      <c r="L309" s="482"/>
      <c r="M309" s="482"/>
      <c r="N309" s="482"/>
      <c r="O309" s="482"/>
    </row>
    <row r="310" spans="1:15" ht="14.25">
      <c r="B310" s="302" t="s">
        <v>30</v>
      </c>
      <c r="C310" s="482"/>
      <c r="D310" s="482"/>
      <c r="E310" s="482"/>
      <c r="F310" s="482"/>
      <c r="G310" s="482"/>
      <c r="H310" s="482"/>
      <c r="I310" s="482"/>
      <c r="J310" s="482"/>
      <c r="K310" s="482"/>
      <c r="L310" s="482"/>
      <c r="M310" s="482"/>
      <c r="N310" s="482"/>
      <c r="O310" s="482"/>
    </row>
    <row r="311" spans="1:15">
      <c r="B311" s="48">
        <v>0.78614756486449411</v>
      </c>
      <c r="C311" s="48">
        <v>0.84398136526776879</v>
      </c>
      <c r="D311" s="48">
        <v>0.86616865328788706</v>
      </c>
      <c r="E311" s="48">
        <v>0.91207871851412636</v>
      </c>
      <c r="F311" s="48">
        <v>0.91683141764571841</v>
      </c>
      <c r="G311" s="48">
        <v>0.94652935675792471</v>
      </c>
      <c r="H311" s="48">
        <v>0.97697724257957719</v>
      </c>
      <c r="I311" s="48">
        <v>0.98383395416320973</v>
      </c>
      <c r="J311" s="48">
        <v>0.99836913716067011</v>
      </c>
      <c r="K311" s="48">
        <v>1.0033866380693937</v>
      </c>
      <c r="L311" s="48">
        <v>1.0174833615909185</v>
      </c>
      <c r="M311" s="457"/>
      <c r="N311" s="457"/>
      <c r="O311" s="457"/>
    </row>
    <row r="312" spans="1:15" ht="15">
      <c r="A312" s="532" t="s">
        <v>518</v>
      </c>
      <c r="M312" s="482"/>
      <c r="N312" s="482"/>
      <c r="O312" s="482"/>
    </row>
    <row r="313" spans="1:15" ht="14.25">
      <c r="B313" s="292" t="s">
        <v>100</v>
      </c>
      <c r="M313" s="482"/>
      <c r="N313" s="482"/>
      <c r="O313" s="482"/>
    </row>
    <row r="314" spans="1:15">
      <c r="B314" s="48">
        <v>0.78349415373630338</v>
      </c>
      <c r="C314" s="48">
        <v>0.8411327530648256</v>
      </c>
      <c r="D314" s="48">
        <v>0.86324515438482785</v>
      </c>
      <c r="E314" s="48">
        <v>0.90900026361627462</v>
      </c>
      <c r="F314" s="56">
        <v>0.91373692140228691</v>
      </c>
      <c r="G314" s="48">
        <v>0.94333462380875688</v>
      </c>
      <c r="H314" s="48">
        <v>0.97367974169894222</v>
      </c>
      <c r="I314" s="48">
        <v>0.9805133104584639</v>
      </c>
      <c r="J314" s="48">
        <v>0.99499943419779069</v>
      </c>
      <c r="K314" s="48">
        <v>1</v>
      </c>
      <c r="L314" s="48">
        <v>1.0140491441550867</v>
      </c>
      <c r="M314" s="457"/>
      <c r="N314" s="457"/>
      <c r="O314" s="457"/>
    </row>
    <row r="315" spans="1:15">
      <c r="M315" s="482"/>
      <c r="N315" s="482"/>
      <c r="O315" s="482"/>
    </row>
    <row r="316" spans="1:15" ht="15.75">
      <c r="B316" s="436" t="s">
        <v>591</v>
      </c>
      <c r="C316"/>
      <c r="D316"/>
      <c r="E316"/>
      <c r="F316"/>
      <c r="G316"/>
      <c r="H316"/>
      <c r="I316"/>
      <c r="J316"/>
      <c r="K316"/>
      <c r="L316"/>
      <c r="M316"/>
      <c r="N316"/>
      <c r="O316"/>
    </row>
  </sheetData>
  <mergeCells count="12">
    <mergeCell ref="A2:M2"/>
    <mergeCell ref="B158:R161"/>
    <mergeCell ref="L3:M3"/>
    <mergeCell ref="B58:G58"/>
    <mergeCell ref="B99:L100"/>
    <mergeCell ref="B104:L105"/>
    <mergeCell ref="F128:G128"/>
    <mergeCell ref="B5:I5"/>
    <mergeCell ref="B9:I9"/>
    <mergeCell ref="B10:E10"/>
    <mergeCell ref="B14:H14"/>
    <mergeCell ref="B15:F15"/>
  </mergeCells>
  <conditionalFormatting sqref="C59">
    <cfRule type="expression" dxfId="40" priority="604" stopIfTrue="1">
      <formula>$L29=1</formula>
    </cfRule>
    <cfRule type="expression" dxfId="39" priority="605" stopIfTrue="1">
      <formula>$L$27=2</formula>
    </cfRule>
    <cfRule type="expression" dxfId="38" priority="606" stopIfTrue="1">
      <formula>$L$27=3</formula>
    </cfRule>
  </conditionalFormatting>
  <conditionalFormatting sqref="B59">
    <cfRule type="cellIs" dxfId="37" priority="601" stopIfTrue="1" operator="equal">
      <formula>"army"</formula>
    </cfRule>
    <cfRule type="cellIs" dxfId="36" priority="602" stopIfTrue="1" operator="equal">
      <formula>"navy"</formula>
    </cfRule>
    <cfRule type="cellIs" dxfId="35" priority="603" stopIfTrue="1" operator="equal">
      <formula>"marine corps"</formula>
    </cfRule>
  </conditionalFormatting>
  <conditionalFormatting sqref="D59:G59">
    <cfRule type="expression" dxfId="34" priority="598" stopIfTrue="1">
      <formula>$L29=1</formula>
    </cfRule>
    <cfRule type="expression" dxfId="33" priority="599" stopIfTrue="1">
      <formula>$L$27=2</formula>
    </cfRule>
    <cfRule type="expression" dxfId="32" priority="600" stopIfTrue="1">
      <formula>$L$27=3</formula>
    </cfRule>
  </conditionalFormatting>
  <conditionalFormatting sqref="B58">
    <cfRule type="expression" dxfId="31" priority="595" stopIfTrue="1">
      <formula>$L$27=1</formula>
    </cfRule>
    <cfRule type="expression" dxfId="30" priority="596" stopIfTrue="1">
      <formula>$L$27=2</formula>
    </cfRule>
    <cfRule type="expression" dxfId="29" priority="597" stopIfTrue="1">
      <formula>$L$27=3</formula>
    </cfRule>
  </conditionalFormatting>
  <conditionalFormatting sqref="C72:G77 B88:L91 M308:O308 M311:O311 M314:O314 B267:L267 B270:L270 B273:L273 F188:J188 F137:J137 O137:S138 N183:R185">
    <cfRule type="cellIs" dxfId="28" priority="237" stopIfTrue="1" operator="equal">
      <formula>1</formula>
    </cfRule>
  </conditionalFormatting>
  <conditionalFormatting sqref="B72:B76">
    <cfRule type="cellIs" dxfId="27" priority="232" stopIfTrue="1" operator="equal">
      <formula>$D$2</formula>
    </cfRule>
  </conditionalFormatting>
  <conditionalFormatting sqref="C59">
    <cfRule type="expression" dxfId="26" priority="224" stopIfTrue="1">
      <formula>$L59=1</formula>
    </cfRule>
    <cfRule type="expression" dxfId="25" priority="225" stopIfTrue="1">
      <formula>$L$2=2</formula>
    </cfRule>
    <cfRule type="expression" dxfId="24" priority="226" stopIfTrue="1">
      <formula>$L$2=3</formula>
    </cfRule>
  </conditionalFormatting>
  <conditionalFormatting sqref="D59:G59">
    <cfRule type="expression" dxfId="23" priority="218" stopIfTrue="1">
      <formula>$L59=1</formula>
    </cfRule>
    <cfRule type="expression" dxfId="22" priority="219" stopIfTrue="1">
      <formula>$L$2=2</formula>
    </cfRule>
    <cfRule type="expression" dxfId="21" priority="220" stopIfTrue="1">
      <formula>$L$2=3</formula>
    </cfRule>
  </conditionalFormatting>
  <conditionalFormatting sqref="B58">
    <cfRule type="expression" dxfId="20" priority="215" stopIfTrue="1">
      <formula>$L$2=1</formula>
    </cfRule>
    <cfRule type="expression" dxfId="19" priority="216" stopIfTrue="1">
      <formula>$L$2=2</formula>
    </cfRule>
    <cfRule type="expression" dxfId="18" priority="217" stopIfTrue="1">
      <formula>$L$2=3</formula>
    </cfRule>
  </conditionalFormatting>
  <conditionalFormatting sqref="B61:B76">
    <cfRule type="cellIs" dxfId="17" priority="13" stopIfTrue="1" operator="equal">
      <formula>$D$2</formula>
    </cfRule>
  </conditionalFormatting>
  <conditionalFormatting sqref="C61:G76">
    <cfRule type="cellIs" dxfId="16" priority="12" stopIfTrue="1" operator="equal">
      <formula>1</formula>
    </cfRule>
  </conditionalFormatting>
  <conditionalFormatting sqref="B267:L267">
    <cfRule type="cellIs" dxfId="15" priority="11" stopIfTrue="1" operator="equal">
      <formula>1</formula>
    </cfRule>
  </conditionalFormatting>
  <conditionalFormatting sqref="B270:L270">
    <cfRule type="cellIs" dxfId="14" priority="10" stopIfTrue="1" operator="equal">
      <formula>1</formula>
    </cfRule>
  </conditionalFormatting>
  <conditionalFormatting sqref="B273:L273">
    <cfRule type="cellIs" dxfId="13" priority="9" stopIfTrue="1" operator="equal">
      <formula>1</formula>
    </cfRule>
  </conditionalFormatting>
  <conditionalFormatting sqref="B61:B76">
    <cfRule type="cellIs" dxfId="12" priority="5" stopIfTrue="1" operator="equal">
      <formula>$D$2</formula>
    </cfRule>
  </conditionalFormatting>
  <conditionalFormatting sqref="C61:G76">
    <cfRule type="cellIs" dxfId="11" priority="4" stopIfTrue="1" operator="equal">
      <formula>1</formula>
    </cfRule>
  </conditionalFormatting>
  <conditionalFormatting sqref="B314:L314">
    <cfRule type="cellIs" dxfId="10" priority="1" stopIfTrue="1" operator="equal">
      <formula>1</formula>
    </cfRule>
  </conditionalFormatting>
  <conditionalFormatting sqref="B308:L308">
    <cfRule type="cellIs" dxfId="9" priority="3" stopIfTrue="1" operator="equal">
      <formula>1</formula>
    </cfRule>
  </conditionalFormatting>
  <conditionalFormatting sqref="B311:L311">
    <cfRule type="cellIs" dxfId="8" priority="2" stopIfTrue="1" operator="equal">
      <formula>1</formula>
    </cfRule>
  </conditionalFormatting>
  <hyperlinks>
    <hyperlink ref="L3:M3" location="Main!A1" display="Return to Main"/>
    <hyperlink ref="B5" location="Example_notes!A48" display="A brief example of the mechanical application of inflation factors."/>
    <hyperlink ref="B9" location="Example_notes!A205" display="Construction of fiscal year factors from annual Pay guidance."/>
    <hyperlink ref="B10" location="Example_notes!A285" display="Brief review of &quot;Composite Rates&quot;"/>
    <hyperlink ref="A282" location="Example_notes!A269" display="TOP"/>
    <hyperlink ref="A312" location="Example_notes!A1" display="TOP"/>
    <hyperlink ref="A206" location="Example_notes!A1" display="TOP"/>
    <hyperlink ref="A130" location="Example_notes!A1" display="TOP"/>
    <hyperlink ref="A58" location="Example_notes!A1" display="TOP"/>
    <hyperlink ref="B14" r:id="rId1" display="DAU cource materials for BCF 106 or BCF 204 for normalization"/>
    <hyperlink ref="B15" r:id="rId2" display="B. The DOD Inflation Handbook - 2nd editition"/>
  </hyperlinks>
  <pageMargins left="0" right="0" top="0" bottom="0" header="0.3" footer="0.3"/>
  <pageSetup scale="65" fitToHeight="3" orientation="portrait"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B52"/>
  <sheetViews>
    <sheetView showGridLines="0" showRowColHeaders="0" zoomScaleNormal="100" workbookViewId="0">
      <selection activeCell="B2" sqref="B2"/>
    </sheetView>
  </sheetViews>
  <sheetFormatPr defaultColWidth="0" defaultRowHeight="12.75"/>
  <cols>
    <col min="1" max="1" width="4.85546875" customWidth="1"/>
    <col min="2" max="3" width="7.85546875" customWidth="1"/>
    <col min="4" max="4" width="8.7109375" customWidth="1"/>
    <col min="5" max="12" width="7.85546875" customWidth="1"/>
    <col min="13" max="14" width="8.42578125" customWidth="1"/>
    <col min="15" max="24" width="7.85546875" customWidth="1"/>
    <col min="25" max="26" width="7.85546875" style="44" customWidth="1"/>
  </cols>
  <sheetData>
    <row r="1" spans="1:28" s="377" customFormat="1" ht="30" customHeight="1">
      <c r="A1" s="233"/>
      <c r="B1" s="743">
        <f ca="1">NOW()</f>
        <v>43007.591650578703</v>
      </c>
      <c r="C1" s="743"/>
      <c r="F1" s="418" t="s">
        <v>497</v>
      </c>
      <c r="N1" s="747" t="s">
        <v>459</v>
      </c>
      <c r="O1" s="748"/>
      <c r="Y1" s="378"/>
      <c r="Z1" s="378"/>
    </row>
    <row r="2" spans="1:28" s="377" customFormat="1" ht="30" customHeight="1">
      <c r="A2" s="744" t="s">
        <v>737</v>
      </c>
      <c r="D2" s="378"/>
      <c r="E2" s="378"/>
      <c r="F2" s="378"/>
      <c r="G2" s="378"/>
      <c r="H2" s="378"/>
      <c r="Y2" s="378"/>
      <c r="Z2" s="378"/>
    </row>
    <row r="3" spans="1:28" s="377" customFormat="1" ht="30" customHeight="1" thickBot="1">
      <c r="A3" s="744"/>
      <c r="B3" s="379"/>
      <c r="F3" s="380"/>
      <c r="I3" s="381"/>
      <c r="Y3" s="378"/>
      <c r="Z3" s="378"/>
    </row>
    <row r="4" spans="1:28" s="378" customFormat="1" ht="29.25" customHeight="1" thickTop="1" thickBot="1">
      <c r="A4" s="233"/>
      <c r="B4" s="745" t="s">
        <v>736</v>
      </c>
      <c r="C4" s="745"/>
      <c r="D4" s="745"/>
      <c r="E4" s="382">
        <v>2010</v>
      </c>
      <c r="G4" s="746" t="s">
        <v>382</v>
      </c>
      <c r="H4" s="746"/>
      <c r="I4" s="383"/>
      <c r="J4" s="383"/>
      <c r="K4" s="383"/>
      <c r="L4" s="383"/>
      <c r="M4" s="675" t="s">
        <v>740</v>
      </c>
    </row>
    <row r="5" spans="1:28" s="44" customFormat="1" ht="6.75" hidden="1" customHeight="1" thickTop="1">
      <c r="B5" s="115"/>
    </row>
    <row r="6" spans="1:28" s="44" customFormat="1" ht="18" hidden="1" customHeight="1">
      <c r="A6" s="44" t="s">
        <v>240</v>
      </c>
      <c r="B6" s="115"/>
      <c r="I6" s="44" t="s">
        <v>439</v>
      </c>
      <c r="J6" s="44">
        <v>0.86</v>
      </c>
      <c r="K6" s="44">
        <v>0.94299999999999995</v>
      </c>
    </row>
    <row r="7" spans="1:28" s="45" customFormat="1" hidden="1">
      <c r="A7" s="45" t="s">
        <v>218</v>
      </c>
      <c r="B7" s="116">
        <f>LOOKUP(E4,Query!AD48:AD139,Query!O48:O139)</f>
        <v>27</v>
      </c>
      <c r="J7" s="45">
        <v>2</v>
      </c>
    </row>
    <row r="8" spans="1:28" s="45" customFormat="1" hidden="1">
      <c r="A8" s="45" t="s">
        <v>220</v>
      </c>
      <c r="B8" s="115">
        <f t="shared" ref="B8:X8" si="0">HLOOKUP(B$11,index1970,$B$7)/B$9 * HLOOKUP(B$11,comboutfac,$B$7)</f>
        <v>1.0267252697471887</v>
      </c>
      <c r="C8" s="115">
        <f t="shared" si="0"/>
        <v>1.0270949235159998</v>
      </c>
      <c r="D8" s="115">
        <f t="shared" si="0"/>
        <v>1.0207285349872302</v>
      </c>
      <c r="E8" s="115">
        <f t="shared" si="0"/>
        <v>1</v>
      </c>
      <c r="F8" s="115">
        <f t="shared" si="0"/>
        <v>1.0332659210722299</v>
      </c>
      <c r="G8" s="115">
        <f t="shared" si="0"/>
        <v>1.007544739432654</v>
      </c>
      <c r="H8" s="115">
        <f t="shared" si="0"/>
        <v>1.0392581755935251</v>
      </c>
      <c r="I8" s="115">
        <f t="shared" si="0"/>
        <v>1.0361905684316772</v>
      </c>
      <c r="J8" s="115">
        <f t="shared" si="0"/>
        <v>1.031617822796655</v>
      </c>
      <c r="K8" s="115">
        <f t="shared" si="0"/>
        <v>1</v>
      </c>
      <c r="L8" s="115">
        <f t="shared" si="0"/>
        <v>1.002164324</v>
      </c>
      <c r="M8" s="115">
        <f t="shared" si="0"/>
        <v>1.0027080559999999</v>
      </c>
      <c r="N8" s="115">
        <f t="shared" si="0"/>
        <v>1.004944496</v>
      </c>
      <c r="O8" s="115">
        <f t="shared" si="0"/>
        <v>1.0296893840568919</v>
      </c>
      <c r="P8" s="115">
        <f t="shared" si="0"/>
        <v>1.0243978893248198</v>
      </c>
      <c r="Q8" s="115">
        <f t="shared" si="0"/>
        <v>1.0148409524030437</v>
      </c>
      <c r="R8" s="115">
        <f t="shared" si="0"/>
        <v>1</v>
      </c>
      <c r="S8" s="115">
        <f t="shared" si="0"/>
        <v>1.0129117763250033</v>
      </c>
      <c r="T8" s="115">
        <f t="shared" si="0"/>
        <v>1.0146702178353553</v>
      </c>
      <c r="U8" s="115">
        <f t="shared" si="0"/>
        <v>1.0249155167216331</v>
      </c>
      <c r="V8" s="115">
        <f t="shared" si="0"/>
        <v>1.0128327079999999</v>
      </c>
      <c r="W8" s="115">
        <f t="shared" si="0"/>
        <v>1.0182956568590467</v>
      </c>
      <c r="X8" s="115">
        <f t="shared" si="0"/>
        <v>1.0298436085074099</v>
      </c>
      <c r="Y8" s="115"/>
      <c r="Z8" s="115"/>
    </row>
    <row r="9" spans="1:28" s="45" customFormat="1" hidden="1">
      <c r="A9" s="45" t="s">
        <v>219</v>
      </c>
      <c r="B9" s="115">
        <f>HLOOKUP(B$11,'1970=1 Infl Index'!$A$6:$CD$46,$B$7)</f>
        <v>1.7376791677667371</v>
      </c>
      <c r="C9" s="115">
        <f>HLOOKUP(C$11,'1970=1 Infl Index'!$A$6:$CD$46,$B$7)</f>
        <v>1.7376791677667378</v>
      </c>
      <c r="D9" s="115">
        <f>HLOOKUP(D$11,'1970=1 Infl Index'!$A$6:$CD$46,$B$7)</f>
        <v>1.7376791677667374</v>
      </c>
      <c r="E9" s="115">
        <f>HLOOKUP(E$11,'1970=1 Infl Index'!$A$6:$CD$46,$B$7)</f>
        <v>2.2409648859379061</v>
      </c>
      <c r="F9" s="115">
        <f>HLOOKUP(F$11,'1970=1 Infl Index'!$A$6:$CD$46,$B$7)</f>
        <v>1.7376791677667374</v>
      </c>
      <c r="G9" s="115">
        <f>HLOOKUP(G$11,'1970=1 Infl Index'!$A$6:$CD$46,$B$7)</f>
        <v>1.7376791677667378</v>
      </c>
      <c r="H9" s="115">
        <f>HLOOKUP(H$11,'1970=1 Infl Index'!$A$6:$CD$46,$B$7)</f>
        <v>1.7376791677667374</v>
      </c>
      <c r="I9" s="115">
        <f>HLOOKUP(I$11,'1970=1 Infl Index'!$A$6:$CD$46,$B$7)</f>
        <v>1.7376791677667374</v>
      </c>
      <c r="J9" s="115">
        <f>HLOOKUP(J$11,'1970=1 Infl Index'!$A$6:$CD$46,$B$7)</f>
        <v>1.7376791677667374</v>
      </c>
      <c r="K9" s="115">
        <f>HLOOKUP(K$11,'1970=1 Infl Index'!$A$6:$CD$46,$B$7)</f>
        <v>2.3688644402107704</v>
      </c>
      <c r="L9" s="115">
        <f>HLOOKUP(L$11,'1970=1 Infl Index'!$A$6:$CD$46,$B$7)</f>
        <v>1.7326081196117757</v>
      </c>
      <c r="M9" s="115">
        <f>HLOOKUP(M$11,'1970=1 Infl Index'!$A$6:$CD$46,$B$7)</f>
        <v>1.7326081196117757</v>
      </c>
      <c r="N9" s="115">
        <f>HLOOKUP(N$11,'1970=1 Infl Index'!$A$6:$CD$46,$B$7)</f>
        <v>1.7326081196117757</v>
      </c>
      <c r="O9" s="115">
        <f>HLOOKUP(O$11,'1970=1 Infl Index'!$A$6:$CD$46,$B$7)</f>
        <v>1.7376791677667371</v>
      </c>
      <c r="P9" s="115">
        <f>HLOOKUP(P$11,'1970=1 Infl Index'!$A$6:$CD$46,$B$7)</f>
        <v>1.7376791677667378</v>
      </c>
      <c r="Q9" s="115">
        <f>HLOOKUP(Q$11,'1970=1 Infl Index'!$A$6:$CD$46,$B$7)</f>
        <v>1.7376791677667378</v>
      </c>
      <c r="R9" s="115">
        <f>HLOOKUP(R$11,'1970=1 Infl Index'!$A$6:$CD$46,$B$7)</f>
        <v>2.419110113700996</v>
      </c>
      <c r="S9" s="115">
        <f>HLOOKUP(S$11,'1970=1 Infl Index'!$A$6:$CD$46,$B$7)</f>
        <v>1.7376791677667378</v>
      </c>
      <c r="T9" s="115">
        <f>HLOOKUP(T$11,'1970=1 Infl Index'!$A$6:$CD$46,$B$7)</f>
        <v>1.7376791677667378</v>
      </c>
      <c r="U9" s="115">
        <f>HLOOKUP(U$11,'1970=1 Infl Index'!$A$6:$CD$46,$B$7)</f>
        <v>1.7376791677667369</v>
      </c>
      <c r="V9" s="115">
        <f>HLOOKUP(V$11,'1970=1 Infl Index'!$A$6:$CD$46,$B$7)</f>
        <v>1.7376791677667378</v>
      </c>
      <c r="W9" s="115">
        <f>HLOOKUP(W$11,'1970=1 Infl Index'!$A$6:$CD$46,$B$7)</f>
        <v>1.7376791677667374</v>
      </c>
      <c r="X9" s="115">
        <f>HLOOKUP(X$11,'1970=1 Infl Index'!$A$6:$CD$46,$B$7)</f>
        <v>1.7376791677667371</v>
      </c>
      <c r="Y9" s="115"/>
      <c r="Z9" s="115"/>
    </row>
    <row r="10" spans="1:28" s="45" customFormat="1" hidden="1">
      <c r="A10" s="45" t="s">
        <v>217</v>
      </c>
      <c r="B10" s="45">
        <v>44</v>
      </c>
      <c r="C10" s="45">
        <f>+B10+1</f>
        <v>45</v>
      </c>
      <c r="D10" s="45">
        <f t="shared" ref="D10:X10" si="1">+C10+1</f>
        <v>46</v>
      </c>
      <c r="E10" s="45">
        <f t="shared" si="1"/>
        <v>47</v>
      </c>
      <c r="F10" s="45">
        <f t="shared" si="1"/>
        <v>48</v>
      </c>
      <c r="G10" s="45">
        <f t="shared" si="1"/>
        <v>49</v>
      </c>
      <c r="H10" s="45">
        <f t="shared" si="1"/>
        <v>50</v>
      </c>
      <c r="I10" s="45">
        <f t="shared" si="1"/>
        <v>51</v>
      </c>
      <c r="J10" s="45">
        <f t="shared" si="1"/>
        <v>52</v>
      </c>
      <c r="K10" s="45">
        <f t="shared" si="1"/>
        <v>53</v>
      </c>
      <c r="L10" s="45">
        <v>55</v>
      </c>
      <c r="M10" s="45">
        <v>57</v>
      </c>
      <c r="N10" s="45">
        <v>59</v>
      </c>
      <c r="O10" s="45">
        <f t="shared" si="1"/>
        <v>60</v>
      </c>
      <c r="P10" s="45">
        <f t="shared" si="1"/>
        <v>61</v>
      </c>
      <c r="Q10" s="45">
        <f t="shared" si="1"/>
        <v>62</v>
      </c>
      <c r="R10" s="45">
        <f t="shared" si="1"/>
        <v>63</v>
      </c>
      <c r="S10" s="45">
        <f t="shared" si="1"/>
        <v>64</v>
      </c>
      <c r="T10" s="45">
        <f t="shared" si="1"/>
        <v>65</v>
      </c>
      <c r="U10" s="45">
        <f t="shared" si="1"/>
        <v>66</v>
      </c>
      <c r="V10" s="45">
        <f t="shared" si="1"/>
        <v>67</v>
      </c>
      <c r="W10" s="45">
        <f t="shared" si="1"/>
        <v>68</v>
      </c>
      <c r="X10" s="45">
        <f t="shared" si="1"/>
        <v>69</v>
      </c>
    </row>
    <row r="11" spans="1:28" s="45" customFormat="1" hidden="1">
      <c r="A11" s="45" t="s">
        <v>216</v>
      </c>
      <c r="B11" s="169">
        <f>LOOKUP(B10,Titles!$A$11:$A$79,Titles!$C$11:$C$79)</f>
        <v>57</v>
      </c>
      <c r="C11" s="169">
        <f>LOOKUP(C10,Titles!$A$11:$A$79,Titles!$C$11:$C$79)</f>
        <v>59</v>
      </c>
      <c r="D11" s="169">
        <f>LOOKUP(D10,Titles!$A$11:$A$79,Titles!$C$11:$C$79)</f>
        <v>72</v>
      </c>
      <c r="E11" s="169">
        <f>LOOKUP(E10,Titles!$A$11:$A$79,Titles!$C$11:$C$79)</f>
        <v>62</v>
      </c>
      <c r="F11" s="169">
        <f>LOOKUP(F10,Titles!$A$11:$A$79,Titles!$C$11:$C$79)</f>
        <v>69</v>
      </c>
      <c r="G11" s="169">
        <f>LOOKUP(G10,Titles!$A$11:$A$79,Titles!$C$11:$C$79)</f>
        <v>67</v>
      </c>
      <c r="H11" s="169">
        <f>LOOKUP(H10,Titles!$A$11:$A$79,Titles!$C$11:$C$79)</f>
        <v>68</v>
      </c>
      <c r="I11" s="169">
        <f>LOOKUP(I10,Titles!$A$11:$A$79,Titles!$C$11:$C$79)</f>
        <v>70</v>
      </c>
      <c r="J11" s="169">
        <f>LOOKUP(J10,Titles!$A$11:$A$79,Titles!$C$11:$C$79)</f>
        <v>71</v>
      </c>
      <c r="K11" s="169">
        <f>LOOKUP(K10,Titles!$A$11:$A$79,Titles!$C$11:$C$79)</f>
        <v>73</v>
      </c>
      <c r="L11" s="169">
        <f>LOOKUP(L10,Titles!$A$11:$A$79,Titles!$C$11:$C$79)</f>
        <v>74</v>
      </c>
      <c r="M11" s="169">
        <f>LOOKUP(M10,Titles!$A$11:$A$79,Titles!$C$11:$C$79)</f>
        <v>78</v>
      </c>
      <c r="N11" s="169">
        <f>LOOKUP(N10,Titles!$A$11:$A$79,Titles!$C$11:$C$79)</f>
        <v>76</v>
      </c>
      <c r="O11" s="169">
        <f>LOOKUP(O10,Titles!$A$11:$A$79,Titles!$C$11:$C$79)</f>
        <v>58</v>
      </c>
      <c r="P11" s="169">
        <f>LOOKUP(P10,Titles!$A$11:$A$79,Titles!$C$11:$C$79)</f>
        <v>80</v>
      </c>
      <c r="Q11" s="169">
        <f>LOOKUP(Q10,Titles!$A$11:$A$79,Titles!$C$11:$C$79)</f>
        <v>63</v>
      </c>
      <c r="R11" s="169">
        <f>LOOKUP(R10,Titles!$A$11:$A$79,Titles!$C$11:$C$79)</f>
        <v>64</v>
      </c>
      <c r="S11" s="169">
        <f>LOOKUP(S10,Titles!$A$11:$A$79,Titles!$C$11:$C$79)</f>
        <v>66</v>
      </c>
      <c r="T11" s="169">
        <f>LOOKUP(T10,Titles!$A$11:$A$79,Titles!$C$11:$C$79)</f>
        <v>65</v>
      </c>
      <c r="U11" s="169">
        <f>LOOKUP(U10,Titles!$A$11:$A$79,Titles!$C$11:$C$79)</f>
        <v>61</v>
      </c>
      <c r="V11" s="169">
        <f>LOOKUP(V10,Titles!$A$11:$A$79,Titles!$C$11:$C$79)</f>
        <v>81</v>
      </c>
      <c r="W11" s="169">
        <f>LOOKUP(W10,Titles!$A$11:$A$79,Titles!$C$11:$C$79)</f>
        <v>56</v>
      </c>
      <c r="X11" s="169">
        <f>LOOKUP(X10,Titles!$A$11:$A$79,Titles!$C$11:$C$79)</f>
        <v>60</v>
      </c>
      <c r="Y11" s="169"/>
      <c r="Z11" s="169"/>
    </row>
    <row r="12" spans="1:28" s="127" customFormat="1" ht="34.5" customHeight="1" thickTop="1">
      <c r="A12" s="230"/>
      <c r="B12" s="376" t="str">
        <f>LOOKUP(B10,Titles!$A$11:$A$79,Titles!$D$11:$D$79)</f>
        <v>APA</v>
      </c>
      <c r="C12" s="376" t="str">
        <f>LOOKUP(C10,Titles!$A$11:$A$79,Titles!$D$11:$D$79)</f>
        <v>AMMO</v>
      </c>
      <c r="D12" s="376" t="str">
        <f>LOOKUP(D10,Titles!$A$11:$A$79,Titles!$D$11:$D$79)</f>
        <v>BRAC</v>
      </c>
      <c r="E12" s="376" t="str">
        <f>LOOKUP(E10,Titles!$A$11:$A$79,Titles!$D$11:$D$79)</f>
        <v>CIVPAY</v>
      </c>
      <c r="F12" s="376" t="str">
        <f>LOOKUP(F10,Titles!$A$11:$A$79,Titles!$D$11:$D$79)</f>
        <v>AFHC</v>
      </c>
      <c r="G12" s="376" t="str">
        <f>LOOKUP(G10,Titles!$A$11:$A$79,Titles!$D$11:$D$79)</f>
        <v>AFHO</v>
      </c>
      <c r="H12" s="376" t="str">
        <f>LOOKUP(H10,Titles!$A$11:$A$79,Titles!$D$11:$D$79)</f>
        <v>MCA</v>
      </c>
      <c r="I12" s="376" t="str">
        <f>LOOKUP(I10,Titles!$A$11:$A$79,Titles!$D$11:$D$79)</f>
        <v>MCANG</v>
      </c>
      <c r="J12" s="376" t="str">
        <f>LOOKUP(J10,Titles!$A$11:$A$79,Titles!$D$11:$D$79)</f>
        <v>MCAR</v>
      </c>
      <c r="K12" s="376" t="str">
        <f>LOOKUP(K10,Titles!$A$11:$A$79,Titles!$D$11:$D$79)</f>
        <v>MPA pay</v>
      </c>
      <c r="L12" s="376" t="str">
        <f>LOOKUP(L10,Titles!$A$11:$A$79,Titles!$D$11:$D$79)</f>
        <v>MPA non-pay</v>
      </c>
      <c r="M12" s="376" t="str">
        <f>LOOKUP(M10,Titles!$A$11:$A$79,Titles!$D$11:$D$79)</f>
        <v>MPANG non-pay</v>
      </c>
      <c r="N12" s="376" t="str">
        <f>LOOKUP(N10,Titles!$A$11:$A$79,Titles!$D$11:$D$79)</f>
        <v>MPAR non-pay</v>
      </c>
      <c r="O12" s="376" t="str">
        <f>LOOKUP(O10,Titles!$A$11:$A$79,Titles!$D$11:$D$79)</f>
        <v>MIPA</v>
      </c>
      <c r="P12" s="376" t="str">
        <f>LOOKUP(P10,Titles!$A$11:$A$79,Titles!$D$11:$D$79)</f>
        <v>DERA</v>
      </c>
      <c r="Q12" s="376" t="str">
        <f>LOOKUP(Q10,Titles!$A$11:$A$79,Titles!$D$11:$D$79)</f>
        <v>OMA</v>
      </c>
      <c r="R12" s="376" t="str">
        <f>LOOKUP(R10,Titles!$A$11:$A$79,Titles!$D$11:$D$79)</f>
        <v>OMA_F</v>
      </c>
      <c r="S12" s="376" t="str">
        <f>LOOKUP(S10,Titles!$A$11:$A$79,Titles!$D$11:$D$79)</f>
        <v>OMANG</v>
      </c>
      <c r="T12" s="376" t="str">
        <f>LOOKUP(T10,Titles!$A$11:$A$79,Titles!$D$11:$D$79)</f>
        <v>OMAR</v>
      </c>
      <c r="U12" s="376" t="str">
        <f>LOOKUP(U10,Titles!$A$11:$A$79,Titles!$D$11:$D$79)</f>
        <v>OPA</v>
      </c>
      <c r="V12" s="376" t="str">
        <f>LOOKUP(V10,Titles!$A$11:$A$79,Titles!$D$11:$D$79)</f>
        <v>CDA</v>
      </c>
      <c r="W12" s="376" t="str">
        <f>LOOKUP(W10,Titles!$A$11:$A$79,Titles!$D$11:$D$79)</f>
        <v>RDTEA</v>
      </c>
      <c r="X12" s="376" t="str">
        <f>LOOKUP(X10,Titles!$A$11:$A$79,Titles!$D$11:$D$79)</f>
        <v>WTCV</v>
      </c>
      <c r="Y12" s="681"/>
      <c r="Z12" s="681"/>
      <c r="AA12" s="127" t="s">
        <v>734</v>
      </c>
      <c r="AB12" s="127" t="s">
        <v>735</v>
      </c>
    </row>
    <row r="13" spans="1:28" s="122" customFormat="1">
      <c r="A13" s="121">
        <v>1985</v>
      </c>
      <c r="B13" s="120">
        <f>IF($J$7=1,HLOOKUP(B$11,index1970,Query!$O48)/B$9,IF($J$7=2,HLOOKUP(B$11,index1970,Query!$O48)/B$9 * HLOOKUP(B$11,comboutfac,Query!$O48),HLOOKUP(B$11,index1970,Query!$O48)/B$9 * HLOOKUP(B$11,comboutfac,Query!$O48) /B$8))</f>
        <v>0.60037095638019888</v>
      </c>
      <c r="C13" s="120">
        <f>IF($J$7=1,HLOOKUP(C$11,index1970,Query!$O48)/C$9,IF($J$7=2,HLOOKUP(C$11,index1970,Query!$O48)/C$9 * HLOOKUP(C$11,comboutfac,Query!$O48),HLOOKUP(C$11,index1970,Query!$O48)/C$9 * HLOOKUP(C$11,comboutfac,Query!$O48) /C$8))</f>
        <v>0.59767735375914888</v>
      </c>
      <c r="D13" s="120">
        <f>IF($J$7=1,HLOOKUP(D$11,index1970,Query!$O48)/D$9,IF($J$7=2,HLOOKUP(D$11,index1970,Query!$O48)/D$9 * HLOOKUP(D$11,comboutfac,Query!$O48),HLOOKUP(D$11,index1970,Query!$O48)/D$9 * HLOOKUP(D$11,comboutfac,Query!$O48) /D$8))</f>
        <v>0</v>
      </c>
      <c r="E13" s="120">
        <f>IF($J$7=1,HLOOKUP(E$11,index1970,Query!$O48)/E$9,IF($J$7=2,HLOOKUP(E$11,index1970,Query!$O48)/E$9 * HLOOKUP(E$11,comboutfac,Query!$O48),HLOOKUP(E$11,index1970,Query!$O48)/E$9 * HLOOKUP(E$11,comboutfac,Query!$O48) /E$8))</f>
        <v>0.44623635393620736</v>
      </c>
      <c r="F13" s="120">
        <f>IF($J$7=1,HLOOKUP(F$11,index1970,Query!$O48)/F$9,IF($J$7=2,HLOOKUP(F$11,index1970,Query!$O48)/F$9 * HLOOKUP(F$11,comboutfac,Query!$O48),HLOOKUP(F$11,index1970,Query!$O48)/F$9 * HLOOKUP(F$11,comboutfac,Query!$O48) /F$8))</f>
        <v>0.60675906777604549</v>
      </c>
      <c r="G13" s="120">
        <f>IF($J$7=1,HLOOKUP(G$11,index1970,Query!$O48)/G$9,IF($J$7=2,HLOOKUP(G$11,index1970,Query!$O48)/G$9 * HLOOKUP(G$11,comboutfac,Query!$O48),HLOOKUP(G$11,index1970,Query!$O48)/G$9 * HLOOKUP(G$11,comboutfac,Query!$O48) /G$8))</f>
        <v>0.58152760230112188</v>
      </c>
      <c r="H13" s="120">
        <f>IF($J$7=1,HLOOKUP(H$11,index1970,Query!$O48)/H$9,IF($J$7=2,HLOOKUP(H$11,index1970,Query!$O48)/H$9 * HLOOKUP(H$11,comboutfac,Query!$O48),HLOOKUP(H$11,index1970,Query!$O48)/H$9 * HLOOKUP(H$11,comboutfac,Query!$O48) /H$8))</f>
        <v>0.60639884136127509</v>
      </c>
      <c r="I13" s="120">
        <f>IF($J$7=1,HLOOKUP(I$11,index1970,Query!$O48)/I$9,IF($J$7=2,HLOOKUP(I$11,index1970,Query!$O48)/I$9 * HLOOKUP(I$11,comboutfac,Query!$O48),HLOOKUP(I$11,index1970,Query!$O48)/I$9 * HLOOKUP(I$11,comboutfac,Query!$O48) /I$8))</f>
        <v>0.60591564487774163</v>
      </c>
      <c r="J13" s="120">
        <f>IF($J$7=1,HLOOKUP(J$11,index1970,Query!$O48)/J$9,IF($J$7=2,HLOOKUP(J$11,index1970,Query!$O48)/J$9 * HLOOKUP(J$11,comboutfac,Query!$O48),HLOOKUP(J$11,index1970,Query!$O48)/J$9 * HLOOKUP(J$11,comboutfac,Query!$O48) /J$8))</f>
        <v>0.59603210801398765</v>
      </c>
      <c r="K13" s="120">
        <f>IF($J$7=1,HLOOKUP(K$11,index1970,Query!$O48)/K$9,IF($J$7=2,HLOOKUP(K$11,index1970,Query!$O48)/K$9 * HLOOKUP(K$11,comboutfac,Query!$O48),HLOOKUP(K$11,index1970,Query!$O48)/K$9 * HLOOKUP(K$11,comboutfac,Query!$O48) /K$8))</f>
        <v>0.42214319360166708</v>
      </c>
      <c r="L13" s="120">
        <f>IF($J$7=1,HLOOKUP(L$11,index1970,Query!$O48)/L$9,IF($J$7=2,HLOOKUP(L$11,index1970,Query!$O48)/L$9 * HLOOKUP(L$11,comboutfac,Query!$O48),HLOOKUP(L$11,index1970,Query!$O48)/L$9 * HLOOKUP(L$11,comboutfac,Query!$O48) /L$8))</f>
        <v>0.57860158546678597</v>
      </c>
      <c r="M13" s="120">
        <f>IF($J$7=1,HLOOKUP(M$11,index1970,Query!$O48)/M$9,IF($J$7=2,HLOOKUP(M$11,index1970,Query!$O48)/M$9 * HLOOKUP(M$11,comboutfac,Query!$O48),HLOOKUP(M$11,index1970,Query!$O48)/M$9 * HLOOKUP(M$11,comboutfac,Query!$O48) /M$8))</f>
        <v>0</v>
      </c>
      <c r="N13" s="120">
        <f>IF($J$7=1,HLOOKUP(N$11,index1970,Query!$O48)/N$9,IF($J$7=2,HLOOKUP(N$11,index1970,Query!$O48)/N$9 * HLOOKUP(N$11,comboutfac,Query!$O48),HLOOKUP(N$11,index1970,Query!$O48)/N$9 * HLOOKUP(N$11,comboutfac,Query!$O48) /N$8))</f>
        <v>0</v>
      </c>
      <c r="O13" s="120">
        <f>IF($J$7=1,HLOOKUP(O$11,index1970,Query!$O48)/O$9,IF($J$7=2,HLOOKUP(O$11,index1970,Query!$O48)/O$9 * HLOOKUP(O$11,comboutfac,Query!$O48),HLOOKUP(O$11,index1970,Query!$O48)/O$9 * HLOOKUP(O$11,comboutfac,Query!$O48) /O$8))</f>
        <v>0.60197669413447141</v>
      </c>
      <c r="P13" s="120">
        <f>IF($J$7=1,HLOOKUP(P$11,index1970,Query!$O48)/P$9,IF($J$7=2,HLOOKUP(P$11,index1970,Query!$O48)/P$9 * HLOOKUP(P$11,comboutfac,Query!$O48),HLOOKUP(P$11,index1970,Query!$O48)/P$9 * HLOOKUP(P$11,comboutfac,Query!$O48) /P$8))</f>
        <v>0</v>
      </c>
      <c r="Q13" s="120">
        <f>IF($J$7=1,HLOOKUP(Q$11,index1970,Query!$O48)/Q$9,IF($J$7=2,HLOOKUP(Q$11,index1970,Query!$O48)/Q$9 * HLOOKUP(Q$11,comboutfac,Query!$O48),HLOOKUP(Q$11,index1970,Query!$O48)/Q$9 * HLOOKUP(Q$11,comboutfac,Query!$O48) /Q$8))</f>
        <v>0.58154218888331155</v>
      </c>
      <c r="R13" s="120">
        <f>IF($J$7=1,HLOOKUP(R$11,index1970,Query!$O48)/R$9,IF($J$7=2,HLOOKUP(R$11,index1970,Query!$O48)/R$9 * HLOOKUP(R$11,comboutfac,Query!$O48),HLOOKUP(R$11,index1970,Query!$O48)/R$9 * HLOOKUP(R$11,comboutfac,Query!$O48) /R$8))</f>
        <v>0.41337514747110882</v>
      </c>
      <c r="S13" s="120">
        <f>IF($J$7=1,HLOOKUP(S$11,index1970,Query!$O48)/S$9,IF($J$7=2,HLOOKUP(S$11,index1970,Query!$O48)/S$9 * HLOOKUP(S$11,comboutfac,Query!$O48),HLOOKUP(S$11,index1970,Query!$O48)/S$9 * HLOOKUP(S$11,comboutfac,Query!$O48) /S$8))</f>
        <v>0.63312930281252311</v>
      </c>
      <c r="T13" s="120">
        <f>IF($J$7=1,HLOOKUP(T$11,index1970,Query!$O48)/T$9,IF($J$7=2,HLOOKUP(T$11,index1970,Query!$O48)/T$9 * HLOOKUP(T$11,comboutfac,Query!$O48),HLOOKUP(T$11,index1970,Query!$O48)/T$9 * HLOOKUP(T$11,comboutfac,Query!$O48) /T$8))</f>
        <v>0.58101519470798468</v>
      </c>
      <c r="U13" s="120">
        <f>IF($J$7=1,HLOOKUP(U$11,index1970,Query!$O48)/U$9,IF($J$7=2,HLOOKUP(U$11,index1970,Query!$O48)/U$9 * HLOOKUP(U$11,comboutfac,Query!$O48),HLOOKUP(U$11,index1970,Query!$O48)/U$9 * HLOOKUP(U$11,comboutfac,Query!$O48) /U$8))</f>
        <v>0.60586972324754429</v>
      </c>
      <c r="V13" s="120">
        <f>IF($J$7=1,HLOOKUP(V$11,index1970,Query!$O48)/V$9,IF($J$7=2,HLOOKUP(V$11,index1970,Query!$O48)/V$9 * HLOOKUP(V$11,comboutfac,Query!$O48),HLOOKUP(V$11,index1970,Query!$O48)/V$9 * HLOOKUP(V$11,comboutfac,Query!$O48) /V$8))</f>
        <v>0</v>
      </c>
      <c r="W13" s="120">
        <f>IF($J$7=1,HLOOKUP(W$11,index1970,Query!$O48)/W$9,IF($J$7=2,HLOOKUP(W$11,index1970,Query!$O48)/W$9 * HLOOKUP(W$11,comboutfac,Query!$O48),HLOOKUP(W$11,index1970,Query!$O48)/W$9 * HLOOKUP(W$11,comboutfac,Query!$O48) /W$8))</f>
        <v>0.58608253523167708</v>
      </c>
      <c r="X13" s="120">
        <f>IF($J$7=1,HLOOKUP(X$11,index1970,Query!$O48)/X$9,IF($J$7=2,HLOOKUP(X$11,index1970,Query!$O48)/X$9 * HLOOKUP(X$11,comboutfac,Query!$O48),HLOOKUP(X$11,index1970,Query!$O48)/X$9 * HLOOKUP(X$11,comboutfac,Query!$O48) /X$8))</f>
        <v>0.60276128157190068</v>
      </c>
      <c r="Y13" s="682"/>
      <c r="Z13" s="682"/>
    </row>
    <row r="14" spans="1:28" s="122" customFormat="1">
      <c r="A14" s="121">
        <f t="shared" ref="A14:A52" si="2">+A13+1</f>
        <v>1986</v>
      </c>
      <c r="B14" s="120">
        <f>IF($J$7=1,HLOOKUP(B$11,index1970,Query!$O49)/B$9,IF($J$7=2,HLOOKUP(B$11,index1970,Query!$O49)/B$9 * HLOOKUP(B$11,comboutfac,Query!$O49),HLOOKUP(B$11,index1970,Query!$O49)/B$9 * HLOOKUP(B$11,comboutfac,Query!$O49) /B$8))</f>
        <v>0.61663178209037761</v>
      </c>
      <c r="C14" s="120">
        <f>IF($J$7=1,HLOOKUP(C$11,index1970,Query!$O49)/C$9,IF($J$7=2,HLOOKUP(C$11,index1970,Query!$O49)/C$9 * HLOOKUP(C$11,comboutfac,Query!$O49),HLOOKUP(C$11,index1970,Query!$O49)/C$9 * HLOOKUP(C$11,comboutfac,Query!$O49) /C$8))</f>
        <v>0.61368572378964203</v>
      </c>
      <c r="D14" s="120">
        <f>IF($J$7=1,HLOOKUP(D$11,index1970,Query!$O49)/D$9,IF($J$7=2,HLOOKUP(D$11,index1970,Query!$O49)/D$9 * HLOOKUP(D$11,comboutfac,Query!$O49),HLOOKUP(D$11,index1970,Query!$O49)/D$9 * HLOOKUP(D$11,comboutfac,Query!$O49) /D$8))</f>
        <v>0</v>
      </c>
      <c r="E14" s="120">
        <f>IF($J$7=1,HLOOKUP(E$11,index1970,Query!$O49)/E$9,IF($J$7=2,HLOOKUP(E$11,index1970,Query!$O49)/E$9 * HLOOKUP(E$11,comboutfac,Query!$O49),HLOOKUP(E$11,index1970,Query!$O49)/E$9 * HLOOKUP(E$11,comboutfac,Query!$O49) /E$8))</f>
        <v>0.45026841105220627</v>
      </c>
      <c r="F14" s="120">
        <f>IF($J$7=1,HLOOKUP(F$11,index1970,Query!$O49)/F$9,IF($J$7=2,HLOOKUP(F$11,index1970,Query!$O49)/F$9 * HLOOKUP(F$11,comboutfac,Query!$O49),HLOOKUP(F$11,index1970,Query!$O49)/F$9 * HLOOKUP(F$11,comboutfac,Query!$O49) /F$8))</f>
        <v>0.62929125478169645</v>
      </c>
      <c r="G14" s="120">
        <f>IF($J$7=1,HLOOKUP(G$11,index1970,Query!$O49)/G$9,IF($J$7=2,HLOOKUP(G$11,index1970,Query!$O49)/G$9 * HLOOKUP(G$11,comboutfac,Query!$O49),HLOOKUP(G$11,index1970,Query!$O49)/G$9 * HLOOKUP(G$11,comboutfac,Query!$O49) /G$8))</f>
        <v>0.5977768318043386</v>
      </c>
      <c r="H14" s="120">
        <f>IF($J$7=1,HLOOKUP(H$11,index1970,Query!$O49)/H$9,IF($J$7=2,HLOOKUP(H$11,index1970,Query!$O49)/H$9 * HLOOKUP(H$11,comboutfac,Query!$O49),HLOOKUP(H$11,index1970,Query!$O49)/H$9 * HLOOKUP(H$11,comboutfac,Query!$O49) /H$8))</f>
        <v>0.62650020581733668</v>
      </c>
      <c r="I14" s="120">
        <f>IF($J$7=1,HLOOKUP(I$11,index1970,Query!$O49)/I$9,IF($J$7=2,HLOOKUP(I$11,index1970,Query!$O49)/I$9 * HLOOKUP(I$11,comboutfac,Query!$O49),HLOOKUP(I$11,index1970,Query!$O49)/I$9 * HLOOKUP(I$11,comboutfac,Query!$O49) /I$8))</f>
        <v>0.62691960052275697</v>
      </c>
      <c r="J14" s="120">
        <f>IF($J$7=1,HLOOKUP(J$11,index1970,Query!$O49)/J$9,IF($J$7=2,HLOOKUP(J$11,index1970,Query!$O49)/J$9 * HLOOKUP(J$11,comboutfac,Query!$O49),HLOOKUP(J$11,index1970,Query!$O49)/J$9 * HLOOKUP(J$11,comboutfac,Query!$O49) /J$8))</f>
        <v>0.60930238891284638</v>
      </c>
      <c r="K14" s="120">
        <f>IF($J$7=1,HLOOKUP(K$11,index1970,Query!$O49)/K$9,IF($J$7=2,HLOOKUP(K$11,index1970,Query!$O49)/K$9 * HLOOKUP(K$11,comboutfac,Query!$O49),HLOOKUP(K$11,index1970,Query!$O49)/K$9 * HLOOKUP(K$11,comboutfac,Query!$O49) /K$8))</f>
        <v>0.43902892134573379</v>
      </c>
      <c r="L14" s="120">
        <f>IF($J$7=1,HLOOKUP(L$11,index1970,Query!$O49)/L$9,IF($J$7=2,HLOOKUP(L$11,index1970,Query!$O49)/L$9 * HLOOKUP(L$11,comboutfac,Query!$O49),HLOOKUP(L$11,index1970,Query!$O49)/L$9 * HLOOKUP(L$11,comboutfac,Query!$O49) /L$8))</f>
        <v>0.59356278465925416</v>
      </c>
      <c r="M14" s="120">
        <f>IF($J$7=1,HLOOKUP(M$11,index1970,Query!$O49)/M$9,IF($J$7=2,HLOOKUP(M$11,index1970,Query!$O49)/M$9 * HLOOKUP(M$11,comboutfac,Query!$O49),HLOOKUP(M$11,index1970,Query!$O49)/M$9 * HLOOKUP(M$11,comboutfac,Query!$O49) /M$8))</f>
        <v>0</v>
      </c>
      <c r="N14" s="120">
        <f>IF($J$7=1,HLOOKUP(N$11,index1970,Query!$O49)/N$9,IF($J$7=2,HLOOKUP(N$11,index1970,Query!$O49)/N$9 * HLOOKUP(N$11,comboutfac,Query!$O49),HLOOKUP(N$11,index1970,Query!$O49)/N$9 * HLOOKUP(N$11,comboutfac,Query!$O49) /N$8))</f>
        <v>0</v>
      </c>
      <c r="O14" s="120">
        <f>IF($J$7=1,HLOOKUP(O$11,index1970,Query!$O49)/O$9,IF($J$7=2,HLOOKUP(O$11,index1970,Query!$O49)/O$9 * HLOOKUP(O$11,comboutfac,Query!$O49),HLOOKUP(O$11,index1970,Query!$O49)/O$9 * HLOOKUP(O$11,comboutfac,Query!$O49) /O$8))</f>
        <v>0.622784345681203</v>
      </c>
      <c r="P14" s="120">
        <f>IF($J$7=1,HLOOKUP(P$11,index1970,Query!$O49)/P$9,IF($J$7=2,HLOOKUP(P$11,index1970,Query!$O49)/P$9 * HLOOKUP(P$11,comboutfac,Query!$O49),HLOOKUP(P$11,index1970,Query!$O49)/P$9 * HLOOKUP(P$11,comboutfac,Query!$O49) /P$8))</f>
        <v>0</v>
      </c>
      <c r="Q14" s="120">
        <f>IF($J$7=1,HLOOKUP(Q$11,index1970,Query!$O49)/Q$9,IF($J$7=2,HLOOKUP(Q$11,index1970,Query!$O49)/Q$9 * HLOOKUP(Q$11,comboutfac,Query!$O49),HLOOKUP(Q$11,index1970,Query!$O49)/Q$9 * HLOOKUP(Q$11,comboutfac,Query!$O49) /Q$8))</f>
        <v>0.59828947375143915</v>
      </c>
      <c r="R14" s="120">
        <f>IF($J$7=1,HLOOKUP(R$11,index1970,Query!$O49)/R$9,IF($J$7=2,HLOOKUP(R$11,index1970,Query!$O49)/R$9 * HLOOKUP(R$11,comboutfac,Query!$O49),HLOOKUP(R$11,index1970,Query!$O49)/R$9 * HLOOKUP(R$11,comboutfac,Query!$O49) /R$8))</f>
        <v>0.35818728266355693</v>
      </c>
      <c r="S14" s="120">
        <f>IF($J$7=1,HLOOKUP(S$11,index1970,Query!$O49)/S$9,IF($J$7=2,HLOOKUP(S$11,index1970,Query!$O49)/S$9 * HLOOKUP(S$11,comboutfac,Query!$O49),HLOOKUP(S$11,index1970,Query!$O49)/S$9 * HLOOKUP(S$11,comboutfac,Query!$O49) /S$8))</f>
        <v>0.59602618780950389</v>
      </c>
      <c r="T14" s="120">
        <f>IF($J$7=1,HLOOKUP(T$11,index1970,Query!$O49)/T$9,IF($J$7=2,HLOOKUP(T$11,index1970,Query!$O49)/T$9 * HLOOKUP(T$11,comboutfac,Query!$O49),HLOOKUP(T$11,index1970,Query!$O49)/T$9 * HLOOKUP(T$11,comboutfac,Query!$O49) /T$8))</f>
        <v>0.59770974508190866</v>
      </c>
      <c r="U14" s="120">
        <f>IF($J$7=1,HLOOKUP(U$11,index1970,Query!$O49)/U$9,IF($J$7=2,HLOOKUP(U$11,index1970,Query!$O49)/U$9 * HLOOKUP(U$11,comboutfac,Query!$O49),HLOOKUP(U$11,index1970,Query!$O49)/U$9 * HLOOKUP(U$11,comboutfac,Query!$O49) /U$8))</f>
        <v>0.62253235394565709</v>
      </c>
      <c r="V14" s="120">
        <f>IF($J$7=1,HLOOKUP(V$11,index1970,Query!$O49)/V$9,IF($J$7=2,HLOOKUP(V$11,index1970,Query!$O49)/V$9 * HLOOKUP(V$11,comboutfac,Query!$O49),HLOOKUP(V$11,index1970,Query!$O49)/V$9 * HLOOKUP(V$11,comboutfac,Query!$O49) /V$8))</f>
        <v>0</v>
      </c>
      <c r="W14" s="120">
        <f>IF($J$7=1,HLOOKUP(W$11,index1970,Query!$O49)/W$9,IF($J$7=2,HLOOKUP(W$11,index1970,Query!$O49)/W$9 * HLOOKUP(W$11,comboutfac,Query!$O49),HLOOKUP(W$11,index1970,Query!$O49)/W$9 * HLOOKUP(W$11,comboutfac,Query!$O49) /W$8))</f>
        <v>0.60294116844239198</v>
      </c>
      <c r="X14" s="120">
        <f>IF($J$7=1,HLOOKUP(X$11,index1970,Query!$O49)/X$9,IF($J$7=2,HLOOKUP(X$11,index1970,Query!$O49)/X$9 * HLOOKUP(X$11,comboutfac,Query!$O49),HLOOKUP(X$11,index1970,Query!$O49)/X$9 * HLOOKUP(X$11,comboutfac,Query!$O49) /X$8))</f>
        <v>0.62601506381145378</v>
      </c>
      <c r="Y14" s="682"/>
      <c r="Z14" s="682"/>
    </row>
    <row r="15" spans="1:28" s="122" customFormat="1">
      <c r="A15" s="121">
        <f t="shared" si="2"/>
        <v>1987</v>
      </c>
      <c r="B15" s="120">
        <f>IF($J$7=1,HLOOKUP(B$11,index1970,Query!$O50)/B$9,IF($J$7=2,HLOOKUP(B$11,index1970,Query!$O50)/B$9 * HLOOKUP(B$11,comboutfac,Query!$O50),HLOOKUP(B$11,index1970,Query!$O50)/B$9 * HLOOKUP(B$11,comboutfac,Query!$O50) /B$8))</f>
        <v>0.64059843095587787</v>
      </c>
      <c r="C15" s="120">
        <f>IF($J$7=1,HLOOKUP(C$11,index1970,Query!$O50)/C$9,IF($J$7=2,HLOOKUP(C$11,index1970,Query!$O50)/C$9 * HLOOKUP(C$11,comboutfac,Query!$O50),HLOOKUP(C$11,index1970,Query!$O50)/C$9 * HLOOKUP(C$11,comboutfac,Query!$O50) /C$8))</f>
        <v>0.63378822808898327</v>
      </c>
      <c r="D15" s="120">
        <f>IF($J$7=1,HLOOKUP(D$11,index1970,Query!$O50)/D$9,IF($J$7=2,HLOOKUP(D$11,index1970,Query!$O50)/D$9 * HLOOKUP(D$11,comboutfac,Query!$O50),HLOOKUP(D$11,index1970,Query!$O50)/D$9 * HLOOKUP(D$11,comboutfac,Query!$O50) /D$8))</f>
        <v>0</v>
      </c>
      <c r="E15" s="120">
        <f>IF($J$7=1,HLOOKUP(E$11,index1970,Query!$O50)/E$9,IF($J$7=2,HLOOKUP(E$11,index1970,Query!$O50)/E$9 * HLOOKUP(E$11,comboutfac,Query!$O50),HLOOKUP(E$11,index1970,Query!$O50)/E$9 * HLOOKUP(E$11,comboutfac,Query!$O50) /E$8))</f>
        <v>0.46038160349069529</v>
      </c>
      <c r="F15" s="120">
        <f>IF($J$7=1,HLOOKUP(F$11,index1970,Query!$O50)/F$9,IF($J$7=2,HLOOKUP(F$11,index1970,Query!$O50)/F$9 * HLOOKUP(F$11,comboutfac,Query!$O50),HLOOKUP(F$11,index1970,Query!$O50)/F$9 * HLOOKUP(F$11,comboutfac,Query!$O50) /F$8))</f>
        <v>0.65997581284876128</v>
      </c>
      <c r="G15" s="120">
        <f>IF($J$7=1,HLOOKUP(G$11,index1970,Query!$O50)/G$9,IF($J$7=2,HLOOKUP(G$11,index1970,Query!$O50)/G$9 * HLOOKUP(G$11,comboutfac,Query!$O50),HLOOKUP(G$11,index1970,Query!$O50)/G$9 * HLOOKUP(G$11,comboutfac,Query!$O50) /G$8))</f>
        <v>0.61674399639454203</v>
      </c>
      <c r="H15" s="120">
        <f>IF($J$7=1,HLOOKUP(H$11,index1970,Query!$O50)/H$9,IF($J$7=2,HLOOKUP(H$11,index1970,Query!$O50)/H$9 * HLOOKUP(H$11,comboutfac,Query!$O50),HLOOKUP(H$11,index1970,Query!$O50)/H$9 * HLOOKUP(H$11,comboutfac,Query!$O50) /H$8))</f>
        <v>0.64810016543422744</v>
      </c>
      <c r="I15" s="120">
        <f>IF($J$7=1,HLOOKUP(I$11,index1970,Query!$O50)/I$9,IF($J$7=2,HLOOKUP(I$11,index1970,Query!$O50)/I$9 * HLOOKUP(I$11,comboutfac,Query!$O50),HLOOKUP(I$11,index1970,Query!$O50)/I$9 * HLOOKUP(I$11,comboutfac,Query!$O50) /I$8))</f>
        <v>0.63671397468227942</v>
      </c>
      <c r="J15" s="120">
        <f>IF($J$7=1,HLOOKUP(J$11,index1970,Query!$O50)/J$9,IF($J$7=2,HLOOKUP(J$11,index1970,Query!$O50)/J$9 * HLOOKUP(J$11,comboutfac,Query!$O50),HLOOKUP(J$11,index1970,Query!$O50)/J$9 * HLOOKUP(J$11,comboutfac,Query!$O50) /J$8))</f>
        <v>0.63090307967779791</v>
      </c>
      <c r="K15" s="120">
        <f>IF($J$7=1,HLOOKUP(K$11,index1970,Query!$O50)/K$9,IF($J$7=2,HLOOKUP(K$11,index1970,Query!$O50)/K$9 * HLOOKUP(K$11,comboutfac,Query!$O50),HLOOKUP(K$11,index1970,Query!$O50)/K$9 * HLOOKUP(K$11,comboutfac,Query!$O50) /K$8))</f>
        <v>0.44890707207601277</v>
      </c>
      <c r="L15" s="120">
        <f>IF($J$7=1,HLOOKUP(L$11,index1970,Query!$O50)/L$9,IF($J$7=2,HLOOKUP(L$11,index1970,Query!$O50)/L$9 * HLOOKUP(L$11,comboutfac,Query!$O50),HLOOKUP(L$11,index1970,Query!$O50)/L$9 * HLOOKUP(L$11,comboutfac,Query!$O50) /L$8))</f>
        <v>0.60973203993082559</v>
      </c>
      <c r="M15" s="120">
        <f>IF($J$7=1,HLOOKUP(M$11,index1970,Query!$O50)/M$9,IF($J$7=2,HLOOKUP(M$11,index1970,Query!$O50)/M$9 * HLOOKUP(M$11,comboutfac,Query!$O50),HLOOKUP(M$11,index1970,Query!$O50)/M$9 * HLOOKUP(M$11,comboutfac,Query!$O50) /M$8))</f>
        <v>0</v>
      </c>
      <c r="N15" s="120">
        <f>IF($J$7=1,HLOOKUP(N$11,index1970,Query!$O50)/N$9,IF($J$7=2,HLOOKUP(N$11,index1970,Query!$O50)/N$9 * HLOOKUP(N$11,comboutfac,Query!$O50),HLOOKUP(N$11,index1970,Query!$O50)/N$9 * HLOOKUP(N$11,comboutfac,Query!$O50) /N$8))</f>
        <v>0</v>
      </c>
      <c r="O15" s="120">
        <f>IF($J$7=1,HLOOKUP(O$11,index1970,Query!$O50)/O$9,IF($J$7=2,HLOOKUP(O$11,index1970,Query!$O50)/O$9 * HLOOKUP(O$11,comboutfac,Query!$O50),HLOOKUP(O$11,index1970,Query!$O50)/O$9 * HLOOKUP(O$11,comboutfac,Query!$O50) /O$8))</f>
        <v>0.64811725780254525</v>
      </c>
      <c r="P15" s="120">
        <f>IF($J$7=1,HLOOKUP(P$11,index1970,Query!$O50)/P$9,IF($J$7=2,HLOOKUP(P$11,index1970,Query!$O50)/P$9 * HLOOKUP(P$11,comboutfac,Query!$O50),HLOOKUP(P$11,index1970,Query!$O50)/P$9 * HLOOKUP(P$11,comboutfac,Query!$O50) /P$8))</f>
        <v>0</v>
      </c>
      <c r="Q15" s="120">
        <f>IF($J$7=1,HLOOKUP(Q$11,index1970,Query!$O50)/Q$9,IF($J$7=2,HLOOKUP(Q$11,index1970,Query!$O50)/Q$9 * HLOOKUP(Q$11,comboutfac,Query!$O50),HLOOKUP(Q$11,index1970,Query!$O50)/Q$9 * HLOOKUP(Q$11,comboutfac,Query!$O50) /Q$8))</f>
        <v>0.61651828414984966</v>
      </c>
      <c r="R15" s="120">
        <f>IF($J$7=1,HLOOKUP(R$11,index1970,Query!$O50)/R$9,IF($J$7=2,HLOOKUP(R$11,index1970,Query!$O50)/R$9 * HLOOKUP(R$11,comboutfac,Query!$O50),HLOOKUP(R$11,index1970,Query!$O50)/R$9 * HLOOKUP(R$11,comboutfac,Query!$O50) /R$8))</f>
        <v>0.32888138514066745</v>
      </c>
      <c r="S15" s="120">
        <f>IF($J$7=1,HLOOKUP(S$11,index1970,Query!$O50)/S$9,IF($J$7=2,HLOOKUP(S$11,index1970,Query!$O50)/S$9 * HLOOKUP(S$11,comboutfac,Query!$O50),HLOOKUP(S$11,index1970,Query!$O50)/S$9 * HLOOKUP(S$11,comboutfac,Query!$O50) /S$8))</f>
        <v>0.61633024347090881</v>
      </c>
      <c r="T15" s="120">
        <f>IF($J$7=1,HLOOKUP(T$11,index1970,Query!$O50)/T$9,IF($J$7=2,HLOOKUP(T$11,index1970,Query!$O50)/T$9 * HLOOKUP(T$11,comboutfac,Query!$O50),HLOOKUP(T$11,index1970,Query!$O50)/T$9 * HLOOKUP(T$11,comboutfac,Query!$O50) /T$8))</f>
        <v>0.61486296988709954</v>
      </c>
      <c r="U15" s="120">
        <f>IF($J$7=1,HLOOKUP(U$11,index1970,Query!$O50)/U$9,IF($J$7=2,HLOOKUP(U$11,index1970,Query!$O50)/U$9 * HLOOKUP(U$11,comboutfac,Query!$O50),HLOOKUP(U$11,index1970,Query!$O50)/U$9 * HLOOKUP(U$11,comboutfac,Query!$O50) /U$8))</f>
        <v>0.64449927961389897</v>
      </c>
      <c r="V15" s="120">
        <f>IF($J$7=1,HLOOKUP(V$11,index1970,Query!$O50)/V$9,IF($J$7=2,HLOOKUP(V$11,index1970,Query!$O50)/V$9 * HLOOKUP(V$11,comboutfac,Query!$O50),HLOOKUP(V$11,index1970,Query!$O50)/V$9 * HLOOKUP(V$11,comboutfac,Query!$O50) /V$8))</f>
        <v>0</v>
      </c>
      <c r="W15" s="120">
        <f>IF($J$7=1,HLOOKUP(W$11,index1970,Query!$O50)/W$9,IF($J$7=2,HLOOKUP(W$11,index1970,Query!$O50)/W$9 * HLOOKUP(W$11,comboutfac,Query!$O50),HLOOKUP(W$11,index1970,Query!$O50)/W$9 * HLOOKUP(W$11,comboutfac,Query!$O50) /W$8))</f>
        <v>0.62171341266835733</v>
      </c>
      <c r="X15" s="120">
        <f>IF($J$7=1,HLOOKUP(X$11,index1970,Query!$O50)/X$9,IF($J$7=2,HLOOKUP(X$11,index1970,Query!$O50)/X$9 * HLOOKUP(X$11,comboutfac,Query!$O50),HLOOKUP(X$11,index1970,Query!$O50)/X$9 * HLOOKUP(X$11,comboutfac,Query!$O50) /X$8))</f>
        <v>0.64388638588059766</v>
      </c>
      <c r="Y15" s="682"/>
      <c r="Z15" s="682"/>
    </row>
    <row r="16" spans="1:28" s="122" customFormat="1">
      <c r="A16" s="121">
        <f t="shared" si="2"/>
        <v>1988</v>
      </c>
      <c r="B16" s="120">
        <f>IF($J$7=1,HLOOKUP(B$11,index1970,Query!$O51)/B$9,IF($J$7=2,HLOOKUP(B$11,index1970,Query!$O51)/B$9 * HLOOKUP(B$11,comboutfac,Query!$O51),HLOOKUP(B$11,index1970,Query!$O51)/B$9 * HLOOKUP(B$11,comboutfac,Query!$O51) /B$8))</f>
        <v>0.6646435441641142</v>
      </c>
      <c r="C16" s="120">
        <f>IF($J$7=1,HLOOKUP(C$11,index1970,Query!$O51)/C$9,IF($J$7=2,HLOOKUP(C$11,index1970,Query!$O51)/C$9 * HLOOKUP(C$11,comboutfac,Query!$O51),HLOOKUP(C$11,index1970,Query!$O51)/C$9 * HLOOKUP(C$11,comboutfac,Query!$O51) /C$8))</f>
        <v>0.66503335833834154</v>
      </c>
      <c r="D16" s="120">
        <f>IF($J$7=1,HLOOKUP(D$11,index1970,Query!$O51)/D$9,IF($J$7=2,HLOOKUP(D$11,index1970,Query!$O51)/D$9 * HLOOKUP(D$11,comboutfac,Query!$O51),HLOOKUP(D$11,index1970,Query!$O51)/D$9 * HLOOKUP(D$11,comboutfac,Query!$O51) /D$8))</f>
        <v>0</v>
      </c>
      <c r="E16" s="120">
        <f>IF($J$7=1,HLOOKUP(E$11,index1970,Query!$O51)/E$9,IF($J$7=2,HLOOKUP(E$11,index1970,Query!$O51)/E$9 * HLOOKUP(E$11,comboutfac,Query!$O51),HLOOKUP(E$11,index1970,Query!$O51)/E$9 * HLOOKUP(E$11,comboutfac,Query!$O51) /E$8))</f>
        <v>0.47069309382013524</v>
      </c>
      <c r="F16" s="120">
        <f>IF($J$7=1,HLOOKUP(F$11,index1970,Query!$O51)/F$9,IF($J$7=2,HLOOKUP(F$11,index1970,Query!$O51)/F$9 * HLOOKUP(F$11,comboutfac,Query!$O51),HLOOKUP(F$11,index1970,Query!$O51)/F$9 * HLOOKUP(F$11,comboutfac,Query!$O51) /F$8))</f>
        <v>0.68187340975299149</v>
      </c>
      <c r="G16" s="120">
        <f>IF($J$7=1,HLOOKUP(G$11,index1970,Query!$O51)/G$9,IF($J$7=2,HLOOKUP(G$11,index1970,Query!$O51)/G$9 * HLOOKUP(G$11,comboutfac,Query!$O51),HLOOKUP(G$11,index1970,Query!$O51)/G$9 * HLOOKUP(G$11,comboutfac,Query!$O51) /G$8))</f>
        <v>0.63626235494161365</v>
      </c>
      <c r="H16" s="120">
        <f>IF($J$7=1,HLOOKUP(H$11,index1970,Query!$O51)/H$9,IF($J$7=2,HLOOKUP(H$11,index1970,Query!$O51)/H$9 * HLOOKUP(H$11,comboutfac,Query!$O51),HLOOKUP(H$11,index1970,Query!$O51)/H$9 * HLOOKUP(H$11,comboutfac,Query!$O51) /H$8))</f>
        <v>0.67176210978334638</v>
      </c>
      <c r="I16" s="120">
        <f>IF($J$7=1,HLOOKUP(I$11,index1970,Query!$O51)/I$9,IF($J$7=2,HLOOKUP(I$11,index1970,Query!$O51)/I$9 * HLOOKUP(I$11,comboutfac,Query!$O51),HLOOKUP(I$11,index1970,Query!$O51)/I$9 * HLOOKUP(I$11,comboutfac,Query!$O51) /I$8))</f>
        <v>0.66222475002117276</v>
      </c>
      <c r="J16" s="120">
        <f>IF($J$7=1,HLOOKUP(J$11,index1970,Query!$O51)/J$9,IF($J$7=2,HLOOKUP(J$11,index1970,Query!$O51)/J$9 * HLOOKUP(J$11,comboutfac,Query!$O51),HLOOKUP(J$11,index1970,Query!$O51)/J$9 * HLOOKUP(J$11,comboutfac,Query!$O51) /J$8))</f>
        <v>0.654109131174061</v>
      </c>
      <c r="K16" s="120">
        <f>IF($J$7=1,HLOOKUP(K$11,index1970,Query!$O51)/K$9,IF($J$7=2,HLOOKUP(K$11,index1970,Query!$O51)/K$9 * HLOOKUP(K$11,comboutfac,Query!$O51),HLOOKUP(K$11,index1970,Query!$O51)/K$9 * HLOOKUP(K$11,comboutfac,Query!$O51) /K$8))</f>
        <v>0.45898278582089735</v>
      </c>
      <c r="L16" s="120">
        <f>IF($J$7=1,HLOOKUP(L$11,index1970,Query!$O51)/L$9,IF($J$7=2,HLOOKUP(L$11,index1970,Query!$O51)/L$9 * HLOOKUP(L$11,comboutfac,Query!$O51),HLOOKUP(L$11,index1970,Query!$O51)/L$9 * HLOOKUP(L$11,comboutfac,Query!$O51) /L$8))</f>
        <v>0.62971830140715335</v>
      </c>
      <c r="M16" s="120">
        <f>IF($J$7=1,HLOOKUP(M$11,index1970,Query!$O51)/M$9,IF($J$7=2,HLOOKUP(M$11,index1970,Query!$O51)/M$9 * HLOOKUP(M$11,comboutfac,Query!$O51),HLOOKUP(M$11,index1970,Query!$O51)/M$9 * HLOOKUP(M$11,comboutfac,Query!$O51) /M$8))</f>
        <v>0</v>
      </c>
      <c r="N16" s="120">
        <f>IF($J$7=1,HLOOKUP(N$11,index1970,Query!$O51)/N$9,IF($J$7=2,HLOOKUP(N$11,index1970,Query!$O51)/N$9 * HLOOKUP(N$11,comboutfac,Query!$O51),HLOOKUP(N$11,index1970,Query!$O51)/N$9 * HLOOKUP(N$11,comboutfac,Query!$O51) /N$8))</f>
        <v>0</v>
      </c>
      <c r="O16" s="120">
        <f>IF($J$7=1,HLOOKUP(O$11,index1970,Query!$O51)/O$9,IF($J$7=2,HLOOKUP(O$11,index1970,Query!$O51)/O$9 * HLOOKUP(O$11,comboutfac,Query!$O51),HLOOKUP(O$11,index1970,Query!$O51)/O$9 * HLOOKUP(O$11,comboutfac,Query!$O51) /O$8))</f>
        <v>0.6706280821221875</v>
      </c>
      <c r="P16" s="120">
        <f>IF($J$7=1,HLOOKUP(P$11,index1970,Query!$O51)/P$9,IF($J$7=2,HLOOKUP(P$11,index1970,Query!$O51)/P$9 * HLOOKUP(P$11,comboutfac,Query!$O51),HLOOKUP(P$11,index1970,Query!$O51)/P$9 * HLOOKUP(P$11,comboutfac,Query!$O51) /P$8))</f>
        <v>0.65128460736260985</v>
      </c>
      <c r="Q16" s="120">
        <f>IF($J$7=1,HLOOKUP(Q$11,index1970,Query!$O51)/Q$9,IF($J$7=2,HLOOKUP(Q$11,index1970,Query!$O51)/Q$9 * HLOOKUP(Q$11,comboutfac,Query!$O51),HLOOKUP(Q$11,index1970,Query!$O51)/Q$9 * HLOOKUP(Q$11,comboutfac,Query!$O51) /Q$8))</f>
        <v>0.63824885344388038</v>
      </c>
      <c r="R16" s="120">
        <f>IF($J$7=1,HLOOKUP(R$11,index1970,Query!$O51)/R$9,IF($J$7=2,HLOOKUP(R$11,index1970,Query!$O51)/R$9 * HLOOKUP(R$11,comboutfac,Query!$O51),HLOOKUP(R$11,index1970,Query!$O51)/R$9 * HLOOKUP(R$11,comboutfac,Query!$O51) /R$8))</f>
        <v>0.27568160885853776</v>
      </c>
      <c r="S16" s="120">
        <f>IF($J$7=1,HLOOKUP(S$11,index1970,Query!$O51)/S$9,IF($J$7=2,HLOOKUP(S$11,index1970,Query!$O51)/S$9 * HLOOKUP(S$11,comboutfac,Query!$O51),HLOOKUP(S$11,index1970,Query!$O51)/S$9 * HLOOKUP(S$11,comboutfac,Query!$O51) /S$8))</f>
        <v>0.63700617333629994</v>
      </c>
      <c r="T16" s="120">
        <f>IF($J$7=1,HLOOKUP(T$11,index1970,Query!$O51)/T$9,IF($J$7=2,HLOOKUP(T$11,index1970,Query!$O51)/T$9 * HLOOKUP(T$11,comboutfac,Query!$O51),HLOOKUP(T$11,index1970,Query!$O51)/T$9 * HLOOKUP(T$11,comboutfac,Query!$O51) /T$8))</f>
        <v>0.6368116766535904</v>
      </c>
      <c r="U16" s="120">
        <f>IF($J$7=1,HLOOKUP(U$11,index1970,Query!$O51)/U$9,IF($J$7=2,HLOOKUP(U$11,index1970,Query!$O51)/U$9 * HLOOKUP(U$11,comboutfac,Query!$O51),HLOOKUP(U$11,index1970,Query!$O51)/U$9 * HLOOKUP(U$11,comboutfac,Query!$O51) /U$8))</f>
        <v>0.67158324411057413</v>
      </c>
      <c r="V16" s="120">
        <f>IF($J$7=1,HLOOKUP(V$11,index1970,Query!$O51)/V$9,IF($J$7=2,HLOOKUP(V$11,index1970,Query!$O51)/V$9 * HLOOKUP(V$11,comboutfac,Query!$O51),HLOOKUP(V$11,index1970,Query!$O51)/V$9 * HLOOKUP(V$11,comboutfac,Query!$O51) /V$8))</f>
        <v>0</v>
      </c>
      <c r="W16" s="120">
        <f>IF($J$7=1,HLOOKUP(W$11,index1970,Query!$O51)/W$9,IF($J$7=2,HLOOKUP(W$11,index1970,Query!$O51)/W$9 * HLOOKUP(W$11,comboutfac,Query!$O51),HLOOKUP(W$11,index1970,Query!$O51)/W$9 * HLOOKUP(W$11,comboutfac,Query!$O51) /W$8))</f>
        <v>0.64683612625193532</v>
      </c>
      <c r="X16" s="120">
        <f>IF($J$7=1,HLOOKUP(X$11,index1970,Query!$O51)/X$9,IF($J$7=2,HLOOKUP(X$11,index1970,Query!$O51)/X$9 * HLOOKUP(X$11,comboutfac,Query!$O51),HLOOKUP(X$11,index1970,Query!$O51)/X$9 * HLOOKUP(X$11,comboutfac,Query!$O51) /X$8))</f>
        <v>0.67156321769757765</v>
      </c>
      <c r="Y16" s="682"/>
      <c r="Z16" s="682"/>
    </row>
    <row r="17" spans="1:26" s="122" customFormat="1">
      <c r="A17" s="121">
        <f t="shared" si="2"/>
        <v>1989</v>
      </c>
      <c r="B17" s="120">
        <f>IF($J$7=1,HLOOKUP(B$11,index1970,Query!$O52)/B$9,IF($J$7=2,HLOOKUP(B$11,index1970,Query!$O52)/B$9 * HLOOKUP(B$11,comboutfac,Query!$O52),HLOOKUP(B$11,index1970,Query!$O52)/B$9 * HLOOKUP(B$11,comboutfac,Query!$O52) /B$8))</f>
        <v>0.69043445028521411</v>
      </c>
      <c r="C17" s="120">
        <f>IF($J$7=1,HLOOKUP(C$11,index1970,Query!$O52)/C$9,IF($J$7=2,HLOOKUP(C$11,index1970,Query!$O52)/C$9 * HLOOKUP(C$11,comboutfac,Query!$O52),HLOOKUP(C$11,index1970,Query!$O52)/C$9 * HLOOKUP(C$11,comboutfac,Query!$O52) /C$8))</f>
        <v>0.68968469275100264</v>
      </c>
      <c r="D17" s="120">
        <f>IF($J$7=1,HLOOKUP(D$11,index1970,Query!$O52)/D$9,IF($J$7=2,HLOOKUP(D$11,index1970,Query!$O52)/D$9 * HLOOKUP(D$11,comboutfac,Query!$O52),HLOOKUP(D$11,index1970,Query!$O52)/D$9 * HLOOKUP(D$11,comboutfac,Query!$O52) /D$8))</f>
        <v>0</v>
      </c>
      <c r="E17" s="120">
        <f>IF($J$7=1,HLOOKUP(E$11,index1970,Query!$O52)/E$9,IF($J$7=2,HLOOKUP(E$11,index1970,Query!$O52)/E$9 * HLOOKUP(E$11,comboutfac,Query!$O52),HLOOKUP(E$11,index1970,Query!$O52)/E$9 * HLOOKUP(E$11,comboutfac,Query!$O52) /E$8))</f>
        <v>0.48752037192420505</v>
      </c>
      <c r="F17" s="120">
        <f>IF($J$7=1,HLOOKUP(F$11,index1970,Query!$O52)/F$9,IF($J$7=2,HLOOKUP(F$11,index1970,Query!$O52)/F$9 * HLOOKUP(F$11,comboutfac,Query!$O52),HLOOKUP(F$11,index1970,Query!$O52)/F$9 * HLOOKUP(F$11,comboutfac,Query!$O52) /F$8))</f>
        <v>0.69939310024884216</v>
      </c>
      <c r="G17" s="120">
        <f>IF($J$7=1,HLOOKUP(G$11,index1970,Query!$O52)/G$9,IF($J$7=2,HLOOKUP(G$11,index1970,Query!$O52)/G$9 * HLOOKUP(G$11,comboutfac,Query!$O52),HLOOKUP(G$11,index1970,Query!$O52)/G$9 * HLOOKUP(G$11,comboutfac,Query!$O52) /G$8))</f>
        <v>0.66018046447057988</v>
      </c>
      <c r="H17" s="120">
        <f>IF($J$7=1,HLOOKUP(H$11,index1970,Query!$O52)/H$9,IF($J$7=2,HLOOKUP(H$11,index1970,Query!$O52)/H$9 * HLOOKUP(H$11,comboutfac,Query!$O52),HLOOKUP(H$11,index1970,Query!$O52)/H$9 * HLOOKUP(H$11,comboutfac,Query!$O52) /H$8))</f>
        <v>0.69138742280728427</v>
      </c>
      <c r="I17" s="120">
        <f>IF($J$7=1,HLOOKUP(I$11,index1970,Query!$O52)/I$9,IF($J$7=2,HLOOKUP(I$11,index1970,Query!$O52)/I$9 * HLOOKUP(I$11,comboutfac,Query!$O52),HLOOKUP(I$11,index1970,Query!$O52)/I$9 * HLOOKUP(I$11,comboutfac,Query!$O52) /I$8))</f>
        <v>0.68791507852804656</v>
      </c>
      <c r="J17" s="120">
        <f>IF($J$7=1,HLOOKUP(J$11,index1970,Query!$O52)/J$9,IF($J$7=2,HLOOKUP(J$11,index1970,Query!$O52)/J$9 * HLOOKUP(J$11,comboutfac,Query!$O52),HLOOKUP(J$11,index1970,Query!$O52)/J$9 * HLOOKUP(J$11,comboutfac,Query!$O52) /J$8))</f>
        <v>0.68955942916423674</v>
      </c>
      <c r="K17" s="120">
        <f>IF($J$7=1,HLOOKUP(K$11,index1970,Query!$O52)/K$9,IF($J$7=2,HLOOKUP(K$11,index1970,Query!$O52)/K$9 * HLOOKUP(K$11,comboutfac,Query!$O52),HLOOKUP(K$11,index1970,Query!$O52)/K$9 * HLOOKUP(K$11,comboutfac,Query!$O52) /K$8))</f>
        <v>0.4753914204139944</v>
      </c>
      <c r="L17" s="120">
        <f>IF($J$7=1,HLOOKUP(L$11,index1970,Query!$O52)/L$9,IF($J$7=2,HLOOKUP(L$11,index1970,Query!$O52)/L$9 * HLOOKUP(L$11,comboutfac,Query!$O52),HLOOKUP(L$11,index1970,Query!$O52)/L$9 * HLOOKUP(L$11,comboutfac,Query!$O52) /L$8))</f>
        <v>0.6670205961650032</v>
      </c>
      <c r="M17" s="120">
        <f>IF($J$7=1,HLOOKUP(M$11,index1970,Query!$O52)/M$9,IF($J$7=2,HLOOKUP(M$11,index1970,Query!$O52)/M$9 * HLOOKUP(M$11,comboutfac,Query!$O52),HLOOKUP(M$11,index1970,Query!$O52)/M$9 * HLOOKUP(M$11,comboutfac,Query!$O52) /M$8))</f>
        <v>0</v>
      </c>
      <c r="N17" s="120">
        <f>IF($J$7=1,HLOOKUP(N$11,index1970,Query!$O52)/N$9,IF($J$7=2,HLOOKUP(N$11,index1970,Query!$O52)/N$9 * HLOOKUP(N$11,comboutfac,Query!$O52),HLOOKUP(N$11,index1970,Query!$O52)/N$9 * HLOOKUP(N$11,comboutfac,Query!$O52) /N$8))</f>
        <v>0</v>
      </c>
      <c r="O17" s="120">
        <f>IF($J$7=1,HLOOKUP(O$11,index1970,Query!$O52)/O$9,IF($J$7=2,HLOOKUP(O$11,index1970,Query!$O52)/O$9 * HLOOKUP(O$11,comboutfac,Query!$O52),HLOOKUP(O$11,index1970,Query!$O52)/O$9 * HLOOKUP(O$11,comboutfac,Query!$O52) /O$8))</f>
        <v>0.70274974485757113</v>
      </c>
      <c r="P17" s="120">
        <f>IF($J$7=1,HLOOKUP(P$11,index1970,Query!$O52)/P$9,IF($J$7=2,HLOOKUP(P$11,index1970,Query!$O52)/P$9 * HLOOKUP(P$11,comboutfac,Query!$O52),HLOOKUP(P$11,index1970,Query!$O52)/P$9 * HLOOKUP(P$11,comboutfac,Query!$O52) /P$8))</f>
        <v>0.68012353767088629</v>
      </c>
      <c r="Q17" s="120">
        <f>IF($J$7=1,HLOOKUP(Q$11,index1970,Query!$O52)/Q$9,IF($J$7=2,HLOOKUP(Q$11,index1970,Query!$O52)/Q$9 * HLOOKUP(Q$11,comboutfac,Query!$O52),HLOOKUP(Q$11,index1970,Query!$O52)/Q$9 * HLOOKUP(Q$11,comboutfac,Query!$O52) /Q$8))</f>
        <v>0.66541371382454928</v>
      </c>
      <c r="R17" s="120">
        <f>IF($J$7=1,HLOOKUP(R$11,index1970,Query!$O52)/R$9,IF($J$7=2,HLOOKUP(R$11,index1970,Query!$O52)/R$9 * HLOOKUP(R$11,comboutfac,Query!$O52),HLOOKUP(R$11,index1970,Query!$O52)/R$9 * HLOOKUP(R$11,comboutfac,Query!$O52) /R$8))</f>
        <v>0.2759025075835847</v>
      </c>
      <c r="S17" s="120">
        <f>IF($J$7=1,HLOOKUP(S$11,index1970,Query!$O52)/S$9,IF($J$7=2,HLOOKUP(S$11,index1970,Query!$O52)/S$9 * HLOOKUP(S$11,comboutfac,Query!$O52),HLOOKUP(S$11,index1970,Query!$O52)/S$9 * HLOOKUP(S$11,comboutfac,Query!$O52) /S$8))</f>
        <v>0.66636163312836216</v>
      </c>
      <c r="T17" s="120">
        <f>IF($J$7=1,HLOOKUP(T$11,index1970,Query!$O52)/T$9,IF($J$7=2,HLOOKUP(T$11,index1970,Query!$O52)/T$9 * HLOOKUP(T$11,comboutfac,Query!$O52),HLOOKUP(T$11,index1970,Query!$O52)/T$9 * HLOOKUP(T$11,comboutfac,Query!$O52) /T$8))</f>
        <v>0.66761551206456471</v>
      </c>
      <c r="U17" s="120">
        <f>IF($J$7=1,HLOOKUP(U$11,index1970,Query!$O52)/U$9,IF($J$7=2,HLOOKUP(U$11,index1970,Query!$O52)/U$9 * HLOOKUP(U$11,comboutfac,Query!$O52),HLOOKUP(U$11,index1970,Query!$O52)/U$9 * HLOOKUP(U$11,comboutfac,Query!$O52) /U$8))</f>
        <v>0.70061434550212698</v>
      </c>
      <c r="V17" s="120">
        <f>IF($J$7=1,HLOOKUP(V$11,index1970,Query!$O52)/V$9,IF($J$7=2,HLOOKUP(V$11,index1970,Query!$O52)/V$9 * HLOOKUP(V$11,comboutfac,Query!$O52),HLOOKUP(V$11,index1970,Query!$O52)/V$9 * HLOOKUP(V$11,comboutfac,Query!$O52) /V$8))</f>
        <v>0.6791665201618553</v>
      </c>
      <c r="W17" s="120">
        <f>IF($J$7=1,HLOOKUP(W$11,index1970,Query!$O52)/W$9,IF($J$7=2,HLOOKUP(W$11,index1970,Query!$O52)/W$9 * HLOOKUP(W$11,comboutfac,Query!$O52),HLOOKUP(W$11,index1970,Query!$O52)/W$9 * HLOOKUP(W$11,comboutfac,Query!$O52) /W$8))</f>
        <v>0.67289263559258838</v>
      </c>
      <c r="X17" s="120">
        <f>IF($J$7=1,HLOOKUP(X$11,index1970,Query!$O52)/X$9,IF($J$7=2,HLOOKUP(X$11,index1970,Query!$O52)/X$9 * HLOOKUP(X$11,comboutfac,Query!$O52),HLOOKUP(X$11,index1970,Query!$O52)/X$9 * HLOOKUP(X$11,comboutfac,Query!$O52) /X$8))</f>
        <v>0.69927115558035591</v>
      </c>
      <c r="Y17" s="682"/>
      <c r="Z17" s="682"/>
    </row>
    <row r="18" spans="1:26" s="122" customFormat="1">
      <c r="A18" s="121">
        <f t="shared" si="2"/>
        <v>1990</v>
      </c>
      <c r="B18" s="120">
        <f>IF($J$7=1,HLOOKUP(B$11,index1970,Query!$O53)/B$9,IF($J$7=2,HLOOKUP(B$11,index1970,Query!$O53)/B$9 * HLOOKUP(B$11,comboutfac,Query!$O53),HLOOKUP(B$11,index1970,Query!$O53)/B$9 * HLOOKUP(B$11,comboutfac,Query!$O53) /B$8))</f>
        <v>0.71566156067929654</v>
      </c>
      <c r="C18" s="120">
        <f>IF($J$7=1,HLOOKUP(C$11,index1970,Query!$O53)/C$9,IF($J$7=2,HLOOKUP(C$11,index1970,Query!$O53)/C$9 * HLOOKUP(C$11,comboutfac,Query!$O53),HLOOKUP(C$11,index1970,Query!$O53)/C$9 * HLOOKUP(C$11,comboutfac,Query!$O53) /C$8))</f>
        <v>0.71289634646785371</v>
      </c>
      <c r="D18" s="120">
        <f>IF($J$7=1,HLOOKUP(D$11,index1970,Query!$O53)/D$9,IF($J$7=2,HLOOKUP(D$11,index1970,Query!$O53)/D$9 * HLOOKUP(D$11,comboutfac,Query!$O53),HLOOKUP(D$11,index1970,Query!$O53)/D$9 * HLOOKUP(D$11,comboutfac,Query!$O53) /D$8))</f>
        <v>0.71147866088288436</v>
      </c>
      <c r="E18" s="120">
        <f>IF($J$7=1,HLOOKUP(E$11,index1970,Query!$O53)/E$9,IF($J$7=2,HLOOKUP(E$11,index1970,Query!$O53)/E$9 * HLOOKUP(E$11,comboutfac,Query!$O53),HLOOKUP(E$11,index1970,Query!$O53)/E$9 * HLOOKUP(E$11,comboutfac,Query!$O53) /E$8))</f>
        <v>0.50568050577838164</v>
      </c>
      <c r="F18" s="120">
        <f>IF($J$7=1,HLOOKUP(F$11,index1970,Query!$O53)/F$9,IF($J$7=2,HLOOKUP(F$11,index1970,Query!$O53)/F$9 * HLOOKUP(F$11,comboutfac,Query!$O53),HLOOKUP(F$11,index1970,Query!$O53)/F$9 * HLOOKUP(F$11,comboutfac,Query!$O53) /F$8))</f>
        <v>0.72281155620534598</v>
      </c>
      <c r="G18" s="120">
        <f>IF($J$7=1,HLOOKUP(G$11,index1970,Query!$O53)/G$9,IF($J$7=2,HLOOKUP(G$11,index1970,Query!$O53)/G$9 * HLOOKUP(G$11,comboutfac,Query!$O53),HLOOKUP(G$11,index1970,Query!$O53)/G$9 * HLOOKUP(G$11,comboutfac,Query!$O53) /G$8))</f>
        <v>0.68710768879530304</v>
      </c>
      <c r="H18" s="120">
        <f>IF($J$7=1,HLOOKUP(H$11,index1970,Query!$O53)/H$9,IF($J$7=2,HLOOKUP(H$11,index1970,Query!$O53)/H$9 * HLOOKUP(H$11,comboutfac,Query!$O53),HLOOKUP(H$11,index1970,Query!$O53)/H$9 * HLOOKUP(H$11,comboutfac,Query!$O53) /H$8))</f>
        <v>0.71338963433526748</v>
      </c>
      <c r="I18" s="120">
        <f>IF($J$7=1,HLOOKUP(I$11,index1970,Query!$O53)/I$9,IF($J$7=2,HLOOKUP(I$11,index1970,Query!$O53)/I$9 * HLOOKUP(I$11,comboutfac,Query!$O53),HLOOKUP(I$11,index1970,Query!$O53)/I$9 * HLOOKUP(I$11,comboutfac,Query!$O53) /I$8))</f>
        <v>0.71493160630079755</v>
      </c>
      <c r="J18" s="120">
        <f>IF($J$7=1,HLOOKUP(J$11,index1970,Query!$O53)/J$9,IF($J$7=2,HLOOKUP(J$11,index1970,Query!$O53)/J$9 * HLOOKUP(J$11,comboutfac,Query!$O53),HLOOKUP(J$11,index1970,Query!$O53)/J$9 * HLOOKUP(J$11,comboutfac,Query!$O53) /J$8))</f>
        <v>0.71709752920026926</v>
      </c>
      <c r="K18" s="120">
        <f>IF($J$7=1,HLOOKUP(K$11,index1970,Query!$O53)/K$9,IF($J$7=2,HLOOKUP(K$11,index1970,Query!$O53)/K$9 * HLOOKUP(K$11,comboutfac,Query!$O53),HLOOKUP(K$11,index1970,Query!$O53)/K$9 * HLOOKUP(K$11,comboutfac,Query!$O53) /K$8))</f>
        <v>0.49309975082441565</v>
      </c>
      <c r="L18" s="120">
        <f>IF($J$7=1,HLOOKUP(L$11,index1970,Query!$O53)/L$9,IF($J$7=2,HLOOKUP(L$11,index1970,Query!$O53)/L$9 * HLOOKUP(L$11,comboutfac,Query!$O53),HLOOKUP(L$11,index1970,Query!$O53)/L$9 * HLOOKUP(L$11,comboutfac,Query!$O53) /L$8))</f>
        <v>0.6915210928641492</v>
      </c>
      <c r="M18" s="120">
        <f>IF($J$7=1,HLOOKUP(M$11,index1970,Query!$O53)/M$9,IF($J$7=2,HLOOKUP(M$11,index1970,Query!$O53)/M$9 * HLOOKUP(M$11,comboutfac,Query!$O53),HLOOKUP(M$11,index1970,Query!$O53)/M$9 * HLOOKUP(M$11,comboutfac,Query!$O53) /M$8))</f>
        <v>0</v>
      </c>
      <c r="N18" s="120">
        <f>IF($J$7=1,HLOOKUP(N$11,index1970,Query!$O53)/N$9,IF($J$7=2,HLOOKUP(N$11,index1970,Query!$O53)/N$9 * HLOOKUP(N$11,comboutfac,Query!$O53),HLOOKUP(N$11,index1970,Query!$O53)/N$9 * HLOOKUP(N$11,comboutfac,Query!$O53) /N$8))</f>
        <v>0</v>
      </c>
      <c r="O18" s="120">
        <f>IF($J$7=1,HLOOKUP(O$11,index1970,Query!$O53)/O$9,IF($J$7=2,HLOOKUP(O$11,index1970,Query!$O53)/O$9 * HLOOKUP(O$11,comboutfac,Query!$O53),HLOOKUP(O$11,index1970,Query!$O53)/O$9 * HLOOKUP(O$11,comboutfac,Query!$O53) /O$8))</f>
        <v>0.72513618202509911</v>
      </c>
      <c r="P18" s="120">
        <f>IF($J$7=1,HLOOKUP(P$11,index1970,Query!$O53)/P$9,IF($J$7=2,HLOOKUP(P$11,index1970,Query!$O53)/P$9 * HLOOKUP(P$11,comboutfac,Query!$O53),HLOOKUP(P$11,index1970,Query!$O53)/P$9 * HLOOKUP(P$11,comboutfac,Query!$O53) /P$8))</f>
        <v>0.69188163714159767</v>
      </c>
      <c r="Q18" s="120">
        <f>IF($J$7=1,HLOOKUP(Q$11,index1970,Query!$O53)/Q$9,IF($J$7=2,HLOOKUP(Q$11,index1970,Query!$O53)/Q$9 * HLOOKUP(Q$11,comboutfac,Query!$O53),HLOOKUP(Q$11,index1970,Query!$O53)/Q$9 * HLOOKUP(Q$11,comboutfac,Query!$O53) /Q$8))</f>
        <v>0.68902088703043585</v>
      </c>
      <c r="R18" s="120">
        <f>IF($J$7=1,HLOOKUP(R$11,index1970,Query!$O53)/R$9,IF($J$7=2,HLOOKUP(R$11,index1970,Query!$O53)/R$9 * HLOOKUP(R$11,comboutfac,Query!$O53),HLOOKUP(R$11,index1970,Query!$O53)/R$9 * HLOOKUP(R$11,comboutfac,Query!$O53) /R$8))</f>
        <v>0.24615481261060149</v>
      </c>
      <c r="S18" s="120">
        <f>IF($J$7=1,HLOOKUP(S$11,index1970,Query!$O53)/S$9,IF($J$7=2,HLOOKUP(S$11,index1970,Query!$O53)/S$9 * HLOOKUP(S$11,comboutfac,Query!$O53),HLOOKUP(S$11,index1970,Query!$O53)/S$9 * HLOOKUP(S$11,comboutfac,Query!$O53) /S$8))</f>
        <v>0.6930184459960409</v>
      </c>
      <c r="T18" s="120">
        <f>IF($J$7=1,HLOOKUP(T$11,index1970,Query!$O53)/T$9,IF($J$7=2,HLOOKUP(T$11,index1970,Query!$O53)/T$9 * HLOOKUP(T$11,comboutfac,Query!$O53),HLOOKUP(T$11,index1970,Query!$O53)/T$9 * HLOOKUP(T$11,comboutfac,Query!$O53) /T$8))</f>
        <v>0.69385033034281129</v>
      </c>
      <c r="U18" s="120">
        <f>IF($J$7=1,HLOOKUP(U$11,index1970,Query!$O53)/U$9,IF($J$7=2,HLOOKUP(U$11,index1970,Query!$O53)/U$9 * HLOOKUP(U$11,comboutfac,Query!$O53),HLOOKUP(U$11,index1970,Query!$O53)/U$9 * HLOOKUP(U$11,comboutfac,Query!$O53) /U$8))</f>
        <v>0.72318867693391897</v>
      </c>
      <c r="V18" s="120">
        <f>IF($J$7=1,HLOOKUP(V$11,index1970,Query!$O53)/V$9,IF($J$7=2,HLOOKUP(V$11,index1970,Query!$O53)/V$9 * HLOOKUP(V$11,comboutfac,Query!$O53),HLOOKUP(V$11,index1970,Query!$O53)/V$9 * HLOOKUP(V$11,comboutfac,Query!$O53) /V$8))</f>
        <v>0.70142396612553637</v>
      </c>
      <c r="W18" s="120">
        <f>IF($J$7=1,HLOOKUP(W$11,index1970,Query!$O53)/W$9,IF($J$7=2,HLOOKUP(W$11,index1970,Query!$O53)/W$9 * HLOOKUP(W$11,comboutfac,Query!$O53),HLOOKUP(W$11,index1970,Query!$O53)/W$9 * HLOOKUP(W$11,comboutfac,Query!$O53) /W$8))</f>
        <v>0.69834760258714623</v>
      </c>
      <c r="X18" s="120">
        <f>IF($J$7=1,HLOOKUP(X$11,index1970,Query!$O53)/X$9,IF($J$7=2,HLOOKUP(X$11,index1970,Query!$O53)/X$9 * HLOOKUP(X$11,comboutfac,Query!$O53),HLOOKUP(X$11,index1970,Query!$O53)/X$9 * HLOOKUP(X$11,comboutfac,Query!$O53) /X$8))</f>
        <v>0.72145589678495647</v>
      </c>
      <c r="Y18" s="682"/>
      <c r="Z18" s="682"/>
    </row>
    <row r="19" spans="1:26" s="122" customFormat="1">
      <c r="A19" s="121">
        <f t="shared" si="2"/>
        <v>1991</v>
      </c>
      <c r="B19" s="120">
        <f>IF($J$7=1,HLOOKUP(B$11,index1970,Query!$O54)/B$9,IF($J$7=2,HLOOKUP(B$11,index1970,Query!$O54)/B$9 * HLOOKUP(B$11,comboutfac,Query!$O54),HLOOKUP(B$11,index1970,Query!$O54)/B$9 * HLOOKUP(B$11,comboutfac,Query!$O54) /B$8))</f>
        <v>0.73874025543739108</v>
      </c>
      <c r="C19" s="120">
        <f>IF($J$7=1,HLOOKUP(C$11,index1970,Query!$O54)/C$9,IF($J$7=2,HLOOKUP(C$11,index1970,Query!$O54)/C$9 * HLOOKUP(C$11,comboutfac,Query!$O54),HLOOKUP(C$11,index1970,Query!$O54)/C$9 * HLOOKUP(C$11,comboutfac,Query!$O54) /C$8))</f>
        <v>0.73341625003586708</v>
      </c>
      <c r="D19" s="120">
        <f>IF($J$7=1,HLOOKUP(D$11,index1970,Query!$O54)/D$9,IF($J$7=2,HLOOKUP(D$11,index1970,Query!$O54)/D$9 * HLOOKUP(D$11,comboutfac,Query!$O54),HLOOKUP(D$11,index1970,Query!$O54)/D$9 * HLOOKUP(D$11,comboutfac,Query!$O54) /D$8))</f>
        <v>0.73097943731066295</v>
      </c>
      <c r="E19" s="120">
        <f>IF($J$7=1,HLOOKUP(E$11,index1970,Query!$O54)/E$9,IF($J$7=2,HLOOKUP(E$11,index1970,Query!$O54)/E$9 * HLOOKUP(E$11,comboutfac,Query!$O54),HLOOKUP(E$11,index1970,Query!$O54)/E$9 * HLOOKUP(E$11,comboutfac,Query!$O54) /E$8))</f>
        <v>0.52578130588307237</v>
      </c>
      <c r="F19" s="120">
        <f>IF($J$7=1,HLOOKUP(F$11,index1970,Query!$O54)/F$9,IF($J$7=2,HLOOKUP(F$11,index1970,Query!$O54)/F$9 * HLOOKUP(F$11,comboutfac,Query!$O54),HLOOKUP(F$11,index1970,Query!$O54)/F$9 * HLOOKUP(F$11,comboutfac,Query!$O54) /F$8))</f>
        <v>0.74079548304617449</v>
      </c>
      <c r="G19" s="120">
        <f>IF($J$7=1,HLOOKUP(G$11,index1970,Query!$O54)/G$9,IF($J$7=2,HLOOKUP(G$11,index1970,Query!$O54)/G$9 * HLOOKUP(G$11,comboutfac,Query!$O54),HLOOKUP(G$11,index1970,Query!$O54)/G$9 * HLOOKUP(G$11,comboutfac,Query!$O54) /G$8))</f>
        <v>0.71525372693845091</v>
      </c>
      <c r="H19" s="120">
        <f>IF($J$7=1,HLOOKUP(H$11,index1970,Query!$O54)/H$9,IF($J$7=2,HLOOKUP(H$11,index1970,Query!$O54)/H$9 * HLOOKUP(H$11,comboutfac,Query!$O54),HLOOKUP(H$11,index1970,Query!$O54)/H$9 * HLOOKUP(H$11,comboutfac,Query!$O54) /H$8))</f>
        <v>0.74074716868153168</v>
      </c>
      <c r="I19" s="120">
        <f>IF($J$7=1,HLOOKUP(I$11,index1970,Query!$O54)/I$9,IF($J$7=2,HLOOKUP(I$11,index1970,Query!$O54)/I$9 * HLOOKUP(I$11,comboutfac,Query!$O54),HLOOKUP(I$11,index1970,Query!$O54)/I$9 * HLOOKUP(I$11,comboutfac,Query!$O54) /I$8))</f>
        <v>0.7379145290921284</v>
      </c>
      <c r="J19" s="120">
        <f>IF($J$7=1,HLOOKUP(J$11,index1970,Query!$O54)/J$9,IF($J$7=2,HLOOKUP(J$11,index1970,Query!$O54)/J$9 * HLOOKUP(J$11,comboutfac,Query!$O54),HLOOKUP(J$11,index1970,Query!$O54)/J$9 * HLOOKUP(J$11,comboutfac,Query!$O54) /J$8))</f>
        <v>0.73607933250974122</v>
      </c>
      <c r="K19" s="120">
        <f>IF($J$7=1,HLOOKUP(K$11,index1970,Query!$O54)/K$9,IF($J$7=2,HLOOKUP(K$11,index1970,Query!$O54)/K$9 * HLOOKUP(K$11,comboutfac,Query!$O54),HLOOKUP(K$11,index1970,Query!$O54)/K$9 * HLOOKUP(K$11,comboutfac,Query!$O54) /K$8))</f>
        <v>0.51270046591968621</v>
      </c>
      <c r="L19" s="120">
        <f>IF($J$7=1,HLOOKUP(L$11,index1970,Query!$O54)/L$9,IF($J$7=2,HLOOKUP(L$11,index1970,Query!$O54)/L$9 * HLOOKUP(L$11,comboutfac,Query!$O54),HLOOKUP(L$11,index1970,Query!$O54)/L$9 * HLOOKUP(L$11,comboutfac,Query!$O54) /L$8))</f>
        <v>0.71775242035361009</v>
      </c>
      <c r="M19" s="120">
        <f>IF($J$7=1,HLOOKUP(M$11,index1970,Query!$O54)/M$9,IF($J$7=2,HLOOKUP(M$11,index1970,Query!$O54)/M$9 * HLOOKUP(M$11,comboutfac,Query!$O54),HLOOKUP(M$11,index1970,Query!$O54)/M$9 * HLOOKUP(M$11,comboutfac,Query!$O54) /M$8))</f>
        <v>0</v>
      </c>
      <c r="N19" s="120">
        <f>IF($J$7=1,HLOOKUP(N$11,index1970,Query!$O54)/N$9,IF($J$7=2,HLOOKUP(N$11,index1970,Query!$O54)/N$9 * HLOOKUP(N$11,comboutfac,Query!$O54),HLOOKUP(N$11,index1970,Query!$O54)/N$9 * HLOOKUP(N$11,comboutfac,Query!$O54) /N$8))</f>
        <v>0</v>
      </c>
      <c r="O19" s="120">
        <f>IF($J$7=1,HLOOKUP(O$11,index1970,Query!$O54)/O$9,IF($J$7=2,HLOOKUP(O$11,index1970,Query!$O54)/O$9 * HLOOKUP(O$11,comboutfac,Query!$O54),HLOOKUP(O$11,index1970,Query!$O54)/O$9 * HLOOKUP(O$11,comboutfac,Query!$O54) /O$8))</f>
        <v>0.74253719328412904</v>
      </c>
      <c r="P19" s="120">
        <f>IF($J$7=1,HLOOKUP(P$11,index1970,Query!$O54)/P$9,IF($J$7=2,HLOOKUP(P$11,index1970,Query!$O54)/P$9 * HLOOKUP(P$11,comboutfac,Query!$O54),HLOOKUP(P$11,index1970,Query!$O54)/P$9 * HLOOKUP(P$11,comboutfac,Query!$O54) /P$8))</f>
        <v>0.7205260384203529</v>
      </c>
      <c r="Q19" s="120">
        <f>IF($J$7=1,HLOOKUP(Q$11,index1970,Query!$O54)/Q$9,IF($J$7=2,HLOOKUP(Q$11,index1970,Query!$O54)/Q$9 * HLOOKUP(Q$11,comboutfac,Query!$O54),HLOOKUP(Q$11,index1970,Query!$O54)/Q$9 * HLOOKUP(Q$11,comboutfac,Query!$O54) /Q$8))</f>
        <v>0.71812268885406327</v>
      </c>
      <c r="R19" s="120">
        <f>IF($J$7=1,HLOOKUP(R$11,index1970,Query!$O54)/R$9,IF($J$7=2,HLOOKUP(R$11,index1970,Query!$O54)/R$9 * HLOOKUP(R$11,comboutfac,Query!$O54),HLOOKUP(R$11,index1970,Query!$O54)/R$9 * HLOOKUP(R$11,comboutfac,Query!$O54) /R$8))</f>
        <v>0.46083155690201894</v>
      </c>
      <c r="S19" s="120">
        <f>IF($J$7=1,HLOOKUP(S$11,index1970,Query!$O54)/S$9,IF($J$7=2,HLOOKUP(S$11,index1970,Query!$O54)/S$9 * HLOOKUP(S$11,comboutfac,Query!$O54),HLOOKUP(S$11,index1970,Query!$O54)/S$9 * HLOOKUP(S$11,comboutfac,Query!$O54) /S$8))</f>
        <v>0.71705454081671938</v>
      </c>
      <c r="T19" s="120">
        <f>IF($J$7=1,HLOOKUP(T$11,index1970,Query!$O54)/T$9,IF($J$7=2,HLOOKUP(T$11,index1970,Query!$O54)/T$9 * HLOOKUP(T$11,comboutfac,Query!$O54),HLOOKUP(T$11,index1970,Query!$O54)/T$9 * HLOOKUP(T$11,comboutfac,Query!$O54) /T$8))</f>
        <v>0.71757322243790189</v>
      </c>
      <c r="U19" s="120">
        <f>IF($J$7=1,HLOOKUP(U$11,index1970,Query!$O54)/U$9,IF($J$7=2,HLOOKUP(U$11,index1970,Query!$O54)/U$9 * HLOOKUP(U$11,comboutfac,Query!$O54),HLOOKUP(U$11,index1970,Query!$O54)/U$9 * HLOOKUP(U$11,comboutfac,Query!$O54) /U$8))</f>
        <v>0.74403356735109516</v>
      </c>
      <c r="V19" s="120">
        <f>IF($J$7=1,HLOOKUP(V$11,index1970,Query!$O54)/V$9,IF($J$7=2,HLOOKUP(V$11,index1970,Query!$O54)/V$9 * HLOOKUP(V$11,comboutfac,Query!$O54),HLOOKUP(V$11,index1970,Query!$O54)/V$9 * HLOOKUP(V$11,comboutfac,Query!$O54) /V$8))</f>
        <v>0.72430901705581252</v>
      </c>
      <c r="W19" s="120">
        <f>IF($J$7=1,HLOOKUP(W$11,index1970,Query!$O54)/W$9,IF($J$7=2,HLOOKUP(W$11,index1970,Query!$O54)/W$9 * HLOOKUP(W$11,comboutfac,Query!$O54),HLOOKUP(W$11,index1970,Query!$O54)/W$9 * HLOOKUP(W$11,comboutfac,Query!$O54) /W$8))</f>
        <v>0.72470792350334745</v>
      </c>
      <c r="X19" s="120">
        <f>IF($J$7=1,HLOOKUP(X$11,index1970,Query!$O54)/X$9,IF($J$7=2,HLOOKUP(X$11,index1970,Query!$O54)/X$9 * HLOOKUP(X$11,comboutfac,Query!$O54),HLOOKUP(X$11,index1970,Query!$O54)/X$9 * HLOOKUP(X$11,comboutfac,Query!$O54) /X$8))</f>
        <v>0.74322256299603207</v>
      </c>
      <c r="Y19" s="682"/>
      <c r="Z19" s="682"/>
    </row>
    <row r="20" spans="1:26" s="122" customFormat="1">
      <c r="A20" s="121">
        <f t="shared" si="2"/>
        <v>1992</v>
      </c>
      <c r="B20" s="120">
        <f>IF($J$7=1,HLOOKUP(B$11,index1970,Query!$O55)/B$9,IF($J$7=2,HLOOKUP(B$11,index1970,Query!$O55)/B$9 * HLOOKUP(B$11,comboutfac,Query!$O55),HLOOKUP(B$11,index1970,Query!$O55)/B$9 * HLOOKUP(B$11,comboutfac,Query!$O55) /B$8))</f>
        <v>0.75644000540608936</v>
      </c>
      <c r="C20" s="120">
        <f>IF($J$7=1,HLOOKUP(C$11,index1970,Query!$O55)/C$9,IF($J$7=2,HLOOKUP(C$11,index1970,Query!$O55)/C$9 * HLOOKUP(C$11,comboutfac,Query!$O55),HLOOKUP(C$11,index1970,Query!$O55)/C$9 * HLOOKUP(C$11,comboutfac,Query!$O55) /C$8))</f>
        <v>0.75020993244391132</v>
      </c>
      <c r="D20" s="120">
        <f>IF($J$7=1,HLOOKUP(D$11,index1970,Query!$O55)/D$9,IF($J$7=2,HLOOKUP(D$11,index1970,Query!$O55)/D$9 * HLOOKUP(D$11,comboutfac,Query!$O55),HLOOKUP(D$11,index1970,Query!$O55)/D$9 * HLOOKUP(D$11,comboutfac,Query!$O55) /D$8))</f>
        <v>0.75800699483675271</v>
      </c>
      <c r="E20" s="120">
        <f>IF($J$7=1,HLOOKUP(E$11,index1970,Query!$O55)/E$9,IF($J$7=2,HLOOKUP(E$11,index1970,Query!$O55)/E$9 * HLOOKUP(E$11,comboutfac,Query!$O55),HLOOKUP(E$11,index1970,Query!$O55)/E$9 * HLOOKUP(E$11,comboutfac,Query!$O55) /E$8))</f>
        <v>0.54773267540369064</v>
      </c>
      <c r="F20" s="120">
        <f>IF($J$7=1,HLOOKUP(F$11,index1970,Query!$O55)/F$9,IF($J$7=2,HLOOKUP(F$11,index1970,Query!$O55)/F$9 * HLOOKUP(F$11,comboutfac,Query!$O55),HLOOKUP(F$11,index1970,Query!$O55)/F$9 * HLOOKUP(F$11,comboutfac,Query!$O55) /F$8))</f>
        <v>0.75460691036275696</v>
      </c>
      <c r="G20" s="120">
        <f>IF($J$7=1,HLOOKUP(G$11,index1970,Query!$O55)/G$9,IF($J$7=2,HLOOKUP(G$11,index1970,Query!$O55)/G$9 * HLOOKUP(G$11,comboutfac,Query!$O55),HLOOKUP(G$11,index1970,Query!$O55)/G$9 * HLOOKUP(G$11,comboutfac,Query!$O55) /G$8))</f>
        <v>0.73497975084132094</v>
      </c>
      <c r="H20" s="120">
        <f>IF($J$7=1,HLOOKUP(H$11,index1970,Query!$O55)/H$9,IF($J$7=2,HLOOKUP(H$11,index1970,Query!$O55)/H$9 * HLOOKUP(H$11,comboutfac,Query!$O55),HLOOKUP(H$11,index1970,Query!$O55)/H$9 * HLOOKUP(H$11,comboutfac,Query!$O55) /H$8))</f>
        <v>0.75768257781444481</v>
      </c>
      <c r="I20" s="120">
        <f>IF($J$7=1,HLOOKUP(I$11,index1970,Query!$O55)/I$9,IF($J$7=2,HLOOKUP(I$11,index1970,Query!$O55)/I$9 * HLOOKUP(I$11,comboutfac,Query!$O55),HLOOKUP(I$11,index1970,Query!$O55)/I$9 * HLOOKUP(I$11,comboutfac,Query!$O55) /I$8))</f>
        <v>0.75570529642486606</v>
      </c>
      <c r="J20" s="120">
        <f>IF($J$7=1,HLOOKUP(J$11,index1970,Query!$O55)/J$9,IF($J$7=2,HLOOKUP(J$11,index1970,Query!$O55)/J$9 * HLOOKUP(J$11,comboutfac,Query!$O55),HLOOKUP(J$11,index1970,Query!$O55)/J$9 * HLOOKUP(J$11,comboutfac,Query!$O55) /J$8))</f>
        <v>0.75185353865138205</v>
      </c>
      <c r="K20" s="120">
        <f>IF($J$7=1,HLOOKUP(K$11,index1970,Query!$O55)/K$9,IF($J$7=2,HLOOKUP(K$11,index1970,Query!$O55)/K$9 * HLOOKUP(K$11,comboutfac,Query!$O55),HLOOKUP(K$11,index1970,Query!$O55)/K$9 * HLOOKUP(K$11,comboutfac,Query!$O55) /K$8))</f>
        <v>0.53410571037183296</v>
      </c>
      <c r="L20" s="120">
        <f>IF($J$7=1,HLOOKUP(L$11,index1970,Query!$O55)/L$9,IF($J$7=2,HLOOKUP(L$11,index1970,Query!$O55)/L$9 * HLOOKUP(L$11,comboutfac,Query!$O55),HLOOKUP(L$11,index1970,Query!$O55)/L$9 * HLOOKUP(L$11,comboutfac,Query!$O55) /L$8))</f>
        <v>0.73542278596152932</v>
      </c>
      <c r="M20" s="120">
        <f>IF($J$7=1,HLOOKUP(M$11,index1970,Query!$O55)/M$9,IF($J$7=2,HLOOKUP(M$11,index1970,Query!$O55)/M$9 * HLOOKUP(M$11,comboutfac,Query!$O55),HLOOKUP(M$11,index1970,Query!$O55)/M$9 * HLOOKUP(M$11,comboutfac,Query!$O55) /M$8))</f>
        <v>0</v>
      </c>
      <c r="N20" s="120">
        <f>IF($J$7=1,HLOOKUP(N$11,index1970,Query!$O55)/N$9,IF($J$7=2,HLOOKUP(N$11,index1970,Query!$O55)/N$9 * HLOOKUP(N$11,comboutfac,Query!$O55),HLOOKUP(N$11,index1970,Query!$O55)/N$9 * HLOOKUP(N$11,comboutfac,Query!$O55) /N$8))</f>
        <v>0</v>
      </c>
      <c r="O20" s="120">
        <f>IF($J$7=1,HLOOKUP(O$11,index1970,Query!$O55)/O$9,IF($J$7=2,HLOOKUP(O$11,index1970,Query!$O55)/O$9 * HLOOKUP(O$11,comboutfac,Query!$O55),HLOOKUP(O$11,index1970,Query!$O55)/O$9 * HLOOKUP(O$11,comboutfac,Query!$O55) /O$8))</f>
        <v>0.75895348637338722</v>
      </c>
      <c r="P20" s="120">
        <f>IF($J$7=1,HLOOKUP(P$11,index1970,Query!$O55)/P$9,IF($J$7=2,HLOOKUP(P$11,index1970,Query!$O55)/P$9 * HLOOKUP(P$11,comboutfac,Query!$O55),HLOOKUP(P$11,index1970,Query!$O55)/P$9 * HLOOKUP(P$11,comboutfac,Query!$O55) /P$8))</f>
        <v>0.73408432017812264</v>
      </c>
      <c r="Q20" s="120">
        <f>IF($J$7=1,HLOOKUP(Q$11,index1970,Query!$O55)/Q$9,IF($J$7=2,HLOOKUP(Q$11,index1970,Query!$O55)/Q$9 * HLOOKUP(Q$11,comboutfac,Query!$O55),HLOOKUP(Q$11,index1970,Query!$O55)/Q$9 * HLOOKUP(Q$11,comboutfac,Query!$O55) /Q$8))</f>
        <v>0.73808287679482343</v>
      </c>
      <c r="R20" s="120">
        <f>IF($J$7=1,HLOOKUP(R$11,index1970,Query!$O55)/R$9,IF($J$7=2,HLOOKUP(R$11,index1970,Query!$O55)/R$9 * HLOOKUP(R$11,comboutfac,Query!$O55),HLOOKUP(R$11,index1970,Query!$O55)/R$9 * HLOOKUP(R$11,comboutfac,Query!$O55) /R$8))</f>
        <v>0.30738057590276868</v>
      </c>
      <c r="S20" s="120">
        <f>IF($J$7=1,HLOOKUP(S$11,index1970,Query!$O55)/S$9,IF($J$7=2,HLOOKUP(S$11,index1970,Query!$O55)/S$9 * HLOOKUP(S$11,comboutfac,Query!$O55),HLOOKUP(S$11,index1970,Query!$O55)/S$9 * HLOOKUP(S$11,comboutfac,Query!$O55) /S$8))</f>
        <v>0.73580255141909834</v>
      </c>
      <c r="T20" s="120">
        <f>IF($J$7=1,HLOOKUP(T$11,index1970,Query!$O55)/T$9,IF($J$7=2,HLOOKUP(T$11,index1970,Query!$O55)/T$9 * HLOOKUP(T$11,comboutfac,Query!$O55),HLOOKUP(T$11,index1970,Query!$O55)/T$9 * HLOOKUP(T$11,comboutfac,Query!$O55) /T$8))</f>
        <v>0.73601817344367348</v>
      </c>
      <c r="U20" s="120">
        <f>IF($J$7=1,HLOOKUP(U$11,index1970,Query!$O55)/U$9,IF($J$7=2,HLOOKUP(U$11,index1970,Query!$O55)/U$9 * HLOOKUP(U$11,comboutfac,Query!$O55),HLOOKUP(U$11,index1970,Query!$O55)/U$9 * HLOOKUP(U$11,comboutfac,Query!$O55) /U$8))</f>
        <v>0.76000676260896605</v>
      </c>
      <c r="V20" s="120">
        <f>IF($J$7=1,HLOOKUP(V$11,index1970,Query!$O55)/V$9,IF($J$7=2,HLOOKUP(V$11,index1970,Query!$O55)/V$9 * HLOOKUP(V$11,comboutfac,Query!$O55),HLOOKUP(V$11,index1970,Query!$O55)/V$9 * HLOOKUP(V$11,comboutfac,Query!$O55) /V$8))</f>
        <v>0.74488519446653734</v>
      </c>
      <c r="W20" s="120">
        <f>IF($J$7=1,HLOOKUP(W$11,index1970,Query!$O55)/W$9,IF($J$7=2,HLOOKUP(W$11,index1970,Query!$O55)/W$9 * HLOOKUP(W$11,comboutfac,Query!$O55),HLOOKUP(W$11,index1970,Query!$O55)/W$9 * HLOOKUP(W$11,comboutfac,Query!$O55) /W$8))</f>
        <v>0.74162839908968659</v>
      </c>
      <c r="X20" s="120">
        <f>IF($J$7=1,HLOOKUP(X$11,index1970,Query!$O55)/X$9,IF($J$7=2,HLOOKUP(X$11,index1970,Query!$O55)/X$9 * HLOOKUP(X$11,comboutfac,Query!$O55),HLOOKUP(X$11,index1970,Query!$O55)/X$9 * HLOOKUP(X$11,comboutfac,Query!$O55) /X$8))</f>
        <v>0.75910996788124774</v>
      </c>
      <c r="Y20" s="682"/>
      <c r="Z20" s="682"/>
    </row>
    <row r="21" spans="1:26" s="122" customFormat="1">
      <c r="A21" s="121">
        <f t="shared" si="2"/>
        <v>1993</v>
      </c>
      <c r="B21" s="120">
        <f>IF($J$7=1,HLOOKUP(B$11,index1970,Query!$O56)/B$9,IF($J$7=2,HLOOKUP(B$11,index1970,Query!$O56)/B$9 * HLOOKUP(B$11,comboutfac,Query!$O56),HLOOKUP(B$11,index1970,Query!$O56)/B$9 * HLOOKUP(B$11,comboutfac,Query!$O56) /B$8))</f>
        <v>0.77170439492715881</v>
      </c>
      <c r="C21" s="120">
        <f>IF($J$7=1,HLOOKUP(C$11,index1970,Query!$O56)/C$9,IF($J$7=2,HLOOKUP(C$11,index1970,Query!$O56)/C$9 * HLOOKUP(C$11,comboutfac,Query!$O56),HLOOKUP(C$11,index1970,Query!$O56)/C$9 * HLOOKUP(C$11,comboutfac,Query!$O56) /C$8))</f>
        <v>0.76638446586202702</v>
      </c>
      <c r="D21" s="120">
        <f>IF($J$7=1,HLOOKUP(D$11,index1970,Query!$O56)/D$9,IF($J$7=2,HLOOKUP(D$11,index1970,Query!$O56)/D$9 * HLOOKUP(D$11,comboutfac,Query!$O56),HLOOKUP(D$11,index1970,Query!$O56)/D$9 * HLOOKUP(D$11,comboutfac,Query!$O56) /D$8))</f>
        <v>0.7744472989308594</v>
      </c>
      <c r="E21" s="120">
        <f>IF($J$7=1,HLOOKUP(E$11,index1970,Query!$O56)/E$9,IF($J$7=2,HLOOKUP(E$11,index1970,Query!$O56)/E$9 * HLOOKUP(E$11,comboutfac,Query!$O56),HLOOKUP(E$11,index1970,Query!$O56)/E$9 * HLOOKUP(E$11,comboutfac,Query!$O56) /E$8))</f>
        <v>0.56868345023788169</v>
      </c>
      <c r="F21" s="120">
        <f>IF($J$7=1,HLOOKUP(F$11,index1970,Query!$O56)/F$9,IF($J$7=2,HLOOKUP(F$11,index1970,Query!$O56)/F$9 * HLOOKUP(F$11,comboutfac,Query!$O56),HLOOKUP(F$11,index1970,Query!$O56)/F$9 * HLOOKUP(F$11,comboutfac,Query!$O56) /F$8))</f>
        <v>0.76987828629066268</v>
      </c>
      <c r="G21" s="120">
        <f>IF($J$7=1,HLOOKUP(G$11,index1970,Query!$O56)/G$9,IF($J$7=2,HLOOKUP(G$11,index1970,Query!$O56)/G$9 * HLOOKUP(G$11,comboutfac,Query!$O56),HLOOKUP(G$11,index1970,Query!$O56)/G$9 * HLOOKUP(G$11,comboutfac,Query!$O56) /G$8))</f>
        <v>0.75204100737870139</v>
      </c>
      <c r="H21" s="120">
        <f>IF($J$7=1,HLOOKUP(H$11,index1970,Query!$O56)/H$9,IF($J$7=2,HLOOKUP(H$11,index1970,Query!$O56)/H$9 * HLOOKUP(H$11,comboutfac,Query!$O56),HLOOKUP(H$11,index1970,Query!$O56)/H$9 * HLOOKUP(H$11,comboutfac,Query!$O56) /H$8))</f>
        <v>0.76687961451408282</v>
      </c>
      <c r="I21" s="120">
        <f>IF($J$7=1,HLOOKUP(I$11,index1970,Query!$O56)/I$9,IF($J$7=2,HLOOKUP(I$11,index1970,Query!$O56)/I$9 * HLOOKUP(I$11,comboutfac,Query!$O56),HLOOKUP(I$11,index1970,Query!$O56)/I$9 * HLOOKUP(I$11,comboutfac,Query!$O56) /I$8))</f>
        <v>0.76298075987694336</v>
      </c>
      <c r="J21" s="120">
        <f>IF($J$7=1,HLOOKUP(J$11,index1970,Query!$O56)/J$9,IF($J$7=2,HLOOKUP(J$11,index1970,Query!$O56)/J$9 * HLOOKUP(J$11,comboutfac,Query!$O56),HLOOKUP(J$11,index1970,Query!$O56)/J$9 * HLOOKUP(J$11,comboutfac,Query!$O56) /J$8))</f>
        <v>0.76263374506713622</v>
      </c>
      <c r="K21" s="120">
        <f>IF($J$7=1,HLOOKUP(K$11,index1970,Query!$O56)/K$9,IF($J$7=2,HLOOKUP(K$11,index1970,Query!$O56)/K$9 * HLOOKUP(K$11,comboutfac,Query!$O56),HLOOKUP(K$11,index1970,Query!$O56)/K$9 * HLOOKUP(K$11,comboutfac,Query!$O56) /K$8))</f>
        <v>0.5545352537935555</v>
      </c>
      <c r="L21" s="120">
        <f>IF($J$7=1,HLOOKUP(L$11,index1970,Query!$O56)/L$9,IF($J$7=2,HLOOKUP(L$11,index1970,Query!$O56)/L$9 * HLOOKUP(L$11,comboutfac,Query!$O56),HLOOKUP(L$11,index1970,Query!$O56)/L$9 * HLOOKUP(L$11,comboutfac,Query!$O56) /L$8))</f>
        <v>0.75336057820596136</v>
      </c>
      <c r="M21" s="120">
        <f>IF($J$7=1,HLOOKUP(M$11,index1970,Query!$O56)/M$9,IF($J$7=2,HLOOKUP(M$11,index1970,Query!$O56)/M$9 * HLOOKUP(M$11,comboutfac,Query!$O56),HLOOKUP(M$11,index1970,Query!$O56)/M$9 * HLOOKUP(M$11,comboutfac,Query!$O56) /M$8))</f>
        <v>0</v>
      </c>
      <c r="N21" s="120">
        <f>IF($J$7=1,HLOOKUP(N$11,index1970,Query!$O56)/N$9,IF($J$7=2,HLOOKUP(N$11,index1970,Query!$O56)/N$9 * HLOOKUP(N$11,comboutfac,Query!$O56),HLOOKUP(N$11,index1970,Query!$O56)/N$9 * HLOOKUP(N$11,comboutfac,Query!$O56) /N$8))</f>
        <v>0</v>
      </c>
      <c r="O21" s="120">
        <f>IF($J$7=1,HLOOKUP(O$11,index1970,Query!$O56)/O$9,IF($J$7=2,HLOOKUP(O$11,index1970,Query!$O56)/O$9 * HLOOKUP(O$11,comboutfac,Query!$O56),HLOOKUP(O$11,index1970,Query!$O56)/O$9 * HLOOKUP(O$11,comboutfac,Query!$O56) /O$8))</f>
        <v>0.77374703081022256</v>
      </c>
      <c r="P21" s="120">
        <f>IF($J$7=1,HLOOKUP(P$11,index1970,Query!$O56)/P$9,IF($J$7=2,HLOOKUP(P$11,index1970,Query!$O56)/P$9 * HLOOKUP(P$11,comboutfac,Query!$O56),HLOOKUP(P$11,index1970,Query!$O56)/P$9 * HLOOKUP(P$11,comboutfac,Query!$O56) /P$8))</f>
        <v>0.75106266498040319</v>
      </c>
      <c r="Q21" s="120">
        <f>IF($J$7=1,HLOOKUP(Q$11,index1970,Query!$O56)/Q$9,IF($J$7=2,HLOOKUP(Q$11,index1970,Query!$O56)/Q$9 * HLOOKUP(Q$11,comboutfac,Query!$O56),HLOOKUP(Q$11,index1970,Query!$O56)/Q$9 * HLOOKUP(Q$11,comboutfac,Query!$O56) /Q$8))</f>
        <v>0.75793447227920896</v>
      </c>
      <c r="R21" s="120">
        <f>IF($J$7=1,HLOOKUP(R$11,index1970,Query!$O56)/R$9,IF($J$7=2,HLOOKUP(R$11,index1970,Query!$O56)/R$9 * HLOOKUP(R$11,comboutfac,Query!$O56),HLOOKUP(R$11,index1970,Query!$O56)/R$9 * HLOOKUP(R$11,comboutfac,Query!$O56) /R$8))</f>
        <v>0.3116512845870088</v>
      </c>
      <c r="S21" s="120">
        <f>IF($J$7=1,HLOOKUP(S$11,index1970,Query!$O56)/S$9,IF($J$7=2,HLOOKUP(S$11,index1970,Query!$O56)/S$9 * HLOOKUP(S$11,comboutfac,Query!$O56),HLOOKUP(S$11,index1970,Query!$O56)/S$9 * HLOOKUP(S$11,comboutfac,Query!$O56) /S$8))</f>
        <v>0.75377792984941405</v>
      </c>
      <c r="T21" s="120">
        <f>IF($J$7=1,HLOOKUP(T$11,index1970,Query!$O56)/T$9,IF($J$7=2,HLOOKUP(T$11,index1970,Query!$O56)/T$9 * HLOOKUP(T$11,comboutfac,Query!$O56),HLOOKUP(T$11,index1970,Query!$O56)/T$9 * HLOOKUP(T$11,comboutfac,Query!$O56) /T$8))</f>
        <v>0.75295720559038759</v>
      </c>
      <c r="U21" s="120">
        <f>IF($J$7=1,HLOOKUP(U$11,index1970,Query!$O56)/U$9,IF($J$7=2,HLOOKUP(U$11,index1970,Query!$O56)/U$9 * HLOOKUP(U$11,comboutfac,Query!$O56),HLOOKUP(U$11,index1970,Query!$O56)/U$9 * HLOOKUP(U$11,comboutfac,Query!$O56) /U$8))</f>
        <v>0.77533564991480886</v>
      </c>
      <c r="V21" s="120">
        <f>IF($J$7=1,HLOOKUP(V$11,index1970,Query!$O56)/V$9,IF($J$7=2,HLOOKUP(V$11,index1970,Query!$O56)/V$9 * HLOOKUP(V$11,comboutfac,Query!$O56),HLOOKUP(V$11,index1970,Query!$O56)/V$9 * HLOOKUP(V$11,comboutfac,Query!$O56) /V$8))</f>
        <v>0.76124553395478367</v>
      </c>
      <c r="W21" s="120">
        <f>IF($J$7=1,HLOOKUP(W$11,index1970,Query!$O56)/W$9,IF($J$7=2,HLOOKUP(W$11,index1970,Query!$O56)/W$9 * HLOOKUP(W$11,comboutfac,Query!$O56),HLOOKUP(W$11,index1970,Query!$O56)/W$9 * HLOOKUP(W$11,comboutfac,Query!$O56) /W$8))</f>
        <v>0.75912965224283624</v>
      </c>
      <c r="X21" s="120">
        <f>IF($J$7=1,HLOOKUP(X$11,index1970,Query!$O56)/X$9,IF($J$7=2,HLOOKUP(X$11,index1970,Query!$O56)/X$9 * HLOOKUP(X$11,comboutfac,Query!$O56),HLOOKUP(X$11,index1970,Query!$O56)/X$9 * HLOOKUP(X$11,comboutfac,Query!$O56) /X$8))</f>
        <v>0.7740739425943608</v>
      </c>
      <c r="Y21" s="682"/>
      <c r="Z21" s="682"/>
    </row>
    <row r="22" spans="1:26" s="122" customFormat="1">
      <c r="A22" s="121">
        <f t="shared" si="2"/>
        <v>1994</v>
      </c>
      <c r="B22" s="120">
        <f>IF($J$7=1,HLOOKUP(B$11,index1970,Query!$O57)/B$9,IF($J$7=2,HLOOKUP(B$11,index1970,Query!$O57)/B$9 * HLOOKUP(B$11,comboutfac,Query!$O57),HLOOKUP(B$11,index1970,Query!$O57)/B$9 * HLOOKUP(B$11,comboutfac,Query!$O57) /B$8))</f>
        <v>0.78598789750176412</v>
      </c>
      <c r="C22" s="120">
        <f>IF($J$7=1,HLOOKUP(C$11,index1970,Query!$O57)/C$9,IF($J$7=2,HLOOKUP(C$11,index1970,Query!$O57)/C$9 * HLOOKUP(C$11,comboutfac,Query!$O57),HLOOKUP(C$11,index1970,Query!$O57)/C$9 * HLOOKUP(C$11,comboutfac,Query!$O57) /C$8))</f>
        <v>0.77902883392590005</v>
      </c>
      <c r="D22" s="120">
        <f>IF($J$7=1,HLOOKUP(D$11,index1970,Query!$O57)/D$9,IF($J$7=2,HLOOKUP(D$11,index1970,Query!$O57)/D$9 * HLOOKUP(D$11,comboutfac,Query!$O57),HLOOKUP(D$11,index1970,Query!$O57)/D$9 * HLOOKUP(D$11,comboutfac,Query!$O57) /D$8))</f>
        <v>0.7880170521844907</v>
      </c>
      <c r="E22" s="120">
        <f>IF($J$7=1,HLOOKUP(E$11,index1970,Query!$O57)/E$9,IF($J$7=2,HLOOKUP(E$11,index1970,Query!$O57)/E$9 * HLOOKUP(E$11,comboutfac,Query!$O57),HLOOKUP(E$11,index1970,Query!$O57)/E$9 * HLOOKUP(E$11,comboutfac,Query!$O57) /E$8))</f>
        <v>0.58929822530900489</v>
      </c>
      <c r="F22" s="120">
        <f>IF($J$7=1,HLOOKUP(F$11,index1970,Query!$O57)/F$9,IF($J$7=2,HLOOKUP(F$11,index1970,Query!$O57)/F$9 * HLOOKUP(F$11,comboutfac,Query!$O57),HLOOKUP(F$11,index1970,Query!$O57)/F$9 * HLOOKUP(F$11,comboutfac,Query!$O57) /F$8))</f>
        <v>0.78432036039368502</v>
      </c>
      <c r="G22" s="120">
        <f>IF($J$7=1,HLOOKUP(G$11,index1970,Query!$O57)/G$9,IF($J$7=2,HLOOKUP(G$11,index1970,Query!$O57)/G$9 * HLOOKUP(G$11,comboutfac,Query!$O57),HLOOKUP(G$11,index1970,Query!$O57)/G$9 * HLOOKUP(G$11,comboutfac,Query!$O57) /G$8))</f>
        <v>0.76573571574988419</v>
      </c>
      <c r="H22" s="120">
        <f>IF($J$7=1,HLOOKUP(H$11,index1970,Query!$O57)/H$9,IF($J$7=2,HLOOKUP(H$11,index1970,Query!$O57)/H$9 * HLOOKUP(H$11,comboutfac,Query!$O57),HLOOKUP(H$11,index1970,Query!$O57)/H$9 * HLOOKUP(H$11,comboutfac,Query!$O57) /H$8))</f>
        <v>0.78608856519525827</v>
      </c>
      <c r="I22" s="120">
        <f>IF($J$7=1,HLOOKUP(I$11,index1970,Query!$O57)/I$9,IF($J$7=2,HLOOKUP(I$11,index1970,Query!$O57)/I$9 * HLOOKUP(I$11,comboutfac,Query!$O57),HLOOKUP(I$11,index1970,Query!$O57)/I$9 * HLOOKUP(I$11,comboutfac,Query!$O57) /I$8))</f>
        <v>0.78654190664521473</v>
      </c>
      <c r="J22" s="120">
        <f>IF($J$7=1,HLOOKUP(J$11,index1970,Query!$O57)/J$9,IF($J$7=2,HLOOKUP(J$11,index1970,Query!$O57)/J$9 * HLOOKUP(J$11,comboutfac,Query!$O57),HLOOKUP(J$11,index1970,Query!$O57)/J$9 * HLOOKUP(J$11,comboutfac,Query!$O57) /J$8))</f>
        <v>0.78398116221743974</v>
      </c>
      <c r="K22" s="120">
        <f>IF($J$7=1,HLOOKUP(K$11,index1970,Query!$O57)/K$9,IF($J$7=2,HLOOKUP(K$11,index1970,Query!$O57)/K$9 * HLOOKUP(K$11,comboutfac,Query!$O57),HLOOKUP(K$11,index1970,Query!$O57)/K$9 * HLOOKUP(K$11,comboutfac,Query!$O57) /K$8))</f>
        <v>0.56881453657873948</v>
      </c>
      <c r="L22" s="120">
        <f>IF($J$7=1,HLOOKUP(L$11,index1970,Query!$O57)/L$9,IF($J$7=2,HLOOKUP(L$11,index1970,Query!$O57)/L$9 * HLOOKUP(L$11,comboutfac,Query!$O57),HLOOKUP(L$11,index1970,Query!$O57)/L$9 * HLOOKUP(L$11,comboutfac,Query!$O57) /L$8))</f>
        <v>0.76814962503712025</v>
      </c>
      <c r="M22" s="120">
        <f>IF($J$7=1,HLOOKUP(M$11,index1970,Query!$O57)/M$9,IF($J$7=2,HLOOKUP(M$11,index1970,Query!$O57)/M$9 * HLOOKUP(M$11,comboutfac,Query!$O57),HLOOKUP(M$11,index1970,Query!$O57)/M$9 * HLOOKUP(M$11,comboutfac,Query!$O57) /M$8))</f>
        <v>0</v>
      </c>
      <c r="N22" s="120">
        <f>IF($J$7=1,HLOOKUP(N$11,index1970,Query!$O57)/N$9,IF($J$7=2,HLOOKUP(N$11,index1970,Query!$O57)/N$9 * HLOOKUP(N$11,comboutfac,Query!$O57),HLOOKUP(N$11,index1970,Query!$O57)/N$9 * HLOOKUP(N$11,comboutfac,Query!$O57) /N$8))</f>
        <v>0</v>
      </c>
      <c r="O22" s="120">
        <f>IF($J$7=1,HLOOKUP(O$11,index1970,Query!$O57)/O$9,IF($J$7=2,HLOOKUP(O$11,index1970,Query!$O57)/O$9 * HLOOKUP(O$11,comboutfac,Query!$O57),HLOOKUP(O$11,index1970,Query!$O57)/O$9 * HLOOKUP(O$11,comboutfac,Query!$O57) /O$8))</f>
        <v>0.78774736179792593</v>
      </c>
      <c r="P22" s="120">
        <f>IF($J$7=1,HLOOKUP(P$11,index1970,Query!$O57)/P$9,IF($J$7=2,HLOOKUP(P$11,index1970,Query!$O57)/P$9 * HLOOKUP(P$11,comboutfac,Query!$O57),HLOOKUP(P$11,index1970,Query!$O57)/P$9 * HLOOKUP(P$11,comboutfac,Query!$O57) /P$8))</f>
        <v>0.7663610692198185</v>
      </c>
      <c r="Q22" s="120">
        <f>IF($J$7=1,HLOOKUP(Q$11,index1970,Query!$O57)/Q$9,IF($J$7=2,HLOOKUP(Q$11,index1970,Query!$O57)/Q$9 * HLOOKUP(Q$11,comboutfac,Query!$O57),HLOOKUP(Q$11,index1970,Query!$O57)/Q$9 * HLOOKUP(Q$11,comboutfac,Query!$O57) /Q$8))</f>
        <v>0.77324011583026475</v>
      </c>
      <c r="R22" s="120">
        <f>IF($J$7=1,HLOOKUP(R$11,index1970,Query!$O57)/R$9,IF($J$7=2,HLOOKUP(R$11,index1970,Query!$O57)/R$9 * HLOOKUP(R$11,comboutfac,Query!$O57),HLOOKUP(R$11,index1970,Query!$O57)/R$9 * HLOOKUP(R$11,comboutfac,Query!$O57) /R$8))</f>
        <v>0.35561013087134297</v>
      </c>
      <c r="S22" s="120">
        <f>IF($J$7=1,HLOOKUP(S$11,index1970,Query!$O57)/S$9,IF($J$7=2,HLOOKUP(S$11,index1970,Query!$O57)/S$9 * HLOOKUP(S$11,comboutfac,Query!$O57),HLOOKUP(S$11,index1970,Query!$O57)/S$9 * HLOOKUP(S$11,comboutfac,Query!$O57) /S$8))</f>
        <v>0.76880819146757107</v>
      </c>
      <c r="T22" s="120">
        <f>IF($J$7=1,HLOOKUP(T$11,index1970,Query!$O57)/T$9,IF($J$7=2,HLOOKUP(T$11,index1970,Query!$O57)/T$9 * HLOOKUP(T$11,comboutfac,Query!$O57),HLOOKUP(T$11,index1970,Query!$O57)/T$9 * HLOOKUP(T$11,comboutfac,Query!$O57) /T$8))</f>
        <v>0.76737345250746836</v>
      </c>
      <c r="U22" s="120">
        <f>IF($J$7=1,HLOOKUP(U$11,index1970,Query!$O57)/U$9,IF($J$7=2,HLOOKUP(U$11,index1970,Query!$O57)/U$9 * HLOOKUP(U$11,comboutfac,Query!$O57),HLOOKUP(U$11,index1970,Query!$O57)/U$9 * HLOOKUP(U$11,comboutfac,Query!$O57) /U$8))</f>
        <v>0.7862529358923307</v>
      </c>
      <c r="V22" s="120">
        <f>IF($J$7=1,HLOOKUP(V$11,index1970,Query!$O57)/V$9,IF($J$7=2,HLOOKUP(V$11,index1970,Query!$O57)/V$9 * HLOOKUP(V$11,comboutfac,Query!$O57),HLOOKUP(V$11,index1970,Query!$O57)/V$9 * HLOOKUP(V$11,comboutfac,Query!$O57) /V$8))</f>
        <v>0.77564667184337266</v>
      </c>
      <c r="W22" s="120">
        <f>IF($J$7=1,HLOOKUP(W$11,index1970,Query!$O57)/W$9,IF($J$7=2,HLOOKUP(W$11,index1970,Query!$O57)/W$9 * HLOOKUP(W$11,comboutfac,Query!$O57),HLOOKUP(W$11,index1970,Query!$O57)/W$9 * HLOOKUP(W$11,comboutfac,Query!$O57) /W$8))</f>
        <v>0.77322853160864191</v>
      </c>
      <c r="X22" s="120">
        <f>IF($J$7=1,HLOOKUP(X$11,index1970,Query!$O57)/X$9,IF($J$7=2,HLOOKUP(X$11,index1970,Query!$O57)/X$9 * HLOOKUP(X$11,comboutfac,Query!$O57),HLOOKUP(X$11,index1970,Query!$O57)/X$9 * HLOOKUP(X$11,comboutfac,Query!$O57) /X$8))</f>
        <v>0.7881574585785881</v>
      </c>
      <c r="Y22" s="682"/>
      <c r="Z22" s="682"/>
    </row>
    <row r="23" spans="1:26" s="122" customFormat="1">
      <c r="A23" s="121">
        <f t="shared" si="2"/>
        <v>1995</v>
      </c>
      <c r="B23" s="120">
        <f>IF($J$7=1,HLOOKUP(B$11,index1970,Query!$O58)/B$9,IF($J$7=2,HLOOKUP(B$11,index1970,Query!$O58)/B$9 * HLOOKUP(B$11,comboutfac,Query!$O58),HLOOKUP(B$11,index1970,Query!$O58)/B$9 * HLOOKUP(B$11,comboutfac,Query!$O58) /B$8))</f>
        <v>0.79882743761448438</v>
      </c>
      <c r="C23" s="120">
        <f>IF($J$7=1,HLOOKUP(C$11,index1970,Query!$O58)/C$9,IF($J$7=2,HLOOKUP(C$11,index1970,Query!$O58)/C$9 * HLOOKUP(C$11,comboutfac,Query!$O58),HLOOKUP(C$11,index1970,Query!$O58)/C$9 * HLOOKUP(C$11,comboutfac,Query!$O58) /C$8))</f>
        <v>0.79417222762331141</v>
      </c>
      <c r="D23" s="120">
        <f>IF($J$7=1,HLOOKUP(D$11,index1970,Query!$O58)/D$9,IF($J$7=2,HLOOKUP(D$11,index1970,Query!$O58)/D$9 * HLOOKUP(D$11,comboutfac,Query!$O58),HLOOKUP(D$11,index1970,Query!$O58)/D$9 * HLOOKUP(D$11,comboutfac,Query!$O58) /D$8))</f>
        <v>0.80070914178721608</v>
      </c>
      <c r="E23" s="120">
        <f>IF($J$7=1,HLOOKUP(E$11,index1970,Query!$O58)/E$9,IF($J$7=2,HLOOKUP(E$11,index1970,Query!$O58)/E$9 * HLOOKUP(E$11,comboutfac,Query!$O58),HLOOKUP(E$11,index1970,Query!$O58)/E$9 * HLOOKUP(E$11,comboutfac,Query!$O58) /E$8))</f>
        <v>0.60609322473031146</v>
      </c>
      <c r="F23" s="120">
        <f>IF($J$7=1,HLOOKUP(F$11,index1970,Query!$O58)/F$9,IF($J$7=2,HLOOKUP(F$11,index1970,Query!$O58)/F$9 * HLOOKUP(F$11,comboutfac,Query!$O58),HLOOKUP(F$11,index1970,Query!$O58)/F$9 * HLOOKUP(F$11,comboutfac,Query!$O58) /F$8))</f>
        <v>0.79910541525428103</v>
      </c>
      <c r="G23" s="120">
        <f>IF($J$7=1,HLOOKUP(G$11,index1970,Query!$O58)/G$9,IF($J$7=2,HLOOKUP(G$11,index1970,Query!$O58)/G$9 * HLOOKUP(G$11,comboutfac,Query!$O58),HLOOKUP(G$11,index1970,Query!$O58)/G$9 * HLOOKUP(G$11,comboutfac,Query!$O58) /G$8))</f>
        <v>0.78017077977034577</v>
      </c>
      <c r="H23" s="120">
        <f>IF($J$7=1,HLOOKUP(H$11,index1970,Query!$O58)/H$9,IF($J$7=2,HLOOKUP(H$11,index1970,Query!$O58)/H$9 * HLOOKUP(H$11,comboutfac,Query!$O58),HLOOKUP(H$11,index1970,Query!$O58)/H$9 * HLOOKUP(H$11,comboutfac,Query!$O58) /H$8))</f>
        <v>0.80255249687732544</v>
      </c>
      <c r="I23" s="120">
        <f>IF($J$7=1,HLOOKUP(I$11,index1970,Query!$O58)/I$9,IF($J$7=2,HLOOKUP(I$11,index1970,Query!$O58)/I$9 * HLOOKUP(I$11,comboutfac,Query!$O58),HLOOKUP(I$11,index1970,Query!$O58)/I$9 * HLOOKUP(I$11,comboutfac,Query!$O58) /I$8))</f>
        <v>0.79234036118729956</v>
      </c>
      <c r="J23" s="120">
        <f>IF($J$7=1,HLOOKUP(J$11,index1970,Query!$O58)/J$9,IF($J$7=2,HLOOKUP(J$11,index1970,Query!$O58)/J$9 * HLOOKUP(J$11,comboutfac,Query!$O58),HLOOKUP(J$11,index1970,Query!$O58)/J$9 * HLOOKUP(J$11,comboutfac,Query!$O58) /J$8))</f>
        <v>0.7977379003874252</v>
      </c>
      <c r="K23" s="120">
        <f>IF($J$7=1,HLOOKUP(K$11,index1970,Query!$O58)/K$9,IF($J$7=2,HLOOKUP(K$11,index1970,Query!$O58)/K$9 * HLOOKUP(K$11,comboutfac,Query!$O58),HLOOKUP(K$11,index1970,Query!$O58)/K$9 * HLOOKUP(K$11,comboutfac,Query!$O58) /K$8))</f>
        <v>0.58303489999320801</v>
      </c>
      <c r="L23" s="120">
        <f>IF($J$7=1,HLOOKUP(L$11,index1970,Query!$O58)/L$9,IF($J$7=2,HLOOKUP(L$11,index1970,Query!$O58)/L$9 * HLOOKUP(L$11,comboutfac,Query!$O58),HLOOKUP(L$11,index1970,Query!$O58)/L$9 * HLOOKUP(L$11,comboutfac,Query!$O58) /L$8))</f>
        <v>0.78073672392236659</v>
      </c>
      <c r="M23" s="120">
        <f>IF($J$7=1,HLOOKUP(M$11,index1970,Query!$O58)/M$9,IF($J$7=2,HLOOKUP(M$11,index1970,Query!$O58)/M$9 * HLOOKUP(M$11,comboutfac,Query!$O58),HLOOKUP(M$11,index1970,Query!$O58)/M$9 * HLOOKUP(M$11,comboutfac,Query!$O58) /M$8))</f>
        <v>0</v>
      </c>
      <c r="N23" s="120">
        <f>IF($J$7=1,HLOOKUP(N$11,index1970,Query!$O58)/N$9,IF($J$7=2,HLOOKUP(N$11,index1970,Query!$O58)/N$9 * HLOOKUP(N$11,comboutfac,Query!$O58),HLOOKUP(N$11,index1970,Query!$O58)/N$9 * HLOOKUP(N$11,comboutfac,Query!$O58) /N$8))</f>
        <v>0</v>
      </c>
      <c r="O23" s="120">
        <f>IF($J$7=1,HLOOKUP(O$11,index1970,Query!$O58)/O$9,IF($J$7=2,HLOOKUP(O$11,index1970,Query!$O58)/O$9 * HLOOKUP(O$11,comboutfac,Query!$O58),HLOOKUP(O$11,index1970,Query!$O58)/O$9 * HLOOKUP(O$11,comboutfac,Query!$O58) /O$8))</f>
        <v>0.80163485797091028</v>
      </c>
      <c r="P23" s="120">
        <f>IF($J$7=1,HLOOKUP(P$11,index1970,Query!$O58)/P$9,IF($J$7=2,HLOOKUP(P$11,index1970,Query!$O58)/P$9 * HLOOKUP(P$11,comboutfac,Query!$O58),HLOOKUP(P$11,index1970,Query!$O58)/P$9 * HLOOKUP(P$11,comboutfac,Query!$O58) /P$8))</f>
        <v>0.79390533622957915</v>
      </c>
      <c r="Q23" s="120">
        <f>IF($J$7=1,HLOOKUP(Q$11,index1970,Query!$O58)/Q$9,IF($J$7=2,HLOOKUP(Q$11,index1970,Query!$O58)/Q$9 * HLOOKUP(Q$11,comboutfac,Query!$O58),HLOOKUP(Q$11,index1970,Query!$O58)/Q$9 * HLOOKUP(Q$11,comboutfac,Query!$O58) /Q$8))</f>
        <v>0.78459242790607242</v>
      </c>
      <c r="R23" s="120">
        <f>IF($J$7=1,HLOOKUP(R$11,index1970,Query!$O58)/R$9,IF($J$7=2,HLOOKUP(R$11,index1970,Query!$O58)/R$9 * HLOOKUP(R$11,comboutfac,Query!$O58),HLOOKUP(R$11,index1970,Query!$O58)/R$9 * HLOOKUP(R$11,comboutfac,Query!$O58) /R$8))</f>
        <v>0.31150401877031086</v>
      </c>
      <c r="S23" s="120">
        <f>IF($J$7=1,HLOOKUP(S$11,index1970,Query!$O58)/S$9,IF($J$7=2,HLOOKUP(S$11,index1970,Query!$O58)/S$9 * HLOOKUP(S$11,comboutfac,Query!$O58),HLOOKUP(S$11,index1970,Query!$O58)/S$9 * HLOOKUP(S$11,comboutfac,Query!$O58) /S$8))</f>
        <v>0.78326123147391358</v>
      </c>
      <c r="T23" s="120">
        <f>IF($J$7=1,HLOOKUP(T$11,index1970,Query!$O58)/T$9,IF($J$7=2,HLOOKUP(T$11,index1970,Query!$O58)/T$9 * HLOOKUP(T$11,comboutfac,Query!$O58),HLOOKUP(T$11,index1970,Query!$O58)/T$9 * HLOOKUP(T$11,comboutfac,Query!$O58) /T$8))</f>
        <v>0.78454764989380288</v>
      </c>
      <c r="U23" s="120">
        <f>IF($J$7=1,HLOOKUP(U$11,index1970,Query!$O58)/U$9,IF($J$7=2,HLOOKUP(U$11,index1970,Query!$O58)/U$9 * HLOOKUP(U$11,comboutfac,Query!$O58),HLOOKUP(U$11,index1970,Query!$O58)/U$9 * HLOOKUP(U$11,comboutfac,Query!$O58) /U$8))</f>
        <v>0.8015859450137236</v>
      </c>
      <c r="V23" s="120">
        <f>IF($J$7=1,HLOOKUP(V$11,index1970,Query!$O58)/V$9,IF($J$7=2,HLOOKUP(V$11,index1970,Query!$O58)/V$9 * HLOOKUP(V$11,comboutfac,Query!$O58),HLOOKUP(V$11,index1970,Query!$O58)/V$9 * HLOOKUP(V$11,comboutfac,Query!$O58) /V$8))</f>
        <v>0.78977695556521887</v>
      </c>
      <c r="W23" s="120">
        <f>IF($J$7=1,HLOOKUP(W$11,index1970,Query!$O58)/W$9,IF($J$7=2,HLOOKUP(W$11,index1970,Query!$O58)/W$9 * HLOOKUP(W$11,comboutfac,Query!$O58),HLOOKUP(W$11,index1970,Query!$O58)/W$9 * HLOOKUP(W$11,comboutfac,Query!$O58) /W$8))</f>
        <v>0.78831217285955701</v>
      </c>
      <c r="X23" s="120">
        <f>IF($J$7=1,HLOOKUP(X$11,index1970,Query!$O58)/X$9,IF($J$7=2,HLOOKUP(X$11,index1970,Query!$O58)/X$9 * HLOOKUP(X$11,comboutfac,Query!$O58),HLOOKUP(X$11,index1970,Query!$O58)/X$9 * HLOOKUP(X$11,comboutfac,Query!$O58) /X$8))</f>
        <v>0.80152168836367588</v>
      </c>
      <c r="Y23" s="682"/>
      <c r="Z23" s="682"/>
    </row>
    <row r="24" spans="1:26" s="122" customFormat="1">
      <c r="A24" s="121">
        <f t="shared" si="2"/>
        <v>1996</v>
      </c>
      <c r="B24" s="120">
        <f>IF($J$7=1,HLOOKUP(B$11,index1970,Query!$O59)/B$9,IF($J$7=2,HLOOKUP(B$11,index1970,Query!$O59)/B$9 * HLOOKUP(B$11,comboutfac,Query!$O59),HLOOKUP(B$11,index1970,Query!$O59)/B$9 * HLOOKUP(B$11,comboutfac,Query!$O59) /B$8))</f>
        <v>0.80984864015092006</v>
      </c>
      <c r="C24" s="120">
        <f>IF($J$7=1,HLOOKUP(C$11,index1970,Query!$O59)/C$9,IF($J$7=2,HLOOKUP(C$11,index1970,Query!$O59)/C$9 * HLOOKUP(C$11,comboutfac,Query!$O59),HLOOKUP(C$11,index1970,Query!$O59)/C$9 * HLOOKUP(C$11,comboutfac,Query!$O59) /C$8))</f>
        <v>0.80541260299281991</v>
      </c>
      <c r="D24" s="120">
        <f>IF($J$7=1,HLOOKUP(D$11,index1970,Query!$O59)/D$9,IF($J$7=2,HLOOKUP(D$11,index1970,Query!$O59)/D$9 * HLOOKUP(D$11,comboutfac,Query!$O59),HLOOKUP(D$11,index1970,Query!$O59)/D$9 * HLOOKUP(D$11,comboutfac,Query!$O59) /D$8))</f>
        <v>0.81474774083058854</v>
      </c>
      <c r="E24" s="120">
        <f>IF($J$7=1,HLOOKUP(E$11,index1970,Query!$O59)/E$9,IF($J$7=2,HLOOKUP(E$11,index1970,Query!$O59)/E$9 * HLOOKUP(E$11,comboutfac,Query!$O59),HLOOKUP(E$11,index1970,Query!$O59)/E$9 * HLOOKUP(E$11,comboutfac,Query!$O59) /E$8))</f>
        <v>0.62094250873620416</v>
      </c>
      <c r="F24" s="120">
        <f>IF($J$7=1,HLOOKUP(F$11,index1970,Query!$O59)/F$9,IF($J$7=2,HLOOKUP(F$11,index1970,Query!$O59)/F$9 * HLOOKUP(F$11,comboutfac,Query!$O59),HLOOKUP(F$11,index1970,Query!$O59)/F$9 * HLOOKUP(F$11,comboutfac,Query!$O59) /F$8))</f>
        <v>0.81611126630817632</v>
      </c>
      <c r="G24" s="120">
        <f>IF($J$7=1,HLOOKUP(G$11,index1970,Query!$O59)/G$9,IF($J$7=2,HLOOKUP(G$11,index1970,Query!$O59)/G$9 * HLOOKUP(G$11,comboutfac,Query!$O59),HLOOKUP(G$11,index1970,Query!$O59)/G$9 * HLOOKUP(G$11,comboutfac,Query!$O59) /G$8))</f>
        <v>0.79503733807388721</v>
      </c>
      <c r="H24" s="120">
        <f>IF($J$7=1,HLOOKUP(H$11,index1970,Query!$O59)/H$9,IF($J$7=2,HLOOKUP(H$11,index1970,Query!$O59)/H$9 * HLOOKUP(H$11,comboutfac,Query!$O59),HLOOKUP(H$11,index1970,Query!$O59)/H$9 * HLOOKUP(H$11,comboutfac,Query!$O59) /H$8))</f>
        <v>0.81263258861958532</v>
      </c>
      <c r="I24" s="120">
        <f>IF($J$7=1,HLOOKUP(I$11,index1970,Query!$O59)/I$9,IF($J$7=2,HLOOKUP(I$11,index1970,Query!$O59)/I$9 * HLOOKUP(I$11,comboutfac,Query!$O59),HLOOKUP(I$11,index1970,Query!$O59)/I$9 * HLOOKUP(I$11,comboutfac,Query!$O59) /I$8))</f>
        <v>0.81327504527514927</v>
      </c>
      <c r="J24" s="120">
        <f>IF($J$7=1,HLOOKUP(J$11,index1970,Query!$O59)/J$9,IF($J$7=2,HLOOKUP(J$11,index1970,Query!$O59)/J$9 * HLOOKUP(J$11,comboutfac,Query!$O59),HLOOKUP(J$11,index1970,Query!$O59)/J$9 * HLOOKUP(J$11,comboutfac,Query!$O59) /J$8))</f>
        <v>0.80991917460076879</v>
      </c>
      <c r="K24" s="120">
        <f>IF($J$7=1,HLOOKUP(K$11,index1970,Query!$O59)/K$9,IF($J$7=2,HLOOKUP(K$11,index1970,Query!$O59)/K$9 * HLOOKUP(K$11,comboutfac,Query!$O59),HLOOKUP(K$11,index1970,Query!$O59)/K$9 * HLOOKUP(K$11,comboutfac,Query!$O59) /K$8))</f>
        <v>0.59731925504304173</v>
      </c>
      <c r="L24" s="120">
        <f>IF($J$7=1,HLOOKUP(L$11,index1970,Query!$O59)/L$9,IF($J$7=2,HLOOKUP(L$11,index1970,Query!$O59)/L$9 * HLOOKUP(L$11,comboutfac,Query!$O59),HLOOKUP(L$11,index1970,Query!$O59)/L$9 * HLOOKUP(L$11,comboutfac,Query!$O59) /L$8))</f>
        <v>0.79750811117607079</v>
      </c>
      <c r="M24" s="120">
        <f>IF($J$7=1,HLOOKUP(M$11,index1970,Query!$O59)/M$9,IF($J$7=2,HLOOKUP(M$11,index1970,Query!$O59)/M$9 * HLOOKUP(M$11,comboutfac,Query!$O59),HLOOKUP(M$11,index1970,Query!$O59)/M$9 * HLOOKUP(M$11,comboutfac,Query!$O59) /M$8))</f>
        <v>0</v>
      </c>
      <c r="N24" s="120">
        <f>IF($J$7=1,HLOOKUP(N$11,index1970,Query!$O59)/N$9,IF($J$7=2,HLOOKUP(N$11,index1970,Query!$O59)/N$9 * HLOOKUP(N$11,comboutfac,Query!$O59),HLOOKUP(N$11,index1970,Query!$O59)/N$9 * HLOOKUP(N$11,comboutfac,Query!$O59) /N$8))</f>
        <v>0</v>
      </c>
      <c r="O24" s="120">
        <f>IF($J$7=1,HLOOKUP(O$11,index1970,Query!$O59)/O$9,IF($J$7=2,HLOOKUP(O$11,index1970,Query!$O59)/O$9 * HLOOKUP(O$11,comboutfac,Query!$O59),HLOOKUP(O$11,index1970,Query!$O59)/O$9 * HLOOKUP(O$11,comboutfac,Query!$O59) /O$8))</f>
        <v>0.80827113989964328</v>
      </c>
      <c r="P24" s="120">
        <f>IF($J$7=1,HLOOKUP(P$11,index1970,Query!$O59)/P$9,IF($J$7=2,HLOOKUP(P$11,index1970,Query!$O59)/P$9 * HLOOKUP(P$11,comboutfac,Query!$O59),HLOOKUP(P$11,index1970,Query!$O59)/P$9 * HLOOKUP(P$11,comboutfac,Query!$O59) /P$8))</f>
        <v>0.80593625511538081</v>
      </c>
      <c r="Q24" s="120">
        <f>IF($J$7=1,HLOOKUP(Q$11,index1970,Query!$O59)/Q$9,IF($J$7=2,HLOOKUP(Q$11,index1970,Query!$O59)/Q$9 * HLOOKUP(Q$11,comboutfac,Query!$O59),HLOOKUP(Q$11,index1970,Query!$O59)/Q$9 * HLOOKUP(Q$11,comboutfac,Query!$O59) /Q$8))</f>
        <v>0.80108886516908884</v>
      </c>
      <c r="R24" s="120">
        <f>IF($J$7=1,HLOOKUP(R$11,index1970,Query!$O59)/R$9,IF($J$7=2,HLOOKUP(R$11,index1970,Query!$O59)/R$9 * HLOOKUP(R$11,comboutfac,Query!$O59),HLOOKUP(R$11,index1970,Query!$O59)/R$9 * HLOOKUP(R$11,comboutfac,Query!$O59) /R$8))</f>
        <v>0.32894824382144833</v>
      </c>
      <c r="S24" s="120">
        <f>IF($J$7=1,HLOOKUP(S$11,index1970,Query!$O59)/S$9,IF($J$7=2,HLOOKUP(S$11,index1970,Query!$O59)/S$9 * HLOOKUP(S$11,comboutfac,Query!$O59),HLOOKUP(S$11,index1970,Query!$O59)/S$9 * HLOOKUP(S$11,comboutfac,Query!$O59) /S$8))</f>
        <v>0.79890467877150562</v>
      </c>
      <c r="T24" s="120">
        <f>IF($J$7=1,HLOOKUP(T$11,index1970,Query!$O59)/T$9,IF($J$7=2,HLOOKUP(T$11,index1970,Query!$O59)/T$9 * HLOOKUP(T$11,comboutfac,Query!$O59),HLOOKUP(T$11,index1970,Query!$O59)/T$9 * HLOOKUP(T$11,comboutfac,Query!$O59) /T$8))</f>
        <v>0.79846781558212576</v>
      </c>
      <c r="U24" s="120">
        <f>IF($J$7=1,HLOOKUP(U$11,index1970,Query!$O59)/U$9,IF($J$7=2,HLOOKUP(U$11,index1970,Query!$O59)/U$9 * HLOOKUP(U$11,comboutfac,Query!$O59),HLOOKUP(U$11,index1970,Query!$O59)/U$9 * HLOOKUP(U$11,comboutfac,Query!$O59) /U$8))</f>
        <v>0.80907192048085752</v>
      </c>
      <c r="V24" s="120">
        <f>IF($J$7=1,HLOOKUP(V$11,index1970,Query!$O59)/V$9,IF($J$7=2,HLOOKUP(V$11,index1970,Query!$O59)/V$9 * HLOOKUP(V$11,comboutfac,Query!$O59),HLOOKUP(V$11,index1970,Query!$O59)/V$9 * HLOOKUP(V$11,comboutfac,Query!$O59) /V$8))</f>
        <v>0.79932767970246243</v>
      </c>
      <c r="W24" s="120">
        <f>IF($J$7=1,HLOOKUP(W$11,index1970,Query!$O59)/W$9,IF($J$7=2,HLOOKUP(W$11,index1970,Query!$O59)/W$9 * HLOOKUP(W$11,comboutfac,Query!$O59),HLOOKUP(W$11,index1970,Query!$O59)/W$9 * HLOOKUP(W$11,comboutfac,Query!$O59) /W$8))</f>
        <v>0.80233185639419169</v>
      </c>
      <c r="X24" s="120">
        <f>IF($J$7=1,HLOOKUP(X$11,index1970,Query!$O59)/X$9,IF($J$7=2,HLOOKUP(X$11,index1970,Query!$O59)/X$9 * HLOOKUP(X$11,comboutfac,Query!$O59),HLOOKUP(X$11,index1970,Query!$O59)/X$9 * HLOOKUP(X$11,comboutfac,Query!$O59) /X$8))</f>
        <v>0.81237440674777595</v>
      </c>
      <c r="Y24" s="682"/>
      <c r="Z24" s="682"/>
    </row>
    <row r="25" spans="1:26" s="122" customFormat="1">
      <c r="A25" s="121">
        <f t="shared" si="2"/>
        <v>1997</v>
      </c>
      <c r="B25" s="120">
        <f>IF($J$7=1,HLOOKUP(B$11,index1970,Query!$O60)/B$9,IF($J$7=2,HLOOKUP(B$11,index1970,Query!$O60)/B$9 * HLOOKUP(B$11,comboutfac,Query!$O60),HLOOKUP(B$11,index1970,Query!$O60)/B$9 * HLOOKUP(B$11,comboutfac,Query!$O60) /B$8))</f>
        <v>0.81878276305473185</v>
      </c>
      <c r="C25" s="120">
        <f>IF($J$7=1,HLOOKUP(C$11,index1970,Query!$O60)/C$9,IF($J$7=2,HLOOKUP(C$11,index1970,Query!$O60)/C$9 * HLOOKUP(C$11,comboutfac,Query!$O60),HLOOKUP(C$11,index1970,Query!$O60)/C$9 * HLOOKUP(C$11,comboutfac,Query!$O60) /C$8))</f>
        <v>0.8164095649816876</v>
      </c>
      <c r="D25" s="120">
        <f>IF($J$7=1,HLOOKUP(D$11,index1970,Query!$O60)/D$9,IF($J$7=2,HLOOKUP(D$11,index1970,Query!$O60)/D$9 * HLOOKUP(D$11,comboutfac,Query!$O60),HLOOKUP(D$11,index1970,Query!$O60)/D$9 * HLOOKUP(D$11,comboutfac,Query!$O60) /D$8))</f>
        <v>0.823159281869833</v>
      </c>
      <c r="E25" s="120">
        <f>IF($J$7=1,HLOOKUP(E$11,index1970,Query!$O60)/E$9,IF($J$7=2,HLOOKUP(E$11,index1970,Query!$O60)/E$9 * HLOOKUP(E$11,comboutfac,Query!$O60),HLOOKUP(E$11,index1970,Query!$O60)/E$9 * HLOOKUP(E$11,comboutfac,Query!$O60) /E$8))</f>
        <v>0.63863937023518591</v>
      </c>
      <c r="F25" s="120">
        <f>IF($J$7=1,HLOOKUP(F$11,index1970,Query!$O60)/F$9,IF($J$7=2,HLOOKUP(F$11,index1970,Query!$O60)/F$9 * HLOOKUP(F$11,comboutfac,Query!$O60),HLOOKUP(F$11,index1970,Query!$O60)/F$9 * HLOOKUP(F$11,comboutfac,Query!$O60) /F$8))</f>
        <v>0.82594448544137566</v>
      </c>
      <c r="G25" s="120">
        <f>IF($J$7=1,HLOOKUP(G$11,index1970,Query!$O60)/G$9,IF($J$7=2,HLOOKUP(G$11,index1970,Query!$O60)/G$9 * HLOOKUP(G$11,comboutfac,Query!$O60),HLOOKUP(G$11,index1970,Query!$O60)/G$9 * HLOOKUP(G$11,comboutfac,Query!$O60) /G$8))</f>
        <v>0.80757324661197449</v>
      </c>
      <c r="H25" s="120">
        <f>IF($J$7=1,HLOOKUP(H$11,index1970,Query!$O60)/H$9,IF($J$7=2,HLOOKUP(H$11,index1970,Query!$O60)/H$9 * HLOOKUP(H$11,comboutfac,Query!$O60),HLOOKUP(H$11,index1970,Query!$O60)/H$9 * HLOOKUP(H$11,comboutfac,Query!$O60) /H$8))</f>
        <v>0.81972244980722764</v>
      </c>
      <c r="I25" s="120">
        <f>IF($J$7=1,HLOOKUP(I$11,index1970,Query!$O60)/I$9,IF($J$7=2,HLOOKUP(I$11,index1970,Query!$O60)/I$9 * HLOOKUP(I$11,comboutfac,Query!$O60),HLOOKUP(I$11,index1970,Query!$O60)/I$9 * HLOOKUP(I$11,comboutfac,Query!$O60) /I$8))</f>
        <v>0.82190895370174089</v>
      </c>
      <c r="J25" s="120">
        <f>IF($J$7=1,HLOOKUP(J$11,index1970,Query!$O60)/J$9,IF($J$7=2,HLOOKUP(J$11,index1970,Query!$O60)/J$9 * HLOOKUP(J$11,comboutfac,Query!$O60),HLOOKUP(J$11,index1970,Query!$O60)/J$9 * HLOOKUP(J$11,comboutfac,Query!$O60) /J$8))</f>
        <v>0.81725139655304035</v>
      </c>
      <c r="K25" s="120">
        <f>IF($J$7=1,HLOOKUP(K$11,index1970,Query!$O60)/K$9,IF($J$7=2,HLOOKUP(K$11,index1970,Query!$O60)/K$9 * HLOOKUP(K$11,comboutfac,Query!$O60),HLOOKUP(K$11,index1970,Query!$O60)/K$9 * HLOOKUP(K$11,comboutfac,Query!$O60) /K$8))</f>
        <v>0.61434285381176834</v>
      </c>
      <c r="L25" s="120">
        <f>IF($J$7=1,HLOOKUP(L$11,index1970,Query!$O60)/L$9,IF($J$7=2,HLOOKUP(L$11,index1970,Query!$O60)/L$9 * HLOOKUP(L$11,comboutfac,Query!$O60),HLOOKUP(L$11,index1970,Query!$O60)/L$9 * HLOOKUP(L$11,comboutfac,Query!$O60) /L$8))</f>
        <v>0.80819509706049186</v>
      </c>
      <c r="M25" s="120">
        <f>IF($J$7=1,HLOOKUP(M$11,index1970,Query!$O60)/M$9,IF($J$7=2,HLOOKUP(M$11,index1970,Query!$O60)/M$9 * HLOOKUP(M$11,comboutfac,Query!$O60),HLOOKUP(M$11,index1970,Query!$O60)/M$9 * HLOOKUP(M$11,comboutfac,Query!$O60) /M$8))</f>
        <v>0</v>
      </c>
      <c r="N25" s="120">
        <f>IF($J$7=1,HLOOKUP(N$11,index1970,Query!$O60)/N$9,IF($J$7=2,HLOOKUP(N$11,index1970,Query!$O60)/N$9 * HLOOKUP(N$11,comboutfac,Query!$O60),HLOOKUP(N$11,index1970,Query!$O60)/N$9 * HLOOKUP(N$11,comboutfac,Query!$O60) /N$8))</f>
        <v>0</v>
      </c>
      <c r="O25" s="120">
        <f>IF($J$7=1,HLOOKUP(O$11,index1970,Query!$O60)/O$9,IF($J$7=2,HLOOKUP(O$11,index1970,Query!$O60)/O$9 * HLOOKUP(O$11,comboutfac,Query!$O60),HLOOKUP(O$11,index1970,Query!$O60)/O$9 * HLOOKUP(O$11,comboutfac,Query!$O60) /O$8))</f>
        <v>0.81686349599152885</v>
      </c>
      <c r="P25" s="120">
        <f>IF($J$7=1,HLOOKUP(P$11,index1970,Query!$O60)/P$9,IF($J$7=2,HLOOKUP(P$11,index1970,Query!$O60)/P$9 * HLOOKUP(P$11,comboutfac,Query!$O60),HLOOKUP(P$11,index1970,Query!$O60)/P$9 * HLOOKUP(P$11,comboutfac,Query!$O60) /P$8))</f>
        <v>0.81447201499130617</v>
      </c>
      <c r="Q25" s="120">
        <f>IF($J$7=1,HLOOKUP(Q$11,index1970,Query!$O60)/Q$9,IF($J$7=2,HLOOKUP(Q$11,index1970,Query!$O60)/Q$9 * HLOOKUP(Q$11,comboutfac,Query!$O60),HLOOKUP(Q$11,index1970,Query!$O60)/Q$9 * HLOOKUP(Q$11,comboutfac,Query!$O60) /Q$8))</f>
        <v>0.81041949539394353</v>
      </c>
      <c r="R25" s="120">
        <f>IF($J$7=1,HLOOKUP(R$11,index1970,Query!$O60)/R$9,IF($J$7=2,HLOOKUP(R$11,index1970,Query!$O60)/R$9 * HLOOKUP(R$11,comboutfac,Query!$O60),HLOOKUP(R$11,index1970,Query!$O60)/R$9 * HLOOKUP(R$11,comboutfac,Query!$O60) /R$8))</f>
        <v>0.33322457099112712</v>
      </c>
      <c r="S25" s="120">
        <f>IF($J$7=1,HLOOKUP(S$11,index1970,Query!$O60)/S$9,IF($J$7=2,HLOOKUP(S$11,index1970,Query!$O60)/S$9 * HLOOKUP(S$11,comboutfac,Query!$O60),HLOOKUP(S$11,index1970,Query!$O60)/S$9 * HLOOKUP(S$11,comboutfac,Query!$O60) /S$8))</f>
        <v>0.80937355925887822</v>
      </c>
      <c r="T25" s="120">
        <f>IF($J$7=1,HLOOKUP(T$11,index1970,Query!$O60)/T$9,IF($J$7=2,HLOOKUP(T$11,index1970,Query!$O60)/T$9 * HLOOKUP(T$11,comboutfac,Query!$O60),HLOOKUP(T$11,index1970,Query!$O60)/T$9 * HLOOKUP(T$11,comboutfac,Query!$O60) /T$8))</f>
        <v>0.80998443647686214</v>
      </c>
      <c r="U25" s="120">
        <f>IF($J$7=1,HLOOKUP(U$11,index1970,Query!$O60)/U$9,IF($J$7=2,HLOOKUP(U$11,index1970,Query!$O60)/U$9 * HLOOKUP(U$11,comboutfac,Query!$O60),HLOOKUP(U$11,index1970,Query!$O60)/U$9 * HLOOKUP(U$11,comboutfac,Query!$O60) /U$8))</f>
        <v>0.81856900704687729</v>
      </c>
      <c r="V25" s="120">
        <f>IF($J$7=1,HLOOKUP(V$11,index1970,Query!$O60)/V$9,IF($J$7=2,HLOOKUP(V$11,index1970,Query!$O60)/V$9 * HLOOKUP(V$11,comboutfac,Query!$O60),HLOOKUP(V$11,index1970,Query!$O60)/V$9 * HLOOKUP(V$11,comboutfac,Query!$O60) /V$8))</f>
        <v>0.81647827891607805</v>
      </c>
      <c r="W25" s="120">
        <f>IF($J$7=1,HLOOKUP(W$11,index1970,Query!$O60)/W$9,IF($J$7=2,HLOOKUP(W$11,index1970,Query!$O60)/W$9 * HLOOKUP(W$11,comboutfac,Query!$O60),HLOOKUP(W$11,index1970,Query!$O60)/W$9 * HLOOKUP(W$11,comboutfac,Query!$O60) /W$8))</f>
        <v>0.8114751408321188</v>
      </c>
      <c r="X25" s="120">
        <f>IF($J$7=1,HLOOKUP(X$11,index1970,Query!$O60)/X$9,IF($J$7=2,HLOOKUP(X$11,index1970,Query!$O60)/X$9 * HLOOKUP(X$11,comboutfac,Query!$O60),HLOOKUP(X$11,index1970,Query!$O60)/X$9 * HLOOKUP(X$11,comboutfac,Query!$O60) /X$8))</f>
        <v>0.81931847716841022</v>
      </c>
      <c r="Y25" s="682"/>
      <c r="Z25" s="682"/>
    </row>
    <row r="26" spans="1:26" s="122" customFormat="1">
      <c r="A26" s="121">
        <f t="shared" si="2"/>
        <v>1998</v>
      </c>
      <c r="B26" s="120">
        <f>IF($J$7=1,HLOOKUP(B$11,index1970,Query!$O61)/B$9,IF($J$7=2,HLOOKUP(B$11,index1970,Query!$O61)/B$9 * HLOOKUP(B$11,comboutfac,Query!$O61),HLOOKUP(B$11,index1970,Query!$O61)/B$9 * HLOOKUP(B$11,comboutfac,Query!$O61) /B$8))</f>
        <v>0.82655733911221252</v>
      </c>
      <c r="C26" s="120">
        <f>IF($J$7=1,HLOOKUP(C$11,index1970,Query!$O61)/C$9,IF($J$7=2,HLOOKUP(C$11,index1970,Query!$O61)/C$9 * HLOOKUP(C$11,comboutfac,Query!$O61),HLOOKUP(C$11,index1970,Query!$O61)/C$9 * HLOOKUP(C$11,comboutfac,Query!$O61) /C$8))</f>
        <v>0.82580308042707573</v>
      </c>
      <c r="D26" s="120">
        <f>IF($J$7=1,HLOOKUP(D$11,index1970,Query!$O61)/D$9,IF($J$7=2,HLOOKUP(D$11,index1970,Query!$O61)/D$9 * HLOOKUP(D$11,comboutfac,Query!$O61),HLOOKUP(D$11,index1970,Query!$O61)/D$9 * HLOOKUP(D$11,comboutfac,Query!$O61) /D$8))</f>
        <v>0.83269252210112943</v>
      </c>
      <c r="E26" s="120">
        <f>IF($J$7=1,HLOOKUP(E$11,index1970,Query!$O61)/E$9,IF($J$7=2,HLOOKUP(E$11,index1970,Query!$O61)/E$9 * HLOOKUP(E$11,comboutfac,Query!$O61),HLOOKUP(E$11,index1970,Query!$O61)/E$9 * HLOOKUP(E$11,comboutfac,Query!$O61) /E$8))</f>
        <v>0.65684059228688874</v>
      </c>
      <c r="F26" s="120">
        <f>IF($J$7=1,HLOOKUP(F$11,index1970,Query!$O61)/F$9,IF($J$7=2,HLOOKUP(F$11,index1970,Query!$O61)/F$9 * HLOOKUP(F$11,comboutfac,Query!$O61),HLOOKUP(F$11,index1970,Query!$O61)/F$9 * HLOOKUP(F$11,comboutfac,Query!$O61) /F$8))</f>
        <v>0.83642796758489935</v>
      </c>
      <c r="G26" s="120">
        <f>IF($J$7=1,HLOOKUP(G$11,index1970,Query!$O61)/G$9,IF($J$7=2,HLOOKUP(G$11,index1970,Query!$O61)/G$9 * HLOOKUP(G$11,comboutfac,Query!$O61),HLOOKUP(G$11,index1970,Query!$O61)/G$9 * HLOOKUP(G$11,comboutfac,Query!$O61) /G$8))</f>
        <v>0.81366869834533728</v>
      </c>
      <c r="H26" s="120">
        <f>IF($J$7=1,HLOOKUP(H$11,index1970,Query!$O61)/H$9,IF($J$7=2,HLOOKUP(H$11,index1970,Query!$O61)/H$9 * HLOOKUP(H$11,comboutfac,Query!$O61),HLOOKUP(H$11,index1970,Query!$O61)/H$9 * HLOOKUP(H$11,comboutfac,Query!$O61) /H$8))</f>
        <v>0.82888207416577753</v>
      </c>
      <c r="I26" s="120">
        <f>IF($J$7=1,HLOOKUP(I$11,index1970,Query!$O61)/I$9,IF($J$7=2,HLOOKUP(I$11,index1970,Query!$O61)/I$9 * HLOOKUP(I$11,comboutfac,Query!$O61),HLOOKUP(I$11,index1970,Query!$O61)/I$9 * HLOOKUP(I$11,comboutfac,Query!$O61) /I$8))</f>
        <v>0.83193179597039479</v>
      </c>
      <c r="J26" s="120">
        <f>IF($J$7=1,HLOOKUP(J$11,index1970,Query!$O61)/J$9,IF($J$7=2,HLOOKUP(J$11,index1970,Query!$O61)/J$9 * HLOOKUP(J$11,comboutfac,Query!$O61),HLOOKUP(J$11,index1970,Query!$O61)/J$9 * HLOOKUP(J$11,comboutfac,Query!$O61) /J$8))</f>
        <v>0.82932194060215525</v>
      </c>
      <c r="K26" s="120">
        <f>IF($J$7=1,HLOOKUP(K$11,index1970,Query!$O61)/K$9,IF($J$7=2,HLOOKUP(K$11,index1970,Query!$O61)/K$9 * HLOOKUP(K$11,comboutfac,Query!$O61),HLOOKUP(K$11,index1970,Query!$O61)/K$9 * HLOOKUP(K$11,comboutfac,Query!$O61) /K$8))</f>
        <v>0.63185162514540361</v>
      </c>
      <c r="L26" s="120">
        <f>IF($J$7=1,HLOOKUP(L$11,index1970,Query!$O61)/L$9,IF($J$7=2,HLOOKUP(L$11,index1970,Query!$O61)/L$9 * HLOOKUP(L$11,comboutfac,Query!$O61),HLOOKUP(L$11,index1970,Query!$O61)/L$9 * HLOOKUP(L$11,comboutfac,Query!$O61) /L$8))</f>
        <v>0.81408144786274761</v>
      </c>
      <c r="M26" s="120">
        <f>IF($J$7=1,HLOOKUP(M$11,index1970,Query!$O61)/M$9,IF($J$7=2,HLOOKUP(M$11,index1970,Query!$O61)/M$9 * HLOOKUP(M$11,comboutfac,Query!$O61),HLOOKUP(M$11,index1970,Query!$O61)/M$9 * HLOOKUP(M$11,comboutfac,Query!$O61) /M$8))</f>
        <v>0.81469817695438684</v>
      </c>
      <c r="N26" s="120">
        <f>IF($J$7=1,HLOOKUP(N$11,index1970,Query!$O61)/N$9,IF($J$7=2,HLOOKUP(N$11,index1970,Query!$O61)/N$9 * HLOOKUP(N$11,comboutfac,Query!$O61),HLOOKUP(N$11,index1970,Query!$O61)/N$9 * HLOOKUP(N$11,comboutfac,Query!$O61) /N$8))</f>
        <v>0.8148741448577681</v>
      </c>
      <c r="O26" s="120">
        <f>IF($J$7=1,HLOOKUP(O$11,index1970,Query!$O61)/O$9,IF($J$7=2,HLOOKUP(O$11,index1970,Query!$O61)/O$9 * HLOOKUP(O$11,comboutfac,Query!$O61),HLOOKUP(O$11,index1970,Query!$O61)/O$9 * HLOOKUP(O$11,comboutfac,Query!$O61) /O$8))</f>
        <v>0.82657024376264632</v>
      </c>
      <c r="P26" s="120">
        <f>IF($J$7=1,HLOOKUP(P$11,index1970,Query!$O61)/P$9,IF($J$7=2,HLOOKUP(P$11,index1970,Query!$O61)/P$9 * HLOOKUP(P$11,comboutfac,Query!$O61),HLOOKUP(P$11,index1970,Query!$O61)/P$9 * HLOOKUP(P$11,comboutfac,Query!$O61) /P$8))</f>
        <v>0.82238802874461214</v>
      </c>
      <c r="Q26" s="120">
        <f>IF($J$7=1,HLOOKUP(Q$11,index1970,Query!$O61)/Q$9,IF($J$7=2,HLOOKUP(Q$11,index1970,Query!$O61)/Q$9 * HLOOKUP(Q$11,comboutfac,Query!$O61),HLOOKUP(Q$11,index1970,Query!$O61)/Q$9 * HLOOKUP(Q$11,comboutfac,Query!$O61) /Q$8))</f>
        <v>0.81730707717302242</v>
      </c>
      <c r="R26" s="120">
        <f>IF($J$7=1,HLOOKUP(R$11,index1970,Query!$O61)/R$9,IF($J$7=2,HLOOKUP(R$11,index1970,Query!$O61)/R$9 * HLOOKUP(R$11,comboutfac,Query!$O61),HLOOKUP(R$11,index1970,Query!$O61)/R$9 * HLOOKUP(R$11,comboutfac,Query!$O61) /R$8))</f>
        <v>0.39886981147637918</v>
      </c>
      <c r="S26" s="120">
        <f>IF($J$7=1,HLOOKUP(S$11,index1970,Query!$O61)/S$9,IF($J$7=2,HLOOKUP(S$11,index1970,Query!$O61)/S$9 * HLOOKUP(S$11,comboutfac,Query!$O61),HLOOKUP(S$11,index1970,Query!$O61)/S$9 * HLOOKUP(S$11,comboutfac,Query!$O61) /S$8))</f>
        <v>0.81583540309628555</v>
      </c>
      <c r="T26" s="120">
        <f>IF($J$7=1,HLOOKUP(T$11,index1970,Query!$O61)/T$9,IF($J$7=2,HLOOKUP(T$11,index1970,Query!$O61)/T$9 * HLOOKUP(T$11,comboutfac,Query!$O61),HLOOKUP(T$11,index1970,Query!$O61)/T$9 * HLOOKUP(T$11,comboutfac,Query!$O61) /T$8))</f>
        <v>0.81643006283459485</v>
      </c>
      <c r="U26" s="120">
        <f>IF($J$7=1,HLOOKUP(U$11,index1970,Query!$O61)/U$9,IF($J$7=2,HLOOKUP(U$11,index1970,Query!$O61)/U$9 * HLOOKUP(U$11,comboutfac,Query!$O61),HLOOKUP(U$11,index1970,Query!$O61)/U$9 * HLOOKUP(U$11,comboutfac,Query!$O61) /U$8))</f>
        <v>0.82638670791003521</v>
      </c>
      <c r="V26" s="120">
        <f>IF($J$7=1,HLOOKUP(V$11,index1970,Query!$O61)/V$9,IF($J$7=2,HLOOKUP(V$11,index1970,Query!$O61)/V$9 * HLOOKUP(V$11,comboutfac,Query!$O61),HLOOKUP(V$11,index1970,Query!$O61)/V$9 * HLOOKUP(V$11,comboutfac,Query!$O61) /V$8))</f>
        <v>0.83501074689766319</v>
      </c>
      <c r="W26" s="120">
        <f>IF($J$7=1,HLOOKUP(W$11,index1970,Query!$O61)/W$9,IF($J$7=2,HLOOKUP(W$11,index1970,Query!$O61)/W$9 * HLOOKUP(W$11,comboutfac,Query!$O61),HLOOKUP(W$11,index1970,Query!$O61)/W$9 * HLOOKUP(W$11,comboutfac,Query!$O61) /W$8))</f>
        <v>0.81801748985176115</v>
      </c>
      <c r="X26" s="120">
        <f>IF($J$7=1,HLOOKUP(X$11,index1970,Query!$O61)/X$9,IF($J$7=2,HLOOKUP(X$11,index1970,Query!$O61)/X$9 * HLOOKUP(X$11,comboutfac,Query!$O61),HLOOKUP(X$11,index1970,Query!$O61)/X$9 * HLOOKUP(X$11,comboutfac,Query!$O61) /X$8))</f>
        <v>0.82848643108359088</v>
      </c>
      <c r="Y26" s="682"/>
      <c r="Z26" s="682"/>
    </row>
    <row r="27" spans="1:26" s="122" customFormat="1">
      <c r="A27" s="121">
        <f t="shared" si="2"/>
        <v>1999</v>
      </c>
      <c r="B27" s="120">
        <f>IF($J$7=1,HLOOKUP(B$11,index1970,Query!$O62)/B$9,IF($J$7=2,HLOOKUP(B$11,index1970,Query!$O62)/B$9 * HLOOKUP(B$11,comboutfac,Query!$O62),HLOOKUP(B$11,index1970,Query!$O62)/B$9 * HLOOKUP(B$11,comboutfac,Query!$O62) /B$8))</f>
        <v>0.83278065798121981</v>
      </c>
      <c r="C27" s="120">
        <f>IF($J$7=1,HLOOKUP(C$11,index1970,Query!$O62)/C$9,IF($J$7=2,HLOOKUP(C$11,index1970,Query!$O62)/C$9 * HLOOKUP(C$11,comboutfac,Query!$O62),HLOOKUP(C$11,index1970,Query!$O62)/C$9 * HLOOKUP(C$11,comboutfac,Query!$O62) /C$8))</f>
        <v>0.8326195361327996</v>
      </c>
      <c r="D27" s="120">
        <f>IF($J$7=1,HLOOKUP(D$11,index1970,Query!$O62)/D$9,IF($J$7=2,HLOOKUP(D$11,index1970,Query!$O62)/D$9 * HLOOKUP(D$11,comboutfac,Query!$O62),HLOOKUP(D$11,index1970,Query!$O62)/D$9 * HLOOKUP(D$11,comboutfac,Query!$O62) /D$8))</f>
        <v>0.84402209569028774</v>
      </c>
      <c r="E27" s="120">
        <f>IF($J$7=1,HLOOKUP(E$11,index1970,Query!$O62)/E$9,IF($J$7=2,HLOOKUP(E$11,index1970,Query!$O62)/E$9 * HLOOKUP(E$11,comboutfac,Query!$O62),HLOOKUP(E$11,index1970,Query!$O62)/E$9 * HLOOKUP(E$11,comboutfac,Query!$O62) /E$8))</f>
        <v>0.67917317242464303</v>
      </c>
      <c r="F27" s="120">
        <f>IF($J$7=1,HLOOKUP(F$11,index1970,Query!$O62)/F$9,IF($J$7=2,HLOOKUP(F$11,index1970,Query!$O62)/F$9 * HLOOKUP(F$11,comboutfac,Query!$O62),HLOOKUP(F$11,index1970,Query!$O62)/F$9 * HLOOKUP(F$11,comboutfac,Query!$O62) /F$8))</f>
        <v>0.83870457655598629</v>
      </c>
      <c r="G27" s="120">
        <f>IF($J$7=1,HLOOKUP(G$11,index1970,Query!$O62)/G$9,IF($J$7=2,HLOOKUP(G$11,index1970,Query!$O62)/G$9 * HLOOKUP(G$11,comboutfac,Query!$O62),HLOOKUP(G$11,index1970,Query!$O62)/G$9 * HLOOKUP(G$11,comboutfac,Query!$O62) /G$8))</f>
        <v>0.82272348878741086</v>
      </c>
      <c r="H27" s="120">
        <f>IF($J$7=1,HLOOKUP(H$11,index1970,Query!$O62)/H$9,IF($J$7=2,HLOOKUP(H$11,index1970,Query!$O62)/H$9 * HLOOKUP(H$11,comboutfac,Query!$O62),HLOOKUP(H$11,index1970,Query!$O62)/H$9 * HLOOKUP(H$11,comboutfac,Query!$O62) /H$8))</f>
        <v>0.83833696870218877</v>
      </c>
      <c r="I27" s="120">
        <f>IF($J$7=1,HLOOKUP(I$11,index1970,Query!$O62)/I$9,IF($J$7=2,HLOOKUP(I$11,index1970,Query!$O62)/I$9 * HLOOKUP(I$11,comboutfac,Query!$O62),HLOOKUP(I$11,index1970,Query!$O62)/I$9 * HLOOKUP(I$11,comboutfac,Query!$O62) /I$8))</f>
        <v>0.84184891814181662</v>
      </c>
      <c r="J27" s="120">
        <f>IF($J$7=1,HLOOKUP(J$11,index1970,Query!$O62)/J$9,IF($J$7=2,HLOOKUP(J$11,index1970,Query!$O62)/J$9 * HLOOKUP(J$11,comboutfac,Query!$O62),HLOOKUP(J$11,index1970,Query!$O62)/J$9 * HLOOKUP(J$11,comboutfac,Query!$O62) /J$8))</f>
        <v>0.84208727773251901</v>
      </c>
      <c r="K27" s="120">
        <f>IF($J$7=1,HLOOKUP(K$11,index1970,Query!$O62)/K$9,IF($J$7=2,HLOOKUP(K$11,index1970,Query!$O62)/K$9 * HLOOKUP(K$11,comboutfac,Query!$O62),HLOOKUP(K$11,index1970,Query!$O62)/K$9 * HLOOKUP(K$11,comboutfac,Query!$O62) /K$8))</f>
        <v>0.65333458040034742</v>
      </c>
      <c r="L27" s="120">
        <f>IF($J$7=1,HLOOKUP(L$11,index1970,Query!$O62)/L$9,IF($J$7=2,HLOOKUP(L$11,index1970,Query!$O62)/L$9 * HLOOKUP(L$11,comboutfac,Query!$O62),HLOOKUP(L$11,index1970,Query!$O62)/L$9 * HLOOKUP(L$11,comboutfac,Query!$O62) /L$8))</f>
        <v>0.82336999179701731</v>
      </c>
      <c r="M27" s="120">
        <f>IF($J$7=1,HLOOKUP(M$11,index1970,Query!$O62)/M$9,IF($J$7=2,HLOOKUP(M$11,index1970,Query!$O62)/M$9 * HLOOKUP(M$11,comboutfac,Query!$O62),HLOOKUP(M$11,index1970,Query!$O62)/M$9 * HLOOKUP(M$11,comboutfac,Query!$O62) /M$8))</f>
        <v>0.82426168478489314</v>
      </c>
      <c r="N27" s="120">
        <f>IF($J$7=1,HLOOKUP(N$11,index1970,Query!$O62)/N$9,IF($J$7=2,HLOOKUP(N$11,index1970,Query!$O62)/N$9 * HLOOKUP(N$11,comboutfac,Query!$O62),HLOOKUP(N$11,index1970,Query!$O62)/N$9 * HLOOKUP(N$11,comboutfac,Query!$O62) /N$8))</f>
        <v>0.82308277010720876</v>
      </c>
      <c r="O27" s="120">
        <f>IF($J$7=1,HLOOKUP(O$11,index1970,Query!$O62)/O$9,IF($J$7=2,HLOOKUP(O$11,index1970,Query!$O62)/O$9 * HLOOKUP(O$11,comboutfac,Query!$O62),HLOOKUP(O$11,index1970,Query!$O62)/O$9 * HLOOKUP(O$11,comboutfac,Query!$O62) /O$8))</f>
        <v>0.83899682761736027</v>
      </c>
      <c r="P27" s="120">
        <f>IF($J$7=1,HLOOKUP(P$11,index1970,Query!$O62)/P$9,IF($J$7=2,HLOOKUP(P$11,index1970,Query!$O62)/P$9 * HLOOKUP(P$11,comboutfac,Query!$O62),HLOOKUP(P$11,index1970,Query!$O62)/P$9 * HLOOKUP(P$11,comboutfac,Query!$O62) /P$8))</f>
        <v>0.83308592684386173</v>
      </c>
      <c r="Q27" s="120">
        <f>IF($J$7=1,HLOOKUP(Q$11,index1970,Query!$O62)/Q$9,IF($J$7=2,HLOOKUP(Q$11,index1970,Query!$O62)/Q$9 * HLOOKUP(Q$11,comboutfac,Query!$O62),HLOOKUP(Q$11,index1970,Query!$O62)/Q$9 * HLOOKUP(Q$11,comboutfac,Query!$O62) /Q$8))</f>
        <v>0.82701258688983814</v>
      </c>
      <c r="R27" s="120">
        <f>IF($J$7=1,HLOOKUP(R$11,index1970,Query!$O62)/R$9,IF($J$7=2,HLOOKUP(R$11,index1970,Query!$O62)/R$9 * HLOOKUP(R$11,comboutfac,Query!$O62),HLOOKUP(R$11,index1970,Query!$O62)/R$9 * HLOOKUP(R$11,comboutfac,Query!$O62) /R$8))</f>
        <v>0.36376926806645782</v>
      </c>
      <c r="S27" s="120">
        <f>IF($J$7=1,HLOOKUP(S$11,index1970,Query!$O62)/S$9,IF($J$7=2,HLOOKUP(S$11,index1970,Query!$O62)/S$9 * HLOOKUP(S$11,comboutfac,Query!$O62),HLOOKUP(S$11,index1970,Query!$O62)/S$9 * HLOOKUP(S$11,comboutfac,Query!$O62) /S$8))</f>
        <v>0.82426044690141231</v>
      </c>
      <c r="T27" s="120">
        <f>IF($J$7=1,HLOOKUP(T$11,index1970,Query!$O62)/T$9,IF($J$7=2,HLOOKUP(T$11,index1970,Query!$O62)/T$9 * HLOOKUP(T$11,comboutfac,Query!$O62),HLOOKUP(T$11,index1970,Query!$O62)/T$9 * HLOOKUP(T$11,comboutfac,Query!$O62) /T$8))</f>
        <v>0.82641809744175454</v>
      </c>
      <c r="U27" s="120">
        <f>IF($J$7=1,HLOOKUP(U$11,index1970,Query!$O62)/U$9,IF($J$7=2,HLOOKUP(U$11,index1970,Query!$O62)/U$9 * HLOOKUP(U$11,comboutfac,Query!$O62),HLOOKUP(U$11,index1970,Query!$O62)/U$9 * HLOOKUP(U$11,comboutfac,Query!$O62) /U$8))</f>
        <v>0.83568172573274468</v>
      </c>
      <c r="V27" s="120">
        <f>IF($J$7=1,HLOOKUP(V$11,index1970,Query!$O62)/V$9,IF($J$7=2,HLOOKUP(V$11,index1970,Query!$O62)/V$9 * HLOOKUP(V$11,comboutfac,Query!$O62),HLOOKUP(V$11,index1970,Query!$O62)/V$9 * HLOOKUP(V$11,comboutfac,Query!$O62) /V$8))</f>
        <v>0.8429303671395999</v>
      </c>
      <c r="W27" s="120">
        <f>IF($J$7=1,HLOOKUP(W$11,index1970,Query!$O62)/W$9,IF($J$7=2,HLOOKUP(W$11,index1970,Query!$O62)/W$9 * HLOOKUP(W$11,comboutfac,Query!$O62),HLOOKUP(W$11,index1970,Query!$O62)/W$9 * HLOOKUP(W$11,comboutfac,Query!$O62) /W$8))</f>
        <v>0.82739110195585974</v>
      </c>
      <c r="X27" s="120">
        <f>IF($J$7=1,HLOOKUP(X$11,index1970,Query!$O62)/X$9,IF($J$7=2,HLOOKUP(X$11,index1970,Query!$O62)/X$9 * HLOOKUP(X$11,comboutfac,Query!$O62),HLOOKUP(X$11,index1970,Query!$O62)/X$9 * HLOOKUP(X$11,comboutfac,Query!$O62) /X$8))</f>
        <v>0.83493292524132567</v>
      </c>
      <c r="Y27" s="682"/>
      <c r="Z27" s="682"/>
    </row>
    <row r="28" spans="1:26" s="122" customFormat="1">
      <c r="A28" s="121">
        <f t="shared" si="2"/>
        <v>2000</v>
      </c>
      <c r="B28" s="120">
        <f>IF($J$7=1,HLOOKUP(B$11,index1970,Query!$O63)/B$9,IF($J$7=2,HLOOKUP(B$11,index1970,Query!$O63)/B$9 * HLOOKUP(B$11,comboutfac,Query!$O63),HLOOKUP(B$11,index1970,Query!$O63)/B$9 * HLOOKUP(B$11,comboutfac,Query!$O63) /B$8))</f>
        <v>0.84370835995590232</v>
      </c>
      <c r="C28" s="120">
        <f>IF($J$7=1,HLOOKUP(C$11,index1970,Query!$O63)/C$9,IF($J$7=2,HLOOKUP(C$11,index1970,Query!$O63)/C$9 * HLOOKUP(C$11,comboutfac,Query!$O63),HLOOKUP(C$11,index1970,Query!$O63)/C$9 * HLOOKUP(C$11,comboutfac,Query!$O63) /C$8))</f>
        <v>0.84596314543385387</v>
      </c>
      <c r="D28" s="120">
        <f>IF($J$7=1,HLOOKUP(D$11,index1970,Query!$O63)/D$9,IF($J$7=2,HLOOKUP(D$11,index1970,Query!$O63)/D$9 * HLOOKUP(D$11,comboutfac,Query!$O63),HLOOKUP(D$11,index1970,Query!$O63)/D$9 * HLOOKUP(D$11,comboutfac,Query!$O63) /D$8))</f>
        <v>0.8475989708818723</v>
      </c>
      <c r="E28" s="120">
        <f>IF($J$7=1,HLOOKUP(E$11,index1970,Query!$O63)/E$9,IF($J$7=2,HLOOKUP(E$11,index1970,Query!$O63)/E$9 * HLOOKUP(E$11,comboutfac,Query!$O63),HLOOKUP(E$11,index1970,Query!$O63)/E$9 * HLOOKUP(E$11,comboutfac,Query!$O63) /E$8))</f>
        <v>0.70973596518375193</v>
      </c>
      <c r="F28" s="120">
        <f>IF($J$7=1,HLOOKUP(F$11,index1970,Query!$O63)/F$9,IF($J$7=2,HLOOKUP(F$11,index1970,Query!$O63)/F$9 * HLOOKUP(F$11,comboutfac,Query!$O63),HLOOKUP(F$11,index1970,Query!$O63)/F$9 * HLOOKUP(F$11,comboutfac,Query!$O63) /F$8))</f>
        <v>0.85019489177157292</v>
      </c>
      <c r="G28" s="120">
        <f>IF($J$7=1,HLOOKUP(G$11,index1970,Query!$O63)/G$9,IF($J$7=2,HLOOKUP(G$11,index1970,Query!$O63)/G$9 * HLOOKUP(G$11,comboutfac,Query!$O63),HLOOKUP(G$11,index1970,Query!$O63)/G$9 * HLOOKUP(G$11,comboutfac,Query!$O63) /G$8))</f>
        <v>0.83464228410233565</v>
      </c>
      <c r="H28" s="120">
        <f>IF($J$7=1,HLOOKUP(H$11,index1970,Query!$O63)/H$9,IF($J$7=2,HLOOKUP(H$11,index1970,Query!$O63)/H$9 * HLOOKUP(H$11,comboutfac,Query!$O63),HLOOKUP(H$11,index1970,Query!$O63)/H$9 * HLOOKUP(H$11,comboutfac,Query!$O63) /H$8))</f>
        <v>0.85443645697066184</v>
      </c>
      <c r="I28" s="120">
        <f>IF($J$7=1,HLOOKUP(I$11,index1970,Query!$O63)/I$9,IF($J$7=2,HLOOKUP(I$11,index1970,Query!$O63)/I$9 * HLOOKUP(I$11,comboutfac,Query!$O63),HLOOKUP(I$11,index1970,Query!$O63)/I$9 * HLOOKUP(I$11,comboutfac,Query!$O63) /I$8))</f>
        <v>0.85301748097652874</v>
      </c>
      <c r="J28" s="120">
        <f>IF($J$7=1,HLOOKUP(J$11,index1970,Query!$O63)/J$9,IF($J$7=2,HLOOKUP(J$11,index1970,Query!$O63)/J$9 * HLOOKUP(J$11,comboutfac,Query!$O63),HLOOKUP(J$11,index1970,Query!$O63)/J$9 * HLOOKUP(J$11,comboutfac,Query!$O63) /J$8))</f>
        <v>0.85085117001945554</v>
      </c>
      <c r="K28" s="120">
        <f>IF($J$7=1,HLOOKUP(K$11,index1970,Query!$O63)/K$9,IF($J$7=2,HLOOKUP(K$11,index1970,Query!$O63)/K$9 * HLOOKUP(K$11,comboutfac,Query!$O63),HLOOKUP(K$11,index1970,Query!$O63)/K$9 * HLOOKUP(K$11,comboutfac,Query!$O63) /K$8))</f>
        <v>0.6807746327771621</v>
      </c>
      <c r="L28" s="120">
        <f>IF($J$7=1,HLOOKUP(L$11,index1970,Query!$O63)/L$9,IF($J$7=2,HLOOKUP(L$11,index1970,Query!$O63)/L$9 * HLOOKUP(L$11,comboutfac,Query!$O63),HLOOKUP(L$11,index1970,Query!$O63)/L$9 * HLOOKUP(L$11,comboutfac,Query!$O63) /L$8))</f>
        <v>0.83363644922566293</v>
      </c>
      <c r="M28" s="120">
        <f>IF($J$7=1,HLOOKUP(M$11,index1970,Query!$O63)/M$9,IF($J$7=2,HLOOKUP(M$11,index1970,Query!$O63)/M$9 * HLOOKUP(M$11,comboutfac,Query!$O63),HLOOKUP(M$11,index1970,Query!$O63)/M$9 * HLOOKUP(M$11,comboutfac,Query!$O63) /M$8))</f>
        <v>0.83435594059134832</v>
      </c>
      <c r="N28" s="120">
        <f>IF($J$7=1,HLOOKUP(N$11,index1970,Query!$O63)/N$9,IF($J$7=2,HLOOKUP(N$11,index1970,Query!$O63)/N$9 * HLOOKUP(N$11,comboutfac,Query!$O63),HLOOKUP(N$11,index1970,Query!$O63)/N$9 * HLOOKUP(N$11,comboutfac,Query!$O63) /N$8))</f>
        <v>0.83433880226045887</v>
      </c>
      <c r="O28" s="120">
        <f>IF($J$7=1,HLOOKUP(O$11,index1970,Query!$O63)/O$9,IF($J$7=2,HLOOKUP(O$11,index1970,Query!$O63)/O$9 * HLOOKUP(O$11,comboutfac,Query!$O63),HLOOKUP(O$11,index1970,Query!$O63)/O$9 * HLOOKUP(O$11,comboutfac,Query!$O63) /O$8))</f>
        <v>0.84872941145792202</v>
      </c>
      <c r="P28" s="120">
        <f>IF($J$7=1,HLOOKUP(P$11,index1970,Query!$O63)/P$9,IF($J$7=2,HLOOKUP(P$11,index1970,Query!$O63)/P$9 * HLOOKUP(P$11,comboutfac,Query!$O63),HLOOKUP(P$11,index1970,Query!$O63)/P$9 * HLOOKUP(P$11,comboutfac,Query!$O63) /P$8))</f>
        <v>0.84518121061983442</v>
      </c>
      <c r="Q28" s="120">
        <f>IF($J$7=1,HLOOKUP(Q$11,index1970,Query!$O63)/Q$9,IF($J$7=2,HLOOKUP(Q$11,index1970,Query!$O63)/Q$9 * HLOOKUP(Q$11,comboutfac,Query!$O63),HLOOKUP(Q$11,index1970,Query!$O63)/Q$9 * HLOOKUP(Q$11,comboutfac,Query!$O63) /Q$8))</f>
        <v>0.83839317365301613</v>
      </c>
      <c r="R28" s="120">
        <f>IF($J$7=1,HLOOKUP(R$11,index1970,Query!$O63)/R$9,IF($J$7=2,HLOOKUP(R$11,index1970,Query!$O63)/R$9 * HLOOKUP(R$11,comboutfac,Query!$O63),HLOOKUP(R$11,index1970,Query!$O63)/R$9 * HLOOKUP(R$11,comboutfac,Query!$O63) /R$8))</f>
        <v>0.27173564324564398</v>
      </c>
      <c r="S28" s="120">
        <f>IF($J$7=1,HLOOKUP(S$11,index1970,Query!$O63)/S$9,IF($J$7=2,HLOOKUP(S$11,index1970,Query!$O63)/S$9 * HLOOKUP(S$11,comboutfac,Query!$O63),HLOOKUP(S$11,index1970,Query!$O63)/S$9 * HLOOKUP(S$11,comboutfac,Query!$O63) /S$8))</f>
        <v>0.83613402815355276</v>
      </c>
      <c r="T28" s="120">
        <f>IF($J$7=1,HLOOKUP(T$11,index1970,Query!$O63)/T$9,IF($J$7=2,HLOOKUP(T$11,index1970,Query!$O63)/T$9 * HLOOKUP(T$11,comboutfac,Query!$O63),HLOOKUP(T$11,index1970,Query!$O63)/T$9 * HLOOKUP(T$11,comboutfac,Query!$O63) /T$8))</f>
        <v>0.838312906752121</v>
      </c>
      <c r="U28" s="120">
        <f>IF($J$7=1,HLOOKUP(U$11,index1970,Query!$O63)/U$9,IF($J$7=2,HLOOKUP(U$11,index1970,Query!$O63)/U$9 * HLOOKUP(U$11,comboutfac,Query!$O63),HLOOKUP(U$11,index1970,Query!$O63)/U$9 * HLOOKUP(U$11,comboutfac,Query!$O63) /U$8))</f>
        <v>0.84516264899226312</v>
      </c>
      <c r="V28" s="120">
        <f>IF($J$7=1,HLOOKUP(V$11,index1970,Query!$O63)/V$9,IF($J$7=2,HLOOKUP(V$11,index1970,Query!$O63)/V$9 * HLOOKUP(V$11,comboutfac,Query!$O63),HLOOKUP(V$11,index1970,Query!$O63)/V$9 * HLOOKUP(V$11,comboutfac,Query!$O63) /V$8))</f>
        <v>0.84760720864185302</v>
      </c>
      <c r="W28" s="120">
        <f>IF($J$7=1,HLOOKUP(W$11,index1970,Query!$O63)/W$9,IF($J$7=2,HLOOKUP(W$11,index1970,Query!$O63)/W$9 * HLOOKUP(W$11,comboutfac,Query!$O63),HLOOKUP(W$11,index1970,Query!$O63)/W$9 * HLOOKUP(W$11,comboutfac,Query!$O63) /W$8))</f>
        <v>0.83989926824809824</v>
      </c>
      <c r="X28" s="120">
        <f>IF($J$7=1,HLOOKUP(X$11,index1970,Query!$O63)/X$9,IF($J$7=2,HLOOKUP(X$11,index1970,Query!$O63)/X$9 * HLOOKUP(X$11,comboutfac,Query!$O63),HLOOKUP(X$11,index1970,Query!$O63)/X$9 * HLOOKUP(X$11,comboutfac,Query!$O63) /X$8))</f>
        <v>0.84683087017165448</v>
      </c>
      <c r="Y28" s="682"/>
      <c r="Z28" s="682"/>
    </row>
    <row r="29" spans="1:26" s="122" customFormat="1">
      <c r="A29" s="121">
        <f t="shared" si="2"/>
        <v>2001</v>
      </c>
      <c r="B29" s="120">
        <f>IF($J$7=1,HLOOKUP(B$11,index1970,Query!$O64)/B$9,IF($J$7=2,HLOOKUP(B$11,index1970,Query!$O64)/B$9 * HLOOKUP(B$11,comboutfac,Query!$O64),HLOOKUP(B$11,index1970,Query!$O64)/B$9 * HLOOKUP(B$11,comboutfac,Query!$O64) /B$8))</f>
        <v>0.85355621463850984</v>
      </c>
      <c r="C29" s="120">
        <f>IF($J$7=1,HLOOKUP(C$11,index1970,Query!$O64)/C$9,IF($J$7=2,HLOOKUP(C$11,index1970,Query!$O64)/C$9 * HLOOKUP(C$11,comboutfac,Query!$O64),HLOOKUP(C$11,index1970,Query!$O64)/C$9 * HLOOKUP(C$11,comboutfac,Query!$O64) /C$8))</f>
        <v>0.85914762373088971</v>
      </c>
      <c r="D29" s="120">
        <f>IF($J$7=1,HLOOKUP(D$11,index1970,Query!$O64)/D$9,IF($J$7=2,HLOOKUP(D$11,index1970,Query!$O64)/D$9 * HLOOKUP(D$11,comboutfac,Query!$O64),HLOOKUP(D$11,index1970,Query!$O64)/D$9 * HLOOKUP(D$11,comboutfac,Query!$O64) /D$8))</f>
        <v>0.85542748663338064</v>
      </c>
      <c r="E29" s="120">
        <f>IF($J$7=1,HLOOKUP(E$11,index1970,Query!$O64)/E$9,IF($J$7=2,HLOOKUP(E$11,index1970,Query!$O64)/E$9 * HLOOKUP(E$11,comboutfac,Query!$O64),HLOOKUP(E$11,index1970,Query!$O64)/E$9 * HLOOKUP(E$11,comboutfac,Query!$O64) /E$8))</f>
        <v>0.7352864599303669</v>
      </c>
      <c r="F29" s="120">
        <f>IF($J$7=1,HLOOKUP(F$11,index1970,Query!$O64)/F$9,IF($J$7=2,HLOOKUP(F$11,index1970,Query!$O64)/F$9 * HLOOKUP(F$11,comboutfac,Query!$O64),HLOOKUP(F$11,index1970,Query!$O64)/F$9 * HLOOKUP(F$11,comboutfac,Query!$O64) /F$8))</f>
        <v>0.86004087380578909</v>
      </c>
      <c r="G29" s="120">
        <f>IF($J$7=1,HLOOKUP(G$11,index1970,Query!$O64)/G$9,IF($J$7=2,HLOOKUP(G$11,index1970,Query!$O64)/G$9 * HLOOKUP(G$11,comboutfac,Query!$O64),HLOOKUP(G$11,index1970,Query!$O64)/G$9 * HLOOKUP(G$11,comboutfac,Query!$O64) /G$8))</f>
        <v>0.84739932578826083</v>
      </c>
      <c r="H29" s="120">
        <f>IF($J$7=1,HLOOKUP(H$11,index1970,Query!$O64)/H$9,IF($J$7=2,HLOOKUP(H$11,index1970,Query!$O64)/H$9 * HLOOKUP(H$11,comboutfac,Query!$O64),HLOOKUP(H$11,index1970,Query!$O64)/H$9 * HLOOKUP(H$11,comboutfac,Query!$O64) /H$8))</f>
        <v>0.86167273343776052</v>
      </c>
      <c r="I29" s="120">
        <f>IF($J$7=1,HLOOKUP(I$11,index1970,Query!$O64)/I$9,IF($J$7=2,HLOOKUP(I$11,index1970,Query!$O64)/I$9 * HLOOKUP(I$11,comboutfac,Query!$O64),HLOOKUP(I$11,index1970,Query!$O64)/I$9 * HLOOKUP(I$11,comboutfac,Query!$O64) /I$8))</f>
        <v>0.86499720320541795</v>
      </c>
      <c r="J29" s="120">
        <f>IF($J$7=1,HLOOKUP(J$11,index1970,Query!$O64)/J$9,IF($J$7=2,HLOOKUP(J$11,index1970,Query!$O64)/J$9 * HLOOKUP(J$11,comboutfac,Query!$O64),HLOOKUP(J$11,index1970,Query!$O64)/J$9 * HLOOKUP(J$11,comboutfac,Query!$O64) /J$8))</f>
        <v>0.86413450522735658</v>
      </c>
      <c r="K29" s="120">
        <f>IF($J$7=1,HLOOKUP(K$11,index1970,Query!$O64)/K$9,IF($J$7=2,HLOOKUP(K$11,index1970,Query!$O64)/K$9 * HLOOKUP(K$11,comboutfac,Query!$O64),HLOOKUP(K$11,index1970,Query!$O64)/K$9 * HLOOKUP(K$11,comboutfac,Query!$O64) /K$8))</f>
        <v>0.70715464979727705</v>
      </c>
      <c r="L29" s="120">
        <f>IF($J$7=1,HLOOKUP(L$11,index1970,Query!$O64)/L$9,IF($J$7=2,HLOOKUP(L$11,index1970,Query!$O64)/L$9 * HLOOKUP(L$11,comboutfac,Query!$O64),HLOOKUP(L$11,index1970,Query!$O64)/L$9 * HLOOKUP(L$11,comboutfac,Query!$O64) /L$8))</f>
        <v>0.84678703654861842</v>
      </c>
      <c r="M29" s="120">
        <f>IF($J$7=1,HLOOKUP(M$11,index1970,Query!$O64)/M$9,IF($J$7=2,HLOOKUP(M$11,index1970,Query!$O64)/M$9 * HLOOKUP(M$11,comboutfac,Query!$O64),HLOOKUP(M$11,index1970,Query!$O64)/M$9 * HLOOKUP(M$11,comboutfac,Query!$O64) /M$8))</f>
        <v>0.84752623968907348</v>
      </c>
      <c r="N29" s="120">
        <f>IF($J$7=1,HLOOKUP(N$11,index1970,Query!$O64)/N$9,IF($J$7=2,HLOOKUP(N$11,index1970,Query!$O64)/N$9 * HLOOKUP(N$11,comboutfac,Query!$O64),HLOOKUP(N$11,index1970,Query!$O64)/N$9 * HLOOKUP(N$11,comboutfac,Query!$O64) /N$8))</f>
        <v>0.8473537981383501</v>
      </c>
      <c r="O29" s="120">
        <f>IF($J$7=1,HLOOKUP(O$11,index1970,Query!$O64)/O$9,IF($J$7=2,HLOOKUP(O$11,index1970,Query!$O64)/O$9 * HLOOKUP(O$11,comboutfac,Query!$O64),HLOOKUP(O$11,index1970,Query!$O64)/O$9 * HLOOKUP(O$11,comboutfac,Query!$O64) /O$8))</f>
        <v>0.85926160623613312</v>
      </c>
      <c r="P29" s="120">
        <f>IF($J$7=1,HLOOKUP(P$11,index1970,Query!$O64)/P$9,IF($J$7=2,HLOOKUP(P$11,index1970,Query!$O64)/P$9 * HLOOKUP(P$11,comboutfac,Query!$O64),HLOOKUP(P$11,index1970,Query!$O64)/P$9 * HLOOKUP(P$11,comboutfac,Query!$O64) /P$8))</f>
        <v>0.85563799994484102</v>
      </c>
      <c r="Q29" s="120">
        <f>IF($J$7=1,HLOOKUP(Q$11,index1970,Query!$O64)/Q$9,IF($J$7=2,HLOOKUP(Q$11,index1970,Query!$O64)/Q$9 * HLOOKUP(Q$11,comboutfac,Query!$O64),HLOOKUP(Q$11,index1970,Query!$O64)/Q$9 * HLOOKUP(Q$11,comboutfac,Query!$O64) /Q$8))</f>
        <v>0.85052627950917059</v>
      </c>
      <c r="R29" s="120">
        <f>IF($J$7=1,HLOOKUP(R$11,index1970,Query!$O64)/R$9,IF($J$7=2,HLOOKUP(R$11,index1970,Query!$O64)/R$9 * HLOOKUP(R$11,comboutfac,Query!$O64),HLOOKUP(R$11,index1970,Query!$O64)/R$9 * HLOOKUP(R$11,comboutfac,Query!$O64) /R$8))</f>
        <v>0.44265736284715401</v>
      </c>
      <c r="S29" s="120">
        <f>IF($J$7=1,HLOOKUP(S$11,index1970,Query!$O64)/S$9,IF($J$7=2,HLOOKUP(S$11,index1970,Query!$O64)/S$9 * HLOOKUP(S$11,comboutfac,Query!$O64),HLOOKUP(S$11,index1970,Query!$O64)/S$9 * HLOOKUP(S$11,comboutfac,Query!$O64) /S$8))</f>
        <v>0.84802010915578163</v>
      </c>
      <c r="T29" s="120">
        <f>IF($J$7=1,HLOOKUP(T$11,index1970,Query!$O64)/T$9,IF($J$7=2,HLOOKUP(T$11,index1970,Query!$O64)/T$9 * HLOOKUP(T$11,comboutfac,Query!$O64),HLOOKUP(T$11,index1970,Query!$O64)/T$9 * HLOOKUP(T$11,comboutfac,Query!$O64) /T$8))</f>
        <v>0.84870107696191643</v>
      </c>
      <c r="U29" s="120">
        <f>IF($J$7=1,HLOOKUP(U$11,index1970,Query!$O64)/U$9,IF($J$7=2,HLOOKUP(U$11,index1970,Query!$O64)/U$9 * HLOOKUP(U$11,comboutfac,Query!$O64),HLOOKUP(U$11,index1970,Query!$O64)/U$9 * HLOOKUP(U$11,comboutfac,Query!$O64) /U$8))</f>
        <v>0.85566792686597692</v>
      </c>
      <c r="V29" s="120">
        <f>IF($J$7=1,HLOOKUP(V$11,index1970,Query!$O64)/V$9,IF($J$7=2,HLOOKUP(V$11,index1970,Query!$O64)/V$9 * HLOOKUP(V$11,comboutfac,Query!$O64),HLOOKUP(V$11,index1970,Query!$O64)/V$9 * HLOOKUP(V$11,comboutfac,Query!$O64) /V$8))</f>
        <v>0.85731187066405601</v>
      </c>
      <c r="W29" s="120">
        <f>IF($J$7=1,HLOOKUP(W$11,index1970,Query!$O64)/W$9,IF($J$7=2,HLOOKUP(W$11,index1970,Query!$O64)/W$9 * HLOOKUP(W$11,comboutfac,Query!$O64),HLOOKUP(W$11,index1970,Query!$O64)/W$9 * HLOOKUP(W$11,comboutfac,Query!$O64) /W$8))</f>
        <v>0.85094522826034202</v>
      </c>
      <c r="X29" s="120">
        <f>IF($J$7=1,HLOOKUP(X$11,index1970,Query!$O64)/X$9,IF($J$7=2,HLOOKUP(X$11,index1970,Query!$O64)/X$9 * HLOOKUP(X$11,comboutfac,Query!$O64),HLOOKUP(X$11,index1970,Query!$O64)/X$9 * HLOOKUP(X$11,comboutfac,Query!$O64) /X$8))</f>
        <v>0.85535990360396263</v>
      </c>
      <c r="Y29" s="682"/>
      <c r="Z29" s="682"/>
    </row>
    <row r="30" spans="1:26" s="122" customFormat="1">
      <c r="A30" s="121">
        <f t="shared" si="2"/>
        <v>2002</v>
      </c>
      <c r="B30" s="120">
        <f>IF($J$7=1,HLOOKUP(B$11,index1970,Query!$O65)/B$9,IF($J$7=2,HLOOKUP(B$11,index1970,Query!$O65)/B$9 * HLOOKUP(B$11,comboutfac,Query!$O65),HLOOKUP(B$11,index1970,Query!$O65)/B$9 * HLOOKUP(B$11,comboutfac,Query!$O65) /B$8))</f>
        <v>0.86563312778595447</v>
      </c>
      <c r="C30" s="120">
        <f>IF($J$7=1,HLOOKUP(C$11,index1970,Query!$O65)/C$9,IF($J$7=2,HLOOKUP(C$11,index1970,Query!$O65)/C$9 * HLOOKUP(C$11,comboutfac,Query!$O65),HLOOKUP(C$11,index1970,Query!$O65)/C$9 * HLOOKUP(C$11,comboutfac,Query!$O65) /C$8))</f>
        <v>0.87300173722495833</v>
      </c>
      <c r="D30" s="120">
        <f>IF($J$7=1,HLOOKUP(D$11,index1970,Query!$O65)/D$9,IF($J$7=2,HLOOKUP(D$11,index1970,Query!$O65)/D$9 * HLOOKUP(D$11,comboutfac,Query!$O65),HLOOKUP(D$11,index1970,Query!$O65)/D$9 * HLOOKUP(D$11,comboutfac,Query!$O65) /D$8))</f>
        <v>0.86914767003170768</v>
      </c>
      <c r="E30" s="120">
        <f>IF($J$7=1,HLOOKUP(E$11,index1970,Query!$O65)/E$9,IF($J$7=2,HLOOKUP(E$11,index1970,Query!$O65)/E$9 * HLOOKUP(E$11,comboutfac,Query!$O65),HLOOKUP(E$11,index1970,Query!$O65)/E$9 * HLOOKUP(E$11,comboutfac,Query!$O65) /E$8))</f>
        <v>0.76653613447740765</v>
      </c>
      <c r="F30" s="120">
        <f>IF($J$7=1,HLOOKUP(F$11,index1970,Query!$O65)/F$9,IF($J$7=2,HLOOKUP(F$11,index1970,Query!$O65)/F$9 * HLOOKUP(F$11,comboutfac,Query!$O65),HLOOKUP(F$11,index1970,Query!$O65)/F$9 * HLOOKUP(F$11,comboutfac,Query!$O65) /F$8))</f>
        <v>0.87668972404923462</v>
      </c>
      <c r="G30" s="120">
        <f>IF($J$7=1,HLOOKUP(G$11,index1970,Query!$O65)/G$9,IF($J$7=2,HLOOKUP(G$11,index1970,Query!$O65)/G$9 * HLOOKUP(G$11,comboutfac,Query!$O65),HLOOKUP(G$11,index1970,Query!$O65)/G$9 * HLOOKUP(G$11,comboutfac,Query!$O65) /G$8))</f>
        <v>0.85555568258252468</v>
      </c>
      <c r="H30" s="120">
        <f>IF($J$7=1,HLOOKUP(H$11,index1970,Query!$O65)/H$9,IF($J$7=2,HLOOKUP(H$11,index1970,Query!$O65)/H$9 * HLOOKUP(H$11,comboutfac,Query!$O65),HLOOKUP(H$11,index1970,Query!$O65)/H$9 * HLOOKUP(H$11,comboutfac,Query!$O65) /H$8))</f>
        <v>0.87990674926839962</v>
      </c>
      <c r="I30" s="120">
        <f>IF($J$7=1,HLOOKUP(I$11,index1970,Query!$O65)/I$9,IF($J$7=2,HLOOKUP(I$11,index1970,Query!$O65)/I$9 * HLOOKUP(I$11,comboutfac,Query!$O65),HLOOKUP(I$11,index1970,Query!$O65)/I$9 * HLOOKUP(I$11,comboutfac,Query!$O65) /I$8))</f>
        <v>0.88166944553669735</v>
      </c>
      <c r="J30" s="120">
        <f>IF($J$7=1,HLOOKUP(J$11,index1970,Query!$O65)/J$9,IF($J$7=2,HLOOKUP(J$11,index1970,Query!$O65)/J$9 * HLOOKUP(J$11,comboutfac,Query!$O65),HLOOKUP(J$11,index1970,Query!$O65)/J$9 * HLOOKUP(J$11,comboutfac,Query!$O65) /J$8))</f>
        <v>0.87681675506481926</v>
      </c>
      <c r="K30" s="120">
        <f>IF($J$7=1,HLOOKUP(K$11,index1970,Query!$O65)/K$9,IF($J$7=2,HLOOKUP(K$11,index1970,Query!$O65)/K$9 * HLOOKUP(K$11,comboutfac,Query!$O65),HLOOKUP(K$11,index1970,Query!$O65)/K$9 * HLOOKUP(K$11,comboutfac,Query!$O65) /K$8))</f>
        <v>0.75029108343491102</v>
      </c>
      <c r="L30" s="120">
        <f>IF($J$7=1,HLOOKUP(L$11,index1970,Query!$O65)/L$9,IF($J$7=2,HLOOKUP(L$11,index1970,Query!$O65)/L$9 * HLOOKUP(L$11,comboutfac,Query!$O65),HLOOKUP(L$11,index1970,Query!$O65)/L$9 * HLOOKUP(L$11,comboutfac,Query!$O65) /L$8))</f>
        <v>0.85414400731488171</v>
      </c>
      <c r="M30" s="120">
        <f>IF($J$7=1,HLOOKUP(M$11,index1970,Query!$O65)/M$9,IF($J$7=2,HLOOKUP(M$11,index1970,Query!$O65)/M$9 * HLOOKUP(M$11,comboutfac,Query!$O65),HLOOKUP(M$11,index1970,Query!$O65)/M$9 * HLOOKUP(M$11,comboutfac,Query!$O65) /M$8))</f>
        <v>0.85574715032576054</v>
      </c>
      <c r="N30" s="120">
        <f>IF($J$7=1,HLOOKUP(N$11,index1970,Query!$O65)/N$9,IF($J$7=2,HLOOKUP(N$11,index1970,Query!$O65)/N$9 * HLOOKUP(N$11,comboutfac,Query!$O65),HLOOKUP(N$11,index1970,Query!$O65)/N$9 * HLOOKUP(N$11,comboutfac,Query!$O65) /N$8))</f>
        <v>0.85563058751174859</v>
      </c>
      <c r="O30" s="120">
        <f>IF($J$7=1,HLOOKUP(O$11,index1970,Query!$O65)/O$9,IF($J$7=2,HLOOKUP(O$11,index1970,Query!$O65)/O$9 * HLOOKUP(O$11,comboutfac,Query!$O65),HLOOKUP(O$11,index1970,Query!$O65)/O$9 * HLOOKUP(O$11,comboutfac,Query!$O65) /O$8))</f>
        <v>0.87365507172764645</v>
      </c>
      <c r="P30" s="120">
        <f>IF($J$7=1,HLOOKUP(P$11,index1970,Query!$O65)/P$9,IF($J$7=2,HLOOKUP(P$11,index1970,Query!$O65)/P$9 * HLOOKUP(P$11,comboutfac,Query!$O65),HLOOKUP(P$11,index1970,Query!$O65)/P$9 * HLOOKUP(P$11,comboutfac,Query!$O65) /P$8))</f>
        <v>0.86760776707192699</v>
      </c>
      <c r="Q30" s="120">
        <f>IF($J$7=1,HLOOKUP(Q$11,index1970,Query!$O65)/Q$9,IF($J$7=2,HLOOKUP(Q$11,index1970,Query!$O65)/Q$9 * HLOOKUP(Q$11,comboutfac,Query!$O65),HLOOKUP(Q$11,index1970,Query!$O65)/Q$9 * HLOOKUP(Q$11,comboutfac,Query!$O65) /Q$8))</f>
        <v>0.86091026011511551</v>
      </c>
      <c r="R30" s="120">
        <f>IF($J$7=1,HLOOKUP(R$11,index1970,Query!$O65)/R$9,IF($J$7=2,HLOOKUP(R$11,index1970,Query!$O65)/R$9 * HLOOKUP(R$11,comboutfac,Query!$O65),HLOOKUP(R$11,index1970,Query!$O65)/R$9 * HLOOKUP(R$11,comboutfac,Query!$O65) /R$8))</f>
        <v>0.43823078921868253</v>
      </c>
      <c r="S30" s="120">
        <f>IF($J$7=1,HLOOKUP(S$11,index1970,Query!$O65)/S$9,IF($J$7=2,HLOOKUP(S$11,index1970,Query!$O65)/S$9 * HLOOKUP(S$11,comboutfac,Query!$O65),HLOOKUP(S$11,index1970,Query!$O65)/S$9 * HLOOKUP(S$11,comboutfac,Query!$O65) /S$8))</f>
        <v>0.85678964441684224</v>
      </c>
      <c r="T30" s="120">
        <f>IF($J$7=1,HLOOKUP(T$11,index1970,Query!$O65)/T$9,IF($J$7=2,HLOOKUP(T$11,index1970,Query!$O65)/T$9 * HLOOKUP(T$11,comboutfac,Query!$O65),HLOOKUP(T$11,index1970,Query!$O65)/T$9 * HLOOKUP(T$11,comboutfac,Query!$O65) /T$8))</f>
        <v>0.8578610771374382</v>
      </c>
      <c r="U30" s="120">
        <f>IF($J$7=1,HLOOKUP(U$11,index1970,Query!$O65)/U$9,IF($J$7=2,HLOOKUP(U$11,index1970,Query!$O65)/U$9 * HLOOKUP(U$11,comboutfac,Query!$O65),HLOOKUP(U$11,index1970,Query!$O65)/U$9 * HLOOKUP(U$11,comboutfac,Query!$O65) /U$8))</f>
        <v>0.86714911079076917</v>
      </c>
      <c r="V30" s="120">
        <f>IF($J$7=1,HLOOKUP(V$11,index1970,Query!$O65)/V$9,IF($J$7=2,HLOOKUP(V$11,index1970,Query!$O65)/V$9 * HLOOKUP(V$11,comboutfac,Query!$O65),HLOOKUP(V$11,index1970,Query!$O65)/V$9 * HLOOKUP(V$11,comboutfac,Query!$O65) /V$8))</f>
        <v>0.86908010610488295</v>
      </c>
      <c r="W30" s="120">
        <f>IF($J$7=1,HLOOKUP(W$11,index1970,Query!$O65)/W$9,IF($J$7=2,HLOOKUP(W$11,index1970,Query!$O65)/W$9 * HLOOKUP(W$11,comboutfac,Query!$O65),HLOOKUP(W$11,index1970,Query!$O65)/W$9 * HLOOKUP(W$11,comboutfac,Query!$O65) /W$8))</f>
        <v>0.86025298557169849</v>
      </c>
      <c r="X30" s="120">
        <f>IF($J$7=1,HLOOKUP(X$11,index1970,Query!$O65)/X$9,IF($J$7=2,HLOOKUP(X$11,index1970,Query!$O65)/X$9 * HLOOKUP(X$11,comboutfac,Query!$O65),HLOOKUP(X$11,index1970,Query!$O65)/X$9 * HLOOKUP(X$11,comboutfac,Query!$O65) /X$8))</f>
        <v>0.8671756527396085</v>
      </c>
      <c r="Y30" s="682"/>
      <c r="Z30" s="682"/>
    </row>
    <row r="31" spans="1:26" s="122" customFormat="1">
      <c r="A31" s="121">
        <f t="shared" si="2"/>
        <v>2003</v>
      </c>
      <c r="B31" s="120">
        <f>IF($J$7=1,HLOOKUP(B$11,index1970,Query!$O66)/B$9,IF($J$7=2,HLOOKUP(B$11,index1970,Query!$O66)/B$9 * HLOOKUP(B$11,comboutfac,Query!$O66),HLOOKUP(B$11,index1970,Query!$O66)/B$9 * HLOOKUP(B$11,comboutfac,Query!$O66) /B$8))</f>
        <v>0.88480325568280271</v>
      </c>
      <c r="C31" s="120">
        <f>IF($J$7=1,HLOOKUP(C$11,index1970,Query!$O66)/C$9,IF($J$7=2,HLOOKUP(C$11,index1970,Query!$O66)/C$9 * HLOOKUP(C$11,comboutfac,Query!$O66),HLOOKUP(C$11,index1970,Query!$O66)/C$9 * HLOOKUP(C$11,comboutfac,Query!$O66) /C$8))</f>
        <v>0.88763197704818175</v>
      </c>
      <c r="D31" s="120">
        <f>IF($J$7=1,HLOOKUP(D$11,index1970,Query!$O66)/D$9,IF($J$7=2,HLOOKUP(D$11,index1970,Query!$O66)/D$9 * HLOOKUP(D$11,comboutfac,Query!$O66),HLOOKUP(D$11,index1970,Query!$O66)/D$9 * HLOOKUP(D$11,comboutfac,Query!$O66) /D$8))</f>
        <v>0.88662339699519033</v>
      </c>
      <c r="E31" s="120">
        <f>IF($J$7=1,HLOOKUP(E$11,index1970,Query!$O66)/E$9,IF($J$7=2,HLOOKUP(E$11,index1970,Query!$O66)/E$9 * HLOOKUP(E$11,comboutfac,Query!$O66),HLOOKUP(E$11,index1970,Query!$O66)/E$9 * HLOOKUP(E$11,comboutfac,Query!$O66) /E$8))</f>
        <v>0.79892228615907801</v>
      </c>
      <c r="F31" s="120">
        <f>IF($J$7=1,HLOOKUP(F$11,index1970,Query!$O66)/F$9,IF($J$7=2,HLOOKUP(F$11,index1970,Query!$O66)/F$9 * HLOOKUP(F$11,comboutfac,Query!$O66),HLOOKUP(F$11,index1970,Query!$O66)/F$9 * HLOOKUP(F$11,comboutfac,Query!$O66) /F$8))</f>
        <v>0.90617987603882932</v>
      </c>
      <c r="G31" s="120">
        <f>IF($J$7=1,HLOOKUP(G$11,index1970,Query!$O66)/G$9,IF($J$7=2,HLOOKUP(G$11,index1970,Query!$O66)/G$9 * HLOOKUP(G$11,comboutfac,Query!$O66),HLOOKUP(G$11,index1970,Query!$O66)/G$9 * HLOOKUP(G$11,comboutfac,Query!$O66) /G$8))</f>
        <v>0.86731789329022724</v>
      </c>
      <c r="H31" s="120">
        <f>IF($J$7=1,HLOOKUP(H$11,index1970,Query!$O66)/H$9,IF($J$7=2,HLOOKUP(H$11,index1970,Query!$O66)/H$9 * HLOOKUP(H$11,comboutfac,Query!$O66),HLOOKUP(H$11,index1970,Query!$O66)/H$9 * HLOOKUP(H$11,comboutfac,Query!$O66) /H$8))</f>
        <v>0.90125400203697481</v>
      </c>
      <c r="I31" s="120">
        <f>IF($J$7=1,HLOOKUP(I$11,index1970,Query!$O66)/I$9,IF($J$7=2,HLOOKUP(I$11,index1970,Query!$O66)/I$9 * HLOOKUP(I$11,comboutfac,Query!$O66),HLOOKUP(I$11,index1970,Query!$O66)/I$9 * HLOOKUP(I$11,comboutfac,Query!$O66) /I$8))</f>
        <v>0.90283357094891448</v>
      </c>
      <c r="J31" s="120">
        <f>IF($J$7=1,HLOOKUP(J$11,index1970,Query!$O66)/J$9,IF($J$7=2,HLOOKUP(J$11,index1970,Query!$O66)/J$9 * HLOOKUP(J$11,comboutfac,Query!$O66),HLOOKUP(J$11,index1970,Query!$O66)/J$9 * HLOOKUP(J$11,comboutfac,Query!$O66) /J$8))</f>
        <v>0.89692567491872977</v>
      </c>
      <c r="K31" s="120">
        <f>IF($J$7=1,HLOOKUP(K$11,index1970,Query!$O66)/K$9,IF($J$7=2,HLOOKUP(K$11,index1970,Query!$O66)/K$9 * HLOOKUP(K$11,comboutfac,Query!$O66),HLOOKUP(K$11,index1970,Query!$O66)/K$9 * HLOOKUP(K$11,comboutfac,Query!$O66) /K$8))</f>
        <v>0.7896813653152438</v>
      </c>
      <c r="L31" s="120">
        <f>IF($J$7=1,HLOOKUP(L$11,index1970,Query!$O66)/L$9,IF($J$7=2,HLOOKUP(L$11,index1970,Query!$O66)/L$9 * HLOOKUP(L$11,comboutfac,Query!$O66),HLOOKUP(L$11,index1970,Query!$O66)/L$9 * HLOOKUP(L$11,comboutfac,Query!$O66) /L$8))</f>
        <v>0.86501756753031223</v>
      </c>
      <c r="M31" s="120">
        <f>IF($J$7=1,HLOOKUP(M$11,index1970,Query!$O66)/M$9,IF($J$7=2,HLOOKUP(M$11,index1970,Query!$O66)/M$9 * HLOOKUP(M$11,comboutfac,Query!$O66),HLOOKUP(M$11,index1970,Query!$O66)/M$9 * HLOOKUP(M$11,comboutfac,Query!$O66) /M$8))</f>
        <v>0.86646561877169803</v>
      </c>
      <c r="N31" s="120">
        <f>IF($J$7=1,HLOOKUP(N$11,index1970,Query!$O66)/N$9,IF($J$7=2,HLOOKUP(N$11,index1970,Query!$O66)/N$9 * HLOOKUP(N$11,comboutfac,Query!$O66),HLOOKUP(N$11,index1970,Query!$O66)/N$9 * HLOOKUP(N$11,comboutfac,Query!$O66) /N$8))</f>
        <v>0.86767109474480897</v>
      </c>
      <c r="O31" s="120">
        <f>IF($J$7=1,HLOOKUP(O$11,index1970,Query!$O66)/O$9,IF($J$7=2,HLOOKUP(O$11,index1970,Query!$O66)/O$9 * HLOOKUP(O$11,comboutfac,Query!$O66),HLOOKUP(O$11,index1970,Query!$O66)/O$9 * HLOOKUP(O$11,comboutfac,Query!$O66) /O$8))</f>
        <v>0.89483875970040416</v>
      </c>
      <c r="P31" s="120">
        <f>IF($J$7=1,HLOOKUP(P$11,index1970,Query!$O66)/P$9,IF($J$7=2,HLOOKUP(P$11,index1970,Query!$O66)/P$9 * HLOOKUP(P$11,comboutfac,Query!$O66),HLOOKUP(P$11,index1970,Query!$O66)/P$9 * HLOOKUP(P$11,comboutfac,Query!$O66) /P$8))</f>
        <v>0.88555088983755836</v>
      </c>
      <c r="Q31" s="120">
        <f>IF($J$7=1,HLOOKUP(Q$11,index1970,Query!$O66)/Q$9,IF($J$7=2,HLOOKUP(Q$11,index1970,Query!$O66)/Q$9 * HLOOKUP(Q$11,comboutfac,Query!$O66),HLOOKUP(Q$11,index1970,Query!$O66)/Q$9 * HLOOKUP(Q$11,comboutfac,Query!$O66) /Q$8))</f>
        <v>0.87649975821036086</v>
      </c>
      <c r="R31" s="120">
        <f>IF($J$7=1,HLOOKUP(R$11,index1970,Query!$O66)/R$9,IF($J$7=2,HLOOKUP(R$11,index1970,Query!$O66)/R$9 * HLOOKUP(R$11,comboutfac,Query!$O66),HLOOKUP(R$11,index1970,Query!$O66)/R$9 * HLOOKUP(R$11,comboutfac,Query!$O66) /R$8))</f>
        <v>0.3681138629436933</v>
      </c>
      <c r="S31" s="120">
        <f>IF($J$7=1,HLOOKUP(S$11,index1970,Query!$O66)/S$9,IF($J$7=2,HLOOKUP(S$11,index1970,Query!$O66)/S$9 * HLOOKUP(S$11,comboutfac,Query!$O66),HLOOKUP(S$11,index1970,Query!$O66)/S$9 * HLOOKUP(S$11,comboutfac,Query!$O66) /S$8))</f>
        <v>0.86985434781360593</v>
      </c>
      <c r="T31" s="120">
        <f>IF($J$7=1,HLOOKUP(T$11,index1970,Query!$O66)/T$9,IF($J$7=2,HLOOKUP(T$11,index1970,Query!$O66)/T$9 * HLOOKUP(T$11,comboutfac,Query!$O66),HLOOKUP(T$11,index1970,Query!$O66)/T$9 * HLOOKUP(T$11,comboutfac,Query!$O66) /T$8))</f>
        <v>0.87065796853533084</v>
      </c>
      <c r="U31" s="120">
        <f>IF($J$7=1,HLOOKUP(U$11,index1970,Query!$O66)/U$9,IF($J$7=2,HLOOKUP(U$11,index1970,Query!$O66)/U$9 * HLOOKUP(U$11,comboutfac,Query!$O66),HLOOKUP(U$11,index1970,Query!$O66)/U$9 * HLOOKUP(U$11,comboutfac,Query!$O66) /U$8))</f>
        <v>0.88208476515483702</v>
      </c>
      <c r="V31" s="120">
        <f>IF($J$7=1,HLOOKUP(V$11,index1970,Query!$O66)/V$9,IF($J$7=2,HLOOKUP(V$11,index1970,Query!$O66)/V$9 * HLOOKUP(V$11,comboutfac,Query!$O66),HLOOKUP(V$11,index1970,Query!$O66)/V$9 * HLOOKUP(V$11,comboutfac,Query!$O66) /V$8))</f>
        <v>0.87104853838884455</v>
      </c>
      <c r="W31" s="120">
        <f>IF($J$7=1,HLOOKUP(W$11,index1970,Query!$O66)/W$9,IF($J$7=2,HLOOKUP(W$11,index1970,Query!$O66)/W$9 * HLOOKUP(W$11,comboutfac,Query!$O66),HLOOKUP(W$11,index1970,Query!$O66)/W$9 * HLOOKUP(W$11,comboutfac,Query!$O66) /W$8))</f>
        <v>0.87659265661746033</v>
      </c>
      <c r="X31" s="120">
        <f>IF($J$7=1,HLOOKUP(X$11,index1970,Query!$O66)/X$9,IF($J$7=2,HLOOKUP(X$11,index1970,Query!$O66)/X$9 * HLOOKUP(X$11,comboutfac,Query!$O66),HLOOKUP(X$11,index1970,Query!$O66)/X$9 * HLOOKUP(X$11,comboutfac,Query!$O66) /X$8))</f>
        <v>0.88656933412801786</v>
      </c>
      <c r="Y31" s="682"/>
      <c r="Z31" s="682"/>
    </row>
    <row r="32" spans="1:26" s="122" customFormat="1">
      <c r="A32" s="121">
        <f t="shared" si="2"/>
        <v>2004</v>
      </c>
      <c r="B32" s="120">
        <f>IF($J$7=1,HLOOKUP(B$11,index1970,Query!$O67)/B$9,IF($J$7=2,HLOOKUP(B$11,index1970,Query!$O67)/B$9 * HLOOKUP(B$11,comboutfac,Query!$O67),HLOOKUP(B$11,index1970,Query!$O67)/B$9 * HLOOKUP(B$11,comboutfac,Query!$O67) /B$8))</f>
        <v>0.9096332672676426</v>
      </c>
      <c r="C32" s="120">
        <f>IF($J$7=1,HLOOKUP(C$11,index1970,Query!$O67)/C$9,IF($J$7=2,HLOOKUP(C$11,index1970,Query!$O67)/C$9 * HLOOKUP(C$11,comboutfac,Query!$O67),HLOOKUP(C$11,index1970,Query!$O67)/C$9 * HLOOKUP(C$11,comboutfac,Query!$O67) /C$8))</f>
        <v>0.90859628643352908</v>
      </c>
      <c r="D32" s="120">
        <f>IF($J$7=1,HLOOKUP(D$11,index1970,Query!$O67)/D$9,IF($J$7=2,HLOOKUP(D$11,index1970,Query!$O67)/D$9 * HLOOKUP(D$11,comboutfac,Query!$O67),HLOOKUP(D$11,index1970,Query!$O67)/D$9 * HLOOKUP(D$11,comboutfac,Query!$O67) /D$8))</f>
        <v>0.91047700400736287</v>
      </c>
      <c r="E32" s="120">
        <f>IF($J$7=1,HLOOKUP(E$11,index1970,Query!$O67)/E$9,IF($J$7=2,HLOOKUP(E$11,index1970,Query!$O67)/E$9 * HLOOKUP(E$11,comboutfac,Query!$O67),HLOOKUP(E$11,index1970,Query!$O67)/E$9 * HLOOKUP(E$11,comboutfac,Query!$O67) /E$8))</f>
        <v>0.83167809989160013</v>
      </c>
      <c r="F32" s="120">
        <f>IF($J$7=1,HLOOKUP(F$11,index1970,Query!$O67)/F$9,IF($J$7=2,HLOOKUP(F$11,index1970,Query!$O67)/F$9 * HLOOKUP(F$11,comboutfac,Query!$O67),HLOOKUP(F$11,index1970,Query!$O67)/F$9 * HLOOKUP(F$11,comboutfac,Query!$O67) /F$8))</f>
        <v>0.93018634972164582</v>
      </c>
      <c r="G32" s="120">
        <f>IF($J$7=1,HLOOKUP(G$11,index1970,Query!$O67)/G$9,IF($J$7=2,HLOOKUP(G$11,index1970,Query!$O67)/G$9 * HLOOKUP(G$11,comboutfac,Query!$O67),HLOOKUP(G$11,index1970,Query!$O67)/G$9 * HLOOKUP(G$11,comboutfac,Query!$O67) /G$8))</f>
        <v>0.88671248207619013</v>
      </c>
      <c r="H32" s="120">
        <f>IF($J$7=1,HLOOKUP(H$11,index1970,Query!$O67)/H$9,IF($J$7=2,HLOOKUP(H$11,index1970,Query!$O67)/H$9 * HLOOKUP(H$11,comboutfac,Query!$O67),HLOOKUP(H$11,index1970,Query!$O67)/H$9 * HLOOKUP(H$11,comboutfac,Query!$O67) /H$8))</f>
        <v>0.92586465796272532</v>
      </c>
      <c r="I32" s="120">
        <f>IF($J$7=1,HLOOKUP(I$11,index1970,Query!$O67)/I$9,IF($J$7=2,HLOOKUP(I$11,index1970,Query!$O67)/I$9 * HLOOKUP(I$11,comboutfac,Query!$O67),HLOOKUP(I$11,index1970,Query!$O67)/I$9 * HLOOKUP(I$11,comboutfac,Query!$O67) /I$8))</f>
        <v>0.92751160021766754</v>
      </c>
      <c r="J32" s="120">
        <f>IF($J$7=1,HLOOKUP(J$11,index1970,Query!$O67)/J$9,IF($J$7=2,HLOOKUP(J$11,index1970,Query!$O67)/J$9 * HLOOKUP(J$11,comboutfac,Query!$O67),HLOOKUP(J$11,index1970,Query!$O67)/J$9 * HLOOKUP(J$11,comboutfac,Query!$O67) /J$8))</f>
        <v>0.92300438910452132</v>
      </c>
      <c r="K32" s="120">
        <f>IF($J$7=1,HLOOKUP(K$11,index1970,Query!$O67)/K$9,IF($J$7=2,HLOOKUP(K$11,index1970,Query!$O67)/K$9 * HLOOKUP(K$11,comboutfac,Query!$O67),HLOOKUP(K$11,index1970,Query!$O67)/K$9 * HLOOKUP(K$11,comboutfac,Query!$O67) /K$8))</f>
        <v>0.82324282334114174</v>
      </c>
      <c r="L32" s="120">
        <f>IF($J$7=1,HLOOKUP(L$11,index1970,Query!$O67)/L$9,IF($J$7=2,HLOOKUP(L$11,index1970,Query!$O67)/L$9 * HLOOKUP(L$11,comboutfac,Query!$O67),HLOOKUP(L$11,index1970,Query!$O67)/L$9 * HLOOKUP(L$11,comboutfac,Query!$O67) /L$8))</f>
        <v>0.88028766575056361</v>
      </c>
      <c r="M32" s="120">
        <f>IF($J$7=1,HLOOKUP(M$11,index1970,Query!$O67)/M$9,IF($J$7=2,HLOOKUP(M$11,index1970,Query!$O67)/M$9 * HLOOKUP(M$11,comboutfac,Query!$O67),HLOOKUP(M$11,index1970,Query!$O67)/M$9 * HLOOKUP(M$11,comboutfac,Query!$O67) /M$8))</f>
        <v>0.88028766575056361</v>
      </c>
      <c r="N32" s="120">
        <f>IF($J$7=1,HLOOKUP(N$11,index1970,Query!$O67)/N$9,IF($J$7=2,HLOOKUP(N$11,index1970,Query!$O67)/N$9 * HLOOKUP(N$11,comboutfac,Query!$O67),HLOOKUP(N$11,index1970,Query!$O67)/N$9 * HLOOKUP(N$11,comboutfac,Query!$O67) /N$8))</f>
        <v>0.88028766575056361</v>
      </c>
      <c r="O32" s="120">
        <f>IF($J$7=1,HLOOKUP(O$11,index1970,Query!$O67)/O$9,IF($J$7=2,HLOOKUP(O$11,index1970,Query!$O67)/O$9 * HLOOKUP(O$11,comboutfac,Query!$O67),HLOOKUP(O$11,index1970,Query!$O67)/O$9 * HLOOKUP(O$11,comboutfac,Query!$O67) /O$8))</f>
        <v>0.91914726909595978</v>
      </c>
      <c r="P32" s="120">
        <f>IF($J$7=1,HLOOKUP(P$11,index1970,Query!$O67)/P$9,IF($J$7=2,HLOOKUP(P$11,index1970,Query!$O67)/P$9 * HLOOKUP(P$11,comboutfac,Query!$O67),HLOOKUP(P$11,index1970,Query!$O67)/P$9 * HLOOKUP(P$11,comboutfac,Query!$O67) /P$8))</f>
        <v>0.90918152606432556</v>
      </c>
      <c r="Q32" s="120">
        <f>IF($J$7=1,HLOOKUP(Q$11,index1970,Query!$O67)/Q$9,IF($J$7=2,HLOOKUP(Q$11,index1970,Query!$O67)/Q$9 * HLOOKUP(Q$11,comboutfac,Query!$O67),HLOOKUP(Q$11,index1970,Query!$O67)/Q$9 * HLOOKUP(Q$11,comboutfac,Query!$O67) /Q$8))</f>
        <v>0.89384469100467689</v>
      </c>
      <c r="R32" s="120">
        <f>IF($J$7=1,HLOOKUP(R$11,index1970,Query!$O67)/R$9,IF($J$7=2,HLOOKUP(R$11,index1970,Query!$O67)/R$9 * HLOOKUP(R$11,comboutfac,Query!$O67),HLOOKUP(R$11,index1970,Query!$O67)/R$9 * HLOOKUP(R$11,comboutfac,Query!$O67) /R$8))</f>
        <v>0.39866731356801982</v>
      </c>
      <c r="S32" s="120">
        <f>IF($J$7=1,HLOOKUP(S$11,index1970,Query!$O67)/S$9,IF($J$7=2,HLOOKUP(S$11,index1970,Query!$O67)/S$9 * HLOOKUP(S$11,comboutfac,Query!$O67),HLOOKUP(S$11,index1970,Query!$O67)/S$9 * HLOOKUP(S$11,comboutfac,Query!$O67) /S$8))</f>
        <v>0.89088596185103019</v>
      </c>
      <c r="T32" s="120">
        <f>IF($J$7=1,HLOOKUP(T$11,index1970,Query!$O67)/T$9,IF($J$7=2,HLOOKUP(T$11,index1970,Query!$O67)/T$9 * HLOOKUP(T$11,comboutfac,Query!$O67),HLOOKUP(T$11,index1970,Query!$O67)/T$9 * HLOOKUP(T$11,comboutfac,Query!$O67) /T$8))</f>
        <v>0.89660960029280878</v>
      </c>
      <c r="U32" s="120">
        <f>IF($J$7=1,HLOOKUP(U$11,index1970,Query!$O67)/U$9,IF($J$7=2,HLOOKUP(U$11,index1970,Query!$O67)/U$9 * HLOOKUP(U$11,comboutfac,Query!$O67),HLOOKUP(U$11,index1970,Query!$O67)/U$9 * HLOOKUP(U$11,comboutfac,Query!$O67) /U$8))</f>
        <v>0.90345279580401694</v>
      </c>
      <c r="V32" s="120">
        <f>IF($J$7=1,HLOOKUP(V$11,index1970,Query!$O67)/V$9,IF($J$7=2,HLOOKUP(V$11,index1970,Query!$O67)/V$9 * HLOOKUP(V$11,comboutfac,Query!$O67),HLOOKUP(V$11,index1970,Query!$O67)/V$9 * HLOOKUP(V$11,comboutfac,Query!$O67) /V$8))</f>
        <v>0.89099694317801126</v>
      </c>
      <c r="W32" s="120">
        <f>IF($J$7=1,HLOOKUP(W$11,index1970,Query!$O67)/W$9,IF($J$7=2,HLOOKUP(W$11,index1970,Query!$O67)/W$9 * HLOOKUP(W$11,comboutfac,Query!$O67),HLOOKUP(W$11,index1970,Query!$O67)/W$9 * HLOOKUP(W$11,comboutfac,Query!$O67) /W$8))</f>
        <v>0.8974800493865206</v>
      </c>
      <c r="X32" s="120">
        <f>IF($J$7=1,HLOOKUP(X$11,index1970,Query!$O67)/X$9,IF($J$7=2,HLOOKUP(X$11,index1970,Query!$O67)/X$9 * HLOOKUP(X$11,comboutfac,Query!$O67),HLOOKUP(X$11,index1970,Query!$O67)/X$9 * HLOOKUP(X$11,comboutfac,Query!$O67) /X$8))</f>
        <v>0.91099843400501157</v>
      </c>
      <c r="Y32" s="682"/>
      <c r="Z32" s="682"/>
    </row>
    <row r="33" spans="1:26" s="122" customFormat="1">
      <c r="A33" s="121">
        <f t="shared" si="2"/>
        <v>2005</v>
      </c>
      <c r="B33" s="120">
        <f>IF($J$7=1,HLOOKUP(B$11,index1970,Query!$O68)/B$9,IF($J$7=2,HLOOKUP(B$11,index1970,Query!$O68)/B$9 * HLOOKUP(B$11,comboutfac,Query!$O68),HLOOKUP(B$11,index1970,Query!$O68)/B$9 * HLOOKUP(B$11,comboutfac,Query!$O68) /B$8))</f>
        <v>0.93470626954046443</v>
      </c>
      <c r="C33" s="120">
        <f>IF($J$7=1,HLOOKUP(C$11,index1970,Query!$O68)/C$9,IF($J$7=2,HLOOKUP(C$11,index1970,Query!$O68)/C$9 * HLOOKUP(C$11,comboutfac,Query!$O68),HLOOKUP(C$11,index1970,Query!$O68)/C$9 * HLOOKUP(C$11,comboutfac,Query!$O68) /C$8))</f>
        <v>0.9329519746189433</v>
      </c>
      <c r="D33" s="120">
        <f>IF($J$7=1,HLOOKUP(D$11,index1970,Query!$O68)/D$9,IF($J$7=2,HLOOKUP(D$11,index1970,Query!$O68)/D$9 * HLOOKUP(D$11,comboutfac,Query!$O68),HLOOKUP(D$11,index1970,Query!$O68)/D$9 * HLOOKUP(D$11,comboutfac,Query!$O68) /D$8))</f>
        <v>0.93606577219957654</v>
      </c>
      <c r="E33" s="120">
        <f>IF($J$7=1,HLOOKUP(E$11,index1970,Query!$O68)/E$9,IF($J$7=2,HLOOKUP(E$11,index1970,Query!$O68)/E$9 * HLOOKUP(E$11,comboutfac,Query!$O68),HLOOKUP(E$11,index1970,Query!$O68)/E$9 * HLOOKUP(E$11,comboutfac,Query!$O68) /E$8))</f>
        <v>0.86203435053764332</v>
      </c>
      <c r="F33" s="120">
        <f>IF($J$7=1,HLOOKUP(F$11,index1970,Query!$O68)/F$9,IF($J$7=2,HLOOKUP(F$11,index1970,Query!$O68)/F$9 * HLOOKUP(F$11,comboutfac,Query!$O68),HLOOKUP(F$11,index1970,Query!$O68)/F$9 * HLOOKUP(F$11,comboutfac,Query!$O68) /F$8))</f>
        <v>0.95560960885509372</v>
      </c>
      <c r="G33" s="120">
        <f>IF($J$7=1,HLOOKUP(G$11,index1970,Query!$O68)/G$9,IF($J$7=2,HLOOKUP(G$11,index1970,Query!$O68)/G$9 * HLOOKUP(G$11,comboutfac,Query!$O68),HLOOKUP(G$11,index1970,Query!$O68)/G$9 * HLOOKUP(G$11,comboutfac,Query!$O68) /G$8))</f>
        <v>0.91222500506596949</v>
      </c>
      <c r="H33" s="120">
        <f>IF($J$7=1,HLOOKUP(H$11,index1970,Query!$O68)/H$9,IF($J$7=2,HLOOKUP(H$11,index1970,Query!$O68)/H$9 * HLOOKUP(H$11,comboutfac,Query!$O68),HLOOKUP(H$11,index1970,Query!$O68)/H$9 * HLOOKUP(H$11,comboutfac,Query!$O68) /H$8))</f>
        <v>0.95340029286570127</v>
      </c>
      <c r="I33" s="120">
        <f>IF($J$7=1,HLOOKUP(I$11,index1970,Query!$O68)/I$9,IF($J$7=2,HLOOKUP(I$11,index1970,Query!$O68)/I$9 * HLOOKUP(I$11,comboutfac,Query!$O68),HLOOKUP(I$11,index1970,Query!$O68)/I$9 * HLOOKUP(I$11,comboutfac,Query!$O68) /I$8))</f>
        <v>0.95321795314818358</v>
      </c>
      <c r="J33" s="120">
        <f>IF($J$7=1,HLOOKUP(J$11,index1970,Query!$O68)/J$9,IF($J$7=2,HLOOKUP(J$11,index1970,Query!$O68)/J$9 * HLOOKUP(J$11,comboutfac,Query!$O68),HLOOKUP(J$11,index1970,Query!$O68)/J$9 * HLOOKUP(J$11,comboutfac,Query!$O68) /J$8))</f>
        <v>0.93931985049347366</v>
      </c>
      <c r="K33" s="120">
        <f>IF($J$7=1,HLOOKUP(K$11,index1970,Query!$O68)/K$9,IF($J$7=2,HLOOKUP(K$11,index1970,Query!$O68)/K$9 * HLOOKUP(K$11,comboutfac,Query!$O68),HLOOKUP(K$11,index1970,Query!$O68)/K$9 * HLOOKUP(K$11,comboutfac,Query!$O68) /K$8))</f>
        <v>0.85329118639309343</v>
      </c>
      <c r="L33" s="120">
        <f>IF($J$7=1,HLOOKUP(L$11,index1970,Query!$O68)/L$9,IF($J$7=2,HLOOKUP(L$11,index1970,Query!$O68)/L$9 * HLOOKUP(L$11,comboutfac,Query!$O68),HLOOKUP(L$11,index1970,Query!$O68)/L$9 * HLOOKUP(L$11,comboutfac,Query!$O68) /L$8))</f>
        <v>0.90447372022952854</v>
      </c>
      <c r="M33" s="120">
        <f>IF($J$7=1,HLOOKUP(M$11,index1970,Query!$O68)/M$9,IF($J$7=2,HLOOKUP(M$11,index1970,Query!$O68)/M$9 * HLOOKUP(M$11,comboutfac,Query!$O68),HLOOKUP(M$11,index1970,Query!$O68)/M$9 * HLOOKUP(M$11,comboutfac,Query!$O68) /M$8))</f>
        <v>0.9115416113882866</v>
      </c>
      <c r="N33" s="120">
        <f>IF($J$7=1,HLOOKUP(N$11,index1970,Query!$O68)/N$9,IF($J$7=2,HLOOKUP(N$11,index1970,Query!$O68)/N$9 * HLOOKUP(N$11,comboutfac,Query!$O68),HLOOKUP(N$11,index1970,Query!$O68)/N$9 * HLOOKUP(N$11,comboutfac,Query!$O68) /N$8))</f>
        <v>0.91220151739191735</v>
      </c>
      <c r="O33" s="120">
        <f>IF($J$7=1,HLOOKUP(O$11,index1970,Query!$O68)/O$9,IF($J$7=2,HLOOKUP(O$11,index1970,Query!$O68)/O$9 * HLOOKUP(O$11,comboutfac,Query!$O68),HLOOKUP(O$11,index1970,Query!$O68)/O$9 * HLOOKUP(O$11,comboutfac,Query!$O68) /O$8))</f>
        <v>0.9449153959718618</v>
      </c>
      <c r="P33" s="120">
        <f>IF($J$7=1,HLOOKUP(P$11,index1970,Query!$O68)/P$9,IF($J$7=2,HLOOKUP(P$11,index1970,Query!$O68)/P$9 * HLOOKUP(P$11,comboutfac,Query!$O68),HLOOKUP(P$11,index1970,Query!$O68)/P$9 * HLOOKUP(P$11,comboutfac,Query!$O68) /P$8))</f>
        <v>0.93478671544319469</v>
      </c>
      <c r="Q33" s="120">
        <f>IF($J$7=1,HLOOKUP(Q$11,index1970,Query!$O68)/Q$9,IF($J$7=2,HLOOKUP(Q$11,index1970,Query!$O68)/Q$9 * HLOOKUP(Q$11,comboutfac,Query!$O68),HLOOKUP(Q$11,index1970,Query!$O68)/Q$9 * HLOOKUP(Q$11,comboutfac,Query!$O68) /Q$8))</f>
        <v>0.91991632412059809</v>
      </c>
      <c r="R33" s="120">
        <f>IF($J$7=1,HLOOKUP(R$11,index1970,Query!$O68)/R$9,IF($J$7=2,HLOOKUP(R$11,index1970,Query!$O68)/R$9 * HLOOKUP(R$11,comboutfac,Query!$O68),HLOOKUP(R$11,index1970,Query!$O68)/R$9 * HLOOKUP(R$11,comboutfac,Query!$O68) /R$8))</f>
        <v>0.53022752704546638</v>
      </c>
      <c r="S33" s="120">
        <f>IF($J$7=1,HLOOKUP(S$11,index1970,Query!$O68)/S$9,IF($J$7=2,HLOOKUP(S$11,index1970,Query!$O68)/S$9 * HLOOKUP(S$11,comboutfac,Query!$O68),HLOOKUP(S$11,index1970,Query!$O68)/S$9 * HLOOKUP(S$11,comboutfac,Query!$O68) /S$8))</f>
        <v>0.9170276533410826</v>
      </c>
      <c r="T33" s="120">
        <f>IF($J$7=1,HLOOKUP(T$11,index1970,Query!$O68)/T$9,IF($J$7=2,HLOOKUP(T$11,index1970,Query!$O68)/T$9 * HLOOKUP(T$11,comboutfac,Query!$O68),HLOOKUP(T$11,index1970,Query!$O68)/T$9 * HLOOKUP(T$11,comboutfac,Query!$O68) /T$8))</f>
        <v>0.91650775723600442</v>
      </c>
      <c r="U33" s="120">
        <f>IF($J$7=1,HLOOKUP(U$11,index1970,Query!$O68)/U$9,IF($J$7=2,HLOOKUP(U$11,index1970,Query!$O68)/U$9 * HLOOKUP(U$11,comboutfac,Query!$O68),HLOOKUP(U$11,index1970,Query!$O68)/U$9 * HLOOKUP(U$11,comboutfac,Query!$O68) /U$8))</f>
        <v>0.92911015632525229</v>
      </c>
      <c r="V33" s="120">
        <f>IF($J$7=1,HLOOKUP(V$11,index1970,Query!$O68)/V$9,IF($J$7=2,HLOOKUP(V$11,index1970,Query!$O68)/V$9 * HLOOKUP(V$11,comboutfac,Query!$O68),HLOOKUP(V$11,index1970,Query!$O68)/V$9 * HLOOKUP(V$11,comboutfac,Query!$O68) /V$8))</f>
        <v>0.9158261845089255</v>
      </c>
      <c r="W33" s="120">
        <f>IF($J$7=1,HLOOKUP(W$11,index1970,Query!$O68)/W$9,IF($J$7=2,HLOOKUP(W$11,index1970,Query!$O68)/W$9 * HLOOKUP(W$11,comboutfac,Query!$O68),HLOOKUP(W$11,index1970,Query!$O68)/W$9 * HLOOKUP(W$11,comboutfac,Query!$O68) /W$8))</f>
        <v>0.923361394971834</v>
      </c>
      <c r="X33" s="120">
        <f>IF($J$7=1,HLOOKUP(X$11,index1970,Query!$O68)/X$9,IF($J$7=2,HLOOKUP(X$11,index1970,Query!$O68)/X$9 * HLOOKUP(X$11,comboutfac,Query!$O68),HLOOKUP(X$11,index1970,Query!$O68)/X$9 * HLOOKUP(X$11,comboutfac,Query!$O68) /X$8))</f>
        <v>0.93609548987787361</v>
      </c>
      <c r="Y33" s="682"/>
      <c r="Z33" s="682"/>
    </row>
    <row r="34" spans="1:26" s="122" customFormat="1">
      <c r="A34" s="121">
        <f t="shared" si="2"/>
        <v>2006</v>
      </c>
      <c r="B34" s="120">
        <f>IF($J$7=1,HLOOKUP(B$11,index1970,Query!$O69)/B$9,IF($J$7=2,HLOOKUP(B$11,index1970,Query!$O69)/B$9 * HLOOKUP(B$11,comboutfac,Query!$O69),HLOOKUP(B$11,index1970,Query!$O69)/B$9 * HLOOKUP(B$11,comboutfac,Query!$O69) /B$8))</f>
        <v>0.96004856609444789</v>
      </c>
      <c r="C34" s="120">
        <f>IF($J$7=1,HLOOKUP(C$11,index1970,Query!$O69)/C$9,IF($J$7=2,HLOOKUP(C$11,index1970,Query!$O69)/C$9 * HLOOKUP(C$11,comboutfac,Query!$O69),HLOOKUP(C$11,index1970,Query!$O69)/C$9 * HLOOKUP(C$11,comboutfac,Query!$O69) /C$8))</f>
        <v>0.95963687547923182</v>
      </c>
      <c r="D34" s="120">
        <f>IF($J$7=1,HLOOKUP(D$11,index1970,Query!$O69)/D$9,IF($J$7=2,HLOOKUP(D$11,index1970,Query!$O69)/D$9 * HLOOKUP(D$11,comboutfac,Query!$O69),HLOOKUP(D$11,index1970,Query!$O69)/D$9 * HLOOKUP(D$11,comboutfac,Query!$O69) /D$8))</f>
        <v>0.95907440405002864</v>
      </c>
      <c r="E34" s="120">
        <f>IF($J$7=1,HLOOKUP(E$11,index1970,Query!$O69)/E$9,IF($J$7=2,HLOOKUP(E$11,index1970,Query!$O69)/E$9 * HLOOKUP(E$11,comboutfac,Query!$O69),HLOOKUP(E$11,index1970,Query!$O69)/E$9 * HLOOKUP(E$11,comboutfac,Query!$O69) /E$8))</f>
        <v>0.88961944975484797</v>
      </c>
      <c r="F34" s="120">
        <f>IF($J$7=1,HLOOKUP(F$11,index1970,Query!$O69)/F$9,IF($J$7=2,HLOOKUP(F$11,index1970,Query!$O69)/F$9 * HLOOKUP(F$11,comboutfac,Query!$O69),HLOOKUP(F$11,index1970,Query!$O69)/F$9 * HLOOKUP(F$11,comboutfac,Query!$O69) /F$8))</f>
        <v>0.97368391011165589</v>
      </c>
      <c r="G34" s="120">
        <f>IF($J$7=1,HLOOKUP(G$11,index1970,Query!$O69)/G$9,IF($J$7=2,HLOOKUP(G$11,index1970,Query!$O69)/G$9 * HLOOKUP(G$11,comboutfac,Query!$O69),HLOOKUP(G$11,index1970,Query!$O69)/G$9 * HLOOKUP(G$11,comboutfac,Query!$O69) /G$8))</f>
        <v>0.93897216926452054</v>
      </c>
      <c r="H34" s="120">
        <f>IF($J$7=1,HLOOKUP(H$11,index1970,Query!$O69)/H$9,IF($J$7=2,HLOOKUP(H$11,index1970,Query!$O69)/H$9 * HLOOKUP(H$11,comboutfac,Query!$O69),HLOOKUP(H$11,index1970,Query!$O69)/H$9 * HLOOKUP(H$11,comboutfac,Query!$O69) /H$8))</f>
        <v>0.97463635616465549</v>
      </c>
      <c r="I34" s="120">
        <f>IF($J$7=1,HLOOKUP(I$11,index1970,Query!$O69)/I$9,IF($J$7=2,HLOOKUP(I$11,index1970,Query!$O69)/I$9 * HLOOKUP(I$11,comboutfac,Query!$O69),HLOOKUP(I$11,index1970,Query!$O69)/I$9 * HLOOKUP(I$11,comboutfac,Query!$O69) /I$8))</f>
        <v>0.97306759807220067</v>
      </c>
      <c r="J34" s="120">
        <f>IF($J$7=1,HLOOKUP(J$11,index1970,Query!$O69)/J$9,IF($J$7=2,HLOOKUP(J$11,index1970,Query!$O69)/J$9 * HLOOKUP(J$11,comboutfac,Query!$O69),HLOOKUP(J$11,index1970,Query!$O69)/J$9 * HLOOKUP(J$11,comboutfac,Query!$O69) /J$8))</f>
        <v>0.96302116694924744</v>
      </c>
      <c r="K34" s="120">
        <f>IF($J$7=1,HLOOKUP(K$11,index1970,Query!$O69)/K$9,IF($J$7=2,HLOOKUP(K$11,index1970,Query!$O69)/K$9 * HLOOKUP(K$11,comboutfac,Query!$O69),HLOOKUP(K$11,index1970,Query!$O69)/K$9 * HLOOKUP(K$11,comboutfac,Query!$O69) /K$8))</f>
        <v>0.88059650435767245</v>
      </c>
      <c r="L34" s="120">
        <f>IF($J$7=1,HLOOKUP(L$11,index1970,Query!$O69)/L$9,IF($J$7=2,HLOOKUP(L$11,index1970,Query!$O69)/L$9 * HLOOKUP(L$11,comboutfac,Query!$O69),HLOOKUP(L$11,index1970,Query!$O69)/L$9 * HLOOKUP(L$11,comboutfac,Query!$O69) /L$8))</f>
        <v>0.93266290769769089</v>
      </c>
      <c r="M34" s="120">
        <f>IF($J$7=1,HLOOKUP(M$11,index1970,Query!$O69)/M$9,IF($J$7=2,HLOOKUP(M$11,index1970,Query!$O69)/M$9 * HLOOKUP(M$11,comboutfac,Query!$O69),HLOOKUP(M$11,index1970,Query!$O69)/M$9 * HLOOKUP(M$11,comboutfac,Query!$O69) /M$8))</f>
        <v>0.93326831563811397</v>
      </c>
      <c r="N34" s="120">
        <f>IF($J$7=1,HLOOKUP(N$11,index1970,Query!$O69)/N$9,IF($J$7=2,HLOOKUP(N$11,index1970,Query!$O69)/N$9 * HLOOKUP(N$11,comboutfac,Query!$O69),HLOOKUP(N$11,index1970,Query!$O69)/N$9 * HLOOKUP(N$11,comboutfac,Query!$O69) /N$8))</f>
        <v>0.93614807214527307</v>
      </c>
      <c r="O34" s="120">
        <f>IF($J$7=1,HLOOKUP(O$11,index1970,Query!$O69)/O$9,IF($J$7=2,HLOOKUP(O$11,index1970,Query!$O69)/O$9 * HLOOKUP(O$11,comboutfac,Query!$O69),HLOOKUP(O$11,index1970,Query!$O69)/O$9 * HLOOKUP(O$11,comboutfac,Query!$O69) /O$8))</f>
        <v>0.96563761799436598</v>
      </c>
      <c r="P34" s="120">
        <f>IF($J$7=1,HLOOKUP(P$11,index1970,Query!$O69)/P$9,IF($J$7=2,HLOOKUP(P$11,index1970,Query!$O69)/P$9 * HLOOKUP(P$11,comboutfac,Query!$O69),HLOOKUP(P$11,index1970,Query!$O69)/P$9 * HLOOKUP(P$11,comboutfac,Query!$O69) /P$8))</f>
        <v>0.95854308121165621</v>
      </c>
      <c r="Q34" s="120">
        <f>IF($J$7=1,HLOOKUP(Q$11,index1970,Query!$O69)/Q$9,IF($J$7=2,HLOOKUP(Q$11,index1970,Query!$O69)/Q$9 * HLOOKUP(Q$11,comboutfac,Query!$O69),HLOOKUP(Q$11,index1970,Query!$O69)/Q$9 * HLOOKUP(Q$11,comboutfac,Query!$O69) /Q$8))</f>
        <v>0.94938769894848085</v>
      </c>
      <c r="R34" s="120">
        <f>IF($J$7=1,HLOOKUP(R$11,index1970,Query!$O69)/R$9,IF($J$7=2,HLOOKUP(R$11,index1970,Query!$O69)/R$9 * HLOOKUP(R$11,comboutfac,Query!$O69),HLOOKUP(R$11,index1970,Query!$O69)/R$9 * HLOOKUP(R$11,comboutfac,Query!$O69) /R$8))</f>
        <v>0.8467733606916098</v>
      </c>
      <c r="S34" s="120">
        <f>IF($J$7=1,HLOOKUP(S$11,index1970,Query!$O69)/S$9,IF($J$7=2,HLOOKUP(S$11,index1970,Query!$O69)/S$9 * HLOOKUP(S$11,comboutfac,Query!$O69),HLOOKUP(S$11,index1970,Query!$O69)/S$9 * HLOOKUP(S$11,comboutfac,Query!$O69) /S$8))</f>
        <v>0.94618472043131052</v>
      </c>
      <c r="T34" s="120">
        <f>IF($J$7=1,HLOOKUP(T$11,index1970,Query!$O69)/T$9,IF($J$7=2,HLOOKUP(T$11,index1970,Query!$O69)/T$9 * HLOOKUP(T$11,comboutfac,Query!$O69),HLOOKUP(T$11,index1970,Query!$O69)/T$9 * HLOOKUP(T$11,comboutfac,Query!$O69) /T$8))</f>
        <v>0.94609907282948313</v>
      </c>
      <c r="U34" s="120">
        <f>IF($J$7=1,HLOOKUP(U$11,index1970,Query!$O69)/U$9,IF($J$7=2,HLOOKUP(U$11,index1970,Query!$O69)/U$9 * HLOOKUP(U$11,comboutfac,Query!$O69),HLOOKUP(U$11,index1970,Query!$O69)/U$9 * HLOOKUP(U$11,comboutfac,Query!$O69) /U$8))</f>
        <v>0.95385683113142772</v>
      </c>
      <c r="V34" s="120">
        <f>IF($J$7=1,HLOOKUP(V$11,index1970,Query!$O69)/V$9,IF($J$7=2,HLOOKUP(V$11,index1970,Query!$O69)/V$9 * HLOOKUP(V$11,comboutfac,Query!$O69),HLOOKUP(V$11,index1970,Query!$O69)/V$9 * HLOOKUP(V$11,comboutfac,Query!$O69) /V$8))</f>
        <v>0.94253297962068283</v>
      </c>
      <c r="W34" s="120">
        <f>IF($J$7=1,HLOOKUP(W$11,index1970,Query!$O69)/W$9,IF($J$7=2,HLOOKUP(W$11,index1970,Query!$O69)/W$9 * HLOOKUP(W$11,comboutfac,Query!$O69),HLOOKUP(W$11,index1970,Query!$O69)/W$9 * HLOOKUP(W$11,comboutfac,Query!$O69) /W$8))</f>
        <v>0.94907941953151231</v>
      </c>
      <c r="X34" s="120">
        <f>IF($J$7=1,HLOOKUP(X$11,index1970,Query!$O69)/X$9,IF($J$7=2,HLOOKUP(X$11,index1970,Query!$O69)/X$9 * HLOOKUP(X$11,comboutfac,Query!$O69),HLOOKUP(X$11,index1970,Query!$O69)/X$9 * HLOOKUP(X$11,comboutfac,Query!$O69) /X$8))</f>
        <v>0.96321812781186444</v>
      </c>
      <c r="Y34" s="682"/>
      <c r="Z34" s="682"/>
    </row>
    <row r="35" spans="1:26" s="122" customFormat="1">
      <c r="A35" s="121">
        <f t="shared" si="2"/>
        <v>2007</v>
      </c>
      <c r="B35" s="120">
        <f>IF($J$7=1,HLOOKUP(B$11,index1970,Query!$O70)/B$9,IF($J$7=2,HLOOKUP(B$11,index1970,Query!$O70)/B$9 * HLOOKUP(B$11,comboutfac,Query!$O70),HLOOKUP(B$11,index1970,Query!$O70)/B$9 * HLOOKUP(B$11,comboutfac,Query!$O70) /B$8))</f>
        <v>0.97939039131597494</v>
      </c>
      <c r="C35" s="120">
        <f>IF($J$7=1,HLOOKUP(C$11,index1970,Query!$O70)/C$9,IF($J$7=2,HLOOKUP(C$11,index1970,Query!$O70)/C$9 * HLOOKUP(C$11,comboutfac,Query!$O70),HLOOKUP(C$11,index1970,Query!$O70)/C$9 * HLOOKUP(C$11,comboutfac,Query!$O70) /C$8))</f>
        <v>0.98337277249589494</v>
      </c>
      <c r="D35" s="120">
        <f>IF($J$7=1,HLOOKUP(D$11,index1970,Query!$O70)/D$9,IF($J$7=2,HLOOKUP(D$11,index1970,Query!$O70)/D$9 * HLOOKUP(D$11,comboutfac,Query!$O70),HLOOKUP(D$11,index1970,Query!$O70)/D$9 * HLOOKUP(D$11,comboutfac,Query!$O70) /D$8))</f>
        <v>0.99185829455000385</v>
      </c>
      <c r="E35" s="120">
        <f>IF($J$7=1,HLOOKUP(E$11,index1970,Query!$O70)/E$9,IF($J$7=2,HLOOKUP(E$11,index1970,Query!$O70)/E$9 * HLOOKUP(E$11,comboutfac,Query!$O70),HLOOKUP(E$11,index1970,Query!$O70)/E$9 * HLOOKUP(E$11,comboutfac,Query!$O70) /E$8))</f>
        <v>0.91119272141140306</v>
      </c>
      <c r="F35" s="120">
        <f>IF($J$7=1,HLOOKUP(F$11,index1970,Query!$O70)/F$9,IF($J$7=2,HLOOKUP(F$11,index1970,Query!$O70)/F$9 * HLOOKUP(F$11,comboutfac,Query!$O70),HLOOKUP(F$11,index1970,Query!$O70)/F$9 * HLOOKUP(F$11,comboutfac,Query!$O70) /F$8))</f>
        <v>0.99071309612948621</v>
      </c>
      <c r="G35" s="120">
        <f>IF($J$7=1,HLOOKUP(G$11,index1970,Query!$O70)/G$9,IF($J$7=2,HLOOKUP(G$11,index1970,Query!$O70)/G$9 * HLOOKUP(G$11,comboutfac,Query!$O70),HLOOKUP(G$11,index1970,Query!$O70)/G$9 * HLOOKUP(G$11,comboutfac,Query!$O70) /G$8))</f>
        <v>0.96360390669927298</v>
      </c>
      <c r="H35" s="120">
        <f>IF($J$7=1,HLOOKUP(H$11,index1970,Query!$O70)/H$9,IF($J$7=2,HLOOKUP(H$11,index1970,Query!$O70)/H$9 * HLOOKUP(H$11,comboutfac,Query!$O70),HLOOKUP(H$11,index1970,Query!$O70)/H$9 * HLOOKUP(H$11,comboutfac,Query!$O70) /H$8))</f>
        <v>0.98842170403471741</v>
      </c>
      <c r="I35" s="120">
        <f>IF($J$7=1,HLOOKUP(I$11,index1970,Query!$O70)/I$9,IF($J$7=2,HLOOKUP(I$11,index1970,Query!$O70)/I$9 * HLOOKUP(I$11,comboutfac,Query!$O70),HLOOKUP(I$11,index1970,Query!$O70)/I$9 * HLOOKUP(I$11,comboutfac,Query!$O70) /I$8))</f>
        <v>0.98983898279380722</v>
      </c>
      <c r="J35" s="120">
        <f>IF($J$7=1,HLOOKUP(J$11,index1970,Query!$O70)/J$9,IF($J$7=2,HLOOKUP(J$11,index1970,Query!$O70)/J$9 * HLOOKUP(J$11,comboutfac,Query!$O70),HLOOKUP(J$11,index1970,Query!$O70)/J$9 * HLOOKUP(J$11,comboutfac,Query!$O70) /J$8))</f>
        <v>0.98536001373054949</v>
      </c>
      <c r="K35" s="120">
        <f>IF($J$7=1,HLOOKUP(K$11,index1970,Query!$O70)/K$9,IF($J$7=2,HLOOKUP(K$11,index1970,Query!$O70)/K$9 * HLOOKUP(K$11,comboutfac,Query!$O70),HLOOKUP(K$11,index1970,Query!$O70)/K$9 * HLOOKUP(K$11,comboutfac,Query!$O70) /K$8))</f>
        <v>0.90195096958834597</v>
      </c>
      <c r="L35" s="120">
        <f>IF($J$7=1,HLOOKUP(L$11,index1970,Query!$O70)/L$9,IF($J$7=2,HLOOKUP(L$11,index1970,Query!$O70)/L$9 * HLOOKUP(L$11,comboutfac,Query!$O70),HLOOKUP(L$11,index1970,Query!$O70)/L$9 * HLOOKUP(L$11,comboutfac,Query!$O70) /L$8))</f>
        <v>0.95828831173273921</v>
      </c>
      <c r="M35" s="120">
        <f>IF($J$7=1,HLOOKUP(M$11,index1970,Query!$O70)/M$9,IF($J$7=2,HLOOKUP(M$11,index1970,Query!$O70)/M$9 * HLOOKUP(M$11,comboutfac,Query!$O70),HLOOKUP(M$11,index1970,Query!$O70)/M$9 * HLOOKUP(M$11,comboutfac,Query!$O70) /M$8))</f>
        <v>0.96230534419227465</v>
      </c>
      <c r="N35" s="120">
        <f>IF($J$7=1,HLOOKUP(N$11,index1970,Query!$O70)/N$9,IF($J$7=2,HLOOKUP(N$11,index1970,Query!$O70)/N$9 * HLOOKUP(N$11,comboutfac,Query!$O70),HLOOKUP(N$11,index1970,Query!$O70)/N$9 * HLOOKUP(N$11,comboutfac,Query!$O70) /N$8))</f>
        <v>0.96241493544256784</v>
      </c>
      <c r="O35" s="120">
        <f>IF($J$7=1,HLOOKUP(O$11,index1970,Query!$O70)/O$9,IF($J$7=2,HLOOKUP(O$11,index1970,Query!$O70)/O$9 * HLOOKUP(O$11,comboutfac,Query!$O70),HLOOKUP(O$11,index1970,Query!$O70)/O$9 * HLOOKUP(O$11,comboutfac,Query!$O70) /O$8))</f>
        <v>0.98425103760888288</v>
      </c>
      <c r="P35" s="120">
        <f>IF($J$7=1,HLOOKUP(P$11,index1970,Query!$O70)/P$9,IF($J$7=2,HLOOKUP(P$11,index1970,Query!$O70)/P$9 * HLOOKUP(P$11,comboutfac,Query!$O70),HLOOKUP(P$11,index1970,Query!$O70)/P$9 * HLOOKUP(P$11,comboutfac,Query!$O70) /P$8))</f>
        <v>0.97944108185159107</v>
      </c>
      <c r="Q35" s="120">
        <f>IF($J$7=1,HLOOKUP(Q$11,index1970,Query!$O70)/Q$9,IF($J$7=2,HLOOKUP(Q$11,index1970,Query!$O70)/Q$9 * HLOOKUP(Q$11,comboutfac,Query!$O70),HLOOKUP(Q$11,index1970,Query!$O70)/Q$9 * HLOOKUP(Q$11,comboutfac,Query!$O70) /Q$8))</f>
        <v>0.97167398453248888</v>
      </c>
      <c r="R35" s="120">
        <f>IF($J$7=1,HLOOKUP(R$11,index1970,Query!$O70)/R$9,IF($J$7=2,HLOOKUP(R$11,index1970,Query!$O70)/R$9 * HLOOKUP(R$11,comboutfac,Query!$O70),HLOOKUP(R$11,index1970,Query!$O70)/R$9 * HLOOKUP(R$11,comboutfac,Query!$O70) /R$8))</f>
        <v>0.85862818774129235</v>
      </c>
      <c r="S35" s="120">
        <f>IF($J$7=1,HLOOKUP(S$11,index1970,Query!$O70)/S$9,IF($J$7=2,HLOOKUP(S$11,index1970,Query!$O70)/S$9 * HLOOKUP(S$11,comboutfac,Query!$O70),HLOOKUP(S$11,index1970,Query!$O70)/S$9 * HLOOKUP(S$11,comboutfac,Query!$O70) /S$8))</f>
        <v>0.9710150941625616</v>
      </c>
      <c r="T35" s="120">
        <f>IF($J$7=1,HLOOKUP(T$11,index1970,Query!$O70)/T$9,IF($J$7=2,HLOOKUP(T$11,index1970,Query!$O70)/T$9 * HLOOKUP(T$11,comboutfac,Query!$O70),HLOOKUP(T$11,index1970,Query!$O70)/T$9 * HLOOKUP(T$11,comboutfac,Query!$O70) /T$8))</f>
        <v>0.96833617939197747</v>
      </c>
      <c r="U35" s="120">
        <f>IF($J$7=1,HLOOKUP(U$11,index1970,Query!$O70)/U$9,IF($J$7=2,HLOOKUP(U$11,index1970,Query!$O70)/U$9 * HLOOKUP(U$11,comboutfac,Query!$O70),HLOOKUP(U$11,index1970,Query!$O70)/U$9 * HLOOKUP(U$11,comboutfac,Query!$O70) /U$8))</f>
        <v>0.97685528813589806</v>
      </c>
      <c r="V35" s="120">
        <f>IF($J$7=1,HLOOKUP(V$11,index1970,Query!$O70)/V$9,IF($J$7=2,HLOOKUP(V$11,index1970,Query!$O70)/V$9 * HLOOKUP(V$11,comboutfac,Query!$O70),HLOOKUP(V$11,index1970,Query!$O70)/V$9 * HLOOKUP(V$11,comboutfac,Query!$O70) /V$8))</f>
        <v>0.96608559895222446</v>
      </c>
      <c r="W35" s="120">
        <f>IF($J$7=1,HLOOKUP(W$11,index1970,Query!$O70)/W$9,IF($J$7=2,HLOOKUP(W$11,index1970,Query!$O70)/W$9 * HLOOKUP(W$11,comboutfac,Query!$O70),HLOOKUP(W$11,index1970,Query!$O70)/W$9 * HLOOKUP(W$11,comboutfac,Query!$O70) /W$8))</f>
        <v>0.9718591876797249</v>
      </c>
      <c r="X35" s="120">
        <f>IF($J$7=1,HLOOKUP(X$11,index1970,Query!$O70)/X$9,IF($J$7=2,HLOOKUP(X$11,index1970,Query!$O70)/X$9 * HLOOKUP(X$11,comboutfac,Query!$O70),HLOOKUP(X$11,index1970,Query!$O70)/X$9 * HLOOKUP(X$11,comboutfac,Query!$O70) /X$8))</f>
        <v>0.98320807956525158</v>
      </c>
      <c r="Y35" s="682"/>
      <c r="Z35" s="682"/>
    </row>
    <row r="36" spans="1:26" s="122" customFormat="1">
      <c r="A36" s="121">
        <f t="shared" si="2"/>
        <v>2008</v>
      </c>
      <c r="B36" s="120">
        <f>IF($J$7=1,HLOOKUP(B$11,index1970,Query!$O71)/B$9,IF($J$7=2,HLOOKUP(B$11,index1970,Query!$O71)/B$9 * HLOOKUP(B$11,comboutfac,Query!$O71),HLOOKUP(B$11,index1970,Query!$O71)/B$9 * HLOOKUP(B$11,comboutfac,Query!$O71) /B$8))</f>
        <v>0.99491729075572333</v>
      </c>
      <c r="C36" s="120">
        <f>IF($J$7=1,HLOOKUP(C$11,index1970,Query!$O71)/C$9,IF($J$7=2,HLOOKUP(C$11,index1970,Query!$O71)/C$9 * HLOOKUP(C$11,comboutfac,Query!$O71),HLOOKUP(C$11,index1970,Query!$O71)/C$9 * HLOOKUP(C$11,comboutfac,Query!$O71) /C$8))</f>
        <v>0.99837680311555455</v>
      </c>
      <c r="D36" s="120">
        <f>IF($J$7=1,HLOOKUP(D$11,index1970,Query!$O71)/D$9,IF($J$7=2,HLOOKUP(D$11,index1970,Query!$O71)/D$9 * HLOOKUP(D$11,comboutfac,Query!$O71),HLOOKUP(D$11,index1970,Query!$O71)/D$9 * HLOOKUP(D$11,comboutfac,Query!$O71) /D$8))</f>
        <v>0.99269557171929013</v>
      </c>
      <c r="E36" s="120">
        <f>IF($J$7=1,HLOOKUP(E$11,index1970,Query!$O71)/E$9,IF($J$7=2,HLOOKUP(E$11,index1970,Query!$O71)/E$9 * HLOOKUP(E$11,comboutfac,Query!$O71),HLOOKUP(E$11,index1970,Query!$O71)/E$9 * HLOOKUP(E$11,comboutfac,Query!$O71) /E$8))</f>
        <v>0.9401230903162151</v>
      </c>
      <c r="F36" s="120">
        <f>IF($J$7=1,HLOOKUP(F$11,index1970,Query!$O71)/F$9,IF($J$7=2,HLOOKUP(F$11,index1970,Query!$O71)/F$9 * HLOOKUP(F$11,comboutfac,Query!$O71),HLOOKUP(F$11,index1970,Query!$O71)/F$9 * HLOOKUP(F$11,comboutfac,Query!$O71) /F$8))</f>
        <v>1.0055378217790982</v>
      </c>
      <c r="G36" s="120">
        <f>IF($J$7=1,HLOOKUP(G$11,index1970,Query!$O71)/G$9,IF($J$7=2,HLOOKUP(G$11,index1970,Query!$O71)/G$9 * HLOOKUP(G$11,comboutfac,Query!$O71),HLOOKUP(G$11,index1970,Query!$O71)/G$9 * HLOOKUP(G$11,comboutfac,Query!$O71) /G$8))</f>
        <v>0.98360456343179925</v>
      </c>
      <c r="H36" s="120">
        <f>IF($J$7=1,HLOOKUP(H$11,index1970,Query!$O71)/H$9,IF($J$7=2,HLOOKUP(H$11,index1970,Query!$O71)/H$9 * HLOOKUP(H$11,comboutfac,Query!$O71),HLOOKUP(H$11,index1970,Query!$O71)/H$9 * HLOOKUP(H$11,comboutfac,Query!$O71) /H$8))</f>
        <v>1.0017340125290166</v>
      </c>
      <c r="I36" s="120">
        <f>IF($J$7=1,HLOOKUP(I$11,index1970,Query!$O71)/I$9,IF($J$7=2,HLOOKUP(I$11,index1970,Query!$O71)/I$9 * HLOOKUP(I$11,comboutfac,Query!$O71),HLOOKUP(I$11,index1970,Query!$O71)/I$9 * HLOOKUP(I$11,comboutfac,Query!$O71) /I$8))</f>
        <v>1.0044835799520502</v>
      </c>
      <c r="J36" s="120">
        <f>IF($J$7=1,HLOOKUP(J$11,index1970,Query!$O71)/J$9,IF($J$7=2,HLOOKUP(J$11,index1970,Query!$O71)/J$9 * HLOOKUP(J$11,comboutfac,Query!$O71),HLOOKUP(J$11,index1970,Query!$O71)/J$9 * HLOOKUP(J$11,comboutfac,Query!$O71) /J$8))</f>
        <v>0.99943409381762371</v>
      </c>
      <c r="K36" s="120">
        <f>IF($J$7=1,HLOOKUP(K$11,index1970,Query!$O71)/K$9,IF($J$7=2,HLOOKUP(K$11,index1970,Query!$O71)/K$9 * HLOOKUP(K$11,comboutfac,Query!$O71),HLOOKUP(K$11,index1970,Query!$O71)/K$9 * HLOOKUP(K$11,comboutfac,Query!$O71) /K$8))</f>
        <v>0.93058791287277598</v>
      </c>
      <c r="L36" s="120">
        <f>IF($J$7=1,HLOOKUP(L$11,index1970,Query!$O71)/L$9,IF($J$7=2,HLOOKUP(L$11,index1970,Query!$O71)/L$9 * HLOOKUP(L$11,comboutfac,Query!$O71),HLOOKUP(L$11,index1970,Query!$O71)/L$9 * HLOOKUP(L$11,comboutfac,Query!$O71) /L$8))</f>
        <v>0.97901813277034955</v>
      </c>
      <c r="M36" s="120">
        <f>IF($J$7=1,HLOOKUP(M$11,index1970,Query!$O71)/M$9,IF($J$7=2,HLOOKUP(M$11,index1970,Query!$O71)/M$9 * HLOOKUP(M$11,comboutfac,Query!$O71),HLOOKUP(M$11,index1970,Query!$O71)/M$9 * HLOOKUP(M$11,comboutfac,Query!$O71) /M$8))</f>
        <v>0.97990173977637052</v>
      </c>
      <c r="N36" s="120">
        <f>IF($J$7=1,HLOOKUP(N$11,index1970,Query!$O71)/N$9,IF($J$7=2,HLOOKUP(N$11,index1970,Query!$O71)/N$9 * HLOOKUP(N$11,comboutfac,Query!$O71),HLOOKUP(N$11,index1970,Query!$O71)/N$9 * HLOOKUP(N$11,comboutfac,Query!$O71) /N$8))</f>
        <v>0.98156609977324294</v>
      </c>
      <c r="O36" s="120">
        <f>IF($J$7=1,HLOOKUP(O$11,index1970,Query!$O71)/O$9,IF($J$7=2,HLOOKUP(O$11,index1970,Query!$O71)/O$9 * HLOOKUP(O$11,comboutfac,Query!$O71),HLOOKUP(O$11,index1970,Query!$O71)/O$9 * HLOOKUP(O$11,comboutfac,Query!$O71) /O$8))</f>
        <v>0.9995630811678764</v>
      </c>
      <c r="P36" s="120">
        <f>IF($J$7=1,HLOOKUP(P$11,index1970,Query!$O71)/P$9,IF($J$7=2,HLOOKUP(P$11,index1970,Query!$O71)/P$9 * HLOOKUP(P$11,comboutfac,Query!$O71),HLOOKUP(P$11,index1970,Query!$O71)/P$9 * HLOOKUP(P$11,comboutfac,Query!$O71) /P$8))</f>
        <v>0.99488661958026414</v>
      </c>
      <c r="Q36" s="120">
        <f>IF($J$7=1,HLOOKUP(Q$11,index1970,Query!$O71)/Q$9,IF($J$7=2,HLOOKUP(Q$11,index1970,Query!$O71)/Q$9 * HLOOKUP(Q$11,comboutfac,Query!$O71),HLOOKUP(Q$11,index1970,Query!$O71)/Q$9 * HLOOKUP(Q$11,comboutfac,Query!$O71) /Q$8))</f>
        <v>0.99015005138601164</v>
      </c>
      <c r="R36" s="120">
        <f>IF($J$7=1,HLOOKUP(R$11,index1970,Query!$O71)/R$9,IF($J$7=2,HLOOKUP(R$11,index1970,Query!$O71)/R$9 * HLOOKUP(R$11,comboutfac,Query!$O71),HLOOKUP(R$11,index1970,Query!$O71)/R$9 * HLOOKUP(R$11,comboutfac,Query!$O71) /R$8))</f>
        <v>1.1600066816384862</v>
      </c>
      <c r="S36" s="120">
        <f>IF($J$7=1,HLOOKUP(S$11,index1970,Query!$O71)/S$9,IF($J$7=2,HLOOKUP(S$11,index1970,Query!$O71)/S$9 * HLOOKUP(S$11,comboutfac,Query!$O71),HLOOKUP(S$11,index1970,Query!$O71)/S$9 * HLOOKUP(S$11,comboutfac,Query!$O71) /S$8))</f>
        <v>0.98805481359947633</v>
      </c>
      <c r="T36" s="120">
        <f>IF($J$7=1,HLOOKUP(T$11,index1970,Query!$O71)/T$9,IF($J$7=2,HLOOKUP(T$11,index1970,Query!$O71)/T$9 * HLOOKUP(T$11,comboutfac,Query!$O71),HLOOKUP(T$11,index1970,Query!$O71)/T$9 * HLOOKUP(T$11,comboutfac,Query!$O71) /T$8))</f>
        <v>0.98657570258731098</v>
      </c>
      <c r="U36" s="120">
        <f>IF($J$7=1,HLOOKUP(U$11,index1970,Query!$O71)/U$9,IF($J$7=2,HLOOKUP(U$11,index1970,Query!$O71)/U$9 * HLOOKUP(U$11,comboutfac,Query!$O71),HLOOKUP(U$11,index1970,Query!$O71)/U$9 * HLOOKUP(U$11,comboutfac,Query!$O71) /U$8))</f>
        <v>0.99325504813805809</v>
      </c>
      <c r="V36" s="120">
        <f>IF($J$7=1,HLOOKUP(V$11,index1970,Query!$O71)/V$9,IF($J$7=2,HLOOKUP(V$11,index1970,Query!$O71)/V$9 * HLOOKUP(V$11,comboutfac,Query!$O71),HLOOKUP(V$11,index1970,Query!$O71)/V$9 * HLOOKUP(V$11,comboutfac,Query!$O71) /V$8))</f>
        <v>0.98610552893456249</v>
      </c>
      <c r="W36" s="120">
        <f>IF($J$7=1,HLOOKUP(W$11,index1970,Query!$O71)/W$9,IF($J$7=2,HLOOKUP(W$11,index1970,Query!$O71)/W$9 * HLOOKUP(W$11,comboutfac,Query!$O71),HLOOKUP(W$11,index1970,Query!$O71)/W$9 * HLOOKUP(W$11,comboutfac,Query!$O71) /W$8))</f>
        <v>0.99037168674524056</v>
      </c>
      <c r="X36" s="120">
        <f>IF($J$7=1,HLOOKUP(X$11,index1970,Query!$O71)/X$9,IF($J$7=2,HLOOKUP(X$11,index1970,Query!$O71)/X$9 * HLOOKUP(X$11,comboutfac,Query!$O71),HLOOKUP(X$11,index1970,Query!$O71)/X$9 * HLOOKUP(X$11,comboutfac,Query!$O71) /X$8))</f>
        <v>0.99693229647252846</v>
      </c>
      <c r="Y36" s="682"/>
      <c r="Z36" s="682"/>
    </row>
    <row r="37" spans="1:26" s="122" customFormat="1">
      <c r="A37" s="121">
        <f t="shared" si="2"/>
        <v>2009</v>
      </c>
      <c r="B37" s="120">
        <f>IF($J$7=1,HLOOKUP(B$11,index1970,Query!$O72)/B$9,IF($J$7=2,HLOOKUP(B$11,index1970,Query!$O72)/B$9 * HLOOKUP(B$11,comboutfac,Query!$O72),HLOOKUP(B$11,index1970,Query!$O72)/B$9 * HLOOKUP(B$11,comboutfac,Query!$O72) /B$8))</f>
        <v>1.0092476947088889</v>
      </c>
      <c r="C37" s="120">
        <f>IF($J$7=1,HLOOKUP(C$11,index1970,Query!$O72)/C$9,IF($J$7=2,HLOOKUP(C$11,index1970,Query!$O72)/C$9 * HLOOKUP(C$11,comboutfac,Query!$O72),HLOOKUP(C$11,index1970,Query!$O72)/C$9 * HLOOKUP(C$11,comboutfac,Query!$O72) /C$8))</f>
        <v>1.0093543855111109</v>
      </c>
      <c r="D37" s="120">
        <f>IF($J$7=1,HLOOKUP(D$11,index1970,Query!$O72)/D$9,IF($J$7=2,HLOOKUP(D$11,index1970,Query!$O72)/D$9 * HLOOKUP(D$11,comboutfac,Query!$O72),HLOOKUP(D$11,index1970,Query!$O72)/D$9 * HLOOKUP(D$11,comboutfac,Query!$O72) /D$8))</f>
        <v>1.0068965275173016</v>
      </c>
      <c r="E37" s="120">
        <f>IF($J$7=1,HLOOKUP(E$11,index1970,Query!$O72)/E$9,IF($J$7=2,HLOOKUP(E$11,index1970,Query!$O72)/E$9 * HLOOKUP(E$11,comboutfac,Query!$O72),HLOOKUP(E$11,index1970,Query!$O72)/E$9 * HLOOKUP(E$11,comboutfac,Query!$O72) /E$8))</f>
        <v>0.97584776774823134</v>
      </c>
      <c r="F37" s="120">
        <f>IF($J$7=1,HLOOKUP(F$11,index1970,Query!$O72)/F$9,IF($J$7=2,HLOOKUP(F$11,index1970,Query!$O72)/F$9 * HLOOKUP(F$11,comboutfac,Query!$O72),HLOOKUP(F$11,index1970,Query!$O72)/F$9 * HLOOKUP(F$11,comboutfac,Query!$O72) /F$8))</f>
        <v>1.0161935500800541</v>
      </c>
      <c r="G37" s="120">
        <f>IF($J$7=1,HLOOKUP(G$11,index1970,Query!$O72)/G$9,IF($J$7=2,HLOOKUP(G$11,index1970,Query!$O72)/G$9 * HLOOKUP(G$11,comboutfac,Query!$O72),HLOOKUP(G$11,index1970,Query!$O72)/G$9 * HLOOKUP(G$11,comboutfac,Query!$O72) /G$8))</f>
        <v>0.99728582731184767</v>
      </c>
      <c r="H37" s="120">
        <f>IF($J$7=1,HLOOKUP(H$11,index1970,Query!$O72)/H$9,IF($J$7=2,HLOOKUP(H$11,index1970,Query!$O72)/H$9 * HLOOKUP(H$11,comboutfac,Query!$O72),HLOOKUP(H$11,index1970,Query!$O72)/H$9 * HLOOKUP(H$11,comboutfac,Query!$O72) /H$8))</f>
        <v>1.0210853599206349</v>
      </c>
      <c r="I37" s="120">
        <f>IF($J$7=1,HLOOKUP(I$11,index1970,Query!$O72)/I$9,IF($J$7=2,HLOOKUP(I$11,index1970,Query!$O72)/I$9 * HLOOKUP(I$11,comboutfac,Query!$O72),HLOOKUP(I$11,index1970,Query!$O72)/I$9 * HLOOKUP(I$11,comboutfac,Query!$O72) /I$8))</f>
        <v>1.018683739487017</v>
      </c>
      <c r="J37" s="120">
        <f>IF($J$7=1,HLOOKUP(J$11,index1970,Query!$O72)/J$9,IF($J$7=2,HLOOKUP(J$11,index1970,Query!$O72)/J$9 * HLOOKUP(J$11,comboutfac,Query!$O72),HLOOKUP(J$11,index1970,Query!$O72)/J$9 * HLOOKUP(J$11,comboutfac,Query!$O72) /J$8))</f>
        <v>1.0138022906150543</v>
      </c>
      <c r="K37" s="120">
        <f>IF($J$7=1,HLOOKUP(K$11,index1970,Query!$O72)/K$9,IF($J$7=2,HLOOKUP(K$11,index1970,Query!$O72)/K$9 * HLOOKUP(K$11,comboutfac,Query!$O72),HLOOKUP(K$11,index1970,Query!$O72)/K$9 * HLOOKUP(K$11,comboutfac,Query!$O72) /K$8))</f>
        <v>0.96595025356194153</v>
      </c>
      <c r="L37" s="120">
        <f>IF($J$7=1,HLOOKUP(L$11,index1970,Query!$O72)/L$9,IF($J$7=2,HLOOKUP(L$11,index1970,Query!$O72)/L$9 * HLOOKUP(L$11,comboutfac,Query!$O72),HLOOKUP(L$11,index1970,Query!$O72)/L$9 * HLOOKUP(L$11,comboutfac,Query!$O72) /L$8))</f>
        <v>0.99309111111111104</v>
      </c>
      <c r="M37" s="120">
        <f>IF($J$7=1,HLOOKUP(M$11,index1970,Query!$O72)/M$9,IF($J$7=2,HLOOKUP(M$11,index1970,Query!$O72)/M$9 * HLOOKUP(M$11,comboutfac,Query!$O72),HLOOKUP(M$11,index1970,Query!$O72)/M$9 * HLOOKUP(M$11,comboutfac,Query!$O72) /M$8))</f>
        <v>0.99419193650793658</v>
      </c>
      <c r="N37" s="120">
        <f>IF($J$7=1,HLOOKUP(N$11,index1970,Query!$O72)/N$9,IF($J$7=2,HLOOKUP(N$11,index1970,Query!$O72)/N$9 * HLOOKUP(N$11,comboutfac,Query!$O72),HLOOKUP(N$11,index1970,Query!$O72)/N$9 * HLOOKUP(N$11,comboutfac,Query!$O72) /N$8))</f>
        <v>0.99510399999999999</v>
      </c>
      <c r="O37" s="120">
        <f>IF($J$7=1,HLOOKUP(O$11,index1970,Query!$O72)/O$9,IF($J$7=2,HLOOKUP(O$11,index1970,Query!$O72)/O$9 * HLOOKUP(O$11,comboutfac,Query!$O72),HLOOKUP(O$11,index1970,Query!$O72)/O$9 * HLOOKUP(O$11,comboutfac,Query!$O72) /O$8))</f>
        <v>1.0121760331682697</v>
      </c>
      <c r="P37" s="120">
        <f>IF($J$7=1,HLOOKUP(P$11,index1970,Query!$O72)/P$9,IF($J$7=2,HLOOKUP(P$11,index1970,Query!$O72)/P$9 * HLOOKUP(P$11,comboutfac,Query!$O72),HLOOKUP(P$11,index1970,Query!$O72)/P$9 * HLOOKUP(P$11,comboutfac,Query!$O72) /P$8))</f>
        <v>1.0079685188739682</v>
      </c>
      <c r="Q37" s="120">
        <f>IF($J$7=1,HLOOKUP(Q$11,index1970,Query!$O72)/Q$9,IF($J$7=2,HLOOKUP(Q$11,index1970,Query!$O72)/Q$9 * HLOOKUP(Q$11,comboutfac,Query!$O72),HLOOKUP(Q$11,index1970,Query!$O72)/Q$9 * HLOOKUP(Q$11,comboutfac,Query!$O72) /Q$8))</f>
        <v>1.0002273634455061</v>
      </c>
      <c r="R37" s="120">
        <f>IF($J$7=1,HLOOKUP(R$11,index1970,Query!$O72)/R$9,IF($J$7=2,HLOOKUP(R$11,index1970,Query!$O72)/R$9 * HLOOKUP(R$11,comboutfac,Query!$O72),HLOOKUP(R$11,index1970,Query!$O72)/R$9 * HLOOKUP(R$11,comboutfac,Query!$O72) /R$8))</f>
        <v>0.7980845969672784</v>
      </c>
      <c r="S37" s="120">
        <f>IF($J$7=1,HLOOKUP(S$11,index1970,Query!$O72)/S$9,IF($J$7=2,HLOOKUP(S$11,index1970,Query!$O72)/S$9 * HLOOKUP(S$11,comboutfac,Query!$O72),HLOOKUP(S$11,index1970,Query!$O72)/S$9 * HLOOKUP(S$11,comboutfac,Query!$O72) /S$8))</f>
        <v>1.0003104797244207</v>
      </c>
      <c r="T37" s="120">
        <f>IF($J$7=1,HLOOKUP(T$11,index1970,Query!$O72)/T$9,IF($J$7=2,HLOOKUP(T$11,index1970,Query!$O72)/T$9 * HLOOKUP(T$11,comboutfac,Query!$O72),HLOOKUP(T$11,index1970,Query!$O72)/T$9 * HLOOKUP(T$11,comboutfac,Query!$O72) /T$8))</f>
        <v>0.99999457175866979</v>
      </c>
      <c r="U37" s="120">
        <f>IF($J$7=1,HLOOKUP(U$11,index1970,Query!$O72)/U$9,IF($J$7=2,HLOOKUP(U$11,index1970,Query!$O72)/U$9 * HLOOKUP(U$11,comboutfac,Query!$O72),HLOOKUP(U$11,index1970,Query!$O72)/U$9 * HLOOKUP(U$11,comboutfac,Query!$O72) /U$8))</f>
        <v>1.0064465564722855</v>
      </c>
      <c r="V37" s="120">
        <f>IF($J$7=1,HLOOKUP(V$11,index1970,Query!$O72)/V$9,IF($J$7=2,HLOOKUP(V$11,index1970,Query!$O72)/V$9 * HLOOKUP(V$11,comboutfac,Query!$O72),HLOOKUP(V$11,index1970,Query!$O72)/V$9 * HLOOKUP(V$11,comboutfac,Query!$O72) /V$8))</f>
        <v>0.99760529523809516</v>
      </c>
      <c r="W37" s="120">
        <f>IF($J$7=1,HLOOKUP(W$11,index1970,Query!$O72)/W$9,IF($J$7=2,HLOOKUP(W$11,index1970,Query!$O72)/W$9 * HLOOKUP(W$11,comboutfac,Query!$O72),HLOOKUP(W$11,index1970,Query!$O72)/W$9 * HLOOKUP(W$11,comboutfac,Query!$O72) /W$8))</f>
        <v>1.003060265822143</v>
      </c>
      <c r="X37" s="120">
        <f>IF($J$7=1,HLOOKUP(X$11,index1970,Query!$O72)/X$9,IF($J$7=2,HLOOKUP(X$11,index1970,Query!$O72)/X$9 * HLOOKUP(X$11,comboutfac,Query!$O72),HLOOKUP(X$11,index1970,Query!$O72)/X$9 * HLOOKUP(X$11,comboutfac,Query!$O72) /X$8))</f>
        <v>1.010337457206349</v>
      </c>
      <c r="Y37" s="682"/>
      <c r="Z37" s="682"/>
    </row>
    <row r="38" spans="1:26" s="122" customFormat="1">
      <c r="A38" s="121">
        <f t="shared" si="2"/>
        <v>2010</v>
      </c>
      <c r="B38" s="120">
        <f>IF($J$7=1,HLOOKUP(B$11,index1970,Query!$O73)/B$9,IF($J$7=2,HLOOKUP(B$11,index1970,Query!$O73)/B$9 * HLOOKUP(B$11,comboutfac,Query!$O73),HLOOKUP(B$11,index1970,Query!$O73)/B$9 * HLOOKUP(B$11,comboutfac,Query!$O73) /B$8))</f>
        <v>1.0267252697471887</v>
      </c>
      <c r="C38" s="120">
        <f>IF($J$7=1,HLOOKUP(C$11,index1970,Query!$O73)/C$9,IF($J$7=2,HLOOKUP(C$11,index1970,Query!$O73)/C$9 * HLOOKUP(C$11,comboutfac,Query!$O73),HLOOKUP(C$11,index1970,Query!$O73)/C$9 * HLOOKUP(C$11,comboutfac,Query!$O73) /C$8))</f>
        <v>1.0270949235159998</v>
      </c>
      <c r="D38" s="120">
        <f>IF($J$7=1,HLOOKUP(D$11,index1970,Query!$O73)/D$9,IF($J$7=2,HLOOKUP(D$11,index1970,Query!$O73)/D$9 * HLOOKUP(D$11,comboutfac,Query!$O73),HLOOKUP(D$11,index1970,Query!$O73)/D$9 * HLOOKUP(D$11,comboutfac,Query!$O73) /D$8))</f>
        <v>1.0207285349872302</v>
      </c>
      <c r="E38" s="120">
        <f>IF($J$7=1,HLOOKUP(E$11,index1970,Query!$O73)/E$9,IF($J$7=2,HLOOKUP(E$11,index1970,Query!$O73)/E$9 * HLOOKUP(E$11,comboutfac,Query!$O73),HLOOKUP(E$11,index1970,Query!$O73)/E$9 * HLOOKUP(E$11,comboutfac,Query!$O73) /E$8))</f>
        <v>1</v>
      </c>
      <c r="F38" s="120">
        <f>IF($J$7=1,HLOOKUP(F$11,index1970,Query!$O73)/F$9,IF($J$7=2,HLOOKUP(F$11,index1970,Query!$O73)/F$9 * HLOOKUP(F$11,comboutfac,Query!$O73),HLOOKUP(F$11,index1970,Query!$O73)/F$9 * HLOOKUP(F$11,comboutfac,Query!$O73) /F$8))</f>
        <v>1.0332659210722299</v>
      </c>
      <c r="G38" s="120">
        <f>IF($J$7=1,HLOOKUP(G$11,index1970,Query!$O73)/G$9,IF($J$7=2,HLOOKUP(G$11,index1970,Query!$O73)/G$9 * HLOOKUP(G$11,comboutfac,Query!$O73),HLOOKUP(G$11,index1970,Query!$O73)/G$9 * HLOOKUP(G$11,comboutfac,Query!$O73) /G$8))</f>
        <v>1.007544739432654</v>
      </c>
      <c r="H38" s="120">
        <f>IF($J$7=1,HLOOKUP(H$11,index1970,Query!$O73)/H$9,IF($J$7=2,HLOOKUP(H$11,index1970,Query!$O73)/H$9 * HLOOKUP(H$11,comboutfac,Query!$O73),HLOOKUP(H$11,index1970,Query!$O73)/H$9 * HLOOKUP(H$11,comboutfac,Query!$O73) /H$8))</f>
        <v>1.0392581755935251</v>
      </c>
      <c r="I38" s="120">
        <f>IF($J$7=1,HLOOKUP(I$11,index1970,Query!$O73)/I$9,IF($J$7=2,HLOOKUP(I$11,index1970,Query!$O73)/I$9 * HLOOKUP(I$11,comboutfac,Query!$O73),HLOOKUP(I$11,index1970,Query!$O73)/I$9 * HLOOKUP(I$11,comboutfac,Query!$O73) /I$8))</f>
        <v>1.0361905684316772</v>
      </c>
      <c r="J38" s="120">
        <f>IF($J$7=1,HLOOKUP(J$11,index1970,Query!$O73)/J$9,IF($J$7=2,HLOOKUP(J$11,index1970,Query!$O73)/J$9 * HLOOKUP(J$11,comboutfac,Query!$O73),HLOOKUP(J$11,index1970,Query!$O73)/J$9 * HLOOKUP(J$11,comboutfac,Query!$O73) /J$8))</f>
        <v>1.031617822796655</v>
      </c>
      <c r="K38" s="120">
        <f>IF($J$7=1,HLOOKUP(K$11,index1970,Query!$O73)/K$9,IF($J$7=2,HLOOKUP(K$11,index1970,Query!$O73)/K$9 * HLOOKUP(K$11,comboutfac,Query!$O73),HLOOKUP(K$11,index1970,Query!$O73)/K$9 * HLOOKUP(K$11,comboutfac,Query!$O73) /K$8))</f>
        <v>1</v>
      </c>
      <c r="L38" s="120">
        <f>IF($J$7=1,HLOOKUP(L$11,index1970,Query!$O73)/L$9,IF($J$7=2,HLOOKUP(L$11,index1970,Query!$O73)/L$9 * HLOOKUP(L$11,comboutfac,Query!$O73),HLOOKUP(L$11,index1970,Query!$O73)/L$9 * HLOOKUP(L$11,comboutfac,Query!$O73) /L$8))</f>
        <v>1.002164324</v>
      </c>
      <c r="M38" s="120">
        <f>IF($J$7=1,HLOOKUP(M$11,index1970,Query!$O73)/M$9,IF($J$7=2,HLOOKUP(M$11,index1970,Query!$O73)/M$9 * HLOOKUP(M$11,comboutfac,Query!$O73),HLOOKUP(M$11,index1970,Query!$O73)/M$9 * HLOOKUP(M$11,comboutfac,Query!$O73) /M$8))</f>
        <v>1.0027080559999999</v>
      </c>
      <c r="N38" s="120">
        <f>IF($J$7=1,HLOOKUP(N$11,index1970,Query!$O73)/N$9,IF($J$7=2,HLOOKUP(N$11,index1970,Query!$O73)/N$9 * HLOOKUP(N$11,comboutfac,Query!$O73),HLOOKUP(N$11,index1970,Query!$O73)/N$9 * HLOOKUP(N$11,comboutfac,Query!$O73) /N$8))</f>
        <v>1.004944496</v>
      </c>
      <c r="O38" s="120">
        <f>IF($J$7=1,HLOOKUP(O$11,index1970,Query!$O73)/O$9,IF($J$7=2,HLOOKUP(O$11,index1970,Query!$O73)/O$9 * HLOOKUP(O$11,comboutfac,Query!$O73),HLOOKUP(O$11,index1970,Query!$O73)/O$9 * HLOOKUP(O$11,comboutfac,Query!$O73) /O$8))</f>
        <v>1.0296893840568919</v>
      </c>
      <c r="P38" s="120">
        <f>IF($J$7=1,HLOOKUP(P$11,index1970,Query!$O73)/P$9,IF($J$7=2,HLOOKUP(P$11,index1970,Query!$O73)/P$9 * HLOOKUP(P$11,comboutfac,Query!$O73),HLOOKUP(P$11,index1970,Query!$O73)/P$9 * HLOOKUP(P$11,comboutfac,Query!$O73) /P$8))</f>
        <v>1.0243978893248198</v>
      </c>
      <c r="Q38" s="120">
        <f>IF($J$7=1,HLOOKUP(Q$11,index1970,Query!$O73)/Q$9,IF($J$7=2,HLOOKUP(Q$11,index1970,Query!$O73)/Q$9 * HLOOKUP(Q$11,comboutfac,Query!$O73),HLOOKUP(Q$11,index1970,Query!$O73)/Q$9 * HLOOKUP(Q$11,comboutfac,Query!$O73) /Q$8))</f>
        <v>1.0148409524030437</v>
      </c>
      <c r="R38" s="120">
        <f>IF($J$7=1,HLOOKUP(R$11,index1970,Query!$O73)/R$9,IF($J$7=2,HLOOKUP(R$11,index1970,Query!$O73)/R$9 * HLOOKUP(R$11,comboutfac,Query!$O73),HLOOKUP(R$11,index1970,Query!$O73)/R$9 * HLOOKUP(R$11,comboutfac,Query!$O73) /R$8))</f>
        <v>1</v>
      </c>
      <c r="S38" s="120">
        <f>IF($J$7=1,HLOOKUP(S$11,index1970,Query!$O73)/S$9,IF($J$7=2,HLOOKUP(S$11,index1970,Query!$O73)/S$9 * HLOOKUP(S$11,comboutfac,Query!$O73),HLOOKUP(S$11,index1970,Query!$O73)/S$9 * HLOOKUP(S$11,comboutfac,Query!$O73) /S$8))</f>
        <v>1.0129117763250033</v>
      </c>
      <c r="T38" s="120">
        <f>IF($J$7=1,HLOOKUP(T$11,index1970,Query!$O73)/T$9,IF($J$7=2,HLOOKUP(T$11,index1970,Query!$O73)/T$9 * HLOOKUP(T$11,comboutfac,Query!$O73),HLOOKUP(T$11,index1970,Query!$O73)/T$9 * HLOOKUP(T$11,comboutfac,Query!$O73) /T$8))</f>
        <v>1.0146702178353553</v>
      </c>
      <c r="U38" s="120">
        <f>IF($J$7=1,HLOOKUP(U$11,index1970,Query!$O73)/U$9,IF($J$7=2,HLOOKUP(U$11,index1970,Query!$O73)/U$9 * HLOOKUP(U$11,comboutfac,Query!$O73),HLOOKUP(U$11,index1970,Query!$O73)/U$9 * HLOOKUP(U$11,comboutfac,Query!$O73) /U$8))</f>
        <v>1.0249155167216331</v>
      </c>
      <c r="V38" s="120">
        <f>IF($J$7=1,HLOOKUP(V$11,index1970,Query!$O73)/V$9,IF($J$7=2,HLOOKUP(V$11,index1970,Query!$O73)/V$9 * HLOOKUP(V$11,comboutfac,Query!$O73),HLOOKUP(V$11,index1970,Query!$O73)/V$9 * HLOOKUP(V$11,comboutfac,Query!$O73) /V$8))</f>
        <v>1.0128327079999999</v>
      </c>
      <c r="W38" s="120">
        <f>IF($J$7=1,HLOOKUP(W$11,index1970,Query!$O73)/W$9,IF($J$7=2,HLOOKUP(W$11,index1970,Query!$O73)/W$9 * HLOOKUP(W$11,comboutfac,Query!$O73),HLOOKUP(W$11,index1970,Query!$O73)/W$9 * HLOOKUP(W$11,comboutfac,Query!$O73) /W$8))</f>
        <v>1.0182956568590467</v>
      </c>
      <c r="X38" s="120">
        <f>IF($J$7=1,HLOOKUP(X$11,index1970,Query!$O73)/X$9,IF($J$7=2,HLOOKUP(X$11,index1970,Query!$O73)/X$9 * HLOOKUP(X$11,comboutfac,Query!$O73),HLOOKUP(X$11,index1970,Query!$O73)/X$9 * HLOOKUP(X$11,comboutfac,Query!$O73) /X$8))</f>
        <v>1.0298436085074099</v>
      </c>
      <c r="Y38" s="682"/>
      <c r="Z38" s="682"/>
    </row>
    <row r="39" spans="1:26" s="122" customFormat="1">
      <c r="A39" s="121">
        <f t="shared" si="2"/>
        <v>2011</v>
      </c>
      <c r="B39" s="120">
        <f>IF($J$7=1,HLOOKUP(B$11,index1970,Query!$O74)/B$9,IF($J$7=2,HLOOKUP(B$11,index1970,Query!$O74)/B$9 * HLOOKUP(B$11,comboutfac,Query!$O74),HLOOKUP(B$11,index1970,Query!$O74)/B$9 * HLOOKUP(B$11,comboutfac,Query!$O74) /B$8))</f>
        <v>1.0454608787493322</v>
      </c>
      <c r="C39" s="120">
        <f>IF($J$7=1,HLOOKUP(C$11,index1970,Query!$O74)/C$9,IF($J$7=2,HLOOKUP(C$11,index1970,Query!$O74)/C$9 * HLOOKUP(C$11,comboutfac,Query!$O74),HLOOKUP(C$11,index1970,Query!$O74)/C$9 * HLOOKUP(C$11,comboutfac,Query!$O74) /C$8))</f>
        <v>1.0468705104617564</v>
      </c>
      <c r="D39" s="120">
        <f>IF($J$7=1,HLOOKUP(D$11,index1970,Query!$O74)/D$9,IF($J$7=2,HLOOKUP(D$11,index1970,Query!$O74)/D$9 * HLOOKUP(D$11,comboutfac,Query!$O74),HLOOKUP(D$11,index1970,Query!$O74)/D$9 * HLOOKUP(D$11,comboutfac,Query!$O74) /D$8))</f>
        <v>1.0386829329686817</v>
      </c>
      <c r="E39" s="120">
        <f>IF($J$7=1,HLOOKUP(E$11,index1970,Query!$O74)/E$9,IF($J$7=2,HLOOKUP(E$11,index1970,Query!$O74)/E$9 * HLOOKUP(E$11,comboutfac,Query!$O74),HLOOKUP(E$11,index1970,Query!$O74)/E$9 * HLOOKUP(E$11,comboutfac,Query!$O74) /E$8))</f>
        <v>1.0050000000000001</v>
      </c>
      <c r="F39" s="120">
        <f>IF($J$7=1,HLOOKUP(F$11,index1970,Query!$O74)/F$9,IF($J$7=2,HLOOKUP(F$11,index1970,Query!$O74)/F$9 * HLOOKUP(F$11,comboutfac,Query!$O74),HLOOKUP(F$11,index1970,Query!$O74)/F$9 * HLOOKUP(F$11,comboutfac,Query!$O74) /F$8))</f>
        <v>1.0518072256246169</v>
      </c>
      <c r="G39" s="120">
        <f>IF($J$7=1,HLOOKUP(G$11,index1970,Query!$O74)/G$9,IF($J$7=2,HLOOKUP(G$11,index1970,Query!$O74)/G$9 * HLOOKUP(G$11,comboutfac,Query!$O74),HLOOKUP(G$11,index1970,Query!$O74)/G$9 * HLOOKUP(G$11,comboutfac,Query!$O74) /G$8))</f>
        <v>1.0278680713806549</v>
      </c>
      <c r="H39" s="120">
        <f>IF($J$7=1,HLOOKUP(H$11,index1970,Query!$O74)/H$9,IF($J$7=2,HLOOKUP(H$11,index1970,Query!$O74)/H$9 * HLOOKUP(H$11,comboutfac,Query!$O74),HLOOKUP(H$11,index1970,Query!$O74)/H$9 * HLOOKUP(H$11,comboutfac,Query!$O74) /H$8))</f>
        <v>1.0555728411618732</v>
      </c>
      <c r="I39" s="120">
        <f>IF($J$7=1,HLOOKUP(I$11,index1970,Query!$O74)/I$9,IF($J$7=2,HLOOKUP(I$11,index1970,Query!$O74)/I$9 * HLOOKUP(I$11,comboutfac,Query!$O74),HLOOKUP(I$11,index1970,Query!$O74)/I$9 * HLOOKUP(I$11,comboutfac,Query!$O74) /I$8))</f>
        <v>1.0533630062665005</v>
      </c>
      <c r="J39" s="120">
        <f>IF($J$7=1,HLOOKUP(J$11,index1970,Query!$O74)/J$9,IF($J$7=2,HLOOKUP(J$11,index1970,Query!$O74)/J$9 * HLOOKUP(J$11,comboutfac,Query!$O74),HLOOKUP(J$11,index1970,Query!$O74)/J$9 * HLOOKUP(J$11,comboutfac,Query!$O74) /J$8))</f>
        <v>1.0480828037049292</v>
      </c>
      <c r="K39" s="120">
        <f>IF($J$7=1,HLOOKUP(K$11,index1970,Query!$O74)/K$9,IF($J$7=2,HLOOKUP(K$11,index1970,Query!$O74)/K$9 * HLOOKUP(K$11,comboutfac,Query!$O74),HLOOKUP(K$11,index1970,Query!$O74)/K$9 * HLOOKUP(K$11,comboutfac,Query!$O74) /K$8))</f>
        <v>1.0189999999999999</v>
      </c>
      <c r="L39" s="120">
        <f>IF($J$7=1,HLOOKUP(L$11,index1970,Query!$O74)/L$9,IF($J$7=2,HLOOKUP(L$11,index1970,Query!$O74)/L$9 * HLOOKUP(L$11,comboutfac,Query!$O74),HLOOKUP(L$11,index1970,Query!$O74)/L$9 * HLOOKUP(L$11,comboutfac,Query!$O74) /L$8))</f>
        <v>1.0233475665600003</v>
      </c>
      <c r="M39" s="120">
        <f>IF($J$7=1,HLOOKUP(M$11,index1970,Query!$O74)/M$9,IF($J$7=2,HLOOKUP(M$11,index1970,Query!$O74)/M$9 * HLOOKUP(M$11,comboutfac,Query!$O74),HLOOKUP(M$11,index1970,Query!$O74)/M$9 * HLOOKUP(M$11,comboutfac,Query!$O74) /M$8))</f>
        <v>1.0243021886400003</v>
      </c>
      <c r="N39" s="120">
        <f>IF($J$7=1,HLOOKUP(N$11,index1970,Query!$O74)/N$9,IF($J$7=2,HLOOKUP(N$11,index1970,Query!$O74)/N$9 * HLOOKUP(N$11,comboutfac,Query!$O74),HLOOKUP(N$11,index1970,Query!$O74)/N$9 * HLOOKUP(N$11,comboutfac,Query!$O74) /N$8))</f>
        <v>1.0263433983600003</v>
      </c>
      <c r="O39" s="120">
        <f>IF($J$7=1,HLOOKUP(O$11,index1970,Query!$O74)/O$9,IF($J$7=2,HLOOKUP(O$11,index1970,Query!$O74)/O$9 * HLOOKUP(O$11,comboutfac,Query!$O74),HLOOKUP(O$11,index1970,Query!$O74)/O$9 * HLOOKUP(O$11,comboutfac,Query!$O74) /O$8))</f>
        <v>1.0478285348449548</v>
      </c>
      <c r="P39" s="120">
        <f>IF($J$7=1,HLOOKUP(P$11,index1970,Query!$O74)/P$9,IF($J$7=2,HLOOKUP(P$11,index1970,Query!$O74)/P$9 * HLOOKUP(P$11,comboutfac,Query!$O74),HLOOKUP(P$11,index1970,Query!$O74)/P$9 * HLOOKUP(P$11,comboutfac,Query!$O74) /P$8))</f>
        <v>1.0420475976357879</v>
      </c>
      <c r="Q39" s="120">
        <f>IF($J$7=1,HLOOKUP(Q$11,index1970,Query!$O74)/Q$9,IF($J$7=2,HLOOKUP(Q$11,index1970,Query!$O74)/Q$9 * HLOOKUP(Q$11,comboutfac,Query!$O74),HLOOKUP(Q$11,index1970,Query!$O74)/Q$9 * HLOOKUP(Q$11,comboutfac,Query!$O74) /Q$8))</f>
        <v>1.0368190911364505</v>
      </c>
      <c r="R39" s="120">
        <f>IF($J$7=1,HLOOKUP(R$11,index1970,Query!$O74)/R$9,IF($J$7=2,HLOOKUP(R$11,index1970,Query!$O74)/R$9 * HLOOKUP(R$11,comboutfac,Query!$O74),HLOOKUP(R$11,index1970,Query!$O74)/R$9 * HLOOKUP(R$11,comboutfac,Query!$O74) /R$8))</f>
        <v>1.242</v>
      </c>
      <c r="S39" s="120">
        <f>IF($J$7=1,HLOOKUP(S$11,index1970,Query!$O74)/S$9,IF($J$7=2,HLOOKUP(S$11,index1970,Query!$O74)/S$9 * HLOOKUP(S$11,comboutfac,Query!$O74),HLOOKUP(S$11,index1970,Query!$O74)/S$9 * HLOOKUP(S$11,comboutfac,Query!$O74) /S$8))</f>
        <v>1.0321721116281075</v>
      </c>
      <c r="T39" s="120">
        <f>IF($J$7=1,HLOOKUP(T$11,index1970,Query!$O74)/T$9,IF($J$7=2,HLOOKUP(T$11,index1970,Query!$O74)/T$9 * HLOOKUP(T$11,comboutfac,Query!$O74),HLOOKUP(T$11,index1970,Query!$O74)/T$9 * HLOOKUP(T$11,comboutfac,Query!$O74) /T$8))</f>
        <v>1.0339063262099721</v>
      </c>
      <c r="U39" s="120">
        <f>IF($J$7=1,HLOOKUP(U$11,index1970,Query!$O74)/U$9,IF($J$7=2,HLOOKUP(U$11,index1970,Query!$O74)/U$9 * HLOOKUP(U$11,comboutfac,Query!$O74),HLOOKUP(U$11,index1970,Query!$O74)/U$9 * HLOOKUP(U$11,comboutfac,Query!$O74) /U$8))</f>
        <v>1.0431620338534275</v>
      </c>
      <c r="V39" s="120">
        <f>IF($J$7=1,HLOOKUP(V$11,index1970,Query!$O74)/V$9,IF($J$7=2,HLOOKUP(V$11,index1970,Query!$O74)/V$9 * HLOOKUP(V$11,comboutfac,Query!$O74),HLOOKUP(V$11,index1970,Query!$O74)/V$9 * HLOOKUP(V$11,comboutfac,Query!$O74) /V$8))</f>
        <v>1.0515410324907126</v>
      </c>
      <c r="W39" s="120">
        <f>IF($J$7=1,HLOOKUP(W$11,index1970,Query!$O74)/W$9,IF($J$7=2,HLOOKUP(W$11,index1970,Query!$O74)/W$9 * HLOOKUP(W$11,comboutfac,Query!$O74),HLOOKUP(W$11,index1970,Query!$O74)/W$9 * HLOOKUP(W$11,comboutfac,Query!$O74) /W$8))</f>
        <v>1.0382378163305941</v>
      </c>
      <c r="X39" s="120">
        <f>IF($J$7=1,HLOOKUP(X$11,index1970,Query!$O74)/X$9,IF($J$7=2,HLOOKUP(X$11,index1970,Query!$O74)/X$9 * HLOOKUP(X$11,comboutfac,Query!$O74),HLOOKUP(X$11,index1970,Query!$O74)/X$9 * HLOOKUP(X$11,comboutfac,Query!$O74) /X$8))</f>
        <v>1.0523066580204576</v>
      </c>
      <c r="Y39" s="682"/>
      <c r="Z39" s="682"/>
    </row>
    <row r="40" spans="1:26" s="122" customFormat="1">
      <c r="A40" s="121">
        <f t="shared" si="2"/>
        <v>2012</v>
      </c>
      <c r="B40" s="120">
        <f>IF($J$7=1,HLOOKUP(B$11,index1970,Query!$O75)/B$9,IF($J$7=2,HLOOKUP(B$11,index1970,Query!$O75)/B$9 * HLOOKUP(B$11,comboutfac,Query!$O75),HLOOKUP(B$11,index1970,Query!$O75)/B$9 * HLOOKUP(B$11,comboutfac,Query!$O75) /B$8))</f>
        <v>1.0631669295979256</v>
      </c>
      <c r="C40" s="120">
        <f>IF($J$7=1,HLOOKUP(C$11,index1970,Query!$O75)/C$9,IF($J$7=2,HLOOKUP(C$11,index1970,Query!$O75)/C$9 * HLOOKUP(C$11,comboutfac,Query!$O75),HLOOKUP(C$11,index1970,Query!$O75)/C$9 * HLOOKUP(C$11,comboutfac,Query!$O75) /C$8))</f>
        <v>1.0623277014553485</v>
      </c>
      <c r="D40" s="120">
        <f>IF($J$7=1,HLOOKUP(D$11,index1970,Query!$O75)/D$9,IF($J$7=2,HLOOKUP(D$11,index1970,Query!$O75)/D$9 * HLOOKUP(D$11,comboutfac,Query!$O75),HLOOKUP(D$11,index1970,Query!$O75)/D$9 * HLOOKUP(D$11,comboutfac,Query!$O75) /D$8))</f>
        <v>1.0552961331980528</v>
      </c>
      <c r="E40" s="120">
        <f>IF($J$7=1,HLOOKUP(E$11,index1970,Query!$O75)/E$9,IF($J$7=2,HLOOKUP(E$11,index1970,Query!$O75)/E$9 * HLOOKUP(E$11,comboutfac,Query!$O75),HLOOKUP(E$11,index1970,Query!$O75)/E$9 * HLOOKUP(E$11,comboutfac,Query!$O75) /E$8))</f>
        <v>1.0050000000000001</v>
      </c>
      <c r="F40" s="120">
        <f>IF($J$7=1,HLOOKUP(F$11,index1970,Query!$O75)/F$9,IF($J$7=2,HLOOKUP(F$11,index1970,Query!$O75)/F$9 * HLOOKUP(F$11,comboutfac,Query!$O75),HLOOKUP(F$11,index1970,Query!$O75)/F$9 * HLOOKUP(F$11,comboutfac,Query!$O75) /F$8))</f>
        <v>1.0669602681429782</v>
      </c>
      <c r="G40" s="120">
        <f>IF($J$7=1,HLOOKUP(G$11,index1970,Query!$O75)/G$9,IF($J$7=2,HLOOKUP(G$11,index1970,Query!$O75)/G$9 * HLOOKUP(G$11,comboutfac,Query!$O75),HLOOKUP(G$11,index1970,Query!$O75)/G$9 * HLOOKUP(G$11,comboutfac,Query!$O75) /G$8))</f>
        <v>1.0452474072455755</v>
      </c>
      <c r="H40" s="120">
        <f>IF($J$7=1,HLOOKUP(H$11,index1970,Query!$O75)/H$9,IF($J$7=2,HLOOKUP(H$11,index1970,Query!$O75)/H$9 * HLOOKUP(H$11,comboutfac,Query!$O75),HLOOKUP(H$11,index1970,Query!$O75)/H$9 * HLOOKUP(H$11,comboutfac,Query!$O75) /H$8))</f>
        <v>1.0701105205092962</v>
      </c>
      <c r="I40" s="120">
        <f>IF($J$7=1,HLOOKUP(I$11,index1970,Query!$O75)/I$9,IF($J$7=2,HLOOKUP(I$11,index1970,Query!$O75)/I$9 * HLOOKUP(I$11,comboutfac,Query!$O75),HLOOKUP(I$11,index1970,Query!$O75)/I$9 * HLOOKUP(I$11,comboutfac,Query!$O75) /I$8))</f>
        <v>1.0685600527950201</v>
      </c>
      <c r="J40" s="120">
        <f>IF($J$7=1,HLOOKUP(J$11,index1970,Query!$O75)/J$9,IF($J$7=2,HLOOKUP(J$11,index1970,Query!$O75)/J$9 * HLOOKUP(J$11,comboutfac,Query!$O75),HLOOKUP(J$11,index1970,Query!$O75)/J$9 * HLOOKUP(J$11,comboutfac,Query!$O75) /J$8))</f>
        <v>1.0633612278459001</v>
      </c>
      <c r="K40" s="120">
        <f>IF($J$7=1,HLOOKUP(K$11,index1970,Query!$O75)/K$9,IF($J$7=2,HLOOKUP(K$11,index1970,Query!$O75)/K$9 * HLOOKUP(K$11,comboutfac,Query!$O75),HLOOKUP(K$11,index1970,Query!$O75)/K$9 * HLOOKUP(K$11,comboutfac,Query!$O75) /K$8))</f>
        <v>1.0347945000000001</v>
      </c>
      <c r="L40" s="120">
        <f>IF($J$7=1,HLOOKUP(L$11,index1970,Query!$O75)/L$9,IF($J$7=2,HLOOKUP(L$11,index1970,Query!$O75)/L$9 * HLOOKUP(L$11,comboutfac,Query!$O75),HLOOKUP(L$11,index1970,Query!$O75)/L$9 * HLOOKUP(L$11,comboutfac,Query!$O75) /L$8))</f>
        <v>1.0429521730589997</v>
      </c>
      <c r="M40" s="120">
        <f>IF($J$7=1,HLOOKUP(M$11,index1970,Query!$O75)/M$9,IF($J$7=2,HLOOKUP(M$11,index1970,Query!$O75)/M$9 * HLOOKUP(M$11,comboutfac,Query!$O75),HLOOKUP(M$11,index1970,Query!$O75)/M$9 * HLOOKUP(M$11,comboutfac,Query!$O75) /M$8))</f>
        <v>1.0431121635678</v>
      </c>
      <c r="N40" s="120">
        <f>IF($J$7=1,HLOOKUP(N$11,index1970,Query!$O75)/N$9,IF($J$7=2,HLOOKUP(N$11,index1970,Query!$O75)/N$9 * HLOOKUP(N$11,comboutfac,Query!$O75),HLOOKUP(N$11,index1970,Query!$O75)/N$9 * HLOOKUP(N$11,comboutfac,Query!$O75) /N$8))</f>
        <v>1.0461436815467999</v>
      </c>
      <c r="O40" s="120">
        <f>IF($J$7=1,HLOOKUP(O$11,index1970,Query!$O75)/O$9,IF($J$7=2,HLOOKUP(O$11,index1970,Query!$O75)/O$9 * HLOOKUP(O$11,comboutfac,Query!$O75),HLOOKUP(O$11,index1970,Query!$O75)/O$9 * HLOOKUP(O$11,comboutfac,Query!$O75) /O$8))</f>
        <v>1.0631753969204147</v>
      </c>
      <c r="P40" s="120">
        <f>IF($J$7=1,HLOOKUP(P$11,index1970,Query!$O75)/P$9,IF($J$7=2,HLOOKUP(P$11,index1970,Query!$O75)/P$9 * HLOOKUP(P$11,comboutfac,Query!$O75),HLOOKUP(P$11,index1970,Query!$O75)/P$9 * HLOOKUP(P$11,comboutfac,Query!$O75) /P$8))</f>
        <v>1.0517302194700446</v>
      </c>
      <c r="Q40" s="120">
        <f>IF($J$7=1,HLOOKUP(Q$11,index1970,Query!$O75)/Q$9,IF($J$7=2,HLOOKUP(Q$11,index1970,Query!$O75)/Q$9 * HLOOKUP(Q$11,comboutfac,Query!$O75),HLOOKUP(Q$11,index1970,Query!$O75)/Q$9 * HLOOKUP(Q$11,comboutfac,Query!$O75) /Q$8))</f>
        <v>1.0516247135345254</v>
      </c>
      <c r="R40" s="120">
        <f>IF($J$7=1,HLOOKUP(R$11,index1970,Query!$O75)/R$9,IF($J$7=2,HLOOKUP(R$11,index1970,Query!$O75)/R$9 * HLOOKUP(R$11,comboutfac,Query!$O75),HLOOKUP(R$11,index1970,Query!$O75)/R$9 * HLOOKUP(R$11,comboutfac,Query!$O75) /R$8))</f>
        <v>1.280502</v>
      </c>
      <c r="S40" s="120">
        <f>IF($J$7=1,HLOOKUP(S$11,index1970,Query!$O75)/S$9,IF($J$7=2,HLOOKUP(S$11,index1970,Query!$O75)/S$9 * HLOOKUP(S$11,comboutfac,Query!$O75),HLOOKUP(S$11,index1970,Query!$O75)/S$9 * HLOOKUP(S$11,comboutfac,Query!$O75) /S$8))</f>
        <v>1.0473831607088651</v>
      </c>
      <c r="T40" s="120">
        <f>IF($J$7=1,HLOOKUP(T$11,index1970,Query!$O75)/T$9,IF($J$7=2,HLOOKUP(T$11,index1970,Query!$O75)/T$9 * HLOOKUP(T$11,comboutfac,Query!$O75),HLOOKUP(T$11,index1970,Query!$O75)/T$9 * HLOOKUP(T$11,comboutfac,Query!$O75) /T$8))</f>
        <v>1.05014170154793</v>
      </c>
      <c r="U40" s="120">
        <f>IF($J$7=1,HLOOKUP(U$11,index1970,Query!$O75)/U$9,IF($J$7=2,HLOOKUP(U$11,index1970,Query!$O75)/U$9 * HLOOKUP(U$11,comboutfac,Query!$O75),HLOOKUP(U$11,index1970,Query!$O75)/U$9 * HLOOKUP(U$11,comboutfac,Query!$O75) /U$8))</f>
        <v>1.0590570905081964</v>
      </c>
      <c r="V40" s="120">
        <f>IF($J$7=1,HLOOKUP(V$11,index1970,Query!$O75)/V$9,IF($J$7=2,HLOOKUP(V$11,index1970,Query!$O75)/V$9 * HLOOKUP(V$11,comboutfac,Query!$O75),HLOOKUP(V$11,index1970,Query!$O75)/V$9 * HLOOKUP(V$11,comboutfac,Query!$O75) /V$8))</f>
        <v>1.0486033170448201</v>
      </c>
      <c r="W40" s="120">
        <f>IF($J$7=1,HLOOKUP(W$11,index1970,Query!$O75)/W$9,IF($J$7=2,HLOOKUP(W$11,index1970,Query!$O75)/W$9 * HLOOKUP(W$11,comboutfac,Query!$O75),HLOOKUP(W$11,index1970,Query!$O75)/W$9 * HLOOKUP(W$11,comboutfac,Query!$O75) /W$8))</f>
        <v>1.0545678438744897</v>
      </c>
      <c r="X40" s="120">
        <f>IF($J$7=1,HLOOKUP(X$11,index1970,Query!$O75)/X$9,IF($J$7=2,HLOOKUP(X$11,index1970,Query!$O75)/X$9 * HLOOKUP(X$11,comboutfac,Query!$O75),HLOOKUP(X$11,index1970,Query!$O75)/X$9 * HLOOKUP(X$11,comboutfac,Query!$O75) /X$8))</f>
        <v>1.0674313479186541</v>
      </c>
      <c r="Y40" s="682"/>
      <c r="Z40" s="682"/>
    </row>
    <row r="41" spans="1:26" s="122" customFormat="1">
      <c r="A41" s="121">
        <f t="shared" si="2"/>
        <v>2013</v>
      </c>
      <c r="B41" s="120">
        <f>IF($J$7=1,HLOOKUP(B$11,index1970,Query!$O76)/B$9,IF($J$7=2,HLOOKUP(B$11,index1970,Query!$O76)/B$9 * HLOOKUP(B$11,comboutfac,Query!$O76),HLOOKUP(B$11,index1970,Query!$O76)/B$9 * HLOOKUP(B$11,comboutfac,Query!$O76) /B$8))</f>
        <v>1.0823075912622331</v>
      </c>
      <c r="C41" s="120">
        <f>IF($J$7=1,HLOOKUP(C$11,index1970,Query!$O76)/C$9,IF($J$7=2,HLOOKUP(C$11,index1970,Query!$O76)/C$9 * HLOOKUP(C$11,comboutfac,Query!$O76),HLOOKUP(C$11,index1970,Query!$O76)/C$9 * HLOOKUP(C$11,comboutfac,Query!$O76) /C$8))</f>
        <v>1.0850316445430059</v>
      </c>
      <c r="D41" s="120">
        <f>IF($J$7=1,HLOOKUP(D$11,index1970,Query!$O76)/D$9,IF($J$7=2,HLOOKUP(D$11,index1970,Query!$O76)/D$9 * HLOOKUP(D$11,comboutfac,Query!$O76),HLOOKUP(D$11,index1970,Query!$O76)/D$9 * HLOOKUP(D$11,comboutfac,Query!$O76) /D$8))</f>
        <v>1.0698061642363599</v>
      </c>
      <c r="E41" s="120">
        <f>IF($J$7=1,HLOOKUP(E$11,index1970,Query!$O76)/E$9,IF($J$7=2,HLOOKUP(E$11,index1970,Query!$O76)/E$9 * HLOOKUP(E$11,comboutfac,Query!$O76),HLOOKUP(E$11,index1970,Query!$O76)/E$9 * HLOOKUP(E$11,comboutfac,Query!$O76) /E$8))</f>
        <v>1.0050000000000001</v>
      </c>
      <c r="F41" s="120">
        <f>IF($J$7=1,HLOOKUP(F$11,index1970,Query!$O76)/F$9,IF($J$7=2,HLOOKUP(F$11,index1970,Query!$O76)/F$9 * HLOOKUP(F$11,comboutfac,Query!$O76),HLOOKUP(F$11,index1970,Query!$O76)/F$9 * HLOOKUP(F$11,comboutfac,Query!$O76) /F$8))</f>
        <v>1.0857030701587496</v>
      </c>
      <c r="G41" s="120">
        <f>IF($J$7=1,HLOOKUP(G$11,index1970,Query!$O76)/G$9,IF($J$7=2,HLOOKUP(G$11,index1970,Query!$O76)/G$9 * HLOOKUP(G$11,comboutfac,Query!$O76),HLOOKUP(G$11,index1970,Query!$O76)/G$9 * HLOOKUP(G$11,comboutfac,Query!$O76) /G$8))</f>
        <v>1.0602610885736845</v>
      </c>
      <c r="H41" s="120">
        <f>IF($J$7=1,HLOOKUP(H$11,index1970,Query!$O76)/H$9,IF($J$7=2,HLOOKUP(H$11,index1970,Query!$O76)/H$9 * HLOOKUP(H$11,comboutfac,Query!$O76),HLOOKUP(H$11,index1970,Query!$O76)/H$9 * HLOOKUP(H$11,comboutfac,Query!$O76) /H$8))</f>
        <v>1.0855760122680946</v>
      </c>
      <c r="I41" s="120">
        <f>IF($J$7=1,HLOOKUP(I$11,index1970,Query!$O76)/I$9,IF($J$7=2,HLOOKUP(I$11,index1970,Query!$O76)/I$9 * HLOOKUP(I$11,comboutfac,Query!$O76),HLOOKUP(I$11,index1970,Query!$O76)/I$9 * HLOOKUP(I$11,comboutfac,Query!$O76) /I$8))</f>
        <v>1.0869035327224486</v>
      </c>
      <c r="J41" s="120">
        <f>IF($J$7=1,HLOOKUP(J$11,index1970,Query!$O76)/J$9,IF($J$7=2,HLOOKUP(J$11,index1970,Query!$O76)/J$9 * HLOOKUP(J$11,comboutfac,Query!$O76),HLOOKUP(J$11,index1970,Query!$O76)/J$9 * HLOOKUP(J$11,comboutfac,Query!$O76) /J$8))</f>
        <v>1.0875308891775772</v>
      </c>
      <c r="K41" s="120">
        <f>IF($J$7=1,HLOOKUP(K$11,index1970,Query!$O76)/K$9,IF($J$7=2,HLOOKUP(K$11,index1970,Query!$O76)/K$9 * HLOOKUP(K$11,comboutfac,Query!$O76),HLOOKUP(K$11,index1970,Query!$O76)/K$9 * HLOOKUP(K$11,comboutfac,Query!$O76) /K$8))</f>
        <v>1.0521273078750002</v>
      </c>
      <c r="L41" s="120">
        <f>IF($J$7=1,HLOOKUP(L$11,index1970,Query!$O76)/L$9,IF($J$7=2,HLOOKUP(L$11,index1970,Query!$O76)/L$9 * HLOOKUP(L$11,comboutfac,Query!$O76),HLOOKUP(L$11,index1970,Query!$O76)/L$9 * HLOOKUP(L$11,comboutfac,Query!$O76) /L$8))</f>
        <v>1.0585924923308132</v>
      </c>
      <c r="M41" s="120">
        <f>IF($J$7=1,HLOOKUP(M$11,index1970,Query!$O76)/M$9,IF($J$7=2,HLOOKUP(M$11,index1970,Query!$O76)/M$9 * HLOOKUP(M$11,comboutfac,Query!$O76),HLOOKUP(M$11,index1970,Query!$O76)/M$9 * HLOOKUP(M$11,comboutfac,Query!$O76) /M$8))</f>
        <v>1.0578041749999982</v>
      </c>
      <c r="N41" s="120">
        <f>IF($J$7=1,HLOOKUP(N$11,index1970,Query!$O76)/N$9,IF($J$7=2,HLOOKUP(N$11,index1970,Query!$O76)/N$9 * HLOOKUP(N$11,comboutfac,Query!$O76),HLOOKUP(N$11,index1970,Query!$O76)/N$9 * HLOOKUP(N$11,comboutfac,Query!$O76) /N$8))</f>
        <v>1.0624110235954547</v>
      </c>
      <c r="O41" s="120">
        <f>IF($J$7=1,HLOOKUP(O$11,index1970,Query!$O76)/O$9,IF($J$7=2,HLOOKUP(O$11,index1970,Query!$O76)/O$9 * HLOOKUP(O$11,comboutfac,Query!$O76),HLOOKUP(O$11,index1970,Query!$O76)/O$9 * HLOOKUP(O$11,comboutfac,Query!$O76) /O$8))</f>
        <v>1.0864092875588014</v>
      </c>
      <c r="P41" s="120">
        <f>IF($J$7=1,HLOOKUP(P$11,index1970,Query!$O76)/P$9,IF($J$7=2,HLOOKUP(P$11,index1970,Query!$O76)/P$9 * HLOOKUP(P$11,comboutfac,Query!$O76),HLOOKUP(P$11,index1970,Query!$O76)/P$9 * HLOOKUP(P$11,comboutfac,Query!$O76) /P$8))</f>
        <v>1.0665216673983704</v>
      </c>
      <c r="Q41" s="120">
        <f>IF($J$7=1,HLOOKUP(Q$11,index1970,Query!$O76)/Q$9,IF($J$7=2,HLOOKUP(Q$11,index1970,Query!$O76)/Q$9 * HLOOKUP(Q$11,comboutfac,Query!$O76),HLOOKUP(Q$11,index1970,Query!$O76)/Q$9 * HLOOKUP(Q$11,comboutfac,Query!$O76) /Q$8))</f>
        <v>1.0661403960690394</v>
      </c>
      <c r="R41" s="120">
        <f>IF($J$7=1,HLOOKUP(R$11,index1970,Query!$O76)/R$9,IF($J$7=2,HLOOKUP(R$11,index1970,Query!$O76)/R$9 * HLOOKUP(R$11,comboutfac,Query!$O76),HLOOKUP(R$11,index1970,Query!$O76)/R$9 * HLOOKUP(R$11,comboutfac,Query!$O76) /R$8))</f>
        <v>1.3880641680000001</v>
      </c>
      <c r="S41" s="120">
        <f>IF($J$7=1,HLOOKUP(S$11,index1970,Query!$O76)/S$9,IF($J$7=2,HLOOKUP(S$11,index1970,Query!$O76)/S$9 * HLOOKUP(S$11,comboutfac,Query!$O76),HLOOKUP(S$11,index1970,Query!$O76)/S$9 * HLOOKUP(S$11,comboutfac,Query!$O76) /S$8))</f>
        <v>1.0627317096881204</v>
      </c>
      <c r="T41" s="120">
        <f>IF($J$7=1,HLOOKUP(T$11,index1970,Query!$O76)/T$9,IF($J$7=2,HLOOKUP(T$11,index1970,Query!$O76)/T$9 * HLOOKUP(T$11,comboutfac,Query!$O76),HLOOKUP(T$11,index1970,Query!$O76)/T$9 * HLOOKUP(T$11,comboutfac,Query!$O76) /T$8))</f>
        <v>1.064285829476227</v>
      </c>
      <c r="U41" s="120">
        <f>IF($J$7=1,HLOOKUP(U$11,index1970,Query!$O76)/U$9,IF($J$7=2,HLOOKUP(U$11,index1970,Query!$O76)/U$9 * HLOOKUP(U$11,comboutfac,Query!$O76),HLOOKUP(U$11,index1970,Query!$O76)/U$9 * HLOOKUP(U$11,comboutfac,Query!$O76) /U$8))</f>
        <v>1.0804922021961263</v>
      </c>
      <c r="V41" s="120">
        <f>IF($J$7=1,HLOOKUP(V$11,index1970,Query!$O76)/V$9,IF($J$7=2,HLOOKUP(V$11,index1970,Query!$O76)/V$9 * HLOOKUP(V$11,comboutfac,Query!$O76),HLOOKUP(V$11,index1970,Query!$O76)/V$9 * HLOOKUP(V$11,comboutfac,Query!$O76) /V$8))</f>
        <v>1.0636256294447077</v>
      </c>
      <c r="W41" s="120">
        <f>IF($J$7=1,HLOOKUP(W$11,index1970,Query!$O76)/W$9,IF($J$7=2,HLOOKUP(W$11,index1970,Query!$O76)/W$9 * HLOOKUP(W$11,comboutfac,Query!$O76),HLOOKUP(W$11,index1970,Query!$O76)/W$9 * HLOOKUP(W$11,comboutfac,Query!$O76) /W$8))</f>
        <v>1.0724743163728963</v>
      </c>
      <c r="X41" s="120">
        <f>IF($J$7=1,HLOOKUP(X$11,index1970,Query!$O76)/X$9,IF($J$7=2,HLOOKUP(X$11,index1970,Query!$O76)/X$9 * HLOOKUP(X$11,comboutfac,Query!$O76),HLOOKUP(X$11,index1970,Query!$O76)/X$9 * HLOOKUP(X$11,comboutfac,Query!$O76) /X$8))</f>
        <v>1.0863667071603631</v>
      </c>
      <c r="Y41" s="682"/>
      <c r="Z41" s="682"/>
    </row>
    <row r="42" spans="1:26" s="122" customFormat="1">
      <c r="A42" s="121">
        <f t="shared" si="2"/>
        <v>2014</v>
      </c>
      <c r="B42" s="120">
        <f>IF($J$7=1,HLOOKUP(B$11,index1970,Query!$O77)/B$9,IF($J$7=2,HLOOKUP(B$11,index1970,Query!$O77)/B$9 * HLOOKUP(B$11,comboutfac,Query!$O77),HLOOKUP(B$11,index1970,Query!$O77)/B$9 * HLOOKUP(B$11,comboutfac,Query!$O77) /B$8))</f>
        <v>1.0990624897171495</v>
      </c>
      <c r="C42" s="120">
        <f>IF($J$7=1,HLOOKUP(C$11,index1970,Query!$O77)/C$9,IF($J$7=2,HLOOKUP(C$11,index1970,Query!$O77)/C$9 * HLOOKUP(C$11,comboutfac,Query!$O77),HLOOKUP(C$11,index1970,Query!$O77)/C$9 * HLOOKUP(C$11,comboutfac,Query!$O77) /C$8))</f>
        <v>1.0984607249960707</v>
      </c>
      <c r="D42" s="120">
        <f>IF($J$7=1,HLOOKUP(D$11,index1970,Query!$O77)/D$9,IF($J$7=2,HLOOKUP(D$11,index1970,Query!$O77)/D$9 * HLOOKUP(D$11,comboutfac,Query!$O77),HLOOKUP(D$11,index1970,Query!$O77)/D$9 * HLOOKUP(D$11,comboutfac,Query!$O77) /D$8))</f>
        <v>1.0926612306902297</v>
      </c>
      <c r="E42" s="120">
        <f>IF($J$7=1,HLOOKUP(E$11,index1970,Query!$O77)/E$9,IF($J$7=2,HLOOKUP(E$11,index1970,Query!$O77)/E$9 * HLOOKUP(E$11,comboutfac,Query!$O77),HLOOKUP(E$11,index1970,Query!$O77)/E$9 * HLOOKUP(E$11,comboutfac,Query!$O77) /E$8))</f>
        <v>1.0125375000000001</v>
      </c>
      <c r="F42" s="120">
        <f>IF($J$7=1,HLOOKUP(F$11,index1970,Query!$O77)/F$9,IF($J$7=2,HLOOKUP(F$11,index1970,Query!$O77)/F$9 * HLOOKUP(F$11,comboutfac,Query!$O77),HLOOKUP(F$11,index1970,Query!$O77)/F$9 * HLOOKUP(F$11,comboutfac,Query!$O77) /F$8))</f>
        <v>1.1072110388224605</v>
      </c>
      <c r="G42" s="120">
        <f>IF($J$7=1,HLOOKUP(G$11,index1970,Query!$O77)/G$9,IF($J$7=2,HLOOKUP(G$11,index1970,Query!$O77)/G$9 * HLOOKUP(G$11,comboutfac,Query!$O77),HLOOKUP(G$11,index1970,Query!$O77)/G$9 * HLOOKUP(G$11,comboutfac,Query!$O77) /G$8))</f>
        <v>1.0753014230856615</v>
      </c>
      <c r="H42" s="120">
        <f>IF($J$7=1,HLOOKUP(H$11,index1970,Query!$O77)/H$9,IF($J$7=2,HLOOKUP(H$11,index1970,Query!$O77)/H$9 * HLOOKUP(H$11,comboutfac,Query!$O77),HLOOKUP(H$11,index1970,Query!$O77)/H$9 * HLOOKUP(H$11,comboutfac,Query!$O77) /H$8))</f>
        <v>1.1172398306425941</v>
      </c>
      <c r="I42" s="120">
        <f>IF($J$7=1,HLOOKUP(I$11,index1970,Query!$O77)/I$9,IF($J$7=2,HLOOKUP(I$11,index1970,Query!$O77)/I$9 * HLOOKUP(I$11,comboutfac,Query!$O77),HLOOKUP(I$11,index1970,Query!$O77)/I$9 * HLOOKUP(I$11,comboutfac,Query!$O77) /I$8))</f>
        <v>1.1128974340232995</v>
      </c>
      <c r="J42" s="120">
        <f>IF($J$7=1,HLOOKUP(J$11,index1970,Query!$O77)/J$9,IF($J$7=2,HLOOKUP(J$11,index1970,Query!$O77)/J$9 * HLOOKUP(J$11,comboutfac,Query!$O77),HLOOKUP(J$11,index1970,Query!$O77)/J$9 * HLOOKUP(J$11,comboutfac,Query!$O77) /J$8))</f>
        <v>1.1075117039145996</v>
      </c>
      <c r="K42" s="120">
        <f>IF($J$7=1,HLOOKUP(K$11,index1970,Query!$O77)/K$9,IF($J$7=2,HLOOKUP(K$11,index1970,Query!$O77)/K$9 * HLOOKUP(K$11,comboutfac,Query!$O77),HLOOKUP(K$11,index1970,Query!$O77)/K$9 * HLOOKUP(K$11,comboutfac,Query!$O77) /K$8))</f>
        <v>1.0644898037425314</v>
      </c>
      <c r="L42" s="120">
        <f>IF($J$7=1,HLOOKUP(L$11,index1970,Query!$O77)/L$9,IF($J$7=2,HLOOKUP(L$11,index1970,Query!$O77)/L$9 * HLOOKUP(L$11,comboutfac,Query!$O77),HLOOKUP(L$11,index1970,Query!$O77)/L$9 * HLOOKUP(L$11,comboutfac,Query!$O77) /L$8))</f>
        <v>1.0724461775349334</v>
      </c>
      <c r="M42" s="120">
        <f>IF($J$7=1,HLOOKUP(M$11,index1970,Query!$O77)/M$9,IF($J$7=2,HLOOKUP(M$11,index1970,Query!$O77)/M$9 * HLOOKUP(M$11,comboutfac,Query!$O77),HLOOKUP(M$11,index1970,Query!$O77)/M$9 * HLOOKUP(M$11,comboutfac,Query!$O77) /M$8))</f>
        <v>1.0729215719600695</v>
      </c>
      <c r="N42" s="120">
        <f>IF($J$7=1,HLOOKUP(N$11,index1970,Query!$O77)/N$9,IF($J$7=2,HLOOKUP(N$11,index1970,Query!$O77)/N$9 * HLOOKUP(N$11,comboutfac,Query!$O77),HLOOKUP(N$11,index1970,Query!$O77)/N$9 * HLOOKUP(N$11,comboutfac,Query!$O77) /N$8))</f>
        <v>1.0750773209374211</v>
      </c>
      <c r="O42" s="120">
        <f>IF($J$7=1,HLOOKUP(O$11,index1970,Query!$O77)/O$9,IF($J$7=2,HLOOKUP(O$11,index1970,Query!$O77)/O$9 * HLOOKUP(O$11,comboutfac,Query!$O77),HLOOKUP(O$11,index1970,Query!$O77)/O$9 * HLOOKUP(O$11,comboutfac,Query!$O77) /O$8))</f>
        <v>1.0970070522616371</v>
      </c>
      <c r="P42" s="120">
        <f>IF($J$7=1,HLOOKUP(P$11,index1970,Query!$O77)/P$9,IF($J$7=2,HLOOKUP(P$11,index1970,Query!$O77)/P$9 * HLOOKUP(P$11,comboutfac,Query!$O77),HLOOKUP(P$11,index1970,Query!$O77)/P$9 * HLOOKUP(P$11,comboutfac,Query!$O77) /P$8))</f>
        <v>1.0803854129152382</v>
      </c>
      <c r="Q42" s="120">
        <f>IF($J$7=1,HLOOKUP(Q$11,index1970,Query!$O77)/Q$9,IF($J$7=2,HLOOKUP(Q$11,index1970,Query!$O77)/Q$9 * HLOOKUP(Q$11,comboutfac,Query!$O77),HLOOKUP(Q$11,index1970,Query!$O77)/Q$9 * HLOOKUP(Q$11,comboutfac,Query!$O77) /Q$8))</f>
        <v>1.082891965511543</v>
      </c>
      <c r="R42" s="120">
        <f>IF($J$7=1,HLOOKUP(R$11,index1970,Query!$O77)/R$9,IF($J$7=2,HLOOKUP(R$11,index1970,Query!$O77)/R$9 * HLOOKUP(R$11,comboutfac,Query!$O77),HLOOKUP(R$11,index1970,Query!$O77)/R$9 * HLOOKUP(R$11,comboutfac,Query!$O77) /R$8))</f>
        <v>1.3478103071280001</v>
      </c>
      <c r="S42" s="120">
        <f>IF($J$7=1,HLOOKUP(S$11,index1970,Query!$O77)/S$9,IF($J$7=2,HLOOKUP(S$11,index1970,Query!$O77)/S$9 * HLOOKUP(S$11,comboutfac,Query!$O77),HLOOKUP(S$11,index1970,Query!$O77)/S$9 * HLOOKUP(S$11,comboutfac,Query!$O77) /S$8))</f>
        <v>1.0780401207082122</v>
      </c>
      <c r="T42" s="120">
        <f>IF($J$7=1,HLOOKUP(T$11,index1970,Query!$O77)/T$9,IF($J$7=2,HLOOKUP(T$11,index1970,Query!$O77)/T$9 * HLOOKUP(T$11,comboutfac,Query!$O77),HLOOKUP(T$11,index1970,Query!$O77)/T$9 * HLOOKUP(T$11,comboutfac,Query!$O77) /T$8))</f>
        <v>1.0795668958042757</v>
      </c>
      <c r="U42" s="120">
        <f>IF($J$7=1,HLOOKUP(U$11,index1970,Query!$O77)/U$9,IF($J$7=2,HLOOKUP(U$11,index1970,Query!$O77)/U$9 * HLOOKUP(U$11,comboutfac,Query!$O77),HLOOKUP(U$11,index1970,Query!$O77)/U$9 * HLOOKUP(U$11,comboutfac,Query!$O77) /U$8))</f>
        <v>1.0987795001294336</v>
      </c>
      <c r="V42" s="120">
        <f>IF($J$7=1,HLOOKUP(V$11,index1970,Query!$O77)/V$9,IF($J$7=2,HLOOKUP(V$11,index1970,Query!$O77)/V$9 * HLOOKUP(V$11,comboutfac,Query!$O77),HLOOKUP(V$11,index1970,Query!$O77)/V$9 * HLOOKUP(V$11,comboutfac,Query!$O77) /V$8))</f>
        <v>1.0861269006368455</v>
      </c>
      <c r="W42" s="120">
        <f>IF($J$7=1,HLOOKUP(W$11,index1970,Query!$O77)/W$9,IF($J$7=2,HLOOKUP(W$11,index1970,Query!$O77)/W$9 * HLOOKUP(W$11,comboutfac,Query!$O77),HLOOKUP(W$11,index1970,Query!$O77)/W$9 * HLOOKUP(W$11,comboutfac,Query!$O77) /W$8))</f>
        <v>1.0936490965585033</v>
      </c>
      <c r="X42" s="120">
        <f>IF($J$7=1,HLOOKUP(X$11,index1970,Query!$O77)/X$9,IF($J$7=2,HLOOKUP(X$11,index1970,Query!$O77)/X$9 * HLOOKUP(X$11,comboutfac,Query!$O77),HLOOKUP(X$11,index1970,Query!$O77)/X$9 * HLOOKUP(X$11,comboutfac,Query!$O77) /X$8))</f>
        <v>1.0972554073866416</v>
      </c>
      <c r="Y42" s="682"/>
      <c r="Z42" s="682"/>
    </row>
    <row r="43" spans="1:26" s="122" customFormat="1">
      <c r="A43" s="121">
        <f t="shared" si="2"/>
        <v>2015</v>
      </c>
      <c r="B43" s="120">
        <f>IF($J$7=1,HLOOKUP(B$11,index1970,Query!$O78)/B$9,IF($J$7=2,HLOOKUP(B$11,index1970,Query!$O78)/B$9 * HLOOKUP(B$11,comboutfac,Query!$O78),HLOOKUP(B$11,index1970,Query!$O78)/B$9 * HLOOKUP(B$11,comboutfac,Query!$O78) /B$8))</f>
        <v>1.1162018485751715</v>
      </c>
      <c r="C43" s="120">
        <f>IF($J$7=1,HLOOKUP(C$11,index1970,Query!$O78)/C$9,IF($J$7=2,HLOOKUP(C$11,index1970,Query!$O78)/C$9 * HLOOKUP(C$11,comboutfac,Query!$O78),HLOOKUP(C$11,index1970,Query!$O78)/C$9 * HLOOKUP(C$11,comboutfac,Query!$O78) /C$8))</f>
        <v>1.1154202012938899</v>
      </c>
      <c r="D43" s="120">
        <f>IF($J$7=1,HLOOKUP(D$11,index1970,Query!$O78)/D$9,IF($J$7=2,HLOOKUP(D$11,index1970,Query!$O78)/D$9 * HLOOKUP(D$11,comboutfac,Query!$O78),HLOOKUP(D$11,index1970,Query!$O78)/D$9 * HLOOKUP(D$11,comboutfac,Query!$O78) /D$8))</f>
        <v>1.1075210691120836</v>
      </c>
      <c r="E43" s="120">
        <f>IF($J$7=1,HLOOKUP(E$11,index1970,Query!$O78)/E$9,IF($J$7=2,HLOOKUP(E$11,index1970,Query!$O78)/E$9 * HLOOKUP(E$11,comboutfac,Query!$O78),HLOOKUP(E$11,index1970,Query!$O78)/E$9 * HLOOKUP(E$11,comboutfac,Query!$O78) /E$8))</f>
        <v>1.0226628750000002</v>
      </c>
      <c r="F43" s="120">
        <f>IF($J$7=1,HLOOKUP(F$11,index1970,Query!$O78)/F$9,IF($J$7=2,HLOOKUP(F$11,index1970,Query!$O78)/F$9 * HLOOKUP(F$11,comboutfac,Query!$O78),HLOOKUP(F$11,index1970,Query!$O78)/F$9 * HLOOKUP(F$11,comboutfac,Query!$O78) /F$8))</f>
        <v>1.1257310018379922</v>
      </c>
      <c r="G43" s="120">
        <f>IF($J$7=1,HLOOKUP(G$11,index1970,Query!$O78)/G$9,IF($J$7=2,HLOOKUP(G$11,index1970,Query!$O78)/G$9 * HLOOKUP(G$11,comboutfac,Query!$O78),HLOOKUP(G$11,index1970,Query!$O78)/G$9 * HLOOKUP(G$11,comboutfac,Query!$O78) /G$8))</f>
        <v>1.0904339884152598</v>
      </c>
      <c r="H43" s="120">
        <f>IF($J$7=1,HLOOKUP(H$11,index1970,Query!$O78)/H$9,IF($J$7=2,HLOOKUP(H$11,index1970,Query!$O78)/H$9 * HLOOKUP(H$11,comboutfac,Query!$O78),HLOOKUP(H$11,index1970,Query!$O78)/H$9 * HLOOKUP(H$11,comboutfac,Query!$O78) /H$8))</f>
        <v>1.1362162152208974</v>
      </c>
      <c r="I43" s="120">
        <f>IF($J$7=1,HLOOKUP(I$11,index1970,Query!$O78)/I$9,IF($J$7=2,HLOOKUP(I$11,index1970,Query!$O78)/I$9 * HLOOKUP(I$11,comboutfac,Query!$O78),HLOOKUP(I$11,index1970,Query!$O78)/I$9 * HLOOKUP(I$11,comboutfac,Query!$O78) /I$8))</f>
        <v>1.1318004438007967</v>
      </c>
      <c r="J43" s="120">
        <f>IF($J$7=1,HLOOKUP(J$11,index1970,Query!$O78)/J$9,IF($J$7=2,HLOOKUP(J$11,index1970,Query!$O78)/J$9 * HLOOKUP(J$11,comboutfac,Query!$O78),HLOOKUP(J$11,index1970,Query!$O78)/J$9 * HLOOKUP(J$11,comboutfac,Query!$O78) /J$8))</f>
        <v>1.124852667115823</v>
      </c>
      <c r="K43" s="120">
        <f>IF($J$7=1,HLOOKUP(K$11,index1970,Query!$O78)/K$9,IF($J$7=2,HLOOKUP(K$11,index1970,Query!$O78)/K$9 * HLOOKUP(K$11,comboutfac,Query!$O78),HLOOKUP(K$11,index1970,Query!$O78)/K$9 * HLOOKUP(K$11,comboutfac,Query!$O78) /K$8))</f>
        <v>1.0751347017799566</v>
      </c>
      <c r="L43" s="120">
        <f>IF($J$7=1,HLOOKUP(L$11,index1970,Query!$O78)/L$9,IF($J$7=2,HLOOKUP(L$11,index1970,Query!$O78)/L$9 * HLOOKUP(L$11,comboutfac,Query!$O78),HLOOKUP(L$11,index1970,Query!$O78)/L$9 * HLOOKUP(L$11,comboutfac,Query!$O78) /L$8))</f>
        <v>1.0844187229748634</v>
      </c>
      <c r="M43" s="120">
        <f>IF($J$7=1,HLOOKUP(M$11,index1970,Query!$O78)/M$9,IF($J$7=2,HLOOKUP(M$11,index1970,Query!$O78)/M$9 * HLOOKUP(M$11,comboutfac,Query!$O78),HLOOKUP(M$11,index1970,Query!$O78)/M$9 * HLOOKUP(M$11,comboutfac,Query!$O78) /M$8))</f>
        <v>1.0863252116581428</v>
      </c>
      <c r="N43" s="120">
        <f>IF($J$7=1,HLOOKUP(N$11,index1970,Query!$O78)/N$9,IF($J$7=2,HLOOKUP(N$11,index1970,Query!$O78)/N$9 * HLOOKUP(N$11,comboutfac,Query!$O78),HLOOKUP(N$11,index1970,Query!$O78)/N$9 * HLOOKUP(N$11,comboutfac,Query!$O78) /N$8))</f>
        <v>1.0878579299256399</v>
      </c>
      <c r="O43" s="120">
        <f>IF($J$7=1,HLOOKUP(O$11,index1970,Query!$O78)/O$9,IF($J$7=2,HLOOKUP(O$11,index1970,Query!$O78)/O$9 * HLOOKUP(O$11,comboutfac,Query!$O78),HLOOKUP(O$11,index1970,Query!$O78)/O$9 * HLOOKUP(O$11,comboutfac,Query!$O78) /O$8))</f>
        <v>1.1128029097700753</v>
      </c>
      <c r="P43" s="120">
        <f>IF($J$7=1,HLOOKUP(P$11,index1970,Query!$O78)/P$9,IF($J$7=2,HLOOKUP(P$11,index1970,Query!$O78)/P$9 * HLOOKUP(P$11,comboutfac,Query!$O78),HLOOKUP(P$11,index1970,Query!$O78)/P$9 * HLOOKUP(P$11,comboutfac,Query!$O78) /P$8))</f>
        <v>1.0943528571110184</v>
      </c>
      <c r="Q43" s="120">
        <f>IF($J$7=1,HLOOKUP(Q$11,index1970,Query!$O78)/Q$9,IF($J$7=2,HLOOKUP(Q$11,index1970,Query!$O78)/Q$9 * HLOOKUP(Q$11,comboutfac,Query!$O78),HLOOKUP(Q$11,index1970,Query!$O78)/Q$9 * HLOOKUP(Q$11,comboutfac,Query!$O78) /Q$8))</f>
        <v>1.0938359369170834</v>
      </c>
      <c r="R43" s="120">
        <f>IF($J$7=1,HLOOKUP(R$11,index1970,Query!$O78)/R$9,IF($J$7=2,HLOOKUP(R$11,index1970,Query!$O78)/R$9 * HLOOKUP(R$11,comboutfac,Query!$O78),HLOOKUP(R$11,index1970,Query!$O78)/R$9 * HLOOKUP(R$11,comboutfac,Query!$O78) /R$8))</f>
        <v>1.2682894990074478</v>
      </c>
      <c r="S43" s="120">
        <f>IF($J$7=1,HLOOKUP(S$11,index1970,Query!$O78)/S$9,IF($J$7=2,HLOOKUP(S$11,index1970,Query!$O78)/S$9 * HLOOKUP(S$11,comboutfac,Query!$O78),HLOOKUP(S$11,index1970,Query!$O78)/S$9 * HLOOKUP(S$11,comboutfac,Query!$O78) /S$8))</f>
        <v>1.0920285463219181</v>
      </c>
      <c r="T43" s="120">
        <f>IF($J$7=1,HLOOKUP(T$11,index1970,Query!$O78)/T$9,IF($J$7=2,HLOOKUP(T$11,index1970,Query!$O78)/T$9 * HLOOKUP(T$11,comboutfac,Query!$O78),HLOOKUP(T$11,index1970,Query!$O78)/T$9 * HLOOKUP(T$11,comboutfac,Query!$O78) /T$8))</f>
        <v>1.0952539889550787</v>
      </c>
      <c r="U43" s="120">
        <f>IF($J$7=1,HLOOKUP(U$11,index1970,Query!$O78)/U$9,IF($J$7=2,HLOOKUP(U$11,index1970,Query!$O78)/U$9 * HLOOKUP(U$11,comboutfac,Query!$O78),HLOOKUP(U$11,index1970,Query!$O78)/U$9 * HLOOKUP(U$11,comboutfac,Query!$O78) /U$8))</f>
        <v>1.1142866272806262</v>
      </c>
      <c r="V43" s="120">
        <f>IF($J$7=1,HLOOKUP(V$11,index1970,Query!$O78)/V$9,IF($J$7=2,HLOOKUP(V$11,index1970,Query!$O78)/V$9 * HLOOKUP(V$11,comboutfac,Query!$O78),HLOOKUP(V$11,index1970,Query!$O78)/V$9 * HLOOKUP(V$11,comboutfac,Query!$O78) /V$8))</f>
        <v>1.1010743838828505</v>
      </c>
      <c r="W43" s="120">
        <f>IF($J$7=1,HLOOKUP(W$11,index1970,Query!$O78)/W$9,IF($J$7=2,HLOOKUP(W$11,index1970,Query!$O78)/W$9 * HLOOKUP(W$11,comboutfac,Query!$O78),HLOOKUP(W$11,index1970,Query!$O78)/W$9 * HLOOKUP(W$11,comboutfac,Query!$O78) /W$8))</f>
        <v>1.1121360889803371</v>
      </c>
      <c r="X43" s="120">
        <f>IF($J$7=1,HLOOKUP(X$11,index1970,Query!$O78)/X$9,IF($J$7=2,HLOOKUP(X$11,index1970,Query!$O78)/X$9 * HLOOKUP(X$11,comboutfac,Query!$O78),HLOOKUP(X$11,index1970,Query!$O78)/X$9 * HLOOKUP(X$11,comboutfac,Query!$O78) /X$8))</f>
        <v>1.1137909399832522</v>
      </c>
      <c r="Y43" s="682"/>
      <c r="Z43" s="682"/>
    </row>
    <row r="44" spans="1:26" s="122" customFormat="1">
      <c r="A44" s="121">
        <f t="shared" si="2"/>
        <v>2016</v>
      </c>
      <c r="B44" s="120">
        <f>IF($J$7=1,HLOOKUP(B$11,index1970,Query!$O79)/B$9,IF($J$7=2,HLOOKUP(B$11,index1970,Query!$O79)/B$9 * HLOOKUP(B$11,comboutfac,Query!$O79),HLOOKUP(B$11,index1970,Query!$O79)/B$9 * HLOOKUP(B$11,comboutfac,Query!$O79) /B$8))</f>
        <v>1.1311623213130966</v>
      </c>
      <c r="C44" s="120">
        <f>IF($J$7=1,HLOOKUP(C$11,index1970,Query!$O79)/C$9,IF($J$7=2,HLOOKUP(C$11,index1970,Query!$O79)/C$9 * HLOOKUP(C$11,comboutfac,Query!$O79),HLOOKUP(C$11,index1970,Query!$O79)/C$9 * HLOOKUP(C$11,comboutfac,Query!$O79) /C$8))</f>
        <v>1.1354530314993143</v>
      </c>
      <c r="D44" s="120">
        <f>IF($J$7=1,HLOOKUP(D$11,index1970,Query!$O79)/D$9,IF($J$7=2,HLOOKUP(D$11,index1970,Query!$O79)/D$9 * HLOOKUP(D$11,comboutfac,Query!$O79),HLOOKUP(D$11,index1970,Query!$O79)/D$9 * HLOOKUP(D$11,comboutfac,Query!$O79) /D$8))</f>
        <v>1.1259963582727721</v>
      </c>
      <c r="E44" s="120">
        <f>IF($J$7=1,HLOOKUP(E$11,index1970,Query!$O79)/E$9,IF($J$7=2,HLOOKUP(E$11,index1970,Query!$O79)/E$9 * HLOOKUP(E$11,comboutfac,Query!$O79),HLOOKUP(E$11,index1970,Query!$O79)/E$9 * HLOOKUP(E$11,comboutfac,Query!$O79) /E$8))</f>
        <v>1.0351904952187501</v>
      </c>
      <c r="F44" s="120">
        <f>IF($J$7=1,HLOOKUP(F$11,index1970,Query!$O79)/F$9,IF($J$7=2,HLOOKUP(F$11,index1970,Query!$O79)/F$9 * HLOOKUP(F$11,comboutfac,Query!$O79),HLOOKUP(F$11,index1970,Query!$O79)/F$9 * HLOOKUP(F$11,comboutfac,Query!$O79) /F$8))</f>
        <v>1.1471563233713493</v>
      </c>
      <c r="G44" s="120">
        <f>IF($J$7=1,HLOOKUP(G$11,index1970,Query!$O79)/G$9,IF($J$7=2,HLOOKUP(G$11,index1970,Query!$O79)/G$9 * HLOOKUP(G$11,comboutfac,Query!$O79),HLOOKUP(G$11,index1970,Query!$O79)/G$9 * HLOOKUP(G$11,comboutfac,Query!$O79) /G$8))</f>
        <v>1.1090567574151557</v>
      </c>
      <c r="H44" s="120">
        <f>IF($J$7=1,HLOOKUP(H$11,index1970,Query!$O79)/H$9,IF($J$7=2,HLOOKUP(H$11,index1970,Query!$O79)/H$9 * HLOOKUP(H$11,comboutfac,Query!$O79),HLOOKUP(H$11,index1970,Query!$O79)/H$9 * HLOOKUP(H$11,comboutfac,Query!$O79) /H$8))</f>
        <v>1.1581535451498626</v>
      </c>
      <c r="I44" s="120">
        <f>IF($J$7=1,HLOOKUP(I$11,index1970,Query!$O79)/I$9,IF($J$7=2,HLOOKUP(I$11,index1970,Query!$O79)/I$9 * HLOOKUP(I$11,comboutfac,Query!$O79),HLOOKUP(I$11,index1970,Query!$O79)/I$9 * HLOOKUP(I$11,comboutfac,Query!$O79) /I$8))</f>
        <v>1.1463287728793228</v>
      </c>
      <c r="J44" s="120">
        <f>IF($J$7=1,HLOOKUP(J$11,index1970,Query!$O79)/J$9,IF($J$7=2,HLOOKUP(J$11,index1970,Query!$O79)/J$9 * HLOOKUP(J$11,comboutfac,Query!$O79),HLOOKUP(J$11,index1970,Query!$O79)/J$9 * HLOOKUP(J$11,comboutfac,Query!$O79) /J$8))</f>
        <v>1.1461301214347901</v>
      </c>
      <c r="K44" s="120">
        <f>IF($J$7=1,HLOOKUP(K$11,index1970,Query!$O79)/K$9,IF($J$7=2,HLOOKUP(K$11,index1970,Query!$O79)/K$9 * HLOOKUP(K$11,comboutfac,Query!$O79),HLOOKUP(K$11,index1970,Query!$O79)/K$9 * HLOOKUP(K$11,comboutfac,Query!$O79) /K$8))</f>
        <v>1.0883051018767613</v>
      </c>
      <c r="L44" s="120">
        <f>IF($J$7=1,HLOOKUP(L$11,index1970,Query!$O79)/L$9,IF($J$7=2,HLOOKUP(L$11,index1970,Query!$O79)/L$9 * HLOOKUP(L$11,comboutfac,Query!$O79),HLOOKUP(L$11,index1970,Query!$O79)/L$9 * HLOOKUP(L$11,comboutfac,Query!$O79) /L$8))</f>
        <v>1.0992506801813395</v>
      </c>
      <c r="M44" s="120">
        <f>IF($J$7=1,HLOOKUP(M$11,index1970,Query!$O79)/M$9,IF($J$7=2,HLOOKUP(M$11,index1970,Query!$O79)/M$9 * HLOOKUP(M$11,comboutfac,Query!$O79),HLOOKUP(M$11,index1970,Query!$O79)/M$9 * HLOOKUP(M$11,comboutfac,Query!$O79) /M$8))</f>
        <v>1.1034240965938968</v>
      </c>
      <c r="N44" s="120">
        <f>IF($J$7=1,HLOOKUP(N$11,index1970,Query!$O79)/N$9,IF($J$7=2,HLOOKUP(N$11,index1970,Query!$O79)/N$9 * HLOOKUP(N$11,comboutfac,Query!$O79),HLOOKUP(N$11,index1970,Query!$O79)/N$9 * HLOOKUP(N$11,comboutfac,Query!$O79) /N$8))</f>
        <v>1.1034240965938968</v>
      </c>
      <c r="O44" s="120">
        <f>IF($J$7=1,HLOOKUP(O$11,index1970,Query!$O79)/O$9,IF($J$7=2,HLOOKUP(O$11,index1970,Query!$O79)/O$9 * HLOOKUP(O$11,comboutfac,Query!$O79),HLOOKUP(O$11,index1970,Query!$O79)/O$9 * HLOOKUP(O$11,comboutfac,Query!$O79) /O$8))</f>
        <v>1.1344970198168869</v>
      </c>
      <c r="P44" s="120">
        <f>IF($J$7=1,HLOOKUP(P$11,index1970,Query!$O79)/P$9,IF($J$7=2,HLOOKUP(P$11,index1970,Query!$O79)/P$9 * HLOOKUP(P$11,comboutfac,Query!$O79),HLOOKUP(P$11,index1970,Query!$O79)/P$9 * HLOOKUP(P$11,comboutfac,Query!$O79) /P$8))</f>
        <v>1.1119034852627254</v>
      </c>
      <c r="Q44" s="120">
        <f>IF($J$7=1,HLOOKUP(Q$11,index1970,Query!$O79)/Q$9,IF($J$7=2,HLOOKUP(Q$11,index1970,Query!$O79)/Q$9 * HLOOKUP(Q$11,comboutfac,Query!$O79),HLOOKUP(Q$11,index1970,Query!$O79)/Q$9 * HLOOKUP(Q$11,comboutfac,Query!$O79) /Q$8))</f>
        <v>1.1141112895566359</v>
      </c>
      <c r="R44" s="120">
        <f>IF($J$7=1,HLOOKUP(R$11,index1970,Query!$O79)/R$9,IF($J$7=2,HLOOKUP(R$11,index1970,Query!$O79)/R$9 * HLOOKUP(R$11,comboutfac,Query!$O79),HLOOKUP(R$11,index1970,Query!$O79)/R$9 * HLOOKUP(R$11,comboutfac,Query!$O79) /R$8))</f>
        <v>0.87765633331315396</v>
      </c>
      <c r="S44" s="120">
        <f>IF($J$7=1,HLOOKUP(S$11,index1970,Query!$O79)/S$9,IF($J$7=2,HLOOKUP(S$11,index1970,Query!$O79)/S$9 * HLOOKUP(S$11,comboutfac,Query!$O79),HLOOKUP(S$11,index1970,Query!$O79)/S$9 * HLOOKUP(S$11,comboutfac,Query!$O79) /S$8))</f>
        <v>1.1082758297662547</v>
      </c>
      <c r="T44" s="120">
        <f>IF($J$7=1,HLOOKUP(T$11,index1970,Query!$O79)/T$9,IF($J$7=2,HLOOKUP(T$11,index1970,Query!$O79)/T$9 * HLOOKUP(T$11,comboutfac,Query!$O79),HLOOKUP(T$11,index1970,Query!$O79)/T$9 * HLOOKUP(T$11,comboutfac,Query!$O79) /T$8))</f>
        <v>1.1111976647738167</v>
      </c>
      <c r="U44" s="120">
        <f>IF($J$7=1,HLOOKUP(U$11,index1970,Query!$O79)/U$9,IF($J$7=2,HLOOKUP(U$11,index1970,Query!$O79)/U$9 * HLOOKUP(U$11,comboutfac,Query!$O79),HLOOKUP(U$11,index1970,Query!$O79)/U$9 * HLOOKUP(U$11,comboutfac,Query!$O79) /U$8))</f>
        <v>1.1294686098515381</v>
      </c>
      <c r="V44" s="120">
        <f>IF($J$7=1,HLOOKUP(V$11,index1970,Query!$O79)/V$9,IF($J$7=2,HLOOKUP(V$11,index1970,Query!$O79)/V$9 * HLOOKUP(V$11,comboutfac,Query!$O79),HLOOKUP(V$11,index1970,Query!$O79)/V$9 * HLOOKUP(V$11,comboutfac,Query!$O79) /V$8))</f>
        <v>1.1189783405218299</v>
      </c>
      <c r="W44" s="120">
        <f>IF($J$7=1,HLOOKUP(W$11,index1970,Query!$O79)/W$9,IF($J$7=2,HLOOKUP(W$11,index1970,Query!$O79)/W$9 * HLOOKUP(W$11,comboutfac,Query!$O79),HLOOKUP(W$11,index1970,Query!$O79)/W$9 * HLOOKUP(W$11,comboutfac,Query!$O79) /W$8))</f>
        <v>1.1236303118748767</v>
      </c>
      <c r="X44" s="120">
        <f>IF($J$7=1,HLOOKUP(X$11,index1970,Query!$O79)/X$9,IF($J$7=2,HLOOKUP(X$11,index1970,Query!$O79)/X$9 * HLOOKUP(X$11,comboutfac,Query!$O79),HLOOKUP(X$11,index1970,Query!$O79)/X$9 * HLOOKUP(X$11,comboutfac,Query!$O79) /X$8))</f>
        <v>1.1370760444720514</v>
      </c>
      <c r="Y44" s="682"/>
      <c r="Z44" s="682"/>
    </row>
    <row r="45" spans="1:26" s="122" customFormat="1">
      <c r="A45" s="121">
        <f t="shared" si="2"/>
        <v>2017</v>
      </c>
      <c r="B45" s="120">
        <f>IF($J$7=1,HLOOKUP(B$11,index1970,Query!$O80)/B$9,IF($J$7=2,HLOOKUP(B$11,index1970,Query!$O80)/B$9 * HLOOKUP(B$11,comboutfac,Query!$O80),HLOOKUP(B$11,index1970,Query!$O80)/B$9 * HLOOKUP(B$11,comboutfac,Query!$O80) /B$8))</f>
        <v>1.1535732367260778</v>
      </c>
      <c r="C45" s="120">
        <f>IF($J$7=1,HLOOKUP(C$11,index1970,Query!$O80)/C$9,IF($J$7=2,HLOOKUP(C$11,index1970,Query!$O80)/C$9 * HLOOKUP(C$11,comboutfac,Query!$O80),HLOOKUP(C$11,index1970,Query!$O80)/C$9 * HLOOKUP(C$11,comboutfac,Query!$O80) /C$8))</f>
        <v>1.1593539596941136</v>
      </c>
      <c r="D45" s="120">
        <f>IF($J$7=1,HLOOKUP(D$11,index1970,Query!$O80)/D$9,IF($J$7=2,HLOOKUP(D$11,index1970,Query!$O80)/D$9 * HLOOKUP(D$11,comboutfac,Query!$O80),HLOOKUP(D$11,index1970,Query!$O80)/D$9 * HLOOKUP(D$11,comboutfac,Query!$O80) /D$8))</f>
        <v>1.1477282528116193</v>
      </c>
      <c r="E45" s="120">
        <f>IF($J$7=1,HLOOKUP(E$11,index1970,Query!$O80)/E$9,IF($J$7=2,HLOOKUP(E$11,index1970,Query!$O80)/E$9 * HLOOKUP(E$11,comboutfac,Query!$O80),HLOOKUP(E$11,index1970,Query!$O80)/E$9 * HLOOKUP(E$11,comboutfac,Query!$O80) /E$8))</f>
        <v>1.0548591146279063</v>
      </c>
      <c r="F45" s="120">
        <f>IF($J$7=1,HLOOKUP(F$11,index1970,Query!$O80)/F$9,IF($J$7=2,HLOOKUP(F$11,index1970,Query!$O80)/F$9 * HLOOKUP(F$11,comboutfac,Query!$O80),HLOOKUP(F$11,index1970,Query!$O80)/F$9 * HLOOKUP(F$11,comboutfac,Query!$O80) /F$8))</f>
        <v>1.1699900008628583</v>
      </c>
      <c r="G45" s="120">
        <f>IF($J$7=1,HLOOKUP(G$11,index1970,Query!$O80)/G$9,IF($J$7=2,HLOOKUP(G$11,index1970,Query!$O80)/G$9 * HLOOKUP(G$11,comboutfac,Query!$O80),HLOOKUP(G$11,index1970,Query!$O80)/G$9 * HLOOKUP(G$11,comboutfac,Query!$O80) /G$8))</f>
        <v>1.1304805173475481</v>
      </c>
      <c r="H45" s="120">
        <f>IF($J$7=1,HLOOKUP(H$11,index1970,Query!$O80)/H$9,IF($J$7=2,HLOOKUP(H$11,index1970,Query!$O80)/H$9 * HLOOKUP(H$11,comboutfac,Query!$O80),HLOOKUP(H$11,index1970,Query!$O80)/H$9 * HLOOKUP(H$11,comboutfac,Query!$O80) /H$8))</f>
        <v>1.1812947262576758</v>
      </c>
      <c r="I45" s="120">
        <f>IF($J$7=1,HLOOKUP(I$11,index1970,Query!$O80)/I$9,IF($J$7=2,HLOOKUP(I$11,index1970,Query!$O80)/I$9 * HLOOKUP(I$11,comboutfac,Query!$O80),HLOOKUP(I$11,index1970,Query!$O80)/I$9 * HLOOKUP(I$11,comboutfac,Query!$O80) /I$8))</f>
        <v>1.1692115687465423</v>
      </c>
      <c r="J45" s="120">
        <f>IF($J$7=1,HLOOKUP(J$11,index1970,Query!$O80)/J$9,IF($J$7=2,HLOOKUP(J$11,index1970,Query!$O80)/J$9 * HLOOKUP(J$11,comboutfac,Query!$O80),HLOOKUP(J$11,index1970,Query!$O80)/J$9 * HLOOKUP(J$11,comboutfac,Query!$O80) /J$8))</f>
        <v>1.168921385092385</v>
      </c>
      <c r="K45" s="120">
        <f>IF($J$7=1,HLOOKUP(K$11,index1970,Query!$O80)/K$9,IF($J$7=2,HLOOKUP(K$11,index1970,Query!$O80)/K$9 * HLOOKUP(K$11,comboutfac,Query!$O80),HLOOKUP(K$11,index1970,Query!$O80)/K$9 * HLOOKUP(K$11,comboutfac,Query!$O80) /K$8))</f>
        <v>1.1089828988124197</v>
      </c>
      <c r="L45" s="120">
        <f>IF($J$7=1,HLOOKUP(L$11,index1970,Query!$O80)/L$9,IF($J$7=2,HLOOKUP(L$11,index1970,Query!$O80)/L$9 * HLOOKUP(L$11,comboutfac,Query!$O80),HLOOKUP(L$11,index1970,Query!$O80)/L$9 * HLOOKUP(L$11,comboutfac,Query!$O80) /L$8))</f>
        <v>1.120148285549649</v>
      </c>
      <c r="M45" s="120">
        <f>IF($J$7=1,HLOOKUP(M$11,index1970,Query!$O80)/M$9,IF($J$7=2,HLOOKUP(M$11,index1970,Query!$O80)/M$9 * HLOOKUP(M$11,comboutfac,Query!$O80),HLOOKUP(M$11,index1970,Query!$O80)/M$9 * HLOOKUP(M$11,comboutfac,Query!$O80) /M$8))</f>
        <v>1.1231152413475871</v>
      </c>
      <c r="N45" s="120">
        <f>IF($J$7=1,HLOOKUP(N$11,index1970,Query!$O80)/N$9,IF($J$7=2,HLOOKUP(N$11,index1970,Query!$O80)/N$9 * HLOOKUP(N$11,comboutfac,Query!$O80),HLOOKUP(N$11,index1970,Query!$O80)/N$9 * HLOOKUP(N$11,comboutfac,Query!$O80) /N$8))</f>
        <v>1.1240394401456075</v>
      </c>
      <c r="O45" s="120">
        <f>IF($J$7=1,HLOOKUP(O$11,index1970,Query!$O80)/O$9,IF($J$7=2,HLOOKUP(O$11,index1970,Query!$O80)/O$9 * HLOOKUP(O$11,comboutfac,Query!$O80),HLOOKUP(O$11,index1970,Query!$O80)/O$9 * HLOOKUP(O$11,comboutfac,Query!$O80) /O$8))</f>
        <v>1.1570293536879031</v>
      </c>
      <c r="P45" s="120">
        <f>IF($J$7=1,HLOOKUP(P$11,index1970,Query!$O80)/P$9,IF($J$7=2,HLOOKUP(P$11,index1970,Query!$O80)/P$9 * HLOOKUP(P$11,comboutfac,Query!$O80),HLOOKUP(P$11,index1970,Query!$O80)/P$9 * HLOOKUP(P$11,comboutfac,Query!$O80) /P$8))</f>
        <v>1.1332659631606377</v>
      </c>
      <c r="Q45" s="120">
        <f>IF($J$7=1,HLOOKUP(Q$11,index1970,Query!$O80)/Q$9,IF($J$7=2,HLOOKUP(Q$11,index1970,Query!$O80)/Q$9 * HLOOKUP(Q$11,comboutfac,Query!$O80),HLOOKUP(Q$11,index1970,Query!$O80)/Q$9 * HLOOKUP(Q$11,comboutfac,Query!$O80) /Q$8))</f>
        <v>1.1322565550250576</v>
      </c>
      <c r="R45" s="120">
        <f>IF($J$7=1,HLOOKUP(R$11,index1970,Query!$O80)/R$9,IF($J$7=2,HLOOKUP(R$11,index1970,Query!$O80)/R$9 * HLOOKUP(R$11,comboutfac,Query!$O80),HLOOKUP(R$11,index1970,Query!$O80)/R$9 * HLOOKUP(R$11,comboutfac,Query!$O80) /R$8))</f>
        <v>0.93031571331194318</v>
      </c>
      <c r="S45" s="120">
        <f>IF($J$7=1,HLOOKUP(S$11,index1970,Query!$O80)/S$9,IF($J$7=2,HLOOKUP(S$11,index1970,Query!$O80)/S$9 * HLOOKUP(S$11,comboutfac,Query!$O80),HLOOKUP(S$11,index1970,Query!$O80)/S$9 * HLOOKUP(S$11,comboutfac,Query!$O80) /S$8))</f>
        <v>1.1293529555438255</v>
      </c>
      <c r="T45" s="120">
        <f>IF($J$7=1,HLOOKUP(T$11,index1970,Query!$O80)/T$9,IF($J$7=2,HLOOKUP(T$11,index1970,Query!$O80)/T$9 * HLOOKUP(T$11,comboutfac,Query!$O80),HLOOKUP(T$11,index1970,Query!$O80)/T$9 * HLOOKUP(T$11,comboutfac,Query!$O80) /T$8))</f>
        <v>1.1322754622864744</v>
      </c>
      <c r="U45" s="120">
        <f>IF($J$7=1,HLOOKUP(U$11,index1970,Query!$O80)/U$9,IF($J$7=2,HLOOKUP(U$11,index1970,Query!$O80)/U$9 * HLOOKUP(U$11,comboutfac,Query!$O80),HLOOKUP(U$11,index1970,Query!$O80)/U$9 * HLOOKUP(U$11,comboutfac,Query!$O80) /U$8))</f>
        <v>1.1517931155268477</v>
      </c>
      <c r="V45" s="120">
        <f>IF($J$7=1,HLOOKUP(V$11,index1970,Query!$O80)/V$9,IF($J$7=2,HLOOKUP(V$11,index1970,Query!$O80)/V$9 * HLOOKUP(V$11,comboutfac,Query!$O80),HLOOKUP(V$11,index1970,Query!$O80)/V$9 * HLOOKUP(V$11,comboutfac,Query!$O80) /V$8))</f>
        <v>1.1410096442566784</v>
      </c>
      <c r="W45" s="120">
        <f>IF($J$7=1,HLOOKUP(W$11,index1970,Query!$O80)/W$9,IF($J$7=2,HLOOKUP(W$11,index1970,Query!$O80)/W$9 * HLOOKUP(W$11,comboutfac,Query!$O80),HLOOKUP(W$11,index1970,Query!$O80)/W$9 * HLOOKUP(W$11,comboutfac,Query!$O80) /W$8))</f>
        <v>1.1455285664402284</v>
      </c>
      <c r="X45" s="120">
        <f>IF($J$7=1,HLOOKUP(X$11,index1970,Query!$O80)/X$9,IF($J$7=2,HLOOKUP(X$11,index1970,Query!$O80)/X$9 * HLOOKUP(X$11,comboutfac,Query!$O80),HLOOKUP(X$11,index1970,Query!$O80)/X$9 * HLOOKUP(X$11,comboutfac,Query!$O80) /X$8))</f>
        <v>1.1596796596518359</v>
      </c>
      <c r="Y45" s="682"/>
      <c r="Z45" s="682"/>
    </row>
    <row r="46" spans="1:26" s="122" customFormat="1">
      <c r="A46" s="121">
        <f t="shared" si="2"/>
        <v>2018</v>
      </c>
      <c r="B46" s="120">
        <f>IF($J$7=1,HLOOKUP(B$11,index1970,Query!$O81)/B$9,IF($J$7=2,HLOOKUP(B$11,index1970,Query!$O81)/B$9 * HLOOKUP(B$11,comboutfac,Query!$O81),HLOOKUP(B$11,index1970,Query!$O81)/B$9 * HLOOKUP(B$11,comboutfac,Query!$O81) /B$8))</f>
        <v>1.1772971955919211</v>
      </c>
      <c r="C46" s="120">
        <f>IF($J$7=1,HLOOKUP(C$11,index1970,Query!$O81)/C$9,IF($J$7=2,HLOOKUP(C$11,index1970,Query!$O81)/C$9 * HLOOKUP(C$11,comboutfac,Query!$O81),HLOOKUP(C$11,index1970,Query!$O81)/C$9 * HLOOKUP(C$11,comboutfac,Query!$O81) /C$8))</f>
        <v>1.1816227675838331</v>
      </c>
      <c r="D46" s="120">
        <f>IF($J$7=1,HLOOKUP(D$11,index1970,Query!$O81)/D$9,IF($J$7=2,HLOOKUP(D$11,index1970,Query!$O81)/D$9 * HLOOKUP(D$11,comboutfac,Query!$O81),HLOOKUP(D$11,index1970,Query!$O81)/D$9 * HLOOKUP(D$11,comboutfac,Query!$O81) /D$8))</f>
        <v>1.1706828178678519</v>
      </c>
      <c r="E46" s="120">
        <f>IF($J$7=1,HLOOKUP(E$11,index1970,Query!$O81)/E$9,IF($J$7=2,HLOOKUP(E$11,index1970,Query!$O81)/E$9 * HLOOKUP(E$11,comboutfac,Query!$O81),HLOOKUP(E$11,index1970,Query!$O81)/E$9 * HLOOKUP(E$11,comboutfac,Query!$O81) /E$8))</f>
        <v>1.0754288673631505</v>
      </c>
      <c r="F46" s="120">
        <f>IF($J$7=1,HLOOKUP(F$11,index1970,Query!$O81)/F$9,IF($J$7=2,HLOOKUP(F$11,index1970,Query!$O81)/F$9 * HLOOKUP(F$11,comboutfac,Query!$O81),HLOOKUP(F$11,index1970,Query!$O81)/F$9 * HLOOKUP(F$11,comboutfac,Query!$O81) /F$8))</f>
        <v>1.206749480969193</v>
      </c>
      <c r="G46" s="120">
        <f>IF($J$7=1,HLOOKUP(G$11,index1970,Query!$O81)/G$9,IF($J$7=2,HLOOKUP(G$11,index1970,Query!$O81)/G$9 * HLOOKUP(G$11,comboutfac,Query!$O81),HLOOKUP(G$11,index1970,Query!$O81)/G$9 * HLOOKUP(G$11,comboutfac,Query!$O81) /G$8))</f>
        <v>1.156949466820228</v>
      </c>
      <c r="H46" s="120">
        <f>IF($J$7=1,HLOOKUP(H$11,index1970,Query!$O81)/H$9,IF($J$7=2,HLOOKUP(H$11,index1970,Query!$O81)/H$9 * HLOOKUP(H$11,comboutfac,Query!$O81),HLOOKUP(H$11,index1970,Query!$O81)/H$9 * HLOOKUP(H$11,comboutfac,Query!$O81) /H$8))</f>
        <v>1.2070301899977294</v>
      </c>
      <c r="I46" s="120">
        <f>IF($J$7=1,HLOOKUP(I$11,index1970,Query!$O81)/I$9,IF($J$7=2,HLOOKUP(I$11,index1970,Query!$O81)/I$9 * HLOOKUP(I$11,comboutfac,Query!$O81),HLOOKUP(I$11,index1970,Query!$O81)/I$9 * HLOOKUP(I$11,comboutfac,Query!$O81) /I$8))</f>
        <v>1.1979116607779416</v>
      </c>
      <c r="J46" s="120">
        <f>IF($J$7=1,HLOOKUP(J$11,index1970,Query!$O81)/J$9,IF($J$7=2,HLOOKUP(J$11,index1970,Query!$O81)/J$9 * HLOOKUP(J$11,comboutfac,Query!$O81),HLOOKUP(J$11,index1970,Query!$O81)/J$9 * HLOOKUP(J$11,comboutfac,Query!$O81) /J$8))</f>
        <v>1.1959754788022823</v>
      </c>
      <c r="K46" s="120">
        <f>IF($J$7=1,HLOOKUP(K$11,index1970,Query!$O81)/K$9,IF($J$7=2,HLOOKUP(K$11,index1970,Query!$O81)/K$9 * HLOOKUP(K$11,comboutfac,Query!$O81),HLOOKUP(K$11,index1970,Query!$O81)/K$9 * HLOOKUP(K$11,comboutfac,Query!$O81) /K$8))</f>
        <v>1.1322715396874805</v>
      </c>
      <c r="L46" s="120">
        <f>IF($J$7=1,HLOOKUP(L$11,index1970,Query!$O81)/L$9,IF($J$7=2,HLOOKUP(L$11,index1970,Query!$O81)/L$9 * HLOOKUP(L$11,comboutfac,Query!$O81),HLOOKUP(L$11,index1970,Query!$O81)/L$9 * HLOOKUP(L$11,comboutfac,Query!$O81) /L$8))</f>
        <v>1.1414033212124877</v>
      </c>
      <c r="M46" s="120">
        <f>IF($J$7=1,HLOOKUP(M$11,index1970,Query!$O81)/M$9,IF($J$7=2,HLOOKUP(M$11,index1970,Query!$O81)/M$9 * HLOOKUP(M$11,comboutfac,Query!$O81),HLOOKUP(M$11,index1970,Query!$O81)/M$9 * HLOOKUP(M$11,comboutfac,Query!$O81) /M$8))</f>
        <v>1.1436364479226702</v>
      </c>
      <c r="N46" s="120">
        <f>IF($J$7=1,HLOOKUP(N$11,index1970,Query!$O81)/N$9,IF($J$7=2,HLOOKUP(N$11,index1970,Query!$O81)/N$9 * HLOOKUP(N$11,comboutfac,Query!$O81),HLOOKUP(N$11,index1970,Query!$O81)/N$9 * HLOOKUP(N$11,comboutfac,Query!$O81) /N$8))</f>
        <v>1.1468490791769514</v>
      </c>
      <c r="O46" s="120">
        <f>IF($J$7=1,HLOOKUP(O$11,index1970,Query!$O81)/O$9,IF($J$7=2,HLOOKUP(O$11,index1970,Query!$O81)/O$9 * HLOOKUP(O$11,comboutfac,Query!$O81),HLOOKUP(O$11,index1970,Query!$O81)/O$9 * HLOOKUP(O$11,comboutfac,Query!$O81) /O$8))</f>
        <v>1.1797608099825789</v>
      </c>
      <c r="P46" s="120">
        <f>IF($J$7=1,HLOOKUP(P$11,index1970,Query!$O81)/P$9,IF($J$7=2,HLOOKUP(P$11,index1970,Query!$O81)/P$9 * HLOOKUP(P$11,comboutfac,Query!$O81),HLOOKUP(P$11,index1970,Query!$O81)/P$9 * HLOOKUP(P$11,comboutfac,Query!$O81) /P$8))</f>
        <v>1.1559312824238499</v>
      </c>
      <c r="Q46" s="120">
        <f>IF($J$7=1,HLOOKUP(Q$11,index1970,Query!$O81)/Q$9,IF($J$7=2,HLOOKUP(Q$11,index1970,Query!$O81)/Q$9 * HLOOKUP(Q$11,comboutfac,Query!$O81),HLOOKUP(Q$11,index1970,Query!$O81)/Q$9 * HLOOKUP(Q$11,comboutfac,Query!$O81) /Q$8))</f>
        <v>1.1540888367311755</v>
      </c>
      <c r="R46" s="120">
        <f>IF($J$7=1,HLOOKUP(R$11,index1970,Query!$O81)/R$9,IF($J$7=2,HLOOKUP(R$11,index1970,Query!$O81)/R$9 * HLOOKUP(R$11,comboutfac,Query!$O81),HLOOKUP(R$11,index1970,Query!$O81)/R$9 * HLOOKUP(R$11,comboutfac,Query!$O81) /R$8))</f>
        <v>0.92659445045869537</v>
      </c>
      <c r="S46" s="120">
        <f>IF($J$7=1,HLOOKUP(S$11,index1970,Query!$O81)/S$9,IF($J$7=2,HLOOKUP(S$11,index1970,Query!$O81)/S$9 * HLOOKUP(S$11,comboutfac,Query!$O81),HLOOKUP(S$11,index1970,Query!$O81)/S$9 * HLOOKUP(S$11,comboutfac,Query!$O81) /S$8))</f>
        <v>1.1517912646680348</v>
      </c>
      <c r="T46" s="120">
        <f>IF($J$7=1,HLOOKUP(T$11,index1970,Query!$O81)/T$9,IF($J$7=2,HLOOKUP(T$11,index1970,Query!$O81)/T$9 * HLOOKUP(T$11,comboutfac,Query!$O81),HLOOKUP(T$11,index1970,Query!$O81)/T$9 * HLOOKUP(T$11,comboutfac,Query!$O81) /T$8))</f>
        <v>1.154549960758843</v>
      </c>
      <c r="U46" s="120">
        <f>IF($J$7=1,HLOOKUP(U$11,index1970,Query!$O81)/U$9,IF($J$7=2,HLOOKUP(U$11,index1970,Query!$O81)/U$9 * HLOOKUP(U$11,comboutfac,Query!$O81),HLOOKUP(U$11,index1970,Query!$O81)/U$9 * HLOOKUP(U$11,comboutfac,Query!$O81) /U$8))</f>
        <v>1.174373933493094</v>
      </c>
      <c r="V46" s="120">
        <f>IF($J$7=1,HLOOKUP(V$11,index1970,Query!$O81)/V$9,IF($J$7=2,HLOOKUP(V$11,index1970,Query!$O81)/V$9 * HLOOKUP(V$11,comboutfac,Query!$O81),HLOOKUP(V$11,index1970,Query!$O81)/V$9 * HLOOKUP(V$11,comboutfac,Query!$O81) /V$8))</f>
        <v>1.1638298371418119</v>
      </c>
      <c r="W46" s="120">
        <f>IF($J$7=1,HLOOKUP(W$11,index1970,Query!$O81)/W$9,IF($J$7=2,HLOOKUP(W$11,index1970,Query!$O81)/W$9 * HLOOKUP(W$11,comboutfac,Query!$O81),HLOOKUP(W$11,index1970,Query!$O81)/W$9 * HLOOKUP(W$11,comboutfac,Query!$O81) /W$8))</f>
        <v>1.1651531313617036</v>
      </c>
      <c r="X46" s="120">
        <f>IF($J$7=1,HLOOKUP(X$11,index1970,Query!$O81)/X$9,IF($J$7=2,HLOOKUP(X$11,index1970,Query!$O81)/X$9 * HLOOKUP(X$11,comboutfac,Query!$O81),HLOOKUP(X$11,index1970,Query!$O81)/X$9 * HLOOKUP(X$11,comboutfac,Query!$O81) /X$8))</f>
        <v>1.1825518578884155</v>
      </c>
      <c r="Y46" s="682"/>
      <c r="Z46" s="682"/>
    </row>
    <row r="47" spans="1:26" s="122" customFormat="1">
      <c r="A47" s="121">
        <f t="shared" si="2"/>
        <v>2019</v>
      </c>
      <c r="B47" s="120">
        <f>IF($J$7=1,HLOOKUP(B$11,index1970,Query!$O82)/B$9,IF($J$7=2,HLOOKUP(B$11,index1970,Query!$O82)/B$9 * HLOOKUP(B$11,comboutfac,Query!$O82),HLOOKUP(B$11,index1970,Query!$O82)/B$9 * HLOOKUP(B$11,comboutfac,Query!$O82) /B$8))</f>
        <v>1.2008431395037598</v>
      </c>
      <c r="C47" s="120">
        <f>IF($J$7=1,HLOOKUP(C$11,index1970,Query!$O82)/C$9,IF($J$7=2,HLOOKUP(C$11,index1970,Query!$O82)/C$9 * HLOOKUP(C$11,comboutfac,Query!$O82),HLOOKUP(C$11,index1970,Query!$O82)/C$9 * HLOOKUP(C$11,comboutfac,Query!$O82) /C$8))</f>
        <v>1.20525522293551</v>
      </c>
      <c r="D47" s="120">
        <f>IF($J$7=1,HLOOKUP(D$11,index1970,Query!$O82)/D$9,IF($J$7=2,HLOOKUP(D$11,index1970,Query!$O82)/D$9 * HLOOKUP(D$11,comboutfac,Query!$O82),HLOOKUP(D$11,index1970,Query!$O82)/D$9 * HLOOKUP(D$11,comboutfac,Query!$O82) /D$8))</f>
        <v>1.1940964742252083</v>
      </c>
      <c r="E47" s="120">
        <f>IF($J$7=1,HLOOKUP(E$11,index1970,Query!$O82)/E$9,IF($J$7=2,HLOOKUP(E$11,index1970,Query!$O82)/E$9 * HLOOKUP(E$11,comboutfac,Query!$O82),HLOOKUP(E$11,index1970,Query!$O82)/E$9 * HLOOKUP(E$11,comboutfac,Query!$O82) /E$8))</f>
        <v>1.0958620158430503</v>
      </c>
      <c r="F47" s="120">
        <f>IF($J$7=1,HLOOKUP(F$11,index1970,Query!$O82)/F$9,IF($J$7=2,HLOOKUP(F$11,index1970,Query!$O82)/F$9 * HLOOKUP(F$11,comboutfac,Query!$O82),HLOOKUP(F$11,index1970,Query!$O82)/F$9 * HLOOKUP(F$11,comboutfac,Query!$O82) /F$8))</f>
        <v>1.2308844705885766</v>
      </c>
      <c r="G47" s="120">
        <f>IF($J$7=1,HLOOKUP(G$11,index1970,Query!$O82)/G$9,IF($J$7=2,HLOOKUP(G$11,index1970,Query!$O82)/G$9 * HLOOKUP(G$11,comboutfac,Query!$O82),HLOOKUP(G$11,index1970,Query!$O82)/G$9 * HLOOKUP(G$11,comboutfac,Query!$O82) /G$8))</f>
        <v>1.1800884561566327</v>
      </c>
      <c r="H47" s="120">
        <f>IF($J$7=1,HLOOKUP(H$11,index1970,Query!$O82)/H$9,IF($J$7=2,HLOOKUP(H$11,index1970,Query!$O82)/H$9 * HLOOKUP(H$11,comboutfac,Query!$O82),HLOOKUP(H$11,index1970,Query!$O82)/H$9 * HLOOKUP(H$11,comboutfac,Query!$O82) /H$8))</f>
        <v>1.2311707937976837</v>
      </c>
      <c r="I47" s="120">
        <f>IF($J$7=1,HLOOKUP(I$11,index1970,Query!$O82)/I$9,IF($J$7=2,HLOOKUP(I$11,index1970,Query!$O82)/I$9 * HLOOKUP(I$11,comboutfac,Query!$O82),HLOOKUP(I$11,index1970,Query!$O82)/I$9 * HLOOKUP(I$11,comboutfac,Query!$O82) /I$8))</f>
        <v>1.2218698939935004</v>
      </c>
      <c r="J47" s="120">
        <f>IF($J$7=1,HLOOKUP(J$11,index1970,Query!$O82)/J$9,IF($J$7=2,HLOOKUP(J$11,index1970,Query!$O82)/J$9 * HLOOKUP(J$11,comboutfac,Query!$O82),HLOOKUP(J$11,index1970,Query!$O82)/J$9 * HLOOKUP(J$11,comboutfac,Query!$O82) /J$8))</f>
        <v>1.2198949883783277</v>
      </c>
      <c r="K47" s="120">
        <f>IF($J$7=1,HLOOKUP(K$11,index1970,Query!$O82)/K$9,IF($J$7=2,HLOOKUP(K$11,index1970,Query!$O82)/K$9 * HLOOKUP(K$11,comboutfac,Query!$O82),HLOOKUP(K$11,index1970,Query!$O82)/K$9 * HLOOKUP(K$11,comboutfac,Query!$O82) /K$8))</f>
        <v>1.1543508347113864</v>
      </c>
      <c r="L47" s="120">
        <f>IF($J$7=1,HLOOKUP(L$11,index1970,Query!$O82)/L$9,IF($J$7=2,HLOOKUP(L$11,index1970,Query!$O82)/L$9 * HLOOKUP(L$11,comboutfac,Query!$O82),HLOOKUP(L$11,index1970,Query!$O82)/L$9 * HLOOKUP(L$11,comboutfac,Query!$O82) /L$8))</f>
        <v>1.1642313876367374</v>
      </c>
      <c r="M47" s="120">
        <f>IF($J$7=1,HLOOKUP(M$11,index1970,Query!$O82)/M$9,IF($J$7=2,HLOOKUP(M$11,index1970,Query!$O82)/M$9 * HLOOKUP(M$11,comboutfac,Query!$O82),HLOOKUP(M$11,index1970,Query!$O82)/M$9 * HLOOKUP(M$11,comboutfac,Query!$O82) /M$8))</f>
        <v>1.1684890970980297</v>
      </c>
      <c r="N47" s="120">
        <f>IF($J$7=1,HLOOKUP(N$11,index1970,Query!$O82)/N$9,IF($J$7=2,HLOOKUP(N$11,index1970,Query!$O82)/N$9 * HLOOKUP(N$11,comboutfac,Query!$O82),HLOOKUP(N$11,index1970,Query!$O82)/N$9 * HLOOKUP(N$11,comboutfac,Query!$O82) /N$8))</f>
        <v>1.1697860607604906</v>
      </c>
      <c r="O47" s="120">
        <f>IF($J$7=1,HLOOKUP(O$11,index1970,Query!$O82)/O$9,IF($J$7=2,HLOOKUP(O$11,index1970,Query!$O82)/O$9 * HLOOKUP(O$11,comboutfac,Query!$O82),HLOOKUP(O$11,index1970,Query!$O82)/O$9 * HLOOKUP(O$11,comboutfac,Query!$O82) /O$8))</f>
        <v>1.2033560261822307</v>
      </c>
      <c r="P47" s="120">
        <f>IF($J$7=1,HLOOKUP(P$11,index1970,Query!$O82)/P$9,IF($J$7=2,HLOOKUP(P$11,index1970,Query!$O82)/P$9 * HLOOKUP(P$11,comboutfac,Query!$O82),HLOOKUP(P$11,index1970,Query!$O82)/P$9 * HLOOKUP(P$11,comboutfac,Query!$O82) /P$8))</f>
        <v>1.1790499080723273</v>
      </c>
      <c r="Q47" s="120">
        <f>IF($J$7=1,HLOOKUP(Q$11,index1970,Query!$O82)/Q$9,IF($J$7=2,HLOOKUP(Q$11,index1970,Query!$O82)/Q$9 * HLOOKUP(Q$11,comboutfac,Query!$O82),HLOOKUP(Q$11,index1970,Query!$O82)/Q$9 * HLOOKUP(Q$11,comboutfac,Query!$O82) /Q$8))</f>
        <v>1.1771706134657993</v>
      </c>
      <c r="R47" s="120">
        <f>IF($J$7=1,HLOOKUP(R$11,index1970,Query!$O82)/R$9,IF($J$7=2,HLOOKUP(R$11,index1970,Query!$O82)/R$9 * HLOOKUP(R$11,comboutfac,Query!$O82),HLOOKUP(R$11,index1970,Query!$O82)/R$9 * HLOOKUP(R$11,comboutfac,Query!$O82) /R$8))</f>
        <v>0.93030082826053029</v>
      </c>
      <c r="S47" s="120">
        <f>IF($J$7=1,HLOOKUP(S$11,index1970,Query!$O82)/S$9,IF($J$7=2,HLOOKUP(S$11,index1970,Query!$O82)/S$9 * HLOOKUP(S$11,comboutfac,Query!$O82),HLOOKUP(S$11,index1970,Query!$O82)/S$9 * HLOOKUP(S$11,comboutfac,Query!$O82) /S$8))</f>
        <v>1.1748270899613957</v>
      </c>
      <c r="T47" s="120">
        <f>IF($J$7=1,HLOOKUP(T$11,index1970,Query!$O82)/T$9,IF($J$7=2,HLOOKUP(T$11,index1970,Query!$O82)/T$9 * HLOOKUP(T$11,comboutfac,Query!$O82),HLOOKUP(T$11,index1970,Query!$O82)/T$9 * HLOOKUP(T$11,comboutfac,Query!$O82) /T$8))</f>
        <v>1.1776409599740201</v>
      </c>
      <c r="U47" s="120">
        <f>IF($J$7=1,HLOOKUP(U$11,index1970,Query!$O82)/U$9,IF($J$7=2,HLOOKUP(U$11,index1970,Query!$O82)/U$9 * HLOOKUP(U$11,comboutfac,Query!$O82),HLOOKUP(U$11,index1970,Query!$O82)/U$9 * HLOOKUP(U$11,comboutfac,Query!$O82) /U$8))</f>
        <v>1.1978614121629565</v>
      </c>
      <c r="V47" s="120">
        <f>IF($J$7=1,HLOOKUP(V$11,index1970,Query!$O82)/V$9,IF($J$7=2,HLOOKUP(V$11,index1970,Query!$O82)/V$9 * HLOOKUP(V$11,comboutfac,Query!$O82),HLOOKUP(V$11,index1970,Query!$O82)/V$9 * HLOOKUP(V$11,comboutfac,Query!$O82) /V$8))</f>
        <v>1.187106433884648</v>
      </c>
      <c r="W47" s="120">
        <f>IF($J$7=1,HLOOKUP(W$11,index1970,Query!$O82)/W$9,IF($J$7=2,HLOOKUP(W$11,index1970,Query!$O82)/W$9 * HLOOKUP(W$11,comboutfac,Query!$O82),HLOOKUP(W$11,index1970,Query!$O82)/W$9 * HLOOKUP(W$11,comboutfac,Query!$O82) /W$8))</f>
        <v>1.1884561939889375</v>
      </c>
      <c r="X47" s="120">
        <f>IF($J$7=1,HLOOKUP(X$11,index1970,Query!$O82)/X$9,IF($J$7=2,HLOOKUP(X$11,index1970,Query!$O82)/X$9 * HLOOKUP(X$11,comboutfac,Query!$O82),HLOOKUP(X$11,index1970,Query!$O82)/X$9 * HLOOKUP(X$11,comboutfac,Query!$O82) /X$8))</f>
        <v>1.2062028950461843</v>
      </c>
      <c r="Y47" s="682"/>
      <c r="Z47" s="682"/>
    </row>
    <row r="48" spans="1:26" s="122" customFormat="1">
      <c r="A48" s="121">
        <f t="shared" si="2"/>
        <v>2020</v>
      </c>
      <c r="B48" s="120">
        <f>IF($J$7=1,HLOOKUP(B$11,index1970,Query!$O83)/B$9,IF($J$7=2,HLOOKUP(B$11,index1970,Query!$O83)/B$9 * HLOOKUP(B$11,comboutfac,Query!$O83),HLOOKUP(B$11,index1970,Query!$O83)/B$9 * HLOOKUP(B$11,comboutfac,Query!$O83) /B$8))</f>
        <v>1.224860002293835</v>
      </c>
      <c r="C48" s="120">
        <f>IF($J$7=1,HLOOKUP(C$11,index1970,Query!$O83)/C$9,IF($J$7=2,HLOOKUP(C$11,index1970,Query!$O83)/C$9 * HLOOKUP(C$11,comboutfac,Query!$O83),HLOOKUP(C$11,index1970,Query!$O83)/C$9 * HLOOKUP(C$11,comboutfac,Query!$O83) /C$8))</f>
        <v>1.2293603273942197</v>
      </c>
      <c r="D48" s="120">
        <f>IF($J$7=1,HLOOKUP(D$11,index1970,Query!$O83)/D$9,IF($J$7=2,HLOOKUP(D$11,index1970,Query!$O83)/D$9 * HLOOKUP(D$11,comboutfac,Query!$O83),HLOOKUP(D$11,index1970,Query!$O83)/D$9 * HLOOKUP(D$11,comboutfac,Query!$O83) /D$8))</f>
        <v>1.2179784037097132</v>
      </c>
      <c r="E48" s="120">
        <f>IF($J$7=1,HLOOKUP(E$11,index1970,Query!$O83)/E$9,IF($J$7=2,HLOOKUP(E$11,index1970,Query!$O83)/E$9 * HLOOKUP(E$11,comboutfac,Query!$O83),HLOOKUP(E$11,index1970,Query!$O83)/E$9 * HLOOKUP(E$11,comboutfac,Query!$O83) /E$8))</f>
        <v>1.1166833941440681</v>
      </c>
      <c r="F48" s="120">
        <f>IF($J$7=1,HLOOKUP(F$11,index1970,Query!$O83)/F$9,IF($J$7=2,HLOOKUP(F$11,index1970,Query!$O83)/F$9 * HLOOKUP(F$11,comboutfac,Query!$O83),HLOOKUP(F$11,index1970,Query!$O83)/F$9 * HLOOKUP(F$11,comboutfac,Query!$O83) /F$8))</f>
        <v>1.2555021600003489</v>
      </c>
      <c r="G48" s="120">
        <f>IF($J$7=1,HLOOKUP(G$11,index1970,Query!$O83)/G$9,IF($J$7=2,HLOOKUP(G$11,index1970,Query!$O83)/G$9 * HLOOKUP(G$11,comboutfac,Query!$O83),HLOOKUP(G$11,index1970,Query!$O83)/G$9 * HLOOKUP(G$11,comboutfac,Query!$O83) /G$8))</f>
        <v>1.2036902252797659</v>
      </c>
      <c r="H48" s="120">
        <f>IF($J$7=1,HLOOKUP(H$11,index1970,Query!$O83)/H$9,IF($J$7=2,HLOOKUP(H$11,index1970,Query!$O83)/H$9 * HLOOKUP(H$11,comboutfac,Query!$O83),HLOOKUP(H$11,index1970,Query!$O83)/H$9 * HLOOKUP(H$11,comboutfac,Query!$O83) /H$8))</f>
        <v>1.2557942096736376</v>
      </c>
      <c r="I48" s="120">
        <f>IF($J$7=1,HLOOKUP(I$11,index1970,Query!$O83)/I$9,IF($J$7=2,HLOOKUP(I$11,index1970,Query!$O83)/I$9 * HLOOKUP(I$11,comboutfac,Query!$O83),HLOOKUP(I$11,index1970,Query!$O83)/I$9 * HLOOKUP(I$11,comboutfac,Query!$O83) /I$8))</f>
        <v>1.2463072918733711</v>
      </c>
      <c r="J48" s="120">
        <f>IF($J$7=1,HLOOKUP(J$11,index1970,Query!$O83)/J$9,IF($J$7=2,HLOOKUP(J$11,index1970,Query!$O83)/J$9 * HLOOKUP(J$11,comboutfac,Query!$O83),HLOOKUP(J$11,index1970,Query!$O83)/J$9 * HLOOKUP(J$11,comboutfac,Query!$O83) /J$8))</f>
        <v>1.2442928881458948</v>
      </c>
      <c r="K48" s="120">
        <f>IF($J$7=1,HLOOKUP(K$11,index1970,Query!$O83)/K$9,IF($J$7=2,HLOOKUP(K$11,index1970,Query!$O83)/K$9 * HLOOKUP(K$11,comboutfac,Query!$O83),HLOOKUP(K$11,index1970,Query!$O83)/K$9 * HLOOKUP(K$11,comboutfac,Query!$O83) /K$8))</f>
        <v>1.1762835005709027</v>
      </c>
      <c r="L48" s="120">
        <f>IF($J$7=1,HLOOKUP(L$11,index1970,Query!$O83)/L$9,IF($J$7=2,HLOOKUP(L$11,index1970,Query!$O83)/L$9 * HLOOKUP(L$11,comboutfac,Query!$O83),HLOOKUP(L$11,index1970,Query!$O83)/L$9 * HLOOKUP(L$11,comboutfac,Query!$O83) /L$8))</f>
        <v>1.1875160153894722</v>
      </c>
      <c r="M48" s="120">
        <f>IF($J$7=1,HLOOKUP(M$11,index1970,Query!$O83)/M$9,IF($J$7=2,HLOOKUP(M$11,index1970,Query!$O83)/M$9 * HLOOKUP(M$11,comboutfac,Query!$O83),HLOOKUP(M$11,index1970,Query!$O83)/M$9 * HLOOKUP(M$11,comboutfac,Query!$O83) /M$8))</f>
        <v>1.1918588790399902</v>
      </c>
      <c r="N48" s="120">
        <f>IF($J$7=1,HLOOKUP(N$11,index1970,Query!$O83)/N$9,IF($J$7=2,HLOOKUP(N$11,index1970,Query!$O83)/N$9 * HLOOKUP(N$11,comboutfac,Query!$O83),HLOOKUP(N$11,index1970,Query!$O83)/N$9 * HLOOKUP(N$11,comboutfac,Query!$O83) /N$8))</f>
        <v>1.1931817819757002</v>
      </c>
      <c r="O48" s="120">
        <f>IF($J$7=1,HLOOKUP(O$11,index1970,Query!$O83)/O$9,IF($J$7=2,HLOOKUP(O$11,index1970,Query!$O83)/O$9 * HLOOKUP(O$11,comboutfac,Query!$O83),HLOOKUP(O$11,index1970,Query!$O83)/O$9 * HLOOKUP(O$11,comboutfac,Query!$O83) /O$8))</f>
        <v>1.2274231467058754</v>
      </c>
      <c r="P48" s="120">
        <f>IF($J$7=1,HLOOKUP(P$11,index1970,Query!$O83)/P$9,IF($J$7=2,HLOOKUP(P$11,index1970,Query!$O83)/P$9 * HLOOKUP(P$11,comboutfac,Query!$O83),HLOOKUP(P$11,index1970,Query!$O83)/P$9 * HLOOKUP(P$11,comboutfac,Query!$O83) /P$8))</f>
        <v>1.2026309062337739</v>
      </c>
      <c r="Q48" s="120">
        <f>IF($J$7=1,HLOOKUP(Q$11,index1970,Query!$O83)/Q$9,IF($J$7=2,HLOOKUP(Q$11,index1970,Query!$O83)/Q$9 * HLOOKUP(Q$11,comboutfac,Query!$O83),HLOOKUP(Q$11,index1970,Query!$O83)/Q$9 * HLOOKUP(Q$11,comboutfac,Query!$O83) /Q$8))</f>
        <v>1.2007140257351152</v>
      </c>
      <c r="R48" s="120">
        <f>IF($J$7=1,HLOOKUP(R$11,index1970,Query!$O83)/R$9,IF($J$7=2,HLOOKUP(R$11,index1970,Query!$O83)/R$9 * HLOOKUP(R$11,comboutfac,Query!$O83),HLOOKUP(R$11,index1970,Query!$O83)/R$9 * HLOOKUP(R$11,comboutfac,Query!$O83) /R$8))</f>
        <v>0.93774323488661449</v>
      </c>
      <c r="S48" s="120">
        <f>IF($J$7=1,HLOOKUP(S$11,index1970,Query!$O83)/S$9,IF($J$7=2,HLOOKUP(S$11,index1970,Query!$O83)/S$9 * HLOOKUP(S$11,comboutfac,Query!$O83),HLOOKUP(S$11,index1970,Query!$O83)/S$9 * HLOOKUP(S$11,comboutfac,Query!$O83) /S$8))</f>
        <v>1.1983236317606238</v>
      </c>
      <c r="T48" s="120">
        <f>IF($J$7=1,HLOOKUP(T$11,index1970,Query!$O83)/T$9,IF($J$7=2,HLOOKUP(T$11,index1970,Query!$O83)/T$9 * HLOOKUP(T$11,comboutfac,Query!$O83),HLOOKUP(T$11,index1970,Query!$O83)/T$9 * HLOOKUP(T$11,comboutfac,Query!$O83) /T$8))</f>
        <v>1.201193779173501</v>
      </c>
      <c r="U48" s="120">
        <f>IF($J$7=1,HLOOKUP(U$11,index1970,Query!$O83)/U$9,IF($J$7=2,HLOOKUP(U$11,index1970,Query!$O83)/U$9 * HLOOKUP(U$11,comboutfac,Query!$O83),HLOOKUP(U$11,index1970,Query!$O83)/U$9 * HLOOKUP(U$11,comboutfac,Query!$O83) /U$8))</f>
        <v>1.2218186404062155</v>
      </c>
      <c r="V48" s="120">
        <f>IF($J$7=1,HLOOKUP(V$11,index1970,Query!$O83)/V$9,IF($J$7=2,HLOOKUP(V$11,index1970,Query!$O83)/V$9 * HLOOKUP(V$11,comboutfac,Query!$O83),HLOOKUP(V$11,index1970,Query!$O83)/V$9 * HLOOKUP(V$11,comboutfac,Query!$O83) /V$8))</f>
        <v>1.2108485625623411</v>
      </c>
      <c r="W48" s="120">
        <f>IF($J$7=1,HLOOKUP(W$11,index1970,Query!$O83)/W$9,IF($J$7=2,HLOOKUP(W$11,index1970,Query!$O83)/W$9 * HLOOKUP(W$11,comboutfac,Query!$O83),HLOOKUP(W$11,index1970,Query!$O83)/W$9 * HLOOKUP(W$11,comboutfac,Query!$O83) /W$8))</f>
        <v>1.2122253178687166</v>
      </c>
      <c r="X48" s="120">
        <f>IF($J$7=1,HLOOKUP(X$11,index1970,Query!$O83)/X$9,IF($J$7=2,HLOOKUP(X$11,index1970,Query!$O83)/X$9 * HLOOKUP(X$11,comboutfac,Query!$O83),HLOOKUP(X$11,index1970,Query!$O83)/X$9 * HLOOKUP(X$11,comboutfac,Query!$O83) /X$8))</f>
        <v>1.2303269529471079</v>
      </c>
      <c r="Y48" s="682"/>
      <c r="Z48" s="682"/>
    </row>
    <row r="49" spans="1:26" s="122" customFormat="1">
      <c r="A49" s="121">
        <f t="shared" si="2"/>
        <v>2021</v>
      </c>
      <c r="B49" s="120">
        <f>IF($J$7=1,HLOOKUP(B$11,index1970,Query!$O84)/B$9,IF($J$7=2,HLOOKUP(B$11,index1970,Query!$O84)/B$9 * HLOOKUP(B$11,comboutfac,Query!$O84),HLOOKUP(B$11,index1970,Query!$O84)/B$9 * HLOOKUP(B$11,comboutfac,Query!$O84) /B$8))</f>
        <v>1.2493572023397117</v>
      </c>
      <c r="C49" s="120">
        <f>IF($J$7=1,HLOOKUP(C$11,index1970,Query!$O84)/C$9,IF($J$7=2,HLOOKUP(C$11,index1970,Query!$O84)/C$9 * HLOOKUP(C$11,comboutfac,Query!$O84),HLOOKUP(C$11,index1970,Query!$O84)/C$9 * HLOOKUP(C$11,comboutfac,Query!$O84) /C$8))</f>
        <v>1.2539475339421042</v>
      </c>
      <c r="D49" s="120">
        <f>IF($J$7=1,HLOOKUP(D$11,index1970,Query!$O84)/D$9,IF($J$7=2,HLOOKUP(D$11,index1970,Query!$O84)/D$9 * HLOOKUP(D$11,comboutfac,Query!$O84),HLOOKUP(D$11,index1970,Query!$O84)/D$9 * HLOOKUP(D$11,comboutfac,Query!$O84) /D$8))</f>
        <v>1.2423379717839076</v>
      </c>
      <c r="E49" s="120">
        <f>IF($J$7=1,HLOOKUP(E$11,index1970,Query!$O84)/E$9,IF($J$7=2,HLOOKUP(E$11,index1970,Query!$O84)/E$9 * HLOOKUP(E$11,comboutfac,Query!$O84),HLOOKUP(E$11,index1970,Query!$O84)/E$9 * HLOOKUP(E$11,comboutfac,Query!$O84) /E$8))</f>
        <v>1.1395754037240216</v>
      </c>
      <c r="F49" s="120">
        <f>IF($J$7=1,HLOOKUP(F$11,index1970,Query!$O84)/F$9,IF($J$7=2,HLOOKUP(F$11,index1970,Query!$O84)/F$9 * HLOOKUP(F$11,comboutfac,Query!$O84),HLOOKUP(F$11,index1970,Query!$O84)/F$9 * HLOOKUP(F$11,comboutfac,Query!$O84) /F$8))</f>
        <v>1.2806122032003555</v>
      </c>
      <c r="G49" s="120">
        <f>IF($J$7=1,HLOOKUP(G$11,index1970,Query!$O84)/G$9,IF($J$7=2,HLOOKUP(G$11,index1970,Query!$O84)/G$9 * HLOOKUP(G$11,comboutfac,Query!$O84),HLOOKUP(G$11,index1970,Query!$O84)/G$9 * HLOOKUP(G$11,comboutfac,Query!$O84) /G$8))</f>
        <v>1.2277640297853609</v>
      </c>
      <c r="H49" s="120">
        <f>IF($J$7=1,HLOOKUP(H$11,index1970,Query!$O84)/H$9,IF($J$7=2,HLOOKUP(H$11,index1970,Query!$O84)/H$9 * HLOOKUP(H$11,comboutfac,Query!$O84),HLOOKUP(H$11,index1970,Query!$O84)/H$9 * HLOOKUP(H$11,comboutfac,Query!$O84) /H$8))</f>
        <v>1.2809100938671105</v>
      </c>
      <c r="I49" s="120">
        <f>IF($J$7=1,HLOOKUP(I$11,index1970,Query!$O84)/I$9,IF($J$7=2,HLOOKUP(I$11,index1970,Query!$O84)/I$9 * HLOOKUP(I$11,comboutfac,Query!$O84),HLOOKUP(I$11,index1970,Query!$O84)/I$9 * HLOOKUP(I$11,comboutfac,Query!$O84) /I$8))</f>
        <v>1.2712334377108385</v>
      </c>
      <c r="J49" s="120">
        <f>IF($J$7=1,HLOOKUP(J$11,index1970,Query!$O84)/J$9,IF($J$7=2,HLOOKUP(J$11,index1970,Query!$O84)/J$9 * HLOOKUP(J$11,comboutfac,Query!$O84),HLOOKUP(J$11,index1970,Query!$O84)/J$9 * HLOOKUP(J$11,comboutfac,Query!$O84) /J$8))</f>
        <v>1.2691787459088122</v>
      </c>
      <c r="K49" s="120">
        <f>IF($J$7=1,HLOOKUP(K$11,index1970,Query!$O84)/K$9,IF($J$7=2,HLOOKUP(K$11,index1970,Query!$O84)/K$9 * HLOOKUP(K$11,comboutfac,Query!$O84),HLOOKUP(K$11,index1970,Query!$O84)/K$9 * HLOOKUP(K$11,comboutfac,Query!$O84) /K$8))</f>
        <v>1.2003973123326059</v>
      </c>
      <c r="L49" s="120">
        <f>IF($J$7=1,HLOOKUP(L$11,index1970,Query!$O84)/L$9,IF($J$7=2,HLOOKUP(L$11,index1970,Query!$O84)/L$9 * HLOOKUP(L$11,comboutfac,Query!$O84),HLOOKUP(L$11,index1970,Query!$O84)/L$9 * HLOOKUP(L$11,comboutfac,Query!$O84) /L$8))</f>
        <v>1.2112663356972615</v>
      </c>
      <c r="M49" s="120">
        <f>IF($J$7=1,HLOOKUP(M$11,index1970,Query!$O84)/M$9,IF($J$7=2,HLOOKUP(M$11,index1970,Query!$O84)/M$9 * HLOOKUP(M$11,comboutfac,Query!$O84),HLOOKUP(M$11,index1970,Query!$O84)/M$9 * HLOOKUP(M$11,comboutfac,Query!$O84) /M$8))</f>
        <v>1.2156960566207902</v>
      </c>
      <c r="N49" s="120">
        <f>IF($J$7=1,HLOOKUP(N$11,index1970,Query!$O84)/N$9,IF($J$7=2,HLOOKUP(N$11,index1970,Query!$O84)/N$9 * HLOOKUP(N$11,comboutfac,Query!$O84),HLOOKUP(N$11,index1970,Query!$O84)/N$9 * HLOOKUP(N$11,comboutfac,Query!$O84) /N$8))</f>
        <v>1.2170454176152143</v>
      </c>
      <c r="O49" s="120">
        <f>IF($J$7=1,HLOOKUP(O$11,index1970,Query!$O84)/O$9,IF($J$7=2,HLOOKUP(O$11,index1970,Query!$O84)/O$9 * HLOOKUP(O$11,comboutfac,Query!$O84),HLOOKUP(O$11,index1970,Query!$O84)/O$9 * HLOOKUP(O$11,comboutfac,Query!$O84) /O$8))</f>
        <v>1.2519716096399929</v>
      </c>
      <c r="P49" s="120">
        <f>IF($J$7=1,HLOOKUP(P$11,index1970,Query!$O84)/P$9,IF($J$7=2,HLOOKUP(P$11,index1970,Query!$O84)/P$9 * HLOOKUP(P$11,comboutfac,Query!$O84),HLOOKUP(P$11,index1970,Query!$O84)/P$9 * HLOOKUP(P$11,comboutfac,Query!$O84) /P$8))</f>
        <v>1.2266835243584495</v>
      </c>
      <c r="Q49" s="120">
        <f>IF($J$7=1,HLOOKUP(Q$11,index1970,Query!$O84)/Q$9,IF($J$7=2,HLOOKUP(Q$11,index1970,Query!$O84)/Q$9 * HLOOKUP(Q$11,comboutfac,Query!$O84),HLOOKUP(Q$11,index1970,Query!$O84)/Q$9 * HLOOKUP(Q$11,comboutfac,Query!$O84) /Q$8))</f>
        <v>1.2247283062498175</v>
      </c>
      <c r="R49" s="120">
        <f>IF($J$7=1,HLOOKUP(R$11,index1970,Query!$O84)/R$9,IF($J$7=2,HLOOKUP(R$11,index1970,Query!$O84)/R$9 * HLOOKUP(R$11,comboutfac,Query!$O84),HLOOKUP(R$11,index1970,Query!$O84)/R$9 * HLOOKUP(R$11,comboutfac,Query!$O84) /R$8))</f>
        <v>0.94899615370525381</v>
      </c>
      <c r="S49" s="120">
        <f>IF($J$7=1,HLOOKUP(S$11,index1970,Query!$O84)/S$9,IF($J$7=2,HLOOKUP(S$11,index1970,Query!$O84)/S$9 * HLOOKUP(S$11,comboutfac,Query!$O84),HLOOKUP(S$11,index1970,Query!$O84)/S$9 * HLOOKUP(S$11,comboutfac,Query!$O84) /S$8))</f>
        <v>1.2222901043958365</v>
      </c>
      <c r="T49" s="120">
        <f>IF($J$7=1,HLOOKUP(T$11,index1970,Query!$O84)/T$9,IF($J$7=2,HLOOKUP(T$11,index1970,Query!$O84)/T$9 * HLOOKUP(T$11,comboutfac,Query!$O84),HLOOKUP(T$11,index1970,Query!$O84)/T$9 * HLOOKUP(T$11,comboutfac,Query!$O84) /T$8))</f>
        <v>1.2252176547569711</v>
      </c>
      <c r="U49" s="120">
        <f>IF($J$7=1,HLOOKUP(U$11,index1970,Query!$O84)/U$9,IF($J$7=2,HLOOKUP(U$11,index1970,Query!$O84)/U$9 * HLOOKUP(U$11,comboutfac,Query!$O84),HLOOKUP(U$11,index1970,Query!$O84)/U$9 * HLOOKUP(U$11,comboutfac,Query!$O84) /U$8))</f>
        <v>1.2462550132143397</v>
      </c>
      <c r="V49" s="120">
        <f>IF($J$7=1,HLOOKUP(V$11,index1970,Query!$O84)/V$9,IF($J$7=2,HLOOKUP(V$11,index1970,Query!$O84)/V$9 * HLOOKUP(V$11,comboutfac,Query!$O84),HLOOKUP(V$11,index1970,Query!$O84)/V$9 * HLOOKUP(V$11,comboutfac,Query!$O84) /V$8))</f>
        <v>1.2350655338135879</v>
      </c>
      <c r="W49" s="120">
        <f>IF($J$7=1,HLOOKUP(W$11,index1970,Query!$O84)/W$9,IF($J$7=2,HLOOKUP(W$11,index1970,Query!$O84)/W$9 * HLOOKUP(W$11,comboutfac,Query!$O84),HLOOKUP(W$11,index1970,Query!$O84)/W$9 * HLOOKUP(W$11,comboutfac,Query!$O84) /W$8))</f>
        <v>1.236469824226091</v>
      </c>
      <c r="X49" s="120">
        <f>IF($J$7=1,HLOOKUP(X$11,index1970,Query!$O84)/X$9,IF($J$7=2,HLOOKUP(X$11,index1970,Query!$O84)/X$9 * HLOOKUP(X$11,comboutfac,Query!$O84),HLOOKUP(X$11,index1970,Query!$O84)/X$9 * HLOOKUP(X$11,comboutfac,Query!$O84) /X$8))</f>
        <v>1.2549334920060498</v>
      </c>
      <c r="Y49" s="682"/>
      <c r="Z49" s="682"/>
    </row>
    <row r="50" spans="1:26" s="122" customFormat="1">
      <c r="A50" s="121">
        <f t="shared" si="2"/>
        <v>2022</v>
      </c>
      <c r="B50" s="120">
        <f>IF($J$7=1,HLOOKUP(B$11,index1970,Query!$O85)/B$9,IF($J$7=2,HLOOKUP(B$11,index1970,Query!$O85)/B$9 * HLOOKUP(B$11,comboutfac,Query!$O85),HLOOKUP(B$11,index1970,Query!$O85)/B$9 * HLOOKUP(B$11,comboutfac,Query!$O85) /B$8))</f>
        <v>1.2743443463865056</v>
      </c>
      <c r="C50" s="120">
        <f>IF($J$7=1,HLOOKUP(C$11,index1970,Query!$O85)/C$9,IF($J$7=2,HLOOKUP(C$11,index1970,Query!$O85)/C$9 * HLOOKUP(C$11,comboutfac,Query!$O85),HLOOKUP(C$11,index1970,Query!$O85)/C$9 * HLOOKUP(C$11,comboutfac,Query!$O85) /C$8))</f>
        <v>1.2790264846209458</v>
      </c>
      <c r="D50" s="120">
        <f>IF($J$7=1,HLOOKUP(D$11,index1970,Query!$O85)/D$9,IF($J$7=2,HLOOKUP(D$11,index1970,Query!$O85)/D$9 * HLOOKUP(D$11,comboutfac,Query!$O85),HLOOKUP(D$11,index1970,Query!$O85)/D$9 * HLOOKUP(D$11,comboutfac,Query!$O85) /D$8))</f>
        <v>1.2671847312195856</v>
      </c>
      <c r="E50" s="120">
        <f>IF($J$7=1,HLOOKUP(E$11,index1970,Query!$O85)/E$9,IF($J$7=2,HLOOKUP(E$11,index1970,Query!$O85)/E$9 * HLOOKUP(E$11,comboutfac,Query!$O85),HLOOKUP(E$11,index1970,Query!$O85)/E$9 * HLOOKUP(E$11,comboutfac,Query!$O85) /E$8))</f>
        <v>1.1635064872022258</v>
      </c>
      <c r="F50" s="120">
        <f>IF($J$7=1,HLOOKUP(F$11,index1970,Query!$O85)/F$9,IF($J$7=2,HLOOKUP(F$11,index1970,Query!$O85)/F$9 * HLOOKUP(F$11,comboutfac,Query!$O85),HLOOKUP(F$11,index1970,Query!$O85)/F$9 * HLOOKUP(F$11,comboutfac,Query!$O85) /F$8))</f>
        <v>1.3062244472643625</v>
      </c>
      <c r="G50" s="120">
        <f>IF($J$7=1,HLOOKUP(G$11,index1970,Query!$O85)/G$9,IF($J$7=2,HLOOKUP(G$11,index1970,Query!$O85)/G$9 * HLOOKUP(G$11,comboutfac,Query!$O85),HLOOKUP(G$11,index1970,Query!$O85)/G$9 * HLOOKUP(G$11,comboutfac,Query!$O85) /G$8))</f>
        <v>1.2523193103810681</v>
      </c>
      <c r="H50" s="120">
        <f>IF($J$7=1,HLOOKUP(H$11,index1970,Query!$O85)/H$9,IF($J$7=2,HLOOKUP(H$11,index1970,Query!$O85)/H$9 * HLOOKUP(H$11,comboutfac,Query!$O85),HLOOKUP(H$11,index1970,Query!$O85)/H$9 * HLOOKUP(H$11,comboutfac,Query!$O85) /H$8))</f>
        <v>1.3065282957444524</v>
      </c>
      <c r="I50" s="120">
        <f>IF($J$7=1,HLOOKUP(I$11,index1970,Query!$O85)/I$9,IF($J$7=2,HLOOKUP(I$11,index1970,Query!$O85)/I$9 * HLOOKUP(I$11,comboutfac,Query!$O85),HLOOKUP(I$11,index1970,Query!$O85)/I$9 * HLOOKUP(I$11,comboutfac,Query!$O85) /I$8))</f>
        <v>1.2966581064650549</v>
      </c>
      <c r="J50" s="120">
        <f>IF($J$7=1,HLOOKUP(J$11,index1970,Query!$O85)/J$9,IF($J$7=2,HLOOKUP(J$11,index1970,Query!$O85)/J$9 * HLOOKUP(J$11,comboutfac,Query!$O85),HLOOKUP(J$11,index1970,Query!$O85)/J$9 * HLOOKUP(J$11,comboutfac,Query!$O85) /J$8))</f>
        <v>1.2945623208269883</v>
      </c>
      <c r="K50" s="120">
        <f>IF($J$7=1,HLOOKUP(K$11,index1970,Query!$O85)/K$9,IF($J$7=2,HLOOKUP(K$11,index1970,Query!$O85)/K$9 * HLOOKUP(K$11,comboutfac,Query!$O85),HLOOKUP(K$11,index1970,Query!$O85)/K$9 * HLOOKUP(K$11,comboutfac,Query!$O85) /K$8))</f>
        <v>1.2256056558915907</v>
      </c>
      <c r="L50" s="120">
        <f>IF($J$7=1,HLOOKUP(L$11,index1970,Query!$O85)/L$9,IF($J$7=2,HLOOKUP(L$11,index1970,Query!$O85)/L$9 * HLOOKUP(L$11,comboutfac,Query!$O85),HLOOKUP(L$11,index1970,Query!$O85)/L$9 * HLOOKUP(L$11,comboutfac,Query!$O85) /L$8))</f>
        <v>1.2354916624112067</v>
      </c>
      <c r="M50" s="120">
        <f>IF($J$7=1,HLOOKUP(M$11,index1970,Query!$O85)/M$9,IF($J$7=2,HLOOKUP(M$11,index1970,Query!$O85)/M$9 * HLOOKUP(M$11,comboutfac,Query!$O85),HLOOKUP(M$11,index1970,Query!$O85)/M$9 * HLOOKUP(M$11,comboutfac,Query!$O85) /M$8))</f>
        <v>1.2400099777532054</v>
      </c>
      <c r="N50" s="120">
        <f>IF($J$7=1,HLOOKUP(N$11,index1970,Query!$O85)/N$9,IF($J$7=2,HLOOKUP(N$11,index1970,Query!$O85)/N$9 * HLOOKUP(N$11,comboutfac,Query!$O85),HLOOKUP(N$11,index1970,Query!$O85)/N$9 * HLOOKUP(N$11,comboutfac,Query!$O85) /N$8))</f>
        <v>1.2413863259675182</v>
      </c>
      <c r="O50" s="120">
        <f>IF($J$7=1,HLOOKUP(O$11,index1970,Query!$O85)/O$9,IF($J$7=2,HLOOKUP(O$11,index1970,Query!$O85)/O$9 * HLOOKUP(O$11,comboutfac,Query!$O85),HLOOKUP(O$11,index1970,Query!$O85)/O$9 * HLOOKUP(O$11,comboutfac,Query!$O85) /O$8))</f>
        <v>1.277011041832792</v>
      </c>
      <c r="P50" s="120">
        <f>IF($J$7=1,HLOOKUP(P$11,index1970,Query!$O85)/P$9,IF($J$7=2,HLOOKUP(P$11,index1970,Query!$O85)/P$9 * HLOOKUP(P$11,comboutfac,Query!$O85),HLOOKUP(P$11,index1970,Query!$O85)/P$9 * HLOOKUP(P$11,comboutfac,Query!$O85) /P$8))</f>
        <v>1.2512171948456183</v>
      </c>
      <c r="Q50" s="120">
        <f>IF($J$7=1,HLOOKUP(Q$11,index1970,Query!$O85)/Q$9,IF($J$7=2,HLOOKUP(Q$11,index1970,Query!$O85)/Q$9 * HLOOKUP(Q$11,comboutfac,Query!$O85),HLOOKUP(Q$11,index1970,Query!$O85)/Q$9 * HLOOKUP(Q$11,comboutfac,Query!$O85) /Q$8))</f>
        <v>1.249222872374814</v>
      </c>
      <c r="R50" s="120">
        <f>IF($J$7=1,HLOOKUP(R$11,index1970,Query!$O85)/R$9,IF($J$7=2,HLOOKUP(R$11,index1970,Query!$O85)/R$9 * HLOOKUP(R$11,comboutfac,Query!$O85),HLOOKUP(R$11,index1970,Query!$O85)/R$9 * HLOOKUP(R$11,comboutfac,Query!$O85) /R$8))</f>
        <v>0.97177206139417982</v>
      </c>
      <c r="S50" s="120">
        <f>IF($J$7=1,HLOOKUP(S$11,index1970,Query!$O85)/S$9,IF($J$7=2,HLOOKUP(S$11,index1970,Query!$O85)/S$9 * HLOOKUP(S$11,comboutfac,Query!$O85),HLOOKUP(S$11,index1970,Query!$O85)/S$9 * HLOOKUP(S$11,comboutfac,Query!$O85) /S$8))</f>
        <v>1.2467359064837531</v>
      </c>
      <c r="T50" s="120">
        <f>IF($J$7=1,HLOOKUP(T$11,index1970,Query!$O85)/T$9,IF($J$7=2,HLOOKUP(T$11,index1970,Query!$O85)/T$9 * HLOOKUP(T$11,comboutfac,Query!$O85),HLOOKUP(T$11,index1970,Query!$O85)/T$9 * HLOOKUP(T$11,comboutfac,Query!$O85) /T$8))</f>
        <v>1.2497220078521103</v>
      </c>
      <c r="U50" s="120">
        <f>IF($J$7=1,HLOOKUP(U$11,index1970,Query!$O85)/U$9,IF($J$7=2,HLOOKUP(U$11,index1970,Query!$O85)/U$9 * HLOOKUP(U$11,comboutfac,Query!$O85),HLOOKUP(U$11,index1970,Query!$O85)/U$9 * HLOOKUP(U$11,comboutfac,Query!$O85) /U$8))</f>
        <v>1.2711801134786269</v>
      </c>
      <c r="V50" s="120">
        <f>IF($J$7=1,HLOOKUP(V$11,index1970,Query!$O85)/V$9,IF($J$7=2,HLOOKUP(V$11,index1970,Query!$O85)/V$9 * HLOOKUP(V$11,comboutfac,Query!$O85),HLOOKUP(V$11,index1970,Query!$O85)/V$9 * HLOOKUP(V$11,comboutfac,Query!$O85) /V$8))</f>
        <v>1.2597668444898598</v>
      </c>
      <c r="W50" s="120">
        <f>IF($J$7=1,HLOOKUP(W$11,index1970,Query!$O85)/W$9,IF($J$7=2,HLOOKUP(W$11,index1970,Query!$O85)/W$9 * HLOOKUP(W$11,comboutfac,Query!$O85),HLOOKUP(W$11,index1970,Query!$O85)/W$9 * HLOOKUP(W$11,comboutfac,Query!$O85) /W$8))</f>
        <v>1.2611992207106126</v>
      </c>
      <c r="X50" s="120">
        <f>IF($J$7=1,HLOOKUP(X$11,index1970,Query!$O85)/X$9,IF($J$7=2,HLOOKUP(X$11,index1970,Query!$O85)/X$9 * HLOOKUP(X$11,comboutfac,Query!$O85),HLOOKUP(X$11,index1970,Query!$O85)/X$9 * HLOOKUP(X$11,comboutfac,Query!$O85) /X$8))</f>
        <v>1.2800321618461712</v>
      </c>
      <c r="Y50" s="682"/>
      <c r="Z50" s="682"/>
    </row>
    <row r="51" spans="1:26" s="122" customFormat="1">
      <c r="A51" s="121">
        <f t="shared" si="2"/>
        <v>2023</v>
      </c>
      <c r="B51" s="120">
        <f>IF($J$7=1,HLOOKUP(B$11,index1970,Query!$O86)/B$9,IF($J$7=2,HLOOKUP(B$11,index1970,Query!$O86)/B$9 * HLOOKUP(B$11,comboutfac,Query!$O86),HLOOKUP(B$11,index1970,Query!$O86)/B$9 * HLOOKUP(B$11,comboutfac,Query!$O86) /B$8))</f>
        <v>1.2998312333142357</v>
      </c>
      <c r="C51" s="120">
        <f>IF($J$7=1,HLOOKUP(C$11,index1970,Query!$O86)/C$9,IF($J$7=2,HLOOKUP(C$11,index1970,Query!$O86)/C$9 * HLOOKUP(C$11,comboutfac,Query!$O86),HLOOKUP(C$11,index1970,Query!$O86)/C$9 * HLOOKUP(C$11,comboutfac,Query!$O86) /C$8))</f>
        <v>1.304607014313365</v>
      </c>
      <c r="D51" s="120">
        <f>IF($J$7=1,HLOOKUP(D$11,index1970,Query!$O86)/D$9,IF($J$7=2,HLOOKUP(D$11,index1970,Query!$O86)/D$9 * HLOOKUP(D$11,comboutfac,Query!$O86),HLOOKUP(D$11,index1970,Query!$O86)/D$9 * HLOOKUP(D$11,comboutfac,Query!$O86) /D$8))</f>
        <v>1.2925284258439775</v>
      </c>
      <c r="E51" s="120">
        <f>IF($J$7=1,HLOOKUP(E$11,index1970,Query!$O86)/E$9,IF($J$7=2,HLOOKUP(E$11,index1970,Query!$O86)/E$9 * HLOOKUP(E$11,comboutfac,Query!$O86),HLOOKUP(E$11,index1970,Query!$O86)/E$9 * HLOOKUP(E$11,comboutfac,Query!$O86) /E$8))</f>
        <v>1.1879401234334723</v>
      </c>
      <c r="F51" s="120">
        <f>IF($J$7=1,HLOOKUP(F$11,index1970,Query!$O86)/F$9,IF($J$7=2,HLOOKUP(F$11,index1970,Query!$O86)/F$9 * HLOOKUP(F$11,comboutfac,Query!$O86),HLOOKUP(F$11,index1970,Query!$O86)/F$9 * HLOOKUP(F$11,comboutfac,Query!$O86) /F$8))</f>
        <v>1.3323489362096508</v>
      </c>
      <c r="G51" s="120">
        <f>IF($J$7=1,HLOOKUP(G$11,index1970,Query!$O86)/G$9,IF($J$7=2,HLOOKUP(G$11,index1970,Query!$O86)/G$9 * HLOOKUP(G$11,comboutfac,Query!$O86),HLOOKUP(G$11,index1970,Query!$O86)/G$9 * HLOOKUP(G$11,comboutfac,Query!$O86) /G$8))</f>
        <v>1.2773656965886895</v>
      </c>
      <c r="H51" s="120">
        <f>IF($J$7=1,HLOOKUP(H$11,index1970,Query!$O86)/H$9,IF($J$7=2,HLOOKUP(H$11,index1970,Query!$O86)/H$9 * HLOOKUP(H$11,comboutfac,Query!$O86),HLOOKUP(H$11,index1970,Query!$O86)/H$9 * HLOOKUP(H$11,comboutfac,Query!$O86) /H$8))</f>
        <v>1.3326588616593422</v>
      </c>
      <c r="I51" s="120">
        <f>IF($J$7=1,HLOOKUP(I$11,index1970,Query!$O86)/I$9,IF($J$7=2,HLOOKUP(I$11,index1970,Query!$O86)/I$9 * HLOOKUP(I$11,comboutfac,Query!$O86),HLOOKUP(I$11,index1970,Query!$O86)/I$9 * HLOOKUP(I$11,comboutfac,Query!$O86) /I$8))</f>
        <v>1.3225912685943562</v>
      </c>
      <c r="J51" s="120">
        <f>IF($J$7=1,HLOOKUP(J$11,index1970,Query!$O86)/J$9,IF($J$7=2,HLOOKUP(J$11,index1970,Query!$O86)/J$9 * HLOOKUP(J$11,comboutfac,Query!$O86),HLOOKUP(J$11,index1970,Query!$O86)/J$9 * HLOOKUP(J$11,comboutfac,Query!$O86) /J$8))</f>
        <v>1.3204535672435287</v>
      </c>
      <c r="K51" s="120">
        <f>IF($J$7=1,HLOOKUP(K$11,index1970,Query!$O86)/K$9,IF($J$7=2,HLOOKUP(K$11,index1970,Query!$O86)/K$9 * HLOOKUP(K$11,comboutfac,Query!$O86),HLOOKUP(K$11,index1970,Query!$O86)/K$9 * HLOOKUP(K$11,comboutfac,Query!$O86) /K$8))</f>
        <v>1.2513433746653138</v>
      </c>
      <c r="L51" s="120">
        <f>IF($J$7=1,HLOOKUP(L$11,index1970,Query!$O86)/L$9,IF($J$7=2,HLOOKUP(L$11,index1970,Query!$O86)/L$9 * HLOOKUP(L$11,comboutfac,Query!$O86),HLOOKUP(L$11,index1970,Query!$O86)/L$9 * HLOOKUP(L$11,comboutfac,Query!$O86) /L$8))</f>
        <v>1.260201495659431</v>
      </c>
      <c r="M51" s="120">
        <f>IF($J$7=1,HLOOKUP(M$11,index1970,Query!$O86)/M$9,IF($J$7=2,HLOOKUP(M$11,index1970,Query!$O86)/M$9 * HLOOKUP(M$11,comboutfac,Query!$O86),HLOOKUP(M$11,index1970,Query!$O86)/M$9 * HLOOKUP(M$11,comboutfac,Query!$O86) /M$8))</f>
        <v>1.2648101773082698</v>
      </c>
      <c r="N51" s="120">
        <f>IF($J$7=1,HLOOKUP(N$11,index1970,Query!$O86)/N$9,IF($J$7=2,HLOOKUP(N$11,index1970,Query!$O86)/N$9 * HLOOKUP(N$11,comboutfac,Query!$O86),HLOOKUP(N$11,index1970,Query!$O86)/N$9 * HLOOKUP(N$11,comboutfac,Query!$O86) /N$8))</f>
        <v>1.2662140524868686</v>
      </c>
      <c r="O51" s="120">
        <f>IF($J$7=1,HLOOKUP(O$11,index1970,Query!$O86)/O$9,IF($J$7=2,HLOOKUP(O$11,index1970,Query!$O86)/O$9 * HLOOKUP(O$11,comboutfac,Query!$O86),HLOOKUP(O$11,index1970,Query!$O86)/O$9 * HLOOKUP(O$11,comboutfac,Query!$O86) /O$8))</f>
        <v>1.3025512626694482</v>
      </c>
      <c r="P51" s="120">
        <f>IF($J$7=1,HLOOKUP(P$11,index1970,Query!$O86)/P$9,IF($J$7=2,HLOOKUP(P$11,index1970,Query!$O86)/P$9 * HLOOKUP(P$11,comboutfac,Query!$O86),HLOOKUP(P$11,index1970,Query!$O86)/P$9 * HLOOKUP(P$11,comboutfac,Query!$O86) /P$8))</f>
        <v>1.2762415387425308</v>
      </c>
      <c r="Q51" s="120">
        <f>IF($J$7=1,HLOOKUP(Q$11,index1970,Query!$O86)/Q$9,IF($J$7=2,HLOOKUP(Q$11,index1970,Query!$O86)/Q$9 * HLOOKUP(Q$11,comboutfac,Query!$O86),HLOOKUP(Q$11,index1970,Query!$O86)/Q$9 * HLOOKUP(Q$11,comboutfac,Query!$O86) /Q$8))</f>
        <v>1.2742073298223098</v>
      </c>
      <c r="R51" s="120">
        <f>IF($J$7=1,HLOOKUP(R$11,index1970,Query!$O86)/R$9,IF($J$7=2,HLOOKUP(R$11,index1970,Query!$O86)/R$9 * HLOOKUP(R$11,comboutfac,Query!$O86),HLOOKUP(R$11,index1970,Query!$O86)/R$9 * HLOOKUP(R$11,comboutfac,Query!$O86) /R$8))</f>
        <v>0.99606636292903428</v>
      </c>
      <c r="S51" s="120">
        <f>IF($J$7=1,HLOOKUP(S$11,index1970,Query!$O86)/S$9,IF($J$7=2,HLOOKUP(S$11,index1970,Query!$O86)/S$9 * HLOOKUP(S$11,comboutfac,Query!$O86),HLOOKUP(S$11,index1970,Query!$O86)/S$9 * HLOOKUP(S$11,comboutfac,Query!$O86) /S$8))</f>
        <v>1.2716706246134282</v>
      </c>
      <c r="T51" s="120">
        <f>IF($J$7=1,HLOOKUP(T$11,index1970,Query!$O86)/T$9,IF($J$7=2,HLOOKUP(T$11,index1970,Query!$O86)/T$9 * HLOOKUP(T$11,comboutfac,Query!$O86),HLOOKUP(T$11,index1970,Query!$O86)/T$9 * HLOOKUP(T$11,comboutfac,Query!$O86) /T$8))</f>
        <v>1.2747164480091524</v>
      </c>
      <c r="U51" s="120">
        <f>IF($J$7=1,HLOOKUP(U$11,index1970,Query!$O86)/U$9,IF($J$7=2,HLOOKUP(U$11,index1970,Query!$O86)/U$9 * HLOOKUP(U$11,comboutfac,Query!$O86),HLOOKUP(U$11,index1970,Query!$O86)/U$9 * HLOOKUP(U$11,comboutfac,Query!$O86) /U$8))</f>
        <v>1.2966037157481993</v>
      </c>
      <c r="V51" s="120">
        <f>IF($J$7=1,HLOOKUP(V$11,index1970,Query!$O86)/V$9,IF($J$7=2,HLOOKUP(V$11,index1970,Query!$O86)/V$9 * HLOOKUP(V$11,comboutfac,Query!$O86),HLOOKUP(V$11,index1970,Query!$O86)/V$9 * HLOOKUP(V$11,comboutfac,Query!$O86) /V$8))</f>
        <v>1.284962181379657</v>
      </c>
      <c r="W51" s="120">
        <f>IF($J$7=1,HLOOKUP(W$11,index1970,Query!$O86)/W$9,IF($J$7=2,HLOOKUP(W$11,index1970,Query!$O86)/W$9 * HLOOKUP(W$11,comboutfac,Query!$O86),HLOOKUP(W$11,index1970,Query!$O86)/W$9 * HLOOKUP(W$11,comboutfac,Query!$O86) /W$8))</f>
        <v>1.2864232051248254</v>
      </c>
      <c r="X51" s="120">
        <f>IF($J$7=1,HLOOKUP(X$11,index1970,Query!$O86)/X$9,IF($J$7=2,HLOOKUP(X$11,index1970,Query!$O86)/X$9 * HLOOKUP(X$11,comboutfac,Query!$O86),HLOOKUP(X$11,index1970,Query!$O86)/X$9 * HLOOKUP(X$11,comboutfac,Query!$O86) /X$8))</f>
        <v>1.3056328050830937</v>
      </c>
      <c r="Y51" s="682"/>
      <c r="Z51" s="682"/>
    </row>
    <row r="52" spans="1:26" s="122" customFormat="1">
      <c r="A52" s="121">
        <f t="shared" si="2"/>
        <v>2024</v>
      </c>
      <c r="B52" s="120">
        <f>IF($J$7=1,HLOOKUP(B$11,index1970,Query!$O87)/B$9,IF($J$7=2,HLOOKUP(B$11,index1970,Query!$O87)/B$9 * HLOOKUP(B$11,comboutfac,Query!$O87),HLOOKUP(B$11,index1970,Query!$O87)/B$9 * HLOOKUP(B$11,comboutfac,Query!$O87) /B$8))</f>
        <v>1.3258278579805205</v>
      </c>
      <c r="C52" s="120">
        <f>IF($J$7=1,HLOOKUP(C$11,index1970,Query!$O87)/C$9,IF($J$7=2,HLOOKUP(C$11,index1970,Query!$O87)/C$9 * HLOOKUP(C$11,comboutfac,Query!$O87),HLOOKUP(C$11,index1970,Query!$O87)/C$9 * HLOOKUP(C$11,comboutfac,Query!$O87) /C$8))</f>
        <v>1.3306991545996325</v>
      </c>
      <c r="D52" s="120">
        <f>IF($J$7=1,HLOOKUP(D$11,index1970,Query!$O87)/D$9,IF($J$7=2,HLOOKUP(D$11,index1970,Query!$O87)/D$9 * HLOOKUP(D$11,comboutfac,Query!$O87),HLOOKUP(D$11,index1970,Query!$O87)/D$9 * HLOOKUP(D$11,comboutfac,Query!$O87) /D$8))</f>
        <v>1.3183789943608573</v>
      </c>
      <c r="E52" s="120">
        <f>IF($J$7=1,HLOOKUP(E$11,index1970,Query!$O87)/E$9,IF($J$7=2,HLOOKUP(E$11,index1970,Query!$O87)/E$9 * HLOOKUP(E$11,comboutfac,Query!$O87),HLOOKUP(E$11,index1970,Query!$O87)/E$9 * HLOOKUP(E$11,comboutfac,Query!$O87) /E$8))</f>
        <v>1.2128868660255752</v>
      </c>
      <c r="F52" s="120">
        <f>IF($J$7=1,HLOOKUP(F$11,index1970,Query!$O87)/F$9,IF($J$7=2,HLOOKUP(F$11,index1970,Query!$O87)/F$9 * HLOOKUP(F$11,comboutfac,Query!$O87),HLOOKUP(F$11,index1970,Query!$O87)/F$9 * HLOOKUP(F$11,comboutfac,Query!$O87) /F$8))</f>
        <v>1.3589959149338435</v>
      </c>
      <c r="G52" s="120">
        <f>IF($J$7=1,HLOOKUP(G$11,index1970,Query!$O87)/G$9,IF($J$7=2,HLOOKUP(G$11,index1970,Query!$O87)/G$9 * HLOOKUP(G$11,comboutfac,Query!$O87),HLOOKUP(G$11,index1970,Query!$O87)/G$9 * HLOOKUP(G$11,comboutfac,Query!$O87) /G$8))</f>
        <v>1.3029130105204632</v>
      </c>
      <c r="H52" s="120">
        <f>IF($J$7=1,HLOOKUP(H$11,index1970,Query!$O87)/H$9,IF($J$7=2,HLOOKUP(H$11,index1970,Query!$O87)/H$9 * HLOOKUP(H$11,comboutfac,Query!$O87),HLOOKUP(H$11,index1970,Query!$O87)/H$9 * HLOOKUP(H$11,comboutfac,Query!$O87) /H$8))</f>
        <v>1.3593120388925291</v>
      </c>
      <c r="I52" s="120">
        <f>IF($J$7=1,HLOOKUP(I$11,index1970,Query!$O87)/I$9,IF($J$7=2,HLOOKUP(I$11,index1970,Query!$O87)/I$9 * HLOOKUP(I$11,comboutfac,Query!$O87),HLOOKUP(I$11,index1970,Query!$O87)/I$9 * HLOOKUP(I$11,comboutfac,Query!$O87) /I$8))</f>
        <v>1.3490430939662439</v>
      </c>
      <c r="J52" s="120">
        <f>IF($J$7=1,HLOOKUP(J$11,index1970,Query!$O87)/J$9,IF($J$7=2,HLOOKUP(J$11,index1970,Query!$O87)/J$9 * HLOOKUP(J$11,comboutfac,Query!$O87),HLOOKUP(J$11,index1970,Query!$O87)/J$9 * HLOOKUP(J$11,comboutfac,Query!$O87) /J$8))</f>
        <v>1.3468626385883991</v>
      </c>
      <c r="K52" s="120">
        <f>IF($J$7=1,HLOOKUP(K$11,index1970,Query!$O87)/K$9,IF($J$7=2,HLOOKUP(K$11,index1970,Query!$O87)/K$9 * HLOOKUP(K$11,comboutfac,Query!$O87),HLOOKUP(K$11,index1970,Query!$O87)/K$9 * HLOOKUP(K$11,comboutfac,Query!$O87) /K$8))</f>
        <v>1.2776215855332853</v>
      </c>
      <c r="L52" s="120">
        <f>IF($J$7=1,HLOOKUP(L$11,index1970,Query!$O87)/L$9,IF($J$7=2,HLOOKUP(L$11,index1970,Query!$O87)/L$9 * HLOOKUP(L$11,comboutfac,Query!$O87),HLOOKUP(L$11,index1970,Query!$O87)/L$9 * HLOOKUP(L$11,comboutfac,Query!$O87) /L$8))</f>
        <v>1.28540552557262</v>
      </c>
      <c r="M52" s="120">
        <f>IF($J$7=1,HLOOKUP(M$11,index1970,Query!$O87)/M$9,IF($J$7=2,HLOOKUP(M$11,index1970,Query!$O87)/M$9 * HLOOKUP(M$11,comboutfac,Query!$O87),HLOOKUP(M$11,index1970,Query!$O87)/M$9 * HLOOKUP(M$11,comboutfac,Query!$O87) /M$8))</f>
        <v>1.2901063808544355</v>
      </c>
      <c r="N52" s="120">
        <f>IF($J$7=1,HLOOKUP(N$11,index1970,Query!$O87)/N$9,IF($J$7=2,HLOOKUP(N$11,index1970,Query!$O87)/N$9 * HLOOKUP(N$11,comboutfac,Query!$O87),HLOOKUP(N$11,index1970,Query!$O87)/N$9 * HLOOKUP(N$11,comboutfac,Query!$O87) /N$8))</f>
        <v>1.2915383335366062</v>
      </c>
      <c r="O52" s="120">
        <f>IF($J$7=1,HLOOKUP(O$11,index1970,Query!$O87)/O$9,IF($J$7=2,HLOOKUP(O$11,index1970,Query!$O87)/O$9 * HLOOKUP(O$11,comboutfac,Query!$O87),HLOOKUP(O$11,index1970,Query!$O87)/O$9 * HLOOKUP(O$11,comboutfac,Query!$O87) /O$8))</f>
        <v>1.3286022879228374</v>
      </c>
      <c r="P52" s="120">
        <f>IF($J$7=1,HLOOKUP(P$11,index1970,Query!$O87)/P$9,IF($J$7=2,HLOOKUP(P$11,index1970,Query!$O87)/P$9 * HLOOKUP(P$11,comboutfac,Query!$O87),HLOOKUP(P$11,index1970,Query!$O87)/P$9 * HLOOKUP(P$11,comboutfac,Query!$O87) /P$8))</f>
        <v>1.3017663695173813</v>
      </c>
      <c r="Q52" s="120">
        <f>IF($J$7=1,HLOOKUP(Q$11,index1970,Query!$O87)/Q$9,IF($J$7=2,HLOOKUP(Q$11,index1970,Query!$O87)/Q$9 * HLOOKUP(Q$11,comboutfac,Query!$O87),HLOOKUP(Q$11,index1970,Query!$O87)/Q$9 * HLOOKUP(Q$11,comboutfac,Query!$O87) /Q$8))</f>
        <v>1.2996914764187566</v>
      </c>
      <c r="R52" s="120">
        <f>IF($J$7=1,HLOOKUP(R$11,index1970,Query!$O87)/R$9,IF($J$7=2,HLOOKUP(R$11,index1970,Query!$O87)/R$9 * HLOOKUP(R$11,comboutfac,Query!$O87),HLOOKUP(R$11,index1970,Query!$O87)/R$9 * HLOOKUP(R$11,comboutfac,Query!$O87) /R$8))</f>
        <v>1.0209680220022601</v>
      </c>
      <c r="S52" s="120">
        <f>IF($J$7=1,HLOOKUP(S$11,index1970,Query!$O87)/S$9,IF($J$7=2,HLOOKUP(S$11,index1970,Query!$O87)/S$9 * HLOOKUP(S$11,comboutfac,Query!$O87),HLOOKUP(S$11,index1970,Query!$O87)/S$9 * HLOOKUP(S$11,comboutfac,Query!$O87) /S$8))</f>
        <v>1.2971040371056968</v>
      </c>
      <c r="T52" s="120">
        <f>IF($J$7=1,HLOOKUP(T$11,index1970,Query!$O87)/T$9,IF($J$7=2,HLOOKUP(T$11,index1970,Query!$O87)/T$9 * HLOOKUP(T$11,comboutfac,Query!$O87),HLOOKUP(T$11,index1970,Query!$O87)/T$9 * HLOOKUP(T$11,comboutfac,Query!$O87) /T$8))</f>
        <v>1.3002107769693354</v>
      </c>
      <c r="U52" s="120">
        <f>IF($J$7=1,HLOOKUP(U$11,index1970,Query!$O87)/U$9,IF($J$7=2,HLOOKUP(U$11,index1970,Query!$O87)/U$9 * HLOOKUP(U$11,comboutfac,Query!$O87),HLOOKUP(U$11,index1970,Query!$O87)/U$9 * HLOOKUP(U$11,comboutfac,Query!$O87) /U$8))</f>
        <v>1.3225357900631631</v>
      </c>
      <c r="V52" s="120">
        <f>IF($J$7=1,HLOOKUP(V$11,index1970,Query!$O87)/V$9,IF($J$7=2,HLOOKUP(V$11,index1970,Query!$O87)/V$9 * HLOOKUP(V$11,comboutfac,Query!$O87),HLOOKUP(V$11,index1970,Query!$O87)/V$9 * HLOOKUP(V$11,comboutfac,Query!$O87) /V$8))</f>
        <v>1.3106614250072499</v>
      </c>
      <c r="W52" s="120">
        <f>IF($J$7=1,HLOOKUP(W$11,index1970,Query!$O87)/W$9,IF($J$7=2,HLOOKUP(W$11,index1970,Query!$O87)/W$9 * HLOOKUP(W$11,comboutfac,Query!$O87),HLOOKUP(W$11,index1970,Query!$O87)/W$9 * HLOOKUP(W$11,comboutfac,Query!$O87) /W$8))</f>
        <v>1.3121516692273218</v>
      </c>
      <c r="X52" s="120">
        <f>IF($J$7=1,HLOOKUP(X$11,index1970,Query!$O87)/X$9,IF($J$7=2,HLOOKUP(X$11,index1970,Query!$O87)/X$9 * HLOOKUP(X$11,comboutfac,Query!$O87),HLOOKUP(X$11,index1970,Query!$O87)/X$9 * HLOOKUP(X$11,comboutfac,Query!$O87) /X$8))</f>
        <v>1.3317454611847561</v>
      </c>
      <c r="Y52" s="682"/>
      <c r="Z52" s="682"/>
    </row>
  </sheetData>
  <mergeCells count="5">
    <mergeCell ref="B1:C1"/>
    <mergeCell ref="A2:A3"/>
    <mergeCell ref="B4:D4"/>
    <mergeCell ref="G4:H4"/>
    <mergeCell ref="N1:O1"/>
  </mergeCells>
  <phoneticPr fontId="28" type="noConversion"/>
  <conditionalFormatting sqref="A13:A52">
    <cfRule type="cellIs" dxfId="7" priority="2" stopIfTrue="1" operator="equal">
      <formula>$E$4</formula>
    </cfRule>
  </conditionalFormatting>
  <conditionalFormatting sqref="B13:Y52">
    <cfRule type="cellIs" dxfId="6" priority="3" stopIfTrue="1" operator="equal">
      <formula>1</formula>
    </cfRule>
  </conditionalFormatting>
  <conditionalFormatting sqref="Z13:Z52">
    <cfRule type="cellIs" dxfId="5" priority="1" stopIfTrue="1" operator="equal">
      <formula>1</formula>
    </cfRule>
  </conditionalFormatting>
  <hyperlinks>
    <hyperlink ref="N1:O1" location="Main!A1" display="Return to Main"/>
  </hyperlinks>
  <pageMargins left="0.25" right="0.22" top="0.75" bottom="0.75" header="0.5" footer="0.5"/>
  <pageSetup scale="6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9" r:id="rId4" name="Drop Down 7">
              <controlPr defaultSize="0" autoLine="0" autoPict="0">
                <anchor moveWithCells="1">
                  <from>
                    <xdr:col>8</xdr:col>
                    <xdr:colOff>57150</xdr:colOff>
                    <xdr:row>3</xdr:row>
                    <xdr:rowOff>47625</xdr:rowOff>
                  </from>
                  <to>
                    <xdr:col>10</xdr:col>
                    <xdr:colOff>333375</xdr:colOff>
                    <xdr:row>3</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fitToPage="1"/>
  </sheetPr>
  <dimension ref="A1:P103"/>
  <sheetViews>
    <sheetView showGridLines="0" showRowColHeaders="0" workbookViewId="0">
      <pane ySplit="21" topLeftCell="A22" activePane="bottomLeft" state="frozen"/>
      <selection activeCell="I10" sqref="I10"/>
      <selection pane="bottomLeft" activeCell="B7" sqref="B7:E7"/>
    </sheetView>
  </sheetViews>
  <sheetFormatPr defaultRowHeight="12.75"/>
  <cols>
    <col min="1" max="1" width="2.140625" customWidth="1"/>
    <col min="2" max="2" width="8.140625" style="65" customWidth="1"/>
    <col min="3" max="3" width="8.85546875" customWidth="1"/>
    <col min="4" max="4" width="10.5703125" style="84" customWidth="1"/>
    <col min="5" max="5" width="11.5703125" style="72" customWidth="1"/>
    <col min="10" max="10" width="20.28515625" customWidth="1"/>
    <col min="11" max="11" width="12.28515625" customWidth="1"/>
  </cols>
  <sheetData>
    <row r="1" spans="1:16" ht="15.75" customHeight="1">
      <c r="A1" s="432"/>
    </row>
    <row r="2" spans="1:16" ht="18">
      <c r="B2" s="719" t="s">
        <v>494</v>
      </c>
      <c r="C2" s="719"/>
      <c r="D2" s="753" t="s">
        <v>459</v>
      </c>
      <c r="E2" s="719"/>
      <c r="P2" s="542"/>
    </row>
    <row r="6" spans="1:16" ht="20.100000000000001" customHeight="1" thickBot="1">
      <c r="B6" s="752" t="s">
        <v>157</v>
      </c>
      <c r="C6" s="752"/>
      <c r="D6" s="752"/>
      <c r="E6" s="752"/>
    </row>
    <row r="7" spans="1:16" ht="49.5" customHeight="1" thickBot="1">
      <c r="B7" s="749" t="str">
        <f>Query!Q44</f>
        <v>Civ pay = Civilian Payroll for all services (OSD Cost Escalation Element)</v>
      </c>
      <c r="C7" s="750"/>
      <c r="D7" s="750"/>
      <c r="E7" s="751"/>
      <c r="P7" s="436"/>
    </row>
    <row r="8" spans="1:16" ht="20.25" customHeight="1">
      <c r="B8" s="80"/>
      <c r="C8" s="75" t="str">
        <f>Query!S45</f>
        <v xml:space="preserve">Base Year = </v>
      </c>
      <c r="D8" s="79">
        <f>Query!T45</f>
        <v>2017</v>
      </c>
      <c r="E8" s="128">
        <f ca="1">NOW()</f>
        <v>43007.591650578703</v>
      </c>
    </row>
    <row r="9" spans="1:16" ht="4.5" customHeight="1"/>
    <row r="10" spans="1:16" s="71" customFormat="1" ht="58.5" customHeight="1">
      <c r="B10" s="58" t="s">
        <v>27</v>
      </c>
      <c r="C10" s="76" t="s">
        <v>198</v>
      </c>
      <c r="D10" s="74" t="s">
        <v>30</v>
      </c>
      <c r="E10" s="77" t="s">
        <v>515</v>
      </c>
      <c r="G10" s="71" t="s">
        <v>158</v>
      </c>
      <c r="P10" s="541"/>
    </row>
    <row r="11" spans="1:16" hidden="1">
      <c r="B11" s="81">
        <v>1970</v>
      </c>
      <c r="C11">
        <v>0</v>
      </c>
      <c r="D11" s="84">
        <f>Query!T48</f>
        <v>0.16378520017842868</v>
      </c>
      <c r="E11" s="72">
        <f t="shared" ref="E11:E21" si="0">C11/D11</f>
        <v>0</v>
      </c>
    </row>
    <row r="12" spans="1:16" hidden="1">
      <c r="B12" s="82">
        <v>1971</v>
      </c>
      <c r="C12">
        <v>0</v>
      </c>
      <c r="D12" s="84">
        <f>Query!T49</f>
        <v>0.17829656891423748</v>
      </c>
      <c r="E12" s="72">
        <f t="shared" si="0"/>
        <v>0</v>
      </c>
    </row>
    <row r="13" spans="1:16" hidden="1">
      <c r="B13" s="82">
        <v>1972</v>
      </c>
      <c r="C13">
        <v>0</v>
      </c>
      <c r="D13" s="84">
        <f>Query!T50</f>
        <v>0.1934161179581648</v>
      </c>
      <c r="E13" s="72">
        <f t="shared" si="0"/>
        <v>0</v>
      </c>
    </row>
    <row r="14" spans="1:16" hidden="1">
      <c r="B14" s="82">
        <v>1973</v>
      </c>
      <c r="C14">
        <v>0</v>
      </c>
      <c r="D14" s="84">
        <f>Query!T51</f>
        <v>0.20496306020026725</v>
      </c>
      <c r="E14" s="72">
        <f t="shared" si="0"/>
        <v>0</v>
      </c>
    </row>
    <row r="15" spans="1:16" hidden="1">
      <c r="B15" s="82">
        <v>1974</v>
      </c>
      <c r="C15">
        <v>0</v>
      </c>
      <c r="D15" s="84">
        <f>Query!T52</f>
        <v>0.22361469867849154</v>
      </c>
      <c r="E15" s="72">
        <f t="shared" si="0"/>
        <v>0</v>
      </c>
    </row>
    <row r="16" spans="1:16" hidden="1">
      <c r="B16" s="82">
        <v>1975</v>
      </c>
      <c r="C16">
        <v>0</v>
      </c>
      <c r="D16" s="84">
        <f>Query!T53</f>
        <v>0.24204054984959927</v>
      </c>
      <c r="E16" s="72">
        <f t="shared" si="0"/>
        <v>0</v>
      </c>
    </row>
    <row r="17" spans="2:10" hidden="1">
      <c r="B17" s="82">
        <v>1976</v>
      </c>
      <c r="C17">
        <v>0</v>
      </c>
      <c r="D17" s="84">
        <f>Query!T54</f>
        <v>0.26200889521219123</v>
      </c>
      <c r="E17" s="72">
        <f t="shared" si="0"/>
        <v>0</v>
      </c>
    </row>
    <row r="18" spans="2:10" hidden="1">
      <c r="B18" s="82" t="s">
        <v>1</v>
      </c>
      <c r="C18">
        <v>0</v>
      </c>
      <c r="D18" s="84">
        <f>Query!T55</f>
        <v>0.26971195673142967</v>
      </c>
      <c r="E18" s="72">
        <f t="shared" si="0"/>
        <v>0</v>
      </c>
    </row>
    <row r="19" spans="2:10" hidden="1">
      <c r="B19" s="82">
        <v>1977</v>
      </c>
      <c r="C19">
        <v>0</v>
      </c>
      <c r="D19" s="84">
        <f>Query!T56</f>
        <v>0.28532827902617947</v>
      </c>
      <c r="E19" s="72">
        <f t="shared" si="0"/>
        <v>0</v>
      </c>
    </row>
    <row r="20" spans="2:10" hidden="1">
      <c r="B20" s="82">
        <v>1978</v>
      </c>
      <c r="C20">
        <v>0</v>
      </c>
      <c r="D20" s="84">
        <f>Query!T57</f>
        <v>0.30741268782280573</v>
      </c>
      <c r="E20" s="72">
        <f t="shared" si="0"/>
        <v>0</v>
      </c>
    </row>
    <row r="21" spans="2:10" hidden="1">
      <c r="B21" s="82">
        <v>1979</v>
      </c>
      <c r="C21">
        <v>0</v>
      </c>
      <c r="D21" s="84">
        <f>Query!T58</f>
        <v>0.32598041416730322</v>
      </c>
      <c r="E21" s="72">
        <f t="shared" si="0"/>
        <v>0</v>
      </c>
    </row>
    <row r="22" spans="2:10">
      <c r="B22" s="82">
        <f>IF(Query!$Q$45="Army",Query!$Q48,Query!$Q59)</f>
        <v>1980</v>
      </c>
      <c r="C22" s="89">
        <v>0</v>
      </c>
      <c r="D22" s="424">
        <f>IF(Query!$Q$45="Army",Query!$T48,Query!$T59)</f>
        <v>0.34824487645493002</v>
      </c>
      <c r="E22" s="73">
        <f>IF(D22="N/A",0,C22/D22)</f>
        <v>0</v>
      </c>
    </row>
    <row r="23" spans="2:10">
      <c r="B23" s="82">
        <f>IF(Query!$Q$45="Army",Query!$Q49,Query!$Q60)</f>
        <v>1981</v>
      </c>
      <c r="C23" s="89">
        <v>0</v>
      </c>
      <c r="D23" s="424">
        <f>IF(Query!$Q$45="Army",Query!$T49,Query!$T60)</f>
        <v>0.37854218070650891</v>
      </c>
      <c r="E23" s="73">
        <f t="shared" ref="E23:E86" si="1">IF(D23="N/A",0,C23/D23)</f>
        <v>0</v>
      </c>
    </row>
    <row r="24" spans="2:10" ht="15" customHeight="1">
      <c r="B24" s="82">
        <f>IF(Query!$Q$45="Army",Query!$Q50,Query!$Q61)</f>
        <v>1982</v>
      </c>
      <c r="C24" s="89">
        <v>0</v>
      </c>
      <c r="D24" s="424">
        <f>IF(Query!$Q$45="Army",Query!$T50,Query!$T61)</f>
        <v>0.39932414642729624</v>
      </c>
      <c r="E24" s="73">
        <f t="shared" si="1"/>
        <v>0</v>
      </c>
      <c r="J24" s="135"/>
    </row>
    <row r="25" spans="2:10" ht="12.75" customHeight="1">
      <c r="B25" s="82">
        <f>IF(Query!$Q$45="Army",Query!$Q51,Query!$Q62)</f>
        <v>1983</v>
      </c>
      <c r="C25" s="89">
        <v>0</v>
      </c>
      <c r="D25" s="424">
        <f>IF(Query!$Q$45="Army",Query!$T51,Query!$T62)</f>
        <v>0.41649508472366997</v>
      </c>
      <c r="E25" s="73">
        <f t="shared" si="1"/>
        <v>0</v>
      </c>
    </row>
    <row r="26" spans="2:10">
      <c r="B26" s="82">
        <f>IF(Query!$Q$45="Army",Query!$Q52,Query!$Q63)</f>
        <v>1984</v>
      </c>
      <c r="C26" s="89">
        <v>0</v>
      </c>
      <c r="D26" s="424">
        <f>IF(Query!$Q$45="Army",Query!$T52,Query!$T63)</f>
        <v>0.42898993726538009</v>
      </c>
      <c r="E26" s="73">
        <f t="shared" si="1"/>
        <v>0</v>
      </c>
    </row>
    <row r="27" spans="2:10">
      <c r="B27" s="82">
        <f>IF(Query!$Q$45="Army",Query!$Q53,Query!$Q64)</f>
        <v>1985</v>
      </c>
      <c r="C27" s="89">
        <v>0</v>
      </c>
      <c r="D27" s="424">
        <f>IF(Query!$Q$45="Army",Query!$T53,Query!$T64)</f>
        <v>0.44451937299438687</v>
      </c>
      <c r="E27" s="73">
        <f t="shared" si="1"/>
        <v>0</v>
      </c>
    </row>
    <row r="28" spans="2:10">
      <c r="B28" s="82">
        <f>IF(Query!$Q$45="Army",Query!$Q54,Query!$Q65)</f>
        <v>1986</v>
      </c>
      <c r="C28" s="89">
        <v>0</v>
      </c>
      <c r="D28" s="424">
        <f>IF(Query!$Q$45="Army",Query!$T54,Query!$T65)</f>
        <v>0.44451937299438687</v>
      </c>
      <c r="E28" s="73">
        <f t="shared" si="1"/>
        <v>0</v>
      </c>
    </row>
    <row r="29" spans="2:10">
      <c r="B29" s="82">
        <f>IF(Query!$Q$45="Army",Query!$Q55,Query!$Q66)</f>
        <v>1987</v>
      </c>
      <c r="C29" s="89">
        <v>0</v>
      </c>
      <c r="D29" s="424">
        <f>IF(Query!$Q$45="Army",Query!$T55,Query!$T66)</f>
        <v>0.45452105888676059</v>
      </c>
      <c r="E29" s="73">
        <f t="shared" si="1"/>
        <v>0</v>
      </c>
    </row>
    <row r="30" spans="2:10">
      <c r="B30" s="82">
        <f>IF(Query!$Q$45="Army",Query!$Q56,Query!$Q67)</f>
        <v>1988</v>
      </c>
      <c r="C30" s="89">
        <v>0</v>
      </c>
      <c r="D30" s="424">
        <f>IF(Query!$Q$45="Army",Query!$T56,Query!$T67)</f>
        <v>0.46470233060582405</v>
      </c>
      <c r="E30" s="73">
        <f t="shared" si="1"/>
        <v>0</v>
      </c>
    </row>
    <row r="31" spans="2:10">
      <c r="B31" s="82">
        <f>IF(Query!$Q$45="Army",Query!$Q57,Query!$Q68)</f>
        <v>1989</v>
      </c>
      <c r="C31" s="89">
        <v>0</v>
      </c>
      <c r="D31" s="424">
        <f>IF(Query!$Q$45="Army",Query!$T57,Query!$T68)</f>
        <v>0.48133867404151254</v>
      </c>
      <c r="E31" s="73">
        <f t="shared" si="1"/>
        <v>0</v>
      </c>
    </row>
    <row r="32" spans="2:10">
      <c r="B32" s="82">
        <f>IF(Query!$Q$45="Army",Query!$Q58,Query!$Q69)</f>
        <v>1990</v>
      </c>
      <c r="C32" s="89">
        <v>0</v>
      </c>
      <c r="D32" s="424">
        <f>IF(Query!$Q$45="Army",Query!$T58,Query!$T69)</f>
        <v>0.49924447271585676</v>
      </c>
      <c r="E32" s="73">
        <f t="shared" si="1"/>
        <v>0</v>
      </c>
    </row>
    <row r="33" spans="2:8">
      <c r="B33" s="82">
        <f>IF(Query!$Q$45="Army",Query!$Q59,Query!$Q70)</f>
        <v>1991</v>
      </c>
      <c r="C33" s="89">
        <v>0</v>
      </c>
      <c r="D33" s="424">
        <f>IF(Query!$Q$45="Army",Query!$T59,Query!$T70)</f>
        <v>0.51911440272994791</v>
      </c>
      <c r="E33" s="73">
        <f t="shared" si="1"/>
        <v>0</v>
      </c>
    </row>
    <row r="34" spans="2:8">
      <c r="B34" s="82">
        <f>IF(Query!$Q$45="Army",Query!$Q60,Query!$Q71)</f>
        <v>1992</v>
      </c>
      <c r="C34" s="89">
        <v>0</v>
      </c>
      <c r="D34" s="424">
        <f>IF(Query!$Q$45="Army",Query!$T60,Query!$T71)</f>
        <v>0.54081338476405971</v>
      </c>
      <c r="E34" s="73">
        <f t="shared" si="1"/>
        <v>0</v>
      </c>
    </row>
    <row r="35" spans="2:8">
      <c r="B35" s="82">
        <f>IF(Query!$Q$45="Army",Query!$Q61,Query!$Q72)</f>
        <v>1993</v>
      </c>
      <c r="C35" s="89">
        <v>0</v>
      </c>
      <c r="D35" s="424">
        <f>IF(Query!$Q$45="Army",Query!$T61,Query!$T72)</f>
        <v>0.56147245606204677</v>
      </c>
      <c r="E35" s="73">
        <f t="shared" si="1"/>
        <v>0</v>
      </c>
    </row>
    <row r="36" spans="2:8">
      <c r="B36" s="82">
        <f>IF(Query!$Q$45="Army",Query!$Q62,Query!$Q73)</f>
        <v>1994</v>
      </c>
      <c r="C36" s="89">
        <v>0</v>
      </c>
      <c r="D36" s="424">
        <f>IF(Query!$Q$45="Army",Query!$T62,Query!$T73)</f>
        <v>0.56652570816660519</v>
      </c>
      <c r="E36" s="73">
        <f t="shared" si="1"/>
        <v>0</v>
      </c>
    </row>
    <row r="37" spans="2:8">
      <c r="B37" s="82">
        <f>IF(Query!$Q$45="Army",Query!$Q63,Query!$Q74)</f>
        <v>1995</v>
      </c>
      <c r="C37" s="89">
        <v>0</v>
      </c>
      <c r="D37" s="424">
        <f>IF(Query!$Q$45="Army",Query!$T63,Query!$T74)</f>
        <v>0.57502359378910417</v>
      </c>
      <c r="E37" s="73">
        <f t="shared" si="1"/>
        <v>0</v>
      </c>
    </row>
    <row r="38" spans="2:8" ht="12.75" customHeight="1">
      <c r="B38" s="82">
        <f>IF(Query!$Q$45="Army",Query!$Q64,Query!$Q75)</f>
        <v>1996</v>
      </c>
      <c r="C38" s="89">
        <v>0</v>
      </c>
      <c r="D38" s="424">
        <f>IF(Query!$Q$45="Army",Query!$T64,Query!$T75)</f>
        <v>0.58652406566488624</v>
      </c>
      <c r="E38" s="73">
        <f t="shared" si="1"/>
        <v>0</v>
      </c>
      <c r="H38" s="78"/>
    </row>
    <row r="39" spans="2:8">
      <c r="B39" s="82">
        <f>IF(Query!$Q$45="Army",Query!$Q65,Query!$Q76)</f>
        <v>1997</v>
      </c>
      <c r="C39" s="89">
        <v>0</v>
      </c>
      <c r="D39" s="424">
        <f>IF(Query!$Q$45="Army",Query!$T65,Query!$T76)</f>
        <v>0.60265347747067066</v>
      </c>
      <c r="E39" s="73">
        <f t="shared" si="1"/>
        <v>0</v>
      </c>
    </row>
    <row r="40" spans="2:8">
      <c r="B40" s="82">
        <f>IF(Query!$Q$45="Army",Query!$Q66,Query!$Q77)</f>
        <v>1998</v>
      </c>
      <c r="C40" s="89">
        <v>0</v>
      </c>
      <c r="D40" s="424">
        <f>IF(Query!$Q$45="Army",Query!$T66,Query!$T77)</f>
        <v>0.61982910157858484</v>
      </c>
      <c r="E40" s="73">
        <f t="shared" si="1"/>
        <v>0</v>
      </c>
    </row>
    <row r="41" spans="2:8">
      <c r="B41" s="82">
        <f>IF(Query!$Q$45="Army",Query!$Q67,Query!$Q78)</f>
        <v>1999</v>
      </c>
      <c r="C41" s="89">
        <v>0</v>
      </c>
      <c r="D41" s="424">
        <f>IF(Query!$Q$45="Army",Query!$T67,Query!$T78)</f>
        <v>0.64090329103225674</v>
      </c>
      <c r="E41" s="73">
        <f t="shared" si="1"/>
        <v>0</v>
      </c>
    </row>
    <row r="42" spans="2:8">
      <c r="B42" s="82">
        <f>IF(Query!$Q$45="Army",Query!$Q68,Query!$Q79)</f>
        <v>2000</v>
      </c>
      <c r="C42" s="89">
        <v>0</v>
      </c>
      <c r="D42" s="424">
        <f>IF(Query!$Q$45="Army",Query!$T68,Query!$T79)</f>
        <v>0.6697944874895394</v>
      </c>
      <c r="E42" s="73">
        <f t="shared" si="1"/>
        <v>0</v>
      </c>
    </row>
    <row r="43" spans="2:8">
      <c r="B43" s="82">
        <f>IF(Query!$Q$45="Army",Query!$Q69,Query!$Q80)</f>
        <v>2001</v>
      </c>
      <c r="C43" s="89">
        <v>0</v>
      </c>
      <c r="D43" s="424">
        <f>IF(Query!$Q$45="Army",Query!$T69,Query!$T80)</f>
        <v>0.69635481290946721</v>
      </c>
      <c r="E43" s="73">
        <f t="shared" si="1"/>
        <v>0</v>
      </c>
    </row>
    <row r="44" spans="2:8">
      <c r="B44" s="82">
        <f>IF(Query!$Q$45="Army",Query!$Q70,Query!$Q81)</f>
        <v>2002</v>
      </c>
      <c r="C44" s="89">
        <v>0</v>
      </c>
      <c r="D44" s="424">
        <f>IF(Query!$Q$45="Army",Query!$T70,Query!$T81)</f>
        <v>0.72686264067251072</v>
      </c>
      <c r="E44" s="73">
        <f t="shared" si="1"/>
        <v>0</v>
      </c>
    </row>
    <row r="45" spans="2:8">
      <c r="B45" s="82">
        <f>IF(Query!$Q$45="Army",Query!$Q71,Query!$Q82)</f>
        <v>2003</v>
      </c>
      <c r="C45" s="89">
        <v>0</v>
      </c>
      <c r="D45" s="424">
        <f>IF(Query!$Q$45="Army",Query!$T71,Query!$T82)</f>
        <v>0.75754228665960077</v>
      </c>
      <c r="E45" s="73">
        <f t="shared" si="1"/>
        <v>0</v>
      </c>
    </row>
    <row r="46" spans="2:8">
      <c r="B46" s="82">
        <f>IF(Query!$Q$45="Army",Query!$Q72,Query!$Q83)</f>
        <v>2004</v>
      </c>
      <c r="C46" s="89">
        <v>0</v>
      </c>
      <c r="D46" s="424">
        <f>IF(Query!$Q$45="Army",Query!$T72,Query!$T83)</f>
        <v>0.78860152041264431</v>
      </c>
      <c r="E46" s="73">
        <f t="shared" si="1"/>
        <v>0</v>
      </c>
    </row>
    <row r="47" spans="2:8">
      <c r="B47" s="82">
        <f>IF(Query!$Q$45="Army",Query!$Q73,Query!$Q84)</f>
        <v>2005</v>
      </c>
      <c r="C47" s="89">
        <v>0</v>
      </c>
      <c r="D47" s="424">
        <f>IF(Query!$Q$45="Army",Query!$T73,Query!$T84)</f>
        <v>0.81735018680256</v>
      </c>
      <c r="E47" s="73">
        <f t="shared" si="1"/>
        <v>0</v>
      </c>
    </row>
    <row r="48" spans="2:8">
      <c r="B48" s="82">
        <f>IF(Query!$Q$45="Army",Query!$Q74,Query!$Q85)</f>
        <v>2006</v>
      </c>
      <c r="C48" s="89">
        <v>0</v>
      </c>
      <c r="D48" s="424">
        <f>IF(Query!$Q$45="Army",Query!$T74,Query!$T85)</f>
        <v>0.84348448613721771</v>
      </c>
      <c r="E48" s="73">
        <f t="shared" si="1"/>
        <v>0</v>
      </c>
    </row>
    <row r="49" spans="2:6">
      <c r="B49" s="82">
        <f>IF(Query!$Q$45="Army",Query!$Q75,Query!$Q86)</f>
        <v>2007</v>
      </c>
      <c r="C49" s="89">
        <v>0</v>
      </c>
      <c r="D49" s="424">
        <f>IF(Query!$Q$45="Army",Query!$T75,Query!$T86)</f>
        <v>0.86389586273481023</v>
      </c>
      <c r="E49" s="73">
        <f t="shared" si="1"/>
        <v>0</v>
      </c>
      <c r="F49" s="92" t="s">
        <v>99</v>
      </c>
    </row>
    <row r="50" spans="2:6">
      <c r="B50" s="82">
        <f>IF(Query!$Q$45="Army",Query!$Q76,Query!$Q87)</f>
        <v>2008</v>
      </c>
      <c r="C50" s="89">
        <v>0</v>
      </c>
      <c r="D50" s="424">
        <f>IF(Query!$Q$45="Army",Query!$T76,Query!$T87)</f>
        <v>0.89137013081406224</v>
      </c>
      <c r="E50" s="73">
        <f t="shared" si="1"/>
        <v>0</v>
      </c>
    </row>
    <row r="51" spans="2:6">
      <c r="B51" s="82">
        <f>IF(Query!$Q$45="Army",Query!$Q77,Query!$Q88)</f>
        <v>2009</v>
      </c>
      <c r="C51" s="89">
        <v>0</v>
      </c>
      <c r="D51" s="424">
        <f>IF(Query!$Q$45="Army",Query!$T77,Query!$T88)</f>
        <v>0.92526499575180177</v>
      </c>
      <c r="E51" s="73">
        <f t="shared" si="1"/>
        <v>0</v>
      </c>
    </row>
    <row r="52" spans="2:6">
      <c r="B52" s="82">
        <f>IF(Query!$Q$45="Army",Query!$Q78,Query!$Q89)</f>
        <v>2010</v>
      </c>
      <c r="C52" s="89">
        <v>0</v>
      </c>
      <c r="D52" s="424">
        <f>IF(Query!$Q$45="Army",Query!$T78,Query!$T89)</f>
        <v>0.94804040373564624</v>
      </c>
      <c r="E52" s="73">
        <f t="shared" si="1"/>
        <v>0</v>
      </c>
    </row>
    <row r="53" spans="2:6">
      <c r="B53" s="82">
        <f>IF(Query!$Q$45="Army",Query!$Q79,Query!$Q90)</f>
        <v>2011</v>
      </c>
      <c r="C53" s="89">
        <v>0</v>
      </c>
      <c r="D53" s="424">
        <f>IF(Query!$Q$45="Army",Query!$T79,Query!$T90)</f>
        <v>0.95271055350774303</v>
      </c>
      <c r="E53" s="73">
        <f t="shared" si="1"/>
        <v>0</v>
      </c>
    </row>
    <row r="54" spans="2:6">
      <c r="B54" s="82">
        <f>IF(Query!$Q$45="Army",Query!$Q80,Query!$Q91)</f>
        <v>2012</v>
      </c>
      <c r="C54" s="89">
        <v>0</v>
      </c>
      <c r="D54" s="424">
        <f>IF(Query!$Q$45="Army",Query!$T80,Query!$T91)</f>
        <v>0.95271055350774303</v>
      </c>
      <c r="E54" s="73">
        <f t="shared" si="1"/>
        <v>0</v>
      </c>
    </row>
    <row r="55" spans="2:6">
      <c r="B55" s="82">
        <f>IF(Query!$Q$45="Army",Query!$Q81,Query!$Q92)</f>
        <v>2013</v>
      </c>
      <c r="C55" s="89">
        <v>0</v>
      </c>
      <c r="D55" s="424">
        <f>IF(Query!$Q$45="Army",Query!$T81,Query!$T92)</f>
        <v>0.95271055350774303</v>
      </c>
      <c r="E55" s="73">
        <f t="shared" si="1"/>
        <v>0</v>
      </c>
    </row>
    <row r="56" spans="2:6">
      <c r="B56" s="82">
        <f>IF(Query!$Q$45="Army",Query!$Q82,Query!$Q93)</f>
        <v>2014</v>
      </c>
      <c r="C56" s="89">
        <v>0</v>
      </c>
      <c r="D56" s="424">
        <f>IF(Query!$Q$45="Army",Query!$T82,Query!$T93)</f>
        <v>0.95985588265905109</v>
      </c>
      <c r="E56" s="73">
        <f t="shared" si="1"/>
        <v>0</v>
      </c>
    </row>
    <row r="57" spans="2:6">
      <c r="B57" s="82">
        <f>IF(Query!$Q$45="Army",Query!$Q83,Query!$Q94)</f>
        <v>2015</v>
      </c>
      <c r="C57" s="89">
        <v>0</v>
      </c>
      <c r="D57" s="424">
        <f>IF(Query!$Q$45="Army",Query!$T83,Query!$T94)</f>
        <v>0.96945444148564153</v>
      </c>
      <c r="E57" s="73">
        <f t="shared" si="1"/>
        <v>0</v>
      </c>
    </row>
    <row r="58" spans="2:6">
      <c r="B58" s="82">
        <f>IF(Query!$Q$45="Army",Query!$Q84,Query!$Q95)</f>
        <v>2016</v>
      </c>
      <c r="C58" s="89">
        <v>0</v>
      </c>
      <c r="D58" s="424">
        <f>IF(Query!$Q$45="Army",Query!$T84,Query!$T95)</f>
        <v>0.98133567098067265</v>
      </c>
      <c r="E58" s="73">
        <f t="shared" si="1"/>
        <v>0</v>
      </c>
    </row>
    <row r="59" spans="2:6">
      <c r="B59" s="82">
        <f>IF(Query!$Q$45="Army",Query!$Q85,Query!$Q96)</f>
        <v>2017</v>
      </c>
      <c r="C59" s="89">
        <v>0</v>
      </c>
      <c r="D59" s="424">
        <f>IF(Query!$Q$45="Army",Query!$T85,Query!$T96)</f>
        <v>1</v>
      </c>
      <c r="E59" s="73">
        <f t="shared" si="1"/>
        <v>0</v>
      </c>
    </row>
    <row r="60" spans="2:6">
      <c r="B60" s="82">
        <f>IF(Query!$Q$45="Army",Query!$Q86,Query!$Q97)</f>
        <v>2018</v>
      </c>
      <c r="C60" s="89">
        <v>0</v>
      </c>
      <c r="D60" s="424">
        <f>IF(Query!$Q$45="Army",Query!$T86,Query!$T97)</f>
        <v>1.0194922471080481</v>
      </c>
      <c r="E60" s="73">
        <f t="shared" si="1"/>
        <v>0</v>
      </c>
    </row>
    <row r="61" spans="2:6">
      <c r="B61" s="82">
        <f>IF(Query!$Q$45="Army",Query!$Q87,Query!$Q98)</f>
        <v>2019</v>
      </c>
      <c r="C61" s="89">
        <v>0</v>
      </c>
      <c r="D61" s="424">
        <f>IF(Query!$Q$45="Army",Query!$T87,Query!$T98)</f>
        <v>1.0388625998031009</v>
      </c>
      <c r="E61" s="73">
        <f t="shared" si="1"/>
        <v>0</v>
      </c>
    </row>
    <row r="62" spans="2:6">
      <c r="B62" s="82">
        <f>IF(Query!$Q$45="Army",Query!$Q88,Query!$Q99)</f>
        <v>2020</v>
      </c>
      <c r="C62" s="89">
        <v>0</v>
      </c>
      <c r="D62" s="424">
        <f>IF(Query!$Q$45="Army",Query!$T88,Query!$T99)</f>
        <v>1.0586009891993597</v>
      </c>
      <c r="E62" s="73">
        <f t="shared" si="1"/>
        <v>0</v>
      </c>
    </row>
    <row r="63" spans="2:6">
      <c r="B63" s="82">
        <f>IF(Query!$Q$45="Army",Query!$Q89,Query!$Q100)</f>
        <v>2021</v>
      </c>
      <c r="C63" s="89">
        <v>0</v>
      </c>
      <c r="D63" s="424">
        <f>IF(Query!$Q$45="Army",Query!$T89,Query!$T100)</f>
        <v>1.0803097460389994</v>
      </c>
      <c r="E63" s="73">
        <f t="shared" si="1"/>
        <v>0</v>
      </c>
    </row>
    <row r="64" spans="2:6">
      <c r="B64" s="82">
        <f>IF(Query!$Q$45="Army",Query!$Q90,Query!$Q101)</f>
        <v>2022</v>
      </c>
      <c r="C64" s="89">
        <v>0</v>
      </c>
      <c r="D64" s="424">
        <f>IF(Query!$Q$45="Army",Query!$T90,Query!$T101)</f>
        <v>1.1029962507058182</v>
      </c>
      <c r="E64" s="73">
        <f t="shared" si="1"/>
        <v>0</v>
      </c>
    </row>
    <row r="65" spans="2:6">
      <c r="B65" s="82">
        <f>IF(Query!$Q$45="Army",Query!$Q91,Query!$Q102)</f>
        <v>2023</v>
      </c>
      <c r="C65" s="89">
        <v>0</v>
      </c>
      <c r="D65" s="424">
        <f>IF(Query!$Q$45="Army",Query!$T91,Query!$T102)</f>
        <v>1.1261591719706403</v>
      </c>
      <c r="E65" s="73">
        <f t="shared" si="1"/>
        <v>0</v>
      </c>
    </row>
    <row r="66" spans="2:6">
      <c r="B66" s="82">
        <f>IF(Query!$Q$45="Army",Query!$Q92,Query!$Q103)</f>
        <v>2024</v>
      </c>
      <c r="C66" s="89">
        <v>0</v>
      </c>
      <c r="D66" s="424">
        <f>IF(Query!$Q$45="Army",Query!$T92,Query!$T103)</f>
        <v>1.1498085145820236</v>
      </c>
      <c r="E66" s="73">
        <f t="shared" si="1"/>
        <v>0</v>
      </c>
    </row>
    <row r="67" spans="2:6">
      <c r="B67" s="82">
        <f>IF(Query!$Q$45="Army",Query!$Q93,Query!$Q104)</f>
        <v>2025</v>
      </c>
      <c r="C67" s="89">
        <v>0</v>
      </c>
      <c r="D67" s="424">
        <f>IF(Query!$Q$45="Army",Query!$T93,Query!$T104)</f>
        <v>1.173954493388246</v>
      </c>
      <c r="E67" s="73">
        <f t="shared" si="1"/>
        <v>0</v>
      </c>
      <c r="F67" s="92" t="s">
        <v>99</v>
      </c>
    </row>
    <row r="68" spans="2:6">
      <c r="B68" s="82">
        <f>IF(Query!$Q$45="Army",Query!$Q94,Query!$Q105)</f>
        <v>2026</v>
      </c>
      <c r="C68" s="89">
        <v>0</v>
      </c>
      <c r="D68" s="424">
        <f>IF(Query!$Q$45="Army",Query!$T94,Query!$T105)</f>
        <v>1.198607537749399</v>
      </c>
      <c r="E68" s="73">
        <f t="shared" si="1"/>
        <v>0</v>
      </c>
    </row>
    <row r="69" spans="2:6">
      <c r="B69" s="82">
        <f>IF(Query!$Q$45="Army",Query!$Q95,Query!$Q106)</f>
        <v>2027</v>
      </c>
      <c r="C69" s="89">
        <v>0</v>
      </c>
      <c r="D69" s="424">
        <f>IF(Query!$Q$45="Army",Query!$T95,Query!$T106)</f>
        <v>1.2237782960421364</v>
      </c>
      <c r="E69" s="73">
        <f t="shared" si="1"/>
        <v>0</v>
      </c>
    </row>
    <row r="70" spans="2:6">
      <c r="B70" s="82">
        <f>IF(Query!$Q$45="Army",Query!$Q96,Query!$Q107)</f>
        <v>2028</v>
      </c>
      <c r="C70" s="89">
        <v>0</v>
      </c>
      <c r="D70" s="424">
        <f>IF(Query!$Q$45="Army",Query!$T96,Query!$T107)</f>
        <v>1.2494776402590211</v>
      </c>
      <c r="E70" s="73">
        <f t="shared" si="1"/>
        <v>0</v>
      </c>
    </row>
    <row r="71" spans="2:6">
      <c r="B71" s="82">
        <f>IF(Query!$Q$45="Army",Query!$Q97,Query!$Q108)</f>
        <v>2029</v>
      </c>
      <c r="C71" s="89">
        <v>0</v>
      </c>
      <c r="D71" s="424">
        <f>IF(Query!$Q$45="Army",Query!$T97,Query!$T108)</f>
        <v>1.2757166707044605</v>
      </c>
      <c r="E71" s="73">
        <f t="shared" si="1"/>
        <v>0</v>
      </c>
    </row>
    <row r="72" spans="2:6">
      <c r="B72" s="82">
        <f>IF(Query!$Q$45="Army",Query!$Q98,Query!$Q109)</f>
        <v>2030</v>
      </c>
      <c r="C72" s="89">
        <v>0</v>
      </c>
      <c r="D72" s="424">
        <f>IF(Query!$Q$45="Army",Query!$T98,Query!$T109)</f>
        <v>1.302506720789254</v>
      </c>
      <c r="E72" s="73">
        <f t="shared" si="1"/>
        <v>0</v>
      </c>
    </row>
    <row r="73" spans="2:6">
      <c r="B73" s="82">
        <f>IF(Query!$Q$45="Army",Query!$Q99,Query!$Q110)</f>
        <v>2031</v>
      </c>
      <c r="C73" s="89">
        <v>0</v>
      </c>
      <c r="D73" s="424">
        <f>IF(Query!$Q$45="Army",Query!$T99,Query!$T110)</f>
        <v>1.3298593619258283</v>
      </c>
      <c r="E73" s="73">
        <f t="shared" si="1"/>
        <v>0</v>
      </c>
    </row>
    <row r="74" spans="2:6">
      <c r="B74" s="82">
        <f>IF(Query!$Q$45="Army",Query!$Q100,Query!$Q111)</f>
        <v>2032</v>
      </c>
      <c r="C74" s="89">
        <v>0</v>
      </c>
      <c r="D74" s="424">
        <f>IF(Query!$Q$45="Army",Query!$T100,Query!$T111)</f>
        <v>1.3577864085262705</v>
      </c>
      <c r="E74" s="73">
        <f t="shared" si="1"/>
        <v>0</v>
      </c>
    </row>
    <row r="75" spans="2:6">
      <c r="B75" s="82">
        <f>IF(Query!$Q$45="Army",Query!$Q101,Query!$Q112)</f>
        <v>2033</v>
      </c>
      <c r="C75" s="89">
        <v>0</v>
      </c>
      <c r="D75" s="424">
        <f>IF(Query!$Q$45="Army",Query!$T101,Query!$T112)</f>
        <v>1.3862999231053221</v>
      </c>
      <c r="E75" s="73">
        <f t="shared" si="1"/>
        <v>0</v>
      </c>
    </row>
    <row r="76" spans="2:6">
      <c r="B76" s="82">
        <f>IF(Query!$Q$45="Army",Query!$Q102,Query!$Q113)</f>
        <v>2034</v>
      </c>
      <c r="C76" s="89">
        <v>0</v>
      </c>
      <c r="D76" s="424">
        <f>IF(Query!$Q$45="Army",Query!$T102,Query!$T113)</f>
        <v>1.4154122214905336</v>
      </c>
      <c r="E76" s="73">
        <f t="shared" si="1"/>
        <v>0</v>
      </c>
    </row>
    <row r="77" spans="2:6">
      <c r="B77" s="82">
        <f>IF(Query!$Q$45="Army",Query!$Q103,Query!$Q114)</f>
        <v>2035</v>
      </c>
      <c r="C77" s="89">
        <v>0</v>
      </c>
      <c r="D77" s="424">
        <f>IF(Query!$Q$45="Army",Query!$T103,Query!$T114)</f>
        <v>1.4451358781418346</v>
      </c>
      <c r="E77" s="73">
        <f t="shared" si="1"/>
        <v>0</v>
      </c>
    </row>
    <row r="78" spans="2:6">
      <c r="B78" s="82">
        <f>IF(Query!$Q$45="Army",Query!$Q104,Query!$Q115)</f>
        <v>2036</v>
      </c>
      <c r="C78" s="89">
        <v>0</v>
      </c>
      <c r="D78" s="424">
        <f>IF(Query!$Q$45="Army",Query!$T104,Query!$T115)</f>
        <v>1.4754837315828131</v>
      </c>
      <c r="E78" s="73">
        <f t="shared" si="1"/>
        <v>0</v>
      </c>
    </row>
    <row r="79" spans="2:6">
      <c r="B79" s="82">
        <f>IF(Query!$Q$45="Army",Query!$Q105,Query!$Q116)</f>
        <v>2037</v>
      </c>
      <c r="C79" s="89">
        <v>0</v>
      </c>
      <c r="D79" s="424">
        <f>IF(Query!$Q$45="Army",Query!$T105,Query!$T116)</f>
        <v>1.5064688899460521</v>
      </c>
      <c r="E79" s="73">
        <f t="shared" si="1"/>
        <v>0</v>
      </c>
    </row>
    <row r="80" spans="2:6">
      <c r="B80" s="82">
        <f>IF(Query!$Q$45="Army",Query!$Q106,Query!$Q117)</f>
        <v>2038</v>
      </c>
      <c r="C80" s="89">
        <v>0</v>
      </c>
      <c r="D80" s="424">
        <f>IF(Query!$Q$45="Army",Query!$T106,Query!$T117)</f>
        <v>1.5381047366349192</v>
      </c>
      <c r="E80" s="73">
        <f t="shared" si="1"/>
        <v>0</v>
      </c>
    </row>
    <row r="81" spans="2:6">
      <c r="B81" s="82">
        <f>IF(Query!$Q$45="Army",Query!$Q107,Query!$Q118)</f>
        <v>2039</v>
      </c>
      <c r="C81" s="89">
        <v>0</v>
      </c>
      <c r="D81" s="424">
        <f>IF(Query!$Q$45="Army",Query!$T107,Query!$T118)</f>
        <v>1.5704049361042522</v>
      </c>
      <c r="E81" s="73">
        <f t="shared" si="1"/>
        <v>0</v>
      </c>
    </row>
    <row r="82" spans="2:6">
      <c r="B82" s="82">
        <f>IF(Query!$Q$45="Army",Query!$Q108,Query!$Q119)</f>
        <v>2040</v>
      </c>
      <c r="C82" s="89">
        <v>0</v>
      </c>
      <c r="D82" s="424">
        <f>IF(Query!$Q$45="Army",Query!$T108,Query!$T119)</f>
        <v>1.6033834397624414</v>
      </c>
      <c r="E82" s="73">
        <f t="shared" si="1"/>
        <v>0</v>
      </c>
    </row>
    <row r="83" spans="2:6">
      <c r="B83" s="82">
        <f>IF(Query!$Q$45="Army",Query!$Q109,Query!$Q120)</f>
        <v>2041</v>
      </c>
      <c r="C83" s="89">
        <v>0</v>
      </c>
      <c r="D83" s="424">
        <f>IF(Query!$Q$45="Army",Query!$T109,Query!$T120)</f>
        <v>1.6370544919974523</v>
      </c>
      <c r="E83" s="73">
        <f t="shared" si="1"/>
        <v>0</v>
      </c>
    </row>
    <row r="84" spans="2:6">
      <c r="B84" s="82">
        <f>IF(Query!$Q$45="Army",Query!$Q110,Query!$Q121)</f>
        <v>2042</v>
      </c>
      <c r="C84" s="89">
        <v>0</v>
      </c>
      <c r="D84" s="424">
        <f>IF(Query!$Q$45="Army",Query!$T110,Query!$T121)</f>
        <v>1.6714326363293985</v>
      </c>
      <c r="E84" s="73">
        <f t="shared" si="1"/>
        <v>0</v>
      </c>
    </row>
    <row r="85" spans="2:6">
      <c r="B85" s="82">
        <f>IF(Query!$Q$45="Army",Query!$Q111,Query!$Q122)</f>
        <v>2043</v>
      </c>
      <c r="C85" s="89">
        <v>0</v>
      </c>
      <c r="D85" s="424">
        <f>IF(Query!$Q$45="Army",Query!$T111,Query!$T122)</f>
        <v>1.7065327216923158</v>
      </c>
      <c r="E85" s="73">
        <f t="shared" si="1"/>
        <v>0</v>
      </c>
    </row>
    <row r="86" spans="2:6">
      <c r="B86" s="82">
        <f>IF(Query!$Q$45="Army",Query!$Q112,Query!$Q123)</f>
        <v>2044</v>
      </c>
      <c r="C86" s="89">
        <v>0</v>
      </c>
      <c r="D86" s="424">
        <f>IF(Query!$Q$45="Army",Query!$T112,Query!$T123)</f>
        <v>1.7423699088478544</v>
      </c>
      <c r="E86" s="73">
        <f t="shared" si="1"/>
        <v>0</v>
      </c>
      <c r="F86" s="92" t="s">
        <v>99</v>
      </c>
    </row>
    <row r="87" spans="2:6">
      <c r="B87" s="82">
        <f>IF(Query!$Q$45="Army",Query!$Q113,Query!$Q124)</f>
        <v>2045</v>
      </c>
      <c r="C87" s="89">
        <v>0</v>
      </c>
      <c r="D87" s="424">
        <f>IF(Query!$Q$45="Army",Query!$T113,Query!$T124)</f>
        <v>1.7789596769336593</v>
      </c>
      <c r="E87" s="73">
        <f t="shared" ref="E87:E97" si="2">IF(D87="N/A",0,C87/D87)</f>
        <v>0</v>
      </c>
    </row>
    <row r="88" spans="2:6">
      <c r="B88" s="82">
        <f>IF(Query!$Q$45="Army",Query!$Q114,Query!$Q125)</f>
        <v>2046</v>
      </c>
      <c r="C88" s="89">
        <v>0</v>
      </c>
      <c r="D88" s="424">
        <f>IF(Query!$Q$45="Army",Query!$T114,Query!$T125)</f>
        <v>1.816317830149266</v>
      </c>
      <c r="E88" s="73">
        <f t="shared" si="2"/>
        <v>0</v>
      </c>
    </row>
    <row r="89" spans="2:6">
      <c r="B89" s="82">
        <f>IF(Query!$Q$45="Army",Query!$Q115,Query!$Q126)</f>
        <v>2047</v>
      </c>
      <c r="C89" s="89">
        <v>0</v>
      </c>
      <c r="D89" s="424">
        <f>IF(Query!$Q$45="Army",Query!$T115,Query!$T126)</f>
        <v>1.8544605045824003</v>
      </c>
      <c r="E89" s="73">
        <f t="shared" si="2"/>
        <v>0</v>
      </c>
    </row>
    <row r="90" spans="2:6">
      <c r="B90" s="82">
        <f>IF(Query!$Q$45="Army",Query!$Q116,Query!$Q127)</f>
        <v>2048</v>
      </c>
      <c r="C90" s="89">
        <v>0</v>
      </c>
      <c r="D90" s="424">
        <f>IF(Query!$Q$45="Army",Query!$T116,Query!$T127)</f>
        <v>1.8934041751786304</v>
      </c>
      <c r="E90" s="73">
        <f t="shared" si="2"/>
        <v>0</v>
      </c>
    </row>
    <row r="91" spans="2:6">
      <c r="B91" s="82">
        <f>IF(Query!$Q$45="Army",Query!$Q117,Query!$Q128)</f>
        <v>2049</v>
      </c>
      <c r="C91" s="89">
        <v>0</v>
      </c>
      <c r="D91" s="424">
        <f>IF(Query!$Q$45="Army",Query!$T117,Query!$T128)</f>
        <v>1.9331656628573815</v>
      </c>
      <c r="E91" s="73">
        <f t="shared" si="2"/>
        <v>0</v>
      </c>
    </row>
    <row r="92" spans="2:6">
      <c r="B92" s="82">
        <f>IF(Query!$Q$45="Army",Query!$Q118,Query!$Q129)</f>
        <v>2050</v>
      </c>
      <c r="C92" s="89">
        <v>0</v>
      </c>
      <c r="D92" s="424">
        <f>IF(Query!$Q$45="Army",Query!$T118,Query!$T129)</f>
        <v>1.9737621417773863</v>
      </c>
      <c r="E92" s="73">
        <f t="shared" si="2"/>
        <v>0</v>
      </c>
    </row>
    <row r="93" spans="2:6">
      <c r="B93" s="82">
        <f>IF(Query!$Q$45="Army",Query!$Q119,Query!$Q130)</f>
        <v>2051</v>
      </c>
      <c r="C93" s="89">
        <v>0</v>
      </c>
      <c r="D93" s="424">
        <f>IF(Query!$Q$45="Army",Query!$T119,Query!$T130)</f>
        <v>2.0152111467547109</v>
      </c>
      <c r="E93" s="73">
        <f t="shared" si="2"/>
        <v>0</v>
      </c>
    </row>
    <row r="94" spans="2:6">
      <c r="B94" s="82">
        <f>IF(Query!$Q$45="Army",Query!$Q120,Query!$Q131)</f>
        <v>2052</v>
      </c>
      <c r="C94" s="89">
        <v>0</v>
      </c>
      <c r="D94" s="424">
        <f>IF(Query!$Q$45="Army",Query!$T120,Query!$T131)</f>
        <v>2.05753058083656</v>
      </c>
      <c r="E94" s="73">
        <f t="shared" si="2"/>
        <v>0</v>
      </c>
    </row>
    <row r="95" spans="2:6">
      <c r="B95" s="82">
        <f>IF(Query!$Q$45="Army",Query!$Q121,Query!$Q132)</f>
        <v>2053</v>
      </c>
      <c r="C95" s="89">
        <v>0</v>
      </c>
      <c r="D95" s="424">
        <f>IF(Query!$Q$45="Army",Query!$T121,Query!$T132)</f>
        <v>2.1007387230341275</v>
      </c>
      <c r="E95" s="73">
        <f t="shared" si="2"/>
        <v>0</v>
      </c>
    </row>
    <row r="96" spans="2:6">
      <c r="B96" s="82">
        <f>IF(Query!$Q$45="Army",Query!$Q122,Query!$Q133)</f>
        <v>2054</v>
      </c>
      <c r="C96" s="89">
        <v>0</v>
      </c>
      <c r="D96" s="424">
        <f>IF(Query!$Q$45="Army",Query!$T122,Query!$T133)</f>
        <v>2.144854236217844</v>
      </c>
      <c r="E96" s="73">
        <f t="shared" si="2"/>
        <v>0</v>
      </c>
    </row>
    <row r="97" spans="2:6">
      <c r="B97" s="82">
        <f>IF(Query!$Q$45="Army",Query!$Q123,Query!$Q134)</f>
        <v>2055</v>
      </c>
      <c r="C97" s="89">
        <v>0</v>
      </c>
      <c r="D97" s="424">
        <f>IF(Query!$Q$45="Army",Query!$T123,Query!$T134)</f>
        <v>2.1898961751784185</v>
      </c>
      <c r="E97" s="73">
        <f t="shared" si="2"/>
        <v>0</v>
      </c>
    </row>
    <row r="98" spans="2:6">
      <c r="B98" s="82">
        <f>IF(Query!$Q$45="Army",Query!$Q124,Query!$Q135)</f>
        <v>2056</v>
      </c>
      <c r="C98" s="89">
        <v>0</v>
      </c>
      <c r="D98" s="424">
        <f>IF(Query!$Q$45="Army",Query!$T124,Query!$T135)</f>
        <v>2.2358839948571654</v>
      </c>
      <c r="E98" s="73" t="str">
        <f>IF(C98=0,"",C98/D98)</f>
        <v/>
      </c>
    </row>
    <row r="99" spans="2:6">
      <c r="B99" s="82">
        <f>IF(Query!$Q$45="Army",Query!$Q125,Query!$Q136)</f>
        <v>2057</v>
      </c>
      <c r="C99" s="89">
        <v>0</v>
      </c>
      <c r="D99" s="424">
        <f>IF(Query!$Q$45="Army",Query!$T125,Query!$T136)</f>
        <v>2.2828375587491654</v>
      </c>
      <c r="E99" s="73" t="str">
        <f>IF(C99=0,"",C99/D99)</f>
        <v/>
      </c>
    </row>
    <row r="100" spans="2:6">
      <c r="B100" s="82">
        <f>IF(Query!$Q$45="Army",Query!$Q126,Query!$Q137)</f>
        <v>2058</v>
      </c>
      <c r="C100" s="89">
        <v>0</v>
      </c>
      <c r="D100" s="424">
        <f>IF(Query!$Q$45="Army",Query!$T126,Query!$T137)</f>
        <v>2.3307771474828978</v>
      </c>
      <c r="E100" s="73" t="str">
        <f>IF(C100=0,"",C100/D100)</f>
        <v/>
      </c>
    </row>
    <row r="101" spans="2:6">
      <c r="B101" s="82">
        <f>IF(Query!$Q$45="Army",Query!$Q127,Query!$Q138)</f>
        <v>2059</v>
      </c>
      <c r="C101" s="89">
        <v>0</v>
      </c>
      <c r="D101" s="424">
        <f>IF(Query!$Q$45="Army",Query!$T127,Query!$T138)</f>
        <v>2.3797234675800385</v>
      </c>
      <c r="E101" s="73" t="str">
        <f>IF(C101=0,"",C101/D101)</f>
        <v/>
      </c>
    </row>
    <row r="102" spans="2:6">
      <c r="B102" s="82">
        <f>IF(Query!$Q$45="Army",Query!$Q128,Query!$Q139)</f>
        <v>2060</v>
      </c>
      <c r="C102" s="89">
        <v>0</v>
      </c>
      <c r="D102" s="424">
        <f>IF(Query!$Q$45="Army",Query!$T128,Query!$T139)</f>
        <v>2.4296976603992193</v>
      </c>
      <c r="E102" s="73" t="str">
        <f>IF(C102=0,"",C102/D102)</f>
        <v/>
      </c>
    </row>
    <row r="103" spans="2:6">
      <c r="B103" s="83" t="s">
        <v>156</v>
      </c>
      <c r="C103" s="107">
        <f>SUM(C22:C102)</f>
        <v>0</v>
      </c>
      <c r="D103" s="85"/>
      <c r="E103" s="87">
        <f>SUM(E22:E102)</f>
        <v>0</v>
      </c>
      <c r="F103" s="92" t="s">
        <v>99</v>
      </c>
    </row>
  </sheetData>
  <mergeCells count="4">
    <mergeCell ref="B7:E7"/>
    <mergeCell ref="B6:E6"/>
    <mergeCell ref="D2:E2"/>
    <mergeCell ref="B2:C2"/>
  </mergeCells>
  <phoneticPr fontId="0" type="noConversion"/>
  <conditionalFormatting sqref="B22:B102 D22:D102">
    <cfRule type="cellIs" priority="1" stopIfTrue="1" operator="equal">
      <formula>$D$8</formula>
    </cfRule>
  </conditionalFormatting>
  <hyperlinks>
    <hyperlink ref="F67" location="'SAR Calc'!A17" display="Top"/>
    <hyperlink ref="F86" location="'SAR Calc'!A17" display="Top"/>
    <hyperlink ref="F103" location="'SAR Calc'!A17" display="Top"/>
    <hyperlink ref="F49" location="'SAR Calc'!A17" display="Top"/>
    <hyperlink ref="D2:E2" location="Main!A1" display="Return to Main"/>
    <hyperlink ref="B2:C2" location="Query!A1" display="Go to Query"/>
  </hyperlinks>
  <pageMargins left="0.53" right="0.52" top="0.49" bottom="0.47" header="0.5" footer="0.5"/>
  <pageSetup scale="80" fitToHeight="2" orientation="landscape" r:id="rId1"/>
  <headerFooter alignWithMargins="0"/>
  <ignoredErrors>
    <ignoredError sqref="B22:B102 D22:D102" unlockedFormula="1"/>
    <ignoredError sqref="C103" formulaRange="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22"/>
    <pageSetUpPr autoPageBreaks="0" fitToPage="1"/>
  </sheetPr>
  <dimension ref="B1:AN80"/>
  <sheetViews>
    <sheetView showGridLines="0" showRowColHeaders="0" workbookViewId="0">
      <selection activeCell="Q11" sqref="Q11"/>
    </sheetView>
  </sheetViews>
  <sheetFormatPr defaultRowHeight="12.75"/>
  <cols>
    <col min="1" max="1" width="1" customWidth="1"/>
    <col min="2" max="2" width="35.5703125" customWidth="1"/>
    <col min="3" max="3" width="10.140625" customWidth="1"/>
    <col min="4" max="4" width="9.7109375" customWidth="1"/>
    <col min="5" max="5" width="5.28515625" bestFit="1" customWidth="1"/>
    <col min="6" max="7" width="6" customWidth="1"/>
    <col min="8" max="8" width="8" customWidth="1"/>
    <col min="9" max="12" width="6.28515625" customWidth="1"/>
    <col min="13" max="13" width="6.5703125" customWidth="1"/>
    <col min="14" max="14" width="5.85546875" customWidth="1"/>
    <col min="15" max="15" width="7.85546875" style="44" customWidth="1"/>
    <col min="16" max="16" width="5.5703125" customWidth="1"/>
    <col min="17" max="17" width="6" customWidth="1"/>
    <col min="18" max="18" width="5.7109375" customWidth="1"/>
    <col min="19" max="19" width="5.5703125" customWidth="1"/>
    <col min="20" max="20" width="5.7109375" bestFit="1" customWidth="1"/>
    <col min="21" max="21" width="7" customWidth="1"/>
  </cols>
  <sheetData>
    <row r="1" spans="2:26" ht="27.75" customHeight="1">
      <c r="B1" s="759" t="s">
        <v>87</v>
      </c>
      <c r="C1" s="760"/>
      <c r="D1" s="760"/>
      <c r="E1" s="760"/>
      <c r="F1" s="760"/>
      <c r="G1" s="760"/>
      <c r="H1" s="760"/>
      <c r="I1" s="760"/>
      <c r="J1" s="760"/>
      <c r="K1" s="760"/>
      <c r="L1" s="760"/>
      <c r="M1" s="760"/>
      <c r="N1" s="760"/>
      <c r="O1" s="731"/>
      <c r="P1" s="720" t="s">
        <v>495</v>
      </c>
      <c r="Q1" s="719"/>
    </row>
    <row r="4" spans="2:26">
      <c r="R4" s="135"/>
    </row>
    <row r="6" spans="2:26" ht="27" customHeight="1">
      <c r="P6" s="719" t="s">
        <v>186</v>
      </c>
      <c r="Q6" s="719"/>
      <c r="R6" s="719"/>
    </row>
    <row r="7" spans="2:26" ht="54.75" customHeight="1">
      <c r="P7" s="761" t="s">
        <v>494</v>
      </c>
      <c r="Q7" s="719"/>
      <c r="R7" s="719"/>
    </row>
    <row r="8" spans="2:26" ht="67.5" customHeight="1"/>
    <row r="9" spans="2:26" ht="24.75" customHeight="1"/>
    <row r="10" spans="2:26" ht="24.75" customHeight="1"/>
    <row r="11" spans="2:26" ht="14.25" customHeight="1">
      <c r="B11" s="396" t="s">
        <v>454</v>
      </c>
      <c r="K11" s="562" t="s">
        <v>498</v>
      </c>
      <c r="L11" s="562"/>
      <c r="M11" s="562"/>
      <c r="N11" s="562"/>
    </row>
    <row r="12" spans="2:26" s="3" customFormat="1">
      <c r="B12" s="652"/>
      <c r="C12" s="653"/>
      <c r="D12" s="653"/>
      <c r="E12" s="654"/>
      <c r="F12" s="653"/>
      <c r="G12" s="654"/>
      <c r="H12" s="762" t="s">
        <v>63</v>
      </c>
      <c r="I12" s="763"/>
      <c r="J12" s="763"/>
      <c r="K12" s="763"/>
      <c r="L12" s="763"/>
      <c r="M12" s="763"/>
      <c r="N12" s="764"/>
      <c r="O12" s="561"/>
      <c r="P12" s="41"/>
    </row>
    <row r="13" spans="2:26" s="8" customFormat="1" ht="30.75" customHeight="1">
      <c r="B13" s="637" t="s">
        <v>255</v>
      </c>
      <c r="C13" s="638" t="s">
        <v>677</v>
      </c>
      <c r="D13" s="639" t="s">
        <v>64</v>
      </c>
      <c r="E13" s="640" t="s">
        <v>65</v>
      </c>
      <c r="F13" s="641" t="s">
        <v>281</v>
      </c>
      <c r="G13" s="641" t="s">
        <v>66</v>
      </c>
      <c r="H13" s="641" t="s">
        <v>38</v>
      </c>
      <c r="I13" s="641" t="s">
        <v>67</v>
      </c>
      <c r="J13" s="640" t="s">
        <v>68</v>
      </c>
      <c r="K13" s="640" t="s">
        <v>69</v>
      </c>
      <c r="L13" s="641" t="s">
        <v>70</v>
      </c>
      <c r="M13" s="641" t="s">
        <v>71</v>
      </c>
      <c r="N13" s="641" t="s">
        <v>188</v>
      </c>
      <c r="O13"/>
      <c r="P13"/>
      <c r="Q13"/>
      <c r="R13"/>
      <c r="S13"/>
      <c r="T13"/>
      <c r="U13"/>
      <c r="V13"/>
      <c r="W13"/>
      <c r="X13"/>
      <c r="Y13"/>
      <c r="Z13"/>
    </row>
    <row r="14" spans="2:26" ht="17.25">
      <c r="B14" s="655" t="s">
        <v>695</v>
      </c>
      <c r="C14" s="655" t="s">
        <v>678</v>
      </c>
      <c r="D14" s="656" t="s">
        <v>679</v>
      </c>
      <c r="E14" s="657">
        <v>2004</v>
      </c>
      <c r="F14" s="642">
        <v>2004</v>
      </c>
      <c r="G14" s="642">
        <v>2021</v>
      </c>
      <c r="H14" s="642">
        <v>1</v>
      </c>
      <c r="I14" s="642">
        <v>0</v>
      </c>
      <c r="J14" s="657">
        <v>0</v>
      </c>
      <c r="K14" s="657">
        <v>0</v>
      </c>
      <c r="L14" s="642">
        <v>1</v>
      </c>
      <c r="M14" s="642">
        <v>0</v>
      </c>
      <c r="N14" s="642">
        <v>0</v>
      </c>
      <c r="O14"/>
      <c r="S14" s="135"/>
    </row>
    <row r="15" spans="2:26" ht="15">
      <c r="B15" s="423" t="s">
        <v>680</v>
      </c>
      <c r="C15" s="423"/>
      <c r="D15" s="423" t="s">
        <v>210</v>
      </c>
      <c r="E15" s="423">
        <v>2003</v>
      </c>
      <c r="F15" s="513">
        <v>1993</v>
      </c>
      <c r="G15" s="642">
        <v>2023</v>
      </c>
      <c r="H15" s="513">
        <v>1</v>
      </c>
      <c r="I15" s="513">
        <v>0</v>
      </c>
      <c r="J15" s="423">
        <v>1</v>
      </c>
      <c r="K15" s="423">
        <v>0</v>
      </c>
      <c r="L15" s="513">
        <v>0</v>
      </c>
      <c r="M15" s="513">
        <v>0</v>
      </c>
      <c r="N15" s="513">
        <v>0</v>
      </c>
      <c r="O15"/>
      <c r="S15" s="135"/>
    </row>
    <row r="16" spans="2:26" ht="15">
      <c r="B16" s="423" t="s">
        <v>681</v>
      </c>
      <c r="C16" s="423"/>
      <c r="D16" s="423" t="s">
        <v>73</v>
      </c>
      <c r="E16" s="423">
        <v>1997</v>
      </c>
      <c r="F16" s="642">
        <v>2004</v>
      </c>
      <c r="G16" s="642">
        <v>2028</v>
      </c>
      <c r="H16" s="642">
        <v>1</v>
      </c>
      <c r="I16" s="513">
        <v>0</v>
      </c>
      <c r="J16" s="423">
        <v>1</v>
      </c>
      <c r="K16" s="423">
        <v>0</v>
      </c>
      <c r="L16" s="513">
        <v>0</v>
      </c>
      <c r="M16" s="513">
        <v>0</v>
      </c>
      <c r="N16" s="513">
        <v>0</v>
      </c>
      <c r="O16" s="643" t="s">
        <v>682</v>
      </c>
      <c r="S16" s="135"/>
    </row>
    <row r="17" spans="2:26" ht="15">
      <c r="B17" s="423" t="s">
        <v>658</v>
      </c>
      <c r="C17" s="423"/>
      <c r="D17" s="423" t="s">
        <v>659</v>
      </c>
      <c r="E17" s="423">
        <v>2013</v>
      </c>
      <c r="F17" s="513">
        <v>2006</v>
      </c>
      <c r="G17" s="642">
        <v>2026</v>
      </c>
      <c r="H17" s="513">
        <v>1</v>
      </c>
      <c r="I17" s="513">
        <v>0</v>
      </c>
      <c r="J17" s="423">
        <v>0</v>
      </c>
      <c r="K17" s="423">
        <v>1</v>
      </c>
      <c r="L17" s="513">
        <v>0</v>
      </c>
      <c r="M17" s="513">
        <v>0</v>
      </c>
      <c r="N17" s="513">
        <v>1</v>
      </c>
      <c r="O17" s="644"/>
      <c r="S17" s="135"/>
    </row>
    <row r="18" spans="2:26" ht="15">
      <c r="B18" s="423" t="s">
        <v>74</v>
      </c>
      <c r="C18" s="423"/>
      <c r="D18" s="423" t="s">
        <v>269</v>
      </c>
      <c r="E18" s="423">
        <v>1995</v>
      </c>
      <c r="F18" s="513">
        <v>1994</v>
      </c>
      <c r="G18" s="642">
        <v>2026</v>
      </c>
      <c r="H18" s="642">
        <v>1</v>
      </c>
      <c r="I18" s="513">
        <v>1</v>
      </c>
      <c r="J18" s="423">
        <v>0</v>
      </c>
      <c r="K18" s="423">
        <v>1</v>
      </c>
      <c r="L18" s="513">
        <v>1</v>
      </c>
      <c r="M18" s="513">
        <v>1</v>
      </c>
      <c r="N18" s="513">
        <v>0</v>
      </c>
      <c r="O18"/>
      <c r="P18" s="11"/>
      <c r="Q18" s="11"/>
      <c r="R18" s="11"/>
      <c r="S18" s="550"/>
      <c r="T18" s="11"/>
      <c r="U18" s="11"/>
      <c r="V18" s="11"/>
      <c r="W18" s="11"/>
      <c r="X18" s="11"/>
      <c r="Y18" s="11"/>
      <c r="Z18" s="11"/>
    </row>
    <row r="19" spans="2:26" ht="15">
      <c r="B19" s="554" t="s">
        <v>270</v>
      </c>
      <c r="C19" s="554"/>
      <c r="D19" s="554" t="s">
        <v>264</v>
      </c>
      <c r="E19" s="554">
        <v>2006</v>
      </c>
      <c r="F19" s="513">
        <v>2002</v>
      </c>
      <c r="G19" s="642">
        <v>2031</v>
      </c>
      <c r="H19" s="513">
        <v>1</v>
      </c>
      <c r="I19" s="513">
        <v>1</v>
      </c>
      <c r="J19" s="554">
        <v>0</v>
      </c>
      <c r="K19" s="554">
        <v>0</v>
      </c>
      <c r="L19" s="513">
        <v>0</v>
      </c>
      <c r="M19" s="513">
        <v>0</v>
      </c>
      <c r="N19" s="642">
        <v>1</v>
      </c>
      <c r="O19"/>
      <c r="S19" s="135"/>
    </row>
    <row r="20" spans="2:26" ht="15">
      <c r="B20" s="423" t="s">
        <v>683</v>
      </c>
      <c r="C20" s="423"/>
      <c r="D20" s="423" t="s">
        <v>75</v>
      </c>
      <c r="E20" s="423">
        <v>2000</v>
      </c>
      <c r="F20" s="642">
        <v>1997</v>
      </c>
      <c r="G20" s="642">
        <v>2028</v>
      </c>
      <c r="H20" s="513">
        <v>1</v>
      </c>
      <c r="I20" s="513">
        <v>0</v>
      </c>
      <c r="J20" s="423">
        <v>0</v>
      </c>
      <c r="K20" s="423">
        <v>1</v>
      </c>
      <c r="L20" s="642">
        <v>0</v>
      </c>
      <c r="M20" s="513">
        <v>0</v>
      </c>
      <c r="N20" s="642">
        <v>1</v>
      </c>
      <c r="O20" s="643" t="s">
        <v>684</v>
      </c>
      <c r="S20" s="135"/>
    </row>
    <row r="21" spans="2:26" ht="15">
      <c r="B21" s="423" t="s">
        <v>271</v>
      </c>
      <c r="C21" s="423" t="s">
        <v>678</v>
      </c>
      <c r="D21" s="423" t="s">
        <v>76</v>
      </c>
      <c r="E21" s="423">
        <v>2005</v>
      </c>
      <c r="F21" s="513">
        <v>1995</v>
      </c>
      <c r="G21" s="645">
        <v>2022</v>
      </c>
      <c r="H21" s="513">
        <v>1</v>
      </c>
      <c r="I21" s="513">
        <v>0</v>
      </c>
      <c r="J21" s="423">
        <v>0</v>
      </c>
      <c r="K21" s="423">
        <v>1</v>
      </c>
      <c r="L21" s="642">
        <v>1</v>
      </c>
      <c r="M21" s="513">
        <v>0</v>
      </c>
      <c r="N21" s="513">
        <v>0</v>
      </c>
      <c r="O21"/>
      <c r="S21" s="135"/>
    </row>
    <row r="22" spans="2:26" ht="15">
      <c r="B22" s="423" t="s">
        <v>77</v>
      </c>
      <c r="C22" s="423"/>
      <c r="D22" s="423" t="s">
        <v>189</v>
      </c>
      <c r="E22" s="423">
        <v>1987</v>
      </c>
      <c r="F22" s="513">
        <v>1980</v>
      </c>
      <c r="G22" s="642">
        <v>2028</v>
      </c>
      <c r="H22" s="513">
        <v>1</v>
      </c>
      <c r="I22" s="513">
        <v>0</v>
      </c>
      <c r="J22" s="423">
        <v>0</v>
      </c>
      <c r="K22" s="423">
        <v>1</v>
      </c>
      <c r="L22" s="513">
        <v>0</v>
      </c>
      <c r="M22" s="513">
        <v>0</v>
      </c>
      <c r="N22" s="513">
        <v>1</v>
      </c>
      <c r="O22"/>
      <c r="Q22" s="135"/>
      <c r="R22" s="135"/>
      <c r="S22" s="135"/>
    </row>
    <row r="23" spans="2:26" ht="15">
      <c r="B23" s="423" t="s">
        <v>685</v>
      </c>
      <c r="C23" s="423"/>
      <c r="D23" s="423" t="s">
        <v>78</v>
      </c>
      <c r="E23" s="646">
        <v>2009</v>
      </c>
      <c r="F23" s="645">
        <v>2002</v>
      </c>
      <c r="G23" s="642">
        <v>2025</v>
      </c>
      <c r="H23" s="513">
        <v>1</v>
      </c>
      <c r="I23" s="513">
        <v>1</v>
      </c>
      <c r="J23" s="423">
        <v>0</v>
      </c>
      <c r="K23" s="423">
        <v>0</v>
      </c>
      <c r="L23" s="513">
        <v>0</v>
      </c>
      <c r="M23" s="513">
        <v>0</v>
      </c>
      <c r="N23" s="513">
        <v>1</v>
      </c>
      <c r="O23"/>
      <c r="P23" s="11"/>
      <c r="Q23" s="287"/>
      <c r="R23" s="287"/>
      <c r="S23" s="287"/>
      <c r="T23" s="11"/>
      <c r="U23" s="11"/>
      <c r="V23" s="11"/>
      <c r="W23" s="11"/>
      <c r="X23" s="11"/>
      <c r="Y23" s="11"/>
      <c r="Z23" s="11"/>
    </row>
    <row r="24" spans="2:26" ht="15">
      <c r="B24" s="423" t="s">
        <v>211</v>
      </c>
      <c r="C24" s="423"/>
      <c r="D24" s="554" t="s">
        <v>79</v>
      </c>
      <c r="E24" s="647">
        <v>2004</v>
      </c>
      <c r="F24" s="642">
        <v>2004</v>
      </c>
      <c r="G24" s="642">
        <v>2020</v>
      </c>
      <c r="H24" s="513">
        <v>1</v>
      </c>
      <c r="I24" s="513">
        <v>1</v>
      </c>
      <c r="J24" s="554">
        <v>0</v>
      </c>
      <c r="K24" s="554">
        <v>0</v>
      </c>
      <c r="L24" s="513">
        <v>0</v>
      </c>
      <c r="M24" s="513">
        <v>0</v>
      </c>
      <c r="N24" s="642">
        <v>1</v>
      </c>
      <c r="O24"/>
      <c r="P24" s="551"/>
      <c r="Q24" s="551"/>
      <c r="R24" s="551"/>
      <c r="S24" s="551"/>
      <c r="T24" s="11"/>
      <c r="U24" s="11"/>
      <c r="V24" s="11"/>
      <c r="W24" s="11"/>
      <c r="X24" s="11"/>
      <c r="Y24" s="11"/>
      <c r="Z24" s="11"/>
    </row>
    <row r="25" spans="2:26" ht="17.25">
      <c r="B25" s="655" t="s">
        <v>696</v>
      </c>
      <c r="C25" s="658" t="s">
        <v>678</v>
      </c>
      <c r="D25" s="655" t="s">
        <v>79</v>
      </c>
      <c r="E25" s="655">
        <v>2008</v>
      </c>
      <c r="F25" s="642">
        <v>2009</v>
      </c>
      <c r="G25" s="642">
        <v>2020</v>
      </c>
      <c r="H25" s="642">
        <v>1</v>
      </c>
      <c r="I25" s="642">
        <v>1</v>
      </c>
      <c r="J25" s="655">
        <v>0</v>
      </c>
      <c r="K25" s="655">
        <v>0</v>
      </c>
      <c r="L25" s="659">
        <v>0</v>
      </c>
      <c r="M25" s="659">
        <v>0</v>
      </c>
      <c r="N25" s="659">
        <v>0</v>
      </c>
      <c r="O25"/>
      <c r="Q25" s="135"/>
      <c r="S25" s="135"/>
    </row>
    <row r="26" spans="2:26" ht="15">
      <c r="B26" s="646" t="s">
        <v>190</v>
      </c>
      <c r="C26" s="423"/>
      <c r="D26" s="646" t="s">
        <v>191</v>
      </c>
      <c r="E26" s="646">
        <v>2002</v>
      </c>
      <c r="F26" s="645">
        <v>1994</v>
      </c>
      <c r="G26" s="645">
        <v>2026</v>
      </c>
      <c r="H26" s="513">
        <v>1</v>
      </c>
      <c r="I26" s="513">
        <v>1</v>
      </c>
      <c r="J26" s="423">
        <v>0</v>
      </c>
      <c r="K26" s="423">
        <v>0</v>
      </c>
      <c r="L26" s="513">
        <v>0</v>
      </c>
      <c r="M26" s="513">
        <v>0</v>
      </c>
      <c r="N26" s="513">
        <v>0</v>
      </c>
      <c r="O26"/>
      <c r="P26" s="135"/>
      <c r="Q26" s="135"/>
      <c r="R26" s="135"/>
      <c r="S26" s="552"/>
      <c r="T26" s="135"/>
      <c r="U26" s="135"/>
      <c r="V26" s="135"/>
      <c r="W26" s="135"/>
      <c r="X26" s="135"/>
      <c r="Y26" s="135"/>
      <c r="Z26" s="135"/>
    </row>
    <row r="27" spans="2:26" ht="15">
      <c r="B27" s="423" t="s">
        <v>633</v>
      </c>
      <c r="C27" s="554" t="s">
        <v>678</v>
      </c>
      <c r="D27" s="647" t="s">
        <v>634</v>
      </c>
      <c r="E27" s="647">
        <v>2003</v>
      </c>
      <c r="F27" s="645">
        <v>2004</v>
      </c>
      <c r="G27" s="642">
        <v>2023</v>
      </c>
      <c r="H27" s="513">
        <v>1</v>
      </c>
      <c r="I27" s="513">
        <v>0</v>
      </c>
      <c r="J27" s="554">
        <v>0</v>
      </c>
      <c r="K27" s="554">
        <v>0</v>
      </c>
      <c r="L27" s="513">
        <v>0</v>
      </c>
      <c r="M27" s="513">
        <v>1</v>
      </c>
      <c r="N27" s="642">
        <v>0</v>
      </c>
      <c r="O27" s="648"/>
      <c r="P27" s="135"/>
      <c r="Q27" s="135"/>
      <c r="R27" s="135"/>
      <c r="S27" s="135"/>
      <c r="T27" s="135"/>
      <c r="U27" s="135"/>
      <c r="V27" s="135"/>
      <c r="W27" s="135"/>
      <c r="X27" s="135"/>
      <c r="Y27" s="135"/>
      <c r="Z27" s="135"/>
    </row>
    <row r="28" spans="2:26" ht="15">
      <c r="B28" s="423" t="s">
        <v>418</v>
      </c>
      <c r="C28" s="423"/>
      <c r="D28" s="423" t="s">
        <v>419</v>
      </c>
      <c r="E28" s="646">
        <v>2008</v>
      </c>
      <c r="F28" s="513">
        <v>1996</v>
      </c>
      <c r="G28" s="642">
        <v>2022</v>
      </c>
      <c r="H28" s="513">
        <v>1</v>
      </c>
      <c r="I28" s="513">
        <v>1</v>
      </c>
      <c r="J28" s="423">
        <v>0</v>
      </c>
      <c r="K28" s="423">
        <v>0</v>
      </c>
      <c r="L28" s="513">
        <v>0</v>
      </c>
      <c r="M28" s="513">
        <v>0</v>
      </c>
      <c r="N28" s="642">
        <v>1</v>
      </c>
      <c r="O28"/>
      <c r="S28" s="135"/>
    </row>
    <row r="29" spans="2:26" ht="15">
      <c r="B29" s="423" t="s">
        <v>420</v>
      </c>
      <c r="C29" s="423"/>
      <c r="D29" s="646" t="s">
        <v>421</v>
      </c>
      <c r="E29" s="646">
        <v>2008</v>
      </c>
      <c r="F29" s="645">
        <v>1995</v>
      </c>
      <c r="G29" s="642">
        <v>2045</v>
      </c>
      <c r="H29" s="645">
        <v>1</v>
      </c>
      <c r="I29" s="645">
        <v>1</v>
      </c>
      <c r="J29" s="646">
        <v>0</v>
      </c>
      <c r="K29" s="646">
        <v>0</v>
      </c>
      <c r="L29" s="645">
        <v>0</v>
      </c>
      <c r="M29" s="642">
        <v>1</v>
      </c>
      <c r="N29" s="645">
        <v>0</v>
      </c>
      <c r="O29"/>
      <c r="P29" s="4"/>
      <c r="Q29" s="4"/>
      <c r="R29" s="4"/>
      <c r="S29" s="4"/>
    </row>
    <row r="30" spans="2:26" ht="15">
      <c r="B30" s="423" t="s">
        <v>686</v>
      </c>
      <c r="C30" s="423"/>
      <c r="D30" s="646" t="s">
        <v>422</v>
      </c>
      <c r="E30" s="646">
        <v>2008</v>
      </c>
      <c r="F30" s="645">
        <v>2001</v>
      </c>
      <c r="G30" s="642">
        <v>2026</v>
      </c>
      <c r="H30" s="645">
        <v>1</v>
      </c>
      <c r="I30" s="645">
        <v>0</v>
      </c>
      <c r="J30" s="646">
        <v>0</v>
      </c>
      <c r="K30" s="646">
        <v>0</v>
      </c>
      <c r="L30" s="645">
        <v>1</v>
      </c>
      <c r="M30" s="645">
        <v>0</v>
      </c>
      <c r="N30" s="645">
        <v>1</v>
      </c>
      <c r="O30"/>
      <c r="P30" s="135"/>
      <c r="Q30" s="135"/>
      <c r="R30" s="135"/>
      <c r="S30" s="135"/>
      <c r="T30" s="135"/>
      <c r="U30" s="135"/>
      <c r="V30" s="135"/>
      <c r="W30" s="135"/>
      <c r="X30" s="135"/>
      <c r="Y30" s="135"/>
      <c r="Z30" s="135"/>
    </row>
    <row r="31" spans="2:26" ht="30">
      <c r="B31" s="646" t="s">
        <v>510</v>
      </c>
      <c r="C31" s="423"/>
      <c r="D31" s="646" t="s">
        <v>511</v>
      </c>
      <c r="E31" s="646">
        <v>2010</v>
      </c>
      <c r="F31" s="645">
        <v>1997</v>
      </c>
      <c r="G31" s="642">
        <v>2028</v>
      </c>
      <c r="H31" s="645">
        <v>1</v>
      </c>
      <c r="I31" s="645">
        <v>1</v>
      </c>
      <c r="J31" s="646">
        <v>0</v>
      </c>
      <c r="K31" s="646">
        <v>0</v>
      </c>
      <c r="L31" s="645">
        <v>0</v>
      </c>
      <c r="M31" s="645">
        <v>0</v>
      </c>
      <c r="N31" s="645">
        <v>0</v>
      </c>
      <c r="O31" s="643" t="s">
        <v>687</v>
      </c>
    </row>
    <row r="32" spans="2:26" ht="15">
      <c r="B32" s="423" t="s">
        <v>265</v>
      </c>
      <c r="C32" s="423"/>
      <c r="D32" s="423" t="s">
        <v>80</v>
      </c>
      <c r="E32" s="423">
        <v>2006</v>
      </c>
      <c r="F32" s="513">
        <v>2001</v>
      </c>
      <c r="G32" s="642">
        <v>2021</v>
      </c>
      <c r="H32" s="513">
        <v>1</v>
      </c>
      <c r="I32" s="513">
        <v>0</v>
      </c>
      <c r="J32" s="423">
        <v>0</v>
      </c>
      <c r="K32" s="423">
        <v>1</v>
      </c>
      <c r="L32" s="513">
        <v>0</v>
      </c>
      <c r="M32" s="513">
        <v>0</v>
      </c>
      <c r="N32" s="513">
        <v>0</v>
      </c>
      <c r="O32" s="643" t="s">
        <v>684</v>
      </c>
      <c r="P32" s="135"/>
    </row>
    <row r="33" spans="2:24" ht="15">
      <c r="B33" s="423" t="s">
        <v>272</v>
      </c>
      <c r="C33" s="423"/>
      <c r="D33" s="423" t="s">
        <v>273</v>
      </c>
      <c r="E33" s="423">
        <v>2004</v>
      </c>
      <c r="F33" s="642">
        <v>2003</v>
      </c>
      <c r="G33" s="642">
        <v>2031</v>
      </c>
      <c r="H33" s="513">
        <v>1</v>
      </c>
      <c r="I33" s="513">
        <v>0</v>
      </c>
      <c r="J33" s="423">
        <v>0</v>
      </c>
      <c r="K33" s="649">
        <v>1</v>
      </c>
      <c r="L33" s="642">
        <v>1</v>
      </c>
      <c r="M33" s="513">
        <v>0</v>
      </c>
      <c r="N33" s="642">
        <v>1</v>
      </c>
      <c r="O33"/>
    </row>
    <row r="34" spans="2:24" ht="15">
      <c r="B34" s="423" t="s">
        <v>635</v>
      </c>
      <c r="C34" s="423"/>
      <c r="D34" s="646" t="s">
        <v>636</v>
      </c>
      <c r="E34" s="423">
        <v>2012</v>
      </c>
      <c r="F34" s="642">
        <v>2004</v>
      </c>
      <c r="G34" s="642">
        <v>2055</v>
      </c>
      <c r="H34" s="513">
        <v>1</v>
      </c>
      <c r="I34" s="513">
        <v>0</v>
      </c>
      <c r="J34" s="423">
        <v>1</v>
      </c>
      <c r="K34" s="423">
        <v>0</v>
      </c>
      <c r="L34" s="513">
        <v>1</v>
      </c>
      <c r="M34" s="642">
        <v>0</v>
      </c>
      <c r="N34" s="642">
        <v>1</v>
      </c>
      <c r="O34"/>
    </row>
    <row r="35" spans="2:24" ht="15">
      <c r="B35" s="423" t="s">
        <v>688</v>
      </c>
      <c r="C35" s="423"/>
      <c r="D35" s="423" t="s">
        <v>81</v>
      </c>
      <c r="E35" s="423">
        <v>1996</v>
      </c>
      <c r="F35" s="513">
        <v>1990</v>
      </c>
      <c r="G35" s="642">
        <v>2021</v>
      </c>
      <c r="H35" s="513">
        <v>1</v>
      </c>
      <c r="I35" s="513">
        <v>0</v>
      </c>
      <c r="J35" s="423">
        <v>0</v>
      </c>
      <c r="K35" s="423">
        <v>1</v>
      </c>
      <c r="L35" s="513">
        <v>0</v>
      </c>
      <c r="M35" s="513">
        <v>0</v>
      </c>
      <c r="N35" s="513">
        <v>0</v>
      </c>
      <c r="O35"/>
      <c r="Q35" s="135"/>
      <c r="R35" s="135"/>
      <c r="S35" s="135"/>
    </row>
    <row r="36" spans="2:24" ht="15">
      <c r="B36" s="423" t="s">
        <v>192</v>
      </c>
      <c r="C36" s="423"/>
      <c r="D36" s="423" t="s">
        <v>82</v>
      </c>
      <c r="E36" s="646">
        <v>2006</v>
      </c>
      <c r="F36" s="645">
        <v>1990</v>
      </c>
      <c r="G36" s="645">
        <v>2017</v>
      </c>
      <c r="H36" s="513">
        <v>1</v>
      </c>
      <c r="I36" s="513">
        <v>1</v>
      </c>
      <c r="J36" s="423">
        <v>0</v>
      </c>
      <c r="K36" s="423">
        <v>0</v>
      </c>
      <c r="L36" s="513">
        <v>0</v>
      </c>
      <c r="M36" s="513">
        <v>0</v>
      </c>
      <c r="N36" s="513">
        <v>0</v>
      </c>
      <c r="O36"/>
    </row>
    <row r="37" spans="2:24" ht="60">
      <c r="B37" s="423" t="s">
        <v>637</v>
      </c>
      <c r="C37" s="262"/>
      <c r="D37" s="423" t="s">
        <v>689</v>
      </c>
      <c r="E37" s="646">
        <v>2003</v>
      </c>
      <c r="F37" s="645">
        <v>1990</v>
      </c>
      <c r="G37" s="642">
        <v>2021</v>
      </c>
      <c r="H37" s="642">
        <v>1</v>
      </c>
      <c r="I37" s="513">
        <v>1</v>
      </c>
      <c r="J37" s="423">
        <v>0</v>
      </c>
      <c r="K37" s="423">
        <v>1</v>
      </c>
      <c r="L37" s="513">
        <v>1</v>
      </c>
      <c r="M37" s="513">
        <v>0</v>
      </c>
      <c r="N37" s="513">
        <v>0</v>
      </c>
      <c r="O37" s="643" t="s">
        <v>690</v>
      </c>
      <c r="P37" s="4"/>
      <c r="Q37" s="4"/>
      <c r="R37" s="4"/>
      <c r="S37" s="4"/>
    </row>
    <row r="38" spans="2:24" ht="15">
      <c r="B38" s="423" t="s">
        <v>691</v>
      </c>
      <c r="C38" s="423"/>
      <c r="D38" s="423" t="s">
        <v>417</v>
      </c>
      <c r="E38" s="423">
        <v>2008</v>
      </c>
      <c r="F38" s="513">
        <v>2004</v>
      </c>
      <c r="G38" s="642">
        <v>2032</v>
      </c>
      <c r="H38" s="513">
        <v>1</v>
      </c>
      <c r="I38" s="513">
        <v>1</v>
      </c>
      <c r="J38" s="423">
        <v>0</v>
      </c>
      <c r="K38" s="423">
        <v>0</v>
      </c>
      <c r="L38" s="513">
        <v>0</v>
      </c>
      <c r="M38" s="513">
        <v>0</v>
      </c>
      <c r="N38" s="513">
        <v>1</v>
      </c>
      <c r="O38"/>
    </row>
    <row r="39" spans="2:24" ht="15">
      <c r="B39" s="513" t="s">
        <v>665</v>
      </c>
      <c r="C39" s="659"/>
      <c r="D39" s="513" t="s">
        <v>425</v>
      </c>
      <c r="E39" s="513">
        <v>2006</v>
      </c>
      <c r="F39" s="513">
        <v>2000</v>
      </c>
      <c r="G39" s="645">
        <v>2025</v>
      </c>
      <c r="H39" s="513">
        <v>1</v>
      </c>
      <c r="I39" s="513">
        <v>1</v>
      </c>
      <c r="J39" s="513">
        <v>0</v>
      </c>
      <c r="K39" s="513">
        <v>0</v>
      </c>
      <c r="L39" s="513">
        <v>0</v>
      </c>
      <c r="M39" s="513">
        <v>0</v>
      </c>
      <c r="N39" s="513">
        <v>0</v>
      </c>
      <c r="O39" s="329"/>
    </row>
    <row r="40" spans="2:24" ht="15">
      <c r="B40" s="513" t="s">
        <v>257</v>
      </c>
      <c r="C40" s="513"/>
      <c r="D40" s="513" t="s">
        <v>258</v>
      </c>
      <c r="E40" s="513">
        <v>2004</v>
      </c>
      <c r="F40" s="513">
        <v>2000</v>
      </c>
      <c r="G40" s="645">
        <v>2027</v>
      </c>
      <c r="H40" s="513">
        <v>1</v>
      </c>
      <c r="I40" s="513">
        <v>0</v>
      </c>
      <c r="J40" s="513">
        <v>1</v>
      </c>
      <c r="K40" s="513">
        <v>0</v>
      </c>
      <c r="L40" s="513">
        <v>0</v>
      </c>
      <c r="M40" s="513">
        <v>0</v>
      </c>
      <c r="N40" s="513">
        <v>1</v>
      </c>
      <c r="O40" s="643" t="s">
        <v>684</v>
      </c>
      <c r="Q40" s="135"/>
      <c r="W40" s="4"/>
      <c r="X40" s="4"/>
    </row>
    <row r="41" spans="2:24" ht="15">
      <c r="B41" s="423" t="s">
        <v>274</v>
      </c>
      <c r="C41" s="423" t="s">
        <v>678</v>
      </c>
      <c r="D41" s="423" t="s">
        <v>638</v>
      </c>
      <c r="E41" s="646">
        <v>2002</v>
      </c>
      <c r="F41" s="642">
        <v>2001</v>
      </c>
      <c r="G41" s="642">
        <v>2028</v>
      </c>
      <c r="H41" s="513">
        <v>1</v>
      </c>
      <c r="I41" s="513">
        <v>0</v>
      </c>
      <c r="J41" s="423">
        <v>0</v>
      </c>
      <c r="K41" s="646">
        <v>0</v>
      </c>
      <c r="L41" s="645">
        <v>1</v>
      </c>
      <c r="M41" s="513">
        <v>0</v>
      </c>
      <c r="N41" s="513">
        <v>0</v>
      </c>
      <c r="O41"/>
      <c r="Q41" s="135"/>
    </row>
    <row r="42" spans="2:24" ht="15">
      <c r="B42" s="423" t="s">
        <v>639</v>
      </c>
      <c r="C42" s="423" t="s">
        <v>678</v>
      </c>
      <c r="D42" s="423" t="s">
        <v>256</v>
      </c>
      <c r="E42" s="646">
        <v>2010</v>
      </c>
      <c r="F42" s="513">
        <v>2002</v>
      </c>
      <c r="G42" s="642">
        <v>2021</v>
      </c>
      <c r="H42" s="513">
        <v>1</v>
      </c>
      <c r="I42" s="513">
        <v>1</v>
      </c>
      <c r="J42" s="423">
        <v>0</v>
      </c>
      <c r="K42" s="423">
        <v>0</v>
      </c>
      <c r="L42" s="513">
        <v>0</v>
      </c>
      <c r="M42" s="513">
        <v>0</v>
      </c>
      <c r="N42" s="513">
        <v>1</v>
      </c>
      <c r="O42"/>
    </row>
    <row r="43" spans="2:24" ht="15">
      <c r="B43" s="423" t="s">
        <v>423</v>
      </c>
      <c r="C43" s="423"/>
      <c r="D43" s="423" t="s">
        <v>424</v>
      </c>
      <c r="E43" s="423">
        <v>2006</v>
      </c>
      <c r="F43" s="513">
        <v>1996</v>
      </c>
      <c r="G43" s="642">
        <v>2028</v>
      </c>
      <c r="H43" s="513">
        <v>1</v>
      </c>
      <c r="I43" s="513">
        <v>0</v>
      </c>
      <c r="J43" s="423">
        <v>0</v>
      </c>
      <c r="K43" s="423">
        <v>0</v>
      </c>
      <c r="L43" s="642">
        <v>1</v>
      </c>
      <c r="M43" s="513">
        <v>0</v>
      </c>
      <c r="N43" s="513">
        <v>0</v>
      </c>
      <c r="O43"/>
      <c r="P43" s="4"/>
      <c r="Q43" s="4"/>
      <c r="R43" s="4"/>
      <c r="S43" s="4"/>
    </row>
    <row r="44" spans="2:24" ht="15">
      <c r="B44" s="423" t="s">
        <v>640</v>
      </c>
      <c r="C44" s="423"/>
      <c r="D44" s="646" t="s">
        <v>80</v>
      </c>
      <c r="E44" s="646">
        <v>2011</v>
      </c>
      <c r="F44" s="645">
        <v>2006</v>
      </c>
      <c r="G44" s="642">
        <v>2021</v>
      </c>
      <c r="H44" s="513">
        <v>1</v>
      </c>
      <c r="I44" s="513">
        <v>0</v>
      </c>
      <c r="J44" s="423">
        <v>0</v>
      </c>
      <c r="K44" s="423">
        <v>1</v>
      </c>
      <c r="L44" s="513">
        <v>1</v>
      </c>
      <c r="M44" s="513">
        <v>0</v>
      </c>
      <c r="N44" s="513">
        <v>1</v>
      </c>
      <c r="O44" s="648"/>
    </row>
    <row r="45" spans="2:24" ht="15">
      <c r="B45" s="423" t="s">
        <v>260</v>
      </c>
      <c r="C45" s="423"/>
      <c r="D45" s="423" t="s">
        <v>259</v>
      </c>
      <c r="E45" s="423">
        <v>2004</v>
      </c>
      <c r="F45" s="513">
        <v>2004</v>
      </c>
      <c r="G45" s="642">
        <v>2026</v>
      </c>
      <c r="H45" s="513">
        <v>1</v>
      </c>
      <c r="I45" s="513">
        <v>0</v>
      </c>
      <c r="J45" s="423">
        <v>1</v>
      </c>
      <c r="K45" s="423">
        <v>0</v>
      </c>
      <c r="L45" s="513">
        <v>0</v>
      </c>
      <c r="M45" s="513">
        <v>0</v>
      </c>
      <c r="N45" s="513">
        <v>0</v>
      </c>
      <c r="O45"/>
      <c r="S45" s="135"/>
    </row>
    <row r="46" spans="2:24" ht="15">
      <c r="B46" s="423" t="s">
        <v>212</v>
      </c>
      <c r="C46" s="423" t="s">
        <v>678</v>
      </c>
      <c r="D46" s="423" t="s">
        <v>72</v>
      </c>
      <c r="E46" s="423">
        <v>1995</v>
      </c>
      <c r="F46" s="513">
        <v>1992</v>
      </c>
      <c r="G46" s="645">
        <v>2027</v>
      </c>
      <c r="H46" s="513">
        <v>1</v>
      </c>
      <c r="I46" s="513">
        <v>0</v>
      </c>
      <c r="J46" s="423">
        <v>0</v>
      </c>
      <c r="K46" s="423">
        <v>1</v>
      </c>
      <c r="L46" s="513">
        <v>1</v>
      </c>
      <c r="M46" s="513">
        <v>0</v>
      </c>
      <c r="N46" s="513">
        <v>0</v>
      </c>
      <c r="O46"/>
      <c r="S46" s="135"/>
      <c r="X46" s="553"/>
    </row>
    <row r="47" spans="2:24" ht="15">
      <c r="B47" s="423" t="s">
        <v>83</v>
      </c>
      <c r="C47" s="423"/>
      <c r="D47" s="423" t="s">
        <v>84</v>
      </c>
      <c r="E47" s="423">
        <v>1999</v>
      </c>
      <c r="F47" s="513">
        <v>1998</v>
      </c>
      <c r="G47" s="642">
        <v>2034</v>
      </c>
      <c r="H47" s="513">
        <v>1</v>
      </c>
      <c r="I47" s="513">
        <v>0</v>
      </c>
      <c r="J47" s="423">
        <v>1</v>
      </c>
      <c r="K47" s="423">
        <v>0</v>
      </c>
      <c r="L47" s="645">
        <v>0</v>
      </c>
      <c r="M47" s="513">
        <v>0</v>
      </c>
      <c r="N47" s="513">
        <v>0</v>
      </c>
      <c r="O47"/>
      <c r="S47" s="135"/>
    </row>
    <row r="48" spans="2:24" ht="15">
      <c r="B48" s="423" t="s">
        <v>692</v>
      </c>
      <c r="C48" s="423"/>
      <c r="D48" s="423" t="s">
        <v>193</v>
      </c>
      <c r="E48" s="423">
        <v>1983</v>
      </c>
      <c r="F48" s="642">
        <v>1978</v>
      </c>
      <c r="G48" s="642">
        <v>2024</v>
      </c>
      <c r="H48" s="513">
        <v>1</v>
      </c>
      <c r="I48" s="513">
        <v>0</v>
      </c>
      <c r="J48" s="423">
        <v>1</v>
      </c>
      <c r="K48" s="423">
        <v>0</v>
      </c>
      <c r="L48" s="513">
        <v>0</v>
      </c>
      <c r="M48" s="513">
        <v>0</v>
      </c>
      <c r="N48" s="513">
        <v>1</v>
      </c>
      <c r="O48"/>
      <c r="S48" s="135"/>
    </row>
    <row r="49" spans="2:40" ht="45">
      <c r="B49" s="423" t="s">
        <v>85</v>
      </c>
      <c r="C49" s="423"/>
      <c r="D49" s="423" t="s">
        <v>86</v>
      </c>
      <c r="E49" s="423">
        <v>2005</v>
      </c>
      <c r="F49" s="642">
        <v>1982</v>
      </c>
      <c r="G49" s="642">
        <v>2027</v>
      </c>
      <c r="H49" s="642">
        <v>1</v>
      </c>
      <c r="I49" s="513">
        <v>1</v>
      </c>
      <c r="J49" s="423">
        <v>0</v>
      </c>
      <c r="K49" s="423">
        <v>0</v>
      </c>
      <c r="L49" s="513">
        <v>0</v>
      </c>
      <c r="M49" s="513">
        <v>0</v>
      </c>
      <c r="N49" s="513">
        <v>1</v>
      </c>
      <c r="O49" s="643" t="s">
        <v>693</v>
      </c>
      <c r="S49" s="287"/>
    </row>
    <row r="50" spans="2:40" ht="15">
      <c r="B50" s="423" t="s">
        <v>663</v>
      </c>
      <c r="C50" s="423"/>
      <c r="D50" s="423" t="s">
        <v>664</v>
      </c>
      <c r="E50" s="423">
        <v>2014</v>
      </c>
      <c r="F50" s="513">
        <v>2010</v>
      </c>
      <c r="G50" s="513">
        <v>2030</v>
      </c>
      <c r="H50" s="513">
        <v>1</v>
      </c>
      <c r="I50" s="513">
        <v>1</v>
      </c>
      <c r="J50" s="423">
        <v>0</v>
      </c>
      <c r="K50" s="423">
        <v>0</v>
      </c>
      <c r="L50" s="513">
        <v>0</v>
      </c>
      <c r="M50" s="513">
        <v>0</v>
      </c>
      <c r="N50" s="513">
        <v>0</v>
      </c>
      <c r="O50" s="644"/>
      <c r="P50" s="44"/>
    </row>
    <row r="51" spans="2:40">
      <c r="B51" s="136" t="s">
        <v>277</v>
      </c>
      <c r="C51" s="660"/>
      <c r="D51" s="660"/>
      <c r="E51" s="660"/>
      <c r="F51" s="484"/>
      <c r="G51" s="484"/>
      <c r="H51" s="484"/>
      <c r="I51" s="484"/>
      <c r="J51" s="660"/>
      <c r="K51" s="660"/>
      <c r="L51" s="484"/>
      <c r="M51" s="484"/>
      <c r="N51" s="484"/>
      <c r="O51"/>
      <c r="P51" s="44"/>
    </row>
    <row r="52" spans="2:40">
      <c r="B52" s="650" t="s">
        <v>694</v>
      </c>
      <c r="C52" s="44"/>
      <c r="D52" s="44"/>
      <c r="E52" s="44"/>
      <c r="F52" s="482"/>
      <c r="G52" s="482"/>
      <c r="H52" s="482"/>
      <c r="I52" s="482"/>
      <c r="J52" s="44"/>
      <c r="K52" s="44"/>
      <c r="L52" s="482"/>
      <c r="M52" s="482"/>
      <c r="N52" s="482"/>
      <c r="O52"/>
      <c r="P52" s="44"/>
    </row>
    <row r="53" spans="2:40" ht="17.25">
      <c r="B53" s="651" t="s">
        <v>697</v>
      </c>
      <c r="C53" s="123"/>
      <c r="F53" s="329"/>
      <c r="G53" s="329"/>
      <c r="H53" s="329"/>
      <c r="I53" s="329"/>
      <c r="L53" s="329"/>
      <c r="M53" s="329"/>
      <c r="N53" s="329"/>
      <c r="O53"/>
      <c r="P53" s="44"/>
    </row>
    <row r="54" spans="2:40" ht="31.5" customHeight="1">
      <c r="B54" s="758" t="s">
        <v>279</v>
      </c>
      <c r="C54" s="758"/>
      <c r="D54" s="758"/>
      <c r="E54" s="758"/>
      <c r="F54" s="758"/>
      <c r="G54" s="758"/>
      <c r="H54" s="758"/>
      <c r="I54" s="758"/>
      <c r="J54" s="758"/>
      <c r="K54" s="758"/>
      <c r="L54" s="758"/>
      <c r="M54" s="758"/>
      <c r="N54" s="758"/>
      <c r="O54" s="758"/>
      <c r="P54" s="44"/>
    </row>
    <row r="55" spans="2:40">
      <c r="B55" s="134"/>
      <c r="C55" s="44"/>
      <c r="D55" s="44"/>
      <c r="E55" s="44"/>
      <c r="F55" s="44"/>
      <c r="G55" s="44"/>
      <c r="H55" s="44"/>
      <c r="I55" s="44"/>
      <c r="J55" s="44"/>
      <c r="K55" s="44"/>
      <c r="L55" s="44"/>
      <c r="M55" s="44"/>
      <c r="N55" s="44"/>
      <c r="P55" s="44"/>
    </row>
    <row r="56" spans="2:40" ht="15.75" thickBot="1">
      <c r="B56" s="403" t="s">
        <v>488</v>
      </c>
      <c r="C56" s="44"/>
      <c r="D56" s="44"/>
      <c r="E56" s="44"/>
      <c r="F56" s="44"/>
      <c r="G56" s="44"/>
      <c r="H56" s="44"/>
      <c r="I56" s="44"/>
      <c r="J56" s="44"/>
      <c r="K56" s="44"/>
      <c r="L56" s="44"/>
      <c r="M56" s="44"/>
      <c r="N56" s="44"/>
      <c r="P56" s="44"/>
      <c r="Q56" s="407" t="s">
        <v>99</v>
      </c>
    </row>
    <row r="57" spans="2:40" ht="13.5" thickTop="1">
      <c r="B57" s="558"/>
      <c r="C57" s="559"/>
      <c r="D57" s="559"/>
      <c r="E57" s="559"/>
      <c r="F57" s="560"/>
      <c r="G57" s="754" t="s">
        <v>63</v>
      </c>
      <c r="H57" s="755"/>
      <c r="I57" s="755"/>
      <c r="J57" s="755"/>
      <c r="K57" s="755"/>
      <c r="L57" s="755"/>
      <c r="M57" s="755"/>
      <c r="N57" s="755"/>
      <c r="O57" s="755"/>
      <c r="P57" s="755"/>
      <c r="Q57" s="755"/>
      <c r="R57" s="755"/>
      <c r="S57" s="756"/>
      <c r="T57" s="756"/>
      <c r="U57" s="757"/>
    </row>
    <row r="58" spans="2:40" ht="25.5">
      <c r="B58" s="397" t="s">
        <v>255</v>
      </c>
      <c r="C58" s="397" t="s">
        <v>64</v>
      </c>
      <c r="D58" s="398" t="s">
        <v>65</v>
      </c>
      <c r="E58" s="398" t="s">
        <v>281</v>
      </c>
      <c r="F58" s="398" t="s">
        <v>66</v>
      </c>
      <c r="G58" s="398" t="s">
        <v>492</v>
      </c>
      <c r="H58" s="398" t="s">
        <v>298</v>
      </c>
      <c r="I58" s="398" t="s">
        <v>489</v>
      </c>
      <c r="J58" s="398" t="s">
        <v>490</v>
      </c>
      <c r="K58" s="398" t="s">
        <v>641</v>
      </c>
      <c r="L58" s="398" t="s">
        <v>461</v>
      </c>
      <c r="M58" s="398" t="s">
        <v>462</v>
      </c>
      <c r="N58" s="398" t="s">
        <v>364</v>
      </c>
      <c r="O58" s="398" t="s">
        <v>366</v>
      </c>
      <c r="P58" s="398" t="s">
        <v>70</v>
      </c>
      <c r="Q58" s="398" t="s">
        <v>642</v>
      </c>
      <c r="R58" s="398" t="s">
        <v>643</v>
      </c>
      <c r="S58" s="398" t="s">
        <v>357</v>
      </c>
      <c r="T58" s="399" t="s">
        <v>299</v>
      </c>
      <c r="U58" s="399" t="s">
        <v>363</v>
      </c>
      <c r="AN58" s="399" t="s">
        <v>491</v>
      </c>
    </row>
    <row r="59" spans="2:40">
      <c r="B59" s="555" t="s">
        <v>644</v>
      </c>
      <c r="C59" s="400" t="s">
        <v>645</v>
      </c>
      <c r="D59" s="400">
        <v>2010</v>
      </c>
      <c r="E59" s="400">
        <v>2012</v>
      </c>
      <c r="F59" s="400">
        <v>2020</v>
      </c>
      <c r="G59" s="400"/>
      <c r="H59" s="400">
        <v>1</v>
      </c>
      <c r="I59" s="400"/>
      <c r="J59" s="400"/>
      <c r="K59" s="400"/>
      <c r="L59" s="400"/>
      <c r="M59" s="400"/>
      <c r="N59" s="400"/>
      <c r="O59" s="400"/>
      <c r="P59" s="400"/>
      <c r="Q59" s="400"/>
      <c r="R59" s="400"/>
      <c r="S59" s="400"/>
      <c r="T59" s="66"/>
      <c r="U59" s="66"/>
      <c r="AN59" s="66"/>
    </row>
    <row r="60" spans="2:40">
      <c r="B60" s="555" t="s">
        <v>646</v>
      </c>
      <c r="C60" s="400" t="s">
        <v>463</v>
      </c>
      <c r="D60" s="400">
        <v>2010</v>
      </c>
      <c r="E60" s="400">
        <v>2005</v>
      </c>
      <c r="F60" s="400">
        <v>2026</v>
      </c>
      <c r="G60" s="400">
        <v>1</v>
      </c>
      <c r="H60" s="400">
        <v>1</v>
      </c>
      <c r="I60" s="400"/>
      <c r="J60" s="400"/>
      <c r="K60" s="400"/>
      <c r="L60" s="400"/>
      <c r="M60" s="400"/>
      <c r="N60" s="400"/>
      <c r="O60" s="400"/>
      <c r="P60" s="400"/>
      <c r="Q60" s="400"/>
      <c r="R60" s="400"/>
      <c r="S60" s="400"/>
      <c r="T60" s="66"/>
      <c r="U60" s="66"/>
      <c r="AN60" s="66"/>
    </row>
    <row r="61" spans="2:40">
      <c r="B61" s="555" t="s">
        <v>647</v>
      </c>
      <c r="C61" s="400" t="s">
        <v>648</v>
      </c>
      <c r="D61" s="400">
        <v>2008</v>
      </c>
      <c r="E61" s="400">
        <v>2003</v>
      </c>
      <c r="F61" s="400">
        <v>2026</v>
      </c>
      <c r="G61" s="400">
        <v>1</v>
      </c>
      <c r="H61" s="400"/>
      <c r="I61" s="400">
        <v>1</v>
      </c>
      <c r="J61" s="400">
        <v>1</v>
      </c>
      <c r="K61" s="400"/>
      <c r="L61" s="400"/>
      <c r="M61" s="400"/>
      <c r="N61" s="400"/>
      <c r="O61" s="400">
        <v>1</v>
      </c>
      <c r="P61" s="400"/>
      <c r="Q61" s="400"/>
      <c r="R61" s="400"/>
      <c r="S61" s="400"/>
      <c r="T61" s="66"/>
      <c r="U61" s="66"/>
      <c r="AN61" s="66"/>
    </row>
    <row r="62" spans="2:40">
      <c r="B62" s="555" t="s">
        <v>649</v>
      </c>
      <c r="C62" s="400" t="s">
        <v>650</v>
      </c>
      <c r="D62" s="400">
        <v>2005</v>
      </c>
      <c r="E62" s="400">
        <v>1995</v>
      </c>
      <c r="F62" s="400">
        <v>2017</v>
      </c>
      <c r="G62" s="400">
        <v>1</v>
      </c>
      <c r="H62" s="400">
        <v>1</v>
      </c>
      <c r="I62" s="400"/>
      <c r="J62" s="400"/>
      <c r="K62" s="400"/>
      <c r="L62" s="400"/>
      <c r="M62" s="400"/>
      <c r="N62" s="400"/>
      <c r="O62" s="400"/>
      <c r="P62" s="400"/>
      <c r="Q62" s="400"/>
      <c r="R62" s="400"/>
      <c r="S62" s="400"/>
      <c r="T62" s="66"/>
      <c r="U62" s="66"/>
      <c r="AN62" s="66"/>
    </row>
    <row r="63" spans="2:40">
      <c r="B63" s="555" t="s">
        <v>464</v>
      </c>
      <c r="C63" s="400" t="s">
        <v>465</v>
      </c>
      <c r="D63" s="400">
        <v>2007</v>
      </c>
      <c r="E63" s="400">
        <v>1997</v>
      </c>
      <c r="F63" s="400">
        <v>2014</v>
      </c>
      <c r="G63" s="400">
        <v>1</v>
      </c>
      <c r="H63" s="400"/>
      <c r="I63" s="400"/>
      <c r="J63" s="400"/>
      <c r="K63" s="400">
        <v>1</v>
      </c>
      <c r="L63" s="400">
        <v>1</v>
      </c>
      <c r="M63" s="400"/>
      <c r="N63" s="400">
        <v>1</v>
      </c>
      <c r="O63" s="400"/>
      <c r="P63" s="400"/>
      <c r="Q63" s="400"/>
      <c r="R63" s="400"/>
      <c r="S63" s="400"/>
      <c r="T63" s="66"/>
      <c r="U63" s="66"/>
      <c r="AN63" s="66"/>
    </row>
    <row r="64" spans="2:40">
      <c r="B64" s="555" t="s">
        <v>466</v>
      </c>
      <c r="C64" s="400" t="s">
        <v>467</v>
      </c>
      <c r="D64" s="400">
        <v>1996</v>
      </c>
      <c r="E64" s="400">
        <v>1988</v>
      </c>
      <c r="F64" s="400">
        <v>2017</v>
      </c>
      <c r="G64" s="400">
        <v>1</v>
      </c>
      <c r="H64" s="400"/>
      <c r="I64" s="400"/>
      <c r="J64" s="400"/>
      <c r="K64" s="400"/>
      <c r="L64" s="400"/>
      <c r="M64" s="400"/>
      <c r="N64" s="400"/>
      <c r="O64" s="400">
        <v>1</v>
      </c>
      <c r="P64" s="400"/>
      <c r="Q64" s="400"/>
      <c r="R64" s="400"/>
      <c r="S64" s="400"/>
      <c r="T64" s="66"/>
      <c r="U64" s="66"/>
      <c r="AN64" s="66"/>
    </row>
    <row r="65" spans="2:40">
      <c r="B65" s="555" t="s">
        <v>468</v>
      </c>
      <c r="C65" s="400" t="s">
        <v>469</v>
      </c>
      <c r="D65" s="400">
        <v>2003</v>
      </c>
      <c r="E65" s="400">
        <v>1998</v>
      </c>
      <c r="F65" s="400">
        <v>2024</v>
      </c>
      <c r="G65" s="400">
        <v>1</v>
      </c>
      <c r="H65" s="400"/>
      <c r="I65" s="400"/>
      <c r="J65" s="400"/>
      <c r="K65" s="400"/>
      <c r="L65" s="400"/>
      <c r="M65" s="400"/>
      <c r="N65" s="400"/>
      <c r="O65" s="400"/>
      <c r="P65" s="400"/>
      <c r="Q65" s="400"/>
      <c r="R65" s="400"/>
      <c r="S65" s="400"/>
      <c r="T65" s="66">
        <v>1</v>
      </c>
      <c r="U65" s="66"/>
      <c r="AN65" s="66"/>
    </row>
    <row r="66" spans="2:40">
      <c r="B66" s="555" t="s">
        <v>470</v>
      </c>
      <c r="C66" s="400" t="s">
        <v>471</v>
      </c>
      <c r="D66" s="400">
        <v>2009</v>
      </c>
      <c r="E66" s="400">
        <v>2006</v>
      </c>
      <c r="F66" s="400">
        <v>2031</v>
      </c>
      <c r="G66" s="400">
        <v>1</v>
      </c>
      <c r="H66" s="400"/>
      <c r="I66" s="400"/>
      <c r="J66" s="400"/>
      <c r="K66" s="400"/>
      <c r="L66" s="400"/>
      <c r="M66" s="400"/>
      <c r="N66" s="400"/>
      <c r="O66" s="400">
        <v>1</v>
      </c>
      <c r="P66" s="400"/>
      <c r="Q66" s="400"/>
      <c r="R66" s="400"/>
      <c r="S66" s="400"/>
      <c r="T66" s="66"/>
      <c r="U66" s="66"/>
      <c r="AN66" s="66"/>
    </row>
    <row r="67" spans="2:40">
      <c r="B67" s="555" t="s">
        <v>472</v>
      </c>
      <c r="C67" s="401" t="s">
        <v>473</v>
      </c>
      <c r="D67" s="401">
        <v>2005</v>
      </c>
      <c r="E67" s="401">
        <v>2006</v>
      </c>
      <c r="F67" s="401">
        <v>2017</v>
      </c>
      <c r="G67" s="401">
        <v>1</v>
      </c>
      <c r="H67" s="401"/>
      <c r="I67" s="401"/>
      <c r="J67" s="401"/>
      <c r="K67" s="401"/>
      <c r="L67" s="401"/>
      <c r="M67" s="401"/>
      <c r="N67" s="401"/>
      <c r="O67" s="401"/>
      <c r="P67" s="401"/>
      <c r="Q67" s="401"/>
      <c r="R67" s="401"/>
      <c r="S67" s="401"/>
      <c r="T67" s="66"/>
      <c r="U67" s="66">
        <v>1</v>
      </c>
      <c r="AN67" s="66"/>
    </row>
    <row r="68" spans="2:40">
      <c r="B68" s="555" t="s">
        <v>651</v>
      </c>
      <c r="C68" s="401" t="s">
        <v>652</v>
      </c>
      <c r="D68" s="401">
        <v>2002</v>
      </c>
      <c r="E68" s="401">
        <v>1998</v>
      </c>
      <c r="F68" s="401">
        <v>2033</v>
      </c>
      <c r="G68" s="401">
        <v>1</v>
      </c>
      <c r="H68" s="401"/>
      <c r="I68" s="401">
        <v>1</v>
      </c>
      <c r="J68" s="401">
        <v>1</v>
      </c>
      <c r="K68" s="401"/>
      <c r="L68" s="401"/>
      <c r="M68" s="401"/>
      <c r="N68" s="401"/>
      <c r="O68" s="401"/>
      <c r="P68" s="401"/>
      <c r="Q68" s="401"/>
      <c r="R68" s="401"/>
      <c r="S68" s="401"/>
      <c r="T68" s="66"/>
      <c r="U68" s="66"/>
      <c r="AN68" s="66"/>
    </row>
    <row r="69" spans="2:40">
      <c r="B69" s="555" t="s">
        <v>653</v>
      </c>
      <c r="C69" s="401" t="s">
        <v>654</v>
      </c>
      <c r="D69" s="401">
        <v>2011</v>
      </c>
      <c r="E69" s="401">
        <v>2004</v>
      </c>
      <c r="F69" s="401">
        <v>2025</v>
      </c>
      <c r="G69" s="401">
        <v>1</v>
      </c>
      <c r="H69" s="401"/>
      <c r="I69" s="401">
        <v>1</v>
      </c>
      <c r="J69" s="401">
        <v>1</v>
      </c>
      <c r="K69" s="401"/>
      <c r="L69" s="401"/>
      <c r="M69" s="401"/>
      <c r="N69" s="401"/>
      <c r="O69" s="401">
        <v>1</v>
      </c>
      <c r="P69" s="401">
        <v>1</v>
      </c>
      <c r="Q69" s="401">
        <v>1</v>
      </c>
      <c r="R69" s="401">
        <v>1</v>
      </c>
      <c r="S69" s="401"/>
      <c r="T69" s="66"/>
      <c r="U69" s="66"/>
      <c r="AN69" s="66"/>
    </row>
    <row r="70" spans="2:40">
      <c r="B70" s="555" t="s">
        <v>474</v>
      </c>
      <c r="C70" s="400" t="s">
        <v>475</v>
      </c>
      <c r="D70" s="400">
        <v>2006</v>
      </c>
      <c r="E70" s="400">
        <v>2004</v>
      </c>
      <c r="F70" s="400">
        <v>2016</v>
      </c>
      <c r="G70" s="400">
        <v>1</v>
      </c>
      <c r="H70" s="400">
        <v>1</v>
      </c>
      <c r="I70" s="400"/>
      <c r="J70" s="400"/>
      <c r="K70" s="400"/>
      <c r="L70" s="400"/>
      <c r="M70" s="400"/>
      <c r="N70" s="400"/>
      <c r="O70" s="400"/>
      <c r="P70" s="400"/>
      <c r="Q70" s="400"/>
      <c r="R70" s="400"/>
      <c r="S70" s="400"/>
      <c r="T70" s="66"/>
      <c r="U70" s="66"/>
      <c r="AN70" s="66"/>
    </row>
    <row r="71" spans="2:40">
      <c r="B71" s="555" t="s">
        <v>476</v>
      </c>
      <c r="C71" s="400" t="s">
        <v>477</v>
      </c>
      <c r="D71" s="400">
        <v>2010</v>
      </c>
      <c r="E71" s="400">
        <v>2005</v>
      </c>
      <c r="F71" s="400">
        <v>2017</v>
      </c>
      <c r="G71" s="400">
        <v>1</v>
      </c>
      <c r="H71" s="400">
        <v>1</v>
      </c>
      <c r="I71" s="400"/>
      <c r="J71" s="400"/>
      <c r="K71" s="400"/>
      <c r="L71" s="400"/>
      <c r="M71" s="400"/>
      <c r="N71" s="400"/>
      <c r="O71" s="400">
        <v>1</v>
      </c>
      <c r="P71" s="400"/>
      <c r="Q71" s="400"/>
      <c r="R71" s="400"/>
      <c r="S71" s="400"/>
      <c r="T71" s="66"/>
      <c r="U71" s="66">
        <v>1</v>
      </c>
      <c r="AN71" s="66"/>
    </row>
    <row r="72" spans="2:40">
      <c r="B72" s="555" t="s">
        <v>478</v>
      </c>
      <c r="C72" s="400" t="s">
        <v>479</v>
      </c>
      <c r="D72" s="400">
        <v>2002</v>
      </c>
      <c r="E72" s="400">
        <v>1983</v>
      </c>
      <c r="F72" s="400">
        <v>2013</v>
      </c>
      <c r="G72" s="400">
        <v>1</v>
      </c>
      <c r="H72" s="400"/>
      <c r="I72" s="400"/>
      <c r="J72" s="400"/>
      <c r="K72" s="400"/>
      <c r="L72" s="400">
        <v>1</v>
      </c>
      <c r="M72" s="400"/>
      <c r="N72" s="400"/>
      <c r="O72" s="400"/>
      <c r="P72" s="400"/>
      <c r="Q72" s="400"/>
      <c r="R72" s="400"/>
      <c r="S72" s="400"/>
      <c r="T72" s="66">
        <v>1</v>
      </c>
      <c r="U72" s="66"/>
      <c r="AN72" s="66">
        <v>1</v>
      </c>
    </row>
    <row r="73" spans="2:40">
      <c r="B73" s="555" t="s">
        <v>480</v>
      </c>
      <c r="C73" s="401" t="s">
        <v>481</v>
      </c>
      <c r="D73" s="401">
        <v>2004</v>
      </c>
      <c r="E73" s="401">
        <v>2004</v>
      </c>
      <c r="F73" s="401">
        <v>2033</v>
      </c>
      <c r="G73" s="401">
        <v>1</v>
      </c>
      <c r="H73" s="401"/>
      <c r="I73" s="401"/>
      <c r="J73" s="401"/>
      <c r="K73" s="401"/>
      <c r="L73" s="401"/>
      <c r="M73" s="401"/>
      <c r="N73" s="401"/>
      <c r="O73" s="402"/>
      <c r="P73" s="402"/>
      <c r="Q73" s="402"/>
      <c r="R73" s="402"/>
      <c r="S73" s="401"/>
      <c r="T73" s="66">
        <v>1</v>
      </c>
      <c r="U73" s="66"/>
      <c r="AN73" s="66"/>
    </row>
    <row r="74" spans="2:40">
      <c r="B74" s="555" t="s">
        <v>655</v>
      </c>
      <c r="C74" s="401" t="s">
        <v>656</v>
      </c>
      <c r="D74" s="401">
        <v>2011</v>
      </c>
      <c r="E74" s="401">
        <v>2007</v>
      </c>
      <c r="F74" s="401">
        <v>2028</v>
      </c>
      <c r="G74" s="401">
        <v>1</v>
      </c>
      <c r="H74" s="401"/>
      <c r="I74" s="401"/>
      <c r="J74" s="401"/>
      <c r="K74" s="401"/>
      <c r="L74" s="401"/>
      <c r="M74" s="401">
        <v>1</v>
      </c>
      <c r="N74" s="401"/>
      <c r="O74" s="402"/>
      <c r="P74" s="402"/>
      <c r="Q74" s="402"/>
      <c r="R74" s="402"/>
      <c r="S74" s="401"/>
      <c r="T74" s="66"/>
      <c r="U74" s="66"/>
      <c r="AN74" s="66"/>
    </row>
    <row r="75" spans="2:40">
      <c r="B75" s="555" t="s">
        <v>482</v>
      </c>
      <c r="C75" s="401" t="s">
        <v>483</v>
      </c>
      <c r="D75" s="401">
        <v>2005</v>
      </c>
      <c r="E75" s="401">
        <v>2000</v>
      </c>
      <c r="F75" s="401">
        <v>2027</v>
      </c>
      <c r="G75" s="401">
        <v>1</v>
      </c>
      <c r="H75" s="401">
        <v>1</v>
      </c>
      <c r="I75" s="401"/>
      <c r="J75" s="401"/>
      <c r="K75" s="401"/>
      <c r="L75" s="401"/>
      <c r="M75" s="401"/>
      <c r="N75" s="401"/>
      <c r="O75" s="401"/>
      <c r="P75" s="401"/>
      <c r="Q75" s="401"/>
      <c r="R75" s="401"/>
      <c r="S75" s="401"/>
      <c r="T75" s="66"/>
      <c r="U75" s="66"/>
      <c r="AN75" s="66"/>
    </row>
    <row r="76" spans="2:40">
      <c r="B76" s="555" t="s">
        <v>484</v>
      </c>
      <c r="C76" s="400" t="s">
        <v>485</v>
      </c>
      <c r="D76" s="400">
        <v>2010</v>
      </c>
      <c r="E76" s="400">
        <v>2007</v>
      </c>
      <c r="F76" s="400">
        <v>2018</v>
      </c>
      <c r="G76" s="400">
        <v>1</v>
      </c>
      <c r="H76" s="400"/>
      <c r="I76" s="400"/>
      <c r="J76" s="400"/>
      <c r="K76" s="400"/>
      <c r="L76" s="400"/>
      <c r="M76" s="400"/>
      <c r="N76" s="400"/>
      <c r="O76" s="400">
        <v>1</v>
      </c>
      <c r="P76" s="400"/>
      <c r="Q76" s="400"/>
      <c r="R76" s="400"/>
      <c r="S76" s="400"/>
      <c r="T76" s="66"/>
      <c r="U76" s="66"/>
      <c r="AN76" s="66"/>
    </row>
    <row r="77" spans="2:40">
      <c r="B77" s="555" t="s">
        <v>486</v>
      </c>
      <c r="C77" s="400" t="s">
        <v>487</v>
      </c>
      <c r="D77" s="400">
        <v>2009</v>
      </c>
      <c r="E77" s="400">
        <v>2002</v>
      </c>
      <c r="F77" s="400">
        <v>2024</v>
      </c>
      <c r="G77" s="400">
        <v>1</v>
      </c>
      <c r="H77" s="400"/>
      <c r="I77" s="400"/>
      <c r="J77" s="400"/>
      <c r="K77" s="400"/>
      <c r="L77" s="400"/>
      <c r="M77" s="400"/>
      <c r="N77" s="400"/>
      <c r="O77" s="400">
        <v>1</v>
      </c>
      <c r="P77" s="400"/>
      <c r="Q77" s="400"/>
      <c r="R77" s="400"/>
      <c r="S77" s="400"/>
      <c r="T77" s="66"/>
      <c r="U77" s="66"/>
      <c r="AN77" s="66"/>
    </row>
    <row r="78" spans="2:40">
      <c r="B78" s="556"/>
      <c r="C78" s="556"/>
      <c r="D78" s="556"/>
      <c r="E78" s="556"/>
      <c r="F78" s="556"/>
      <c r="G78" s="557"/>
      <c r="H78" s="557"/>
      <c r="I78" s="557"/>
      <c r="J78" s="557"/>
      <c r="K78" s="557"/>
      <c r="L78" s="557"/>
      <c r="M78" s="557"/>
      <c r="N78" s="557"/>
      <c r="O78" s="557"/>
      <c r="P78" s="557"/>
      <c r="Q78" s="557"/>
      <c r="R78" s="557"/>
    </row>
    <row r="79" spans="2:40">
      <c r="B79" s="556"/>
      <c r="C79" s="556"/>
      <c r="D79" s="556"/>
      <c r="E79" s="556"/>
      <c r="F79" s="556"/>
      <c r="G79" s="557"/>
      <c r="H79" s="557"/>
      <c r="I79" s="557"/>
      <c r="J79" s="557"/>
      <c r="K79" s="557"/>
      <c r="L79" s="557"/>
      <c r="M79" s="557"/>
      <c r="N79" s="557"/>
      <c r="O79" s="557"/>
      <c r="P79" s="557"/>
      <c r="Q79" s="557"/>
      <c r="R79" s="557"/>
    </row>
    <row r="80" spans="2:40" ht="15">
      <c r="Q80" s="406" t="s">
        <v>99</v>
      </c>
    </row>
  </sheetData>
  <sheetProtection sheet="1" objects="1" scenarios="1"/>
  <mergeCells count="7">
    <mergeCell ref="G57:U57"/>
    <mergeCell ref="B54:O54"/>
    <mergeCell ref="B1:O1"/>
    <mergeCell ref="P1:Q1"/>
    <mergeCell ref="P6:R6"/>
    <mergeCell ref="P7:R7"/>
    <mergeCell ref="H12:N12"/>
  </mergeCells>
  <phoneticPr fontId="0" type="noConversion"/>
  <hyperlinks>
    <hyperlink ref="Q56" location="SAR!A1" display="Top"/>
    <hyperlink ref="Q80" location="SAR!A1" display="Top"/>
    <hyperlink ref="P1:Q1" location="Main!A1" display="Go to Main"/>
    <hyperlink ref="P6:R6" location="'SAR Calc'!A1" display="SAR Calculator"/>
    <hyperlink ref="P7:R7" location="Query!A1" display="Go to Query"/>
    <hyperlink ref="K11:N11" location="SAR!B59" display="Army Programs Link"/>
  </hyperlinks>
  <pageMargins left="0.18" right="0.19" top="0.18" bottom="0.19" header="0.5" footer="0.5"/>
  <pageSetup scale="83"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O35"/>
  <sheetViews>
    <sheetView showRowColHeaders="0" workbookViewId="0">
      <selection activeCell="N2" sqref="N2:O2"/>
    </sheetView>
  </sheetViews>
  <sheetFormatPr defaultColWidth="9.140625" defaultRowHeight="12.75"/>
  <cols>
    <col min="1" max="1" width="3.5703125" style="205" customWidth="1"/>
    <col min="2" max="6" width="9.140625" style="205"/>
    <col min="7" max="7" width="10.140625" style="205" customWidth="1"/>
    <col min="8" max="8" width="10.42578125" style="205" customWidth="1"/>
    <col min="9" max="16384" width="9.140625" style="205"/>
  </cols>
  <sheetData>
    <row r="2" spans="1:15" ht="15">
      <c r="E2" s="772" t="s">
        <v>398</v>
      </c>
      <c r="F2" s="772"/>
      <c r="G2" s="772"/>
      <c r="N2" s="765" t="s">
        <v>459</v>
      </c>
      <c r="O2" s="765"/>
    </row>
    <row r="3" spans="1:15" ht="14.25">
      <c r="B3" s="234" t="s">
        <v>411</v>
      </c>
    </row>
    <row r="4" spans="1:15">
      <c r="A4" s="222"/>
      <c r="B4" s="431" t="s">
        <v>513</v>
      </c>
      <c r="C4" s="222"/>
      <c r="D4" s="222"/>
      <c r="E4" s="222"/>
      <c r="F4" s="222"/>
      <c r="G4" s="222"/>
      <c r="H4" s="222"/>
      <c r="I4" s="222"/>
      <c r="J4" s="222"/>
    </row>
    <row r="5" spans="1:15">
      <c r="A5" s="222"/>
      <c r="B5" s="419"/>
      <c r="C5" s="222"/>
      <c r="D5" s="222"/>
      <c r="E5" s="222"/>
      <c r="F5" s="222"/>
      <c r="G5" s="222"/>
      <c r="H5" s="222"/>
      <c r="I5" s="222"/>
      <c r="J5" s="222"/>
    </row>
    <row r="6" spans="1:15" ht="14.25">
      <c r="A6" s="222"/>
      <c r="B6" s="766" t="s">
        <v>508</v>
      </c>
      <c r="C6" s="733"/>
      <c r="D6" s="733"/>
      <c r="E6" s="733"/>
      <c r="F6" s="222"/>
      <c r="G6" s="222"/>
      <c r="H6" s="222"/>
      <c r="I6" s="222"/>
      <c r="J6" s="222"/>
    </row>
    <row r="7" spans="1:15">
      <c r="A7" s="222"/>
      <c r="B7" s="235"/>
      <c r="C7" s="222"/>
      <c r="D7" s="222"/>
      <c r="E7" s="222"/>
      <c r="F7" s="222"/>
      <c r="G7" s="222"/>
      <c r="H7" s="222"/>
      <c r="I7" s="222"/>
      <c r="J7" s="222"/>
    </row>
    <row r="8" spans="1:15">
      <c r="A8" s="222"/>
      <c r="B8" s="767" t="s">
        <v>412</v>
      </c>
      <c r="C8" s="768"/>
      <c r="D8" s="768"/>
      <c r="E8" s="768"/>
      <c r="F8" s="768"/>
      <c r="G8" s="768"/>
      <c r="H8" s="768"/>
      <c r="I8" s="768"/>
      <c r="J8" s="768"/>
    </row>
    <row r="9" spans="1:15">
      <c r="A9" s="222"/>
      <c r="B9" s="232"/>
      <c r="C9" s="232"/>
      <c r="D9" s="232"/>
      <c r="E9" s="232"/>
      <c r="F9" s="232"/>
      <c r="G9" s="232"/>
      <c r="H9" s="232"/>
      <c r="I9" s="232"/>
      <c r="J9" s="232"/>
    </row>
    <row r="10" spans="1:15" ht="12.75" customHeight="1"/>
    <row r="11" spans="1:15">
      <c r="A11" s="222"/>
      <c r="B11" s="769" t="s">
        <v>405</v>
      </c>
      <c r="C11" s="769"/>
      <c r="D11" s="769"/>
      <c r="E11" s="769"/>
      <c r="F11" s="769"/>
      <c r="G11" s="769"/>
      <c r="H11" s="769"/>
      <c r="I11" s="769"/>
      <c r="J11" s="769"/>
      <c r="K11" s="769"/>
    </row>
    <row r="12" spans="1:15" ht="12.75" customHeight="1">
      <c r="A12" s="222"/>
      <c r="B12" s="671"/>
      <c r="C12" s="671"/>
      <c r="D12" s="671"/>
      <c r="E12" s="671"/>
      <c r="F12" s="671"/>
      <c r="G12" s="671"/>
      <c r="H12" s="671"/>
      <c r="I12" s="671"/>
      <c r="J12" s="671"/>
      <c r="K12" s="671"/>
    </row>
    <row r="13" spans="1:15" ht="12.75" customHeight="1">
      <c r="A13" s="222"/>
      <c r="B13" s="205" t="s">
        <v>390</v>
      </c>
    </row>
    <row r="14" spans="1:15">
      <c r="A14" s="222"/>
      <c r="C14" s="205" t="s">
        <v>401</v>
      </c>
    </row>
    <row r="15" spans="1:15">
      <c r="A15" s="222"/>
    </row>
    <row r="16" spans="1:15">
      <c r="A16" s="222"/>
      <c r="C16" s="205" t="s">
        <v>391</v>
      </c>
    </row>
    <row r="17" spans="1:13">
      <c r="A17" s="222"/>
      <c r="C17" s="769" t="s">
        <v>392</v>
      </c>
      <c r="D17" s="769"/>
      <c r="E17" s="769"/>
      <c r="F17" s="769"/>
      <c r="G17" s="769"/>
      <c r="H17" s="769"/>
      <c r="I17" s="769"/>
      <c r="J17" s="769"/>
      <c r="K17" s="769"/>
    </row>
    <row r="18" spans="1:13">
      <c r="A18" s="222"/>
    </row>
    <row r="19" spans="1:13">
      <c r="A19" s="222"/>
      <c r="C19" s="205" t="s">
        <v>393</v>
      </c>
    </row>
    <row r="20" spans="1:13">
      <c r="A20" s="222"/>
      <c r="B20" s="205" t="s">
        <v>394</v>
      </c>
      <c r="C20" s="205" t="s">
        <v>395</v>
      </c>
    </row>
    <row r="21" spans="1:13">
      <c r="A21" s="222"/>
      <c r="B21" s="205" t="s">
        <v>394</v>
      </c>
      <c r="C21" s="205" t="s">
        <v>413</v>
      </c>
    </row>
    <row r="22" spans="1:13">
      <c r="A22" s="222"/>
      <c r="B22" s="205" t="s">
        <v>394</v>
      </c>
      <c r="C22" s="205" t="s">
        <v>396</v>
      </c>
    </row>
    <row r="23" spans="1:13">
      <c r="A23" s="222"/>
      <c r="B23" s="205" t="s">
        <v>394</v>
      </c>
      <c r="C23" s="205" t="s">
        <v>397</v>
      </c>
    </row>
    <row r="24" spans="1:13">
      <c r="A24" s="222"/>
      <c r="B24" s="205" t="s">
        <v>394</v>
      </c>
      <c r="C24" s="205" t="s">
        <v>414</v>
      </c>
    </row>
    <row r="25" spans="1:13">
      <c r="B25" s="205" t="s">
        <v>394</v>
      </c>
      <c r="C25" s="770" t="s">
        <v>728</v>
      </c>
      <c r="D25" s="724"/>
      <c r="E25" s="724"/>
      <c r="F25" s="724"/>
      <c r="G25" s="724"/>
      <c r="H25" s="724"/>
      <c r="I25" s="724"/>
      <c r="J25" s="724"/>
      <c r="K25" s="724"/>
    </row>
    <row r="26" spans="1:13">
      <c r="A26" s="222"/>
      <c r="B26" s="232"/>
      <c r="C26" s="771" t="s">
        <v>729</v>
      </c>
      <c r="D26" s="733"/>
      <c r="E26" s="733"/>
      <c r="F26" s="733"/>
      <c r="G26" s="733"/>
      <c r="H26" s="733"/>
      <c r="I26" s="733"/>
      <c r="J26" s="733"/>
      <c r="K26" s="733"/>
    </row>
    <row r="27" spans="1:13">
      <c r="A27" s="222"/>
      <c r="B27" s="205" t="s">
        <v>394</v>
      </c>
      <c r="C27" s="770" t="s">
        <v>733</v>
      </c>
      <c r="D27" s="733"/>
      <c r="E27" s="733"/>
      <c r="F27" s="733"/>
      <c r="G27" s="733"/>
      <c r="H27" s="733"/>
      <c r="I27" s="733"/>
      <c r="J27" s="733"/>
      <c r="K27" s="733"/>
      <c r="L27" s="733"/>
      <c r="M27" s="733"/>
    </row>
    <row r="28" spans="1:13">
      <c r="A28" s="222"/>
      <c r="C28" s="770"/>
      <c r="D28" s="733"/>
      <c r="E28" s="733"/>
      <c r="F28" s="733"/>
      <c r="G28" s="733"/>
      <c r="H28" s="733"/>
      <c r="I28" s="733"/>
      <c r="J28" s="733"/>
      <c r="K28" s="733"/>
    </row>
    <row r="29" spans="1:13">
      <c r="A29" s="222"/>
      <c r="B29" s="232"/>
      <c r="C29" s="232"/>
      <c r="D29" s="232"/>
      <c r="E29" s="232"/>
      <c r="F29" s="232"/>
      <c r="G29" s="232"/>
      <c r="H29" s="232"/>
      <c r="I29" s="232"/>
      <c r="J29" s="232"/>
    </row>
    <row r="30" spans="1:13">
      <c r="A30" s="222"/>
      <c r="B30" s="232"/>
      <c r="C30" s="232"/>
      <c r="D30" s="232"/>
      <c r="E30" s="232"/>
      <c r="F30" s="232"/>
      <c r="G30" s="232"/>
      <c r="H30" s="232"/>
      <c r="I30" s="232"/>
      <c r="J30" s="232"/>
    </row>
    <row r="31" spans="1:13">
      <c r="A31" s="222"/>
      <c r="B31" s="232"/>
      <c r="C31" s="232"/>
      <c r="D31" s="232"/>
      <c r="E31" s="232"/>
      <c r="F31" s="232"/>
      <c r="G31" s="232"/>
      <c r="H31" s="232"/>
      <c r="I31" s="232"/>
      <c r="J31" s="232"/>
    </row>
    <row r="32" spans="1:13">
      <c r="A32" s="222"/>
      <c r="B32" s="232"/>
      <c r="C32" s="232"/>
      <c r="D32" s="232"/>
      <c r="E32" s="232"/>
      <c r="F32" s="232"/>
      <c r="G32" s="232"/>
      <c r="H32" s="232"/>
      <c r="I32" s="232"/>
      <c r="J32" s="232"/>
    </row>
    <row r="33" spans="1:10" ht="15.75">
      <c r="A33" s="222"/>
      <c r="B33" s="434"/>
      <c r="C33" s="232"/>
      <c r="D33" s="232"/>
      <c r="E33" s="232"/>
      <c r="F33" s="232"/>
      <c r="G33" s="232"/>
      <c r="H33" s="232"/>
      <c r="I33" s="232"/>
      <c r="J33" s="232"/>
    </row>
    <row r="34" spans="1:10">
      <c r="B34" s="222"/>
      <c r="C34" s="222"/>
      <c r="D34" s="222"/>
      <c r="E34" s="222"/>
      <c r="F34" s="222"/>
      <c r="G34" s="222"/>
    </row>
    <row r="35" spans="1:10">
      <c r="B35" s="222"/>
      <c r="C35" s="222"/>
      <c r="D35" s="222"/>
      <c r="E35" s="222"/>
      <c r="F35" s="222"/>
      <c r="G35" s="222"/>
    </row>
  </sheetData>
  <mergeCells count="10">
    <mergeCell ref="C28:K28"/>
    <mergeCell ref="C27:M27"/>
    <mergeCell ref="C25:K25"/>
    <mergeCell ref="C26:K26"/>
    <mergeCell ref="E2:G2"/>
    <mergeCell ref="N2:O2"/>
    <mergeCell ref="B6:E6"/>
    <mergeCell ref="B8:J8"/>
    <mergeCell ref="B11:K11"/>
    <mergeCell ref="C17:K17"/>
  </mergeCells>
  <hyperlinks>
    <hyperlink ref="B6" r:id="rId1"/>
    <hyperlink ref="N2:O2" location="Main!A1" display="Return to Main"/>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2:M150"/>
  <sheetViews>
    <sheetView showGridLines="0" showRowColHeaders="0" topLeftCell="G55" workbookViewId="0">
      <selection activeCell="B100" sqref="B100:G150"/>
    </sheetView>
  </sheetViews>
  <sheetFormatPr defaultColWidth="1.7109375" defaultRowHeight="12.75" customHeight="1"/>
  <cols>
    <col min="1" max="1" width="6.5703125" style="144" hidden="1" customWidth="1"/>
    <col min="2" max="2" width="4.5703125" style="144" hidden="1" customWidth="1"/>
    <col min="3" max="3" width="4" style="125" hidden="1" customWidth="1"/>
    <col min="4" max="4" width="4.5703125" style="125" hidden="1" customWidth="1"/>
    <col min="5" max="5" width="7.5703125" style="144" hidden="1" customWidth="1"/>
    <col min="6" max="6" width="4.7109375" style="144" hidden="1" customWidth="1"/>
    <col min="7" max="7" width="77.5703125" style="144" customWidth="1"/>
    <col min="8" max="8" width="41.85546875" style="144" hidden="1" customWidth="1"/>
    <col min="9" max="9" width="17.7109375" style="144" hidden="1" customWidth="1"/>
    <col min="10" max="10" width="11.28515625" style="144" customWidth="1"/>
    <col min="11" max="11" width="12.7109375" style="144" customWidth="1"/>
    <col min="12" max="12" width="13" style="144" customWidth="1"/>
    <col min="13" max="16384" width="1.7109375" style="144"/>
  </cols>
  <sheetData>
    <row r="2" spans="1:13" ht="28.15" customHeight="1">
      <c r="G2" s="662" t="s">
        <v>234</v>
      </c>
    </row>
    <row r="3" spans="1:13" s="145" customFormat="1" ht="14.25" customHeight="1">
      <c r="C3" s="155"/>
      <c r="D3" s="155"/>
      <c r="E3" s="145" t="str">
        <f>IF(B7="*a*","1985","1970")</f>
        <v>1970</v>
      </c>
      <c r="H3" s="145" t="s">
        <v>301</v>
      </c>
    </row>
    <row r="4" spans="1:13" s="145" customFormat="1" ht="12.75" customHeight="1">
      <c r="A4" s="156"/>
      <c r="C4" s="155"/>
      <c r="D4" s="156"/>
      <c r="E4" s="156"/>
      <c r="G4" s="157"/>
      <c r="H4" s="145" t="s">
        <v>282</v>
      </c>
      <c r="I4" s="144" t="s">
        <v>290</v>
      </c>
    </row>
    <row r="5" spans="1:13" s="145" customFormat="1" ht="12.75" customHeight="1">
      <c r="A5" s="151"/>
      <c r="C5" s="155"/>
      <c r="D5" s="152"/>
      <c r="E5" s="152"/>
      <c r="F5" s="154"/>
      <c r="G5" s="152"/>
      <c r="H5" s="151" t="s">
        <v>280</v>
      </c>
      <c r="I5" s="144" t="s">
        <v>284</v>
      </c>
      <c r="J5" s="152"/>
      <c r="K5" s="153"/>
      <c r="L5" s="151"/>
      <c r="M5" s="152"/>
    </row>
    <row r="6" spans="1:13" s="150" customFormat="1" ht="12.75" customHeight="1">
      <c r="A6" s="145"/>
      <c r="B6" s="157" t="s">
        <v>295</v>
      </c>
      <c r="C6" s="155"/>
      <c r="D6" s="145"/>
      <c r="E6" s="156"/>
      <c r="F6" s="156"/>
      <c r="G6" s="145"/>
      <c r="H6" s="150" t="s">
        <v>283</v>
      </c>
      <c r="I6" s="144" t="s">
        <v>288</v>
      </c>
    </row>
    <row r="7" spans="1:13" s="150" customFormat="1" ht="12.75" customHeight="1">
      <c r="A7" s="145"/>
      <c r="B7" s="159" t="str">
        <f>I8</f>
        <v>*d*</v>
      </c>
      <c r="C7" s="155"/>
      <c r="D7" s="152"/>
      <c r="E7" s="152"/>
      <c r="F7" s="152"/>
      <c r="G7" s="152"/>
      <c r="H7" s="150" t="s">
        <v>305</v>
      </c>
      <c r="I7" s="145" t="s">
        <v>289</v>
      </c>
    </row>
    <row r="8" spans="1:13" s="150" customFormat="1" ht="12.75" customHeight="1">
      <c r="A8" s="151"/>
      <c r="B8" s="145"/>
      <c r="C8" s="164"/>
      <c r="F8" s="145"/>
      <c r="G8" s="158"/>
      <c r="H8" s="150" t="s">
        <v>305</v>
      </c>
      <c r="I8" s="145" t="s">
        <v>289</v>
      </c>
    </row>
    <row r="9" spans="1:13" s="150" customFormat="1" ht="12.75" customHeight="1">
      <c r="A9" s="151"/>
      <c r="B9" s="145"/>
      <c r="C9" s="164"/>
      <c r="F9" s="145"/>
      <c r="G9" s="158"/>
      <c r="I9" s="145"/>
    </row>
    <row r="10" spans="1:13" ht="12.75" customHeight="1">
      <c r="B10" s="160" t="s">
        <v>295</v>
      </c>
      <c r="C10" s="165" t="s">
        <v>291</v>
      </c>
      <c r="D10" s="154" t="s">
        <v>293</v>
      </c>
      <c r="E10" s="161" t="s">
        <v>294</v>
      </c>
      <c r="F10" s="160" t="s">
        <v>292</v>
      </c>
      <c r="G10" s="154" t="s">
        <v>296</v>
      </c>
    </row>
    <row r="11" spans="1:13" ht="12.75" customHeight="1">
      <c r="A11" s="144">
        <v>1</v>
      </c>
      <c r="B11" s="144" t="s">
        <v>285</v>
      </c>
      <c r="C11" s="125">
        <v>4</v>
      </c>
      <c r="D11" s="146" t="s">
        <v>67</v>
      </c>
      <c r="E11" s="147">
        <v>1506</v>
      </c>
      <c r="F11" s="144" t="s">
        <v>58</v>
      </c>
      <c r="G11" s="145" t="s">
        <v>159</v>
      </c>
    </row>
    <row r="12" spans="1:13" ht="12.75" customHeight="1">
      <c r="A12" s="144">
        <f>+A11+1</f>
        <v>2</v>
      </c>
      <c r="B12" s="144" t="s">
        <v>285</v>
      </c>
      <c r="C12" s="125">
        <v>20</v>
      </c>
      <c r="D12" s="146" t="s">
        <v>126</v>
      </c>
      <c r="E12" s="147"/>
      <c r="G12" s="144" t="s">
        <v>304</v>
      </c>
    </row>
    <row r="13" spans="1:13" ht="12.75" customHeight="1">
      <c r="A13" s="144">
        <f t="shared" ref="A13:A76" si="0">+A12+1</f>
        <v>3</v>
      </c>
      <c r="B13" s="144" t="s">
        <v>285</v>
      </c>
      <c r="C13" s="125">
        <v>38</v>
      </c>
      <c r="D13" s="146" t="s">
        <v>127</v>
      </c>
      <c r="E13" s="147">
        <v>525</v>
      </c>
      <c r="G13" s="144" t="s">
        <v>266</v>
      </c>
    </row>
    <row r="14" spans="1:13" ht="12.75" customHeight="1">
      <c r="A14" s="144">
        <f t="shared" si="0"/>
        <v>4</v>
      </c>
      <c r="B14" s="144" t="s">
        <v>404</v>
      </c>
      <c r="C14" s="125">
        <v>26</v>
      </c>
      <c r="D14" s="124" t="s">
        <v>662</v>
      </c>
      <c r="E14" s="147" t="s">
        <v>92</v>
      </c>
      <c r="F14" s="144" t="s">
        <v>60</v>
      </c>
      <c r="G14" s="547" t="s">
        <v>718</v>
      </c>
    </row>
    <row r="15" spans="1:13" ht="12.75" customHeight="1">
      <c r="A15" s="144">
        <f t="shared" si="0"/>
        <v>5</v>
      </c>
      <c r="B15" s="144" t="s">
        <v>404</v>
      </c>
      <c r="C15" s="125">
        <v>33</v>
      </c>
      <c r="D15" s="146" t="s">
        <v>385</v>
      </c>
      <c r="E15" s="147">
        <v>810</v>
      </c>
      <c r="G15" s="174" t="s">
        <v>300</v>
      </c>
    </row>
    <row r="16" spans="1:13" ht="12.75" customHeight="1">
      <c r="A16" s="144">
        <f t="shared" si="0"/>
        <v>6</v>
      </c>
      <c r="B16" s="144" t="s">
        <v>286</v>
      </c>
      <c r="C16" s="125">
        <v>23</v>
      </c>
      <c r="D16" s="146" t="s">
        <v>246</v>
      </c>
      <c r="E16" s="147">
        <v>7030</v>
      </c>
      <c r="F16" s="144" t="s">
        <v>58</v>
      </c>
      <c r="G16" s="144" t="s">
        <v>203</v>
      </c>
    </row>
    <row r="17" spans="1:7" ht="12.75" customHeight="1">
      <c r="A17" s="144">
        <f t="shared" si="0"/>
        <v>7</v>
      </c>
      <c r="B17" s="144" t="s">
        <v>286</v>
      </c>
      <c r="C17" s="125">
        <v>22</v>
      </c>
      <c r="D17" s="146" t="s">
        <v>247</v>
      </c>
      <c r="E17" s="147">
        <v>7035</v>
      </c>
      <c r="F17" s="144" t="s">
        <v>58</v>
      </c>
      <c r="G17" s="144" t="s">
        <v>204</v>
      </c>
    </row>
    <row r="18" spans="1:7" ht="12.75" customHeight="1">
      <c r="A18" s="144">
        <f t="shared" si="0"/>
        <v>8</v>
      </c>
      <c r="B18" s="144" t="s">
        <v>286</v>
      </c>
      <c r="C18" s="125">
        <v>49</v>
      </c>
      <c r="D18" s="148" t="s">
        <v>248</v>
      </c>
      <c r="E18" s="147" t="s">
        <v>123</v>
      </c>
      <c r="G18" s="148" t="s">
        <v>205</v>
      </c>
    </row>
    <row r="19" spans="1:7" ht="12.75" customHeight="1">
      <c r="A19" s="144">
        <f t="shared" si="0"/>
        <v>9</v>
      </c>
      <c r="B19" s="144" t="s">
        <v>404</v>
      </c>
      <c r="C19" s="125">
        <v>27</v>
      </c>
      <c r="D19" s="124" t="s">
        <v>660</v>
      </c>
      <c r="E19" s="147" t="s">
        <v>92</v>
      </c>
      <c r="F19" s="144" t="s">
        <v>62</v>
      </c>
      <c r="G19" s="547" t="s">
        <v>719</v>
      </c>
    </row>
    <row r="20" spans="1:7" ht="12.75" customHeight="1">
      <c r="A20" s="144">
        <f t="shared" si="0"/>
        <v>10</v>
      </c>
      <c r="B20" s="144" t="s">
        <v>404</v>
      </c>
      <c r="C20" s="125">
        <v>9</v>
      </c>
      <c r="D20" s="124" t="s">
        <v>661</v>
      </c>
      <c r="E20" s="147" t="s">
        <v>104</v>
      </c>
      <c r="F20" s="144" t="s">
        <v>59</v>
      </c>
      <c r="G20" s="547" t="s">
        <v>725</v>
      </c>
    </row>
    <row r="21" spans="1:7" ht="12.75" customHeight="1">
      <c r="A21" s="144">
        <f t="shared" si="0"/>
        <v>11</v>
      </c>
      <c r="B21" s="144" t="s">
        <v>285</v>
      </c>
      <c r="C21" s="125">
        <v>51</v>
      </c>
      <c r="D21" s="148" t="s">
        <v>221</v>
      </c>
      <c r="E21" s="147" t="s">
        <v>123</v>
      </c>
      <c r="G21" s="148" t="s">
        <v>182</v>
      </c>
    </row>
    <row r="22" spans="1:7" ht="12.75" customHeight="1">
      <c r="A22" s="144">
        <v>12</v>
      </c>
      <c r="B22" s="547" t="s">
        <v>666</v>
      </c>
      <c r="C22" s="125">
        <v>42</v>
      </c>
      <c r="D22" s="191" t="s">
        <v>312</v>
      </c>
      <c r="E22" s="147"/>
      <c r="G22" s="199" t="s">
        <v>313</v>
      </c>
    </row>
    <row r="23" spans="1:7" ht="12.75" customHeight="1">
      <c r="A23" s="144">
        <f>+A22+1</f>
        <v>13</v>
      </c>
      <c r="B23" s="144" t="s">
        <v>285</v>
      </c>
      <c r="C23" s="125">
        <v>2</v>
      </c>
      <c r="D23" s="146" t="s">
        <v>231</v>
      </c>
      <c r="E23" s="147">
        <v>1205</v>
      </c>
      <c r="F23" s="144" t="s">
        <v>56</v>
      </c>
      <c r="G23" s="144" t="s">
        <v>160</v>
      </c>
    </row>
    <row r="24" spans="1:7" ht="12.75" customHeight="1">
      <c r="A24" s="144">
        <f t="shared" si="0"/>
        <v>14</v>
      </c>
      <c r="B24" s="144" t="s">
        <v>285</v>
      </c>
      <c r="C24" s="125">
        <v>28</v>
      </c>
      <c r="D24" s="146" t="s">
        <v>222</v>
      </c>
      <c r="E24" s="147">
        <v>1235</v>
      </c>
      <c r="F24" s="144" t="s">
        <v>386</v>
      </c>
      <c r="G24" s="144" t="s">
        <v>161</v>
      </c>
    </row>
    <row r="25" spans="1:7" ht="12.75" customHeight="1">
      <c r="A25" s="144">
        <f t="shared" si="0"/>
        <v>15</v>
      </c>
      <c r="B25" s="144" t="s">
        <v>287</v>
      </c>
      <c r="C25" s="125">
        <v>52</v>
      </c>
      <c r="D25" s="148" t="s">
        <v>223</v>
      </c>
      <c r="E25" s="147" t="s">
        <v>123</v>
      </c>
      <c r="G25" s="148" t="s">
        <v>181</v>
      </c>
    </row>
    <row r="26" spans="1:7" ht="12.75" customHeight="1">
      <c r="A26" s="144">
        <f t="shared" si="0"/>
        <v>16</v>
      </c>
      <c r="B26" s="144" t="s">
        <v>287</v>
      </c>
      <c r="C26" s="125">
        <v>19</v>
      </c>
      <c r="D26" s="146" t="s">
        <v>249</v>
      </c>
      <c r="E26" s="147">
        <v>1105</v>
      </c>
      <c r="F26" s="144" t="s">
        <v>61</v>
      </c>
      <c r="G26" s="144" t="s">
        <v>162</v>
      </c>
    </row>
    <row r="27" spans="1:7" ht="12.75" customHeight="1">
      <c r="A27" s="144">
        <f t="shared" si="0"/>
        <v>17</v>
      </c>
      <c r="B27" s="144" t="s">
        <v>285</v>
      </c>
      <c r="C27" s="125">
        <v>46</v>
      </c>
      <c r="D27" s="148" t="s">
        <v>224</v>
      </c>
      <c r="E27" s="147" t="s">
        <v>123</v>
      </c>
      <c r="G27" s="148" t="s">
        <v>183</v>
      </c>
    </row>
    <row r="28" spans="1:7" ht="12.75" customHeight="1">
      <c r="A28" s="144">
        <f t="shared" si="0"/>
        <v>18</v>
      </c>
      <c r="B28" s="144" t="s">
        <v>285</v>
      </c>
      <c r="C28" s="125">
        <v>11</v>
      </c>
      <c r="D28" s="146" t="s">
        <v>250</v>
      </c>
      <c r="E28" s="147">
        <v>1453</v>
      </c>
      <c r="F28" s="144" t="s">
        <v>61</v>
      </c>
      <c r="G28" s="144" t="s">
        <v>163</v>
      </c>
    </row>
    <row r="29" spans="1:7" ht="12.75" customHeight="1">
      <c r="A29" s="144">
        <f t="shared" si="0"/>
        <v>19</v>
      </c>
      <c r="B29" s="144" t="s">
        <v>285</v>
      </c>
      <c r="C29" s="125">
        <v>13</v>
      </c>
      <c r="D29" s="146" t="s">
        <v>195</v>
      </c>
      <c r="E29" s="147" t="s">
        <v>94</v>
      </c>
      <c r="F29" s="144" t="s">
        <v>58</v>
      </c>
      <c r="G29" s="144" t="s">
        <v>202</v>
      </c>
    </row>
    <row r="30" spans="1:7" ht="12.75" customHeight="1">
      <c r="A30" s="144">
        <f t="shared" si="0"/>
        <v>20</v>
      </c>
      <c r="B30" s="144" t="s">
        <v>285</v>
      </c>
      <c r="C30" s="125">
        <v>10</v>
      </c>
      <c r="D30" s="149" t="s">
        <v>383</v>
      </c>
      <c r="E30" s="147" t="s">
        <v>94</v>
      </c>
      <c r="F30" s="144" t="s">
        <v>58</v>
      </c>
      <c r="G30" s="547" t="s">
        <v>720</v>
      </c>
    </row>
    <row r="31" spans="1:7" ht="12.75" customHeight="1">
      <c r="A31" s="144">
        <f t="shared" si="0"/>
        <v>21</v>
      </c>
      <c r="B31" s="547" t="s">
        <v>666</v>
      </c>
      <c r="C31" s="125">
        <v>39</v>
      </c>
      <c r="D31" s="146" t="s">
        <v>235</v>
      </c>
      <c r="E31" s="147"/>
      <c r="G31" s="174" t="s">
        <v>236</v>
      </c>
    </row>
    <row r="32" spans="1:7" ht="12.75" customHeight="1">
      <c r="A32" s="144">
        <f t="shared" si="0"/>
        <v>22</v>
      </c>
      <c r="B32" s="144" t="s">
        <v>287</v>
      </c>
      <c r="C32" s="125">
        <v>54</v>
      </c>
      <c r="D32" s="148" t="s">
        <v>389</v>
      </c>
      <c r="E32" s="147" t="s">
        <v>123</v>
      </c>
      <c r="G32" s="148" t="s">
        <v>179</v>
      </c>
    </row>
    <row r="33" spans="1:7" ht="12.75" customHeight="1">
      <c r="A33" s="144">
        <f t="shared" si="0"/>
        <v>23</v>
      </c>
      <c r="B33" s="144" t="s">
        <v>287</v>
      </c>
      <c r="C33" s="125">
        <v>15</v>
      </c>
      <c r="D33" s="146" t="s">
        <v>388</v>
      </c>
      <c r="E33" s="147">
        <v>1106</v>
      </c>
      <c r="F33" s="144" t="s">
        <v>57</v>
      </c>
      <c r="G33" s="144" t="s">
        <v>180</v>
      </c>
    </row>
    <row r="34" spans="1:7" ht="12.75" customHeight="1">
      <c r="A34" s="144">
        <f t="shared" si="0"/>
        <v>24</v>
      </c>
      <c r="B34" s="144" t="s">
        <v>287</v>
      </c>
      <c r="C34" s="125">
        <v>55</v>
      </c>
      <c r="D34" s="148" t="s">
        <v>387</v>
      </c>
      <c r="E34" s="147" t="s">
        <v>123</v>
      </c>
      <c r="G34" s="148" t="s">
        <v>184</v>
      </c>
    </row>
    <row r="35" spans="1:7" ht="12.75" customHeight="1">
      <c r="A35" s="144">
        <f t="shared" si="0"/>
        <v>25</v>
      </c>
      <c r="B35" s="144" t="s">
        <v>285</v>
      </c>
      <c r="C35" s="125">
        <v>44</v>
      </c>
      <c r="D35" s="148" t="s">
        <v>225</v>
      </c>
      <c r="E35" s="147" t="s">
        <v>123</v>
      </c>
      <c r="G35" s="148" t="s">
        <v>170</v>
      </c>
    </row>
    <row r="36" spans="1:7" ht="12.75" customHeight="1">
      <c r="A36" s="144">
        <f t="shared" si="0"/>
        <v>26</v>
      </c>
      <c r="B36" s="144" t="s">
        <v>285</v>
      </c>
      <c r="C36" s="125">
        <v>3</v>
      </c>
      <c r="D36" s="146" t="s">
        <v>124</v>
      </c>
      <c r="E36" s="147">
        <v>1804</v>
      </c>
      <c r="F36" s="144" t="s">
        <v>57</v>
      </c>
      <c r="G36" s="144" t="s">
        <v>171</v>
      </c>
    </row>
    <row r="37" spans="1:7" ht="12.75" customHeight="1">
      <c r="A37" s="144">
        <f t="shared" si="0"/>
        <v>27</v>
      </c>
      <c r="B37" s="144" t="s">
        <v>285</v>
      </c>
      <c r="C37" s="125">
        <v>45</v>
      </c>
      <c r="D37" s="148" t="s">
        <v>226</v>
      </c>
      <c r="E37" s="147" t="s">
        <v>123</v>
      </c>
      <c r="G37" s="148" t="s">
        <v>172</v>
      </c>
    </row>
    <row r="38" spans="1:7" ht="12.75" customHeight="1">
      <c r="A38" s="144">
        <f t="shared" si="0"/>
        <v>28</v>
      </c>
      <c r="B38" s="144" t="s">
        <v>285</v>
      </c>
      <c r="C38" s="125">
        <v>48</v>
      </c>
      <c r="D38" s="148" t="s">
        <v>227</v>
      </c>
      <c r="E38" s="147" t="s">
        <v>123</v>
      </c>
      <c r="G38" s="148" t="s">
        <v>173</v>
      </c>
    </row>
    <row r="39" spans="1:7" ht="12.75" customHeight="1">
      <c r="A39" s="144">
        <f t="shared" si="0"/>
        <v>29</v>
      </c>
      <c r="B39" s="144" t="s">
        <v>285</v>
      </c>
      <c r="C39" s="125">
        <v>29</v>
      </c>
      <c r="D39" s="146" t="s">
        <v>125</v>
      </c>
      <c r="E39" s="147">
        <v>1806</v>
      </c>
      <c r="F39" s="144" t="s">
        <v>57</v>
      </c>
      <c r="G39" s="144" t="s">
        <v>174</v>
      </c>
    </row>
    <row r="40" spans="1:7" ht="12.75" customHeight="1">
      <c r="A40" s="144">
        <f t="shared" si="0"/>
        <v>30</v>
      </c>
      <c r="B40" s="144" t="s">
        <v>285</v>
      </c>
      <c r="C40" s="125">
        <v>6</v>
      </c>
      <c r="D40" s="146" t="s">
        <v>70</v>
      </c>
      <c r="E40" s="147">
        <v>1810</v>
      </c>
      <c r="F40" s="144" t="s">
        <v>58</v>
      </c>
      <c r="G40" s="144" t="s">
        <v>167</v>
      </c>
    </row>
    <row r="41" spans="1:7" ht="12.75" customHeight="1">
      <c r="A41" s="144">
        <f t="shared" si="0"/>
        <v>31</v>
      </c>
      <c r="B41" s="144" t="s">
        <v>286</v>
      </c>
      <c r="C41" s="125">
        <v>21</v>
      </c>
      <c r="D41" s="146" t="s">
        <v>384</v>
      </c>
      <c r="E41" s="147">
        <v>1508</v>
      </c>
      <c r="F41" s="144" t="s">
        <v>58</v>
      </c>
      <c r="G41" s="144" t="s">
        <v>168</v>
      </c>
    </row>
    <row r="42" spans="1:7" ht="12.75" customHeight="1">
      <c r="A42" s="144">
        <f t="shared" si="0"/>
        <v>32</v>
      </c>
      <c r="B42" s="144" t="s">
        <v>287</v>
      </c>
      <c r="C42" s="125">
        <v>16</v>
      </c>
      <c r="D42" s="146" t="s">
        <v>71</v>
      </c>
      <c r="E42" s="147">
        <v>1109</v>
      </c>
      <c r="F42" s="144" t="s">
        <v>58</v>
      </c>
      <c r="G42" s="144" t="s">
        <v>169</v>
      </c>
    </row>
    <row r="43" spans="1:7" ht="12.75" customHeight="1">
      <c r="A43" s="144">
        <f t="shared" si="0"/>
        <v>33</v>
      </c>
      <c r="B43" s="547" t="s">
        <v>666</v>
      </c>
      <c r="C43" s="125">
        <v>40</v>
      </c>
      <c r="D43" s="146" t="s">
        <v>237</v>
      </c>
      <c r="E43" s="147"/>
      <c r="G43" s="174" t="s">
        <v>238</v>
      </c>
    </row>
    <row r="44" spans="1:7" ht="12.75" customHeight="1">
      <c r="A44" s="144">
        <f>+A43+1</f>
        <v>34</v>
      </c>
      <c r="B44" s="144" t="s">
        <v>285</v>
      </c>
      <c r="C44" s="125">
        <v>43</v>
      </c>
      <c r="D44" s="148" t="s">
        <v>228</v>
      </c>
      <c r="E44" s="147" t="s">
        <v>123</v>
      </c>
      <c r="G44" s="144" t="s">
        <v>175</v>
      </c>
    </row>
    <row r="45" spans="1:7" ht="12.75" customHeight="1">
      <c r="A45" s="144">
        <v>35</v>
      </c>
      <c r="B45" s="547" t="s">
        <v>666</v>
      </c>
      <c r="C45" s="125">
        <v>41</v>
      </c>
      <c r="D45" s="163" t="s">
        <v>310</v>
      </c>
      <c r="E45" s="147"/>
      <c r="G45" s="549" t="s">
        <v>311</v>
      </c>
    </row>
    <row r="46" spans="1:7" ht="12.75" customHeight="1">
      <c r="A46" s="144">
        <f>+A45+1</f>
        <v>36</v>
      </c>
      <c r="B46" s="144" t="s">
        <v>285</v>
      </c>
      <c r="C46" s="155">
        <v>1</v>
      </c>
      <c r="D46" s="146" t="s">
        <v>106</v>
      </c>
      <c r="E46" s="147">
        <v>1319</v>
      </c>
      <c r="F46" s="144" t="s">
        <v>105</v>
      </c>
      <c r="G46" s="144" t="s">
        <v>166</v>
      </c>
    </row>
    <row r="47" spans="1:7" ht="12.75" customHeight="1">
      <c r="A47" s="144">
        <f t="shared" si="0"/>
        <v>37</v>
      </c>
      <c r="B47" s="144" t="s">
        <v>287</v>
      </c>
      <c r="C47" s="125">
        <v>53</v>
      </c>
      <c r="D47" s="148" t="s">
        <v>229</v>
      </c>
      <c r="E47" s="147" t="s">
        <v>123</v>
      </c>
      <c r="G47" s="148" t="s">
        <v>176</v>
      </c>
    </row>
    <row r="48" spans="1:7" ht="12.75" customHeight="1">
      <c r="A48" s="144">
        <f t="shared" si="0"/>
        <v>38</v>
      </c>
      <c r="B48" s="144" t="s">
        <v>287</v>
      </c>
      <c r="C48" s="125">
        <v>36</v>
      </c>
      <c r="D48" s="146" t="s">
        <v>251</v>
      </c>
      <c r="E48" s="147">
        <v>1108</v>
      </c>
      <c r="F48" s="144" t="s">
        <v>61</v>
      </c>
      <c r="G48" s="144" t="s">
        <v>303</v>
      </c>
    </row>
    <row r="49" spans="1:7" ht="12.75" customHeight="1">
      <c r="A49" s="144">
        <f t="shared" si="0"/>
        <v>39</v>
      </c>
      <c r="B49" s="144" t="s">
        <v>285</v>
      </c>
      <c r="C49" s="125">
        <v>47</v>
      </c>
      <c r="D49" s="148" t="s">
        <v>230</v>
      </c>
      <c r="E49" s="147" t="s">
        <v>123</v>
      </c>
      <c r="G49" s="148" t="s">
        <v>177</v>
      </c>
    </row>
    <row r="50" spans="1:7" ht="12.75" customHeight="1">
      <c r="A50" s="144">
        <f t="shared" si="0"/>
        <v>40</v>
      </c>
      <c r="B50" s="144" t="s">
        <v>285</v>
      </c>
      <c r="C50" s="125">
        <v>32</v>
      </c>
      <c r="D50" s="146" t="s">
        <v>252</v>
      </c>
      <c r="E50" s="147">
        <v>1405</v>
      </c>
      <c r="F50" s="144" t="s">
        <v>61</v>
      </c>
      <c r="G50" s="144" t="s">
        <v>178</v>
      </c>
    </row>
    <row r="51" spans="1:7" ht="12.75" customHeight="1">
      <c r="A51" s="144">
        <f t="shared" si="0"/>
        <v>41</v>
      </c>
      <c r="B51" s="144" t="s">
        <v>285</v>
      </c>
      <c r="C51" s="125">
        <v>7</v>
      </c>
      <c r="D51" s="146" t="s">
        <v>69</v>
      </c>
      <c r="E51" s="147">
        <v>1611</v>
      </c>
      <c r="F51" s="144" t="s">
        <v>58</v>
      </c>
      <c r="G51" s="144" t="s">
        <v>165</v>
      </c>
    </row>
    <row r="52" spans="1:7" ht="12.75" customHeight="1">
      <c r="A52" s="144">
        <f t="shared" si="0"/>
        <v>42</v>
      </c>
      <c r="B52" s="144" t="s">
        <v>285</v>
      </c>
      <c r="C52" s="125">
        <v>8</v>
      </c>
      <c r="D52" s="149" t="s">
        <v>103</v>
      </c>
      <c r="E52" s="147">
        <v>1611</v>
      </c>
      <c r="F52" s="144" t="s">
        <v>58</v>
      </c>
      <c r="G52" s="678" t="s">
        <v>629</v>
      </c>
    </row>
    <row r="53" spans="1:7" ht="12.75" customHeight="1">
      <c r="A53" s="144">
        <f t="shared" si="0"/>
        <v>43</v>
      </c>
      <c r="B53" s="144" t="s">
        <v>285</v>
      </c>
      <c r="C53" s="125">
        <v>5</v>
      </c>
      <c r="D53" s="146" t="s">
        <v>68</v>
      </c>
      <c r="E53" s="147">
        <v>1507</v>
      </c>
      <c r="F53" s="144" t="s">
        <v>58</v>
      </c>
      <c r="G53" s="144" t="s">
        <v>164</v>
      </c>
    </row>
    <row r="54" spans="1:7" ht="12.75" customHeight="1">
      <c r="A54" s="144">
        <f t="shared" si="0"/>
        <v>44</v>
      </c>
      <c r="B54" s="144" t="s">
        <v>153</v>
      </c>
      <c r="C54" s="155">
        <v>57</v>
      </c>
      <c r="D54" s="221" t="s">
        <v>298</v>
      </c>
      <c r="E54" s="222"/>
      <c r="F54" s="222" t="s">
        <v>58</v>
      </c>
      <c r="G54" s="205" t="s">
        <v>319</v>
      </c>
    </row>
    <row r="55" spans="1:7" s="163" customFormat="1" ht="12.75" customHeight="1">
      <c r="A55" s="144">
        <f t="shared" si="0"/>
        <v>45</v>
      </c>
      <c r="B55" s="162" t="s">
        <v>153</v>
      </c>
      <c r="C55" s="164">
        <v>59</v>
      </c>
      <c r="D55" s="221" t="s">
        <v>364</v>
      </c>
      <c r="E55" s="223"/>
      <c r="F55" s="222" t="s">
        <v>58</v>
      </c>
      <c r="G55" s="205" t="s">
        <v>323</v>
      </c>
    </row>
    <row r="56" spans="1:7" s="163" customFormat="1" ht="12.75" customHeight="1">
      <c r="A56" s="144">
        <f t="shared" si="0"/>
        <v>46</v>
      </c>
      <c r="B56" s="163" t="s">
        <v>153</v>
      </c>
      <c r="C56" s="147">
        <v>72</v>
      </c>
      <c r="D56" s="222" t="s">
        <v>126</v>
      </c>
      <c r="E56" s="224"/>
      <c r="F56" s="225"/>
      <c r="G56" s="205" t="s">
        <v>346</v>
      </c>
    </row>
    <row r="57" spans="1:7" s="163" customFormat="1" ht="12.75" customHeight="1">
      <c r="A57" s="144">
        <f t="shared" si="0"/>
        <v>47</v>
      </c>
      <c r="B57" s="163" t="s">
        <v>153</v>
      </c>
      <c r="C57" s="164">
        <v>62</v>
      </c>
      <c r="D57" s="221" t="s">
        <v>358</v>
      </c>
      <c r="E57" s="224"/>
      <c r="F57" s="224"/>
      <c r="G57" s="431" t="s">
        <v>721</v>
      </c>
    </row>
    <row r="58" spans="1:7" s="163" customFormat="1" ht="12.75" customHeight="1">
      <c r="A58" s="144">
        <f t="shared" si="0"/>
        <v>48</v>
      </c>
      <c r="B58" s="163" t="s">
        <v>153</v>
      </c>
      <c r="C58" s="147">
        <v>69</v>
      </c>
      <c r="D58" s="222" t="s">
        <v>367</v>
      </c>
      <c r="E58" s="224"/>
      <c r="F58" s="224"/>
      <c r="G58" s="205" t="s">
        <v>340</v>
      </c>
    </row>
    <row r="59" spans="1:7" s="163" customFormat="1" ht="12.75" customHeight="1">
      <c r="A59" s="144">
        <f t="shared" si="0"/>
        <v>49</v>
      </c>
      <c r="B59" s="163" t="s">
        <v>153</v>
      </c>
      <c r="C59" s="164">
        <v>67</v>
      </c>
      <c r="D59" s="221" t="s">
        <v>362</v>
      </c>
      <c r="E59" s="224"/>
      <c r="F59" s="224"/>
      <c r="G59" s="205" t="s">
        <v>336</v>
      </c>
    </row>
    <row r="60" spans="1:7" s="163" customFormat="1" ht="12.75" customHeight="1">
      <c r="A60" s="144">
        <f t="shared" si="0"/>
        <v>50</v>
      </c>
      <c r="B60" s="163" t="s">
        <v>153</v>
      </c>
      <c r="C60" s="147">
        <v>68</v>
      </c>
      <c r="D60" s="222" t="s">
        <v>363</v>
      </c>
      <c r="E60" s="226"/>
      <c r="F60" s="227"/>
      <c r="G60" s="205" t="s">
        <v>338</v>
      </c>
    </row>
    <row r="61" spans="1:7" s="163" customFormat="1" ht="12.75" customHeight="1">
      <c r="A61" s="144">
        <f t="shared" si="0"/>
        <v>51</v>
      </c>
      <c r="B61" s="163" t="s">
        <v>153</v>
      </c>
      <c r="C61" s="166">
        <v>70</v>
      </c>
      <c r="D61" s="221" t="s">
        <v>368</v>
      </c>
      <c r="E61" s="228"/>
      <c r="F61" s="205"/>
      <c r="G61" s="205" t="s">
        <v>342</v>
      </c>
    </row>
    <row r="62" spans="1:7" ht="12.75" customHeight="1">
      <c r="A62" s="144">
        <f t="shared" si="0"/>
        <v>52</v>
      </c>
      <c r="B62" s="163" t="s">
        <v>153</v>
      </c>
      <c r="C62" s="164">
        <v>71</v>
      </c>
      <c r="D62" s="221" t="s">
        <v>369</v>
      </c>
      <c r="E62" s="228"/>
      <c r="F62" s="205"/>
      <c r="G62" s="205" t="s">
        <v>344</v>
      </c>
    </row>
    <row r="63" spans="1:7" ht="12.75" customHeight="1">
      <c r="A63" s="144">
        <f t="shared" si="0"/>
        <v>53</v>
      </c>
      <c r="B63" s="163" t="s">
        <v>153</v>
      </c>
      <c r="C63" s="164">
        <v>73</v>
      </c>
      <c r="D63" s="221" t="s">
        <v>370</v>
      </c>
      <c r="E63" s="228"/>
      <c r="F63" s="205"/>
      <c r="G63" s="431" t="s">
        <v>722</v>
      </c>
    </row>
    <row r="64" spans="1:7" ht="12.75" customHeight="1">
      <c r="A64" s="144">
        <f t="shared" si="0"/>
        <v>54</v>
      </c>
      <c r="B64" s="163" t="s">
        <v>153</v>
      </c>
      <c r="C64" s="147">
        <v>75</v>
      </c>
      <c r="D64" s="222" t="s">
        <v>426</v>
      </c>
      <c r="E64" s="228"/>
      <c r="F64" s="205"/>
      <c r="G64" s="205" t="s">
        <v>380</v>
      </c>
    </row>
    <row r="65" spans="1:11" ht="12.75" customHeight="1">
      <c r="A65" s="144">
        <f t="shared" si="0"/>
        <v>55</v>
      </c>
      <c r="B65" s="163" t="s">
        <v>153</v>
      </c>
      <c r="C65" s="164">
        <v>74</v>
      </c>
      <c r="D65" s="221" t="s">
        <v>371</v>
      </c>
      <c r="E65" s="228"/>
      <c r="F65" s="205"/>
      <c r="G65" s="205" t="s">
        <v>376</v>
      </c>
    </row>
    <row r="66" spans="1:11" ht="12.75" customHeight="1">
      <c r="A66" s="144">
        <f t="shared" si="0"/>
        <v>56</v>
      </c>
      <c r="B66" s="163" t="s">
        <v>153</v>
      </c>
      <c r="C66" s="147">
        <v>79</v>
      </c>
      <c r="D66" s="222" t="s">
        <v>427</v>
      </c>
      <c r="E66" s="228"/>
      <c r="F66" s="205"/>
      <c r="G66" s="431" t="s">
        <v>723</v>
      </c>
    </row>
    <row r="67" spans="1:11" ht="12.75" customHeight="1">
      <c r="A67" s="144">
        <f t="shared" si="0"/>
        <v>57</v>
      </c>
      <c r="B67" s="163" t="s">
        <v>153</v>
      </c>
      <c r="C67" s="164">
        <v>78</v>
      </c>
      <c r="D67" s="221" t="s">
        <v>373</v>
      </c>
      <c r="E67" s="228"/>
      <c r="F67" s="205"/>
      <c r="G67" s="205" t="s">
        <v>377</v>
      </c>
    </row>
    <row r="68" spans="1:11" ht="12.75" customHeight="1">
      <c r="A68" s="144">
        <f t="shared" si="0"/>
        <v>58</v>
      </c>
      <c r="B68" s="163" t="s">
        <v>153</v>
      </c>
      <c r="C68" s="147">
        <v>77</v>
      </c>
      <c r="D68" s="222" t="s">
        <v>428</v>
      </c>
      <c r="E68" s="228"/>
      <c r="F68" s="205"/>
      <c r="G68" s="205" t="s">
        <v>379</v>
      </c>
    </row>
    <row r="69" spans="1:11" ht="12.75" customHeight="1">
      <c r="A69" s="144">
        <f t="shared" si="0"/>
        <v>59</v>
      </c>
      <c r="B69" s="163" t="s">
        <v>153</v>
      </c>
      <c r="C69" s="147">
        <v>76</v>
      </c>
      <c r="D69" s="222" t="s">
        <v>372</v>
      </c>
      <c r="E69" s="228"/>
      <c r="F69" s="205"/>
      <c r="G69" s="205" t="s">
        <v>378</v>
      </c>
    </row>
    <row r="70" spans="1:11" ht="12.75" customHeight="1">
      <c r="A70" s="144">
        <f t="shared" si="0"/>
        <v>60</v>
      </c>
      <c r="B70" s="163" t="s">
        <v>153</v>
      </c>
      <c r="C70" s="164">
        <v>58</v>
      </c>
      <c r="D70" s="221" t="s">
        <v>299</v>
      </c>
      <c r="E70" s="228"/>
      <c r="F70" s="205" t="s">
        <v>58</v>
      </c>
      <c r="G70" s="205" t="s">
        <v>321</v>
      </c>
    </row>
    <row r="71" spans="1:11" ht="12.75" customHeight="1">
      <c r="A71" s="144">
        <f t="shared" si="0"/>
        <v>61</v>
      </c>
      <c r="B71" s="163" t="s">
        <v>153</v>
      </c>
      <c r="C71" s="164">
        <v>80</v>
      </c>
      <c r="D71" s="221" t="s">
        <v>374</v>
      </c>
      <c r="E71" s="228"/>
      <c r="F71" s="205"/>
      <c r="G71" s="205" t="s">
        <v>355</v>
      </c>
    </row>
    <row r="72" spans="1:11" ht="12.75" customHeight="1">
      <c r="A72" s="144">
        <f t="shared" si="0"/>
        <v>62</v>
      </c>
      <c r="B72" s="163" t="s">
        <v>153</v>
      </c>
      <c r="C72" s="164">
        <v>63</v>
      </c>
      <c r="D72" s="221" t="s">
        <v>357</v>
      </c>
      <c r="E72" s="228"/>
      <c r="F72" s="205" t="s">
        <v>416</v>
      </c>
      <c r="G72" s="205" t="s">
        <v>329</v>
      </c>
    </row>
    <row r="73" spans="1:11" ht="12.75" customHeight="1">
      <c r="A73" s="144">
        <f t="shared" si="0"/>
        <v>63</v>
      </c>
      <c r="B73" s="163" t="s">
        <v>153</v>
      </c>
      <c r="C73" s="164">
        <v>64</v>
      </c>
      <c r="D73" s="221" t="s">
        <v>359</v>
      </c>
      <c r="E73" s="228"/>
      <c r="F73" s="205"/>
      <c r="G73" s="431" t="s">
        <v>724</v>
      </c>
    </row>
    <row r="74" spans="1:11" ht="12.75" customHeight="1">
      <c r="A74" s="144">
        <f t="shared" si="0"/>
        <v>64</v>
      </c>
      <c r="B74" s="163" t="s">
        <v>153</v>
      </c>
      <c r="C74" s="147">
        <v>66</v>
      </c>
      <c r="D74" s="222" t="s">
        <v>361</v>
      </c>
      <c r="E74" s="228"/>
      <c r="F74" s="205"/>
      <c r="G74" s="205" t="s">
        <v>334</v>
      </c>
    </row>
    <row r="75" spans="1:11" ht="12.75" customHeight="1">
      <c r="A75" s="144">
        <f t="shared" si="0"/>
        <v>65</v>
      </c>
      <c r="B75" s="163" t="s">
        <v>153</v>
      </c>
      <c r="C75" s="147">
        <v>65</v>
      </c>
      <c r="D75" s="222" t="s">
        <v>360</v>
      </c>
      <c r="E75" s="228"/>
      <c r="F75" s="205"/>
      <c r="G75" s="205" t="s">
        <v>332</v>
      </c>
    </row>
    <row r="76" spans="1:11" ht="12.75" customHeight="1">
      <c r="A76" s="144">
        <f t="shared" si="0"/>
        <v>66</v>
      </c>
      <c r="B76" s="163" t="s">
        <v>153</v>
      </c>
      <c r="C76" s="145">
        <v>61</v>
      </c>
      <c r="D76" s="221" t="s">
        <v>366</v>
      </c>
      <c r="E76" s="228"/>
      <c r="F76" s="205" t="s">
        <v>58</v>
      </c>
      <c r="G76" s="205" t="s">
        <v>326</v>
      </c>
    </row>
    <row r="77" spans="1:11" ht="12.75" customHeight="1">
      <c r="A77" s="144">
        <f>+A76+1</f>
        <v>67</v>
      </c>
      <c r="B77" s="163" t="s">
        <v>153</v>
      </c>
      <c r="C77" s="147">
        <v>81</v>
      </c>
      <c r="D77" s="222" t="s">
        <v>375</v>
      </c>
      <c r="E77" s="228"/>
      <c r="F77" s="205"/>
      <c r="G77" s="205" t="s">
        <v>415</v>
      </c>
    </row>
    <row r="78" spans="1:11" ht="12.75" customHeight="1">
      <c r="A78" s="144">
        <f>+A77+1</f>
        <v>68</v>
      </c>
      <c r="B78" s="163" t="s">
        <v>153</v>
      </c>
      <c r="C78" s="125">
        <v>56</v>
      </c>
      <c r="D78" s="222" t="s">
        <v>297</v>
      </c>
      <c r="E78" s="228"/>
      <c r="F78" s="205" t="s">
        <v>297</v>
      </c>
      <c r="G78" s="205" t="s">
        <v>317</v>
      </c>
    </row>
    <row r="79" spans="1:11" ht="12.75" customHeight="1">
      <c r="A79" s="144">
        <f>+A78+1</f>
        <v>69</v>
      </c>
      <c r="B79" s="163" t="s">
        <v>153</v>
      </c>
      <c r="C79" s="164">
        <v>60</v>
      </c>
      <c r="D79" s="221" t="s">
        <v>365</v>
      </c>
      <c r="E79" s="228"/>
      <c r="F79" s="205" t="s">
        <v>58</v>
      </c>
      <c r="G79" s="205" t="s">
        <v>409</v>
      </c>
      <c r="K79" s="433" t="s">
        <v>99</v>
      </c>
    </row>
    <row r="80" spans="1:11" ht="12.75" customHeight="1">
      <c r="A80" s="144">
        <v>70</v>
      </c>
      <c r="B80" s="665" t="s">
        <v>285</v>
      </c>
      <c r="C80" s="147">
        <v>12</v>
      </c>
      <c r="D80" s="666" t="s">
        <v>726</v>
      </c>
      <c r="E80" s="667"/>
      <c r="F80" s="668"/>
      <c r="G80" s="669" t="s">
        <v>727</v>
      </c>
    </row>
    <row r="81" spans="2:7" ht="12.75" customHeight="1">
      <c r="B81" s="163"/>
      <c r="C81" s="166"/>
      <c r="D81" s="147"/>
      <c r="E81" s="71"/>
      <c r="F81"/>
      <c r="G81"/>
    </row>
    <row r="82" spans="2:7" ht="12.75" customHeight="1">
      <c r="B82" s="163"/>
      <c r="C82" s="147"/>
      <c r="D82" s="147"/>
      <c r="E82" s="71"/>
      <c r="F82"/>
      <c r="G82"/>
    </row>
    <row r="83" spans="2:7" ht="12.75" customHeight="1">
      <c r="B83" s="145"/>
      <c r="C83" s="147"/>
      <c r="D83" s="147"/>
      <c r="E83" s="71"/>
      <c r="F83"/>
      <c r="G83"/>
    </row>
    <row r="84" spans="2:7" ht="12.75" customHeight="1">
      <c r="C84" s="164"/>
      <c r="D84" s="147"/>
      <c r="E84" s="71"/>
      <c r="F84"/>
      <c r="G84"/>
    </row>
    <row r="85" spans="2:7" ht="12.75" customHeight="1">
      <c r="C85" s="147"/>
      <c r="D85" s="147"/>
      <c r="E85" s="71"/>
      <c r="F85"/>
      <c r="G85"/>
    </row>
    <row r="86" spans="2:7" ht="12.75" customHeight="1">
      <c r="C86" s="147"/>
      <c r="D86" s="147"/>
      <c r="E86" s="71"/>
      <c r="F86"/>
      <c r="G86"/>
    </row>
    <row r="87" spans="2:7" ht="12.75" customHeight="1">
      <c r="C87" s="166"/>
      <c r="D87" s="147"/>
    </row>
    <row r="100" spans="1:7" ht="27" hidden="1" customHeight="1">
      <c r="A100" s="151" t="s">
        <v>295</v>
      </c>
      <c r="B100" s="160" t="s">
        <v>295</v>
      </c>
      <c r="C100" s="165" t="s">
        <v>291</v>
      </c>
      <c r="D100" s="154" t="s">
        <v>293</v>
      </c>
      <c r="E100" s="161" t="s">
        <v>294</v>
      </c>
      <c r="F100" s="160" t="s">
        <v>292</v>
      </c>
      <c r="G100" s="154" t="s">
        <v>296</v>
      </c>
    </row>
    <row r="101" spans="1:7" ht="12.75" hidden="1" customHeight="1">
      <c r="A101" s="144">
        <v>1</v>
      </c>
      <c r="B101" s="144" t="s">
        <v>404</v>
      </c>
      <c r="C101" s="125">
        <v>26</v>
      </c>
      <c r="D101" s="124" t="s">
        <v>662</v>
      </c>
      <c r="E101" s="147" t="s">
        <v>92</v>
      </c>
      <c r="F101" s="144" t="s">
        <v>60</v>
      </c>
      <c r="G101" s="547" t="s">
        <v>718</v>
      </c>
    </row>
    <row r="102" spans="1:7" ht="12.75" hidden="1" customHeight="1">
      <c r="A102" s="144">
        <f>+A101+1</f>
        <v>2</v>
      </c>
      <c r="B102" s="144" t="s">
        <v>404</v>
      </c>
      <c r="C102" s="125">
        <v>33</v>
      </c>
      <c r="D102" s="146" t="s">
        <v>385</v>
      </c>
      <c r="E102" s="147">
        <v>810</v>
      </c>
      <c r="G102" s="174" t="s">
        <v>300</v>
      </c>
    </row>
    <row r="103" spans="1:7" ht="12.75" hidden="1" customHeight="1">
      <c r="A103" s="144">
        <f t="shared" ref="A103:A150" si="1">+A102+1</f>
        <v>3</v>
      </c>
      <c r="B103" s="144" t="s">
        <v>404</v>
      </c>
      <c r="C103" s="125">
        <v>27</v>
      </c>
      <c r="D103" s="124" t="s">
        <v>660</v>
      </c>
      <c r="E103" s="147" t="s">
        <v>92</v>
      </c>
      <c r="F103" s="144" t="s">
        <v>62</v>
      </c>
      <c r="G103" s="547" t="s">
        <v>719</v>
      </c>
    </row>
    <row r="104" spans="1:7" ht="12.75" hidden="1" customHeight="1">
      <c r="A104" s="144">
        <f t="shared" si="1"/>
        <v>4</v>
      </c>
      <c r="B104" s="144" t="s">
        <v>404</v>
      </c>
      <c r="C104" s="125">
        <v>9</v>
      </c>
      <c r="D104" s="124" t="s">
        <v>661</v>
      </c>
      <c r="E104" s="147" t="s">
        <v>104</v>
      </c>
      <c r="F104" s="144" t="s">
        <v>59</v>
      </c>
      <c r="G104" s="547" t="s">
        <v>725</v>
      </c>
    </row>
    <row r="105" spans="1:7" ht="12.75" hidden="1" customHeight="1">
      <c r="A105" s="144">
        <f t="shared" si="1"/>
        <v>5</v>
      </c>
      <c r="B105" s="547" t="s">
        <v>666</v>
      </c>
      <c r="C105" s="125">
        <v>42</v>
      </c>
      <c r="D105" s="191" t="s">
        <v>312</v>
      </c>
      <c r="E105" s="147"/>
      <c r="G105" s="199" t="s">
        <v>313</v>
      </c>
    </row>
    <row r="106" spans="1:7" ht="12.75" hidden="1" customHeight="1">
      <c r="A106" s="144">
        <f t="shared" si="1"/>
        <v>6</v>
      </c>
      <c r="B106" s="547" t="s">
        <v>666</v>
      </c>
      <c r="C106" s="125">
        <v>39</v>
      </c>
      <c r="D106" s="146" t="s">
        <v>235</v>
      </c>
      <c r="E106" s="147"/>
      <c r="G106" s="174" t="s">
        <v>236</v>
      </c>
    </row>
    <row r="107" spans="1:7" ht="12.75" hidden="1" customHeight="1">
      <c r="A107" s="144">
        <f t="shared" si="1"/>
        <v>7</v>
      </c>
      <c r="B107" s="547" t="s">
        <v>666</v>
      </c>
      <c r="C107" s="125">
        <v>40</v>
      </c>
      <c r="D107" s="146" t="s">
        <v>237</v>
      </c>
      <c r="E107" s="147"/>
      <c r="G107" s="174" t="s">
        <v>238</v>
      </c>
    </row>
    <row r="108" spans="1:7" ht="12.75" hidden="1" customHeight="1">
      <c r="A108" s="144">
        <f t="shared" si="1"/>
        <v>8</v>
      </c>
      <c r="B108" s="547" t="s">
        <v>666</v>
      </c>
      <c r="C108" s="125">
        <v>41</v>
      </c>
      <c r="D108" s="163" t="s">
        <v>310</v>
      </c>
      <c r="E108" s="147"/>
      <c r="G108" s="549" t="s">
        <v>311</v>
      </c>
    </row>
    <row r="109" spans="1:7" ht="12.75" hidden="1" customHeight="1">
      <c r="A109" s="144">
        <f t="shared" si="1"/>
        <v>9</v>
      </c>
      <c r="B109" s="163"/>
      <c r="C109" s="164"/>
      <c r="D109" s="221"/>
      <c r="E109" s="228"/>
      <c r="F109" s="205"/>
      <c r="G109" s="205"/>
    </row>
    <row r="110" spans="1:7" ht="12.75" hidden="1" customHeight="1">
      <c r="A110" s="144">
        <f t="shared" si="1"/>
        <v>10</v>
      </c>
      <c r="B110" s="163"/>
      <c r="C110" s="164"/>
      <c r="D110" s="221"/>
      <c r="E110" s="228"/>
      <c r="F110" s="205"/>
      <c r="G110" s="431"/>
    </row>
    <row r="111" spans="1:7" ht="12.75" hidden="1" customHeight="1">
      <c r="A111" s="144">
        <f t="shared" si="1"/>
        <v>11</v>
      </c>
      <c r="B111" s="163"/>
      <c r="C111" s="147"/>
      <c r="D111" s="222"/>
      <c r="E111" s="228"/>
      <c r="F111" s="205"/>
      <c r="G111" s="205"/>
    </row>
    <row r="112" spans="1:7" ht="12.75" hidden="1" customHeight="1">
      <c r="A112" s="144">
        <f t="shared" si="1"/>
        <v>12</v>
      </c>
      <c r="B112" s="163"/>
      <c r="C112" s="164"/>
      <c r="D112" s="221"/>
      <c r="E112" s="228"/>
      <c r="F112" s="205"/>
      <c r="G112" s="205"/>
    </row>
    <row r="113" spans="1:7" ht="12.75" hidden="1" customHeight="1">
      <c r="A113" s="144">
        <f t="shared" si="1"/>
        <v>13</v>
      </c>
      <c r="B113" s="163"/>
      <c r="C113" s="147"/>
      <c r="D113" s="222"/>
      <c r="E113" s="228"/>
      <c r="F113" s="205"/>
      <c r="G113" s="431"/>
    </row>
    <row r="114" spans="1:7" ht="12.75" hidden="1" customHeight="1">
      <c r="A114" s="144">
        <f t="shared" si="1"/>
        <v>14</v>
      </c>
      <c r="B114" s="163"/>
      <c r="C114" s="164"/>
      <c r="D114" s="221"/>
      <c r="E114" s="228"/>
      <c r="F114" s="205"/>
      <c r="G114" s="205"/>
    </row>
    <row r="115" spans="1:7" ht="12.75" hidden="1" customHeight="1">
      <c r="A115" s="144">
        <f t="shared" si="1"/>
        <v>15</v>
      </c>
      <c r="B115" s="163"/>
      <c r="C115" s="147"/>
      <c r="D115" s="222"/>
      <c r="E115" s="228"/>
      <c r="F115" s="205"/>
      <c r="G115" s="205"/>
    </row>
    <row r="116" spans="1:7" ht="12.75" hidden="1" customHeight="1">
      <c r="A116" s="144">
        <f t="shared" si="1"/>
        <v>16</v>
      </c>
      <c r="B116" s="163"/>
      <c r="C116" s="147"/>
      <c r="D116" s="222"/>
      <c r="E116" s="228"/>
      <c r="F116" s="205"/>
      <c r="G116" s="205"/>
    </row>
    <row r="117" spans="1:7" ht="12.75" hidden="1" customHeight="1">
      <c r="A117" s="144">
        <f t="shared" si="1"/>
        <v>17</v>
      </c>
      <c r="B117" s="163"/>
      <c r="C117" s="164"/>
      <c r="D117" s="221"/>
      <c r="E117" s="228"/>
      <c r="F117" s="205"/>
      <c r="G117" s="205"/>
    </row>
    <row r="118" spans="1:7" ht="12.75" hidden="1" customHeight="1">
      <c r="A118" s="144">
        <f t="shared" si="1"/>
        <v>18</v>
      </c>
      <c r="B118" s="163"/>
      <c r="C118" s="164"/>
      <c r="D118" s="221"/>
      <c r="E118" s="228"/>
      <c r="F118" s="205"/>
      <c r="G118" s="205"/>
    </row>
    <row r="119" spans="1:7" ht="12.75" hidden="1" customHeight="1">
      <c r="A119" s="144">
        <f t="shared" si="1"/>
        <v>19</v>
      </c>
      <c r="B119" s="163"/>
      <c r="C119" s="164"/>
      <c r="D119" s="221"/>
      <c r="E119" s="228"/>
      <c r="F119" s="205"/>
      <c r="G119" s="205"/>
    </row>
    <row r="120" spans="1:7" ht="12.75" hidden="1" customHeight="1">
      <c r="A120" s="144">
        <f t="shared" si="1"/>
        <v>20</v>
      </c>
      <c r="B120" s="163"/>
      <c r="C120" s="164"/>
      <c r="D120" s="221"/>
      <c r="E120" s="228"/>
      <c r="F120" s="205"/>
      <c r="G120" s="431"/>
    </row>
    <row r="121" spans="1:7" ht="12.75" hidden="1" customHeight="1">
      <c r="A121" s="144">
        <f t="shared" si="1"/>
        <v>21</v>
      </c>
      <c r="B121" s="163"/>
      <c r="C121" s="147"/>
      <c r="D121" s="222"/>
      <c r="E121" s="228"/>
      <c r="F121" s="205"/>
      <c r="G121" s="205"/>
    </row>
    <row r="122" spans="1:7" ht="12.75" hidden="1" customHeight="1">
      <c r="A122" s="144">
        <f t="shared" si="1"/>
        <v>22</v>
      </c>
      <c r="B122" s="163"/>
      <c r="C122" s="147"/>
      <c r="D122" s="222"/>
      <c r="E122" s="228"/>
      <c r="F122" s="205"/>
      <c r="G122" s="205"/>
    </row>
    <row r="123" spans="1:7" ht="12.75" hidden="1" customHeight="1">
      <c r="A123" s="144">
        <f t="shared" si="1"/>
        <v>23</v>
      </c>
      <c r="B123" s="163"/>
      <c r="C123" s="145"/>
      <c r="D123" s="221"/>
      <c r="E123" s="228"/>
      <c r="F123" s="205"/>
      <c r="G123" s="205"/>
    </row>
    <row r="124" spans="1:7" ht="12.75" hidden="1" customHeight="1">
      <c r="A124" s="144">
        <f t="shared" si="1"/>
        <v>24</v>
      </c>
      <c r="B124" s="163"/>
      <c r="C124" s="147"/>
      <c r="D124" s="222"/>
      <c r="E124" s="228"/>
      <c r="F124" s="205"/>
      <c r="G124" s="205"/>
    </row>
    <row r="125" spans="1:7" ht="12.75" hidden="1" customHeight="1">
      <c r="A125" s="144">
        <f t="shared" si="1"/>
        <v>25</v>
      </c>
      <c r="B125" s="163"/>
      <c r="D125" s="222"/>
      <c r="E125" s="228"/>
      <c r="F125" s="205"/>
      <c r="G125" s="205"/>
    </row>
    <row r="126" spans="1:7" ht="12.75" hidden="1" customHeight="1">
      <c r="A126" s="144">
        <f t="shared" si="1"/>
        <v>26</v>
      </c>
      <c r="B126" s="163"/>
      <c r="C126" s="164"/>
      <c r="D126" s="221"/>
      <c r="E126" s="228"/>
      <c r="F126" s="205"/>
      <c r="G126" s="205"/>
    </row>
    <row r="127" spans="1:7" ht="12.75" hidden="1" customHeight="1">
      <c r="A127" s="144">
        <f t="shared" si="1"/>
        <v>27</v>
      </c>
      <c r="D127" s="148"/>
      <c r="E127" s="147"/>
      <c r="G127" s="148"/>
    </row>
    <row r="128" spans="1:7" ht="12.75" hidden="1" customHeight="1">
      <c r="A128" s="144">
        <f t="shared" si="1"/>
        <v>28</v>
      </c>
      <c r="D128" s="146"/>
      <c r="E128" s="147"/>
    </row>
    <row r="129" spans="1:7" ht="12.75" hidden="1" customHeight="1">
      <c r="A129" s="144">
        <f t="shared" si="1"/>
        <v>29</v>
      </c>
      <c r="D129" s="146"/>
      <c r="E129" s="147"/>
    </row>
    <row r="130" spans="1:7" ht="12.75" hidden="1" customHeight="1">
      <c r="A130" s="144">
        <f t="shared" si="1"/>
        <v>30</v>
      </c>
      <c r="D130" s="149"/>
      <c r="E130" s="147"/>
      <c r="G130" s="678"/>
    </row>
    <row r="131" spans="1:7" ht="12.75" hidden="1" customHeight="1">
      <c r="A131" s="144">
        <f t="shared" si="1"/>
        <v>31</v>
      </c>
      <c r="D131" s="146"/>
      <c r="E131" s="147"/>
    </row>
    <row r="132" spans="1:7" ht="12.75" hidden="1" customHeight="1">
      <c r="A132" s="144">
        <f t="shared" si="1"/>
        <v>32</v>
      </c>
      <c r="B132" s="665"/>
      <c r="C132" s="147"/>
      <c r="D132" s="666"/>
      <c r="E132" s="667"/>
      <c r="F132" s="668"/>
      <c r="G132" s="669"/>
    </row>
    <row r="133" spans="1:7" ht="12.75" hidden="1" customHeight="1">
      <c r="A133" s="144">
        <f t="shared" si="1"/>
        <v>33</v>
      </c>
      <c r="D133" s="146"/>
      <c r="E133" s="147"/>
    </row>
    <row r="134" spans="1:7" ht="12.75" hidden="1" customHeight="1">
      <c r="A134" s="144">
        <f t="shared" si="1"/>
        <v>34</v>
      </c>
      <c r="D134" s="149"/>
      <c r="E134" s="147"/>
      <c r="G134" s="547"/>
    </row>
    <row r="135" spans="1:7" ht="12.75" hidden="1" customHeight="1">
      <c r="A135" s="144">
        <f t="shared" si="1"/>
        <v>35</v>
      </c>
      <c r="D135" s="146"/>
      <c r="E135" s="147"/>
    </row>
    <row r="136" spans="1:7" ht="12.75" hidden="1" customHeight="1">
      <c r="A136" s="144">
        <f t="shared" si="1"/>
        <v>36</v>
      </c>
    </row>
    <row r="137" spans="1:7" ht="12.75" hidden="1" customHeight="1">
      <c r="A137" s="144">
        <f t="shared" si="1"/>
        <v>37</v>
      </c>
    </row>
    <row r="138" spans="1:7" ht="12.75" hidden="1" customHeight="1">
      <c r="A138" s="144">
        <f t="shared" si="1"/>
        <v>38</v>
      </c>
    </row>
    <row r="139" spans="1:7" ht="12.75" hidden="1" customHeight="1">
      <c r="A139" s="144">
        <f t="shared" si="1"/>
        <v>39</v>
      </c>
    </row>
    <row r="140" spans="1:7" ht="12.75" hidden="1" customHeight="1">
      <c r="A140" s="144">
        <f t="shared" si="1"/>
        <v>40</v>
      </c>
    </row>
    <row r="141" spans="1:7" ht="12.75" hidden="1" customHeight="1">
      <c r="A141" s="144">
        <f t="shared" si="1"/>
        <v>41</v>
      </c>
    </row>
    <row r="142" spans="1:7" ht="12.75" hidden="1" customHeight="1">
      <c r="A142" s="144">
        <f t="shared" si="1"/>
        <v>42</v>
      </c>
    </row>
    <row r="143" spans="1:7" ht="12.75" hidden="1" customHeight="1">
      <c r="A143" s="144">
        <f t="shared" si="1"/>
        <v>43</v>
      </c>
    </row>
    <row r="144" spans="1:7" ht="12.75" hidden="1" customHeight="1">
      <c r="A144" s="144">
        <f t="shared" si="1"/>
        <v>44</v>
      </c>
    </row>
    <row r="145" spans="1:1" ht="12.75" hidden="1" customHeight="1">
      <c r="A145" s="144">
        <f t="shared" si="1"/>
        <v>45</v>
      </c>
    </row>
    <row r="146" spans="1:1" ht="12.75" hidden="1" customHeight="1">
      <c r="A146" s="144">
        <f t="shared" si="1"/>
        <v>46</v>
      </c>
    </row>
    <row r="147" spans="1:1" ht="12.75" hidden="1" customHeight="1">
      <c r="A147" s="144">
        <f t="shared" si="1"/>
        <v>47</v>
      </c>
    </row>
    <row r="148" spans="1:1" ht="12.75" hidden="1" customHeight="1">
      <c r="A148" s="144">
        <f t="shared" si="1"/>
        <v>48</v>
      </c>
    </row>
    <row r="149" spans="1:1" ht="12.75" hidden="1" customHeight="1">
      <c r="A149" s="144">
        <f t="shared" si="1"/>
        <v>49</v>
      </c>
    </row>
    <row r="150" spans="1:1" ht="12.75" hidden="1" customHeight="1">
      <c r="A150" s="144">
        <f t="shared" si="1"/>
        <v>50</v>
      </c>
    </row>
  </sheetData>
  <phoneticPr fontId="0" type="noConversion"/>
  <hyperlinks>
    <hyperlink ref="K79" location="Titles!G1" display="Top"/>
  </hyperlinks>
  <pageMargins left="0.17" right="0.16" top="0.17" bottom="0.17" header="0.5" footer="0.23"/>
  <pageSetup scale="71"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22"/>
  <sheetViews>
    <sheetView showGridLines="0" showRowColHeaders="0" zoomScale="125" zoomScaleNormal="125" workbookViewId="0">
      <selection activeCell="C12" sqref="C12"/>
    </sheetView>
  </sheetViews>
  <sheetFormatPr defaultColWidth="8.85546875" defaultRowHeight="12.75"/>
  <cols>
    <col min="1" max="1" width="1.140625" style="623" customWidth="1"/>
    <col min="2" max="2" width="90.7109375" style="623" customWidth="1"/>
    <col min="3" max="3" width="16.85546875" style="623" customWidth="1"/>
    <col min="4" max="16384" width="8.85546875" style="623"/>
  </cols>
  <sheetData>
    <row r="1" spans="1:8" ht="24.75" customHeight="1">
      <c r="A1" s="14"/>
      <c r="B1" s="624" t="s">
        <v>716</v>
      </c>
      <c r="C1" s="43" t="s">
        <v>496</v>
      </c>
    </row>
    <row r="2" spans="1:8" ht="43.9" customHeight="1">
      <c r="A2" s="15"/>
      <c r="B2" s="40" t="s">
        <v>612</v>
      </c>
      <c r="C2" s="43"/>
    </row>
    <row r="3" spans="1:8" ht="42.6" customHeight="1">
      <c r="A3" s="15"/>
      <c r="B3" s="40" t="s">
        <v>669</v>
      </c>
      <c r="C3" s="43"/>
    </row>
    <row r="4" spans="1:8" ht="66.599999999999994" customHeight="1">
      <c r="A4" s="15"/>
      <c r="B4" s="625" t="s">
        <v>670</v>
      </c>
      <c r="C4" s="626"/>
    </row>
    <row r="5" spans="1:8" ht="46.15" customHeight="1">
      <c r="A5" s="15"/>
      <c r="B5" s="40" t="s">
        <v>671</v>
      </c>
      <c r="C5" s="626"/>
    </row>
    <row r="6" spans="1:8" ht="30" customHeight="1">
      <c r="A6" s="15"/>
      <c r="B6" s="40" t="s">
        <v>707</v>
      </c>
      <c r="C6" s="626"/>
    </row>
    <row r="7" spans="1:8" ht="59.45" customHeight="1">
      <c r="A7" s="15"/>
      <c r="B7" s="40" t="s">
        <v>708</v>
      </c>
      <c r="C7" s="626"/>
      <c r="H7" s="627"/>
    </row>
    <row r="8" spans="1:8" ht="18.75" customHeight="1">
      <c r="A8" s="15"/>
      <c r="B8" s="40" t="s">
        <v>406</v>
      </c>
      <c r="C8" s="670"/>
      <c r="H8" s="627"/>
    </row>
    <row r="9" spans="1:8" ht="44.25" customHeight="1">
      <c r="A9" s="15"/>
      <c r="B9" s="40" t="s">
        <v>613</v>
      </c>
      <c r="C9" s="626"/>
    </row>
    <row r="10" spans="1:8" ht="55.15" customHeight="1">
      <c r="A10" s="15"/>
      <c r="B10" s="40" t="s">
        <v>672</v>
      </c>
      <c r="C10" s="626"/>
    </row>
    <row r="11" spans="1:8" ht="28.9" customHeight="1">
      <c r="A11" s="15"/>
      <c r="B11" s="40" t="s">
        <v>668</v>
      </c>
      <c r="C11" s="626"/>
    </row>
    <row r="12" spans="1:8" ht="68.45" customHeight="1">
      <c r="A12" s="15"/>
      <c r="B12" s="40" t="s">
        <v>714</v>
      </c>
      <c r="C12" s="626"/>
    </row>
    <row r="13" spans="1:8" ht="43.9" customHeight="1">
      <c r="A13" s="15"/>
      <c r="B13" s="40" t="s">
        <v>711</v>
      </c>
      <c r="C13" s="626"/>
    </row>
    <row r="14" spans="1:8" ht="58.15" customHeight="1">
      <c r="A14" s="15"/>
      <c r="B14" s="40" t="s">
        <v>712</v>
      </c>
      <c r="C14" s="626"/>
    </row>
    <row r="15" spans="1:8" ht="38.25">
      <c r="A15" s="15"/>
      <c r="B15" s="40" t="s">
        <v>673</v>
      </c>
      <c r="C15" s="626"/>
    </row>
    <row r="16" spans="1:8" ht="63.75">
      <c r="A16" s="15"/>
      <c r="B16" s="40" t="s">
        <v>709</v>
      </c>
      <c r="C16" s="628" t="s">
        <v>459</v>
      </c>
    </row>
    <row r="17" spans="1:3" ht="54.6" customHeight="1">
      <c r="A17" s="15"/>
      <c r="B17" s="40" t="s">
        <v>674</v>
      </c>
      <c r="C17" s="626"/>
    </row>
    <row r="18" spans="1:3" ht="17.25" customHeight="1">
      <c r="A18" s="15"/>
      <c r="B18" s="40" t="s">
        <v>233</v>
      </c>
      <c r="C18" s="626"/>
    </row>
    <row r="19" spans="1:3" ht="29.25" customHeight="1">
      <c r="A19" s="15"/>
      <c r="B19" s="40" t="s">
        <v>209</v>
      </c>
      <c r="C19" s="43"/>
    </row>
    <row r="20" spans="1:3" ht="70.900000000000006" customHeight="1">
      <c r="A20" s="15"/>
      <c r="B20" s="40" t="s">
        <v>710</v>
      </c>
    </row>
    <row r="21" spans="1:3">
      <c r="A21" s="15"/>
      <c r="B21" s="16"/>
      <c r="C21" s="42"/>
    </row>
    <row r="22" spans="1:3">
      <c r="A22" s="14"/>
      <c r="B22" s="16"/>
      <c r="C22" s="14"/>
    </row>
  </sheetData>
  <sheetProtection sheet="1" objects="1" scenarios="1"/>
  <phoneticPr fontId="0" type="noConversion"/>
  <hyperlinks>
    <hyperlink ref="C1" location="Main!A1" display="Return To Main"/>
    <hyperlink ref="C16" location="Main!A1" display="Return to Main"/>
  </hyperlinks>
  <pageMargins left="0.2" right="0.5" top="0.46" bottom="0.23" header="0.5" footer="0.5"/>
  <pageSetup scale="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P42"/>
  <sheetViews>
    <sheetView showGridLines="0" showRowColHeaders="0" topLeftCell="B1" zoomScale="125" zoomScaleNormal="125" workbookViewId="0">
      <pane ySplit="1" topLeftCell="A2" activePane="bottomLeft" state="frozen"/>
      <selection activeCell="I10" sqref="I10"/>
      <selection pane="bottomLeft"/>
    </sheetView>
  </sheetViews>
  <sheetFormatPr defaultColWidth="9.140625" defaultRowHeight="55.5" customHeight="1"/>
  <cols>
    <col min="1" max="1" width="1.42578125" style="9" hidden="1" customWidth="1"/>
    <col min="2" max="2" width="94.5703125" style="9" customWidth="1"/>
    <col min="3" max="3" width="15" style="9" customWidth="1"/>
    <col min="4" max="4" width="13.7109375" style="9" bestFit="1" customWidth="1"/>
    <col min="5" max="16384" width="9.140625" style="9"/>
  </cols>
  <sheetData>
    <row r="1" spans="2:16" ht="28.15" customHeight="1">
      <c r="B1" s="216" t="s">
        <v>675</v>
      </c>
      <c r="C1" s="405" t="s">
        <v>459</v>
      </c>
      <c r="D1" s="773"/>
      <c r="E1" s="773"/>
      <c r="F1" s="773"/>
      <c r="G1" s="773"/>
      <c r="H1" s="773"/>
      <c r="I1" s="773"/>
      <c r="J1" s="773"/>
      <c r="K1" s="773"/>
      <c r="L1" s="773"/>
      <c r="M1" s="773"/>
      <c r="N1" s="773"/>
      <c r="O1" s="773"/>
      <c r="P1" s="774"/>
    </row>
    <row r="2" spans="2:16" ht="15" customHeight="1">
      <c r="B2" s="86" t="s">
        <v>506</v>
      </c>
      <c r="C2" s="259">
        <f ca="1">NOW()</f>
        <v>43007.591650578703</v>
      </c>
    </row>
    <row r="3" spans="2:16" ht="15" customHeight="1">
      <c r="B3" s="90" t="s">
        <v>504</v>
      </c>
      <c r="C3" s="88"/>
    </row>
    <row r="4" spans="2:16" ht="16.5" customHeight="1" thickBot="1">
      <c r="B4" s="252" t="s">
        <v>507</v>
      </c>
      <c r="C4" s="91" t="s">
        <v>187</v>
      </c>
      <c r="D4" s="258"/>
    </row>
    <row r="5" spans="2:16" ht="17.25" customHeight="1">
      <c r="B5" s="420" t="s">
        <v>503</v>
      </c>
      <c r="C5" s="248" t="s">
        <v>136</v>
      </c>
    </row>
    <row r="6" spans="2:16" ht="18" customHeight="1">
      <c r="B6" s="86" t="s">
        <v>615</v>
      </c>
      <c r="C6" s="249" t="s">
        <v>135</v>
      </c>
    </row>
    <row r="7" spans="2:16" ht="25.5" customHeight="1" thickBot="1">
      <c r="B7" s="229" t="s">
        <v>505</v>
      </c>
      <c r="C7" s="250" t="s">
        <v>137</v>
      </c>
    </row>
    <row r="8" spans="2:16" ht="18" customHeight="1">
      <c r="B8" s="251" t="s">
        <v>410</v>
      </c>
      <c r="C8" s="31"/>
    </row>
    <row r="9" spans="2:16" ht="16.5" customHeight="1">
      <c r="B9" s="9" t="s">
        <v>514</v>
      </c>
    </row>
    <row r="19" spans="2:3" ht="55.5" customHeight="1">
      <c r="C19" s="32" t="s">
        <v>99</v>
      </c>
    </row>
    <row r="21" spans="2:3" ht="55.5" customHeight="1">
      <c r="C21" s="32" t="s">
        <v>99</v>
      </c>
    </row>
    <row r="24" spans="2:3" ht="19.5" customHeight="1"/>
    <row r="26" spans="2:3" ht="55.5" customHeight="1">
      <c r="B26" s="30"/>
    </row>
    <row r="29" spans="2:3" ht="55.5" customHeight="1">
      <c r="C29" s="32" t="s">
        <v>99</v>
      </c>
    </row>
    <row r="34" spans="3:3" ht="55.5" customHeight="1">
      <c r="C34" s="32" t="s">
        <v>99</v>
      </c>
    </row>
    <row r="38" spans="3:3" ht="55.5" customHeight="1">
      <c r="C38" s="64" t="s">
        <v>136</v>
      </c>
    </row>
    <row r="42" spans="3:3" ht="55.5" customHeight="1">
      <c r="C42" s="247" t="s">
        <v>99</v>
      </c>
    </row>
  </sheetData>
  <sheetProtection sheet="1" objects="1" scenarios="1"/>
  <mergeCells count="1">
    <mergeCell ref="D1:P1"/>
  </mergeCells>
  <phoneticPr fontId="0" type="noConversion"/>
  <hyperlinks>
    <hyperlink ref="B7" r:id="rId1"/>
    <hyperlink ref="C6" location="Instructions!A35" display="Quick Look"/>
    <hyperlink ref="C5" location="Instructions!A25" display="Create Table"/>
    <hyperlink ref="C7" location="Instructions!A38" display="Use Inflation Tables"/>
    <hyperlink ref="C29" location="Instructions!A2" display="Top"/>
    <hyperlink ref="C38" location="Instructions!A18" display="Create Table"/>
    <hyperlink ref="C34" location="Instructions!A2" display="Top"/>
    <hyperlink ref="C42" location="Instructions!A2" display="Top"/>
    <hyperlink ref="C19" location="Instructions!A2" display="Top"/>
    <hyperlink ref="C21" location="Instructions!A2" display="Top"/>
    <hyperlink ref="B3" r:id="rId2"/>
    <hyperlink ref="B5" r:id="rId3"/>
    <hyperlink ref="C1" location="Main!A1" display="Return to Main"/>
  </hyperlinks>
  <pageMargins left="0.66" right="0.73" top="0.54" bottom="0.65" header="0.5" footer="0.5"/>
  <pageSetup orientation="portrait" r:id="rId4"/>
  <headerFooter alignWithMargins="0"/>
  <rowBreaks count="1" manualBreakCount="1">
    <brk id="17" max="16383" man="1"/>
  </rowBreaks>
  <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2:R60"/>
  <sheetViews>
    <sheetView showGridLines="0" showRowColHeaders="0" topLeftCell="A40" workbookViewId="0">
      <selection activeCell="K4" sqref="K4"/>
    </sheetView>
  </sheetViews>
  <sheetFormatPr defaultColWidth="9.140625" defaultRowHeight="12.75"/>
  <cols>
    <col min="1" max="6" width="9.140625" style="329"/>
    <col min="7" max="7" width="18.28515625" style="329" customWidth="1"/>
    <col min="8" max="12" width="9.140625" style="329"/>
    <col min="13" max="13" width="7.85546875" style="329" customWidth="1"/>
    <col min="14" max="16384" width="9.140625" style="329"/>
  </cols>
  <sheetData>
    <row r="2" spans="1:18" ht="34.9" customHeight="1">
      <c r="A2" s="663"/>
      <c r="B2" s="775" t="s">
        <v>676</v>
      </c>
      <c r="C2" s="775"/>
      <c r="D2" s="775"/>
      <c r="E2" s="775"/>
      <c r="F2" s="775"/>
      <c r="G2" s="775"/>
      <c r="H2" s="775"/>
      <c r="I2" s="775"/>
      <c r="J2" s="775"/>
      <c r="K2" s="775"/>
      <c r="L2" s="775"/>
      <c r="M2" s="11"/>
      <c r="N2" s="634" t="s">
        <v>496</v>
      </c>
    </row>
    <row r="5" spans="1:18" ht="14.25">
      <c r="B5" s="292"/>
      <c r="C5" s="661"/>
      <c r="D5" s="661"/>
      <c r="E5" s="661"/>
      <c r="F5" s="661"/>
      <c r="G5" s="661"/>
      <c r="H5" s="661"/>
      <c r="I5" s="661"/>
      <c r="J5" s="292"/>
      <c r="K5" s="292"/>
      <c r="L5" s="661"/>
      <c r="M5" s="661"/>
      <c r="N5" s="661"/>
      <c r="O5" s="661"/>
      <c r="P5" s="661"/>
      <c r="Q5" s="661"/>
      <c r="R5" s="635"/>
    </row>
    <row r="6" spans="1:18" ht="14.25">
      <c r="B6" s="292"/>
      <c r="C6" s="661"/>
      <c r="D6" s="661"/>
      <c r="E6" s="661"/>
      <c r="F6" s="661"/>
      <c r="G6" s="661"/>
      <c r="H6" s="661"/>
      <c r="I6" s="661"/>
      <c r="J6" s="292"/>
      <c r="K6" s="292"/>
      <c r="L6" s="661"/>
      <c r="M6" s="661"/>
      <c r="N6" s="661"/>
      <c r="O6" s="661"/>
      <c r="P6" s="661"/>
      <c r="Q6" s="661"/>
      <c r="R6" s="635"/>
    </row>
    <row r="7" spans="1:18" ht="14.25">
      <c r="B7" s="292"/>
      <c r="C7" s="661"/>
      <c r="D7" s="661"/>
      <c r="E7" s="661"/>
      <c r="F7" s="661"/>
      <c r="G7" s="661"/>
      <c r="H7" s="661"/>
      <c r="I7" s="661"/>
      <c r="J7" s="292"/>
      <c r="K7" s="292"/>
      <c r="L7" s="661"/>
      <c r="M7" s="661"/>
      <c r="N7" s="661"/>
      <c r="O7" s="661"/>
      <c r="P7" s="661"/>
      <c r="Q7" s="661"/>
      <c r="R7" s="635"/>
    </row>
    <row r="8" spans="1:18">
      <c r="C8" s="635"/>
      <c r="D8" s="635"/>
      <c r="E8" s="635"/>
      <c r="F8" s="635"/>
      <c r="G8" s="635"/>
      <c r="H8" s="635"/>
      <c r="I8" s="635"/>
      <c r="L8" s="635"/>
      <c r="M8" s="635"/>
      <c r="N8" s="635"/>
      <c r="O8" s="635"/>
      <c r="P8" s="635"/>
      <c r="Q8" s="635"/>
      <c r="R8" s="635"/>
    </row>
    <row r="9" spans="1:18">
      <c r="C9" s="635"/>
      <c r="D9" s="635"/>
      <c r="E9" s="635"/>
      <c r="F9" s="635"/>
      <c r="G9" s="635"/>
      <c r="H9" s="635"/>
      <c r="I9" s="635"/>
    </row>
    <row r="10" spans="1:18">
      <c r="C10" s="635"/>
      <c r="D10" s="635"/>
      <c r="E10" s="635"/>
      <c r="F10" s="635"/>
      <c r="G10" s="635"/>
      <c r="H10" s="635"/>
      <c r="I10" s="635"/>
    </row>
    <row r="11" spans="1:18">
      <c r="C11" s="636"/>
      <c r="D11" s="636"/>
      <c r="E11" s="636"/>
      <c r="F11" s="636"/>
      <c r="G11" s="636"/>
      <c r="H11" s="636"/>
      <c r="I11" s="636"/>
    </row>
    <row r="12" spans="1:18">
      <c r="C12" s="636"/>
      <c r="D12" s="636"/>
      <c r="E12" s="636"/>
      <c r="F12" s="636"/>
      <c r="G12" s="636"/>
      <c r="H12" s="636"/>
      <c r="I12" s="636"/>
    </row>
    <row r="13" spans="1:18">
      <c r="C13" s="636"/>
      <c r="D13" s="636"/>
      <c r="E13" s="636"/>
      <c r="F13" s="636"/>
      <c r="G13" s="636"/>
      <c r="H13" s="636"/>
      <c r="I13" s="636"/>
    </row>
    <row r="23" spans="2:14">
      <c r="B23" s="636"/>
      <c r="C23" s="636"/>
      <c r="D23" s="636"/>
      <c r="E23" s="636"/>
      <c r="F23" s="636"/>
      <c r="G23" s="636"/>
      <c r="H23" s="636"/>
      <c r="I23" s="636"/>
      <c r="J23" s="636"/>
      <c r="K23" s="636"/>
      <c r="L23" s="636"/>
      <c r="M23" s="636"/>
      <c r="N23" s="636"/>
    </row>
    <row r="24" spans="2:14">
      <c r="B24" s="636"/>
      <c r="C24" s="664"/>
      <c r="D24" s="664"/>
      <c r="E24" s="664"/>
      <c r="F24" s="664"/>
      <c r="G24" s="664"/>
      <c r="H24" s="664"/>
      <c r="I24" s="664"/>
      <c r="J24" s="664"/>
      <c r="K24" s="664"/>
      <c r="L24" s="664"/>
      <c r="M24" s="664"/>
      <c r="N24" s="664"/>
    </row>
    <row r="25" spans="2:14">
      <c r="B25" s="664"/>
      <c r="C25" s="664"/>
      <c r="D25" s="664"/>
      <c r="E25" s="664"/>
      <c r="F25" s="664"/>
      <c r="G25" s="664"/>
      <c r="H25" s="664"/>
      <c r="I25" s="664"/>
      <c r="J25" s="664"/>
      <c r="K25" s="664"/>
      <c r="L25" s="664"/>
      <c r="M25" s="664"/>
      <c r="N25" s="664"/>
    </row>
    <row r="26" spans="2:14">
      <c r="B26" s="664"/>
      <c r="C26" s="664"/>
      <c r="D26" s="664"/>
      <c r="E26" s="664"/>
      <c r="F26" s="664"/>
      <c r="G26" s="664"/>
      <c r="H26" s="664"/>
      <c r="I26" s="664"/>
      <c r="J26" s="664"/>
      <c r="K26" s="664"/>
      <c r="L26" s="664"/>
      <c r="M26" s="664"/>
      <c r="N26" s="664"/>
    </row>
    <row r="27" spans="2:14">
      <c r="B27" s="664"/>
      <c r="C27" s="664"/>
      <c r="D27" s="664"/>
      <c r="E27" s="664"/>
      <c r="F27" s="664"/>
      <c r="G27" s="664"/>
      <c r="H27" s="664"/>
      <c r="I27" s="664"/>
      <c r="J27" s="664"/>
      <c r="K27" s="664"/>
      <c r="L27" s="664"/>
      <c r="M27" s="664"/>
      <c r="N27" s="664"/>
    </row>
    <row r="28" spans="2:14">
      <c r="B28" s="664"/>
      <c r="C28" s="664"/>
      <c r="D28" s="664"/>
      <c r="E28" s="664"/>
      <c r="F28" s="664"/>
      <c r="G28" s="664"/>
      <c r="H28" s="664"/>
      <c r="I28" s="664"/>
      <c r="J28" s="664"/>
      <c r="K28" s="664"/>
      <c r="L28" s="664"/>
      <c r="M28" s="664"/>
      <c r="N28" s="664"/>
    </row>
    <row r="29" spans="2:14">
      <c r="B29" s="664"/>
      <c r="C29" s="664"/>
      <c r="D29" s="664"/>
      <c r="E29" s="664"/>
      <c r="F29" s="664"/>
      <c r="G29" s="664"/>
      <c r="H29" s="664"/>
      <c r="I29" s="664"/>
      <c r="J29" s="664"/>
      <c r="K29" s="664"/>
      <c r="L29" s="664"/>
      <c r="M29" s="664"/>
      <c r="N29" s="664"/>
    </row>
    <row r="30" spans="2:14">
      <c r="B30" s="664"/>
      <c r="C30" s="664"/>
      <c r="D30" s="664"/>
      <c r="E30" s="664"/>
      <c r="F30" s="664"/>
      <c r="G30" s="664"/>
      <c r="H30" s="664"/>
      <c r="I30" s="664"/>
      <c r="J30" s="664"/>
      <c r="K30" s="664"/>
      <c r="L30" s="664"/>
      <c r="M30" s="664"/>
      <c r="N30" s="664"/>
    </row>
    <row r="31" spans="2:14">
      <c r="B31" s="664"/>
      <c r="C31" s="664"/>
      <c r="D31" s="664"/>
      <c r="E31" s="664"/>
      <c r="F31" s="664"/>
      <c r="G31" s="664"/>
      <c r="H31" s="664"/>
      <c r="I31" s="664"/>
      <c r="J31" s="664"/>
      <c r="K31" s="664"/>
      <c r="L31" s="664"/>
      <c r="M31" s="664"/>
      <c r="N31" s="664"/>
    </row>
    <row r="32" spans="2:14">
      <c r="B32" s="664"/>
      <c r="C32" s="664"/>
      <c r="D32" s="664"/>
      <c r="E32" s="664"/>
      <c r="F32" s="664"/>
      <c r="G32" s="664"/>
      <c r="H32" s="664"/>
      <c r="I32" s="664"/>
      <c r="J32" s="664"/>
      <c r="K32" s="664"/>
      <c r="L32" s="664"/>
      <c r="M32" s="664"/>
      <c r="N32" s="664"/>
    </row>
    <row r="33" spans="2:14">
      <c r="B33" s="664"/>
      <c r="C33" s="664"/>
      <c r="D33" s="664"/>
      <c r="E33" s="664"/>
      <c r="F33" s="664"/>
      <c r="G33" s="664"/>
      <c r="H33" s="664"/>
      <c r="I33" s="664"/>
      <c r="J33" s="664"/>
      <c r="K33" s="664"/>
      <c r="L33" s="664"/>
      <c r="M33" s="664"/>
      <c r="N33" s="664"/>
    </row>
    <row r="34" spans="2:14">
      <c r="B34" s="664"/>
      <c r="C34" s="664"/>
      <c r="D34" s="664"/>
      <c r="E34" s="664"/>
      <c r="F34" s="664"/>
      <c r="G34" s="664"/>
      <c r="H34" s="664"/>
      <c r="I34" s="664"/>
      <c r="J34" s="664"/>
      <c r="K34" s="664"/>
      <c r="L34" s="664"/>
      <c r="M34" s="664"/>
      <c r="N34" s="664"/>
    </row>
    <row r="35" spans="2:14">
      <c r="B35" s="664"/>
      <c r="C35" s="664"/>
      <c r="D35" s="664"/>
      <c r="E35" s="664"/>
      <c r="F35" s="664"/>
      <c r="G35" s="664"/>
      <c r="H35" s="664"/>
      <c r="I35" s="664"/>
      <c r="J35" s="664"/>
      <c r="K35" s="664"/>
      <c r="L35" s="664"/>
      <c r="M35" s="664"/>
      <c r="N35" s="664"/>
    </row>
    <row r="36" spans="2:14">
      <c r="B36" s="664"/>
      <c r="C36" s="664"/>
      <c r="D36" s="664"/>
      <c r="E36" s="664"/>
      <c r="F36" s="664"/>
      <c r="G36" s="664"/>
      <c r="H36" s="664"/>
      <c r="I36" s="664"/>
      <c r="J36" s="664"/>
      <c r="K36" s="664"/>
      <c r="L36" s="664"/>
      <c r="M36" s="664"/>
      <c r="N36" s="664"/>
    </row>
    <row r="37" spans="2:14">
      <c r="B37" s="664"/>
      <c r="C37" s="664"/>
      <c r="D37" s="664"/>
      <c r="E37" s="664"/>
      <c r="F37" s="664"/>
      <c r="G37" s="664"/>
      <c r="H37" s="664"/>
      <c r="I37" s="664"/>
      <c r="J37" s="664"/>
      <c r="K37" s="664"/>
      <c r="L37" s="664"/>
      <c r="M37" s="664"/>
      <c r="N37" s="664"/>
    </row>
    <row r="38" spans="2:14">
      <c r="B38" s="664"/>
      <c r="C38" s="664"/>
      <c r="D38" s="664"/>
      <c r="E38" s="664"/>
      <c r="F38" s="664"/>
      <c r="G38" s="664"/>
      <c r="H38" s="664"/>
      <c r="I38" s="664"/>
      <c r="J38" s="664"/>
      <c r="K38" s="664"/>
      <c r="L38" s="664"/>
      <c r="M38" s="664"/>
      <c r="N38" s="664"/>
    </row>
    <row r="39" spans="2:14">
      <c r="B39" s="664"/>
      <c r="C39" s="664"/>
      <c r="D39" s="664"/>
      <c r="E39" s="664"/>
      <c r="F39" s="664"/>
      <c r="G39" s="664"/>
      <c r="H39" s="664"/>
      <c r="I39" s="664"/>
      <c r="J39" s="664"/>
      <c r="K39" s="664"/>
      <c r="L39" s="664"/>
      <c r="M39" s="664"/>
      <c r="N39" s="664"/>
    </row>
    <row r="40" spans="2:14">
      <c r="B40" s="664"/>
      <c r="C40" s="664"/>
      <c r="D40" s="664"/>
      <c r="E40" s="664"/>
      <c r="F40" s="664"/>
      <c r="G40" s="664"/>
      <c r="H40" s="664"/>
      <c r="I40" s="664"/>
      <c r="J40" s="664"/>
      <c r="K40" s="664"/>
      <c r="L40" s="664"/>
      <c r="M40" s="664"/>
      <c r="N40" s="664"/>
    </row>
    <row r="41" spans="2:14">
      <c r="B41" s="664"/>
      <c r="C41" s="664"/>
      <c r="D41" s="664"/>
      <c r="E41" s="664"/>
      <c r="F41" s="664"/>
      <c r="G41" s="664"/>
      <c r="H41" s="664"/>
      <c r="I41" s="664"/>
      <c r="J41" s="664"/>
      <c r="K41" s="664"/>
      <c r="L41" s="664"/>
      <c r="M41" s="664"/>
      <c r="N41" s="664"/>
    </row>
    <row r="42" spans="2:14">
      <c r="B42" s="664"/>
      <c r="C42" s="664"/>
      <c r="D42" s="664"/>
      <c r="E42" s="664"/>
      <c r="F42" s="664"/>
      <c r="G42" s="664"/>
      <c r="H42" s="664"/>
      <c r="I42" s="664"/>
      <c r="J42" s="664"/>
      <c r="K42" s="664"/>
      <c r="L42" s="664"/>
      <c r="M42" s="664"/>
      <c r="N42" s="664"/>
    </row>
    <row r="43" spans="2:14">
      <c r="B43" s="664"/>
      <c r="C43" s="664"/>
      <c r="D43" s="664"/>
      <c r="E43" s="664"/>
      <c r="F43" s="664"/>
      <c r="G43" s="664"/>
      <c r="H43" s="664"/>
      <c r="I43" s="664"/>
      <c r="J43" s="664"/>
      <c r="K43" s="664"/>
      <c r="L43" s="664"/>
      <c r="M43" s="664"/>
      <c r="N43" s="664"/>
    </row>
    <row r="44" spans="2:14">
      <c r="B44" s="664"/>
      <c r="C44" s="664"/>
      <c r="D44" s="664"/>
      <c r="E44" s="664"/>
      <c r="F44" s="664"/>
      <c r="G44" s="664"/>
      <c r="H44" s="664"/>
      <c r="I44" s="664"/>
      <c r="J44" s="664"/>
      <c r="K44" s="664"/>
      <c r="L44" s="664"/>
      <c r="M44" s="664"/>
      <c r="N44" s="664"/>
    </row>
    <row r="45" spans="2:14">
      <c r="B45" s="664"/>
      <c r="C45" s="664"/>
      <c r="D45" s="664"/>
      <c r="E45" s="664"/>
      <c r="F45" s="664"/>
      <c r="G45" s="664"/>
      <c r="H45" s="664"/>
      <c r="I45" s="664"/>
      <c r="J45" s="664"/>
      <c r="K45" s="664"/>
      <c r="L45" s="664"/>
      <c r="M45" s="664"/>
      <c r="N45" s="664"/>
    </row>
    <row r="46" spans="2:14">
      <c r="B46" s="664"/>
      <c r="C46" s="664"/>
      <c r="D46" s="664"/>
      <c r="E46" s="664"/>
      <c r="F46" s="664"/>
      <c r="G46" s="664"/>
      <c r="H46" s="664"/>
      <c r="I46" s="664"/>
      <c r="J46" s="664"/>
      <c r="K46" s="664"/>
      <c r="L46" s="664"/>
      <c r="M46" s="664"/>
      <c r="N46" s="664"/>
    </row>
    <row r="47" spans="2:14">
      <c r="B47" s="664"/>
      <c r="C47" s="664"/>
      <c r="D47" s="664"/>
      <c r="E47" s="664"/>
      <c r="F47" s="664"/>
      <c r="G47" s="664"/>
      <c r="H47" s="664"/>
      <c r="I47" s="664"/>
      <c r="J47" s="664"/>
      <c r="K47" s="664"/>
      <c r="L47" s="664"/>
      <c r="M47" s="664"/>
      <c r="N47" s="664"/>
    </row>
    <row r="48" spans="2:14">
      <c r="B48" s="664"/>
      <c r="C48" s="664"/>
      <c r="D48" s="664"/>
      <c r="E48" s="664"/>
      <c r="F48" s="664"/>
      <c r="G48" s="664"/>
      <c r="H48" s="664"/>
      <c r="I48" s="664"/>
      <c r="J48" s="664"/>
      <c r="K48" s="664"/>
      <c r="L48" s="664"/>
      <c r="M48" s="664"/>
      <c r="N48" s="664"/>
    </row>
    <row r="49" spans="2:14">
      <c r="B49" s="664"/>
      <c r="C49" s="664"/>
      <c r="D49" s="664"/>
      <c r="E49" s="664"/>
      <c r="F49" s="664"/>
      <c r="G49" s="664"/>
      <c r="H49" s="664"/>
      <c r="I49" s="664"/>
      <c r="J49" s="664"/>
      <c r="K49" s="664"/>
      <c r="L49" s="664"/>
      <c r="M49" s="664"/>
      <c r="N49" s="664"/>
    </row>
    <row r="50" spans="2:14">
      <c r="B50" s="664"/>
      <c r="C50" s="664"/>
      <c r="D50" s="664"/>
      <c r="E50" s="664"/>
      <c r="F50" s="664"/>
      <c r="G50" s="664"/>
      <c r="H50" s="664"/>
      <c r="I50" s="664"/>
      <c r="J50" s="664"/>
      <c r="K50" s="664"/>
      <c r="L50" s="664"/>
      <c r="M50" s="664"/>
      <c r="N50" s="664"/>
    </row>
    <row r="51" spans="2:14">
      <c r="B51" s="664"/>
      <c r="C51" s="664"/>
      <c r="D51" s="664"/>
      <c r="E51" s="664"/>
      <c r="F51" s="664"/>
      <c r="G51" s="664"/>
      <c r="H51" s="664"/>
      <c r="I51" s="664"/>
      <c r="J51" s="664"/>
      <c r="K51" s="664"/>
      <c r="L51" s="664"/>
      <c r="M51" s="664"/>
      <c r="N51" s="664"/>
    </row>
    <row r="52" spans="2:14">
      <c r="B52" s="664"/>
      <c r="C52" s="664"/>
      <c r="D52" s="664"/>
      <c r="E52" s="664"/>
      <c r="F52" s="664"/>
      <c r="G52" s="664"/>
      <c r="H52" s="664"/>
      <c r="I52" s="664"/>
      <c r="J52" s="664"/>
      <c r="K52" s="664"/>
      <c r="L52" s="664"/>
      <c r="M52" s="664"/>
      <c r="N52" s="664"/>
    </row>
    <row r="53" spans="2:14">
      <c r="B53" s="664"/>
      <c r="C53" s="664"/>
      <c r="D53" s="664"/>
      <c r="E53" s="664"/>
      <c r="F53" s="664"/>
      <c r="G53" s="664"/>
      <c r="H53" s="664"/>
      <c r="I53" s="664"/>
      <c r="J53" s="664"/>
      <c r="K53" s="664"/>
      <c r="L53" s="664"/>
      <c r="M53" s="664"/>
      <c r="N53" s="664"/>
    </row>
    <row r="54" spans="2:14">
      <c r="B54" s="664"/>
      <c r="C54" s="664"/>
      <c r="D54" s="664"/>
      <c r="E54" s="664"/>
      <c r="F54" s="664"/>
      <c r="G54" s="664"/>
      <c r="H54" s="664"/>
      <c r="I54" s="664"/>
      <c r="J54" s="664"/>
      <c r="K54" s="664"/>
      <c r="L54" s="664"/>
      <c r="M54" s="664"/>
      <c r="N54" s="664"/>
    </row>
    <row r="55" spans="2:14">
      <c r="B55" s="664"/>
      <c r="C55" s="664"/>
      <c r="D55" s="664"/>
      <c r="E55" s="664"/>
      <c r="F55" s="664"/>
      <c r="G55" s="664"/>
      <c r="H55" s="664"/>
      <c r="I55" s="664"/>
      <c r="J55" s="664"/>
      <c r="K55" s="664"/>
      <c r="L55" s="664"/>
      <c r="M55" s="664"/>
      <c r="N55" s="664"/>
    </row>
    <row r="56" spans="2:14">
      <c r="B56" s="664"/>
      <c r="C56" s="664"/>
      <c r="D56" s="664"/>
      <c r="E56" s="664"/>
      <c r="F56" s="664"/>
      <c r="G56" s="664"/>
      <c r="H56" s="664"/>
      <c r="I56" s="664"/>
      <c r="J56" s="664"/>
      <c r="K56" s="664"/>
      <c r="L56" s="664"/>
      <c r="M56" s="664"/>
      <c r="N56" s="664"/>
    </row>
    <row r="57" spans="2:14">
      <c r="B57" s="664"/>
      <c r="C57" s="664"/>
      <c r="D57" s="664"/>
      <c r="E57" s="664"/>
      <c r="F57" s="664"/>
      <c r="G57" s="664"/>
      <c r="H57" s="664"/>
      <c r="I57" s="664"/>
      <c r="J57" s="664"/>
      <c r="K57" s="664"/>
      <c r="L57" s="664"/>
      <c r="M57" s="664"/>
      <c r="N57" s="664"/>
    </row>
    <row r="58" spans="2:14">
      <c r="B58" s="664"/>
      <c r="C58" s="664"/>
      <c r="D58" s="664"/>
      <c r="E58" s="664"/>
      <c r="F58" s="664"/>
      <c r="G58" s="664"/>
      <c r="H58" s="664"/>
      <c r="I58" s="664"/>
      <c r="J58" s="664"/>
      <c r="K58" s="664"/>
      <c r="L58" s="664"/>
      <c r="M58" s="664"/>
      <c r="N58" s="664"/>
    </row>
    <row r="59" spans="2:14">
      <c r="B59" s="664"/>
      <c r="C59" s="664"/>
      <c r="D59" s="664"/>
      <c r="E59" s="664"/>
      <c r="F59" s="664"/>
      <c r="G59" s="664"/>
      <c r="H59" s="664"/>
      <c r="I59" s="664"/>
      <c r="J59" s="664"/>
      <c r="K59" s="664"/>
      <c r="L59" s="664"/>
      <c r="M59" s="664"/>
      <c r="N59" s="664"/>
    </row>
    <row r="60" spans="2:14">
      <c r="B60" s="664"/>
      <c r="C60" s="664"/>
      <c r="D60" s="664"/>
      <c r="E60" s="664"/>
      <c r="F60" s="664"/>
      <c r="G60" s="664"/>
      <c r="H60" s="664"/>
      <c r="I60" s="664"/>
      <c r="J60" s="664"/>
      <c r="K60" s="664"/>
      <c r="L60" s="664"/>
      <c r="M60" s="664"/>
      <c r="N60" s="664"/>
    </row>
  </sheetData>
  <sheetProtection sheet="1" objects="1" scenarios="1"/>
  <mergeCells count="1">
    <mergeCell ref="B2:L2"/>
  </mergeCells>
  <hyperlinks>
    <hyperlink ref="N2" location="Main!A1" display="Return To Main"/>
  </hyperlinks>
  <pageMargins left="0" right="0" top="0.75" bottom="0.75" header="0.3" footer="0.3"/>
  <pageSetup scale="61"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68"/>
  <sheetViews>
    <sheetView showGridLines="0" workbookViewId="0">
      <pane xSplit="1" ySplit="12" topLeftCell="B13" activePane="bottomRight" state="frozen"/>
      <selection activeCell="I10" sqref="I10"/>
      <selection pane="topRight" activeCell="I10" sqref="I10"/>
      <selection pane="bottomLeft" activeCell="I10" sqref="I10"/>
      <selection pane="bottomRight" activeCell="I13" sqref="I13"/>
    </sheetView>
  </sheetViews>
  <sheetFormatPr defaultColWidth="0" defaultRowHeight="12.75"/>
  <cols>
    <col min="1" max="1" width="4.85546875" customWidth="1"/>
    <col min="2" max="3" width="7.85546875" customWidth="1"/>
    <col min="4" max="4" width="8.28515625" customWidth="1"/>
    <col min="5" max="20" width="7.85546875" customWidth="1"/>
    <col min="21" max="21" width="7.140625" customWidth="1"/>
    <col min="22" max="22" width="7.85546875" customWidth="1"/>
    <col min="23" max="23" width="9.28515625" customWidth="1"/>
    <col min="24" max="24" width="9" customWidth="1"/>
    <col min="25" max="27" width="7.85546875" customWidth="1"/>
    <col min="28" max="28" width="9.5703125" customWidth="1"/>
    <col min="29" max="42" width="7.85546875" customWidth="1"/>
    <col min="43" max="43" width="9.28515625" customWidth="1"/>
    <col min="44" max="44" width="7.85546875" customWidth="1"/>
    <col min="45" max="45" width="6.5703125" style="123" bestFit="1" customWidth="1"/>
  </cols>
  <sheetData>
    <row r="1" spans="1:45" ht="30" customHeight="1">
      <c r="A1" s="44"/>
      <c r="B1" s="738">
        <f ca="1">NOW()</f>
        <v>43007.591650578703</v>
      </c>
      <c r="C1" s="738"/>
      <c r="D1" s="384"/>
      <c r="E1" s="384"/>
      <c r="F1" s="385" t="s">
        <v>555</v>
      </c>
      <c r="G1" s="411"/>
      <c r="H1" s="386"/>
      <c r="I1" s="384"/>
      <c r="J1" s="384"/>
      <c r="K1" s="384"/>
      <c r="L1" s="384"/>
      <c r="M1" s="384"/>
      <c r="N1" s="384"/>
      <c r="O1" s="384"/>
      <c r="P1" s="384"/>
      <c r="Q1" s="741" t="s">
        <v>459</v>
      </c>
      <c r="R1" s="742"/>
      <c r="S1" s="384"/>
      <c r="T1" s="384"/>
      <c r="U1" s="384"/>
      <c r="V1" s="384"/>
      <c r="W1" s="384"/>
      <c r="X1" s="384"/>
      <c r="Y1" s="384"/>
      <c r="Z1" s="384"/>
      <c r="AA1" s="384"/>
      <c r="AB1" s="384"/>
      <c r="AC1" s="384"/>
      <c r="AD1" s="384"/>
      <c r="AE1" s="384"/>
      <c r="AF1" s="384"/>
      <c r="AG1" s="384"/>
      <c r="AH1" s="384"/>
      <c r="AI1" s="384"/>
      <c r="AJ1" s="384"/>
      <c r="AK1" s="384"/>
      <c r="AL1" s="384"/>
      <c r="AM1" s="384"/>
      <c r="AN1" s="384"/>
      <c r="AO1" s="384"/>
      <c r="AP1" s="384"/>
      <c r="AQ1" s="384"/>
      <c r="AR1" s="384"/>
      <c r="AS1" s="387"/>
    </row>
    <row r="2" spans="1:45" ht="30" customHeight="1">
      <c r="A2" s="736" t="s">
        <v>738</v>
      </c>
      <c r="B2" s="384"/>
      <c r="C2" s="386"/>
      <c r="D2" s="387"/>
      <c r="E2" s="387"/>
      <c r="F2" s="387"/>
      <c r="G2" s="387"/>
      <c r="H2" s="387"/>
      <c r="I2" s="384"/>
      <c r="J2" s="384"/>
      <c r="K2" s="384"/>
      <c r="L2" s="384"/>
      <c r="M2" s="384"/>
      <c r="N2" s="384"/>
      <c r="O2" s="384"/>
      <c r="P2" s="384"/>
      <c r="Q2" s="540"/>
      <c r="R2" s="540"/>
      <c r="S2" s="540"/>
      <c r="T2" s="540"/>
      <c r="U2" s="384"/>
      <c r="V2" s="384"/>
      <c r="W2" s="384"/>
      <c r="X2" s="384"/>
      <c r="Y2" s="384"/>
      <c r="Z2" s="384"/>
      <c r="AA2" s="384"/>
      <c r="AB2" s="737"/>
      <c r="AC2" s="737"/>
      <c r="AD2" s="737"/>
      <c r="AE2" s="737"/>
      <c r="AF2" s="384"/>
      <c r="AG2" s="384"/>
      <c r="AH2" s="384"/>
      <c r="AI2" s="384"/>
      <c r="AJ2" s="384"/>
      <c r="AK2" s="384"/>
      <c r="AL2" s="384"/>
      <c r="AM2" s="384"/>
      <c r="AN2" s="384"/>
      <c r="AO2" s="384"/>
      <c r="AP2" s="384"/>
      <c r="AQ2" s="384"/>
      <c r="AR2" s="384"/>
      <c r="AS2" s="387"/>
    </row>
    <row r="3" spans="1:45" ht="30" customHeight="1" thickBot="1">
      <c r="A3" s="736"/>
      <c r="B3" s="388"/>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737"/>
      <c r="AC3" s="737"/>
      <c r="AD3" s="737"/>
      <c r="AE3" s="737"/>
      <c r="AF3" s="384"/>
      <c r="AG3" s="384"/>
      <c r="AH3" s="384"/>
      <c r="AI3" s="384"/>
      <c r="AJ3" s="384"/>
      <c r="AK3" s="384"/>
      <c r="AL3" s="384"/>
      <c r="AM3" s="384"/>
      <c r="AN3" s="384"/>
      <c r="AO3" s="384"/>
      <c r="AP3" s="384"/>
      <c r="AQ3" s="384"/>
      <c r="AR3" s="384"/>
      <c r="AS3" s="387"/>
    </row>
    <row r="4" spans="1:45" s="44" customFormat="1" ht="30" customHeight="1" thickTop="1" thickBot="1">
      <c r="B4" s="740" t="s">
        <v>407</v>
      </c>
      <c r="C4" s="740"/>
      <c r="D4" s="740"/>
      <c r="E4" s="389">
        <v>1970</v>
      </c>
      <c r="F4" s="387"/>
      <c r="G4" s="444"/>
      <c r="H4" s="444"/>
      <c r="I4" s="739" t="s">
        <v>402</v>
      </c>
      <c r="J4" s="739"/>
      <c r="K4" s="390"/>
      <c r="L4" s="390"/>
      <c r="M4" s="390"/>
      <c r="N4" s="390"/>
      <c r="O4" s="390"/>
      <c r="P4" s="387"/>
      <c r="Q4" s="387"/>
      <c r="R4" s="387"/>
      <c r="S4" s="387"/>
      <c r="T4" s="387"/>
      <c r="U4" s="387"/>
      <c r="V4" s="387"/>
      <c r="W4" s="387"/>
      <c r="X4" s="387"/>
      <c r="Y4" s="387"/>
      <c r="Z4" s="387"/>
      <c r="AA4" s="387"/>
      <c r="AB4" s="737"/>
      <c r="AC4" s="737"/>
      <c r="AD4" s="737"/>
      <c r="AE4" s="737"/>
      <c r="AF4" s="387"/>
      <c r="AG4" s="387"/>
      <c r="AH4" s="387"/>
      <c r="AI4" s="387"/>
      <c r="AJ4" s="387"/>
      <c r="AK4" s="387"/>
      <c r="AL4" s="387"/>
      <c r="AM4" s="387"/>
      <c r="AN4" s="387"/>
      <c r="AO4" s="387"/>
      <c r="AP4" s="387"/>
      <c r="AQ4" s="387"/>
      <c r="AR4" s="387"/>
      <c r="AS4" s="387"/>
    </row>
    <row r="5" spans="1:45" s="44" customFormat="1" ht="0.75" customHeight="1" thickTop="1">
      <c r="B5" s="115"/>
      <c r="AS5" s="123"/>
    </row>
    <row r="6" spans="1:45" s="44" customFormat="1" ht="13.5" customHeight="1">
      <c r="A6" s="44" t="s">
        <v>240</v>
      </c>
      <c r="B6" s="115"/>
      <c r="AS6" s="123"/>
    </row>
    <row r="7" spans="1:45" s="45" customFormat="1" ht="13.5" customHeight="1">
      <c r="A7" s="45" t="s">
        <v>218</v>
      </c>
      <c r="B7" s="116">
        <f ca="1">LOOKUP(E4,Query!AC48:AC140,Query!O48:O139)</f>
        <v>2</v>
      </c>
      <c r="J7" s="45">
        <v>2</v>
      </c>
      <c r="AQ7" s="209"/>
      <c r="AR7" s="209"/>
      <c r="AS7" s="209"/>
    </row>
    <row r="8" spans="1:45" s="45" customFormat="1" ht="13.5" customHeight="1">
      <c r="A8" s="45" t="s">
        <v>220</v>
      </c>
      <c r="B8" s="115">
        <f ca="1">HLOOKUP(B$11,index1970,$B$7)/B$9 * HLOOKUP(B$11,comboutfac,$B$7)</f>
        <v>1.0571215841233979</v>
      </c>
      <c r="C8" s="115">
        <f t="shared" ref="C8:AR8" ca="1" si="0">HLOOKUP(C$11,index1970,$B$7)/C$9 * HLOOKUP(C$11,comboutfac,$B$7)</f>
        <v>1.1573757754540852</v>
      </c>
      <c r="D8" s="115">
        <f t="shared" ca="1" si="0"/>
        <v>1.0249728836958854</v>
      </c>
      <c r="E8" s="115">
        <f t="shared" ca="1" si="0"/>
        <v>1</v>
      </c>
      <c r="F8" s="115">
        <f t="shared" ca="1" si="0"/>
        <v>1.1573757754540852</v>
      </c>
      <c r="G8" s="115">
        <f t="shared" ca="1" si="0"/>
        <v>1.0883073686216955</v>
      </c>
      <c r="H8" s="115">
        <f t="shared" ca="1" si="0"/>
        <v>1.0205366690644104</v>
      </c>
      <c r="I8" s="115">
        <f t="shared" ca="1" si="0"/>
        <v>1.0176615353953928</v>
      </c>
      <c r="J8" s="115">
        <f t="shared" ca="1" si="0"/>
        <v>1</v>
      </c>
      <c r="K8" s="115">
        <f t="shared" ca="1" si="0"/>
        <v>1</v>
      </c>
      <c r="L8" s="115">
        <f t="shared" ca="1" si="0"/>
        <v>1.1460708809908955</v>
      </c>
      <c r="M8" s="115">
        <f t="shared" ca="1" si="0"/>
        <v>1.0240642854420736</v>
      </c>
      <c r="N8" s="115">
        <f t="shared" ca="1" si="0"/>
        <v>1.1573757754540852</v>
      </c>
      <c r="O8" s="115">
        <f t="shared" ca="1" si="0"/>
        <v>1.1573757754540852</v>
      </c>
      <c r="P8" s="115">
        <f t="shared" ca="1" si="0"/>
        <v>1.0000793629609031</v>
      </c>
      <c r="Q8" s="115">
        <f t="shared" ca="1" si="0"/>
        <v>1.0012024691045918</v>
      </c>
      <c r="R8" s="115">
        <f t="shared" ca="1" si="0"/>
        <v>1.0000929057941899</v>
      </c>
      <c r="S8" s="115">
        <f t="shared" ca="1" si="0"/>
        <v>1.0005193169043585</v>
      </c>
      <c r="T8" s="115">
        <f t="shared" ca="1" si="0"/>
        <v>1.0199005812118678</v>
      </c>
      <c r="U8" s="115">
        <f t="shared" ca="1" si="0"/>
        <v>1.1652026064033398</v>
      </c>
      <c r="V8" s="115">
        <f t="shared" ca="1" si="0"/>
        <v>1.0108601638410164</v>
      </c>
      <c r="W8" s="115">
        <f t="shared" ca="1" si="0"/>
        <v>1.0057936603446134</v>
      </c>
      <c r="X8" s="115">
        <f t="shared" ca="1" si="0"/>
        <v>1.0080467504786299</v>
      </c>
      <c r="Y8" s="115">
        <f t="shared" ca="1" si="0"/>
        <v>1.0071213741735874</v>
      </c>
      <c r="Z8" s="115">
        <f t="shared" ca="1" si="0"/>
        <v>1.0033587136497801</v>
      </c>
      <c r="AA8" s="115">
        <f t="shared" ca="1" si="0"/>
        <v>1.0080467504786299</v>
      </c>
      <c r="AB8" s="115">
        <f t="shared" ca="1" si="0"/>
        <v>1.0040491248408465</v>
      </c>
      <c r="AC8" s="115">
        <f t="shared" ca="1" si="0"/>
        <v>1.0109075312091758</v>
      </c>
      <c r="AD8" s="115">
        <f t="shared" ca="1" si="0"/>
        <v>1.0149858735863422</v>
      </c>
      <c r="AE8" s="115">
        <f t="shared" ca="1" si="0"/>
        <v>1.0617723417217002</v>
      </c>
      <c r="AF8" s="115">
        <f t="shared" ca="1" si="0"/>
        <v>1.099290126033144</v>
      </c>
      <c r="AG8" s="115">
        <f t="shared" ca="1" si="0"/>
        <v>1.0617723417217002</v>
      </c>
      <c r="AH8" s="115">
        <f t="shared" ca="1" si="0"/>
        <v>1.0240642854420736</v>
      </c>
      <c r="AI8" s="115">
        <f t="shared" ca="1" si="0"/>
        <v>1.0274129471216349</v>
      </c>
      <c r="AJ8" s="115">
        <f t="shared" ca="1" si="0"/>
        <v>1.0240642854420736</v>
      </c>
      <c r="AK8" s="115">
        <f t="shared" ca="1" si="0"/>
        <v>1.0309575913287803</v>
      </c>
      <c r="AL8" s="115">
        <f t="shared" ca="1" si="0"/>
        <v>1.0002561259192781</v>
      </c>
      <c r="AM8" s="115">
        <f t="shared" ca="1" si="0"/>
        <v>1.0012024691045918</v>
      </c>
      <c r="AN8" s="115">
        <f t="shared" ca="1" si="0"/>
        <v>1.0000788692774678</v>
      </c>
      <c r="AO8" s="115">
        <f t="shared" ca="1" si="0"/>
        <v>1.0005193169043585</v>
      </c>
      <c r="AP8" s="115">
        <f t="shared" ca="1" si="0"/>
        <v>1.2575070699691739</v>
      </c>
      <c r="AQ8" s="115">
        <f t="shared" ca="1" si="0"/>
        <v>1.1652026064033398</v>
      </c>
      <c r="AR8" s="115">
        <f t="shared" ca="1" si="0"/>
        <v>1.0619279378574713</v>
      </c>
      <c r="AS8" s="217"/>
    </row>
    <row r="9" spans="1:45" s="45" customFormat="1" ht="13.5" customHeight="1">
      <c r="A9" s="45" t="s">
        <v>219</v>
      </c>
      <c r="B9" s="115">
        <f ca="1">HLOOKUP(B$11,'1970=1 Infl Index'!$A$6:$BD$62,$B$7)</f>
        <v>1</v>
      </c>
      <c r="C9" s="115">
        <f ca="1">HLOOKUP(C$11,'1970=1 Infl Index'!$A$6:$BD$62,$B$7)</f>
        <v>1</v>
      </c>
      <c r="D9" s="115">
        <f ca="1">HLOOKUP(D$11,'1970=1 Infl Index'!$A$6:$BD$62,$B$7)</f>
        <v>1</v>
      </c>
      <c r="E9" s="115">
        <f ca="1">HLOOKUP(E$11,'1970=1 Infl Index'!$A$6:$BD$62,$B$7)</f>
        <v>1</v>
      </c>
      <c r="F9" s="115">
        <f ca="1">HLOOKUP(F$11,'1970=1 Infl Index'!$A$6:$BD$62,$B$7)</f>
        <v>1</v>
      </c>
      <c r="G9" s="115">
        <f ca="1">HLOOKUP(G$11,'1970=1 Infl Index'!$A$6:$BD$62,$B$7)</f>
        <v>1</v>
      </c>
      <c r="H9" s="115">
        <f ca="1">HLOOKUP(H$11,'1970=1 Infl Index'!$A$6:$BD$62,$B$7)</f>
        <v>1</v>
      </c>
      <c r="I9" s="115">
        <f ca="1">HLOOKUP(I$11,'1970=1 Infl Index'!$A$6:$BD$62,$B$7)</f>
        <v>1</v>
      </c>
      <c r="J9" s="115">
        <f ca="1">HLOOKUP(J$11,'1970=1 Infl Index'!$A$6:$BD$62,$B$7)</f>
        <v>1</v>
      </c>
      <c r="K9" s="115">
        <f ca="1">HLOOKUP(K$11,'1970=1 Infl Index'!$A$6:$BD$62,$B$7)</f>
        <v>1</v>
      </c>
      <c r="L9" s="115">
        <f ca="1">HLOOKUP(L$11,'1970=1 Infl Index'!$A$6:$BD$62,$B$7)</f>
        <v>1</v>
      </c>
      <c r="M9" s="115">
        <f ca="1">HLOOKUP(M$11,'1970=1 Infl Index'!$A$6:$BD$62,$B$7)</f>
        <v>1</v>
      </c>
      <c r="N9" s="115">
        <f ca="1">HLOOKUP(N$11,'1970=1 Infl Index'!$A$6:$BD$62,$B$7)</f>
        <v>1</v>
      </c>
      <c r="O9" s="115">
        <f ca="1">HLOOKUP(O$11,'1970=1 Infl Index'!$A$6:$BD$62,$B$7)</f>
        <v>1</v>
      </c>
      <c r="P9" s="115">
        <f ca="1">HLOOKUP(P$11,'1970=1 Infl Index'!$A$6:$BD$62,$B$7)</f>
        <v>1</v>
      </c>
      <c r="Q9" s="115">
        <f ca="1">HLOOKUP(Q$11,'1970=1 Infl Index'!$A$6:$BD$62,$B$7)</f>
        <v>1</v>
      </c>
      <c r="R9" s="115">
        <f ca="1">HLOOKUP(R$11,'1970=1 Infl Index'!$A$6:$BD$62,$B$7)</f>
        <v>1</v>
      </c>
      <c r="S9" s="115">
        <f ca="1">HLOOKUP(S$11,'1970=1 Infl Index'!$A$6:$BD$62,$B$7)</f>
        <v>1</v>
      </c>
      <c r="T9" s="115">
        <f ca="1">HLOOKUP(T$11,'1970=1 Infl Index'!$A$6:$BD$62,$B$7)</f>
        <v>1</v>
      </c>
      <c r="U9" s="115">
        <f ca="1">HLOOKUP(U$11,'1970=1 Infl Index'!$A$6:$BD$62,$B$7)</f>
        <v>1</v>
      </c>
      <c r="V9" s="115">
        <f ca="1">HLOOKUP(V$11,'1970=1 Infl Index'!$A$6:$BD$62,$B$7)</f>
        <v>1</v>
      </c>
      <c r="W9" s="115">
        <f ca="1">HLOOKUP(W$11,'1970=1 Infl Index'!$A$6:$BD$62,$B$7)</f>
        <v>1</v>
      </c>
      <c r="X9" s="115">
        <f ca="1">HLOOKUP(X$11,'1970=1 Infl Index'!$A$6:$BD$62,$B$7)</f>
        <v>1</v>
      </c>
      <c r="Y9" s="115">
        <f ca="1">HLOOKUP(Y$11,'1970=1 Infl Index'!$A$6:$BD$62,$B$7)</f>
        <v>1</v>
      </c>
      <c r="Z9" s="115">
        <f ca="1">HLOOKUP(Z$11,'1970=1 Infl Index'!$A$6:$BD$62,$B$7)</f>
        <v>1</v>
      </c>
      <c r="AA9" s="115">
        <f ca="1">HLOOKUP(AA$11,'1970=1 Infl Index'!$A$6:$BD$62,$B$7)</f>
        <v>1</v>
      </c>
      <c r="AB9" s="115">
        <f ca="1">HLOOKUP(AB$11,'1970=1 Infl Index'!$A$6:$BD$62,$B$7)</f>
        <v>1</v>
      </c>
      <c r="AC9" s="115">
        <f ca="1">HLOOKUP(AC$11,'1970=1 Infl Index'!$A$6:$BD$62,$B$7)</f>
        <v>1</v>
      </c>
      <c r="AD9" s="115">
        <f ca="1">HLOOKUP(AD$11,'1970=1 Infl Index'!$A$6:$BD$62,$B$7)</f>
        <v>1</v>
      </c>
      <c r="AE9" s="115">
        <f ca="1">HLOOKUP(AE$11,'1970=1 Infl Index'!$A$6:$BD$62,$B$7)</f>
        <v>1</v>
      </c>
      <c r="AF9" s="115">
        <f ca="1">HLOOKUP(AF$11,'1970=1 Infl Index'!$A$6:$BD$62,$B$7)</f>
        <v>1</v>
      </c>
      <c r="AG9" s="115">
        <f ca="1">HLOOKUP(AG$11,'1970=1 Infl Index'!$A$6:$BD$62,$B$7)</f>
        <v>1</v>
      </c>
      <c r="AH9" s="115">
        <f ca="1">HLOOKUP(AH$11,'1970=1 Infl Index'!$A$6:$BD$62,$B$7)</f>
        <v>1</v>
      </c>
      <c r="AI9" s="115">
        <f ca="1">HLOOKUP(AI$11,'1970=1 Infl Index'!$A$6:$BD$62,$B$7)</f>
        <v>1</v>
      </c>
      <c r="AJ9" s="115">
        <f ca="1">HLOOKUP(AJ$11,'1970=1 Infl Index'!$A$6:$BD$62,$B$7)</f>
        <v>1</v>
      </c>
      <c r="AK9" s="115">
        <f ca="1">HLOOKUP(AK$11,'1970=1 Infl Index'!$A$6:$BD$62,$B$7)</f>
        <v>1</v>
      </c>
      <c r="AL9" s="115">
        <f ca="1">HLOOKUP(AL$11,'1970=1 Infl Index'!$A$6:$BD$62,$B$7)</f>
        <v>1</v>
      </c>
      <c r="AM9" s="115">
        <f ca="1">HLOOKUP(AM$11,'1970=1 Infl Index'!$A$6:$BD$62,$B$7)</f>
        <v>1</v>
      </c>
      <c r="AN9" s="115">
        <f ca="1">HLOOKUP(AN$11,'1970=1 Infl Index'!$A$6:$BD$62,$B$7)</f>
        <v>1</v>
      </c>
      <c r="AO9" s="115">
        <f ca="1">HLOOKUP(AO$11,'1970=1 Infl Index'!$A$6:$BD$62,$B$7)</f>
        <v>1</v>
      </c>
      <c r="AP9" s="115">
        <f ca="1">HLOOKUP(AP$11,'1970=1 Infl Index'!$A$6:$BD$62,$B$7)</f>
        <v>1</v>
      </c>
      <c r="AQ9" s="115">
        <f ca="1">HLOOKUP(AQ$11,'1970=1 Infl Index'!$A$6:$BD$62,$B$7)</f>
        <v>1</v>
      </c>
      <c r="AR9" s="115">
        <f ca="1">HLOOKUP(AR$11,'1970=1 Infl Index'!$A$6:$BD$62,$B$7)</f>
        <v>1</v>
      </c>
      <c r="AS9" s="211"/>
    </row>
    <row r="10" spans="1:45" s="45" customFormat="1" ht="13.5" customHeight="1">
      <c r="A10" s="45" t="s">
        <v>217</v>
      </c>
      <c r="B10" s="45">
        <v>1</v>
      </c>
      <c r="C10" s="45">
        <f>+B10+1</f>
        <v>2</v>
      </c>
      <c r="D10" s="45">
        <f t="shared" ref="D10:O10" si="1">+C10+1</f>
        <v>3</v>
      </c>
      <c r="E10" s="45">
        <f t="shared" si="1"/>
        <v>4</v>
      </c>
      <c r="F10" s="45">
        <f t="shared" si="1"/>
        <v>5</v>
      </c>
      <c r="G10" s="45">
        <f t="shared" si="1"/>
        <v>6</v>
      </c>
      <c r="H10" s="45">
        <f t="shared" si="1"/>
        <v>7</v>
      </c>
      <c r="I10" s="45">
        <f t="shared" si="1"/>
        <v>8</v>
      </c>
      <c r="J10" s="45">
        <f t="shared" si="1"/>
        <v>9</v>
      </c>
      <c r="K10" s="45">
        <f t="shared" si="1"/>
        <v>10</v>
      </c>
      <c r="L10" s="45">
        <f t="shared" si="1"/>
        <v>11</v>
      </c>
      <c r="M10" s="45">
        <f t="shared" si="1"/>
        <v>12</v>
      </c>
      <c r="N10" s="45">
        <f t="shared" si="1"/>
        <v>13</v>
      </c>
      <c r="O10" s="45">
        <f t="shared" si="1"/>
        <v>14</v>
      </c>
      <c r="P10" s="45">
        <f t="shared" ref="P10:Z10" si="2">+O10+1</f>
        <v>15</v>
      </c>
      <c r="Q10" s="45">
        <f t="shared" si="2"/>
        <v>16</v>
      </c>
      <c r="R10" s="45">
        <f t="shared" si="2"/>
        <v>17</v>
      </c>
      <c r="S10" s="45">
        <f t="shared" si="2"/>
        <v>18</v>
      </c>
      <c r="T10" s="45">
        <f t="shared" si="2"/>
        <v>19</v>
      </c>
      <c r="U10" s="45">
        <f t="shared" si="2"/>
        <v>20</v>
      </c>
      <c r="V10" s="45">
        <f t="shared" si="2"/>
        <v>21</v>
      </c>
      <c r="W10" s="45">
        <f t="shared" si="2"/>
        <v>22</v>
      </c>
      <c r="X10" s="45">
        <f t="shared" si="2"/>
        <v>23</v>
      </c>
      <c r="Y10" s="45">
        <f t="shared" si="2"/>
        <v>24</v>
      </c>
      <c r="Z10" s="45">
        <f t="shared" si="2"/>
        <v>25</v>
      </c>
      <c r="AA10" s="45">
        <f t="shared" ref="AA10:AJ10" si="3">+Z10+1</f>
        <v>26</v>
      </c>
      <c r="AB10" s="45">
        <f t="shared" si="3"/>
        <v>27</v>
      </c>
      <c r="AC10" s="45">
        <f t="shared" si="3"/>
        <v>28</v>
      </c>
      <c r="AD10" s="45">
        <f t="shared" si="3"/>
        <v>29</v>
      </c>
      <c r="AE10" s="45">
        <f t="shared" si="3"/>
        <v>30</v>
      </c>
      <c r="AF10" s="45">
        <f t="shared" si="3"/>
        <v>31</v>
      </c>
      <c r="AG10" s="45">
        <f t="shared" si="3"/>
        <v>32</v>
      </c>
      <c r="AH10" s="45">
        <f t="shared" si="3"/>
        <v>33</v>
      </c>
      <c r="AI10" s="45">
        <f>+AH10+1</f>
        <v>34</v>
      </c>
      <c r="AJ10" s="45">
        <f t="shared" si="3"/>
        <v>35</v>
      </c>
      <c r="AK10" s="45">
        <f t="shared" ref="AK10:AP10" si="4">+AJ10+1</f>
        <v>36</v>
      </c>
      <c r="AL10" s="45">
        <f t="shared" si="4"/>
        <v>37</v>
      </c>
      <c r="AM10" s="45">
        <f t="shared" si="4"/>
        <v>38</v>
      </c>
      <c r="AN10" s="45">
        <f t="shared" si="4"/>
        <v>39</v>
      </c>
      <c r="AO10" s="45">
        <f t="shared" si="4"/>
        <v>40</v>
      </c>
      <c r="AP10" s="45">
        <f t="shared" si="4"/>
        <v>41</v>
      </c>
      <c r="AQ10" s="45">
        <f>+AP10+1</f>
        <v>42</v>
      </c>
      <c r="AR10" s="45">
        <f>+AQ10+1</f>
        <v>43</v>
      </c>
      <c r="AS10" s="143"/>
    </row>
    <row r="11" spans="1:45" s="45" customFormat="1" ht="13.5" customHeight="1">
      <c r="A11" s="45" t="s">
        <v>216</v>
      </c>
      <c r="B11" s="169">
        <f>LOOKUP(B10,Titles!$A$11:$A$56,Titles!$C$11:$C$56)</f>
        <v>4</v>
      </c>
      <c r="C11" s="169">
        <f>LOOKUP(C10,Titles!$A$11:$A$56,Titles!$C$11:$C$56)</f>
        <v>20</v>
      </c>
      <c r="D11" s="169">
        <f>LOOKUP(D10,Titles!$A$11:$A$56,Titles!$C$11:$C$56)</f>
        <v>38</v>
      </c>
      <c r="E11" s="169">
        <f>LOOKUP(E10,Titles!$A$11:$A$56,Titles!$C$11:$C$56)</f>
        <v>26</v>
      </c>
      <c r="F11" s="169">
        <f>LOOKUP(F10,Titles!$A$11:$A$56,Titles!$C$11:$C$56)</f>
        <v>33</v>
      </c>
      <c r="G11" s="169">
        <f>LOOKUP(G10,Titles!$A$11:$A$56,Titles!$C$11:$C$56)</f>
        <v>23</v>
      </c>
      <c r="H11" s="169">
        <f>LOOKUP(H10,Titles!$A$11:$A$56,Titles!$C$11:$C$56)</f>
        <v>22</v>
      </c>
      <c r="I11" s="169">
        <f>LOOKUP(I10,Titles!$A$11:$A$56,Titles!$C$11:$C$56)</f>
        <v>49</v>
      </c>
      <c r="J11" s="169">
        <f>LOOKUP(J10,Titles!$A$11:$A$56,Titles!$C$11:$C$56)</f>
        <v>27</v>
      </c>
      <c r="K11" s="169">
        <f>LOOKUP(K10,Titles!$A$11:$A$56,Titles!$C$11:$C$56)</f>
        <v>9</v>
      </c>
      <c r="L11" s="169">
        <f>LOOKUP(L10,Titles!$A$11:$A$56,Titles!$C$11:$C$56)</f>
        <v>51</v>
      </c>
      <c r="M11" s="169">
        <f>LOOKUP(M10,Titles!$A$11:$A$56,Titles!$C$11:$C$56)</f>
        <v>42</v>
      </c>
      <c r="N11" s="169">
        <f>LOOKUP(N10,Titles!$A$11:$A$56,Titles!$C$11:$C$56)</f>
        <v>2</v>
      </c>
      <c r="O11" s="169">
        <f>LOOKUP(O10,Titles!$A$11:$A$56,Titles!$C$11:$C$56)</f>
        <v>28</v>
      </c>
      <c r="P11" s="169">
        <f>LOOKUP(P10,Titles!$A$11:$A$56,Titles!$C$11:$C$56)</f>
        <v>52</v>
      </c>
      <c r="Q11" s="169">
        <f>LOOKUP(Q10,Titles!$A$11:$A$56,Titles!$C$11:$C$56)</f>
        <v>19</v>
      </c>
      <c r="R11" s="169">
        <f>LOOKUP(R10,Titles!$A$11:$A$56,Titles!$C$11:$C$56)</f>
        <v>46</v>
      </c>
      <c r="S11" s="169">
        <f>LOOKUP(S10,Titles!$A$11:$A$56,Titles!$C$11:$C$56)</f>
        <v>11</v>
      </c>
      <c r="T11" s="169">
        <f>LOOKUP(T10,Titles!$A$11:$A$56,Titles!$C$11:$C$56)</f>
        <v>13</v>
      </c>
      <c r="U11" s="169">
        <f>LOOKUP(U10,Titles!$A$11:$A$56,Titles!$C$11:$C$56)</f>
        <v>10</v>
      </c>
      <c r="V11" s="169">
        <f>LOOKUP(V10,Titles!$A$11:$A$56,Titles!$C$11:$C$56)</f>
        <v>39</v>
      </c>
      <c r="W11" s="169">
        <f>LOOKUP(W10,Titles!$A$11:$A$56,Titles!$C$11:$C$56)</f>
        <v>54</v>
      </c>
      <c r="X11" s="169">
        <f>LOOKUP(X10,Titles!$A$11:$A$56,Titles!$C$11:$C$56)</f>
        <v>15</v>
      </c>
      <c r="Y11" s="169">
        <f>LOOKUP(Y10,Titles!$A$11:$A$56,Titles!$C$11:$C$56)</f>
        <v>55</v>
      </c>
      <c r="Z11" s="169">
        <f>LOOKUP(Z10,Titles!$A$11:$A$56,Titles!$C$11:$C$56)</f>
        <v>44</v>
      </c>
      <c r="AA11" s="169">
        <f>LOOKUP(AA10,Titles!$A$11:$A$56,Titles!$C$11:$C$56)</f>
        <v>3</v>
      </c>
      <c r="AB11" s="169">
        <f>LOOKUP(AB10,Titles!$A$11:$A$56,Titles!$C$11:$C$56)</f>
        <v>45</v>
      </c>
      <c r="AC11" s="169">
        <f>LOOKUP(AC10,Titles!$A$11:$A$56,Titles!$C$11:$C$56)</f>
        <v>48</v>
      </c>
      <c r="AD11" s="169">
        <f>LOOKUP(AD10,Titles!$A$11:$A$56,Titles!$C$11:$C$56)</f>
        <v>29</v>
      </c>
      <c r="AE11" s="169">
        <f>LOOKUP(AE10,Titles!$A$11:$A$56,Titles!$C$11:$C$56)</f>
        <v>6</v>
      </c>
      <c r="AF11" s="169">
        <f>LOOKUP(AF10,Titles!$A$11:$A$56,Titles!$C$11:$C$56)</f>
        <v>21</v>
      </c>
      <c r="AG11" s="169">
        <f>LOOKUP(AG10,Titles!$A$11:$A$56,Titles!$C$11:$C$56)</f>
        <v>16</v>
      </c>
      <c r="AH11" s="169">
        <f>LOOKUP(AH10,Titles!$A$11:$A$56,Titles!$C$11:$C$56)</f>
        <v>40</v>
      </c>
      <c r="AI11" s="169">
        <f>LOOKUP(AI10,Titles!$A$11:$A$56,Titles!$C$11:$C$56)</f>
        <v>43</v>
      </c>
      <c r="AJ11" s="169">
        <f>LOOKUP(AJ10,Titles!$A$11:$A$56,Titles!$C$11:$C$56)</f>
        <v>41</v>
      </c>
      <c r="AK11" s="169">
        <f>LOOKUP(AK10,Titles!$A$11:$A$56,Titles!$C$11:$C$56)</f>
        <v>1</v>
      </c>
      <c r="AL11" s="169">
        <f>LOOKUP(AL10,Titles!$A$11:$A$56,Titles!$C$11:$C$56)</f>
        <v>53</v>
      </c>
      <c r="AM11" s="169">
        <f>LOOKUP(AM10,Titles!$A$11:$A$56,Titles!$C$11:$C$56)</f>
        <v>36</v>
      </c>
      <c r="AN11" s="169">
        <f>LOOKUP(AN10,Titles!$A$11:$A$56,Titles!$C$11:$C$56)</f>
        <v>47</v>
      </c>
      <c r="AO11" s="169">
        <f>LOOKUP(AO10,Titles!$A$11:$A$56,Titles!$C$11:$C$56)</f>
        <v>32</v>
      </c>
      <c r="AP11" s="169">
        <f>LOOKUP(AP10,Titles!$A$11:$A$56,Titles!$C$11:$C$56)</f>
        <v>7</v>
      </c>
      <c r="AQ11" s="169">
        <f>LOOKUP(AQ10,Titles!$A$11:$A$56,Titles!$C$11:$C$56)</f>
        <v>8</v>
      </c>
      <c r="AR11" s="169">
        <f>LOOKUP(AR10,Titles!$A$11:$A$56,Titles!$C$11:$C$56)</f>
        <v>5</v>
      </c>
      <c r="AS11" s="212"/>
    </row>
    <row r="12" spans="1:45" s="127" customFormat="1" ht="25.5" customHeight="1">
      <c r="B12" s="119" t="str">
        <f>LOOKUP(B10,Titles!$A$11:$A$56,Titles!$D$11:$D$56)</f>
        <v>APN</v>
      </c>
      <c r="C12" s="119" t="str">
        <f>LOOKUP(C10,Titles!$A$11:$A$56,Titles!$D$11:$D$56)</f>
        <v>BRAC</v>
      </c>
      <c r="D12" s="119" t="str">
        <f>LOOKUP(D10,Titles!$A$11:$A$56,Titles!$D$11:$D$56)</f>
        <v>BRAC ER</v>
      </c>
      <c r="E12" s="119" t="str">
        <f>LOOKUP(E10,Titles!$A$11:$A$56,Titles!$D$11:$D$56)</f>
        <v>Civ Pay*</v>
      </c>
      <c r="F12" s="119" t="str">
        <f>LOOKUP(F10,Titles!$A$11:$A$56,Titles!$D$11:$D$56)</f>
        <v>ENV  REST</v>
      </c>
      <c r="G12" s="119" t="str">
        <f>LOOKUP(G10,Titles!$A$11:$A$56,Titles!$D$11:$D$56)</f>
        <v>FH (Con) Purch</v>
      </c>
      <c r="H12" s="119" t="str">
        <f>LOOKUP(H10,Titles!$A$11:$A$56,Titles!$D$11:$D$56)</f>
        <v>FH (Ops) Purch</v>
      </c>
      <c r="I12" s="119" t="str">
        <f>LOOKUP(I10,Titles!$A$11:$A$56,Titles!$D$11:$D$56)</f>
        <v>FH Con COMP</v>
      </c>
      <c r="J12" s="119" t="str">
        <f>LOOKUP(J10,Titles!$A$11:$A$56,Titles!$D$11:$D$56)</f>
        <v>Fuel*</v>
      </c>
      <c r="K12" s="119" t="str">
        <f>LOOKUP(K10,Titles!$A$11:$A$56,Titles!$D$11:$D$56)</f>
        <v>Mil Pay*</v>
      </c>
      <c r="L12" s="119" t="str">
        <f>LOOKUP(L10,Titles!$A$11:$A$56,Titles!$D$11:$D$56)</f>
        <v>Milcon COMP</v>
      </c>
      <c r="M12" s="119" t="str">
        <f>LOOKUP(M10,Titles!$A$11:$A$56,Titles!$D$11:$D$56)</f>
        <v>Milcon DoD</v>
      </c>
      <c r="N12" s="119" t="str">
        <f>LOOKUP(N10,Titles!$A$11:$A$56,Titles!$D$11:$D$56)</f>
        <v>Milcon Purch</v>
      </c>
      <c r="O12" s="119" t="str">
        <f>LOOKUP(O10,Titles!$A$11:$A$56,Titles!$D$11:$D$56)</f>
        <v>Milcon Res Purch</v>
      </c>
      <c r="P12" s="119" t="str">
        <f>LOOKUP(P10,Titles!$A$11:$A$56,Titles!$D$11:$D$56)</f>
        <v>MPMC COMP</v>
      </c>
      <c r="Q12" s="119" t="str">
        <f>LOOKUP(Q10,Titles!$A$11:$A$56,Titles!$D$11:$D$56)</f>
        <v>MPMC Non-pay</v>
      </c>
      <c r="R12" s="119" t="str">
        <f>LOOKUP(R10,Titles!$A$11:$A$56,Titles!$D$11:$D$56)</f>
        <v>MPN COMP</v>
      </c>
      <c r="S12" s="119" t="str">
        <f>LOOKUP(S10,Titles!$A$11:$A$56,Titles!$D$11:$D$56)</f>
        <v>MPN Non-pay</v>
      </c>
      <c r="T12" s="119" t="str">
        <f>LOOKUP(T10,Titles!$A$11:$A$56,Titles!$D$11:$D$56)</f>
        <v>NDSF</v>
      </c>
      <c r="U12" s="119" t="str">
        <f>LOOKUP(U10,Titles!$A$11:$A$56,Titles!$D$11:$D$56)</f>
        <v>NDSF  (BLS HIST)</v>
      </c>
      <c r="V12" s="119" t="str">
        <f>LOOKUP(V10,Titles!$A$11:$A$56,Titles!$D$11:$D$56)</f>
        <v>O&amp;M, DoD</v>
      </c>
      <c r="W12" s="119" t="str">
        <f>LOOKUP(W10,Titles!$A$11:$A$56,Titles!$D$11:$D$56)</f>
        <v>O&amp;M  MC COMP</v>
      </c>
      <c r="X12" s="119" t="str">
        <f>LOOKUP(X10,Titles!$A$11:$A$56,Titles!$D$11:$D$56)</f>
        <v>O&amp;M  MC Purch</v>
      </c>
      <c r="Y12" s="119" t="str">
        <f>LOOKUP(Y10,Titles!$A$11:$A$56,Titles!$D$11:$D$56)</f>
        <v>O&amp;M  MCR COMP</v>
      </c>
      <c r="Z12" s="119" t="str">
        <f>LOOKUP(Z10,Titles!$A$11:$A$56,Titles!$D$11:$D$56)</f>
        <v>O&amp;MN COMP</v>
      </c>
      <c r="AA12" s="119" t="str">
        <f>LOOKUP(AA10,Titles!$A$11:$A$56,Titles!$D$11:$D$56)</f>
        <v>O&amp;MN Purch</v>
      </c>
      <c r="AB12" s="119" t="str">
        <f>LOOKUP(AB10,Titles!$A$11:$A$56,Titles!$D$11:$D$56)</f>
        <v>O&amp;MN/LF COMP</v>
      </c>
      <c r="AC12" s="119" t="str">
        <f>LOOKUP(AC10,Titles!$A$11:$A$56,Titles!$D$11:$D$56)</f>
        <v>O&amp;MNR COMP</v>
      </c>
      <c r="AD12" s="119" t="str">
        <f>LOOKUP(AD10,Titles!$A$11:$A$56,Titles!$D$11:$D$56)</f>
        <v>O&amp;MNR Purch</v>
      </c>
      <c r="AE12" s="119" t="str">
        <f>LOOKUP(AE10,Titles!$A$11:$A$56,Titles!$D$11:$D$56)</f>
        <v>OPN</v>
      </c>
      <c r="AF12" s="119" t="str">
        <f>LOOKUP(AF10,Titles!$A$11:$A$56,Titles!$D$11:$D$56)</f>
        <v>PAN   MC</v>
      </c>
      <c r="AG12" s="119" t="str">
        <f>LOOKUP(AG10,Titles!$A$11:$A$56,Titles!$D$11:$D$56)</f>
        <v>PMC</v>
      </c>
      <c r="AH12" s="119" t="str">
        <f>LOOKUP(AH10,Titles!$A$11:$A$56,Titles!$D$11:$D$56)</f>
        <v>PROC DoD</v>
      </c>
      <c r="AI12" s="119" t="str">
        <f>LOOKUP(AI10,Titles!$A$11:$A$56,Titles!$D$11:$D$56)</f>
        <v>RDTEN COMP</v>
      </c>
      <c r="AJ12" s="119" t="str">
        <f>LOOKUP(AJ10,Titles!$A$11:$A$56,Titles!$D$11:$D$56)</f>
        <v>RDTE DoD</v>
      </c>
      <c r="AK12" s="119" t="str">
        <f>LOOKUP(AK10,Titles!$A$11:$A$56,Titles!$D$11:$D$56)</f>
        <v>RDTEN Purch</v>
      </c>
      <c r="AL12" s="119" t="str">
        <f>LOOKUP(AL10,Titles!$A$11:$A$56,Titles!$D$11:$D$56)</f>
        <v>RPMC COMP</v>
      </c>
      <c r="AM12" s="119" t="str">
        <f>LOOKUP(AM10,Titles!$A$11:$A$56,Titles!$D$11:$D$56)</f>
        <v>RPMC Non-pay</v>
      </c>
      <c r="AN12" s="119" t="str">
        <f>LOOKUP(AN10,Titles!$A$11:$A$56,Titles!$D$11:$D$56)</f>
        <v>RPN COMP</v>
      </c>
      <c r="AO12" s="119" t="str">
        <f>LOOKUP(AO10,Titles!$A$11:$A$56,Titles!$D$11:$D$56)</f>
        <v>RPN Non-pay</v>
      </c>
      <c r="AP12" s="119" t="str">
        <f>LOOKUP(AP10,Titles!$A$11:$A$56,Titles!$D$11:$D$56)</f>
        <v>SCN</v>
      </c>
      <c r="AQ12" s="210" t="str">
        <f>LOOKUP(AQ10,Titles!$A$11:$A$56,Titles!$D$11:$D$56)</f>
        <v>SCN (BLS HIST)</v>
      </c>
      <c r="AR12" s="119" t="str">
        <f>LOOKUP(AR10,Titles!$A$11:$A$56,Titles!$D$11:$D$56)</f>
        <v>WPN</v>
      </c>
    </row>
    <row r="13" spans="1:45" s="122" customFormat="1">
      <c r="A13" s="126">
        <v>1970</v>
      </c>
      <c r="B13" s="120">
        <f ca="1">IF($J$7=1,HLOOKUP(B$11,index1970,Query!$O48)/B$9,IF($J$7=2,HLOOKUP(B$11,index1970,Query!$O48)/B$9 * HLOOKUP(B$11,comboutfac,Query!$O48),HLOOKUP(B$11,index1970,Query!$O48)/B$9 * HLOOKUP(B$11,comboutfac,Query!$O48) /B$8))</f>
        <v>1.0571215841233979</v>
      </c>
      <c r="C13" s="120">
        <f ca="1">IF($J$7=1,HLOOKUP(C$11,index1970,Query!$O48)/C$9,IF($J$7=2,HLOOKUP(C$11,index1970,Query!$O48)/C$9 * HLOOKUP(C$11,comboutfac,Query!$O48),HLOOKUP(C$11,index1970,Query!$O48)/C$9 * HLOOKUP(C$11,comboutfac,Query!$O48) /C$8))</f>
        <v>1.1573757754540852</v>
      </c>
      <c r="D13" s="120">
        <f ca="1">IF($J$7=1,HLOOKUP(D$11,index1970,Query!$O48)/D$9,IF($J$7=2,HLOOKUP(D$11,index1970,Query!$O48)/D$9 * HLOOKUP(D$11,comboutfac,Query!$O48),HLOOKUP(D$11,index1970,Query!$O48)/D$9 * HLOOKUP(D$11,comboutfac,Query!$O48) /D$8))</f>
        <v>1.0249728836958854</v>
      </c>
      <c r="E13" s="120">
        <f ca="1">IF($J$7=1,HLOOKUP(E$11,index1970,Query!$O48)/E$9,IF($J$7=2,HLOOKUP(E$11,index1970,Query!$O48)/E$9 * HLOOKUP(E$11,comboutfac,Query!$O48),HLOOKUP(E$11,index1970,Query!$O48)/E$9 * HLOOKUP(E$11,comboutfac,Query!$O48) /E$8))</f>
        <v>1</v>
      </c>
      <c r="F13" s="120">
        <f ca="1">IF($J$7=1,HLOOKUP(F$11,index1970,Query!$O48)/F$9,IF($J$7=2,HLOOKUP(F$11,index1970,Query!$O48)/F$9 * HLOOKUP(F$11,comboutfac,Query!$O48),HLOOKUP(F$11,index1970,Query!$O48)/F$9 * HLOOKUP(F$11,comboutfac,Query!$O48) /F$8))</f>
        <v>1.1573757754540852</v>
      </c>
      <c r="G13" s="120">
        <f ca="1">IF($J$7=1,HLOOKUP(G$11,index1970,Query!$O48)/G$9,IF($J$7=2,HLOOKUP(G$11,index1970,Query!$O48)/G$9 * HLOOKUP(G$11,comboutfac,Query!$O48),HLOOKUP(G$11,index1970,Query!$O48)/G$9 * HLOOKUP(G$11,comboutfac,Query!$O48) /G$8))</f>
        <v>1.0883073686216955</v>
      </c>
      <c r="H13" s="120">
        <f ca="1">CHOOSE($J$7,
HLOOKUP(H$11,index1970,Query!$O48)/H$9,
HLOOKUP(H$11,index1970,Query!$O48)/H$9 * HLOOKUP(H$11,comboutfac,Query!$O48),
HLOOKUP(H$11,index1970,Query!$O48)/H$9 * HLOOKUP(H$11,comboutfac,Query!$O48) /H$8
)</f>
        <v>1.0205366690644104</v>
      </c>
      <c r="I13" s="120">
        <f ca="1">CHOOSE($J$7,
HLOOKUP(I$11,index1970,Query!$O48)/HLOOKUP(I$11,'1970=1 Infl Index'!$A$6:$BD$62,$B$7),
HLOOKUP(I$11,index1970,Query!$O48)/HLOOKUP(I$11,'1970=1 Infl Index'!$A$6:$BD$62,$B$7) * HLOOKUP(I$11,comboutfac,Query!$O48),
)</f>
        <v>1.0176615353953928</v>
      </c>
      <c r="J13" s="120">
        <f ca="1">CHOOSE($J$7,
HLOOKUP(J$11,index1970,Query!$O48)/J$9,
HLOOKUP(J$11,index1970,Query!$O48)/J$9 * HLOOKUP(J$11,comboutfac,Query!$O48),
HLOOKUP(J$11,index1970,Query!$O48)/J$9 * HLOOKUP(J$11,comboutfac,Query!$O48) /J$8
)</f>
        <v>1</v>
      </c>
      <c r="K13" s="120">
        <f ca="1">CHOOSE($J$7,
HLOOKUP(K$11,index1970,Query!$O48)/K$9,
HLOOKUP(K$11,index1970,Query!$O48)/K$9 * HLOOKUP(K$11,comboutfac,Query!$O48),
HLOOKUP(K$11,index1970,Query!$O48)/K$9 * HLOOKUP(K$11,comboutfac,Query!$O48) /K$8
)</f>
        <v>1</v>
      </c>
      <c r="L13" s="120">
        <f ca="1">CHOOSE($J$7,
HLOOKUP(L$11,index1970,Query!$O48)/L$9,
HLOOKUP(L$11,index1970,Query!$O48)/L$9 * HLOOKUP(L$11,comboutfac,Query!$O48),
HLOOKUP(L$11,index1970,Query!$O48)/L$9 * HLOOKUP(L$11,comboutfac,Query!$O48) /L$8
)</f>
        <v>1.1460708809908955</v>
      </c>
      <c r="M13" s="120">
        <f ca="1">CHOOSE($J$7,
HLOOKUP(M$11,index1970,Query!$O48)/M$9,
HLOOKUP(M$11,index1970,Query!$O48)/M$9 * HLOOKUP(M$11,comboutfac,Query!$O48),
HLOOKUP(M$11,index1970,Query!$O48)/M$9 * HLOOKUP(M$11,comboutfac,Query!$O48) /M$8
)</f>
        <v>1.0240642854420736</v>
      </c>
      <c r="N13" s="120">
        <f ca="1">IF($J$7=1,HLOOKUP(N$11,index1970,Query!$O48)/N$9,IF($J$7=2,HLOOKUP(N$11,index1970,Query!$O48)/N$9 * HLOOKUP(N$11,comboutfac,Query!$O48),HLOOKUP(N$11,index1970,Query!$O48)/N$9 * HLOOKUP(N$11,comboutfac,Query!$O48) /N$8))</f>
        <v>1.1573757754540852</v>
      </c>
      <c r="O13" s="120">
        <f ca="1">IF($J$7=1,HLOOKUP(O$11,index1970,Query!$O48)/O$9,IF($J$7=2,HLOOKUP(O$11,index1970,Query!$O48)/O$9 * HLOOKUP(O$11,comboutfac,Query!$O48),HLOOKUP(O$11,index1970,Query!$O48)/O$9 * HLOOKUP(O$11,comboutfac,Query!$O48) /O$8))</f>
        <v>1.1573757754540852</v>
      </c>
      <c r="P13" s="120">
        <f ca="1">IF($J$7=1,HLOOKUP(P$11,index1970,Query!$O48)/P$9,IF($J$7=2,HLOOKUP(P$11,index1970,Query!$O48)/P$9 * HLOOKUP(P$11,comboutfac,Query!$O48),HLOOKUP(P$11,index1970,Query!$O48)/P$9 * HLOOKUP(P$11,comboutfac,Query!$O48) /P$8))</f>
        <v>1.0000793629609031</v>
      </c>
      <c r="Q13" s="120">
        <f ca="1">IF($J$7=1,HLOOKUP(Q$11,index1970,Query!$O48)/Q$9,IF($J$7=2,HLOOKUP(Q$11,index1970,Query!$O48)/Q$9 * HLOOKUP(Q$11,comboutfac,Query!$O48),HLOOKUP(Q$11,index1970,Query!$O48)/Q$9 * HLOOKUP(Q$11,comboutfac,Query!$O48) /Q$8))</f>
        <v>1.0012024691045918</v>
      </c>
      <c r="R13" s="120">
        <f ca="1">IF($J$7=1,HLOOKUP(R$11,index1970,Query!$O48)/R$9,IF($J$7=2,HLOOKUP(R$11,index1970,Query!$O48)/R$9 * HLOOKUP(R$11,comboutfac,Query!$O48),HLOOKUP(R$11,index1970,Query!$O48)/R$9 * HLOOKUP(R$11,comboutfac,Query!$O48) /R$8))</f>
        <v>1.0000929057941899</v>
      </c>
      <c r="S13" s="120">
        <f ca="1">IF($J$7=1,HLOOKUP(S$11,index1970,Query!$O48)/S$9,IF($J$7=2,HLOOKUP(S$11,index1970,Query!$O48)/S$9 * HLOOKUP(S$11,comboutfac,Query!$O48),HLOOKUP(S$11,index1970,Query!$O48)/S$9 * HLOOKUP(S$11,comboutfac,Query!$O48) /S$8))</f>
        <v>1.0005193169043585</v>
      </c>
      <c r="T13" s="120">
        <f ca="1">IF($J$7=1,HLOOKUP(T$11,index1970,Query!$O48)/T$9,IF($J$7=2,HLOOKUP(T$11,index1970,Query!$O48)/T$9 * HLOOKUP(T$11,comboutfac,Query!$O48),HLOOKUP(T$11,index1970,Query!$O48)/T$9 * HLOOKUP(T$11,comboutfac,Query!$O48) /T$8))</f>
        <v>1.0199005812118678</v>
      </c>
      <c r="U13" s="120">
        <f ca="1">IF($J$7=1,HLOOKUP(U$11,index1970,Query!$O48)/U$9,IF($J$7=2,HLOOKUP(U$11,index1970,Query!$O48)/U$9 * HLOOKUP(U$11,comboutfac,Query!$O48),HLOOKUP(U$11,index1970,Query!$O48)/U$9 * HLOOKUP(U$11,comboutfac,Query!$O48) /U$8))</f>
        <v>1.1652026064033398</v>
      </c>
      <c r="V13" s="120">
        <f ca="1">IF($J$7=1,HLOOKUP(V$11,index1970,Query!$O48)/V$9,IF($J$7=2,HLOOKUP(V$11,index1970,Query!$O48)/V$9 * HLOOKUP(V$11,comboutfac,Query!$O48),HLOOKUP(V$11,index1970,Query!$O48)/V$9 * HLOOKUP(V$11,comboutfac,Query!$O48) /V$8))</f>
        <v>1.0108601638410164</v>
      </c>
      <c r="W13" s="120">
        <f ca="1">IF($J$7=1,HLOOKUP(W$11,index1970,Query!$O48)/W$9,IF($J$7=2,HLOOKUP(W$11,index1970,Query!$O48)/W$9 * HLOOKUP(W$11,comboutfac,Query!$O48),HLOOKUP(W$11,index1970,Query!$O48)/W$9 * HLOOKUP(W$11,comboutfac,Query!$O48) /W$8))</f>
        <v>1.0057936603446134</v>
      </c>
      <c r="X13" s="120">
        <f ca="1">IF($J$7=1,HLOOKUP(X$11,index1970,Query!$O48)/X$9,IF($J$7=2,HLOOKUP(X$11,index1970,Query!$O48)/X$9 * HLOOKUP(X$11,comboutfac,Query!$O48),HLOOKUP(X$11,index1970,Query!$O48)/X$9 * HLOOKUP(X$11,comboutfac,Query!$O48) /X$8))</f>
        <v>1.0080467504786299</v>
      </c>
      <c r="Y13" s="120">
        <f ca="1">IF($J$7=1,HLOOKUP(Y$11,index1970,Query!$O48)/Y$9,IF($J$7=2,HLOOKUP(Y$11,index1970,Query!$O48)/Y$9 * HLOOKUP(Y$11,comboutfac,Query!$O48),HLOOKUP(Y$11,index1970,Query!$O48)/Y$9 * HLOOKUP(Y$11,comboutfac,Query!$O48) /Y$8))</f>
        <v>1.0071213741735874</v>
      </c>
      <c r="Z13" s="120">
        <f ca="1">IF($J$7=1,HLOOKUP(Z$11,index1970,Query!$O48)/Z$9,IF($J$7=2,HLOOKUP(Z$11,index1970,Query!$O48)/Z$9 * HLOOKUP(Z$11,comboutfac,Query!$O48),HLOOKUP(Z$11,index1970,Query!$O48)/Z$9 * HLOOKUP(Z$11,comboutfac,Query!$O48) /Z$8))</f>
        <v>1.0033587136497801</v>
      </c>
      <c r="AA13" s="120">
        <f ca="1">IF($J$7=1,HLOOKUP(AA$11,index1970,Query!$O48)/AA$9,IF($J$7=2,HLOOKUP(AA$11,index1970,Query!$O48)/AA$9 * HLOOKUP(AA$11,comboutfac,Query!$O48),HLOOKUP(AA$11,index1970,Query!$O48)/AA$9 * HLOOKUP(AA$11,comboutfac,Query!$O48) /AA$8))</f>
        <v>1.0080467504786299</v>
      </c>
      <c r="AB13" s="120">
        <f ca="1">IF($J$7=1,HLOOKUP(AB$11,index1970,Query!$O48)/AB$9,IF($J$7=2,HLOOKUP(AB$11,index1970,Query!$O48)/AB$9 * HLOOKUP(AB$11,comboutfac,Query!$O48),HLOOKUP(AB$11,index1970,Query!$O48)/AB$9 * HLOOKUP(AB$11,comboutfac,Query!$O48) /AB$8))</f>
        <v>1.0040491248408465</v>
      </c>
      <c r="AC13" s="120">
        <f ca="1">IF($J$7=1,HLOOKUP(AC$11,index1970,Query!$O48)/AC$9,IF($J$7=2,HLOOKUP(AC$11,index1970,Query!$O48)/AC$9 * HLOOKUP(AC$11,comboutfac,Query!$O48),HLOOKUP(AC$11,index1970,Query!$O48)/AC$9 * HLOOKUP(AC$11,comboutfac,Query!$O48) /AC$8))</f>
        <v>1.0109075312091758</v>
      </c>
      <c r="AD13" s="120">
        <f ca="1">IF($J$7=1,HLOOKUP(AD$11,index1970,Query!$O48)/AD$9,IF($J$7=2,HLOOKUP(AD$11,index1970,Query!$O48)/AD$9 * HLOOKUP(AD$11,comboutfac,Query!$O48),HLOOKUP(AD$11,index1970,Query!$O48)/AD$9 * HLOOKUP(AD$11,comboutfac,Query!$O48) /AD$8))</f>
        <v>1.0149858735863422</v>
      </c>
      <c r="AE13" s="120">
        <f ca="1">IF($J$7=1,HLOOKUP(AE$11,index1970,Query!$O48)/AE$9,IF($J$7=2,HLOOKUP(AE$11,index1970,Query!$O48)/AE$9 * HLOOKUP(AE$11,comboutfac,Query!$O48),HLOOKUP(AE$11,index1970,Query!$O48)/AE$9 * HLOOKUP(AE$11,comboutfac,Query!$O48) /AE$8))</f>
        <v>1.0617723417217002</v>
      </c>
      <c r="AF13" s="120">
        <f ca="1">IF($J$7=1,HLOOKUP(AF$11,index1970,Query!$O48)/AF$9,IF($J$7=2,HLOOKUP(AF$11,index1970,Query!$O48)/AF$9 * HLOOKUP(AF$11,comboutfac,Query!$O48),HLOOKUP(AF$11,index1970,Query!$O48)/AF$9 * HLOOKUP(AF$11,comboutfac,Query!$O48) /AF$8))</f>
        <v>1.099290126033144</v>
      </c>
      <c r="AG13" s="120">
        <f ca="1">IF($J$7=1,HLOOKUP(AG$11,index1970,Query!$O48)/AG$9,IF($J$7=2,HLOOKUP(AG$11,index1970,Query!$O48)/AG$9 * HLOOKUP(AG$11,comboutfac,Query!$O48),HLOOKUP(AG$11,index1970,Query!$O48)/AG$9 * HLOOKUP(AG$11,comboutfac,Query!$O48) /AG$8))</f>
        <v>1.0617723417217002</v>
      </c>
      <c r="AH13" s="120">
        <f ca="1">IF($J$7=1,HLOOKUP(AH$11,index1970,Query!$O48)/AH$9,IF($J$7=2,HLOOKUP(AH$11,index1970,Query!$O48)/AH$9 * HLOOKUP(AH$11,comboutfac,Query!$O48),HLOOKUP(AH$11,index1970,Query!$O48)/AH$9 * HLOOKUP(AH$11,comboutfac,Query!$O48) /AH$8))</f>
        <v>1.0240642854420736</v>
      </c>
      <c r="AI13" s="120">
        <f ca="1">IF($J$7=1,HLOOKUP(AI$11,index1970,Query!$O48)/AI$9,IF($J$7=2,HLOOKUP(AI$11,index1970,Query!$O48)/AI$9 * HLOOKUP(AI$11,comboutfac,Query!$O48),HLOOKUP(AI$11,index1970,Query!$O48)/AI$9 * HLOOKUP(AI$11,comboutfac,Query!$O48) /AI$8))</f>
        <v>1.0274129471216349</v>
      </c>
      <c r="AJ13" s="120">
        <f ca="1">IF($J$7=1,HLOOKUP(AJ$11,index1970,Query!$O48)/AJ$9,IF($J$7=2,HLOOKUP(AJ$11,index1970,Query!$O48)/AJ$9 * HLOOKUP(AJ$11,comboutfac,Query!$O48),HLOOKUP(AJ$11,index1970,Query!$O48)/AJ$9 * HLOOKUP(AJ$11,comboutfac,Query!$O48) /AJ$8))</f>
        <v>1.0240642854420736</v>
      </c>
      <c r="AK13" s="120">
        <f ca="1">IF($J$7=1,HLOOKUP(AK$11,index1970,Query!$O48)/AK$9,IF($J$7=2,HLOOKUP(AK$11,index1970,Query!$O48)/AK$9 * HLOOKUP(AK$11,comboutfac,Query!$O48),HLOOKUP(AK$11,index1970,Query!$O48)/AK$9 * HLOOKUP(AK$11,comboutfac,Query!$O48) /AK$8))</f>
        <v>1.0309575913287803</v>
      </c>
      <c r="AL13" s="120">
        <f ca="1">IF($J$7=1,HLOOKUP(AL$11,index1970,Query!$O48)/AL$9,IF($J$7=2,HLOOKUP(AL$11,index1970,Query!$O48)/AL$9 * HLOOKUP(AL$11,comboutfac,Query!$O48),HLOOKUP(AL$11,index1970,Query!$O48)/AL$9 * HLOOKUP(AL$11,comboutfac,Query!$O48) /AL$8))</f>
        <v>1.0002561259192781</v>
      </c>
      <c r="AM13" s="120">
        <f ca="1">IF($J$7=1,HLOOKUP(AM$11,index1970,Query!$O48)/AM$9,IF($J$7=2,HLOOKUP(AM$11,index1970,Query!$O48)/AM$9 * HLOOKUP(AM$11,comboutfac,Query!$O48),HLOOKUP(AM$11,index1970,Query!$O48)/AM$9 * HLOOKUP(AM$11,comboutfac,Query!$O48) /AM$8))</f>
        <v>1.0012024691045918</v>
      </c>
      <c r="AN13" s="120">
        <f ca="1">IF($J$7=1,HLOOKUP(AN$11,index1970,Query!$O48)/AN$9,IF($J$7=2,HLOOKUP(AN$11,index1970,Query!$O48)/AN$9 * HLOOKUP(AN$11,comboutfac,Query!$O48),HLOOKUP(AN$11,index1970,Query!$O48)/AN$9 * HLOOKUP(AN$11,comboutfac,Query!$O48) /AN$8))</f>
        <v>1.0000788692774678</v>
      </c>
      <c r="AO13" s="120">
        <f ca="1">IF($J$7=1,HLOOKUP(AO$11,index1970,Query!$O48)/AO$9,IF($J$7=2,HLOOKUP(AO$11,index1970,Query!$O48)/AO$9 * HLOOKUP(AO$11,comboutfac,Query!$O48),HLOOKUP(AO$11,index1970,Query!$O48)/AO$9 * HLOOKUP(AO$11,comboutfac,Query!$O48) /AO$8))</f>
        <v>1.0005193169043585</v>
      </c>
      <c r="AP13" s="120">
        <f ca="1">IF($J$7=1,HLOOKUP(AP$11,index1970,Query!$O48)/AP$9,IF($J$7=2,HLOOKUP(AP$11,index1970,Query!$O48)/AP$9 * HLOOKUP(AP$11,comboutfac,Query!$O48),HLOOKUP(AP$11,index1970,Query!$O48)/AP$9 * HLOOKUP(AP$11,comboutfac,Query!$O48) /AP$8))</f>
        <v>1.2575070699691739</v>
      </c>
      <c r="AQ13" s="683">
        <f ca="1">IF($J$7=1,HLOOKUP(AQ$11,index1970,Query!$O48)/AQ$9,IF($J$7=2,HLOOKUP(AQ$11,index1970,Query!$O48)/AQ$9 * HLOOKUP(AQ$11,comboutfac,Query!$O48),HLOOKUP(AQ$11,index1970,Query!$O48)/AQ$9 * HLOOKUP(AQ$11,comboutfac,Query!$O48) /AQ$8))</f>
        <v>1.1652026064033398</v>
      </c>
      <c r="AR13" s="120">
        <f ca="1">IF($J$7=1,HLOOKUP(AR$11,index1970,Query!$O48)/AR$9,IF($J$7=2,HLOOKUP(AR$11,index1970,Query!$O48)/AR$9 * HLOOKUP(AR$11,comboutfac,Query!$O48),HLOOKUP(AR$11,index1970,Query!$O48)/AR$9 * HLOOKUP(AR$11,comboutfac,Query!$O48) /AR$8))</f>
        <v>1.0619279378574713</v>
      </c>
      <c r="AS13" s="213"/>
    </row>
    <row r="14" spans="1:45" s="122" customFormat="1">
      <c r="A14" s="121">
        <f t="shared" ref="A14:A19" si="5">+A13+1</f>
        <v>1971</v>
      </c>
      <c r="B14" s="120">
        <f ca="1">IF($J$7=1,HLOOKUP(B$11,index1970,Query!$O49)/B$9,IF($J$7=2,HLOOKUP(B$11,index1970,Query!$O49)/B$9 * HLOOKUP(B$11,comboutfac,Query!$O49),HLOOKUP(B$11,index1970,Query!$O49)/B$9 * HLOOKUP(B$11,comboutfac,Query!$O49) /B$8))</f>
        <v>1.1019398758513346</v>
      </c>
      <c r="C14" s="120">
        <f ca="1">IF($J$7=1,HLOOKUP(C$11,index1970,Query!$O49)/C$9,IF($J$7=2,HLOOKUP(C$11,index1970,Query!$O49)/C$9 * HLOOKUP(C$11,comboutfac,Query!$O49),HLOOKUP(C$11,index1970,Query!$O49)/C$9 * HLOOKUP(C$11,comboutfac,Query!$O49) /C$8))</f>
        <v>1.2290672963667579</v>
      </c>
      <c r="D14" s="120">
        <f ca="1">IF($J$7=1,HLOOKUP(D$11,index1970,Query!$O49)/D$9,IF($J$7=2,HLOOKUP(D$11,index1970,Query!$O49)/D$9 * HLOOKUP(D$11,comboutfac,Query!$O49),HLOOKUP(D$11,index1970,Query!$O49)/D$9 * HLOOKUP(D$11,comboutfac,Query!$O49) /D$8))</f>
        <v>1.1140430272890578</v>
      </c>
      <c r="E14" s="120">
        <f ca="1">IF($J$7=1,HLOOKUP(E$11,index1970,Query!$O49)/E$9,IF($J$7=2,HLOOKUP(E$11,index1970,Query!$O49)/E$9 * HLOOKUP(E$11,comboutfac,Query!$O49),HLOOKUP(E$11,index1970,Query!$O49)/E$9 * HLOOKUP(E$11,comboutfac,Query!$O49) /E$8))</f>
        <v>1.0886</v>
      </c>
      <c r="F14" s="120">
        <f ca="1">IF($J$7=1,HLOOKUP(F$11,index1970,Query!$O49)/F$9,IF($J$7=2,HLOOKUP(F$11,index1970,Query!$O49)/F$9 * HLOOKUP(F$11,comboutfac,Query!$O49),HLOOKUP(F$11,index1970,Query!$O49)/F$9 * HLOOKUP(F$11,comboutfac,Query!$O49) /F$8))</f>
        <v>1.2290672963667579</v>
      </c>
      <c r="G14" s="120">
        <f ca="1">IF($J$7=1,HLOOKUP(G$11,index1970,Query!$O49)/G$9,IF($J$7=2,HLOOKUP(G$11,index1970,Query!$O49)/G$9 * HLOOKUP(G$11,comboutfac,Query!$O49),HLOOKUP(G$11,index1970,Query!$O49)/G$9 * HLOOKUP(G$11,comboutfac,Query!$O49) /G$8))</f>
        <v>1.1500614634732755</v>
      </c>
      <c r="H14" s="120">
        <f ca="1">IF($J$7=1,HLOOKUP(H$11,index1970,Query!$O49)/H$9,IF($J$7=2,HLOOKUP(H$11,index1970,Query!$O49)/H$9 * HLOOKUP(H$11,comboutfac,Query!$O49),HLOOKUP(H$11,index1970,Query!$O49)/H$9 * HLOOKUP(H$11,comboutfac,Query!$O49) /H$8))</f>
        <v>1.0599255410014339</v>
      </c>
      <c r="I14" s="120">
        <f ca="1">IF($J$7=1,HLOOKUP(I$11,index1970,Query!$O49)/I$9,IF($J$7=2,HLOOKUP(I$11,index1970,Query!$O49)/I$9 * HLOOKUP(I$11,comboutfac,Query!$O49),HLOOKUP(I$11,index1970,Query!$O49)/I$9 * HLOOKUP(I$11,comboutfac,Query!$O49) /I$8))</f>
        <v>1.0640512711588621</v>
      </c>
      <c r="J14" s="120">
        <f ca="1">IF($J$7=1,HLOOKUP(J$11,index1970,Query!$O49)/J$9,IF($J$7=2,HLOOKUP(J$11,index1970,Query!$O49)/J$9 * HLOOKUP(J$11,comboutfac,Query!$O49),HLOOKUP(J$11,index1970,Query!$O49)/J$9 * HLOOKUP(J$11,comboutfac,Query!$O49) /J$8))</f>
        <v>1.0455796879779751</v>
      </c>
      <c r="K14" s="120">
        <f ca="1">IF($J$7=1,HLOOKUP(K$11,index1970,Query!$O49)/K$9,IF($J$7=2,HLOOKUP(K$11,index1970,Query!$O49)/K$9 * HLOOKUP(K$11,comboutfac,Query!$O49),HLOOKUP(K$11,index1970,Query!$O49)/K$9 * HLOOKUP(K$11,comboutfac,Query!$O49) /K$8))</f>
        <v>1.0831999999999999</v>
      </c>
      <c r="L14" s="120">
        <f ca="1">IF($J$7=1,HLOOKUP(L$11,index1970,Query!$O49)/L$9,IF($J$7=2,HLOOKUP(L$11,index1970,Query!$O49)/L$9 * HLOOKUP(L$11,comboutfac,Query!$O49),HLOOKUP(L$11,index1970,Query!$O49)/L$9 * HLOOKUP(L$11,comboutfac,Query!$O49) /L$8))</f>
        <v>1.2189918272554037</v>
      </c>
      <c r="M14" s="120">
        <f ca="1">IF($J$7=1,HLOOKUP(M$11,index1970,Query!$O49)/M$9,IF($J$7=2,HLOOKUP(M$11,index1970,Query!$O49)/M$9 * HLOOKUP(M$11,comboutfac,Query!$O49),HLOOKUP(M$11,index1970,Query!$O49)/M$9 * HLOOKUP(M$11,comboutfac,Query!$O49) /M$8))</f>
        <v>1.0706592104296881</v>
      </c>
      <c r="N14" s="120">
        <f ca="1">IF($J$7=1,HLOOKUP(N$11,index1970,Query!$O49)/N$9,IF($J$7=2,HLOOKUP(N$11,index1970,Query!$O49)/N$9 * HLOOKUP(N$11,comboutfac,Query!$O49),HLOOKUP(N$11,index1970,Query!$O49)/N$9 * HLOOKUP(N$11,comboutfac,Query!$O49) /N$8))</f>
        <v>1.2290672963667579</v>
      </c>
      <c r="O14" s="120">
        <f ca="1">IF($J$7=1,HLOOKUP(O$11,index1970,Query!$O49)/O$9,IF($J$7=2,HLOOKUP(O$11,index1970,Query!$O49)/O$9 * HLOOKUP(O$11,comboutfac,Query!$O49),HLOOKUP(O$11,index1970,Query!$O49)/O$9 * HLOOKUP(O$11,comboutfac,Query!$O49) /O$8))</f>
        <v>1.2290672963667579</v>
      </c>
      <c r="P14" s="120">
        <f ca="1">IF($J$7=1,HLOOKUP(P$11,index1970,Query!$O49)/P$9,IF($J$7=2,HLOOKUP(P$11,index1970,Query!$O49)/P$9 * HLOOKUP(P$11,comboutfac,Query!$O49),HLOOKUP(P$11,index1970,Query!$O49)/P$9 * HLOOKUP(P$11,comboutfac,Query!$O49) /P$8))</f>
        <v>1.0803595049388306</v>
      </c>
      <c r="Q14" s="120">
        <f ca="1">IF($J$7=1,HLOOKUP(Q$11,index1970,Query!$O49)/Q$9,IF($J$7=2,HLOOKUP(Q$11,index1970,Query!$O49)/Q$9 * HLOOKUP(Q$11,comboutfac,Query!$O49),HLOOKUP(Q$11,index1970,Query!$O49)/Q$9 * HLOOKUP(Q$11,comboutfac,Query!$O49) /Q$8))</f>
        <v>1.0401333331670009</v>
      </c>
      <c r="R14" s="120">
        <f ca="1">IF($J$7=1,HLOOKUP(R$11,index1970,Query!$O49)/R$9,IF($J$7=2,HLOOKUP(R$11,index1970,Query!$O49)/R$9 * HLOOKUP(R$11,comboutfac,Query!$O49),HLOOKUP(R$11,index1970,Query!$O49)/R$9 * HLOOKUP(R$11,comboutfac,Query!$O49) /R$8))</f>
        <v>1.0753954455782828</v>
      </c>
      <c r="S14" s="120">
        <f ca="1">IF($J$7=1,HLOOKUP(S$11,index1970,Query!$O49)/S$9,IF($J$7=2,HLOOKUP(S$11,index1970,Query!$O49)/S$9 * HLOOKUP(S$11,comboutfac,Query!$O49),HLOOKUP(S$11,index1970,Query!$O49)/S$9 * HLOOKUP(S$11,comboutfac,Query!$O49) /S$8))</f>
        <v>1.0395689208551953</v>
      </c>
      <c r="T14" s="120">
        <f ca="1">IF($J$7=1,HLOOKUP(T$11,index1970,Query!$O49)/T$9,IF($J$7=2,HLOOKUP(T$11,index1970,Query!$O49)/T$9 * HLOOKUP(T$11,comboutfac,Query!$O49),HLOOKUP(T$11,index1970,Query!$O49)/T$9 * HLOOKUP(T$11,comboutfac,Query!$O49) /T$8))</f>
        <v>1.0663060576570078</v>
      </c>
      <c r="U14" s="120">
        <f ca="1">IF($J$7=1,HLOOKUP(U$11,index1970,Query!$O49)/U$9,IF($J$7=2,HLOOKUP(U$11,index1970,Query!$O49)/U$9 * HLOOKUP(U$11,comboutfac,Query!$O49),HLOOKUP(U$11,index1970,Query!$O49)/U$9 * HLOOKUP(U$11,comboutfac,Query!$O49) /U$8))</f>
        <v>1.2526530560183684</v>
      </c>
      <c r="V14" s="120">
        <f ca="1">IF($J$7=1,HLOOKUP(V$11,index1970,Query!$O49)/V$9,IF($J$7=2,HLOOKUP(V$11,index1970,Query!$O49)/V$9 * HLOOKUP(V$11,comboutfac,Query!$O49),HLOOKUP(V$11,index1970,Query!$O49)/V$9 * HLOOKUP(V$11,comboutfac,Query!$O49) /V$8))</f>
        <v>1.0513956564110412</v>
      </c>
      <c r="W14" s="120">
        <f ca="1">IF($J$7=1,HLOOKUP(W$11,index1970,Query!$O49)/W$9,IF($J$7=2,HLOOKUP(W$11,index1970,Query!$O49)/W$9 * HLOOKUP(W$11,comboutfac,Query!$O49),HLOOKUP(W$11,index1970,Query!$O49)/W$9 * HLOOKUP(W$11,comboutfac,Query!$O49) /W$8))</f>
        <v>1.0584238683404805</v>
      </c>
      <c r="X14" s="120">
        <f ca="1">IF($J$7=1,HLOOKUP(X$11,index1970,Query!$O49)/X$9,IF($J$7=2,HLOOKUP(X$11,index1970,Query!$O49)/X$9 * HLOOKUP(X$11,comboutfac,Query!$O49),HLOOKUP(X$11,index1970,Query!$O49)/X$9 * HLOOKUP(X$11,comboutfac,Query!$O49) /X$8))</f>
        <v>1.0479677262443248</v>
      </c>
      <c r="Y14" s="120">
        <f ca="1">IF($J$7=1,HLOOKUP(Y$11,index1970,Query!$O49)/Y$9,IF($J$7=2,HLOOKUP(Y$11,index1970,Query!$O49)/Y$9 * HLOOKUP(Y$11,comboutfac,Query!$O49),HLOOKUP(Y$11,index1970,Query!$O49)/Y$9 * HLOOKUP(Y$11,comboutfac,Query!$O49) /Y$8))</f>
        <v>1.0514911285152722</v>
      </c>
      <c r="Z14" s="120">
        <f ca="1">IF($J$7=1,HLOOKUP(Z$11,index1970,Query!$O49)/Z$9,IF($J$7=2,HLOOKUP(Z$11,index1970,Query!$O49)/Z$9 * HLOOKUP(Z$11,comboutfac,Query!$O49),HLOOKUP(Z$11,index1970,Query!$O49)/Z$9 * HLOOKUP(Z$11,comboutfac,Query!$O49) /Z$8))</f>
        <v>1.0643711816732344</v>
      </c>
      <c r="AA14" s="120">
        <f ca="1">IF($J$7=1,HLOOKUP(AA$11,index1970,Query!$O49)/AA$9,IF($J$7=2,HLOOKUP(AA$11,index1970,Query!$O49)/AA$9 * HLOOKUP(AA$11,comboutfac,Query!$O49),HLOOKUP(AA$11,index1970,Query!$O49)/AA$9 * HLOOKUP(AA$11,comboutfac,Query!$O49) /AA$8))</f>
        <v>1.0479677262443248</v>
      </c>
      <c r="AB14" s="120">
        <f ca="1">IF($J$7=1,HLOOKUP(AB$11,index1970,Query!$O49)/AB$9,IF($J$7=2,HLOOKUP(AB$11,index1970,Query!$O49)/AB$9 * HLOOKUP(AB$11,comboutfac,Query!$O49),HLOOKUP(AB$11,index1970,Query!$O49)/AB$9 * HLOOKUP(AB$11,comboutfac,Query!$O49) /AB$8))</f>
        <v>1.0682455543671372</v>
      </c>
      <c r="AC14" s="120">
        <f ca="1">IF($J$7=1,HLOOKUP(AC$11,index1970,Query!$O49)/AC$9,IF($J$7=2,HLOOKUP(AC$11,index1970,Query!$O49)/AC$9 * HLOOKUP(AC$11,comboutfac,Query!$O49),HLOOKUP(AC$11,index1970,Query!$O49)/AC$9 * HLOOKUP(AC$11,comboutfac,Query!$O49) /AC$8))</f>
        <v>1.0561566056046501</v>
      </c>
      <c r="AD14" s="120">
        <f ca="1">IF($J$7=1,HLOOKUP(AD$11,index1970,Query!$O49)/AD$9,IF($J$7=2,HLOOKUP(AD$11,index1970,Query!$O49)/AD$9 * HLOOKUP(AD$11,comboutfac,Query!$O49),HLOOKUP(AD$11,index1970,Query!$O49)/AD$9 * HLOOKUP(AD$11,comboutfac,Query!$O49) /AD$8))</f>
        <v>1.0550946555718983</v>
      </c>
      <c r="AE14" s="120">
        <f ca="1">IF($J$7=1,HLOOKUP(AE$11,index1970,Query!$O49)/AE$9,IF($J$7=2,HLOOKUP(AE$11,index1970,Query!$O49)/AE$9 * HLOOKUP(AE$11,comboutfac,Query!$O49),HLOOKUP(AE$11,index1970,Query!$O49)/AE$9 * HLOOKUP(AE$11,comboutfac,Query!$O49) /AE$8))</f>
        <v>1.110288313029056</v>
      </c>
      <c r="AF14" s="120">
        <f ca="1">IF($J$7=1,HLOOKUP(AF$11,index1970,Query!$O49)/AF$9,IF($J$7=2,HLOOKUP(AF$11,index1970,Query!$O49)/AF$9 * HLOOKUP(AF$11,comboutfac,Query!$O49),HLOOKUP(AF$11,index1970,Query!$O49)/AF$9 * HLOOKUP(AF$11,comboutfac,Query!$O49) /AF$8))</f>
        <v>1.201051377183233</v>
      </c>
      <c r="AG14" s="120">
        <f ca="1">IF($J$7=1,HLOOKUP(AG$11,index1970,Query!$O49)/AG$9,IF($J$7=2,HLOOKUP(AG$11,index1970,Query!$O49)/AG$9 * HLOOKUP(AG$11,comboutfac,Query!$O49),HLOOKUP(AG$11,index1970,Query!$O49)/AG$9 * HLOOKUP(AG$11,comboutfac,Query!$O49) /AG$8))</f>
        <v>1.110288313029056</v>
      </c>
      <c r="AH14" s="120">
        <f ca="1">IF($J$7=1,HLOOKUP(AH$11,index1970,Query!$O49)/AH$9,IF($J$7=2,HLOOKUP(AH$11,index1970,Query!$O49)/AH$9 * HLOOKUP(AH$11,comboutfac,Query!$O49),HLOOKUP(AH$11,index1970,Query!$O49)/AH$9 * HLOOKUP(AH$11,comboutfac,Query!$O49) /AH$8))</f>
        <v>1.0706592104296881</v>
      </c>
      <c r="AI14" s="120">
        <f ca="1">IF($J$7=1,HLOOKUP(AI$11,index1970,Query!$O49)/AI$9,IF($J$7=2,HLOOKUP(AI$11,index1970,Query!$O49)/AI$9 * HLOOKUP(AI$11,comboutfac,Query!$O49),HLOOKUP(AI$11,index1970,Query!$O49)/AI$9 * HLOOKUP(AI$11,comboutfac,Query!$O49) /AI$8))</f>
        <v>1.0797973377210497</v>
      </c>
      <c r="AJ14" s="120">
        <f ca="1">IF($J$7=1,HLOOKUP(AJ$11,index1970,Query!$O49)/AJ$9,IF($J$7=2,HLOOKUP(AJ$11,index1970,Query!$O49)/AJ$9 * HLOOKUP(AJ$11,comboutfac,Query!$O49),HLOOKUP(AJ$11,index1970,Query!$O49)/AJ$9 * HLOOKUP(AJ$11,comboutfac,Query!$O49) /AJ$8))</f>
        <v>1.0706592104296881</v>
      </c>
      <c r="AK14" s="120">
        <f ca="1">IF($J$7=1,HLOOKUP(AK$11,index1970,Query!$O49)/AK$9,IF($J$7=2,HLOOKUP(AK$11,index1970,Query!$O49)/AK$9 * HLOOKUP(AK$11,comboutfac,Query!$O49),HLOOKUP(AK$11,index1970,Query!$O49)/AK$9 * HLOOKUP(AK$11,comboutfac,Query!$O49) /AK$8))</f>
        <v>1.0785491195798371</v>
      </c>
      <c r="AL14" s="120">
        <f ca="1">IF($J$7=1,HLOOKUP(AL$11,index1970,Query!$O49)/AL$9,IF($J$7=2,HLOOKUP(AL$11,index1970,Query!$O49)/AL$9 * HLOOKUP(AL$11,comboutfac,Query!$O49),HLOOKUP(AL$11,index1970,Query!$O49)/AL$9 * HLOOKUP(AL$11,comboutfac,Query!$O49) /AL$8))</f>
        <v>1.074031980170939</v>
      </c>
      <c r="AM14" s="120">
        <f ca="1">IF($J$7=1,HLOOKUP(AM$11,index1970,Query!$O49)/AM$9,IF($J$7=2,HLOOKUP(AM$11,index1970,Query!$O49)/AM$9 * HLOOKUP(AM$11,comboutfac,Query!$O49),HLOOKUP(AM$11,index1970,Query!$O49)/AM$9 * HLOOKUP(AM$11,comboutfac,Query!$O49) /AM$8))</f>
        <v>1.0401333331670011</v>
      </c>
      <c r="AN14" s="120">
        <f ca="1">IF($J$7=1,HLOOKUP(AN$11,index1970,Query!$O49)/AN$9,IF($J$7=2,HLOOKUP(AN$11,index1970,Query!$O49)/AN$9 * HLOOKUP(AN$11,comboutfac,Query!$O49),HLOOKUP(AN$11,index1970,Query!$O49)/AN$9 * HLOOKUP(AN$11,comboutfac,Query!$O49) /AN$8))</f>
        <v>1.0765746128658531</v>
      </c>
      <c r="AO14" s="120">
        <f ca="1">IF($J$7=1,HLOOKUP(AO$11,index1970,Query!$O49)/AO$9,IF($J$7=2,HLOOKUP(AO$11,index1970,Query!$O49)/AO$9 * HLOOKUP(AO$11,comboutfac,Query!$O49),HLOOKUP(AO$11,index1970,Query!$O49)/AO$9 * HLOOKUP(AO$11,comboutfac,Query!$O49) /AO$8))</f>
        <v>1.0395689208551953</v>
      </c>
      <c r="AP14" s="120">
        <f ca="1">IF($J$7=1,HLOOKUP(AP$11,index1970,Query!$O49)/AP$9,IF($J$7=2,HLOOKUP(AP$11,index1970,Query!$O49)/AP$9 * HLOOKUP(AP$11,comboutfac,Query!$O49),HLOOKUP(AP$11,index1970,Query!$O49)/AP$9 * HLOOKUP(AP$11,comboutfac,Query!$O49) /AP$8))</f>
        <v>1.397116877980255</v>
      </c>
      <c r="AQ14" s="683">
        <f ca="1">IF($J$7=1,HLOOKUP(AQ$11,index1970,Query!$O49)/AQ$9,IF($J$7=2,HLOOKUP(AQ$11,index1970,Query!$O49)/AQ$9 * HLOOKUP(AQ$11,comboutfac,Query!$O49),HLOOKUP(AQ$11,index1970,Query!$O49)/AQ$9 * HLOOKUP(AQ$11,comboutfac,Query!$O49) /AQ$8))</f>
        <v>1.2526530560183684</v>
      </c>
      <c r="AR14" s="120">
        <f ca="1">IF($J$7=1,HLOOKUP(AR$11,index1970,Query!$O49)/AR$9,IF($J$7=2,HLOOKUP(AR$11,index1970,Query!$O49)/AR$9 * HLOOKUP(AR$11,comboutfac,Query!$O49),HLOOKUP(AR$11,index1970,Query!$O49)/AR$9 * HLOOKUP(AR$11,comboutfac,Query!$O49) /AR$8))</f>
        <v>1.1092438142538912</v>
      </c>
      <c r="AS14" s="213"/>
    </row>
    <row r="15" spans="1:45" s="122" customFormat="1">
      <c r="A15" s="121">
        <f t="shared" si="5"/>
        <v>1972</v>
      </c>
      <c r="B15" s="120">
        <f ca="1">IF($J$7=1,HLOOKUP(B$11,index1970,Query!$O50)/B$9,IF($J$7=2,HLOOKUP(B$11,index1970,Query!$O50)/B$9 * HLOOKUP(B$11,comboutfac,Query!$O50),HLOOKUP(B$11,index1970,Query!$O50)/B$9 * HLOOKUP(B$11,comboutfac,Query!$O50) /B$8))</f>
        <v>1.1545582822463181</v>
      </c>
      <c r="C15" s="120">
        <f ca="1">IF($J$7=1,HLOOKUP(C$11,index1970,Query!$O50)/C$9,IF($J$7=2,HLOOKUP(C$11,index1970,Query!$O50)/C$9 * HLOOKUP(C$11,comboutfac,Query!$O50),HLOOKUP(C$11,index1970,Query!$O50)/C$9 * HLOOKUP(C$11,comboutfac,Query!$O50) /C$8))</f>
        <v>1.3170999101942686</v>
      </c>
      <c r="D15" s="120">
        <f ca="1">IF($J$7=1,HLOOKUP(D$11,index1970,Query!$O50)/D$9,IF($J$7=2,HLOOKUP(D$11,index1970,Query!$O50)/D$9 * HLOOKUP(D$11,comboutfac,Query!$O50),HLOOKUP(D$11,index1970,Query!$O50)/D$9 * HLOOKUP(D$11,comboutfac,Query!$O50) /D$8))</f>
        <v>1.1802171831100277</v>
      </c>
      <c r="E15" s="120">
        <f ca="1">IF($J$7=1,HLOOKUP(E$11,index1970,Query!$O50)/E$9,IF($J$7=2,HLOOKUP(E$11,index1970,Query!$O50)/E$9 * HLOOKUP(E$11,comboutfac,Query!$O50),HLOOKUP(E$11,index1970,Query!$O50)/E$9 * HLOOKUP(E$11,comboutfac,Query!$O50) /E$8))</f>
        <v>1.18091328</v>
      </c>
      <c r="F15" s="120">
        <f ca="1">IF($J$7=1,HLOOKUP(F$11,index1970,Query!$O50)/F$9,IF($J$7=2,HLOOKUP(F$11,index1970,Query!$O50)/F$9 * HLOOKUP(F$11,comboutfac,Query!$O50),HLOOKUP(F$11,index1970,Query!$O50)/F$9 * HLOOKUP(F$11,comboutfac,Query!$O50) /F$8))</f>
        <v>1.3170999101942686</v>
      </c>
      <c r="G15" s="120">
        <f ca="1">IF($J$7=1,HLOOKUP(G$11,index1970,Query!$O50)/G$9,IF($J$7=2,HLOOKUP(G$11,index1970,Query!$O50)/G$9 * HLOOKUP(G$11,comboutfac,Query!$O50),HLOOKUP(G$11,index1970,Query!$O50)/G$9 * HLOOKUP(G$11,comboutfac,Query!$O50) /G$8))</f>
        <v>1.2426176855307958</v>
      </c>
      <c r="H15" s="120">
        <f ca="1">IF($J$7=1,HLOOKUP(H$11,index1970,Query!$O50)/H$9,IF($J$7=2,HLOOKUP(H$11,index1970,Query!$O50)/H$9 * HLOOKUP(H$11,comboutfac,Query!$O50),HLOOKUP(H$11,index1970,Query!$O50)/H$9 * HLOOKUP(H$11,comboutfac,Query!$O50) /H$8))</f>
        <v>1.1067069661347761</v>
      </c>
      <c r="I15" s="120">
        <f ca="1">IF($J$7=1,HLOOKUP(I$11,index1970,Query!$O50)/I$9,IF($J$7=2,HLOOKUP(I$11,index1970,Query!$O50)/I$9 * HLOOKUP(I$11,comboutfac,Query!$O50),HLOOKUP(I$11,index1970,Query!$O50)/I$9 * HLOOKUP(I$11,comboutfac,Query!$O50) /I$8))</f>
        <v>1.1170976246960327</v>
      </c>
      <c r="J15" s="120">
        <f ca="1">IF($J$7=1,HLOOKUP(J$11,index1970,Query!$O50)/J$9,IF($J$7=2,HLOOKUP(J$11,index1970,Query!$O50)/J$9 * HLOOKUP(J$11,comboutfac,Query!$O50),HLOOKUP(J$11,index1970,Query!$O50)/J$9 * HLOOKUP(J$11,comboutfac,Query!$O50) /J$8))</f>
        <v>1.0856531049250537</v>
      </c>
      <c r="K15" s="120">
        <f ca="1">IF($J$7=1,HLOOKUP(K$11,index1970,Query!$O50)/K$9,IF($J$7=2,HLOOKUP(K$11,index1970,Query!$O50)/K$9 * HLOOKUP(K$11,comboutfac,Query!$O50),HLOOKUP(K$11,index1970,Query!$O50)/K$9 * HLOOKUP(K$11,comboutfac,Query!$O50) /K$8))</f>
        <v>1.26387776</v>
      </c>
      <c r="L15" s="120">
        <f ca="1">IF($J$7=1,HLOOKUP(L$11,index1970,Query!$O50)/L$9,IF($J$7=2,HLOOKUP(L$11,index1970,Query!$O50)/L$9 * HLOOKUP(L$11,comboutfac,Query!$O50),HLOOKUP(L$11,index1970,Query!$O50)/L$9 * HLOOKUP(L$11,comboutfac,Query!$O50) /L$8))</f>
        <v>1.3075963177068863</v>
      </c>
      <c r="M15" s="120">
        <f ca="1">IF($J$7=1,HLOOKUP(M$11,index1970,Query!$O50)/M$9,IF($J$7=2,HLOOKUP(M$11,index1970,Query!$O50)/M$9 * HLOOKUP(M$11,comboutfac,Query!$O50),HLOOKUP(M$11,index1970,Query!$O50)/M$9 * HLOOKUP(M$11,comboutfac,Query!$O50) /M$8))</f>
        <v>1.111665458189145</v>
      </c>
      <c r="N15" s="120">
        <f ca="1">IF($J$7=1,HLOOKUP(N$11,index1970,Query!$O50)/N$9,IF($J$7=2,HLOOKUP(N$11,index1970,Query!$O50)/N$9 * HLOOKUP(N$11,comboutfac,Query!$O50),HLOOKUP(N$11,index1970,Query!$O50)/N$9 * HLOOKUP(N$11,comboutfac,Query!$O50) /N$8))</f>
        <v>1.3170999101942686</v>
      </c>
      <c r="O15" s="120">
        <f ca="1">IF($J$7=1,HLOOKUP(O$11,index1970,Query!$O50)/O$9,IF($J$7=2,HLOOKUP(O$11,index1970,Query!$O50)/O$9 * HLOOKUP(O$11,comboutfac,Query!$O50),HLOOKUP(O$11,index1970,Query!$O50)/O$9 * HLOOKUP(O$11,comboutfac,Query!$O50) /O$8))</f>
        <v>1.3406863349220148</v>
      </c>
      <c r="P15" s="120">
        <f ca="1">IF($J$7=1,HLOOKUP(P$11,index1970,Query!$O50)/P$9,IF($J$7=2,HLOOKUP(P$11,index1970,Query!$O50)/P$9 * HLOOKUP(P$11,comboutfac,Query!$O50),HLOOKUP(P$11,index1970,Query!$O50)/P$9 * HLOOKUP(P$11,comboutfac,Query!$O50) /P$8))</f>
        <v>1.250934939922564</v>
      </c>
      <c r="Q15" s="120">
        <f ca="1">IF($J$7=1,HLOOKUP(Q$11,index1970,Query!$O50)/Q$9,IF($J$7=2,HLOOKUP(Q$11,index1970,Query!$O50)/Q$9 * HLOOKUP(Q$11,comboutfac,Query!$O50),HLOOKUP(Q$11,index1970,Query!$O50)/Q$9 * HLOOKUP(Q$11,comboutfac,Query!$O50) /Q$8))</f>
        <v>1.0730040715283107</v>
      </c>
      <c r="R15" s="120">
        <f ca="1">IF($J$7=1,HLOOKUP(R$11,index1970,Query!$O50)/R$9,IF($J$7=2,HLOOKUP(R$11,index1970,Query!$O50)/R$9 * HLOOKUP(R$11,comboutfac,Query!$O50),HLOOKUP(R$11,index1970,Query!$O50)/R$9 * HLOOKUP(R$11,comboutfac,Query!$O50) /R$8))</f>
        <v>1.2287592853244882</v>
      </c>
      <c r="S15" s="120">
        <f ca="1">IF($J$7=1,HLOOKUP(S$11,index1970,Query!$O50)/S$9,IF($J$7=2,HLOOKUP(S$11,index1970,Query!$O50)/S$9 * HLOOKUP(S$11,comboutfac,Query!$O50),HLOOKUP(S$11,index1970,Query!$O50)/S$9 * HLOOKUP(S$11,comboutfac,Query!$O50) /S$8))</f>
        <v>1.0722805523728176</v>
      </c>
      <c r="T15" s="120">
        <f ca="1">IF($J$7=1,HLOOKUP(T$11,index1970,Query!$O50)/T$9,IF($J$7=2,HLOOKUP(T$11,index1970,Query!$O50)/T$9 * HLOOKUP(T$11,comboutfac,Query!$O50),HLOOKUP(T$11,index1970,Query!$O50)/T$9 * HLOOKUP(T$11,comboutfac,Query!$O50) /T$8))</f>
        <v>1.1071455796652712</v>
      </c>
      <c r="U15" s="120">
        <f ca="1">IF($J$7=1,HLOOKUP(U$11,index1970,Query!$O50)/U$9,IF($J$7=2,HLOOKUP(U$11,index1970,Query!$O50)/U$9 * HLOOKUP(U$11,comboutfac,Query!$O50),HLOOKUP(U$11,index1970,Query!$O50)/U$9 * HLOOKUP(U$11,comboutfac,Query!$O50) /U$8))</f>
        <v>1.3759208377631853</v>
      </c>
      <c r="V15" s="120">
        <f ca="1">IF($J$7=1,HLOOKUP(V$11,index1970,Query!$O50)/V$9,IF($J$7=2,HLOOKUP(V$11,index1970,Query!$O50)/V$9 * HLOOKUP(V$11,comboutfac,Query!$O50),HLOOKUP(V$11,index1970,Query!$O50)/V$9 * HLOOKUP(V$11,comboutfac,Query!$O50) /V$8))</f>
        <v>1.0943977387582526</v>
      </c>
      <c r="W15" s="120">
        <f ca="1">IF($J$7=1,HLOOKUP(W$11,index1970,Query!$O50)/W$9,IF($J$7=2,HLOOKUP(W$11,index1970,Query!$O50)/W$9 * HLOOKUP(W$11,comboutfac,Query!$O50),HLOOKUP(W$11,index1970,Query!$O50)/W$9 * HLOOKUP(W$11,comboutfac,Query!$O50) /W$8))</f>
        <v>1.1145989943983245</v>
      </c>
      <c r="X15" s="120">
        <f ca="1">IF($J$7=1,HLOOKUP(X$11,index1970,Query!$O50)/X$9,IF($J$7=2,HLOOKUP(X$11,index1970,Query!$O50)/X$9 * HLOOKUP(X$11,comboutfac,Query!$O50),HLOOKUP(X$11,index1970,Query!$O50)/X$9 * HLOOKUP(X$11,comboutfac,Query!$O50) /X$8))</f>
        <v>1.0921964537978899</v>
      </c>
      <c r="Y15" s="120">
        <f ca="1">IF($J$7=1,HLOOKUP(Y$11,index1970,Query!$O50)/Y$9,IF($J$7=2,HLOOKUP(Y$11,index1970,Query!$O50)/Y$9 * HLOOKUP(Y$11,comboutfac,Query!$O50),HLOOKUP(Y$11,index1970,Query!$O50)/Y$9 * HLOOKUP(Y$11,comboutfac,Query!$O50) /Y$8))</f>
        <v>1.0996858091275388</v>
      </c>
      <c r="Z15" s="120">
        <f ca="1">IF($J$7=1,HLOOKUP(Z$11,index1970,Query!$O50)/Z$9,IF($J$7=2,HLOOKUP(Z$11,index1970,Query!$O50)/Z$9 * HLOOKUP(Z$11,comboutfac,Query!$O50),HLOOKUP(Z$11,index1970,Query!$O50)/Z$9 * HLOOKUP(Z$11,comboutfac,Query!$O50) /Z$8))</f>
        <v>1.1272845467976413</v>
      </c>
      <c r="AA15" s="120">
        <f ca="1">IF($J$7=1,HLOOKUP(AA$11,index1970,Query!$O50)/AA$9,IF($J$7=2,HLOOKUP(AA$11,index1970,Query!$O50)/AA$9 * HLOOKUP(AA$11,comboutfac,Query!$O50),HLOOKUP(AA$11,index1970,Query!$O50)/AA$9 * HLOOKUP(AA$11,comboutfac,Query!$O50) /AA$8))</f>
        <v>1.0921964537978899</v>
      </c>
      <c r="AB15" s="120">
        <f ca="1">IF($J$7=1,HLOOKUP(AB$11,index1970,Query!$O50)/AB$9,IF($J$7=2,HLOOKUP(AB$11,index1970,Query!$O50)/AB$9 * HLOOKUP(AB$11,comboutfac,Query!$O50),HLOOKUP(AB$11,index1970,Query!$O50)/AB$9 * HLOOKUP(AB$11,comboutfac,Query!$O50) /AB$8))</f>
        <v>1.1359531963969474</v>
      </c>
      <c r="AC15" s="120">
        <f ca="1">IF($J$7=1,HLOOKUP(AC$11,index1970,Query!$O50)/AC$9,IF($J$7=2,HLOOKUP(AC$11,index1970,Query!$O50)/AC$9 * HLOOKUP(AC$11,comboutfac,Query!$O50),HLOOKUP(AC$11,index1970,Query!$O50)/AC$9 * HLOOKUP(AC$11,comboutfac,Query!$O50) /AC$8))</f>
        <v>1.1020198061168738</v>
      </c>
      <c r="AD15" s="120">
        <f ca="1">IF($J$7=1,HLOOKUP(AD$11,index1970,Query!$O50)/AD$9,IF($J$7=2,HLOOKUP(AD$11,index1970,Query!$O50)/AD$9 * HLOOKUP(AD$11,comboutfac,Query!$O50),HLOOKUP(AD$11,index1970,Query!$O50)/AD$9 * HLOOKUP(AD$11,comboutfac,Query!$O50) /AD$8))</f>
        <v>1.0972952733541523</v>
      </c>
      <c r="AE15" s="120">
        <f ca="1">IF($J$7=1,HLOOKUP(AE$11,index1970,Query!$O50)/AE$9,IF($J$7=2,HLOOKUP(AE$11,index1970,Query!$O50)/AE$9 * HLOOKUP(AE$11,comboutfac,Query!$O50),HLOOKUP(AE$11,index1970,Query!$O50)/AE$9 * HLOOKUP(AE$11,comboutfac,Query!$O50) /AE$8))</f>
        <v>1.1406371403091138</v>
      </c>
      <c r="AF15" s="120">
        <f ca="1">IF($J$7=1,HLOOKUP(AF$11,index1970,Query!$O50)/AF$9,IF($J$7=2,HLOOKUP(AF$11,index1970,Query!$O50)/AF$9 * HLOOKUP(AF$11,comboutfac,Query!$O50),HLOOKUP(AF$11,index1970,Query!$O50)/AF$9 * HLOOKUP(AF$11,comboutfac,Query!$O50) /AF$8))</f>
        <v>1.3161743819774498</v>
      </c>
      <c r="AG15" s="120">
        <f ca="1">IF($J$7=1,HLOOKUP(AG$11,index1970,Query!$O50)/AG$9,IF($J$7=2,HLOOKUP(AG$11,index1970,Query!$O50)/AG$9 * HLOOKUP(AG$11,comboutfac,Query!$O50),HLOOKUP(AG$11,index1970,Query!$O50)/AG$9 * HLOOKUP(AG$11,comboutfac,Query!$O50) /AG$8))</f>
        <v>1.1406371403091138</v>
      </c>
      <c r="AH15" s="120">
        <f ca="1">IF($J$7=1,HLOOKUP(AH$11,index1970,Query!$O50)/AH$9,IF($J$7=2,HLOOKUP(AH$11,index1970,Query!$O50)/AH$9 * HLOOKUP(AH$11,comboutfac,Query!$O50),HLOOKUP(AH$11,index1970,Query!$O50)/AH$9 * HLOOKUP(AH$11,comboutfac,Query!$O50) /AH$8))</f>
        <v>1.111665458189145</v>
      </c>
      <c r="AI15" s="120">
        <f ca="1">IF($J$7=1,HLOOKUP(AI$11,index1970,Query!$O50)/AI$9,IF($J$7=2,HLOOKUP(AI$11,index1970,Query!$O50)/AI$9 * HLOOKUP(AI$11,comboutfac,Query!$O50),HLOOKUP(AI$11,index1970,Query!$O50)/AI$9 * HLOOKUP(AI$11,comboutfac,Query!$O50) /AI$8))</f>
        <v>1.1335449953546048</v>
      </c>
      <c r="AJ15" s="120">
        <f ca="1">IF($J$7=1,HLOOKUP(AJ$11,index1970,Query!$O50)/AJ$9,IF($J$7=2,HLOOKUP(AJ$11,index1970,Query!$O50)/AJ$9 * HLOOKUP(AJ$11,comboutfac,Query!$O50),HLOOKUP(AJ$11,index1970,Query!$O50)/AJ$9 * HLOOKUP(AJ$11,comboutfac,Query!$O50) /AJ$8))</f>
        <v>1.111665458189145</v>
      </c>
      <c r="AK15" s="120">
        <f ca="1">IF($J$7=1,HLOOKUP(AK$11,index1970,Query!$O50)/AK$9,IF($J$7=2,HLOOKUP(AK$11,index1970,Query!$O50)/AK$9 * HLOOKUP(AK$11,comboutfac,Query!$O50),HLOOKUP(AK$11,index1970,Query!$O50)/AK$9 * HLOOKUP(AK$11,comboutfac,Query!$O50) /AK$8))</f>
        <v>1.1273565972950927</v>
      </c>
      <c r="AL15" s="120">
        <f ca="1">IF($J$7=1,HLOOKUP(AL$11,index1970,Query!$O50)/AL$9,IF($J$7=2,HLOOKUP(AL$11,index1970,Query!$O50)/AL$9 * HLOOKUP(AL$11,comboutfac,Query!$O50),HLOOKUP(AL$11,index1970,Query!$O50)/AL$9 * HLOOKUP(AL$11,comboutfac,Query!$O50) /AL$8))</f>
        <v>1.2222827757616634</v>
      </c>
      <c r="AM15" s="120">
        <f ca="1">IF($J$7=1,HLOOKUP(AM$11,index1970,Query!$O50)/AM$9,IF($J$7=2,HLOOKUP(AM$11,index1970,Query!$O50)/AM$9 * HLOOKUP(AM$11,comboutfac,Query!$O50),HLOOKUP(AM$11,index1970,Query!$O50)/AM$9 * HLOOKUP(AM$11,comboutfac,Query!$O50) /AM$8))</f>
        <v>1.0730040715283107</v>
      </c>
      <c r="AN15" s="120">
        <f ca="1">IF($J$7=1,HLOOKUP(AN$11,index1970,Query!$O50)/AN$9,IF($J$7=2,HLOOKUP(AN$11,index1970,Query!$O50)/AN$9 * HLOOKUP(AN$11,comboutfac,Query!$O50),HLOOKUP(AN$11,index1970,Query!$O50)/AN$9 * HLOOKUP(AN$11,comboutfac,Query!$O50) /AN$8))</f>
        <v>1.2340416065431812</v>
      </c>
      <c r="AO15" s="120">
        <f ca="1">IF($J$7=1,HLOOKUP(AO$11,index1970,Query!$O50)/AO$9,IF($J$7=2,HLOOKUP(AO$11,index1970,Query!$O50)/AO$9 * HLOOKUP(AO$11,comboutfac,Query!$O50),HLOOKUP(AO$11,index1970,Query!$O50)/AO$9 * HLOOKUP(AO$11,comboutfac,Query!$O50) /AO$8))</f>
        <v>1.0722805523728176</v>
      </c>
      <c r="AP15" s="120">
        <f ca="1">IF($J$7=1,HLOOKUP(AP$11,index1970,Query!$O50)/AP$9,IF($J$7=2,HLOOKUP(AP$11,index1970,Query!$O50)/AP$9 * HLOOKUP(AP$11,comboutfac,Query!$O50),HLOOKUP(AP$11,index1970,Query!$O50)/AP$9 * HLOOKUP(AP$11,comboutfac,Query!$O50) /AP$8))</f>
        <v>1.575062961669397</v>
      </c>
      <c r="AQ15" s="683">
        <f ca="1">IF($J$7=1,HLOOKUP(AQ$11,index1970,Query!$O50)/AQ$9,IF($J$7=2,HLOOKUP(AQ$11,index1970,Query!$O50)/AQ$9 * HLOOKUP(AQ$11,comboutfac,Query!$O50),HLOOKUP(AQ$11,index1970,Query!$O50)/AQ$9 * HLOOKUP(AQ$11,comboutfac,Query!$O50) /AQ$8))</f>
        <v>1.3759208377631853</v>
      </c>
      <c r="AR15" s="120">
        <f ca="1">IF($J$7=1,HLOOKUP(AR$11,index1970,Query!$O50)/AR$9,IF($J$7=2,HLOOKUP(AR$11,index1970,Query!$O50)/AR$9 * HLOOKUP(AR$11,comboutfac,Query!$O50),HLOOKUP(AR$11,index1970,Query!$O50)/AR$9 * HLOOKUP(AR$11,comboutfac,Query!$O50) /AR$8))</f>
        <v>1.1645598011622966</v>
      </c>
      <c r="AS15" s="213"/>
    </row>
    <row r="16" spans="1:45" s="122" customFormat="1">
      <c r="A16" s="121">
        <f t="shared" si="5"/>
        <v>1973</v>
      </c>
      <c r="B16" s="120">
        <f ca="1">IF($J$7=1,HLOOKUP(B$11,index1970,Query!$O51)/B$9,IF($J$7=2,HLOOKUP(B$11,index1970,Query!$O51)/B$9 * HLOOKUP(B$11,comboutfac,Query!$O51),HLOOKUP(B$11,index1970,Query!$O51)/B$9 * HLOOKUP(B$11,comboutfac,Query!$O51) /B$8))</f>
        <v>1.2734669552869013</v>
      </c>
      <c r="C16" s="120">
        <f ca="1">IF($J$7=1,HLOOKUP(C$11,index1970,Query!$O51)/C$9,IF($J$7=2,HLOOKUP(C$11,index1970,Query!$O51)/C$9 * HLOOKUP(C$11,comboutfac,Query!$O51),HLOOKUP(C$11,index1970,Query!$O51)/C$9 * HLOOKUP(C$11,comboutfac,Query!$O51) /C$8))</f>
        <v>1.4386763555647153</v>
      </c>
      <c r="D16" s="120">
        <f ca="1">IF($J$7=1,HLOOKUP(D$11,index1970,Query!$O51)/D$9,IF($J$7=2,HLOOKUP(D$11,index1970,Query!$O51)/D$9 * HLOOKUP(D$11,comboutfac,Query!$O51),HLOOKUP(D$11,index1970,Query!$O51)/D$9 * HLOOKUP(D$11,comboutfac,Query!$O51) /D$8))</f>
        <v>1.2457192367726344</v>
      </c>
      <c r="E16" s="120">
        <f ca="1">IF($J$7=1,HLOOKUP(E$11,index1970,Query!$O51)/E$9,IF($J$7=2,HLOOKUP(E$11,index1970,Query!$O51)/E$9 * HLOOKUP(E$11,comboutfac,Query!$O51),HLOOKUP(E$11,index1970,Query!$O51)/E$9 * HLOOKUP(E$11,comboutfac,Query!$O51) /E$8))</f>
        <v>1.251413802816</v>
      </c>
      <c r="F16" s="120">
        <f ca="1">IF($J$7=1,HLOOKUP(F$11,index1970,Query!$O51)/F$9,IF($J$7=2,HLOOKUP(F$11,index1970,Query!$O51)/F$9 * HLOOKUP(F$11,comboutfac,Query!$O51),HLOOKUP(F$11,index1970,Query!$O51)/F$9 * HLOOKUP(F$11,comboutfac,Query!$O51) /F$8))</f>
        <v>1.4386763555647153</v>
      </c>
      <c r="G16" s="120">
        <f ca="1">IF($J$7=1,HLOOKUP(G$11,index1970,Query!$O51)/G$9,IF($J$7=2,HLOOKUP(G$11,index1970,Query!$O51)/G$9 * HLOOKUP(G$11,comboutfac,Query!$O51),HLOOKUP(G$11,index1970,Query!$O51)/G$9 * HLOOKUP(G$11,comboutfac,Query!$O51) /G$8))</f>
        <v>1.4000103360420104</v>
      </c>
      <c r="H16" s="120">
        <f ca="1">IF($J$7=1,HLOOKUP(H$11,index1970,Query!$O51)/H$9,IF($J$7=2,HLOOKUP(H$11,index1970,Query!$O51)/H$9 * HLOOKUP(H$11,comboutfac,Query!$O51),HLOOKUP(H$11,index1970,Query!$O51)/H$9 * HLOOKUP(H$11,comboutfac,Query!$O51) /H$8))</f>
        <v>1.1831619077654867</v>
      </c>
      <c r="I16" s="120">
        <f ca="1">IF($J$7=1,HLOOKUP(I$11,index1970,Query!$O51)/I$9,IF($J$7=2,HLOOKUP(I$11,index1970,Query!$O51)/I$9 * HLOOKUP(I$11,comboutfac,Query!$O51),HLOOKUP(I$11,index1970,Query!$O51)/I$9 * HLOOKUP(I$11,comboutfac,Query!$O51) /I$8))</f>
        <v>1.1931499733483744</v>
      </c>
      <c r="J16" s="120">
        <f ca="1">IF($J$7=1,HLOOKUP(J$11,index1970,Query!$O51)/J$9,IF($J$7=2,HLOOKUP(J$11,index1970,Query!$O51)/J$9 * HLOOKUP(J$11,comboutfac,Query!$O51),HLOOKUP(J$11,index1970,Query!$O51)/J$9 * HLOOKUP(J$11,comboutfac,Query!$O51) /J$8))</f>
        <v>1.1306209850107067</v>
      </c>
      <c r="K16" s="120">
        <f ca="1">IF($J$7=1,HLOOKUP(K$11,index1970,Query!$O51)/K$9,IF($J$7=2,HLOOKUP(K$11,index1970,Query!$O51)/K$9 * HLOOKUP(K$11,comboutfac,Query!$O51),HLOOKUP(K$11,index1970,Query!$O51)/K$9 * HLOOKUP(K$11,comboutfac,Query!$O51) /K$8))</f>
        <v>1.4212305411200001</v>
      </c>
      <c r="L16" s="120">
        <f ca="1">IF($J$7=1,HLOOKUP(L$11,index1970,Query!$O51)/L$9,IF($J$7=2,HLOOKUP(L$11,index1970,Query!$O51)/L$9 * HLOOKUP(L$11,comboutfac,Query!$O51),HLOOKUP(L$11,index1970,Query!$O51)/L$9 * HLOOKUP(L$11,comboutfac,Query!$O51) /L$8))</f>
        <v>1.4256529465549415</v>
      </c>
      <c r="M16" s="120">
        <f ca="1">IF($J$7=1,HLOOKUP(M$11,index1970,Query!$O51)/M$9,IF($J$7=2,HLOOKUP(M$11,index1970,Query!$O51)/M$9 * HLOOKUP(M$11,comboutfac,Query!$O51),HLOOKUP(M$11,index1970,Query!$O51)/M$9 * HLOOKUP(M$11,comboutfac,Query!$O51) /M$8))</f>
        <v>1.1579107412498135</v>
      </c>
      <c r="N16" s="120">
        <f ca="1">IF($J$7=1,HLOOKUP(N$11,index1970,Query!$O51)/N$9,IF($J$7=2,HLOOKUP(N$11,index1970,Query!$O51)/N$9 * HLOOKUP(N$11,comboutfac,Query!$O51),HLOOKUP(N$11,index1970,Query!$O51)/N$9 * HLOOKUP(N$11,comboutfac,Query!$O51) /N$8))</f>
        <v>1.4386763555647153</v>
      </c>
      <c r="O16" s="120">
        <f ca="1">IF($J$7=1,HLOOKUP(O$11,index1970,Query!$O51)/O$9,IF($J$7=2,HLOOKUP(O$11,index1970,Query!$O51)/O$9 * HLOOKUP(O$11,comboutfac,Query!$O51),HLOOKUP(O$11,index1970,Query!$O51)/O$9 * HLOOKUP(O$11,comboutfac,Query!$O51) /O$8))</f>
        <v>1.462383175291569</v>
      </c>
      <c r="P16" s="120">
        <f ca="1">IF($J$7=1,HLOOKUP(P$11,index1970,Query!$O51)/P$9,IF($J$7=2,HLOOKUP(P$11,index1970,Query!$O51)/P$9 * HLOOKUP(P$11,comboutfac,Query!$O51),HLOOKUP(P$11,index1970,Query!$O51)/P$9 * HLOOKUP(P$11,comboutfac,Query!$O51) /P$8))</f>
        <v>1.4012909875902739</v>
      </c>
      <c r="Q16" s="120">
        <f ca="1">IF($J$7=1,HLOOKUP(Q$11,index1970,Query!$O51)/Q$9,IF($J$7=2,HLOOKUP(Q$11,index1970,Query!$O51)/Q$9 * HLOOKUP(Q$11,comboutfac,Query!$O51),HLOOKUP(Q$11,index1970,Query!$O51)/Q$9 * HLOOKUP(Q$11,comboutfac,Query!$O51) /Q$8))</f>
        <v>1.1366106489910772</v>
      </c>
      <c r="R16" s="120">
        <f ca="1">IF($J$7=1,HLOOKUP(R$11,index1970,Query!$O51)/R$9,IF($J$7=2,HLOOKUP(R$11,index1970,Query!$O51)/R$9 * HLOOKUP(R$11,comboutfac,Query!$O51),HLOOKUP(R$11,index1970,Query!$O51)/R$9 * HLOOKUP(R$11,comboutfac,Query!$O51) /R$8))</f>
        <v>1.3676158489432704</v>
      </c>
      <c r="S16" s="120">
        <f ca="1">IF($J$7=1,HLOOKUP(S$11,index1970,Query!$O51)/S$9,IF($J$7=2,HLOOKUP(S$11,index1970,Query!$O51)/S$9 * HLOOKUP(S$11,comboutfac,Query!$O51),HLOOKUP(S$11,index1970,Query!$O51)/S$9 * HLOOKUP(S$11,comboutfac,Query!$O51) /S$8))</f>
        <v>1.1368397865422835</v>
      </c>
      <c r="T16" s="120">
        <f ca="1">IF($J$7=1,HLOOKUP(T$11,index1970,Query!$O51)/T$9,IF($J$7=2,HLOOKUP(T$11,index1970,Query!$O51)/T$9 * HLOOKUP(T$11,comboutfac,Query!$O51),HLOOKUP(T$11,index1970,Query!$O51)/T$9 * HLOOKUP(T$11,comboutfac,Query!$O51) /T$8))</f>
        <v>1.1532028357793465</v>
      </c>
      <c r="U16" s="120">
        <f ca="1">IF($J$7=1,HLOOKUP(U$11,index1970,Query!$O51)/U$9,IF($J$7=2,HLOOKUP(U$11,index1970,Query!$O51)/U$9 * HLOOKUP(U$11,comboutfac,Query!$O51),HLOOKUP(U$11,index1970,Query!$O51)/U$9 * HLOOKUP(U$11,comboutfac,Query!$O51) /U$8))</f>
        <v>1.5492844934902739</v>
      </c>
      <c r="V16" s="120">
        <f ca="1">IF($J$7=1,HLOOKUP(V$11,index1970,Query!$O51)/V$9,IF($J$7=2,HLOOKUP(V$11,index1970,Query!$O51)/V$9 * HLOOKUP(V$11,comboutfac,Query!$O51),HLOOKUP(V$11,index1970,Query!$O51)/V$9 * HLOOKUP(V$11,comboutfac,Query!$O51) /V$8))</f>
        <v>1.1204444049406992</v>
      </c>
      <c r="W16" s="120">
        <f ca="1">IF($J$7=1,HLOOKUP(W$11,index1970,Query!$O51)/W$9,IF($J$7=2,HLOOKUP(W$11,index1970,Query!$O51)/W$9 * HLOOKUP(W$11,comboutfac,Query!$O51),HLOOKUP(W$11,index1970,Query!$O51)/W$9 * HLOOKUP(W$11,comboutfac,Query!$O51) /W$8))</f>
        <v>1.1696579741748729</v>
      </c>
      <c r="X16" s="120">
        <f ca="1">IF($J$7=1,HLOOKUP(X$11,index1970,Query!$O51)/X$9,IF($J$7=2,HLOOKUP(X$11,index1970,Query!$O51)/X$9 * HLOOKUP(X$11,comboutfac,Query!$O51),HLOOKUP(X$11,index1970,Query!$O51)/X$9 * HLOOKUP(X$11,comboutfac,Query!$O51) /X$8))</f>
        <v>1.1421263590441912</v>
      </c>
      <c r="Y16" s="120">
        <f ca="1">IF($J$7=1,HLOOKUP(Y$11,index1970,Query!$O51)/Y$9,IF($J$7=2,HLOOKUP(Y$11,index1970,Query!$O51)/Y$9 * HLOOKUP(Y$11,comboutfac,Query!$O51),HLOOKUP(Y$11,index1970,Query!$O51)/Y$9 * HLOOKUP(Y$11,comboutfac,Query!$O51) /Y$8))</f>
        <v>1.1512730045190238</v>
      </c>
      <c r="Z16" s="120">
        <f ca="1">IF($J$7=1,HLOOKUP(Z$11,index1970,Query!$O51)/Z$9,IF($J$7=2,HLOOKUP(Z$11,index1970,Query!$O51)/Z$9 * HLOOKUP(Z$11,comboutfac,Query!$O51),HLOOKUP(Z$11,index1970,Query!$O51)/Z$9 * HLOOKUP(Z$11,comboutfac,Query!$O51) /Z$8))</f>
        <v>1.1847227440105583</v>
      </c>
      <c r="AA16" s="120">
        <f ca="1">IF($J$7=1,HLOOKUP(AA$11,index1970,Query!$O51)/AA$9,IF($J$7=2,HLOOKUP(AA$11,index1970,Query!$O51)/AA$9 * HLOOKUP(AA$11,comboutfac,Query!$O51),HLOOKUP(AA$11,index1970,Query!$O51)/AA$9 * HLOOKUP(AA$11,comboutfac,Query!$O51) /AA$8))</f>
        <v>1.1421263590441912</v>
      </c>
      <c r="AB16" s="120">
        <f ca="1">IF($J$7=1,HLOOKUP(AB$11,index1970,Query!$O51)/AB$9,IF($J$7=2,HLOOKUP(AB$11,index1970,Query!$O51)/AB$9 * HLOOKUP(AB$11,comboutfac,Query!$O51),HLOOKUP(AB$11,index1970,Query!$O51)/AB$9 * HLOOKUP(AB$11,comboutfac,Query!$O51) /AB$8))</f>
        <v>1.1960495577307844</v>
      </c>
      <c r="AC16" s="120">
        <f ca="1">IF($J$7=1,HLOOKUP(AC$11,index1970,Query!$O51)/AC$9,IF($J$7=2,HLOOKUP(AC$11,index1970,Query!$O51)/AC$9 * HLOOKUP(AC$11,comboutfac,Query!$O51),HLOOKUP(AC$11,index1970,Query!$O51)/AC$9 * HLOOKUP(AC$11,comboutfac,Query!$O51) /AC$8))</f>
        <v>1.1627047917318949</v>
      </c>
      <c r="AD16" s="120">
        <f ca="1">IF($J$7=1,HLOOKUP(AD$11,index1970,Query!$O51)/AD$9,IF($J$7=2,HLOOKUP(AD$11,index1970,Query!$O51)/AD$9 * HLOOKUP(AD$11,comboutfac,Query!$O51),HLOOKUP(AD$11,index1970,Query!$O51)/AD$9 * HLOOKUP(AD$11,comboutfac,Query!$O51) /AD$8))</f>
        <v>1.1606476318496246</v>
      </c>
      <c r="AE16" s="120">
        <f ca="1">IF($J$7=1,HLOOKUP(AE$11,index1970,Query!$O51)/AE$9,IF($J$7=2,HLOOKUP(AE$11,index1970,Query!$O51)/AE$9 * HLOOKUP(AE$11,comboutfac,Query!$O51),HLOOKUP(AE$11,index1970,Query!$O51)/AE$9 * HLOOKUP(AE$11,comboutfac,Query!$O51) /AE$8))</f>
        <v>1.220360825163872</v>
      </c>
      <c r="AF16" s="120">
        <f ca="1">IF($J$7=1,HLOOKUP(AF$11,index1970,Query!$O51)/AF$9,IF($J$7=2,HLOOKUP(AF$11,index1970,Query!$O51)/AF$9 * HLOOKUP(AF$11,comboutfac,Query!$O51),HLOOKUP(AF$11,index1970,Query!$O51)/AF$9 * HLOOKUP(AF$11,comboutfac,Query!$O51) /AF$8))</f>
        <v>1.4633420449115526</v>
      </c>
      <c r="AG16" s="120">
        <f ca="1">IF($J$7=1,HLOOKUP(AG$11,index1970,Query!$O51)/AG$9,IF($J$7=2,HLOOKUP(AG$11,index1970,Query!$O51)/AG$9 * HLOOKUP(AG$11,comboutfac,Query!$O51),HLOOKUP(AG$11,index1970,Query!$O51)/AG$9 * HLOOKUP(AG$11,comboutfac,Query!$O51) /AG$8))</f>
        <v>1.2203608251638722</v>
      </c>
      <c r="AH16" s="120">
        <f ca="1">IF($J$7=1,HLOOKUP(AH$11,index1970,Query!$O51)/AH$9,IF($J$7=2,HLOOKUP(AH$11,index1970,Query!$O51)/AH$9 * HLOOKUP(AH$11,comboutfac,Query!$O51),HLOOKUP(AH$11,index1970,Query!$O51)/AH$9 * HLOOKUP(AH$11,comboutfac,Query!$O51) /AH$8))</f>
        <v>1.1579107412498135</v>
      </c>
      <c r="AI16" s="120">
        <f ca="1">IF($J$7=1,HLOOKUP(AI$11,index1970,Query!$O51)/AI$9,IF($J$7=2,HLOOKUP(AI$11,index1970,Query!$O51)/AI$9 * HLOOKUP(AI$11,comboutfac,Query!$O51),HLOOKUP(AI$11,index1970,Query!$O51)/AI$9 * HLOOKUP(AI$11,comboutfac,Query!$O51) /AI$8))</f>
        <v>1.200286174212186</v>
      </c>
      <c r="AJ16" s="120">
        <f ca="1">IF($J$7=1,HLOOKUP(AJ$11,index1970,Query!$O51)/AJ$9,IF($J$7=2,HLOOKUP(AJ$11,index1970,Query!$O51)/AJ$9 * HLOOKUP(AJ$11,comboutfac,Query!$O51),HLOOKUP(AJ$11,index1970,Query!$O51)/AJ$9 * HLOOKUP(AJ$11,comboutfac,Query!$O51) /AJ$8))</f>
        <v>1.1579107412498135</v>
      </c>
      <c r="AK16" s="120">
        <f ca="1">IF($J$7=1,HLOOKUP(AK$11,index1970,Query!$O51)/AK$9,IF($J$7=2,HLOOKUP(AK$11,index1970,Query!$O51)/AK$9 * HLOOKUP(AK$11,comboutfac,Query!$O51),HLOOKUP(AK$11,index1970,Query!$O51)/AK$9 * HLOOKUP(AK$11,comboutfac,Query!$O51) /AK$8))</f>
        <v>1.1935350988007101</v>
      </c>
      <c r="AL16" s="120">
        <f ca="1">IF($J$7=1,HLOOKUP(AL$11,index1970,Query!$O51)/AL$9,IF($J$7=2,HLOOKUP(AL$11,index1970,Query!$O51)/AL$9 * HLOOKUP(AL$11,comboutfac,Query!$O51),HLOOKUP(AL$11,index1970,Query!$O51)/AL$9 * HLOOKUP(AL$11,comboutfac,Query!$O51) /AL$8))</f>
        <v>1.3574753572662208</v>
      </c>
      <c r="AM16" s="120">
        <f ca="1">IF($J$7=1,HLOOKUP(AM$11,index1970,Query!$O51)/AM$9,IF($J$7=2,HLOOKUP(AM$11,index1970,Query!$O51)/AM$9 * HLOOKUP(AM$11,comboutfac,Query!$O51),HLOOKUP(AM$11,index1970,Query!$O51)/AM$9 * HLOOKUP(AM$11,comboutfac,Query!$O51) /AM$8))</f>
        <v>1.1366106489910772</v>
      </c>
      <c r="AN16" s="120">
        <f ca="1">IF($J$7=1,HLOOKUP(AN$11,index1970,Query!$O51)/AN$9,IF($J$7=2,HLOOKUP(AN$11,index1970,Query!$O51)/AN$9 * HLOOKUP(AN$11,comboutfac,Query!$O51),HLOOKUP(AN$11,index1970,Query!$O51)/AN$9 * HLOOKUP(AN$11,comboutfac,Query!$O51) /AN$8))</f>
        <v>1.3756384281563339</v>
      </c>
      <c r="AO16" s="120">
        <f ca="1">IF($J$7=1,HLOOKUP(AO$11,index1970,Query!$O51)/AO$9,IF($J$7=2,HLOOKUP(AO$11,index1970,Query!$O51)/AO$9 * HLOOKUP(AO$11,comboutfac,Query!$O51),HLOOKUP(AO$11,index1970,Query!$O51)/AO$9 * HLOOKUP(AO$11,comboutfac,Query!$O51) /AO$8))</f>
        <v>1.1368397865422835</v>
      </c>
      <c r="AP16" s="120">
        <f ca="1">IF($J$7=1,HLOOKUP(AP$11,index1970,Query!$O51)/AP$9,IF($J$7=2,HLOOKUP(AP$11,index1970,Query!$O51)/AP$9 * HLOOKUP(AP$11,comboutfac,Query!$O51),HLOOKUP(AP$11,index1970,Query!$O51)/AP$9 * HLOOKUP(AP$11,comboutfac,Query!$O51) /AP$8))</f>
        <v>1.8318798686898761</v>
      </c>
      <c r="AQ16" s="683">
        <f ca="1">IF($J$7=1,HLOOKUP(AQ$11,index1970,Query!$O51)/AQ$9,IF($J$7=2,HLOOKUP(AQ$11,index1970,Query!$O51)/AQ$9 * HLOOKUP(AQ$11,comboutfac,Query!$O51),HLOOKUP(AQ$11,index1970,Query!$O51)/AQ$9 * HLOOKUP(AQ$11,comboutfac,Query!$O51) /AQ$8))</f>
        <v>1.5492844934902739</v>
      </c>
      <c r="AR16" s="120">
        <f ca="1">IF($J$7=1,HLOOKUP(AR$11,index1970,Query!$O51)/AR$9,IF($J$7=2,HLOOKUP(AR$11,index1970,Query!$O51)/AR$9 * HLOOKUP(AR$11,comboutfac,Query!$O51),HLOOKUP(AR$11,index1970,Query!$O51)/AR$9 * HLOOKUP(AR$11,comboutfac,Query!$O51) /AR$8))</f>
        <v>1.2298031799589308</v>
      </c>
      <c r="AS16" s="213"/>
    </row>
    <row r="17" spans="1:45" s="122" customFormat="1">
      <c r="A17" s="121">
        <f t="shared" si="5"/>
        <v>1974</v>
      </c>
      <c r="B17" s="120">
        <f ca="1">IF($J$7=1,HLOOKUP(B$11,index1970,Query!$O52)/B$9,IF($J$7=2,HLOOKUP(B$11,index1970,Query!$O52)/B$9 * HLOOKUP(B$11,comboutfac,Query!$O52),HLOOKUP(B$11,index1970,Query!$O52)/B$9 * HLOOKUP(B$11,comboutfac,Query!$O52) /B$8))</f>
        <v>1.3346013106995391</v>
      </c>
      <c r="C17" s="120">
        <f ca="1">IF($J$7=1,HLOOKUP(C$11,index1970,Query!$O52)/C$9,IF($J$7=2,HLOOKUP(C$11,index1970,Query!$O52)/C$9 * HLOOKUP(C$11,comboutfac,Query!$O52),HLOOKUP(C$11,index1970,Query!$O52)/C$9 * HLOOKUP(C$11,comboutfac,Query!$O52) /C$8))</f>
        <v>1.6114514336158126</v>
      </c>
      <c r="D17" s="120">
        <f ca="1">IF($J$7=1,HLOOKUP(D$11,index1970,Query!$O52)/D$9,IF($J$7=2,HLOOKUP(D$11,index1970,Query!$O52)/D$9 * HLOOKUP(D$11,comboutfac,Query!$O52),HLOOKUP(D$11,index1970,Query!$O52)/D$9 * HLOOKUP(D$11,comboutfac,Query!$O52) /D$8))</f>
        <v>1.3922158190170963</v>
      </c>
      <c r="E17" s="120">
        <f ca="1">IF($J$7=1,HLOOKUP(E$11,index1970,Query!$O52)/E$9,IF($J$7=2,HLOOKUP(E$11,index1970,Query!$O52)/E$9 * HLOOKUP(E$11,comboutfac,Query!$O52),HLOOKUP(E$11,index1970,Query!$O52)/E$9 * HLOOKUP(E$11,comboutfac,Query!$O52) /E$8))</f>
        <v>1.3652924588722559</v>
      </c>
      <c r="F17" s="120">
        <f ca="1">IF($J$7=1,HLOOKUP(F$11,index1970,Query!$O52)/F$9,IF($J$7=2,HLOOKUP(F$11,index1970,Query!$O52)/F$9 * HLOOKUP(F$11,comboutfac,Query!$O52),HLOOKUP(F$11,index1970,Query!$O52)/F$9 * HLOOKUP(F$11,comboutfac,Query!$O52) /F$8))</f>
        <v>1.6114514336158126</v>
      </c>
      <c r="G17" s="120">
        <f ca="1">IF($J$7=1,HLOOKUP(G$11,index1970,Query!$O52)/G$9,IF($J$7=2,HLOOKUP(G$11,index1970,Query!$O52)/G$9 * HLOOKUP(G$11,comboutfac,Query!$O52),HLOOKUP(G$11,index1970,Query!$O52)/G$9 * HLOOKUP(G$11,comboutfac,Query!$O52) /G$8))</f>
        <v>1.5706830434990164</v>
      </c>
      <c r="H17" s="120">
        <f ca="1">IF($J$7=1,HLOOKUP(H$11,index1970,Query!$O52)/H$9,IF($J$7=2,HLOOKUP(H$11,index1970,Query!$O52)/H$9 * HLOOKUP(H$11,comboutfac,Query!$O52),HLOOKUP(H$11,index1970,Query!$O52)/H$9 * HLOOKUP(H$11,comboutfac,Query!$O52) /H$8))</f>
        <v>1.3520377181748844</v>
      </c>
      <c r="I17" s="120">
        <f ca="1">IF($J$7=1,HLOOKUP(I$11,index1970,Query!$O52)/I$9,IF($J$7=2,HLOOKUP(I$11,index1970,Query!$O52)/I$9 * HLOOKUP(I$11,comboutfac,Query!$O52),HLOOKUP(I$11,index1970,Query!$O52)/I$9 * HLOOKUP(I$11,comboutfac,Query!$O52) /I$8))</f>
        <v>1.354891183549469</v>
      </c>
      <c r="J17" s="120">
        <f ca="1">IF($J$7=1,HLOOKUP(J$11,index1970,Query!$O52)/J$9,IF($J$7=2,HLOOKUP(J$11,index1970,Query!$O52)/J$9 * HLOOKUP(J$11,comboutfac,Query!$O52),HLOOKUP(J$11,index1970,Query!$O52)/J$9 * HLOOKUP(J$11,comboutfac,Query!$O52) /J$8))</f>
        <v>1.1973080452737841</v>
      </c>
      <c r="K17" s="120">
        <f ca="1">IF($J$7=1,HLOOKUP(K$11,index1970,Query!$O52)/K$9,IF($J$7=2,HLOOKUP(K$11,index1970,Query!$O52)/K$9 * HLOOKUP(K$11,comboutfac,Query!$O52),HLOOKUP(K$11,index1970,Query!$O52)/K$9 * HLOOKUP(K$11,comboutfac,Query!$O52) /K$8))</f>
        <v>1.5177320948620483</v>
      </c>
      <c r="L17" s="120">
        <f ca="1">IF($J$7=1,HLOOKUP(L$11,index1970,Query!$O52)/L$9,IF($J$7=2,HLOOKUP(L$11,index1970,Query!$O52)/L$9 * HLOOKUP(L$11,comboutfac,Query!$O52),HLOOKUP(L$11,index1970,Query!$O52)/L$9 * HLOOKUP(L$11,comboutfac,Query!$O52) /L$8))</f>
        <v>1.5939160740121756</v>
      </c>
      <c r="M17" s="120">
        <f ca="1">IF($J$7=1,HLOOKUP(M$11,index1970,Query!$O52)/M$9,IF($J$7=2,HLOOKUP(M$11,index1970,Query!$O52)/M$9 * HLOOKUP(M$11,comboutfac,Query!$O52),HLOOKUP(M$11,index1970,Query!$O52)/M$9 * HLOOKUP(M$11,comboutfac,Query!$O52) /M$8))</f>
        <v>1.2247221910199277</v>
      </c>
      <c r="N17" s="120">
        <f ca="1">IF($J$7=1,HLOOKUP(N$11,index1970,Query!$O52)/N$9,IF($J$7=2,HLOOKUP(N$11,index1970,Query!$O52)/N$9 * HLOOKUP(N$11,comboutfac,Query!$O52),HLOOKUP(N$11,index1970,Query!$O52)/N$9 * HLOOKUP(N$11,comboutfac,Query!$O52) /N$8))</f>
        <v>1.6114514336158126</v>
      </c>
      <c r="O17" s="120">
        <f ca="1">IF($J$7=1,HLOOKUP(O$11,index1970,Query!$O52)/O$9,IF($J$7=2,HLOOKUP(O$11,index1970,Query!$O52)/O$9 * HLOOKUP(O$11,comboutfac,Query!$O52),HLOOKUP(O$11,index1970,Query!$O52)/O$9 * HLOOKUP(O$11,comboutfac,Query!$O52) /O$8))</f>
        <v>1.6353185646203292</v>
      </c>
      <c r="P17" s="120">
        <f ca="1">IF($J$7=1,HLOOKUP(P$11,index1970,Query!$O52)/P$9,IF($J$7=2,HLOOKUP(P$11,index1970,Query!$O52)/P$9 * HLOOKUP(P$11,comboutfac,Query!$O52),HLOOKUP(P$11,index1970,Query!$O52)/P$9 * HLOOKUP(P$11,comboutfac,Query!$O52) /P$8))</f>
        <v>1.4980300619845002</v>
      </c>
      <c r="Q17" s="120">
        <f ca="1">IF($J$7=1,HLOOKUP(Q$11,index1970,Query!$O52)/Q$9,IF($J$7=2,HLOOKUP(Q$11,index1970,Query!$O52)/Q$9 * HLOOKUP(Q$11,comboutfac,Query!$O52),HLOOKUP(Q$11,index1970,Query!$O52)/Q$9 * HLOOKUP(Q$11,comboutfac,Query!$O52) /Q$8))</f>
        <v>1.2333518594359369</v>
      </c>
      <c r="R17" s="120">
        <f ca="1">IF($J$7=1,HLOOKUP(R$11,index1970,Query!$O52)/R$9,IF($J$7=2,HLOOKUP(R$11,index1970,Query!$O52)/R$9 * HLOOKUP(R$11,comboutfac,Query!$O52),HLOOKUP(R$11,index1970,Query!$O52)/R$9 * HLOOKUP(R$11,comboutfac,Query!$O52) /R$8))</f>
        <v>1.464704004078597</v>
      </c>
      <c r="S17" s="120">
        <f ca="1">IF($J$7=1,HLOOKUP(S$11,index1970,Query!$O52)/S$9,IF($J$7=2,HLOOKUP(S$11,index1970,Query!$O52)/S$9 * HLOOKUP(S$11,comboutfac,Query!$O52),HLOOKUP(S$11,index1970,Query!$O52)/S$9 * HLOOKUP(S$11,comboutfac,Query!$O52) /S$8))</f>
        <v>1.2336793687039269</v>
      </c>
      <c r="T17" s="120">
        <f ca="1">IF($J$7=1,HLOOKUP(T$11,index1970,Query!$O52)/T$9,IF($J$7=2,HLOOKUP(T$11,index1970,Query!$O52)/T$9 * HLOOKUP(T$11,comboutfac,Query!$O52),HLOOKUP(T$11,index1970,Query!$O52)/T$9 * HLOOKUP(T$11,comboutfac,Query!$O52) /T$8))</f>
        <v>1.2197426394038149</v>
      </c>
      <c r="U17" s="120">
        <f ca="1">IF($J$7=1,HLOOKUP(U$11,index1970,Query!$O52)/U$9,IF($J$7=2,HLOOKUP(U$11,index1970,Query!$O52)/U$9 * HLOOKUP(U$11,comboutfac,Query!$O52),HLOOKUP(U$11,index1970,Query!$O52)/U$9 * HLOOKUP(U$11,comboutfac,Query!$O52) /U$8))</f>
        <v>1.7090786132360247</v>
      </c>
      <c r="V17" s="120">
        <f ca="1">IF($J$7=1,HLOOKUP(V$11,index1970,Query!$O52)/V$9,IF($J$7=2,HLOOKUP(V$11,index1970,Query!$O52)/V$9 * HLOOKUP(V$11,comboutfac,Query!$O52),HLOOKUP(V$11,index1970,Query!$O52)/V$9 * HLOOKUP(V$11,comboutfac,Query!$O52) /V$8))</f>
        <v>1.2610601777607569</v>
      </c>
      <c r="W17" s="120">
        <f ca="1">IF($J$7=1,HLOOKUP(W$11,index1970,Query!$O52)/W$9,IF($J$7=2,HLOOKUP(W$11,index1970,Query!$O52)/W$9 * HLOOKUP(W$11,comboutfac,Query!$O52),HLOOKUP(W$11,index1970,Query!$O52)/W$9 * HLOOKUP(W$11,comboutfac,Query!$O52) /W$8))</f>
        <v>1.3219610044401464</v>
      </c>
      <c r="X17" s="120">
        <f ca="1">IF($J$7=1,HLOOKUP(X$11,index1970,Query!$O52)/X$9,IF($J$7=2,HLOOKUP(X$11,index1970,Query!$O52)/X$9 * HLOOKUP(X$11,comboutfac,Query!$O52),HLOOKUP(X$11,index1970,Query!$O52)/X$9 * HLOOKUP(X$11,comboutfac,Query!$O52) /X$8))</f>
        <v>1.3094523019600817</v>
      </c>
      <c r="Y17" s="120">
        <f ca="1">IF($J$7=1,HLOOKUP(Y$11,index1970,Query!$O52)/Y$9,IF($J$7=2,HLOOKUP(Y$11,index1970,Query!$O52)/Y$9 * HLOOKUP(Y$11,comboutfac,Query!$O52),HLOOKUP(Y$11,index1970,Query!$O52)/Y$9 * HLOOKUP(Y$11,comboutfac,Query!$O52) /Y$8))</f>
        <v>1.3115609434343924</v>
      </c>
      <c r="Z17" s="120">
        <f ca="1">IF($J$7=1,HLOOKUP(Z$11,index1970,Query!$O52)/Z$9,IF($J$7=2,HLOOKUP(Z$11,index1970,Query!$O52)/Z$9 * HLOOKUP(Z$11,comboutfac,Query!$O52),HLOOKUP(Z$11,index1970,Query!$O52)/Z$9 * HLOOKUP(Z$11,comboutfac,Query!$O52) /Z$8))</f>
        <v>1.3134538048749844</v>
      </c>
      <c r="AA17" s="120">
        <f ca="1">IF($J$7=1,HLOOKUP(AA$11,index1970,Query!$O52)/AA$9,IF($J$7=2,HLOOKUP(AA$11,index1970,Query!$O52)/AA$9 * HLOOKUP(AA$11,comboutfac,Query!$O52),HLOOKUP(AA$11,index1970,Query!$O52)/AA$9 * HLOOKUP(AA$11,comboutfac,Query!$O52) /AA$8))</f>
        <v>1.3094523019600817</v>
      </c>
      <c r="AB17" s="120">
        <f ca="1">IF($J$7=1,HLOOKUP(AB$11,index1970,Query!$O52)/AB$9,IF($J$7=2,HLOOKUP(AB$11,index1970,Query!$O52)/AB$9 * HLOOKUP(AB$11,comboutfac,Query!$O52),HLOOKUP(AB$11,index1970,Query!$O52)/AB$9 * HLOOKUP(AB$11,comboutfac,Query!$O52) /AB$8))</f>
        <v>1.3382879961793266</v>
      </c>
      <c r="AC17" s="120">
        <f ca="1">IF($J$7=1,HLOOKUP(AC$11,index1970,Query!$O52)/AC$9,IF($J$7=2,HLOOKUP(AC$11,index1970,Query!$O52)/AC$9 * HLOOKUP(AC$11,comboutfac,Query!$O52),HLOOKUP(AC$11,index1970,Query!$O52)/AC$9 * HLOOKUP(AC$11,comboutfac,Query!$O52) /AC$8))</f>
        <v>1.306129176979824</v>
      </c>
      <c r="AD17" s="120">
        <f ca="1">IF($J$7=1,HLOOKUP(AD$11,index1970,Query!$O52)/AD$9,IF($J$7=2,HLOOKUP(AD$11,index1970,Query!$O52)/AD$9 * HLOOKUP(AD$11,comboutfac,Query!$O52),HLOOKUP(AD$11,index1970,Query!$O52)/AD$9 * HLOOKUP(AD$11,comboutfac,Query!$O52) /AD$8))</f>
        <v>1.3275146124890653</v>
      </c>
      <c r="AE17" s="120">
        <f ca="1">IF($J$7=1,HLOOKUP(AE$11,index1970,Query!$O52)/AE$9,IF($J$7=2,HLOOKUP(AE$11,index1970,Query!$O52)/AE$9 * HLOOKUP(AE$11,comboutfac,Query!$O52),HLOOKUP(AE$11,index1970,Query!$O52)/AE$9 * HLOOKUP(AE$11,comboutfac,Query!$O52) /AE$8))</f>
        <v>1.3438778738213046</v>
      </c>
      <c r="AF17" s="120">
        <f ca="1">IF($J$7=1,HLOOKUP(AF$11,index1970,Query!$O52)/AF$9,IF($J$7=2,HLOOKUP(AF$11,index1970,Query!$O52)/AF$9 * HLOOKUP(AF$11,comboutfac,Query!$O52),HLOOKUP(AF$11,index1970,Query!$O52)/AF$9 * HLOOKUP(AF$11,comboutfac,Query!$O52) /AF$8))</f>
        <v>1.6673245068652645</v>
      </c>
      <c r="AG17" s="120">
        <f ca="1">IF($J$7=1,HLOOKUP(AG$11,index1970,Query!$O52)/AG$9,IF($J$7=2,HLOOKUP(AG$11,index1970,Query!$O52)/AG$9 * HLOOKUP(AG$11,comboutfac,Query!$O52),HLOOKUP(AG$11,index1970,Query!$O52)/AG$9 * HLOOKUP(AG$11,comboutfac,Query!$O52) /AG$8))</f>
        <v>1.343877873821304</v>
      </c>
      <c r="AH17" s="120">
        <f ca="1">IF($J$7=1,HLOOKUP(AH$11,index1970,Query!$O52)/AH$9,IF($J$7=2,HLOOKUP(AH$11,index1970,Query!$O52)/AH$9 * HLOOKUP(AH$11,comboutfac,Query!$O52),HLOOKUP(AH$11,index1970,Query!$O52)/AH$9 * HLOOKUP(AH$11,comboutfac,Query!$O52) /AH$8))</f>
        <v>1.2247221910199277</v>
      </c>
      <c r="AI17" s="120">
        <f ca="1">IF($J$7=1,HLOOKUP(AI$11,index1970,Query!$O52)/AI$9,IF($J$7=2,HLOOKUP(AI$11,index1970,Query!$O52)/AI$9 * HLOOKUP(AI$11,comboutfac,Query!$O52),HLOOKUP(AI$11,index1970,Query!$O52)/AI$9 * HLOOKUP(AI$11,comboutfac,Query!$O52) /AI$8))</f>
        <v>1.3056083977551309</v>
      </c>
      <c r="AJ17" s="120">
        <f ca="1">IF($J$7=1,HLOOKUP(AJ$11,index1970,Query!$O52)/AJ$9,IF($J$7=2,HLOOKUP(AJ$11,index1970,Query!$O52)/AJ$9 * HLOOKUP(AJ$11,comboutfac,Query!$O52),HLOOKUP(AJ$11,index1970,Query!$O52)/AJ$9 * HLOOKUP(AJ$11,comboutfac,Query!$O52) /AJ$8))</f>
        <v>1.2247221910199277</v>
      </c>
      <c r="AK17" s="120">
        <f ca="1">IF($J$7=1,HLOOKUP(AK$11,index1970,Query!$O52)/AK$9,IF($J$7=2,HLOOKUP(AK$11,index1970,Query!$O52)/AK$9 * HLOOKUP(AK$11,comboutfac,Query!$O52),HLOOKUP(AK$11,index1970,Query!$O52)/AK$9 * HLOOKUP(AK$11,comboutfac,Query!$O52) /AK$8))</f>
        <v>1.297712122596733</v>
      </c>
      <c r="AL17" s="120">
        <f ca="1">IF($J$7=1,HLOOKUP(AL$11,index1970,Query!$O52)/AL$9,IF($J$7=2,HLOOKUP(AL$11,index1970,Query!$O52)/AL$9 * HLOOKUP(AL$11,comboutfac,Query!$O52),HLOOKUP(AL$11,index1970,Query!$O52)/AL$9 * HLOOKUP(AL$11,comboutfac,Query!$O52) /AL$8))</f>
        <v>1.4546235746528342</v>
      </c>
      <c r="AM17" s="120">
        <f ca="1">IF($J$7=1,HLOOKUP(AM$11,index1970,Query!$O52)/AM$9,IF($J$7=2,HLOOKUP(AM$11,index1970,Query!$O52)/AM$9 * HLOOKUP(AM$11,comboutfac,Query!$O52),HLOOKUP(AM$11,index1970,Query!$O52)/AM$9 * HLOOKUP(AM$11,comboutfac,Query!$O52) /AM$8))</f>
        <v>1.2333518594359367</v>
      </c>
      <c r="AN17" s="120">
        <f ca="1">IF($J$7=1,HLOOKUP(AN$11,index1970,Query!$O52)/AN$9,IF($J$7=2,HLOOKUP(AN$11,index1970,Query!$O52)/AN$9 * HLOOKUP(AN$11,comboutfac,Query!$O52),HLOOKUP(AN$11,index1970,Query!$O52)/AN$9 * HLOOKUP(AN$11,comboutfac,Query!$O52) /AN$8))</f>
        <v>1.47265368716165</v>
      </c>
      <c r="AO17" s="120">
        <f ca="1">IF($J$7=1,HLOOKUP(AO$11,index1970,Query!$O52)/AO$9,IF($J$7=2,HLOOKUP(AO$11,index1970,Query!$O52)/AO$9 * HLOOKUP(AO$11,comboutfac,Query!$O52),HLOOKUP(AO$11,index1970,Query!$O52)/AO$9 * HLOOKUP(AO$11,comboutfac,Query!$O52) /AO$8))</f>
        <v>1.2336793687039269</v>
      </c>
      <c r="AP17" s="120">
        <f ca="1">IF($J$7=1,HLOOKUP(AP$11,index1970,Query!$O52)/AP$9,IF($J$7=2,HLOOKUP(AP$11,index1970,Query!$O52)/AP$9 * HLOOKUP(AP$11,comboutfac,Query!$O52),HLOOKUP(AP$11,index1970,Query!$O52)/AP$9 * HLOOKUP(AP$11,comboutfac,Query!$O52) /AP$8))</f>
        <v>2.0638732053424631</v>
      </c>
      <c r="AQ17" s="683">
        <f ca="1">IF($J$7=1,HLOOKUP(AQ$11,index1970,Query!$O52)/AQ$9,IF($J$7=2,HLOOKUP(AQ$11,index1970,Query!$O52)/AQ$9 * HLOOKUP(AQ$11,comboutfac,Query!$O52),HLOOKUP(AQ$11,index1970,Query!$O52)/AQ$9 * HLOOKUP(AQ$11,comboutfac,Query!$O52) /AQ$8))</f>
        <v>1.7090786132360247</v>
      </c>
      <c r="AR17" s="120">
        <f ca="1">IF($J$7=1,HLOOKUP(AR$11,index1970,Query!$O52)/AR$9,IF($J$7=2,HLOOKUP(AR$11,index1970,Query!$O52)/AR$9 * HLOOKUP(AR$11,comboutfac,Query!$O52),HLOOKUP(AR$11,index1970,Query!$O52)/AR$9 * HLOOKUP(AR$11,comboutfac,Query!$O52) /AR$8))</f>
        <v>1.330038980044133</v>
      </c>
      <c r="AS17" s="213"/>
    </row>
    <row r="18" spans="1:45" s="122" customFormat="1">
      <c r="A18" s="121">
        <f t="shared" si="5"/>
        <v>1975</v>
      </c>
      <c r="B18" s="120">
        <f ca="1">IF($J$7=1,HLOOKUP(B$11,index1970,Query!$O53)/B$9,IF($J$7=2,HLOOKUP(B$11,index1970,Query!$O53)/B$9 * HLOOKUP(B$11,comboutfac,Query!$O53),HLOOKUP(B$11,index1970,Query!$O53)/B$9 * HLOOKUP(B$11,comboutfac,Query!$O53) /B$8))</f>
        <v>1.4080183547676068</v>
      </c>
      <c r="C18" s="120">
        <f ca="1">IF($J$7=1,HLOOKUP(C$11,index1970,Query!$O53)/C$9,IF($J$7=2,HLOOKUP(C$11,index1970,Query!$O53)/C$9 * HLOOKUP(C$11,comboutfac,Query!$O53),HLOOKUP(C$11,index1970,Query!$O53)/C$9 * HLOOKUP(C$11,comboutfac,Query!$O53) /C$8))</f>
        <v>1.7346282902380836</v>
      </c>
      <c r="D18" s="120">
        <f ca="1">IF($J$7=1,HLOOKUP(D$11,index1970,Query!$O53)/D$9,IF($J$7=2,HLOOKUP(D$11,index1970,Query!$O53)/D$9 * HLOOKUP(D$11,comboutfac,Query!$O53),HLOOKUP(D$11,index1970,Query!$O53)/D$9 * HLOOKUP(D$11,comboutfac,Query!$O53) /D$8))</f>
        <v>1.6166410090426522</v>
      </c>
      <c r="E18" s="120">
        <f ca="1">IF($J$7=1,HLOOKUP(E$11,index1970,Query!$O53)/E$9,IF($J$7=2,HLOOKUP(E$11,index1970,Query!$O53)/E$9 * HLOOKUP(E$11,comboutfac,Query!$O53),HLOOKUP(E$11,index1970,Query!$O53)/E$9 * HLOOKUP(E$11,comboutfac,Query!$O53) /E$8))</f>
        <v>1.4777925574833299</v>
      </c>
      <c r="F18" s="120">
        <f ca="1">IF($J$7=1,HLOOKUP(F$11,index1970,Query!$O53)/F$9,IF($J$7=2,HLOOKUP(F$11,index1970,Query!$O53)/F$9 * HLOOKUP(F$11,comboutfac,Query!$O53),HLOOKUP(F$11,index1970,Query!$O53)/F$9 * HLOOKUP(F$11,comboutfac,Query!$O53) /F$8))</f>
        <v>1.7346282902380836</v>
      </c>
      <c r="G18" s="120">
        <f ca="1">IF($J$7=1,HLOOKUP(G$11,index1970,Query!$O53)/G$9,IF($J$7=2,HLOOKUP(G$11,index1970,Query!$O53)/G$9 * HLOOKUP(G$11,comboutfac,Query!$O53),HLOOKUP(G$11,index1970,Query!$O53)/G$9 * HLOOKUP(G$11,comboutfac,Query!$O53) /G$8))</f>
        <v>1.6684740500553736</v>
      </c>
      <c r="H18" s="120">
        <f ca="1">IF($J$7=1,HLOOKUP(H$11,index1970,Query!$O53)/H$9,IF($J$7=2,HLOOKUP(H$11,index1970,Query!$O53)/H$9 * HLOOKUP(H$11,comboutfac,Query!$O53),HLOOKUP(H$11,index1970,Query!$O53)/H$9 * HLOOKUP(H$11,comboutfac,Query!$O53) /H$8))</f>
        <v>1.554028671204128</v>
      </c>
      <c r="I18" s="120">
        <f ca="1">IF($J$7=1,HLOOKUP(I$11,index1970,Query!$O53)/I$9,IF($J$7=2,HLOOKUP(I$11,index1970,Query!$O53)/I$9 * HLOOKUP(I$11,comboutfac,Query!$O53),HLOOKUP(I$11,index1970,Query!$O53)/I$9 * HLOOKUP(I$11,comboutfac,Query!$O53) /I$8))</f>
        <v>1.5448753446609942</v>
      </c>
      <c r="J18" s="120">
        <f ca="1">IF($J$7=1,HLOOKUP(J$11,index1970,Query!$O53)/J$9,IF($J$7=2,HLOOKUP(J$11,index1970,Query!$O53)/J$9 * HLOOKUP(J$11,comboutfac,Query!$O53),HLOOKUP(J$11,index1970,Query!$O53)/J$9 * HLOOKUP(J$11,comboutfac,Query!$O53) /J$8))</f>
        <v>1.3777913735087182</v>
      </c>
      <c r="K18" s="120">
        <f ca="1">IF($J$7=1,HLOOKUP(K$11,index1970,Query!$O53)/K$9,IF($J$7=2,HLOOKUP(K$11,index1970,Query!$O53)/K$9 * HLOOKUP(K$11,comboutfac,Query!$O53),HLOOKUP(K$11,index1970,Query!$O53)/K$9 * HLOOKUP(K$11,comboutfac,Query!$O53) /K$8))</f>
        <v>1.618205959541916</v>
      </c>
      <c r="L18" s="120">
        <f ca="1">IF($J$7=1,HLOOKUP(L$11,index1970,Query!$O53)/L$9,IF($J$7=2,HLOOKUP(L$11,index1970,Query!$O53)/L$9 * HLOOKUP(L$11,comboutfac,Query!$O53),HLOOKUP(L$11,index1970,Query!$O53)/L$9 * HLOOKUP(L$11,comboutfac,Query!$O53) /L$8))</f>
        <v>1.7156221266044134</v>
      </c>
      <c r="M18" s="120">
        <f ca="1">IF($J$7=1,HLOOKUP(M$11,index1970,Query!$O53)/M$9,IF($J$7=2,HLOOKUP(M$11,index1970,Query!$O53)/M$9 * HLOOKUP(M$11,comboutfac,Query!$O53),HLOOKUP(M$11,index1970,Query!$O53)/M$9 * HLOOKUP(M$11,comboutfac,Query!$O53) /M$8))</f>
        <v>1.3326202160487837</v>
      </c>
      <c r="N18" s="120">
        <f ca="1">IF($J$7=1,HLOOKUP(N$11,index1970,Query!$O53)/N$9,IF($J$7=2,HLOOKUP(N$11,index1970,Query!$O53)/N$9 * HLOOKUP(N$11,comboutfac,Query!$O53),HLOOKUP(N$11,index1970,Query!$O53)/N$9 * HLOOKUP(N$11,comboutfac,Query!$O53) /N$8))</f>
        <v>1.7346282902380836</v>
      </c>
      <c r="O18" s="120">
        <f ca="1">IF($J$7=1,HLOOKUP(O$11,index1970,Query!$O53)/O$9,IF($J$7=2,HLOOKUP(O$11,index1970,Query!$O53)/O$9 * HLOOKUP(O$11,comboutfac,Query!$O53),HLOOKUP(O$11,index1970,Query!$O53)/O$9 * HLOOKUP(O$11,comboutfac,Query!$O53) /O$8))</f>
        <v>1.7244216893978881</v>
      </c>
      <c r="P18" s="120">
        <f ca="1">IF($J$7=1,HLOOKUP(P$11,index1970,Query!$O53)/P$9,IF($J$7=2,HLOOKUP(P$11,index1970,Query!$O53)/P$9 * HLOOKUP(P$11,comboutfac,Query!$O53),HLOOKUP(P$11,index1970,Query!$O53)/P$9 * HLOOKUP(P$11,comboutfac,Query!$O53) /P$8))</f>
        <v>1.596301198891322</v>
      </c>
      <c r="Q18" s="120">
        <f ca="1">IF($J$7=1,HLOOKUP(Q$11,index1970,Query!$O53)/Q$9,IF($J$7=2,HLOOKUP(Q$11,index1970,Query!$O53)/Q$9 * HLOOKUP(Q$11,comboutfac,Query!$O53),HLOOKUP(Q$11,index1970,Query!$O53)/Q$9 * HLOOKUP(Q$11,comboutfac,Query!$O53) /Q$8))</f>
        <v>1.3038149150719727</v>
      </c>
      <c r="R18" s="120">
        <f ca="1">IF($J$7=1,HLOOKUP(R$11,index1970,Query!$O53)/R$9,IF($J$7=2,HLOOKUP(R$11,index1970,Query!$O53)/R$9 * HLOOKUP(R$11,comboutfac,Query!$O53),HLOOKUP(R$11,index1970,Query!$O53)/R$9 * HLOOKUP(R$11,comboutfac,Query!$O53) /R$8))</f>
        <v>1.5592344192094258</v>
      </c>
      <c r="S18" s="120">
        <f ca="1">IF($J$7=1,HLOOKUP(S$11,index1970,Query!$O53)/S$9,IF($J$7=2,HLOOKUP(S$11,index1970,Query!$O53)/S$9 * HLOOKUP(S$11,comboutfac,Query!$O53),HLOOKUP(S$11,index1970,Query!$O53)/S$9 * HLOOKUP(S$11,comboutfac,Query!$O53) /S$8))</f>
        <v>1.3039168356838977</v>
      </c>
      <c r="T18" s="120">
        <f ca="1">IF($J$7=1,HLOOKUP(T$11,index1970,Query!$O53)/T$9,IF($J$7=2,HLOOKUP(T$11,index1970,Query!$O53)/T$9 * HLOOKUP(T$11,comboutfac,Query!$O53),HLOOKUP(T$11,index1970,Query!$O53)/T$9 * HLOOKUP(T$11,comboutfac,Query!$O53) /T$8))</f>
        <v>1.3272019659352912</v>
      </c>
      <c r="U18" s="120">
        <f ca="1">IF($J$7=1,HLOOKUP(U$11,index1970,Query!$O53)/U$9,IF($J$7=2,HLOOKUP(U$11,index1970,Query!$O53)/U$9 * HLOOKUP(U$11,comboutfac,Query!$O53),HLOOKUP(U$11,index1970,Query!$O53)/U$9 * HLOOKUP(U$11,comboutfac,Query!$O53) /U$8))</f>
        <v>1.888747761627243</v>
      </c>
      <c r="V18" s="120">
        <f ca="1">IF($J$7=1,HLOOKUP(V$11,index1970,Query!$O53)/V$9,IF($J$7=2,HLOOKUP(V$11,index1970,Query!$O53)/V$9 * HLOOKUP(V$11,comboutfac,Query!$O53),HLOOKUP(V$11,index1970,Query!$O53)/V$9 * HLOOKUP(V$11,comboutfac,Query!$O53) /V$8))</f>
        <v>1.5252522850016355</v>
      </c>
      <c r="W18" s="120">
        <f ca="1">IF($J$7=1,HLOOKUP(W$11,index1970,Query!$O53)/W$9,IF($J$7=2,HLOOKUP(W$11,index1970,Query!$O53)/W$9 * HLOOKUP(W$11,comboutfac,Query!$O53),HLOOKUP(W$11,index1970,Query!$O53)/W$9 * HLOOKUP(W$11,comboutfac,Query!$O53) /W$8))</f>
        <v>1.5181880195459418</v>
      </c>
      <c r="X18" s="120">
        <f ca="1">IF($J$7=1,HLOOKUP(X$11,index1970,Query!$O53)/X$9,IF($J$7=2,HLOOKUP(X$11,index1970,Query!$O53)/X$9 * HLOOKUP(X$11,comboutfac,Query!$O53),HLOOKUP(X$11,index1970,Query!$O53)/X$9 * HLOOKUP(X$11,comboutfac,Query!$O53) /X$8))</f>
        <v>1.5338385407000834</v>
      </c>
      <c r="Y18" s="120">
        <f ca="1">IF($J$7=1,HLOOKUP(Y$11,index1970,Query!$O53)/Y$9,IF($J$7=2,HLOOKUP(Y$11,index1970,Query!$O53)/Y$9 * HLOOKUP(Y$11,comboutfac,Query!$O53),HLOOKUP(Y$11,index1970,Query!$O53)/Y$9 * HLOOKUP(Y$11,comboutfac,Query!$O53) /Y$8))</f>
        <v>1.5255737258487079</v>
      </c>
      <c r="Z18" s="120">
        <f ca="1">IF($J$7=1,HLOOKUP(Z$11,index1970,Query!$O53)/Z$9,IF($J$7=2,HLOOKUP(Z$11,index1970,Query!$O53)/Z$9 * HLOOKUP(Z$11,comboutfac,Query!$O53),HLOOKUP(Z$11,index1970,Query!$O53)/Z$9 * HLOOKUP(Z$11,comboutfac,Query!$O53) /Z$8))</f>
        <v>1.4862740582551006</v>
      </c>
      <c r="AA18" s="120">
        <f ca="1">IF($J$7=1,HLOOKUP(AA$11,index1970,Query!$O53)/AA$9,IF($J$7=2,HLOOKUP(AA$11,index1970,Query!$O53)/AA$9 * HLOOKUP(AA$11,comboutfac,Query!$O53),HLOOKUP(AA$11,index1970,Query!$O53)/AA$9 * HLOOKUP(AA$11,comboutfac,Query!$O53) /AA$8))</f>
        <v>1.5338385407000834</v>
      </c>
      <c r="AB18" s="120">
        <f ca="1">IF($J$7=1,HLOOKUP(AB$11,index1970,Query!$O53)/AB$9,IF($J$7=2,HLOOKUP(AB$11,index1970,Query!$O53)/AB$9 * HLOOKUP(AB$11,comboutfac,Query!$O53),HLOOKUP(AB$11,index1970,Query!$O53)/AB$9 * HLOOKUP(AB$11,comboutfac,Query!$O53) /AB$8))</f>
        <v>1.5092252463043803</v>
      </c>
      <c r="AC18" s="120">
        <f ca="1">IF($J$7=1,HLOOKUP(AC$11,index1970,Query!$O53)/AC$9,IF($J$7=2,HLOOKUP(AC$11,index1970,Query!$O53)/AC$9 * HLOOKUP(AC$11,comboutfac,Query!$O53),HLOOKUP(AC$11,index1970,Query!$O53)/AC$9 * HLOOKUP(AC$11,comboutfac,Query!$O53) /AC$8))</f>
        <v>1.5069467718823106</v>
      </c>
      <c r="AD18" s="120">
        <f ca="1">IF($J$7=1,HLOOKUP(AD$11,index1970,Query!$O53)/AD$9,IF($J$7=2,HLOOKUP(AD$11,index1970,Query!$O53)/AD$9 * HLOOKUP(AD$11,comboutfac,Query!$O53),HLOOKUP(AD$11,index1970,Query!$O53)/AD$9 * HLOOKUP(AD$11,comboutfac,Query!$O53) /AD$8))</f>
        <v>1.543440858526514</v>
      </c>
      <c r="AE18" s="120">
        <f ca="1">IF($J$7=1,HLOOKUP(AE$11,index1970,Query!$O53)/AE$9,IF($J$7=2,HLOOKUP(AE$11,index1970,Query!$O53)/AE$9 * HLOOKUP(AE$11,comboutfac,Query!$O53),HLOOKUP(AE$11,index1970,Query!$O53)/AE$9 * HLOOKUP(AE$11,comboutfac,Query!$O53) /AE$8))</f>
        <v>1.431053081655477</v>
      </c>
      <c r="AF18" s="120">
        <f ca="1">IF($J$7=1,HLOOKUP(AF$11,index1970,Query!$O53)/AF$9,IF($J$7=2,HLOOKUP(AF$11,index1970,Query!$O53)/AF$9 * HLOOKUP(AF$11,comboutfac,Query!$O53),HLOOKUP(AF$11,index1970,Query!$O53)/AF$9 * HLOOKUP(AF$11,comboutfac,Query!$O53) /AF$8))</f>
        <v>1.8741666803047481</v>
      </c>
      <c r="AG18" s="120">
        <f ca="1">IF($J$7=1,HLOOKUP(AG$11,index1970,Query!$O53)/AG$9,IF($J$7=2,HLOOKUP(AG$11,index1970,Query!$O53)/AG$9 * HLOOKUP(AG$11,comboutfac,Query!$O53),HLOOKUP(AG$11,index1970,Query!$O53)/AG$9 * HLOOKUP(AG$11,comboutfac,Query!$O53) /AG$8))</f>
        <v>1.431313768263426</v>
      </c>
      <c r="AH18" s="120">
        <f ca="1">IF($J$7=1,HLOOKUP(AH$11,index1970,Query!$O53)/AH$9,IF($J$7=2,HLOOKUP(AH$11,index1970,Query!$O53)/AH$9 * HLOOKUP(AH$11,comboutfac,Query!$O53),HLOOKUP(AH$11,index1970,Query!$O53)/AH$9 * HLOOKUP(AH$11,comboutfac,Query!$O53) /AH$8))</f>
        <v>1.3326202160487837</v>
      </c>
      <c r="AI18" s="120">
        <f ca="1">IF($J$7=1,HLOOKUP(AI$11,index1970,Query!$O53)/AI$9,IF($J$7=2,HLOOKUP(AI$11,index1970,Query!$O53)/AI$9 * HLOOKUP(AI$11,comboutfac,Query!$O53),HLOOKUP(AI$11,index1970,Query!$O53)/AI$9 * HLOOKUP(AI$11,comboutfac,Query!$O53) /AI$8))</f>
        <v>1.4196714825275367</v>
      </c>
      <c r="AJ18" s="120">
        <f ca="1">IF($J$7=1,HLOOKUP(AJ$11,index1970,Query!$O53)/AJ$9,IF($J$7=2,HLOOKUP(AJ$11,index1970,Query!$O53)/AJ$9 * HLOOKUP(AJ$11,comboutfac,Query!$O53),HLOOKUP(AJ$11,index1970,Query!$O53)/AJ$9 * HLOOKUP(AJ$11,comboutfac,Query!$O53) /AJ$8))</f>
        <v>1.3326202160487837</v>
      </c>
      <c r="AK18" s="120">
        <f ca="1">IF($J$7=1,HLOOKUP(AK$11,index1970,Query!$O53)/AK$9,IF($J$7=2,HLOOKUP(AK$11,index1970,Query!$O53)/AK$9 * HLOOKUP(AK$11,comboutfac,Query!$O53),HLOOKUP(AK$11,index1970,Query!$O53)/AK$9 * HLOOKUP(AK$11,comboutfac,Query!$O53) /AK$8))</f>
        <v>1.4119844956340895</v>
      </c>
      <c r="AL18" s="120">
        <f ca="1">IF($J$7=1,HLOOKUP(AL$11,index1970,Query!$O53)/AL$9,IF($J$7=2,HLOOKUP(AL$11,index1970,Query!$O53)/AL$9 * HLOOKUP(AL$11,comboutfac,Query!$O53),HLOOKUP(AL$11,index1970,Query!$O53)/AL$9 * HLOOKUP(AL$11,comboutfac,Query!$O53) /AL$8))</f>
        <v>1.5481050255399904</v>
      </c>
      <c r="AM18" s="120">
        <f ca="1">IF($J$7=1,HLOOKUP(AM$11,index1970,Query!$O53)/AM$9,IF($J$7=2,HLOOKUP(AM$11,index1970,Query!$O53)/AM$9 * HLOOKUP(AM$11,comboutfac,Query!$O53),HLOOKUP(AM$11,index1970,Query!$O53)/AM$9 * HLOOKUP(AM$11,comboutfac,Query!$O53) /AM$8))</f>
        <v>1.3038149150719724</v>
      </c>
      <c r="AN18" s="120">
        <f ca="1">IF($J$7=1,HLOOKUP(AN$11,index1970,Query!$O53)/AN$9,IF($J$7=2,HLOOKUP(AN$11,index1970,Query!$O53)/AN$9 * HLOOKUP(AN$11,comboutfac,Query!$O53),HLOOKUP(AN$11,index1970,Query!$O53)/AN$9 * HLOOKUP(AN$11,comboutfac,Query!$O53) /AN$8))</f>
        <v>1.5680666106251728</v>
      </c>
      <c r="AO18" s="120">
        <f ca="1">IF($J$7=1,HLOOKUP(AO$11,index1970,Query!$O53)/AO$9,IF($J$7=2,HLOOKUP(AO$11,index1970,Query!$O53)/AO$9 * HLOOKUP(AO$11,comboutfac,Query!$O53),HLOOKUP(AO$11,index1970,Query!$O53)/AO$9 * HLOOKUP(AO$11,comboutfac,Query!$O53) /AO$8))</f>
        <v>1.3039168356838977</v>
      </c>
      <c r="AP18" s="120">
        <f ca="1">IF($J$7=1,HLOOKUP(AP$11,index1970,Query!$O53)/AP$9,IF($J$7=2,HLOOKUP(AP$11,index1970,Query!$O53)/AP$9 * HLOOKUP(AP$11,comboutfac,Query!$O53),HLOOKUP(AP$11,index1970,Query!$O53)/AP$9 * HLOOKUP(AP$11,comboutfac,Query!$O53) /AP$8))</f>
        <v>2.3121315783621639</v>
      </c>
      <c r="AQ18" s="683">
        <f ca="1">IF($J$7=1,HLOOKUP(AQ$11,index1970,Query!$O53)/AQ$9,IF($J$7=2,HLOOKUP(AQ$11,index1970,Query!$O53)/AQ$9 * HLOOKUP(AQ$11,comboutfac,Query!$O53),HLOOKUP(AQ$11,index1970,Query!$O53)/AQ$9 * HLOOKUP(AQ$11,comboutfac,Query!$O53) /AQ$8))</f>
        <v>1.888747761627243</v>
      </c>
      <c r="AR18" s="120">
        <f ca="1">IF($J$7=1,HLOOKUP(AR$11,index1970,Query!$O53)/AR$9,IF($J$7=2,HLOOKUP(AR$11,index1970,Query!$O53)/AR$9 * HLOOKUP(AR$11,comboutfac,Query!$O53),HLOOKUP(AR$11,index1970,Query!$O53)/AR$9 * HLOOKUP(AR$11,comboutfac,Query!$O53) /AR$8))</f>
        <v>1.4130033464213985</v>
      </c>
      <c r="AS18" s="213"/>
    </row>
    <row r="19" spans="1:45" s="122" customFormat="1">
      <c r="A19" s="121">
        <f t="shared" si="5"/>
        <v>1976</v>
      </c>
      <c r="B19" s="120">
        <f ca="1">IF($J$7=1,HLOOKUP(B$11,index1970,Query!$O54)/B$9,IF($J$7=2,HLOOKUP(B$11,index1970,Query!$O54)/B$9 * HLOOKUP(B$11,comboutfac,Query!$O54),HLOOKUP(B$11,index1970,Query!$O54)/B$9 * HLOOKUP(B$11,comboutfac,Query!$O54) /B$8))</f>
        <v>1.502175274948208</v>
      </c>
      <c r="C19" s="120">
        <f ca="1">IF($J$7=1,HLOOKUP(C$11,index1970,Query!$O54)/C$9,IF($J$7=2,HLOOKUP(C$11,index1970,Query!$O54)/C$9 * HLOOKUP(C$11,comboutfac,Query!$O54),HLOOKUP(C$11,index1970,Query!$O54)/C$9 * HLOOKUP(C$11,comboutfac,Query!$O54) /C$8))</f>
        <v>1.811864473780044</v>
      </c>
      <c r="D19" s="120">
        <f ca="1">IF($J$7=1,HLOOKUP(D$11,index1970,Query!$O54)/D$9,IF($J$7=2,HLOOKUP(D$11,index1970,Query!$O54)/D$9 * HLOOKUP(D$11,comboutfac,Query!$O54),HLOOKUP(D$11,index1970,Query!$O54)/D$9 * HLOOKUP(D$11,comboutfac,Query!$O54) /D$8))</f>
        <v>1.6654635675157403</v>
      </c>
      <c r="E19" s="120">
        <f ca="1">IF($J$7=1,HLOOKUP(E$11,index1970,Query!$O54)/E$9,IF($J$7=2,HLOOKUP(E$11,index1970,Query!$O54)/E$9 * HLOOKUP(E$11,comboutfac,Query!$O54),HLOOKUP(E$11,index1970,Query!$O54)/E$9 * HLOOKUP(E$11,comboutfac,Query!$O54) /E$8))</f>
        <v>1.5997104434757048</v>
      </c>
      <c r="F19" s="120">
        <f ca="1">IF($J$7=1,HLOOKUP(F$11,index1970,Query!$O54)/F$9,IF($J$7=2,HLOOKUP(F$11,index1970,Query!$O54)/F$9 * HLOOKUP(F$11,comboutfac,Query!$O54),HLOOKUP(F$11,index1970,Query!$O54)/F$9 * HLOOKUP(F$11,comboutfac,Query!$O54) /F$8))</f>
        <v>1.811864473780044</v>
      </c>
      <c r="G19" s="120">
        <f ca="1">IF($J$7=1,HLOOKUP(G$11,index1970,Query!$O54)/G$9,IF($J$7=2,HLOOKUP(G$11,index1970,Query!$O54)/G$9 * HLOOKUP(G$11,comboutfac,Query!$O54),HLOOKUP(G$11,index1970,Query!$O54)/G$9 * HLOOKUP(G$11,comboutfac,Query!$O54) /G$8))</f>
        <v>1.7498601900765036</v>
      </c>
      <c r="H19" s="120">
        <f ca="1">IF($J$7=1,HLOOKUP(H$11,index1970,Query!$O54)/H$9,IF($J$7=2,HLOOKUP(H$11,index1970,Query!$O54)/H$9 * HLOOKUP(H$11,comboutfac,Query!$O54),HLOOKUP(H$11,index1970,Query!$O54)/H$9 * HLOOKUP(H$11,comboutfac,Query!$O54) /H$8))</f>
        <v>1.6378372010587894</v>
      </c>
      <c r="I19" s="120">
        <f ca="1">IF($J$7=1,HLOOKUP(I$11,index1970,Query!$O54)/I$9,IF($J$7=2,HLOOKUP(I$11,index1970,Query!$O54)/I$9 * HLOOKUP(I$11,comboutfac,Query!$O54),HLOOKUP(I$11,index1970,Query!$O54)/I$9 * HLOOKUP(I$11,comboutfac,Query!$O54) /I$8))</f>
        <v>1.6342596331158992</v>
      </c>
      <c r="J19" s="120">
        <f ca="1">IF($J$7=1,HLOOKUP(J$11,index1970,Query!$O54)/J$9,IF($J$7=2,HLOOKUP(J$11,index1970,Query!$O54)/J$9 * HLOOKUP(J$11,comboutfac,Query!$O54),HLOOKUP(J$11,index1970,Query!$O54)/J$9 * HLOOKUP(J$11,comboutfac,Query!$O54) /J$8))</f>
        <v>1.4808810033649433</v>
      </c>
      <c r="K19" s="120">
        <f ca="1">IF($J$7=1,HLOOKUP(K$11,index1970,Query!$O54)/K$9,IF($J$7=2,HLOOKUP(K$11,index1970,Query!$O54)/K$9 * HLOOKUP(K$11,comboutfac,Query!$O54),HLOOKUP(K$11,index1970,Query!$O54)/K$9 * HLOOKUP(K$11,comboutfac,Query!$O54) /K$8))</f>
        <v>1.7007344634785537</v>
      </c>
      <c r="L19" s="120">
        <f ca="1">IF($J$7=1,HLOOKUP(L$11,index1970,Query!$O54)/L$9,IF($J$7=2,HLOOKUP(L$11,index1970,Query!$O54)/L$9 * HLOOKUP(L$11,comboutfac,Query!$O54),HLOOKUP(L$11,index1970,Query!$O54)/L$9 * HLOOKUP(L$11,comboutfac,Query!$O54) /L$8))</f>
        <v>1.7969253192163723</v>
      </c>
      <c r="M19" s="120">
        <f ca="1">IF($J$7=1,HLOOKUP(M$11,index1970,Query!$O54)/M$9,IF($J$7=2,HLOOKUP(M$11,index1970,Query!$O54)/M$9 * HLOOKUP(M$11,comboutfac,Query!$O54),HLOOKUP(M$11,index1970,Query!$O54)/M$9 * HLOOKUP(M$11,comboutfac,Query!$O54) /M$8))</f>
        <v>1.4204398882863987</v>
      </c>
      <c r="N19" s="120">
        <f ca="1">IF($J$7=1,HLOOKUP(N$11,index1970,Query!$O54)/N$9,IF($J$7=2,HLOOKUP(N$11,index1970,Query!$O54)/N$9 * HLOOKUP(N$11,comboutfac,Query!$O54),HLOOKUP(N$11,index1970,Query!$O54)/N$9 * HLOOKUP(N$11,comboutfac,Query!$O54) /N$8))</f>
        <v>1.811864473780044</v>
      </c>
      <c r="O19" s="120">
        <f ca="1">IF($J$7=1,HLOOKUP(O$11,index1970,Query!$O54)/O$9,IF($J$7=2,HLOOKUP(O$11,index1970,Query!$O54)/O$9 * HLOOKUP(O$11,comboutfac,Query!$O54),HLOOKUP(O$11,index1970,Query!$O54)/O$9 * HLOOKUP(O$11,comboutfac,Query!$O54) /O$8))</f>
        <v>1.8061951665162086</v>
      </c>
      <c r="P19" s="120">
        <f ca="1">IF($J$7=1,HLOOKUP(P$11,index1970,Query!$O54)/P$9,IF($J$7=2,HLOOKUP(P$11,index1970,Query!$O54)/P$9 * HLOOKUP(P$11,comboutfac,Query!$O54),HLOOKUP(P$11,index1970,Query!$O54)/P$9 * HLOOKUP(P$11,comboutfac,Query!$O54) /P$8))</f>
        <v>1.678369853560379</v>
      </c>
      <c r="Q19" s="120">
        <f ca="1">IF($J$7=1,HLOOKUP(Q$11,index1970,Query!$O54)/Q$9,IF($J$7=2,HLOOKUP(Q$11,index1970,Query!$O54)/Q$9 * HLOOKUP(Q$11,comboutfac,Query!$O54),HLOOKUP(Q$11,index1970,Query!$O54)/Q$9 * HLOOKUP(Q$11,comboutfac,Query!$O54) /Q$8))</f>
        <v>1.3784417996426739</v>
      </c>
      <c r="R19" s="120">
        <f ca="1">IF($J$7=1,HLOOKUP(R$11,index1970,Query!$O54)/R$9,IF($J$7=2,HLOOKUP(R$11,index1970,Query!$O54)/R$9 * HLOOKUP(R$11,comboutfac,Query!$O54),HLOOKUP(R$11,index1970,Query!$O54)/R$9 * HLOOKUP(R$11,comboutfac,Query!$O54) /R$8))</f>
        <v>1.6404751488425888</v>
      </c>
      <c r="S19" s="120">
        <f ca="1">IF($J$7=1,HLOOKUP(S$11,index1970,Query!$O54)/S$9,IF($J$7=2,HLOOKUP(S$11,index1970,Query!$O54)/S$9 * HLOOKUP(S$11,comboutfac,Query!$O54),HLOOKUP(S$11,index1970,Query!$O54)/S$9 * HLOOKUP(S$11,comboutfac,Query!$O54) /S$8))</f>
        <v>1.3784534293241724</v>
      </c>
      <c r="T19" s="120">
        <f ca="1">IF($J$7=1,HLOOKUP(T$11,index1970,Query!$O54)/T$9,IF($J$7=2,HLOOKUP(T$11,index1970,Query!$O54)/T$9 * HLOOKUP(T$11,comboutfac,Query!$O54),HLOOKUP(T$11,index1970,Query!$O54)/T$9 * HLOOKUP(T$11,comboutfac,Query!$O54) /T$8))</f>
        <v>1.414664575490427</v>
      </c>
      <c r="U19" s="120">
        <f ca="1">IF($J$7=1,HLOOKUP(U$11,index1970,Query!$O54)/U$9,IF($J$7=2,HLOOKUP(U$11,index1970,Query!$O54)/U$9 * HLOOKUP(U$11,comboutfac,Query!$O54),HLOOKUP(U$11,index1970,Query!$O54)/U$9 * HLOOKUP(U$11,comboutfac,Query!$O54) /U$8))</f>
        <v>2.0374788064262219</v>
      </c>
      <c r="V19" s="120">
        <f ca="1">IF($J$7=1,HLOOKUP(V$11,index1970,Query!$O54)/V$9,IF($J$7=2,HLOOKUP(V$11,index1970,Query!$O54)/V$9 * HLOOKUP(V$11,comboutfac,Query!$O54),HLOOKUP(V$11,index1970,Query!$O54)/V$9 * HLOOKUP(V$11,comboutfac,Query!$O54) /V$8))</f>
        <v>1.6283593394677462</v>
      </c>
      <c r="W19" s="120">
        <f ca="1">IF($J$7=1,HLOOKUP(W$11,index1970,Query!$O54)/W$9,IF($J$7=2,HLOOKUP(W$11,index1970,Query!$O54)/W$9 * HLOOKUP(W$11,comboutfac,Query!$O54),HLOOKUP(W$11,index1970,Query!$O54)/W$9 * HLOOKUP(W$11,comboutfac,Query!$O54) /W$8))</f>
        <v>1.6244702124944914</v>
      </c>
      <c r="X19" s="120">
        <f ca="1">IF($J$7=1,HLOOKUP(X$11,index1970,Query!$O54)/X$9,IF($J$7=2,HLOOKUP(X$11,index1970,Query!$O54)/X$9 * HLOOKUP(X$11,comboutfac,Query!$O54),HLOOKUP(X$11,index1970,Query!$O54)/X$9 * HLOOKUP(X$11,comboutfac,Query!$O54) /X$8))</f>
        <v>1.6341679409559247</v>
      </c>
      <c r="Y19" s="120">
        <f ca="1">IF($J$7=1,HLOOKUP(Y$11,index1970,Query!$O54)/Y$9,IF($J$7=2,HLOOKUP(Y$11,index1970,Query!$O54)/Y$9 * HLOOKUP(Y$11,comboutfac,Query!$O54),HLOOKUP(Y$11,index1970,Query!$O54)/Y$9 * HLOOKUP(Y$11,comboutfac,Query!$O54) /Y$8))</f>
        <v>1.6280300441337188</v>
      </c>
      <c r="Z19" s="120">
        <f ca="1">IF($J$7=1,HLOOKUP(Z$11,index1970,Query!$O54)/Z$9,IF($J$7=2,HLOOKUP(Z$11,index1970,Query!$O54)/Z$9 * HLOOKUP(Z$11,comboutfac,Query!$O54),HLOOKUP(Z$11,index1970,Query!$O54)/Z$9 * HLOOKUP(Z$11,comboutfac,Query!$O54) /Z$8))</f>
        <v>1.5963218861634585</v>
      </c>
      <c r="AA19" s="120">
        <f ca="1">IF($J$7=1,HLOOKUP(AA$11,index1970,Query!$O54)/AA$9,IF($J$7=2,HLOOKUP(AA$11,index1970,Query!$O54)/AA$9 * HLOOKUP(AA$11,comboutfac,Query!$O54),HLOOKUP(AA$11,index1970,Query!$O54)/AA$9 * HLOOKUP(AA$11,comboutfac,Query!$O54) /AA$8))</f>
        <v>1.6341679409559247</v>
      </c>
      <c r="AB19" s="120">
        <f ca="1">IF($J$7=1,HLOOKUP(AB$11,index1970,Query!$O54)/AB$9,IF($J$7=2,HLOOKUP(AB$11,index1970,Query!$O54)/AB$9 * HLOOKUP(AB$11,comboutfac,Query!$O54),HLOOKUP(AB$11,index1970,Query!$O54)/AB$9 * HLOOKUP(AB$11,comboutfac,Query!$O54) /AB$8))</f>
        <v>1.6207327880102993</v>
      </c>
      <c r="AC19" s="120">
        <f ca="1">IF($J$7=1,HLOOKUP(AC$11,index1970,Query!$O54)/AC$9,IF($J$7=2,HLOOKUP(AC$11,index1970,Query!$O54)/AC$9 * HLOOKUP(AC$11,comboutfac,Query!$O54),HLOOKUP(AC$11,index1970,Query!$O54)/AC$9 * HLOOKUP(AC$11,comboutfac,Query!$O54) /AC$8))</f>
        <v>1.599832273161083</v>
      </c>
      <c r="AD19" s="120">
        <f ca="1">IF($J$7=1,HLOOKUP(AD$11,index1970,Query!$O54)/AD$9,IF($J$7=2,HLOOKUP(AD$11,index1970,Query!$O54)/AD$9 * HLOOKUP(AD$11,comboutfac,Query!$O54),HLOOKUP(AD$11,index1970,Query!$O54)/AD$9 * HLOOKUP(AD$11,comboutfac,Query!$O54) /AD$8))</f>
        <v>1.6297604290878971</v>
      </c>
      <c r="AE19" s="120">
        <f ca="1">IF($J$7=1,HLOOKUP(AE$11,index1970,Query!$O54)/AE$9,IF($J$7=2,HLOOKUP(AE$11,index1970,Query!$O54)/AE$9 * HLOOKUP(AE$11,comboutfac,Query!$O54),HLOOKUP(AE$11,index1970,Query!$O54)/AE$9 * HLOOKUP(AE$11,comboutfac,Query!$O54) /AE$8))</f>
        <v>1.5431301376398023</v>
      </c>
      <c r="AF19" s="120">
        <f ca="1">IF($J$7=1,HLOOKUP(AF$11,index1970,Query!$O54)/AF$9,IF($J$7=2,HLOOKUP(AF$11,index1970,Query!$O54)/AF$9 * HLOOKUP(AF$11,comboutfac,Query!$O54),HLOOKUP(AF$11,index1970,Query!$O54)/AF$9 * HLOOKUP(AF$11,comboutfac,Query!$O54) /AF$8))</f>
        <v>2.0551558184019654</v>
      </c>
      <c r="AG19" s="120">
        <f ca="1">IF($J$7=1,HLOOKUP(AG$11,index1970,Query!$O54)/AG$9,IF($J$7=2,HLOOKUP(AG$11,index1970,Query!$O54)/AG$9 * HLOOKUP(AG$11,comboutfac,Query!$O54),HLOOKUP(AG$11,index1970,Query!$O54)/AG$9 * HLOOKUP(AG$11,comboutfac,Query!$O54) /AG$8))</f>
        <v>1.5446567247541994</v>
      </c>
      <c r="AH19" s="120">
        <f ca="1">IF($J$7=1,HLOOKUP(AH$11,index1970,Query!$O54)/AH$9,IF($J$7=2,HLOOKUP(AH$11,index1970,Query!$O54)/AH$9 * HLOOKUP(AH$11,comboutfac,Query!$O54),HLOOKUP(AH$11,index1970,Query!$O54)/AH$9 * HLOOKUP(AH$11,comboutfac,Query!$O54) /AH$8))</f>
        <v>1.4204398882863987</v>
      </c>
      <c r="AI19" s="120">
        <f ca="1">IF($J$7=1,HLOOKUP(AI$11,index1970,Query!$O54)/AI$9,IF($J$7=2,HLOOKUP(AI$11,index1970,Query!$O54)/AI$9 * HLOOKUP(AI$11,comboutfac,Query!$O54),HLOOKUP(AI$11,index1970,Query!$O54)/AI$9 * HLOOKUP(AI$11,comboutfac,Query!$O54) /AI$8))</f>
        <v>1.5066737501254182</v>
      </c>
      <c r="AJ19" s="120">
        <f ca="1">IF($J$7=1,HLOOKUP(AJ$11,index1970,Query!$O54)/AJ$9,IF($J$7=2,HLOOKUP(AJ$11,index1970,Query!$O54)/AJ$9 * HLOOKUP(AJ$11,comboutfac,Query!$O54),HLOOKUP(AJ$11,index1970,Query!$O54)/AJ$9 * HLOOKUP(AJ$11,comboutfac,Query!$O54) /AJ$8))</f>
        <v>1.4204398882863987</v>
      </c>
      <c r="AK19" s="120">
        <f ca="1">IF($J$7=1,HLOOKUP(AK$11,index1970,Query!$O54)/AK$9,IF($J$7=2,HLOOKUP(AK$11,index1970,Query!$O54)/AK$9 * HLOOKUP(AK$11,comboutfac,Query!$O54),HLOOKUP(AK$11,index1970,Query!$O54)/AK$9 * HLOOKUP(AK$11,comboutfac,Query!$O54) /AK$8))</f>
        <v>1.4946929452403996</v>
      </c>
      <c r="AL19" s="120">
        <f ca="1">IF($J$7=1,HLOOKUP(AL$11,index1970,Query!$O54)/AL$9,IF($J$7=2,HLOOKUP(AL$11,index1970,Query!$O54)/AL$9 * HLOOKUP(AL$11,comboutfac,Query!$O54),HLOOKUP(AL$11,index1970,Query!$O54)/AL$9 * HLOOKUP(AL$11,comboutfac,Query!$O54) /AL$8))</f>
        <v>1.6291155252647473</v>
      </c>
      <c r="AM19" s="120">
        <f ca="1">IF($J$7=1,HLOOKUP(AM$11,index1970,Query!$O54)/AM$9,IF($J$7=2,HLOOKUP(AM$11,index1970,Query!$O54)/AM$9 * HLOOKUP(AM$11,comboutfac,Query!$O54),HLOOKUP(AM$11,index1970,Query!$O54)/AM$9 * HLOOKUP(AM$11,comboutfac,Query!$O54) /AM$8))</f>
        <v>1.3784417996426739</v>
      </c>
      <c r="AN19" s="120">
        <f ca="1">IF($J$7=1,HLOOKUP(AN$11,index1970,Query!$O54)/AN$9,IF($J$7=2,HLOOKUP(AN$11,index1970,Query!$O54)/AN$9 * HLOOKUP(AN$11,comboutfac,Query!$O54),HLOOKUP(AN$11,index1970,Query!$O54)/AN$9 * HLOOKUP(AN$11,comboutfac,Query!$O54) /AN$8))</f>
        <v>1.6495062353192553</v>
      </c>
      <c r="AO19" s="120">
        <f ca="1">IF($J$7=1,HLOOKUP(AO$11,index1970,Query!$O54)/AO$9,IF($J$7=2,HLOOKUP(AO$11,index1970,Query!$O54)/AO$9 * HLOOKUP(AO$11,comboutfac,Query!$O54),HLOOKUP(AO$11,index1970,Query!$O54)/AO$9 * HLOOKUP(AO$11,comboutfac,Query!$O54) /AO$8))</f>
        <v>1.3784534293241724</v>
      </c>
      <c r="AP19" s="120">
        <f ca="1">IF($J$7=1,HLOOKUP(AP$11,index1970,Query!$O54)/AP$9,IF($J$7=2,HLOOKUP(AP$11,index1970,Query!$O54)/AP$9 * HLOOKUP(AP$11,comboutfac,Query!$O54),HLOOKUP(AP$11,index1970,Query!$O54)/AP$9 * HLOOKUP(AP$11,comboutfac,Query!$O54) /AP$8))</f>
        <v>2.5135897533021674</v>
      </c>
      <c r="AQ19" s="683">
        <f ca="1">IF($J$7=1,HLOOKUP(AQ$11,index1970,Query!$O54)/AQ$9,IF($J$7=2,HLOOKUP(AQ$11,index1970,Query!$O54)/AQ$9 * HLOOKUP(AQ$11,comboutfac,Query!$O54),HLOOKUP(AQ$11,index1970,Query!$O54)/AQ$9 * HLOOKUP(AQ$11,comboutfac,Query!$O54) /AQ$8))</f>
        <v>2.0374788064262219</v>
      </c>
      <c r="AR19" s="120">
        <f ca="1">IF($J$7=1,HLOOKUP(AR$11,index1970,Query!$O54)/AR$9,IF($J$7=2,HLOOKUP(AR$11,index1970,Query!$O54)/AR$9 * HLOOKUP(AR$11,comboutfac,Query!$O54),HLOOKUP(AR$11,index1970,Query!$O54)/AR$9 * HLOOKUP(AR$11,comboutfac,Query!$O54) /AR$8))</f>
        <v>1.5215564672333297</v>
      </c>
      <c r="AS19" s="213"/>
    </row>
    <row r="20" spans="1:45" s="122" customFormat="1">
      <c r="A20" s="218" t="s">
        <v>1</v>
      </c>
      <c r="B20" s="120">
        <f ca="1">IF($J$7=1,HLOOKUP(B$11,index1970,Query!$O55)/B$9,IF($J$7=2,HLOOKUP(B$11,index1970,Query!$O55)/B$9 * HLOOKUP(B$11,comboutfac,Query!$O55),HLOOKUP(B$11,index1970,Query!$O55)/B$9 * HLOOKUP(B$11,comboutfac,Query!$O55) /B$8))</f>
        <v>1.589150064756252</v>
      </c>
      <c r="C20" s="120">
        <f ca="1">IF($J$7=1,HLOOKUP(C$11,index1970,Query!$O55)/C$9,IF($J$7=2,HLOOKUP(C$11,index1970,Query!$O55)/C$9 * HLOOKUP(C$11,comboutfac,Query!$O55),HLOOKUP(C$11,index1970,Query!$O55)/C$9 * HLOOKUP(C$11,comboutfac,Query!$O55) /C$8))</f>
        <v>1.9221485174115889</v>
      </c>
      <c r="D20" s="120">
        <f ca="1">IF($J$7=1,HLOOKUP(D$11,index1970,Query!$O55)/D$9,IF($J$7=2,HLOOKUP(D$11,index1970,Query!$O55)/D$9 * HLOOKUP(D$11,comboutfac,Query!$O55),HLOOKUP(D$11,index1970,Query!$O55)/D$9 * HLOOKUP(D$11,comboutfac,Query!$O55) /D$8))</f>
        <v>1.6914447991689858</v>
      </c>
      <c r="E20" s="120">
        <f ca="1">IF($J$7=1,HLOOKUP(E$11,index1970,Query!$O55)/E$9,IF($J$7=2,HLOOKUP(E$11,index1970,Query!$O55)/E$9 * HLOOKUP(E$11,comboutfac,Query!$O55),HLOOKUP(E$11,index1970,Query!$O55)/E$9 * HLOOKUP(E$11,comboutfac,Query!$O55) /E$8))</f>
        <v>1.6467419305138906</v>
      </c>
      <c r="F20" s="120">
        <f ca="1">IF($J$7=1,HLOOKUP(F$11,index1970,Query!$O55)/F$9,IF($J$7=2,HLOOKUP(F$11,index1970,Query!$O55)/F$9 * HLOOKUP(F$11,comboutfac,Query!$O55),HLOOKUP(F$11,index1970,Query!$O55)/F$9 * HLOOKUP(F$11,comboutfac,Query!$O55) /F$8))</f>
        <v>1.9221485174115889</v>
      </c>
      <c r="G20" s="120">
        <f ca="1">IF($J$7=1,HLOOKUP(G$11,index1970,Query!$O55)/G$9,IF($J$7=2,HLOOKUP(G$11,index1970,Query!$O55)/G$9 * HLOOKUP(G$11,comboutfac,Query!$O55),HLOOKUP(G$11,index1970,Query!$O55)/G$9 * HLOOKUP(G$11,comboutfac,Query!$O55) /G$8))</f>
        <v>1.862432884466269</v>
      </c>
      <c r="H20" s="120">
        <f ca="1">IF($J$7=1,HLOOKUP(H$11,index1970,Query!$O55)/H$9,IF($J$7=2,HLOOKUP(H$11,index1970,Query!$O55)/H$9 * HLOOKUP(H$11,comboutfac,Query!$O55),HLOOKUP(H$11,index1970,Query!$O55)/H$9 * HLOOKUP(H$11,comboutfac,Query!$O55) /H$8))</f>
        <v>1.7010233520353137</v>
      </c>
      <c r="I20" s="120">
        <f ca="1">IF($J$7=1,HLOOKUP(I$11,index1970,Query!$O55)/I$9,IF($J$7=2,HLOOKUP(I$11,index1970,Query!$O55)/I$9 * HLOOKUP(I$11,comboutfac,Query!$O55),HLOOKUP(I$11,index1970,Query!$O55)/I$9 * HLOOKUP(I$11,comboutfac,Query!$O55) /I$8))</f>
        <v>1.6952400027336134</v>
      </c>
      <c r="J20" s="120">
        <f ca="1">IF($J$7=1,HLOOKUP(J$11,index1970,Query!$O55)/J$9,IF($J$7=2,HLOOKUP(J$11,index1970,Query!$O55)/J$9 * HLOOKUP(J$11,comboutfac,Query!$O55),HLOOKUP(J$11,index1970,Query!$O55)/J$9 * HLOOKUP(J$11,comboutfac,Query!$O55) /J$8))</f>
        <v>1.4808810033649433</v>
      </c>
      <c r="K20" s="120">
        <f ca="1">IF($J$7=1,HLOOKUP(K$11,index1970,Query!$O55)/K$9,IF($J$7=2,HLOOKUP(K$11,index1970,Query!$O55)/K$9 * HLOOKUP(K$11,comboutfac,Query!$O55),HLOOKUP(K$11,index1970,Query!$O55)/K$9 * HLOOKUP(K$11,comboutfac,Query!$O55) /K$8))</f>
        <v>1.7218235708256877</v>
      </c>
      <c r="L20" s="120">
        <f ca="1">IF($J$7=1,HLOOKUP(L$11,index1970,Query!$O55)/L$9,IF($J$7=2,HLOOKUP(L$11,index1970,Query!$O55)/L$9 * HLOOKUP(L$11,comboutfac,Query!$O55),HLOOKUP(L$11,index1970,Query!$O55)/L$9 * HLOOKUP(L$11,comboutfac,Query!$O55) /L$8))</f>
        <v>1.9028763054744222</v>
      </c>
      <c r="M20" s="120">
        <f ca="1">IF($J$7=1,HLOOKUP(M$11,index1970,Query!$O55)/M$9,IF($J$7=2,HLOOKUP(M$11,index1970,Query!$O55)/M$9 * HLOOKUP(M$11,comboutfac,Query!$O55),HLOOKUP(M$11,index1970,Query!$O55)/M$9 * HLOOKUP(M$11,comboutfac,Query!$O55) /M$8))</f>
        <v>1.4710075483093945</v>
      </c>
      <c r="N20" s="120">
        <f ca="1">IF($J$7=1,HLOOKUP(N$11,index1970,Query!$O55)/N$9,IF($J$7=2,HLOOKUP(N$11,index1970,Query!$O55)/N$9 * HLOOKUP(N$11,comboutfac,Query!$O55),HLOOKUP(N$11,index1970,Query!$O55)/N$9 * HLOOKUP(N$11,comboutfac,Query!$O55) /N$8))</f>
        <v>1.9221485174115889</v>
      </c>
      <c r="O20" s="120">
        <f ca="1">IF($J$7=1,HLOOKUP(O$11,index1970,Query!$O55)/O$9,IF($J$7=2,HLOOKUP(O$11,index1970,Query!$O55)/O$9 * HLOOKUP(O$11,comboutfac,Query!$O55),HLOOKUP(O$11,index1970,Query!$O55)/O$9 * HLOOKUP(O$11,comboutfac,Query!$O55) /O$8))</f>
        <v>1.9414996566994236</v>
      </c>
      <c r="P20" s="120">
        <f ca="1">IF($J$7=1,HLOOKUP(P$11,index1970,Query!$O55)/P$9,IF($J$7=2,HLOOKUP(P$11,index1970,Query!$O55)/P$9 * HLOOKUP(P$11,comboutfac,Query!$O55),HLOOKUP(P$11,index1970,Query!$O55)/P$9 * HLOOKUP(P$11,comboutfac,Query!$O55) /P$8))</f>
        <v>1.7039280013224889</v>
      </c>
      <c r="Q20" s="120">
        <f ca="1">IF($J$7=1,HLOOKUP(Q$11,index1970,Query!$O55)/Q$9,IF($J$7=2,HLOOKUP(Q$11,index1970,Query!$O55)/Q$9 * HLOOKUP(Q$11,comboutfac,Query!$O55),HLOOKUP(Q$11,index1970,Query!$O55)/Q$9 * HLOOKUP(Q$11,comboutfac,Query!$O55) /Q$8))</f>
        <v>1.4546165489273377</v>
      </c>
      <c r="R20" s="120">
        <f ca="1">IF($J$7=1,HLOOKUP(R$11,index1970,Query!$O55)/R$9,IF($J$7=2,HLOOKUP(R$11,index1970,Query!$O55)/R$9 * HLOOKUP(R$11,comboutfac,Query!$O55),HLOOKUP(R$11,index1970,Query!$O55)/R$9 * HLOOKUP(R$11,comboutfac,Query!$O55) /R$8))</f>
        <v>1.6735393542629406</v>
      </c>
      <c r="S20" s="120">
        <f ca="1">IF($J$7=1,HLOOKUP(S$11,index1970,Query!$O55)/S$9,IF($J$7=2,HLOOKUP(S$11,index1970,Query!$O55)/S$9 * HLOOKUP(S$11,comboutfac,Query!$O55),HLOOKUP(S$11,index1970,Query!$O55)/S$9 * HLOOKUP(S$11,comboutfac,Query!$O55) /S$8))</f>
        <v>1.4553419224100159</v>
      </c>
      <c r="T20" s="120">
        <f ca="1">IF($J$7=1,HLOOKUP(T$11,index1970,Query!$O55)/T$9,IF($J$7=2,HLOOKUP(T$11,index1970,Query!$O55)/T$9 * HLOOKUP(T$11,comboutfac,Query!$O55),HLOOKUP(T$11,index1970,Query!$O55)/T$9 * HLOOKUP(T$11,comboutfac,Query!$O55) /T$8))</f>
        <v>1.4650266343778862</v>
      </c>
      <c r="U20" s="120">
        <f ca="1">IF($J$7=1,HLOOKUP(U$11,index1970,Query!$O55)/U$9,IF($J$7=2,HLOOKUP(U$11,index1970,Query!$O55)/U$9 * HLOOKUP(U$11,comboutfac,Query!$O55),HLOOKUP(U$11,index1970,Query!$O55)/U$9 * HLOOKUP(U$11,comboutfac,Query!$O55) /U$8))</f>
        <v>2.2479866789983469</v>
      </c>
      <c r="V20" s="120">
        <f ca="1">IF($J$7=1,HLOOKUP(V$11,index1970,Query!$O55)/V$9,IF($J$7=2,HLOOKUP(V$11,index1970,Query!$O55)/V$9 * HLOOKUP(V$11,comboutfac,Query!$O55),HLOOKUP(V$11,index1970,Query!$O55)/V$9 * HLOOKUP(V$11,comboutfac,Query!$O55) /V$8))</f>
        <v>1.6754189243783639</v>
      </c>
      <c r="W20" s="120">
        <f ca="1">IF($J$7=1,HLOOKUP(W$11,index1970,Query!$O55)/W$9,IF($J$7=2,HLOOKUP(W$11,index1970,Query!$O55)/W$9 * HLOOKUP(W$11,comboutfac,Query!$O55),HLOOKUP(W$11,index1970,Query!$O55)/W$9 * HLOOKUP(W$11,comboutfac,Query!$O55) /W$8))</f>
        <v>1.6948572396767196</v>
      </c>
      <c r="X20" s="120">
        <f ca="1">IF($J$7=1,HLOOKUP(X$11,index1970,Query!$O55)/X$9,IF($J$7=2,HLOOKUP(X$11,index1970,Query!$O55)/X$9 * HLOOKUP(X$11,comboutfac,Query!$O55),HLOOKUP(X$11,index1970,Query!$O55)/X$9 * HLOOKUP(X$11,comboutfac,Query!$O55) /X$8))</f>
        <v>1.7152440942788649</v>
      </c>
      <c r="Y20" s="120">
        <f ca="1">IF($J$7=1,HLOOKUP(Y$11,index1970,Query!$O55)/Y$9,IF($J$7=2,HLOOKUP(Y$11,index1970,Query!$O55)/Y$9 * HLOOKUP(Y$11,comboutfac,Query!$O55),HLOOKUP(Y$11,index1970,Query!$O55)/Y$9 * HLOOKUP(Y$11,comboutfac,Query!$O55) /Y$8))</f>
        <v>1.7037331199171688</v>
      </c>
      <c r="Z20" s="120">
        <f ca="1">IF($J$7=1,HLOOKUP(Z$11,index1970,Query!$O55)/Z$9,IF($J$7=2,HLOOKUP(Z$11,index1970,Query!$O55)/Z$9 * HLOOKUP(Z$11,comboutfac,Query!$O55),HLOOKUP(Z$11,index1970,Query!$O55)/Z$9 * HLOOKUP(Z$11,comboutfac,Query!$O55) /Z$8))</f>
        <v>1.6487717142364848</v>
      </c>
      <c r="AA20" s="120">
        <f ca="1">IF($J$7=1,HLOOKUP(AA$11,index1970,Query!$O55)/AA$9,IF($J$7=2,HLOOKUP(AA$11,index1970,Query!$O55)/AA$9 * HLOOKUP(AA$11,comboutfac,Query!$O55),HLOOKUP(AA$11,index1970,Query!$O55)/AA$9 * HLOOKUP(AA$11,comboutfac,Query!$O55) /AA$8))</f>
        <v>1.7152440942788649</v>
      </c>
      <c r="AB20" s="120">
        <f ca="1">IF($J$7=1,HLOOKUP(AB$11,index1970,Query!$O55)/AB$9,IF($J$7=2,HLOOKUP(AB$11,index1970,Query!$O55)/AB$9 * HLOOKUP(AB$11,comboutfac,Query!$O55),HLOOKUP(AB$11,index1970,Query!$O55)/AB$9 * HLOOKUP(AB$11,comboutfac,Query!$O55) /AB$8))</f>
        <v>1.6849918218623781</v>
      </c>
      <c r="AC20" s="120">
        <f ca="1">IF($J$7=1,HLOOKUP(AC$11,index1970,Query!$O55)/AC$9,IF($J$7=2,HLOOKUP(AC$11,index1970,Query!$O55)/AC$9 * HLOOKUP(AC$11,comboutfac,Query!$O55),HLOOKUP(AC$11,index1970,Query!$O55)/AC$9 * HLOOKUP(AC$11,comboutfac,Query!$O55) /AC$8))</f>
        <v>1.6454933568430763</v>
      </c>
      <c r="AD20" s="120">
        <f ca="1">IF($J$7=1,HLOOKUP(AD$11,index1970,Query!$O55)/AD$9,IF($J$7=2,HLOOKUP(AD$11,index1970,Query!$O55)/AD$9 * HLOOKUP(AD$11,comboutfac,Query!$O55),HLOOKUP(AD$11,index1970,Query!$O55)/AD$9 * HLOOKUP(AD$11,comboutfac,Query!$O55) /AD$8))</f>
        <v>1.6881859430247794</v>
      </c>
      <c r="AE20" s="120">
        <f ca="1">IF($J$7=1,HLOOKUP(AE$11,index1970,Query!$O55)/AE$9,IF($J$7=2,HLOOKUP(AE$11,index1970,Query!$O55)/AE$9 * HLOOKUP(AE$11,comboutfac,Query!$O55),HLOOKUP(AE$11,index1970,Query!$O55)/AE$9 * HLOOKUP(AE$11,comboutfac,Query!$O55) /AE$8))</f>
        <v>1.6492420203127194</v>
      </c>
      <c r="AF20" s="120">
        <f ca="1">IF($J$7=1,HLOOKUP(AF$11,index1970,Query!$O55)/AF$9,IF($J$7=2,HLOOKUP(AF$11,index1970,Query!$O55)/AF$9 * HLOOKUP(AF$11,comboutfac,Query!$O55),HLOOKUP(AF$11,index1970,Query!$O55)/AF$9 * HLOOKUP(AF$11,comboutfac,Query!$O55) /AF$8))</f>
        <v>2.1640158569808174</v>
      </c>
      <c r="AG20" s="120">
        <f ca="1">IF($J$7=1,HLOOKUP(AG$11,index1970,Query!$O55)/AG$9,IF($J$7=2,HLOOKUP(AG$11,index1970,Query!$O55)/AG$9 * HLOOKUP(AG$11,comboutfac,Query!$O55),HLOOKUP(AG$11,index1970,Query!$O55)/AG$9 * HLOOKUP(AG$11,comboutfac,Query!$O55) /AG$8))</f>
        <v>1.6545774118534216</v>
      </c>
      <c r="AH20" s="120">
        <f ca="1">IF($J$7=1,HLOOKUP(AH$11,index1970,Query!$O55)/AH$9,IF($J$7=2,HLOOKUP(AH$11,index1970,Query!$O55)/AH$9 * HLOOKUP(AH$11,comboutfac,Query!$O55),HLOOKUP(AH$11,index1970,Query!$O55)/AH$9 * HLOOKUP(AH$11,comboutfac,Query!$O55) /AH$8))</f>
        <v>1.4710075483093945</v>
      </c>
      <c r="AI20" s="120">
        <f ca="1">IF($J$7=1,HLOOKUP(AI$11,index1970,Query!$O55)/AI$9,IF($J$7=2,HLOOKUP(AI$11,index1970,Query!$O55)/AI$9 * HLOOKUP(AI$11,comboutfac,Query!$O55),HLOOKUP(AI$11,index1970,Query!$O55)/AI$9 * HLOOKUP(AI$11,comboutfac,Query!$O55) /AI$8))</f>
        <v>1.5662493098199182</v>
      </c>
      <c r="AJ20" s="120">
        <f ca="1">IF($J$7=1,HLOOKUP(AJ$11,index1970,Query!$O55)/AJ$9,IF($J$7=2,HLOOKUP(AJ$11,index1970,Query!$O55)/AJ$9 * HLOOKUP(AJ$11,comboutfac,Query!$O55),HLOOKUP(AJ$11,index1970,Query!$O55)/AJ$9 * HLOOKUP(AJ$11,comboutfac,Query!$O55) /AJ$8))</f>
        <v>1.4710075483093945</v>
      </c>
      <c r="AK20" s="120">
        <f ca="1">IF($J$7=1,HLOOKUP(AK$11,index1970,Query!$O55)/AK$9,IF($J$7=2,HLOOKUP(AK$11,index1970,Query!$O55)/AK$9 * HLOOKUP(AK$11,comboutfac,Query!$O55),HLOOKUP(AK$11,index1970,Query!$O55)/AK$9 * HLOOKUP(AK$11,comboutfac,Query!$O55) /AK$8))</f>
        <v>1.5557134497763698</v>
      </c>
      <c r="AL20" s="120">
        <f ca="1">IF($J$7=1,HLOOKUP(AL$11,index1970,Query!$O55)/AL$9,IF($J$7=2,HLOOKUP(AL$11,index1970,Query!$O55)/AL$9 * HLOOKUP(AL$11,comboutfac,Query!$O55),HLOOKUP(AL$11,index1970,Query!$O55)/AL$9 * HLOOKUP(AL$11,comboutfac,Query!$O55) /AL$8))</f>
        <v>1.6641855806974077</v>
      </c>
      <c r="AM20" s="120">
        <f ca="1">IF($J$7=1,HLOOKUP(AM$11,index1970,Query!$O55)/AM$9,IF($J$7=2,HLOOKUP(AM$11,index1970,Query!$O55)/AM$9 * HLOOKUP(AM$11,comboutfac,Query!$O55),HLOOKUP(AM$11,index1970,Query!$O55)/AM$9 * HLOOKUP(AM$11,comboutfac,Query!$O55) /AM$8))</f>
        <v>1.4546165489273373</v>
      </c>
      <c r="AN20" s="120">
        <f ca="1">IF($J$7=1,HLOOKUP(AN$11,index1970,Query!$O55)/AN$9,IF($J$7=2,HLOOKUP(AN$11,index1970,Query!$O55)/AN$9 * HLOOKUP(AN$11,comboutfac,Query!$O55),HLOOKUP(AN$11,index1970,Query!$O55)/AN$9 * HLOOKUP(AN$11,comboutfac,Query!$O55) /AN$8))</f>
        <v>1.6805810534248369</v>
      </c>
      <c r="AO20" s="120">
        <f ca="1">IF($J$7=1,HLOOKUP(AO$11,index1970,Query!$O55)/AO$9,IF($J$7=2,HLOOKUP(AO$11,index1970,Query!$O55)/AO$9 * HLOOKUP(AO$11,comboutfac,Query!$O55),HLOOKUP(AO$11,index1970,Query!$O55)/AO$9 * HLOOKUP(AO$11,comboutfac,Query!$O55) /AO$8))</f>
        <v>1.4539833023666195</v>
      </c>
      <c r="AP20" s="120">
        <f ca="1">IF($J$7=1,HLOOKUP(AP$11,index1970,Query!$O55)/AP$9,IF($J$7=2,HLOOKUP(AP$11,index1970,Query!$O55)/AP$9 * HLOOKUP(AP$11,comboutfac,Query!$O55),HLOOKUP(AP$11,index1970,Query!$O55)/AP$9 * HLOOKUP(AP$11,comboutfac,Query!$O55) /AP$8))</f>
        <v>2.8016981642951828</v>
      </c>
      <c r="AQ20" s="683">
        <f ca="1">IF($J$7=1,HLOOKUP(AQ$11,index1970,Query!$O55)/AQ$9,IF($J$7=2,HLOOKUP(AQ$11,index1970,Query!$O55)/AQ$9 * HLOOKUP(AQ$11,comboutfac,Query!$O55),HLOOKUP(AQ$11,index1970,Query!$O55)/AQ$9 * HLOOKUP(AQ$11,comboutfac,Query!$O55) /AQ$8))</f>
        <v>2.2479866789983469</v>
      </c>
      <c r="AR20" s="120">
        <f ca="1">IF($J$7=1,HLOOKUP(AR$11,index1970,Query!$O55)/AR$9,IF($J$7=2,HLOOKUP(AR$11,index1970,Query!$O55)/AR$9 * HLOOKUP(AR$11,comboutfac,Query!$O55),HLOOKUP(AR$11,index1970,Query!$O55)/AR$9 * HLOOKUP(AR$11,comboutfac,Query!$O55) /AR$8))</f>
        <v>1.5935617643804838</v>
      </c>
      <c r="AS20" s="213"/>
    </row>
    <row r="21" spans="1:45" s="122" customFormat="1">
      <c r="A21" s="121">
        <f>+A19+1</f>
        <v>1977</v>
      </c>
      <c r="B21" s="120">
        <f ca="1">IF($J$7=1,HLOOKUP(B$11,index1970,Query!$O56)/B$9,IF($J$7=2,HLOOKUP(B$11,index1970,Query!$O56)/B$9 * HLOOKUP(B$11,comboutfac,Query!$O56),HLOOKUP(B$11,index1970,Query!$O56)/B$9 * HLOOKUP(B$11,comboutfac,Query!$O56) /B$8))</f>
        <v>1.6654227629200407</v>
      </c>
      <c r="C21" s="120">
        <f ca="1">IF($J$7=1,HLOOKUP(C$11,index1970,Query!$O56)/C$9,IF($J$7=2,HLOOKUP(C$11,index1970,Query!$O56)/C$9 * HLOOKUP(C$11,comboutfac,Query!$O56),HLOOKUP(C$11,index1970,Query!$O56)/C$9 * HLOOKUP(C$11,comboutfac,Query!$O56) /C$8))</f>
        <v>1.9295684701040119</v>
      </c>
      <c r="D21" s="120">
        <f ca="1">IF($J$7=1,HLOOKUP(D$11,index1970,Query!$O56)/D$9,IF($J$7=2,HLOOKUP(D$11,index1970,Query!$O56)/D$9 * HLOOKUP(D$11,comboutfac,Query!$O56),HLOOKUP(D$11,index1970,Query!$O56)/D$9 * HLOOKUP(D$11,comboutfac,Query!$O56) /D$8))</f>
        <v>1.7388052535457175</v>
      </c>
      <c r="E21" s="120">
        <f ca="1">IF($J$7=1,HLOOKUP(E$11,index1970,Query!$O56)/E$9,IF($J$7=2,HLOOKUP(E$11,index1970,Query!$O56)/E$9 * HLOOKUP(E$11,comboutfac,Query!$O56),HLOOKUP(E$11,index1970,Query!$O56)/E$9 * HLOOKUP(E$11,comboutfac,Query!$O56) /E$8))</f>
        <v>1.742088288290645</v>
      </c>
      <c r="F21" s="120">
        <f ca="1">IF($J$7=1,HLOOKUP(F$11,index1970,Query!$O56)/F$9,IF($J$7=2,HLOOKUP(F$11,index1970,Query!$O56)/F$9 * HLOOKUP(F$11,comboutfac,Query!$O56),HLOOKUP(F$11,index1970,Query!$O56)/F$9 * HLOOKUP(F$11,comboutfac,Query!$O56) /F$8))</f>
        <v>1.9295684701040119</v>
      </c>
      <c r="G21" s="120">
        <f ca="1">IF($J$7=1,HLOOKUP(G$11,index1970,Query!$O56)/G$9,IF($J$7=2,HLOOKUP(G$11,index1970,Query!$O56)/G$9 * HLOOKUP(G$11,comboutfac,Query!$O56),HLOOKUP(G$11,index1970,Query!$O56)/G$9 * HLOOKUP(G$11,comboutfac,Query!$O56) /G$8))</f>
        <v>2.0155353599181502</v>
      </c>
      <c r="H21" s="120">
        <f ca="1">IF($J$7=1,HLOOKUP(H$11,index1970,Query!$O56)/H$9,IF($J$7=2,HLOOKUP(H$11,index1970,Query!$O56)/H$9 * HLOOKUP(H$11,comboutfac,Query!$O56),HLOOKUP(H$11,index1970,Query!$O56)/H$9 * HLOOKUP(H$11,comboutfac,Query!$O56) /H$8))</f>
        <v>1.8004419467074739</v>
      </c>
      <c r="I21" s="120">
        <f ca="1">IF($J$7=1,HLOOKUP(I$11,index1970,Query!$O56)/I$9,IF($J$7=2,HLOOKUP(I$11,index1970,Query!$O56)/I$9 * HLOOKUP(I$11,comboutfac,Query!$O56),HLOOKUP(I$11,index1970,Query!$O56)/I$9 * HLOOKUP(I$11,comboutfac,Query!$O56) /I$8))</f>
        <v>1.7942744676026627</v>
      </c>
      <c r="J21" s="120">
        <f ca="1">IF($J$7=1,HLOOKUP(J$11,index1970,Query!$O56)/J$9,IF($J$7=2,HLOOKUP(J$11,index1970,Query!$O56)/J$9 * HLOOKUP(J$11,comboutfac,Query!$O56),HLOOKUP(J$11,index1970,Query!$O56)/J$9 * HLOOKUP(J$11,comboutfac,Query!$O56) /J$8))</f>
        <v>1.6023248699908228</v>
      </c>
      <c r="K21" s="120">
        <f ca="1">IF($J$7=1,HLOOKUP(K$11,index1970,Query!$O56)/K$9,IF($J$7=2,HLOOKUP(K$11,index1970,Query!$O56)/K$9 * HLOOKUP(K$11,comboutfac,Query!$O56),HLOOKUP(K$11,index1970,Query!$O56)/K$9 * HLOOKUP(K$11,comboutfac,Query!$O56) /K$8))</f>
        <v>1.7975838079420181</v>
      </c>
      <c r="L21" s="120">
        <f ca="1">IF($J$7=1,HLOOKUP(L$11,index1970,Query!$O56)/L$9,IF($J$7=2,HLOOKUP(L$11,index1970,Query!$O56)/L$9 * HLOOKUP(L$11,comboutfac,Query!$O56),HLOOKUP(L$11,index1970,Query!$O56)/L$9 * HLOOKUP(L$11,comboutfac,Query!$O56) /L$8))</f>
        <v>1.9170809025294182</v>
      </c>
      <c r="M21" s="120">
        <f ca="1">IF($J$7=1,HLOOKUP(M$11,index1970,Query!$O56)/M$9,IF($J$7=2,HLOOKUP(M$11,index1970,Query!$O56)/M$9 * HLOOKUP(M$11,comboutfac,Query!$O56),HLOOKUP(M$11,index1970,Query!$O56)/M$9 * HLOOKUP(M$11,comboutfac,Query!$O56) /M$8))</f>
        <v>1.5266116336354896</v>
      </c>
      <c r="N21" s="120">
        <f ca="1">IF($J$7=1,HLOOKUP(N$11,index1970,Query!$O56)/N$9,IF($J$7=2,HLOOKUP(N$11,index1970,Query!$O56)/N$9 * HLOOKUP(N$11,comboutfac,Query!$O56),HLOOKUP(N$11,index1970,Query!$O56)/N$9 * HLOOKUP(N$11,comboutfac,Query!$O56) /N$8))</f>
        <v>1.9295684701040119</v>
      </c>
      <c r="O21" s="120">
        <f ca="1">IF($J$7=1,HLOOKUP(O$11,index1970,Query!$O56)/O$9,IF($J$7=2,HLOOKUP(O$11,index1970,Query!$O56)/O$9 * HLOOKUP(O$11,comboutfac,Query!$O56),HLOOKUP(O$11,index1970,Query!$O56)/O$9 * HLOOKUP(O$11,comboutfac,Query!$O56) /O$8))</f>
        <v>1.9295684701040119</v>
      </c>
      <c r="P21" s="120">
        <f ca="1">IF($J$7=1,HLOOKUP(P$11,index1970,Query!$O56)/P$9,IF($J$7=2,HLOOKUP(P$11,index1970,Query!$O56)/P$9 * HLOOKUP(P$11,comboutfac,Query!$O56),HLOOKUP(P$11,index1970,Query!$O56)/P$9 * HLOOKUP(P$11,comboutfac,Query!$O56) /P$8))</f>
        <v>1.7737927487267819</v>
      </c>
      <c r="Q21" s="120">
        <f ca="1">IF($J$7=1,HLOOKUP(Q$11,index1970,Query!$O56)/Q$9,IF($J$7=2,HLOOKUP(Q$11,index1970,Query!$O56)/Q$9 * HLOOKUP(Q$11,comboutfac,Query!$O56),HLOOKUP(Q$11,index1970,Query!$O56)/Q$9 * HLOOKUP(Q$11,comboutfac,Query!$O56) /Q$8))</f>
        <v>1.4524827554609259</v>
      </c>
      <c r="R21" s="120">
        <f ca="1">IF($J$7=1,HLOOKUP(R$11,index1970,Query!$O56)/R$9,IF($J$7=2,HLOOKUP(R$11,index1970,Query!$O56)/R$9 * HLOOKUP(R$11,comboutfac,Query!$O56),HLOOKUP(R$11,index1970,Query!$O56)/R$9 * HLOOKUP(R$11,comboutfac,Query!$O56) /R$8))</f>
        <v>1.7333617942225394</v>
      </c>
      <c r="S21" s="120">
        <f ca="1">IF($J$7=1,HLOOKUP(S$11,index1970,Query!$O56)/S$9,IF($J$7=2,HLOOKUP(S$11,index1970,Query!$O56)/S$9 * HLOOKUP(S$11,comboutfac,Query!$O56),HLOOKUP(S$11,index1970,Query!$O56)/S$9 * HLOOKUP(S$11,comboutfac,Query!$O56) /S$8))</f>
        <v>1.4522118244747872</v>
      </c>
      <c r="T21" s="120">
        <f ca="1">IF($J$7=1,HLOOKUP(T$11,index1970,Query!$O56)/T$9,IF($J$7=2,HLOOKUP(T$11,index1970,Query!$O56)/T$9 * HLOOKUP(T$11,comboutfac,Query!$O56),HLOOKUP(T$11,index1970,Query!$O56)/T$9 * HLOOKUP(T$11,comboutfac,Query!$O56) /T$8))</f>
        <v>1.5204046411573704</v>
      </c>
      <c r="U21" s="120">
        <f ca="1">IF($J$7=1,HLOOKUP(U$11,index1970,Query!$O56)/U$9,IF($J$7=2,HLOOKUP(U$11,index1970,Query!$O56)/U$9 * HLOOKUP(U$11,comboutfac,Query!$O56),HLOOKUP(U$11,index1970,Query!$O56)/U$9 * HLOOKUP(U$11,comboutfac,Query!$O56) /U$8))</f>
        <v>2.2604404627915735</v>
      </c>
      <c r="V21" s="120">
        <f ca="1">IF($J$7=1,HLOOKUP(V$11,index1970,Query!$O56)/V$9,IF($J$7=2,HLOOKUP(V$11,index1970,Query!$O56)/V$9 * HLOOKUP(V$11,comboutfac,Query!$O56),HLOOKUP(V$11,index1970,Query!$O56)/V$9 * HLOOKUP(V$11,comboutfac,Query!$O56) /V$8))</f>
        <v>1.7543311557165848</v>
      </c>
      <c r="W21" s="120">
        <f ca="1">IF($J$7=1,HLOOKUP(W$11,index1970,Query!$O56)/W$9,IF($J$7=2,HLOOKUP(W$11,index1970,Query!$O56)/W$9 * HLOOKUP(W$11,comboutfac,Query!$O56),HLOOKUP(W$11,index1970,Query!$O56)/W$9 * HLOOKUP(W$11,comboutfac,Query!$O56) /W$8))</f>
        <v>1.7675400291005239</v>
      </c>
      <c r="X21" s="120">
        <f ca="1">IF($J$7=1,HLOOKUP(X$11,index1970,Query!$O56)/X$9,IF($J$7=2,HLOOKUP(X$11,index1970,Query!$O56)/X$9 * HLOOKUP(X$11,comboutfac,Query!$O56),HLOOKUP(X$11,index1970,Query!$O56)/X$9 * HLOOKUP(X$11,comboutfac,Query!$O56) /X$8))</f>
        <v>1.7777020905970427</v>
      </c>
      <c r="Y21" s="120">
        <f ca="1">IF($J$7=1,HLOOKUP(Y$11,index1970,Query!$O56)/Y$9,IF($J$7=2,HLOOKUP(Y$11,index1970,Query!$O56)/Y$9 * HLOOKUP(Y$11,comboutfac,Query!$O56),HLOOKUP(Y$11,index1970,Query!$O56)/Y$9 * HLOOKUP(Y$11,comboutfac,Query!$O56) /Y$8))</f>
        <v>1.7710151074273852</v>
      </c>
      <c r="Z21" s="120">
        <f ca="1">IF($J$7=1,HLOOKUP(Z$11,index1970,Query!$O56)/Z$9,IF($J$7=2,HLOOKUP(Z$11,index1970,Query!$O56)/Z$9 * HLOOKUP(Z$11,comboutfac,Query!$O56),HLOOKUP(Z$11,index1970,Query!$O56)/Z$9 * HLOOKUP(Z$11,comboutfac,Query!$O56) /Z$8))</f>
        <v>1.7360038509708358</v>
      </c>
      <c r="AA21" s="120">
        <f ca="1">IF($J$7=1,HLOOKUP(AA$11,index1970,Query!$O56)/AA$9,IF($J$7=2,HLOOKUP(AA$11,index1970,Query!$O56)/AA$9 * HLOOKUP(AA$11,comboutfac,Query!$O56),HLOOKUP(AA$11,index1970,Query!$O56)/AA$9 * HLOOKUP(AA$11,comboutfac,Query!$O56) /AA$8))</f>
        <v>1.7777020905970427</v>
      </c>
      <c r="AB21" s="120">
        <f ca="1">IF($J$7=1,HLOOKUP(AB$11,index1970,Query!$O56)/AB$9,IF($J$7=2,HLOOKUP(AB$11,index1970,Query!$O56)/AB$9 * HLOOKUP(AB$11,comboutfac,Query!$O56),HLOOKUP(AB$11,index1970,Query!$O56)/AB$9 * HLOOKUP(AB$11,comboutfac,Query!$O56) /AB$8))</f>
        <v>1.7641331220212124</v>
      </c>
      <c r="AC21" s="120">
        <f ca="1">IF($J$7=1,HLOOKUP(AC$11,index1970,Query!$O56)/AC$9,IF($J$7=2,HLOOKUP(AC$11,index1970,Query!$O56)/AC$9 * HLOOKUP(AC$11,comboutfac,Query!$O56),HLOOKUP(AC$11,index1970,Query!$O56)/AC$9 * HLOOKUP(AC$11,comboutfac,Query!$O56) /AC$8))</f>
        <v>1.7455541141189752</v>
      </c>
      <c r="AD21" s="120">
        <f ca="1">IF($J$7=1,HLOOKUP(AD$11,index1970,Query!$O56)/AD$9,IF($J$7=2,HLOOKUP(AD$11,index1970,Query!$O56)/AD$9 * HLOOKUP(AD$11,comboutfac,Query!$O56),HLOOKUP(AD$11,index1970,Query!$O56)/AD$9 * HLOOKUP(AD$11,comboutfac,Query!$O56) /AD$8))</f>
        <v>1.7819646863536163</v>
      </c>
      <c r="AE21" s="120">
        <f ca="1">IF($J$7=1,HLOOKUP(AE$11,index1970,Query!$O56)/AE$9,IF($J$7=2,HLOOKUP(AE$11,index1970,Query!$O56)/AE$9 * HLOOKUP(AE$11,comboutfac,Query!$O56),HLOOKUP(AE$11,index1970,Query!$O56)/AE$9 * HLOOKUP(AE$11,comboutfac,Query!$O56) /AE$8))</f>
        <v>1.6990004347480419</v>
      </c>
      <c r="AF21" s="120">
        <f ca="1">IF($J$7=1,HLOOKUP(AF$11,index1970,Query!$O56)/AF$9,IF($J$7=2,HLOOKUP(AF$11,index1970,Query!$O56)/AF$9 * HLOOKUP(AF$11,comboutfac,Query!$O56),HLOOKUP(AF$11,index1970,Query!$O56)/AF$9 * HLOOKUP(AF$11,comboutfac,Query!$O56) /AF$8))</f>
        <v>2.3371346476127322</v>
      </c>
      <c r="AG21" s="120">
        <f ca="1">IF($J$7=1,HLOOKUP(AG$11,index1970,Query!$O56)/AG$9,IF($J$7=2,HLOOKUP(AG$11,index1970,Query!$O56)/AG$9 * HLOOKUP(AG$11,comboutfac,Query!$O56),HLOOKUP(AG$11,index1970,Query!$O56)/AG$9 * HLOOKUP(AG$11,comboutfac,Query!$O56) /AG$8))</f>
        <v>1.6981680015795468</v>
      </c>
      <c r="AH21" s="120">
        <f ca="1">IF($J$7=1,HLOOKUP(AH$11,index1970,Query!$O56)/AH$9,IF($J$7=2,HLOOKUP(AH$11,index1970,Query!$O56)/AH$9 * HLOOKUP(AH$11,comboutfac,Query!$O56),HLOOKUP(AH$11,index1970,Query!$O56)/AH$9 * HLOOKUP(AH$11,comboutfac,Query!$O56) /AH$8))</f>
        <v>1.5266116336354896</v>
      </c>
      <c r="AI21" s="120">
        <f ca="1">IF($J$7=1,HLOOKUP(AI$11,index1970,Query!$O56)/AI$9,IF($J$7=2,HLOOKUP(AI$11,index1970,Query!$O56)/AI$9 * HLOOKUP(AI$11,comboutfac,Query!$O56),HLOOKUP(AI$11,index1970,Query!$O56)/AI$9 * HLOOKUP(AI$11,comboutfac,Query!$O56) /AI$8))</f>
        <v>1.6155031261065196</v>
      </c>
      <c r="AJ21" s="120">
        <f ca="1">IF($J$7=1,HLOOKUP(AJ$11,index1970,Query!$O56)/AJ$9,IF($J$7=2,HLOOKUP(AJ$11,index1970,Query!$O56)/AJ$9 * HLOOKUP(AJ$11,comboutfac,Query!$O56),HLOOKUP(AJ$11,index1970,Query!$O56)/AJ$9 * HLOOKUP(AJ$11,comboutfac,Query!$O56) /AJ$8))</f>
        <v>1.5266116336354896</v>
      </c>
      <c r="AK21" s="120">
        <f ca="1">IF($J$7=1,HLOOKUP(AK$11,index1970,Query!$O56)/AK$9,IF($J$7=2,HLOOKUP(AK$11,index1970,Query!$O56)/AK$9 * HLOOKUP(AK$11,comboutfac,Query!$O56),HLOOKUP(AK$11,index1970,Query!$O56)/AK$9 * HLOOKUP(AK$11,comboutfac,Query!$O56) /AK$8))</f>
        <v>1.5992900678054915</v>
      </c>
      <c r="AL21" s="120">
        <f ca="1">IF($J$7=1,HLOOKUP(AL$11,index1970,Query!$O56)/AL$9,IF($J$7=2,HLOOKUP(AL$11,index1970,Query!$O56)/AL$9 * HLOOKUP(AL$11,comboutfac,Query!$O56),HLOOKUP(AL$11,index1970,Query!$O56)/AL$9 * HLOOKUP(AL$11,comboutfac,Query!$O56) /AL$8))</f>
        <v>1.7213065387542106</v>
      </c>
      <c r="AM21" s="120">
        <f ca="1">IF($J$7=1,HLOOKUP(AM$11,index1970,Query!$O56)/AM$9,IF($J$7=2,HLOOKUP(AM$11,index1970,Query!$O56)/AM$9 * HLOOKUP(AM$11,comboutfac,Query!$O56),HLOOKUP(AM$11,index1970,Query!$O56)/AM$9 * HLOOKUP(AM$11,comboutfac,Query!$O56) /AM$8))</f>
        <v>1.4524827554609259</v>
      </c>
      <c r="AN21" s="120">
        <f ca="1">IF($J$7=1,HLOOKUP(AN$11,index1970,Query!$O56)/AN$9,IF($J$7=2,HLOOKUP(AN$11,index1970,Query!$O56)/AN$9 * HLOOKUP(AN$11,comboutfac,Query!$O56),HLOOKUP(AN$11,index1970,Query!$O56)/AN$9 * HLOOKUP(AN$11,comboutfac,Query!$O56) /AN$8))</f>
        <v>1.7429983414781494</v>
      </c>
      <c r="AO21" s="120">
        <f ca="1">IF($J$7=1,HLOOKUP(AO$11,index1970,Query!$O56)/AO$9,IF($J$7=2,HLOOKUP(AO$11,index1970,Query!$O56)/AO$9 * HLOOKUP(AO$11,comboutfac,Query!$O56),HLOOKUP(AO$11,index1970,Query!$O56)/AO$9 * HLOOKUP(AO$11,comboutfac,Query!$O56) /AO$8))</f>
        <v>1.4522118244747872</v>
      </c>
      <c r="AP21" s="120">
        <f ca="1">IF($J$7=1,HLOOKUP(AP$11,index1970,Query!$O56)/AP$9,IF($J$7=2,HLOOKUP(AP$11,index1970,Query!$O56)/AP$9 * HLOOKUP(AP$11,comboutfac,Query!$O56),HLOOKUP(AP$11,index1970,Query!$O56)/AP$9 * HLOOKUP(AP$11,comboutfac,Query!$O56) /AP$8))</f>
        <v>2.8372915483032322</v>
      </c>
      <c r="AQ21" s="683">
        <f ca="1">IF($J$7=1,HLOOKUP(AQ$11,index1970,Query!$O56)/AQ$9,IF($J$7=2,HLOOKUP(AQ$11,index1970,Query!$O56)/AQ$9 * HLOOKUP(AQ$11,comboutfac,Query!$O56),HLOOKUP(AQ$11,index1970,Query!$O56)/AQ$9 * HLOOKUP(AQ$11,comboutfac,Query!$O56) /AQ$8))</f>
        <v>2.2604404627915735</v>
      </c>
      <c r="AR21" s="120">
        <f ca="1">IF($J$7=1,HLOOKUP(AR$11,index1970,Query!$O56)/AR$9,IF($J$7=2,HLOOKUP(AR$11,index1970,Query!$O56)/AR$9 * HLOOKUP(AR$11,comboutfac,Query!$O56),HLOOKUP(AR$11,index1970,Query!$O56)/AR$9 * HLOOKUP(AR$11,comboutfac,Query!$O56) /AR$8))</f>
        <v>1.6878771004004935</v>
      </c>
      <c r="AS21" s="213"/>
    </row>
    <row r="22" spans="1:45" s="122" customFormat="1">
      <c r="A22" s="121">
        <f>+A21+1</f>
        <v>1978</v>
      </c>
      <c r="B22" s="120">
        <f ca="1">IF($J$7=1,HLOOKUP(B$11,index1970,Query!$O57)/B$9,IF($J$7=2,HLOOKUP(B$11,index1970,Query!$O57)/B$9 * HLOOKUP(B$11,comboutfac,Query!$O57),HLOOKUP(B$11,index1970,Query!$O57)/B$9 * HLOOKUP(B$11,comboutfac,Query!$O57) /B$8))</f>
        <v>1.8266317844355224</v>
      </c>
      <c r="C22" s="120">
        <f ca="1">IF($J$7=1,HLOOKUP(C$11,index1970,Query!$O57)/C$9,IF($J$7=2,HLOOKUP(C$11,index1970,Query!$O57)/C$9 * HLOOKUP(C$11,comboutfac,Query!$O57),HLOOKUP(C$11,index1970,Query!$O57)/C$9 * HLOOKUP(C$11,comboutfac,Query!$O57) /C$8))</f>
        <v>2.1279979318867466</v>
      </c>
      <c r="D22" s="120">
        <f ca="1">IF($J$7=1,HLOOKUP(D$11,index1970,Query!$O57)/D$9,IF($J$7=2,HLOOKUP(D$11,index1970,Query!$O57)/D$9 * HLOOKUP(D$11,comboutfac,Query!$O57),HLOOKUP(D$11,index1970,Query!$O57)/D$9 * HLOOKUP(D$11,comboutfac,Query!$O57) /D$8))</f>
        <v>1.8723454970180284</v>
      </c>
      <c r="E22" s="120">
        <f ca="1">IF($J$7=1,HLOOKUP(E$11,index1970,Query!$O57)/E$9,IF($J$7=2,HLOOKUP(E$11,index1970,Query!$O57)/E$9 * HLOOKUP(E$11,comboutfac,Query!$O57),HLOOKUP(E$11,index1970,Query!$O57)/E$9 * HLOOKUP(E$11,comboutfac,Query!$O57) /E$8))</f>
        <v>1.8769259218043408</v>
      </c>
      <c r="F22" s="120">
        <f ca="1">IF($J$7=1,HLOOKUP(F$11,index1970,Query!$O57)/F$9,IF($J$7=2,HLOOKUP(F$11,index1970,Query!$O57)/F$9 * HLOOKUP(F$11,comboutfac,Query!$O57),HLOOKUP(F$11,index1970,Query!$O57)/F$9 * HLOOKUP(F$11,comboutfac,Query!$O57) /F$8))</f>
        <v>2.1279979318867466</v>
      </c>
      <c r="G22" s="120">
        <f ca="1">IF($J$7=1,HLOOKUP(G$11,index1970,Query!$O57)/G$9,IF($J$7=2,HLOOKUP(G$11,index1970,Query!$O57)/G$9 * HLOOKUP(G$11,comboutfac,Query!$O57),HLOOKUP(G$11,index1970,Query!$O57)/G$9 * HLOOKUP(G$11,comboutfac,Query!$O57) /G$8))</f>
        <v>2.2045829617462003</v>
      </c>
      <c r="H22" s="120">
        <f ca="1">IF($J$7=1,HLOOKUP(H$11,index1970,Query!$O57)/H$9,IF($J$7=2,HLOOKUP(H$11,index1970,Query!$O57)/H$9 * HLOOKUP(H$11,comboutfac,Query!$O57),HLOOKUP(H$11,index1970,Query!$O57)/H$9 * HLOOKUP(H$11,comboutfac,Query!$O57) /H$8))</f>
        <v>1.9448589827393454</v>
      </c>
      <c r="I22" s="120">
        <f ca="1">IF($J$7=1,HLOOKUP(I$11,index1970,Query!$O57)/I$9,IF($J$7=2,HLOOKUP(I$11,index1970,Query!$O57)/I$9 * HLOOKUP(I$11,comboutfac,Query!$O57),HLOOKUP(I$11,index1970,Query!$O57)/I$9 * HLOOKUP(I$11,comboutfac,Query!$O57) /I$8))</f>
        <v>1.9375734479508451</v>
      </c>
      <c r="J22" s="120">
        <f ca="1">IF($J$7=1,HLOOKUP(J$11,index1970,Query!$O57)/J$9,IF($J$7=2,HLOOKUP(J$11,index1970,Query!$O57)/J$9 * HLOOKUP(J$11,comboutfac,Query!$O57),HLOOKUP(J$11,index1970,Query!$O57)/J$9 * HLOOKUP(J$11,comboutfac,Query!$O57) /J$8))</f>
        <v>1.7161211379626795</v>
      </c>
      <c r="K22" s="120">
        <f ca="1">IF($J$7=1,HLOOKUP(K$11,index1970,Query!$O57)/K$9,IF($J$7=2,HLOOKUP(K$11,index1970,Query!$O57)/K$9 * HLOOKUP(K$11,comboutfac,Query!$O57),HLOOKUP(K$11,index1970,Query!$O57)/K$9 * HLOOKUP(K$11,comboutfac,Query!$O57) /K$8))</f>
        <v>1.923055157736371</v>
      </c>
      <c r="L22" s="120">
        <f ca="1">IF($J$7=1,HLOOKUP(L$11,index1970,Query!$O57)/L$9,IF($J$7=2,HLOOKUP(L$11,index1970,Query!$O57)/L$9 * HLOOKUP(L$11,comboutfac,Query!$O57),HLOOKUP(L$11,index1970,Query!$O57)/L$9 * HLOOKUP(L$11,comboutfac,Query!$O57) /L$8))</f>
        <v>2.1111308098470234</v>
      </c>
      <c r="M22" s="120">
        <f ca="1">IF($J$7=1,HLOOKUP(M$11,index1970,Query!$O57)/M$9,IF($J$7=2,HLOOKUP(M$11,index1970,Query!$O57)/M$9 * HLOOKUP(M$11,comboutfac,Query!$O57),HLOOKUP(M$11,index1970,Query!$O57)/M$9 * HLOOKUP(M$11,comboutfac,Query!$O57) /M$8))</f>
        <v>1.630421224722703</v>
      </c>
      <c r="N22" s="120">
        <f ca="1">IF($J$7=1,HLOOKUP(N$11,index1970,Query!$O57)/N$9,IF($J$7=2,HLOOKUP(N$11,index1970,Query!$O57)/N$9 * HLOOKUP(N$11,comboutfac,Query!$O57),HLOOKUP(N$11,index1970,Query!$O57)/N$9 * HLOOKUP(N$11,comboutfac,Query!$O57) /N$8))</f>
        <v>2.1279979318867466</v>
      </c>
      <c r="O22" s="120">
        <f ca="1">IF($J$7=1,HLOOKUP(O$11,index1970,Query!$O57)/O$9,IF($J$7=2,HLOOKUP(O$11,index1970,Query!$O57)/O$9 * HLOOKUP(O$11,comboutfac,Query!$O57),HLOOKUP(O$11,index1970,Query!$O57)/O$9 * HLOOKUP(O$11,comboutfac,Query!$O57) /O$8))</f>
        <v>2.1279979318867466</v>
      </c>
      <c r="P22" s="120">
        <f ca="1">IF($J$7=1,HLOOKUP(P$11,index1970,Query!$O57)/P$9,IF($J$7=2,HLOOKUP(P$11,index1970,Query!$O57)/P$9 * HLOOKUP(P$11,comboutfac,Query!$O57),HLOOKUP(P$11,index1970,Query!$O57)/P$9 * HLOOKUP(P$11,comboutfac,Query!$O57) /P$8))</f>
        <v>1.8959709662404765</v>
      </c>
      <c r="Q22" s="120">
        <f ca="1">IF($J$7=1,HLOOKUP(Q$11,index1970,Query!$O57)/Q$9,IF($J$7=2,HLOOKUP(Q$11,index1970,Query!$O57)/Q$9 * HLOOKUP(Q$11,comboutfac,Query!$O57),HLOOKUP(Q$11,index1970,Query!$O57)/Q$9 * HLOOKUP(Q$11,comboutfac,Query!$O57) /Q$8))</f>
        <v>1.5336235610798645</v>
      </c>
      <c r="R22" s="120">
        <f ca="1">IF($J$7=1,HLOOKUP(R$11,index1970,Query!$O57)/R$9,IF($J$7=2,HLOOKUP(R$11,index1970,Query!$O57)/R$9 * HLOOKUP(R$11,comboutfac,Query!$O57),HLOOKUP(R$11,index1970,Query!$O57)/R$9 * HLOOKUP(R$11,comboutfac,Query!$O57) /R$8))</f>
        <v>1.8501689475461947</v>
      </c>
      <c r="S22" s="120">
        <f ca="1">IF($J$7=1,HLOOKUP(S$11,index1970,Query!$O57)/S$9,IF($J$7=2,HLOOKUP(S$11,index1970,Query!$O57)/S$9 * HLOOKUP(S$11,comboutfac,Query!$O57),HLOOKUP(S$11,index1970,Query!$O57)/S$9 * HLOOKUP(S$11,comboutfac,Query!$O57) /S$8))</f>
        <v>1.533996949186879</v>
      </c>
      <c r="T22" s="120">
        <f ca="1">IF($J$7=1,HLOOKUP(T$11,index1970,Query!$O57)/T$9,IF($J$7=2,HLOOKUP(T$11,index1970,Query!$O57)/T$9 * HLOOKUP(T$11,comboutfac,Query!$O57),HLOOKUP(T$11,index1970,Query!$O57)/T$9 * HLOOKUP(T$11,comboutfac,Query!$O57) /T$8))</f>
        <v>1.6237921567560716</v>
      </c>
      <c r="U22" s="120">
        <f ca="1">IF($J$7=1,HLOOKUP(U$11,index1970,Query!$O57)/U$9,IF($J$7=2,HLOOKUP(U$11,index1970,Query!$O57)/U$9 * HLOOKUP(U$11,comboutfac,Query!$O57),HLOOKUP(U$11,index1970,Query!$O57)/U$9 * HLOOKUP(U$11,comboutfac,Query!$O57) /U$8))</f>
        <v>2.4685259614804731</v>
      </c>
      <c r="V22" s="120">
        <f ca="1">IF($J$7=1,HLOOKUP(V$11,index1970,Query!$O57)/V$9,IF($J$7=2,HLOOKUP(V$11,index1970,Query!$O57)/V$9 * HLOOKUP(V$11,comboutfac,Query!$O57),HLOOKUP(V$11,index1970,Query!$O57)/V$9 * HLOOKUP(V$11,comboutfac,Query!$O57) /V$8))</f>
        <v>1.8790641008880338</v>
      </c>
      <c r="W22" s="120">
        <f ca="1">IF($J$7=1,HLOOKUP(W$11,index1970,Query!$O57)/W$9,IF($J$7=2,HLOOKUP(W$11,index1970,Query!$O57)/W$9 * HLOOKUP(W$11,comboutfac,Query!$O57),HLOOKUP(W$11,index1970,Query!$O57)/W$9 * HLOOKUP(W$11,comboutfac,Query!$O57) /W$8))</f>
        <v>1.9079697686401684</v>
      </c>
      <c r="X22" s="120">
        <f ca="1">IF($J$7=1,HLOOKUP(X$11,index1970,Query!$O57)/X$9,IF($J$7=2,HLOOKUP(X$11,index1970,Query!$O57)/X$9 * HLOOKUP(X$11,comboutfac,Query!$O57),HLOOKUP(X$11,index1970,Query!$O57)/X$9 * HLOOKUP(X$11,comboutfac,Query!$O57) /X$8))</f>
        <v>1.9205828221895866</v>
      </c>
      <c r="Y22" s="120">
        <f ca="1">IF($J$7=1,HLOOKUP(Y$11,index1970,Query!$O57)/Y$9,IF($J$7=2,HLOOKUP(Y$11,index1970,Query!$O57)/Y$9 * HLOOKUP(Y$11,comboutfac,Query!$O57),HLOOKUP(Y$11,index1970,Query!$O57)/Y$9 * HLOOKUP(Y$11,comboutfac,Query!$O57) /Y$8))</f>
        <v>1.9124903756912077</v>
      </c>
      <c r="Z22" s="120">
        <f ca="1">IF($J$7=1,HLOOKUP(Z$11,index1970,Query!$O57)/Z$9,IF($J$7=2,HLOOKUP(Z$11,index1970,Query!$O57)/Z$9 * HLOOKUP(Z$11,comboutfac,Query!$O57),HLOOKUP(Z$11,index1970,Query!$O57)/Z$9 * HLOOKUP(Z$11,comboutfac,Query!$O57) /Z$8))</f>
        <v>1.8707475602904957</v>
      </c>
      <c r="AA22" s="120">
        <f ca="1">IF($J$7=1,HLOOKUP(AA$11,index1970,Query!$O57)/AA$9,IF($J$7=2,HLOOKUP(AA$11,index1970,Query!$O57)/AA$9 * HLOOKUP(AA$11,comboutfac,Query!$O57),HLOOKUP(AA$11,index1970,Query!$O57)/AA$9 * HLOOKUP(AA$11,comboutfac,Query!$O57) /AA$8))</f>
        <v>1.9205828221895866</v>
      </c>
      <c r="AB22" s="120">
        <f ca="1">IF($J$7=1,HLOOKUP(AB$11,index1970,Query!$O57)/AB$9,IF($J$7=2,HLOOKUP(AB$11,index1970,Query!$O57)/AB$9 * HLOOKUP(AB$11,comboutfac,Query!$O57),HLOOKUP(AB$11,index1970,Query!$O57)/AB$9 * HLOOKUP(AB$11,comboutfac,Query!$O57) /AB$8))</f>
        <v>1.9034395663798342</v>
      </c>
      <c r="AC22" s="120">
        <f ca="1">IF($J$7=1,HLOOKUP(AC$11,index1970,Query!$O57)/AC$9,IF($J$7=2,HLOOKUP(AC$11,index1970,Query!$O57)/AC$9 * HLOOKUP(AC$11,comboutfac,Query!$O57),HLOOKUP(AC$11,index1970,Query!$O57)/AC$9 * HLOOKUP(AC$11,comboutfac,Query!$O57) /AC$8))</f>
        <v>1.8792995927666984</v>
      </c>
      <c r="AD22" s="120">
        <f ca="1">IF($J$7=1,HLOOKUP(AD$11,index1970,Query!$O57)/AD$9,IF($J$7=2,HLOOKUP(AD$11,index1970,Query!$O57)/AD$9 * HLOOKUP(AD$11,comboutfac,Query!$O57),HLOOKUP(AD$11,index1970,Query!$O57)/AD$9 * HLOOKUP(AD$11,comboutfac,Query!$O57) /AD$8))</f>
        <v>1.920832573351835</v>
      </c>
      <c r="AE22" s="120">
        <f ca="1">IF($J$7=1,HLOOKUP(AE$11,index1970,Query!$O57)/AE$9,IF($J$7=2,HLOOKUP(AE$11,index1970,Query!$O57)/AE$9 * HLOOKUP(AE$11,comboutfac,Query!$O57),HLOOKUP(AE$11,index1970,Query!$O57)/AE$9 * HLOOKUP(AE$11,comboutfac,Query!$O57) /AE$8))</f>
        <v>1.8419943661939679</v>
      </c>
      <c r="AF22" s="120">
        <f ca="1">IF($J$7=1,HLOOKUP(AF$11,index1970,Query!$O57)/AF$9,IF($J$7=2,HLOOKUP(AF$11,index1970,Query!$O57)/AF$9 * HLOOKUP(AF$11,comboutfac,Query!$O57),HLOOKUP(AF$11,index1970,Query!$O57)/AF$9 * HLOOKUP(AF$11,comboutfac,Query!$O57) /AF$8))</f>
        <v>2.5656239382756603</v>
      </c>
      <c r="AG22" s="120">
        <f ca="1">IF($J$7=1,HLOOKUP(AG$11,index1970,Query!$O57)/AG$9,IF($J$7=2,HLOOKUP(AG$11,index1970,Query!$O57)/AG$9 * HLOOKUP(AG$11,comboutfac,Query!$O57),HLOOKUP(AG$11,index1970,Query!$O57)/AG$9 * HLOOKUP(AG$11,comboutfac,Query!$O57) /AG$8))</f>
        <v>1.8914293674561891</v>
      </c>
      <c r="AH22" s="120">
        <f ca="1">IF($J$7=1,HLOOKUP(AH$11,index1970,Query!$O57)/AH$9,IF($J$7=2,HLOOKUP(AH$11,index1970,Query!$O57)/AH$9 * HLOOKUP(AH$11,comboutfac,Query!$O57),HLOOKUP(AH$11,index1970,Query!$O57)/AH$9 * HLOOKUP(AH$11,comboutfac,Query!$O57) /AH$8))</f>
        <v>1.630421224722703</v>
      </c>
      <c r="AI22" s="120">
        <f ca="1">IF($J$7=1,HLOOKUP(AI$11,index1970,Query!$O57)/AI$9,IF($J$7=2,HLOOKUP(AI$11,index1970,Query!$O57)/AI$9 * HLOOKUP(AI$11,comboutfac,Query!$O57),HLOOKUP(AI$11,index1970,Query!$O57)/AI$9 * HLOOKUP(AI$11,comboutfac,Query!$O57) /AI$8))</f>
        <v>1.7398833177648034</v>
      </c>
      <c r="AJ22" s="120">
        <f ca="1">IF($J$7=1,HLOOKUP(AJ$11,index1970,Query!$O57)/AJ$9,IF($J$7=2,HLOOKUP(AJ$11,index1970,Query!$O57)/AJ$9 * HLOOKUP(AJ$11,comboutfac,Query!$O57),HLOOKUP(AJ$11,index1970,Query!$O57)/AJ$9 * HLOOKUP(AJ$11,comboutfac,Query!$O57) /AJ$8))</f>
        <v>1.630421224722703</v>
      </c>
      <c r="AK22" s="120">
        <f ca="1">IF($J$7=1,HLOOKUP(AK$11,index1970,Query!$O57)/AK$9,IF($J$7=2,HLOOKUP(AK$11,index1970,Query!$O57)/AK$9 * HLOOKUP(AK$11,comboutfac,Query!$O57),HLOOKUP(AK$11,index1970,Query!$O57)/AK$9 * HLOOKUP(AK$11,comboutfac,Query!$O57) /AK$8))</f>
        <v>1.7222694109150951</v>
      </c>
      <c r="AL22" s="120">
        <f ca="1">IF($J$7=1,HLOOKUP(AL$11,index1970,Query!$O57)/AL$9,IF($J$7=2,HLOOKUP(AL$11,index1970,Query!$O57)/AL$9 * HLOOKUP(AL$11,comboutfac,Query!$O57),HLOOKUP(AL$11,index1970,Query!$O57)/AL$9 * HLOOKUP(AL$11,comboutfac,Query!$O57) /AL$8))</f>
        <v>1.836341533824706</v>
      </c>
      <c r="AM22" s="120">
        <f ca="1">IF($J$7=1,HLOOKUP(AM$11,index1970,Query!$O57)/AM$9,IF($J$7=2,HLOOKUP(AM$11,index1970,Query!$O57)/AM$9 * HLOOKUP(AM$11,comboutfac,Query!$O57),HLOOKUP(AM$11,index1970,Query!$O57)/AM$9 * HLOOKUP(AM$11,comboutfac,Query!$O57) /AM$8))</f>
        <v>1.5336235610798645</v>
      </c>
      <c r="AN22" s="120">
        <f ca="1">IF($J$7=1,HLOOKUP(AN$11,index1970,Query!$O57)/AN$9,IF($J$7=2,HLOOKUP(AN$11,index1970,Query!$O57)/AN$9 * HLOOKUP(AN$11,comboutfac,Query!$O57),HLOOKUP(AN$11,index1970,Query!$O57)/AN$9 * HLOOKUP(AN$11,comboutfac,Query!$O57) /AN$8))</f>
        <v>1.8610901281516987</v>
      </c>
      <c r="AO22" s="120">
        <f ca="1">IF($J$7=1,HLOOKUP(AO$11,index1970,Query!$O57)/AO$9,IF($J$7=2,HLOOKUP(AO$11,index1970,Query!$O57)/AO$9 * HLOOKUP(AO$11,comboutfac,Query!$O57),HLOOKUP(AO$11,index1970,Query!$O57)/AO$9 * HLOOKUP(AO$11,comboutfac,Query!$O57) /AO$8))</f>
        <v>1.533996949186879</v>
      </c>
      <c r="AP22" s="120">
        <f ca="1">IF($J$7=1,HLOOKUP(AP$11,index1970,Query!$O57)/AP$9,IF($J$7=2,HLOOKUP(AP$11,index1970,Query!$O57)/AP$9 * HLOOKUP(AP$11,comboutfac,Query!$O57),HLOOKUP(AP$11,index1970,Query!$O57)/AP$9 * HLOOKUP(AP$11,comboutfac,Query!$O57) /AP$8))</f>
        <v>3.1904559528063796</v>
      </c>
      <c r="AQ22" s="683">
        <f ca="1">IF($J$7=1,HLOOKUP(AQ$11,index1970,Query!$O57)/AQ$9,IF($J$7=2,HLOOKUP(AQ$11,index1970,Query!$O57)/AQ$9 * HLOOKUP(AQ$11,comboutfac,Query!$O57),HLOOKUP(AQ$11,index1970,Query!$O57)/AQ$9 * HLOOKUP(AQ$11,comboutfac,Query!$O57) /AQ$8))</f>
        <v>2.4685259614804731</v>
      </c>
      <c r="AR22" s="120">
        <f ca="1">IF($J$7=1,HLOOKUP(AR$11,index1970,Query!$O57)/AR$9,IF($J$7=2,HLOOKUP(AR$11,index1970,Query!$O57)/AR$9 * HLOOKUP(AR$11,comboutfac,Query!$O57),HLOOKUP(AR$11,index1970,Query!$O57)/AR$9 * HLOOKUP(AR$11,comboutfac,Query!$O57) /AR$8))</f>
        <v>1.8872261565987181</v>
      </c>
      <c r="AS22" s="213"/>
    </row>
    <row r="23" spans="1:45" s="122" customFormat="1">
      <c r="A23" s="121">
        <f>+A22+1</f>
        <v>1979</v>
      </c>
      <c r="B23" s="120">
        <f ca="1">IF($J$7=1,HLOOKUP(B$11,index1970,Query!$O58)/B$9,IF($J$7=2,HLOOKUP(B$11,index1970,Query!$O58)/B$9 * HLOOKUP(B$11,comboutfac,Query!$O58),HLOOKUP(B$11,index1970,Query!$O58)/B$9 * HLOOKUP(B$11,comboutfac,Query!$O58) /B$8))</f>
        <v>2.0432904760708737</v>
      </c>
      <c r="C23" s="120">
        <f ca="1">IF($J$7=1,HLOOKUP(C$11,index1970,Query!$O58)/C$9,IF($J$7=2,HLOOKUP(C$11,index1970,Query!$O58)/C$9 * HLOOKUP(C$11,comboutfac,Query!$O58),HLOOKUP(C$11,index1970,Query!$O58)/C$9 * HLOOKUP(C$11,comboutfac,Query!$O58) /C$8))</f>
        <v>2.173112492317316</v>
      </c>
      <c r="D23" s="120">
        <f ca="1">IF($J$7=1,HLOOKUP(D$11,index1970,Query!$O58)/D$9,IF($J$7=2,HLOOKUP(D$11,index1970,Query!$O58)/D$9 * HLOOKUP(D$11,comboutfac,Query!$O58),HLOOKUP(D$11,index1970,Query!$O58)/D$9 * HLOOKUP(D$11,comboutfac,Query!$O58) /D$8))</f>
        <v>2.0466608627904068</v>
      </c>
      <c r="E23" s="120">
        <f ca="1">IF($J$7=1,HLOOKUP(E$11,index1970,Query!$O58)/E$9,IF($J$7=2,HLOOKUP(E$11,index1970,Query!$O58)/E$9 * HLOOKUP(E$11,comboutfac,Query!$O58),HLOOKUP(E$11,index1970,Query!$O58)/E$9 * HLOOKUP(E$11,comboutfac,Query!$O58) /E$8))</f>
        <v>1.9902922474813229</v>
      </c>
      <c r="F23" s="120">
        <f ca="1">IF($J$7=1,HLOOKUP(F$11,index1970,Query!$O58)/F$9,IF($J$7=2,HLOOKUP(F$11,index1970,Query!$O58)/F$9 * HLOOKUP(F$11,comboutfac,Query!$O58),HLOOKUP(F$11,index1970,Query!$O58)/F$9 * HLOOKUP(F$11,comboutfac,Query!$O58) /F$8))</f>
        <v>2.173112492317316</v>
      </c>
      <c r="G23" s="120">
        <f ca="1">IF($J$7=1,HLOOKUP(G$11,index1970,Query!$O58)/G$9,IF($J$7=2,HLOOKUP(G$11,index1970,Query!$O58)/G$9 * HLOOKUP(G$11,comboutfac,Query!$O58),HLOOKUP(G$11,index1970,Query!$O58)/G$9 * HLOOKUP(G$11,comboutfac,Query!$O58) /G$8))</f>
        <v>2.41434665475045</v>
      </c>
      <c r="H23" s="120">
        <f ca="1">IF($J$7=1,HLOOKUP(H$11,index1970,Query!$O58)/H$9,IF($J$7=2,HLOOKUP(H$11,index1970,Query!$O58)/H$9 * HLOOKUP(H$11,comboutfac,Query!$O58),HLOOKUP(H$11,index1970,Query!$O58)/H$9 * HLOOKUP(H$11,comboutfac,Query!$O58) /H$8))</f>
        <v>2.1329543334744039</v>
      </c>
      <c r="I23" s="120">
        <f ca="1">IF($J$7=1,HLOOKUP(I$11,index1970,Query!$O58)/I$9,IF($J$7=2,HLOOKUP(I$11,index1970,Query!$O58)/I$9 * HLOOKUP(I$11,comboutfac,Query!$O58),HLOOKUP(I$11,index1970,Query!$O58)/I$9 * HLOOKUP(I$11,comboutfac,Query!$O58) /I$8))</f>
        <v>2.1151352815332198</v>
      </c>
      <c r="J23" s="120">
        <f ca="1">IF($J$7=1,HLOOKUP(J$11,index1970,Query!$O58)/J$9,IF($J$7=2,HLOOKUP(J$11,index1970,Query!$O58)/J$9 * HLOOKUP(J$11,comboutfac,Query!$O58),HLOOKUP(J$11,index1970,Query!$O58)/J$9 * HLOOKUP(J$11,comboutfac,Query!$O58) /J$8))</f>
        <v>1.9837870908534714</v>
      </c>
      <c r="K23" s="120">
        <f ca="1">IF($J$7=1,HLOOKUP(K$11,index1970,Query!$O58)/K$9,IF($J$7=2,HLOOKUP(K$11,index1970,Query!$O58)/K$9 * HLOOKUP(K$11,comboutfac,Query!$O58),HLOOKUP(K$11,index1970,Query!$O58)/K$9 * HLOOKUP(K$11,comboutfac,Query!$O58) /K$8))</f>
        <v>2.0374769396216852</v>
      </c>
      <c r="L23" s="120">
        <f ca="1">IF($J$7=1,HLOOKUP(L$11,index1970,Query!$O58)/L$9,IF($J$7=2,HLOOKUP(L$11,index1970,Query!$O58)/L$9 * HLOOKUP(L$11,comboutfac,Query!$O58),HLOOKUP(L$11,index1970,Query!$O58)/L$9 * HLOOKUP(L$11,comboutfac,Query!$O58) /L$8))</f>
        <v>2.1606907578698324</v>
      </c>
      <c r="M23" s="120">
        <f ca="1">IF($J$7=1,HLOOKUP(M$11,index1970,Query!$O58)/M$9,IF($J$7=2,HLOOKUP(M$11,index1970,Query!$O58)/M$9 * HLOOKUP(M$11,comboutfac,Query!$O58),HLOOKUP(M$11,index1970,Query!$O58)/M$9 * HLOOKUP(M$11,comboutfac,Query!$O58) /M$8))</f>
        <v>1.7725939555185228</v>
      </c>
      <c r="N23" s="120">
        <f ca="1">IF($J$7=1,HLOOKUP(N$11,index1970,Query!$O58)/N$9,IF($J$7=2,HLOOKUP(N$11,index1970,Query!$O58)/N$9 * HLOOKUP(N$11,comboutfac,Query!$O58),HLOOKUP(N$11,index1970,Query!$O58)/N$9 * HLOOKUP(N$11,comboutfac,Query!$O58) /N$8))</f>
        <v>2.173112492317316</v>
      </c>
      <c r="O23" s="120">
        <f ca="1">IF($J$7=1,HLOOKUP(O$11,index1970,Query!$O58)/O$9,IF($J$7=2,HLOOKUP(O$11,index1970,Query!$O58)/O$9 * HLOOKUP(O$11,comboutfac,Query!$O58),HLOOKUP(O$11,index1970,Query!$O58)/O$9 * HLOOKUP(O$11,comboutfac,Query!$O58) /O$8))</f>
        <v>2.1669564025240389</v>
      </c>
      <c r="P23" s="120">
        <f ca="1">IF($J$7=1,HLOOKUP(P$11,index1970,Query!$O58)/P$9,IF($J$7=2,HLOOKUP(P$11,index1970,Query!$O58)/P$9 * HLOOKUP(P$11,comboutfac,Query!$O58),HLOOKUP(P$11,index1970,Query!$O58)/P$9 * HLOOKUP(P$11,comboutfac,Query!$O58) /P$8))</f>
        <v>2.0113307014345199</v>
      </c>
      <c r="Q23" s="120">
        <f ca="1">IF($J$7=1,HLOOKUP(Q$11,index1970,Query!$O58)/Q$9,IF($J$7=2,HLOOKUP(Q$11,index1970,Query!$O58)/Q$9 * HLOOKUP(Q$11,comboutfac,Query!$O58),HLOOKUP(Q$11,index1970,Query!$O58)/Q$9 * HLOOKUP(Q$11,comboutfac,Query!$O58) /Q$8))</f>
        <v>1.6561396544831388</v>
      </c>
      <c r="R23" s="120">
        <f ca="1">IF($J$7=1,HLOOKUP(R$11,index1970,Query!$O58)/R$9,IF($J$7=2,HLOOKUP(R$11,index1970,Query!$O58)/R$9 * HLOOKUP(R$11,comboutfac,Query!$O58),HLOOKUP(R$11,index1970,Query!$O58)/R$9 * HLOOKUP(R$11,comboutfac,Query!$O58) /R$8))</f>
        <v>1.9669337904878146</v>
      </c>
      <c r="S23" s="120">
        <f ca="1">IF($J$7=1,HLOOKUP(S$11,index1970,Query!$O58)/S$9,IF($J$7=2,HLOOKUP(S$11,index1970,Query!$O58)/S$9 * HLOOKUP(S$11,comboutfac,Query!$O58),HLOOKUP(S$11,index1970,Query!$O58)/S$9 * HLOOKUP(S$11,comboutfac,Query!$O58) /S$8))</f>
        <v>1.6562400315727723</v>
      </c>
      <c r="T23" s="120">
        <f ca="1">IF($J$7=1,HLOOKUP(T$11,index1970,Query!$O58)/T$9,IF($J$7=2,HLOOKUP(T$11,index1970,Query!$O58)/T$9 * HLOOKUP(T$11,comboutfac,Query!$O58),HLOOKUP(T$11,index1970,Query!$O58)/T$9 * HLOOKUP(T$11,comboutfac,Query!$O58) /T$8))</f>
        <v>1.7653868328252011</v>
      </c>
      <c r="U23" s="120">
        <f ca="1">IF($J$7=1,HLOOKUP(U$11,index1970,Query!$O58)/U$9,IF($J$7=2,HLOOKUP(U$11,index1970,Query!$O58)/U$9 * HLOOKUP(U$11,comboutfac,Query!$O58),HLOOKUP(U$11,index1970,Query!$O58)/U$9 * HLOOKUP(U$11,comboutfac,Query!$O58) /U$8))</f>
        <v>2.5199933486083044</v>
      </c>
      <c r="V23" s="120">
        <f ca="1">IF($J$7=1,HLOOKUP(V$11,index1970,Query!$O58)/V$9,IF($J$7=2,HLOOKUP(V$11,index1970,Query!$O58)/V$9 * HLOOKUP(V$11,comboutfac,Query!$O58),HLOOKUP(V$11,index1970,Query!$O58)/V$9 * HLOOKUP(V$11,comboutfac,Query!$O58) /V$8))</f>
        <v>2.0500589340688449</v>
      </c>
      <c r="W23" s="120">
        <f ca="1">IF($J$7=1,HLOOKUP(W$11,index1970,Query!$O58)/W$9,IF($J$7=2,HLOOKUP(W$11,index1970,Query!$O58)/W$9 * HLOOKUP(W$11,comboutfac,Query!$O58),HLOOKUP(W$11,index1970,Query!$O58)/W$9 * HLOOKUP(W$11,comboutfac,Query!$O58) /W$8))</f>
        <v>2.0790340385676211</v>
      </c>
      <c r="X23" s="120">
        <f ca="1">IF($J$7=1,HLOOKUP(X$11,index1970,Query!$O58)/X$9,IF($J$7=2,HLOOKUP(X$11,index1970,Query!$O58)/X$9 * HLOOKUP(X$11,comboutfac,Query!$O58),HLOOKUP(X$11,index1970,Query!$O58)/X$9 * HLOOKUP(X$11,comboutfac,Query!$O58) /X$8))</f>
        <v>2.1087242738103003</v>
      </c>
      <c r="Y23" s="120">
        <f ca="1">IF($J$7=1,HLOOKUP(Y$11,index1970,Query!$O58)/Y$9,IF($J$7=2,HLOOKUP(Y$11,index1970,Query!$O58)/Y$9 * HLOOKUP(Y$11,comboutfac,Query!$O58),HLOOKUP(Y$11,index1970,Query!$O58)/Y$9 * HLOOKUP(Y$11,comboutfac,Query!$O58) /Y$8))</f>
        <v>2.0966202346460934</v>
      </c>
      <c r="Z23" s="120">
        <f ca="1">IF($J$7=1,HLOOKUP(Z$11,index1970,Query!$O58)/Z$9,IF($J$7=2,HLOOKUP(Z$11,index1970,Query!$O58)/Z$9 * HLOOKUP(Z$11,comboutfac,Query!$O58),HLOOKUP(Z$11,index1970,Query!$O58)/Z$9 * HLOOKUP(Z$11,comboutfac,Query!$O58) /Z$8))</f>
        <v>2.0436495227484595</v>
      </c>
      <c r="AA23" s="120">
        <f ca="1">IF($J$7=1,HLOOKUP(AA$11,index1970,Query!$O58)/AA$9,IF($J$7=2,HLOOKUP(AA$11,index1970,Query!$O58)/AA$9 * HLOOKUP(AA$11,comboutfac,Query!$O58),HLOOKUP(AA$11,index1970,Query!$O58)/AA$9 * HLOOKUP(AA$11,comboutfac,Query!$O58) /AA$8))</f>
        <v>2.1087242738103003</v>
      </c>
      <c r="AB23" s="120">
        <f ca="1">IF($J$7=1,HLOOKUP(AB$11,index1970,Query!$O58)/AB$9,IF($J$7=2,HLOOKUP(AB$11,index1970,Query!$O58)/AB$9 * HLOOKUP(AB$11,comboutfac,Query!$O58),HLOOKUP(AB$11,index1970,Query!$O58)/AB$9 * HLOOKUP(AB$11,comboutfac,Query!$O58) /AB$8))</f>
        <v>2.0543970043833029</v>
      </c>
      <c r="AC23" s="120">
        <f ca="1">IF($J$7=1,HLOOKUP(AC$11,index1970,Query!$O58)/AC$9,IF($J$7=2,HLOOKUP(AC$11,index1970,Query!$O58)/AC$9 * HLOOKUP(AC$11,comboutfac,Query!$O58),HLOOKUP(AC$11,index1970,Query!$O58)/AC$9 * HLOOKUP(AC$11,comboutfac,Query!$O58) /AC$8))</f>
        <v>2.0749073073928495</v>
      </c>
      <c r="AD23" s="120">
        <f ca="1">IF($J$7=1,HLOOKUP(AD$11,index1970,Query!$O58)/AD$9,IF($J$7=2,HLOOKUP(AD$11,index1970,Query!$O58)/AD$9 * HLOOKUP(AD$11,comboutfac,Query!$O58),HLOOKUP(AD$11,index1970,Query!$O58)/AD$9 * HLOOKUP(AD$11,comboutfac,Query!$O58) /AD$8))</f>
        <v>2.1044358257991864</v>
      </c>
      <c r="AE23" s="120">
        <f ca="1">IF($J$7=1,HLOOKUP(AE$11,index1970,Query!$O58)/AE$9,IF($J$7=2,HLOOKUP(AE$11,index1970,Query!$O58)/AE$9 * HLOOKUP(AE$11,comboutfac,Query!$O58),HLOOKUP(AE$11,index1970,Query!$O58)/AE$9 * HLOOKUP(AE$11,comboutfac,Query!$O58) /AE$8))</f>
        <v>2.0365897905868584</v>
      </c>
      <c r="AF23" s="120">
        <f ca="1">IF($J$7=1,HLOOKUP(AF$11,index1970,Query!$O58)/AF$9,IF($J$7=2,HLOOKUP(AF$11,index1970,Query!$O58)/AF$9 * HLOOKUP(AF$11,comboutfac,Query!$O58),HLOOKUP(AF$11,index1970,Query!$O58)/AF$9 * HLOOKUP(AF$11,comboutfac,Query!$O58) /AF$8))</f>
        <v>2.8445711624929633</v>
      </c>
      <c r="AG23" s="120">
        <f ca="1">IF($J$7=1,HLOOKUP(AG$11,index1970,Query!$O58)/AG$9,IF($J$7=2,HLOOKUP(AG$11,index1970,Query!$O58)/AG$9 * HLOOKUP(AG$11,comboutfac,Query!$O58),HLOOKUP(AG$11,index1970,Query!$O58)/AG$9 * HLOOKUP(AG$11,comboutfac,Query!$O58) /AG$8))</f>
        <v>2.0979204955288306</v>
      </c>
      <c r="AH23" s="120">
        <f ca="1">IF($J$7=1,HLOOKUP(AH$11,index1970,Query!$O58)/AH$9,IF($J$7=2,HLOOKUP(AH$11,index1970,Query!$O58)/AH$9 * HLOOKUP(AH$11,comboutfac,Query!$O58),HLOOKUP(AH$11,index1970,Query!$O58)/AH$9 * HLOOKUP(AH$11,comboutfac,Query!$O58) /AH$8))</f>
        <v>1.7725939555185228</v>
      </c>
      <c r="AI23" s="120">
        <f ca="1">IF($J$7=1,HLOOKUP(AI$11,index1970,Query!$O58)/AI$9,IF($J$7=2,HLOOKUP(AI$11,index1970,Query!$O58)/AI$9 * HLOOKUP(AI$11,comboutfac,Query!$O58),HLOOKUP(AI$11,index1970,Query!$O58)/AI$9 * HLOOKUP(AI$11,comboutfac,Query!$O58) /AI$8))</f>
        <v>1.9127580558185964</v>
      </c>
      <c r="AJ23" s="120">
        <f ca="1">IF($J$7=1,HLOOKUP(AJ$11,index1970,Query!$O58)/AJ$9,IF($J$7=2,HLOOKUP(AJ$11,index1970,Query!$O58)/AJ$9 * HLOOKUP(AJ$11,comboutfac,Query!$O58),HLOOKUP(AJ$11,index1970,Query!$O58)/AJ$9 * HLOOKUP(AJ$11,comboutfac,Query!$O58) /AJ$8))</f>
        <v>1.7725939555185228</v>
      </c>
      <c r="AK23" s="120">
        <f ca="1">IF($J$7=1,HLOOKUP(AK$11,index1970,Query!$O58)/AK$9,IF($J$7=2,HLOOKUP(AK$11,index1970,Query!$O58)/AK$9 * HLOOKUP(AK$11,comboutfac,Query!$O58),HLOOKUP(AK$11,index1970,Query!$O58)/AK$9 * HLOOKUP(AK$11,comboutfac,Query!$O58) /AK$8))</f>
        <v>1.9019934373575074</v>
      </c>
      <c r="AL23" s="120">
        <f ca="1">IF($J$7=1,HLOOKUP(AL$11,index1970,Query!$O58)/AL$9,IF($J$7=2,HLOOKUP(AL$11,index1970,Query!$O58)/AL$9 * HLOOKUP(AL$11,comboutfac,Query!$O58),HLOOKUP(AL$11,index1970,Query!$O58)/AL$9 * HLOOKUP(AL$11,comboutfac,Query!$O58) /AL$8))</f>
        <v>1.9535736872830587</v>
      </c>
      <c r="AM23" s="120">
        <f ca="1">IF($J$7=1,HLOOKUP(AM$11,index1970,Query!$O58)/AM$9,IF($J$7=2,HLOOKUP(AM$11,index1970,Query!$O58)/AM$9 * HLOOKUP(AM$11,comboutfac,Query!$O58),HLOOKUP(AM$11,index1970,Query!$O58)/AM$9 * HLOOKUP(AM$11,comboutfac,Query!$O58) /AM$8))</f>
        <v>1.6561396544831393</v>
      </c>
      <c r="AN23" s="120">
        <f ca="1">IF($J$7=1,HLOOKUP(AN$11,index1970,Query!$O58)/AN$9,IF($J$7=2,HLOOKUP(AN$11,index1970,Query!$O58)/AN$9 * HLOOKUP(AN$11,comboutfac,Query!$O58),HLOOKUP(AN$11,index1970,Query!$O58)/AN$9 * HLOOKUP(AN$11,comboutfac,Query!$O58) /AN$8))</f>
        <v>1.9775289710880137</v>
      </c>
      <c r="AO23" s="120">
        <f ca="1">IF($J$7=1,HLOOKUP(AO$11,index1970,Query!$O58)/AO$9,IF($J$7=2,HLOOKUP(AO$11,index1970,Query!$O58)/AO$9 * HLOOKUP(AO$11,comboutfac,Query!$O58),HLOOKUP(AO$11,index1970,Query!$O58)/AO$9 * HLOOKUP(AO$11,comboutfac,Query!$O58) /AO$8))</f>
        <v>1.6562400315727723</v>
      </c>
      <c r="AP23" s="120">
        <f ca="1">IF($J$7=1,HLOOKUP(AP$11,index1970,Query!$O58)/AP$9,IF($J$7=2,HLOOKUP(AP$11,index1970,Query!$O58)/AP$9 * HLOOKUP(AP$11,comboutfac,Query!$O58),HLOOKUP(AP$11,index1970,Query!$O58)/AP$9 * HLOOKUP(AP$11,comboutfac,Query!$O58) /AP$8))</f>
        <v>3.2903272691926673</v>
      </c>
      <c r="AQ23" s="683">
        <f ca="1">IF($J$7=1,HLOOKUP(AQ$11,index1970,Query!$O58)/AQ$9,IF($J$7=2,HLOOKUP(AQ$11,index1970,Query!$O58)/AQ$9 * HLOOKUP(AQ$11,comboutfac,Query!$O58),HLOOKUP(AQ$11,index1970,Query!$O58)/AQ$9 * HLOOKUP(AQ$11,comboutfac,Query!$O58) /AQ$8))</f>
        <v>2.5199933486083044</v>
      </c>
      <c r="AR23" s="120">
        <f ca="1">IF($J$7=1,HLOOKUP(AR$11,index1970,Query!$O58)/AR$9,IF($J$7=2,HLOOKUP(AR$11,index1970,Query!$O58)/AR$9 * HLOOKUP(AR$11,comboutfac,Query!$O58),HLOOKUP(AR$11,index1970,Query!$O58)/AR$9 * HLOOKUP(AR$11,comboutfac,Query!$O58) /AR$8))</f>
        <v>2.0798349315556877</v>
      </c>
      <c r="AS23" s="213"/>
    </row>
    <row r="24" spans="1:45" s="122" customFormat="1">
      <c r="A24" s="121">
        <f>+A23+1</f>
        <v>1980</v>
      </c>
      <c r="B24" s="120">
        <f ca="1">IF($J$7=1,HLOOKUP(B$11,index1970,Query!$O59)/B$9,IF($J$7=2,HLOOKUP(B$11,index1970,Query!$O59)/B$9 * HLOOKUP(B$11,comboutfac,Query!$O59),HLOOKUP(B$11,index1970,Query!$O59)/B$9 * HLOOKUP(B$11,comboutfac,Query!$O59) /B$8))</f>
        <v>2.2795585304606458</v>
      </c>
      <c r="C24" s="120">
        <f ca="1">IF($J$7=1,HLOOKUP(C$11,index1970,Query!$O59)/C$9,IF($J$7=2,HLOOKUP(C$11,index1970,Query!$O59)/C$9 * HLOOKUP(C$11,comboutfac,Query!$O59),HLOOKUP(C$11,index1970,Query!$O59)/C$9 * HLOOKUP(C$11,comboutfac,Query!$O59) /C$8))</f>
        <v>2.5087463026326553</v>
      </c>
      <c r="D24" s="120">
        <f ca="1">IF($J$7=1,HLOOKUP(D$11,index1970,Query!$O59)/D$9,IF($J$7=2,HLOOKUP(D$11,index1970,Query!$O59)/D$9 * HLOOKUP(D$11,comboutfac,Query!$O59),HLOOKUP(D$11,index1970,Query!$O59)/D$9 * HLOOKUP(D$11,comboutfac,Query!$O59) /D$8))</f>
        <v>2.2634022481599114</v>
      </c>
      <c r="E24" s="120">
        <f ca="1">IF($J$7=1,HLOOKUP(E$11,index1970,Query!$O59)/E$9,IF($J$7=2,HLOOKUP(E$11,index1970,Query!$O59)/E$9 * HLOOKUP(E$11,comboutfac,Query!$O59),HLOOKUP(E$11,index1970,Query!$O59)/E$9 * HLOOKUP(E$11,comboutfac,Query!$O59) /E$8))</f>
        <v>2.1262292079842973</v>
      </c>
      <c r="F24" s="120">
        <f ca="1">IF($J$7=1,HLOOKUP(F$11,index1970,Query!$O59)/F$9,IF($J$7=2,HLOOKUP(F$11,index1970,Query!$O59)/F$9 * HLOOKUP(F$11,comboutfac,Query!$O59),HLOOKUP(F$11,index1970,Query!$O59)/F$9 * HLOOKUP(F$11,comboutfac,Query!$O59) /F$8))</f>
        <v>2.5087463026326553</v>
      </c>
      <c r="G24" s="120">
        <f ca="1">IF($J$7=1,HLOOKUP(G$11,index1970,Query!$O59)/G$9,IF($J$7=2,HLOOKUP(G$11,index1970,Query!$O59)/G$9 * HLOOKUP(G$11,comboutfac,Query!$O59),HLOOKUP(G$11,index1970,Query!$O59)/G$9 * HLOOKUP(G$11,comboutfac,Query!$O59) /G$8))</f>
        <v>2.6130588197980935</v>
      </c>
      <c r="H24" s="120">
        <f ca="1">IF($J$7=1,HLOOKUP(H$11,index1970,Query!$O59)/H$9,IF($J$7=2,HLOOKUP(H$11,index1970,Query!$O59)/H$9 * HLOOKUP(H$11,comboutfac,Query!$O59),HLOOKUP(H$11,index1970,Query!$O59)/H$9 * HLOOKUP(H$11,comboutfac,Query!$O59) /H$8))</f>
        <v>2.3526828669494773</v>
      </c>
      <c r="I24" s="120">
        <f ca="1">IF($J$7=1,HLOOKUP(I$11,index1970,Query!$O59)/I$9,IF($J$7=2,HLOOKUP(I$11,index1970,Query!$O59)/I$9 * HLOOKUP(I$11,comboutfac,Query!$O59),HLOOKUP(I$11,index1970,Query!$O59)/I$9 * HLOOKUP(I$11,comboutfac,Query!$O59) /I$8))</f>
        <v>2.3227368524309915</v>
      </c>
      <c r="J24" s="120">
        <f ca="1">IF($J$7=1,HLOOKUP(J$11,index1970,Query!$O59)/J$9,IF($J$7=2,HLOOKUP(J$11,index1970,Query!$O59)/J$9 * HLOOKUP(J$11,comboutfac,Query!$O59),HLOOKUP(J$11,index1970,Query!$O59)/J$9 * HLOOKUP(J$11,comboutfac,Query!$O59) /J$8))</f>
        <v>3.6999082288161507</v>
      </c>
      <c r="K24" s="120">
        <f ca="1">IF($J$7=1,HLOOKUP(K$11,index1970,Query!$O59)/K$9,IF($J$7=2,HLOOKUP(K$11,index1970,Query!$O59)/K$9 * HLOOKUP(K$11,comboutfac,Query!$O59),HLOOKUP(K$11,index1970,Query!$O59)/K$9 * HLOOKUP(K$11,comboutfac,Query!$O59) /K$8))</f>
        <v>2.1831565408046356</v>
      </c>
      <c r="L24" s="120">
        <f ca="1">IF($J$7=1,HLOOKUP(L$11,index1970,Query!$O59)/L$9,IF($J$7=2,HLOOKUP(L$11,index1970,Query!$O59)/L$9 * HLOOKUP(L$11,comboutfac,Query!$O59),HLOOKUP(L$11,index1970,Query!$O59)/L$9 * HLOOKUP(L$11,comboutfac,Query!$O59) /L$8))</f>
        <v>2.4813665077045655</v>
      </c>
      <c r="M24" s="120">
        <f ca="1">IF($J$7=1,HLOOKUP(M$11,index1970,Query!$O59)/M$9,IF($J$7=2,HLOOKUP(M$11,index1970,Query!$O59)/M$9 * HLOOKUP(M$11,comboutfac,Query!$O59),HLOOKUP(M$11,index1970,Query!$O59)/M$9 * HLOOKUP(M$11,comboutfac,Query!$O59) /M$8))</f>
        <v>1.9604889148034863</v>
      </c>
      <c r="N24" s="120">
        <f ca="1">IF($J$7=1,HLOOKUP(N$11,index1970,Query!$O59)/N$9,IF($J$7=2,HLOOKUP(N$11,index1970,Query!$O59)/N$9 * HLOOKUP(N$11,comboutfac,Query!$O59),HLOOKUP(N$11,index1970,Query!$O59)/N$9 * HLOOKUP(N$11,comboutfac,Query!$O59) /N$8))</f>
        <v>2.5087463026326553</v>
      </c>
      <c r="O24" s="120">
        <f ca="1">IF($J$7=1,HLOOKUP(O$11,index1970,Query!$O59)/O$9,IF($J$7=2,HLOOKUP(O$11,index1970,Query!$O59)/O$9 * HLOOKUP(O$11,comboutfac,Query!$O59),HLOOKUP(O$11,index1970,Query!$O59)/O$9 * HLOOKUP(O$11,comboutfac,Query!$O59) /O$8))</f>
        <v>2.5087463026326553</v>
      </c>
      <c r="P24" s="120">
        <f ca="1">IF($J$7=1,HLOOKUP(P$11,index1970,Query!$O59)/P$9,IF($J$7=2,HLOOKUP(P$11,index1970,Query!$O59)/P$9 * HLOOKUP(P$11,comboutfac,Query!$O59),HLOOKUP(P$11,index1970,Query!$O59)/P$9 * HLOOKUP(P$11,comboutfac,Query!$O59) /P$8))</f>
        <v>2.1556450163322958</v>
      </c>
      <c r="Q24" s="120">
        <f ca="1">IF($J$7=1,HLOOKUP(Q$11,index1970,Query!$O59)/Q$9,IF($J$7=2,HLOOKUP(Q$11,index1970,Query!$O59)/Q$9 * HLOOKUP(Q$11,comboutfac,Query!$O59),HLOOKUP(Q$11,index1970,Query!$O59)/Q$9 * HLOOKUP(Q$11,comboutfac,Query!$O59) /Q$8))</f>
        <v>1.7808453024368271</v>
      </c>
      <c r="R24" s="120">
        <f ca="1">IF($J$7=1,HLOOKUP(R$11,index1970,Query!$O59)/R$9,IF($J$7=2,HLOOKUP(R$11,index1970,Query!$O59)/R$9 * HLOOKUP(R$11,comboutfac,Query!$O59),HLOOKUP(R$11,index1970,Query!$O59)/R$9 * HLOOKUP(R$11,comboutfac,Query!$O59) /R$8))</f>
        <v>2.1093167593911843</v>
      </c>
      <c r="S24" s="120">
        <f ca="1">IF($J$7=1,HLOOKUP(S$11,index1970,Query!$O59)/S$9,IF($J$7=2,HLOOKUP(S$11,index1970,Query!$O59)/S$9 * HLOOKUP(S$11,comboutfac,Query!$O59),HLOOKUP(S$11,index1970,Query!$O59)/S$9 * HLOOKUP(S$11,comboutfac,Query!$O59) /S$8))</f>
        <v>1.7828874513661845</v>
      </c>
      <c r="T24" s="120">
        <f ca="1">IF($J$7=1,HLOOKUP(T$11,index1970,Query!$O59)/T$9,IF($J$7=2,HLOOKUP(T$11,index1970,Query!$O59)/T$9 * HLOOKUP(T$11,comboutfac,Query!$O59),HLOOKUP(T$11,index1970,Query!$O59)/T$9 * HLOOKUP(T$11,comboutfac,Query!$O59) /T$8))</f>
        <v>1.9525178371046727</v>
      </c>
      <c r="U24" s="120">
        <f ca="1">IF($J$7=1,HLOOKUP(U$11,index1970,Query!$O59)/U$9,IF($J$7=2,HLOOKUP(U$11,index1970,Query!$O59)/U$9 * HLOOKUP(U$11,comboutfac,Query!$O59),HLOOKUP(U$11,index1970,Query!$O59)/U$9 * HLOOKUP(U$11,comboutfac,Query!$O59) /U$8))</f>
        <v>2.7376250352540583</v>
      </c>
      <c r="V24" s="120">
        <f ca="1">IF($J$7=1,HLOOKUP(V$11,index1970,Query!$O59)/V$9,IF($J$7=2,HLOOKUP(V$11,index1970,Query!$O59)/V$9 * HLOOKUP(V$11,comboutfac,Query!$O59),HLOOKUP(V$11,index1970,Query!$O59)/V$9 * HLOOKUP(V$11,comboutfac,Query!$O59) /V$8))</f>
        <v>2.2671601751867358</v>
      </c>
      <c r="W24" s="120">
        <f ca="1">IF($J$7=1,HLOOKUP(W$11,index1970,Query!$O59)/W$9,IF($J$7=2,HLOOKUP(W$11,index1970,Query!$O59)/W$9 * HLOOKUP(W$11,comboutfac,Query!$O59),HLOOKUP(W$11,index1970,Query!$O59)/W$9 * HLOOKUP(W$11,comboutfac,Query!$O59) /W$8))</f>
        <v>2.3498899192684481</v>
      </c>
      <c r="X24" s="120">
        <f ca="1">IF($J$7=1,HLOOKUP(X$11,index1970,Query!$O59)/X$9,IF($J$7=2,HLOOKUP(X$11,index1970,Query!$O59)/X$9 * HLOOKUP(X$11,comboutfac,Query!$O59),HLOOKUP(X$11,index1970,Query!$O59)/X$9 * HLOOKUP(X$11,comboutfac,Query!$O59) /X$8))</f>
        <v>2.3797462229891981</v>
      </c>
      <c r="Y24" s="120">
        <f ca="1">IF($J$7=1,HLOOKUP(Y$11,index1970,Query!$O59)/Y$9,IF($J$7=2,HLOOKUP(Y$11,index1970,Query!$O59)/Y$9 * HLOOKUP(Y$11,comboutfac,Query!$O59),HLOOKUP(Y$11,index1970,Query!$O59)/Y$9 * HLOOKUP(Y$11,comboutfac,Query!$O59) /Y$8))</f>
        <v>2.3981914093214516</v>
      </c>
      <c r="Z24" s="120">
        <f ca="1">IF($J$7=1,HLOOKUP(Z$11,index1970,Query!$O59)/Z$9,IF($J$7=2,HLOOKUP(Z$11,index1970,Query!$O59)/Z$9 * HLOOKUP(Z$11,comboutfac,Query!$O59),HLOOKUP(Z$11,index1970,Query!$O59)/Z$9 * HLOOKUP(Z$11,comboutfac,Query!$O59) /Z$8))</f>
        <v>2.5147063798619067</v>
      </c>
      <c r="AA24" s="120">
        <f ca="1">IF($J$7=1,HLOOKUP(AA$11,index1970,Query!$O59)/AA$9,IF($J$7=2,HLOOKUP(AA$11,index1970,Query!$O59)/AA$9 * HLOOKUP(AA$11,comboutfac,Query!$O59),HLOOKUP(AA$11,index1970,Query!$O59)/AA$9 * HLOOKUP(AA$11,comboutfac,Query!$O59) /AA$8))</f>
        <v>2.3797462229891981</v>
      </c>
      <c r="AB24" s="120">
        <f ca="1">IF($J$7=1,HLOOKUP(AB$11,index1970,Query!$O59)/AB$9,IF($J$7=2,HLOOKUP(AB$11,index1970,Query!$O59)/AB$9 * HLOOKUP(AB$11,comboutfac,Query!$O59),HLOOKUP(AB$11,index1970,Query!$O59)/AB$9 * HLOOKUP(AB$11,comboutfac,Query!$O59) /AB$8))</f>
        <v>2.257020893556815</v>
      </c>
      <c r="AC24" s="120">
        <f ca="1">IF($J$7=1,HLOOKUP(AC$11,index1970,Query!$O59)/AC$9,IF($J$7=2,HLOOKUP(AC$11,index1970,Query!$O59)/AC$9 * HLOOKUP(AC$11,comboutfac,Query!$O59),HLOOKUP(AC$11,index1970,Query!$O59)/AC$9 * HLOOKUP(AC$11,comboutfac,Query!$O59) /AC$8))</f>
        <v>2.5828369898150956</v>
      </c>
      <c r="AD24" s="120">
        <f ca="1">IF($J$7=1,HLOOKUP(AD$11,index1970,Query!$O59)/AD$9,IF($J$7=2,HLOOKUP(AD$11,index1970,Query!$O59)/AD$9 * HLOOKUP(AD$11,comboutfac,Query!$O59),HLOOKUP(AD$11,index1970,Query!$O59)/AD$9 * HLOOKUP(AD$11,comboutfac,Query!$O59) /AD$8))</f>
        <v>2.3245732691055276</v>
      </c>
      <c r="AE24" s="120">
        <f ca="1">IF($J$7=1,HLOOKUP(AE$11,index1970,Query!$O59)/AE$9,IF($J$7=2,HLOOKUP(AE$11,index1970,Query!$O59)/AE$9 * HLOOKUP(AE$11,comboutfac,Query!$O59),HLOOKUP(AE$11,index1970,Query!$O59)/AE$9 * HLOOKUP(AE$11,comboutfac,Query!$O59) /AE$8))</f>
        <v>2.2035071216142073</v>
      </c>
      <c r="AF24" s="120">
        <f ca="1">IF($J$7=1,HLOOKUP(AF$11,index1970,Query!$O59)/AF$9,IF($J$7=2,HLOOKUP(AF$11,index1970,Query!$O59)/AF$9 * HLOOKUP(AF$11,comboutfac,Query!$O59),HLOOKUP(AF$11,index1970,Query!$O59)/AF$9 * HLOOKUP(AF$11,comboutfac,Query!$O59) /AF$8))</f>
        <v>3.1696523509646068</v>
      </c>
      <c r="AG24" s="120">
        <f ca="1">IF($J$7=1,HLOOKUP(AG$11,index1970,Query!$O59)/AG$9,IF($J$7=2,HLOOKUP(AG$11,index1970,Query!$O59)/AG$9 * HLOOKUP(AG$11,comboutfac,Query!$O59),HLOOKUP(AG$11,index1970,Query!$O59)/AG$9 * HLOOKUP(AG$11,comboutfac,Query!$O59) /AG$8))</f>
        <v>2.3415591583742295</v>
      </c>
      <c r="AH24" s="120">
        <f ca="1">IF($J$7=1,HLOOKUP(AH$11,index1970,Query!$O59)/AH$9,IF($J$7=2,HLOOKUP(AH$11,index1970,Query!$O59)/AH$9 * HLOOKUP(AH$11,comboutfac,Query!$O59),HLOOKUP(AH$11,index1970,Query!$O59)/AH$9 * HLOOKUP(AH$11,comboutfac,Query!$O59) /AH$8))</f>
        <v>1.9604889148034863</v>
      </c>
      <c r="AI24" s="120">
        <f ca="1">IF($J$7=1,HLOOKUP(AI$11,index1970,Query!$O59)/AI$9,IF($J$7=2,HLOOKUP(AI$11,index1970,Query!$O59)/AI$9 * HLOOKUP(AI$11,comboutfac,Query!$O59),HLOOKUP(AI$11,index1970,Query!$O59)/AI$9 * HLOOKUP(AI$11,comboutfac,Query!$O59) /AI$8))</f>
        <v>2.1066377840830413</v>
      </c>
      <c r="AJ24" s="120">
        <f ca="1">IF($J$7=1,HLOOKUP(AJ$11,index1970,Query!$O59)/AJ$9,IF($J$7=2,HLOOKUP(AJ$11,index1970,Query!$O59)/AJ$9 * HLOOKUP(AJ$11,comboutfac,Query!$O59),HLOOKUP(AJ$11,index1970,Query!$O59)/AJ$9 * HLOOKUP(AJ$11,comboutfac,Query!$O59) /AJ$8))</f>
        <v>1.9604889148034863</v>
      </c>
      <c r="AK24" s="120">
        <f ca="1">IF($J$7=1,HLOOKUP(AK$11,index1970,Query!$O59)/AK$9,IF($J$7=2,HLOOKUP(AK$11,index1970,Query!$O59)/AK$9 * HLOOKUP(AK$11,comboutfac,Query!$O59),HLOOKUP(AK$11,index1970,Query!$O59)/AK$9 * HLOOKUP(AK$11,comboutfac,Query!$O59) /AK$8))</f>
        <v>2.1029145097035822</v>
      </c>
      <c r="AL24" s="120">
        <f ca="1">IF($J$7=1,HLOOKUP(AL$11,index1970,Query!$O59)/AL$9,IF($J$7=2,HLOOKUP(AL$11,index1970,Query!$O59)/AL$9 * HLOOKUP(AL$11,comboutfac,Query!$O59),HLOOKUP(AL$11,index1970,Query!$O59)/AL$9 * HLOOKUP(AL$11,comboutfac,Query!$O59) /AL$8))</f>
        <v>2.0948346441761565</v>
      </c>
      <c r="AM24" s="120">
        <f ca="1">IF($J$7=1,HLOOKUP(AM$11,index1970,Query!$O59)/AM$9,IF($J$7=2,HLOOKUP(AM$11,index1970,Query!$O59)/AM$9 * HLOOKUP(AM$11,comboutfac,Query!$O59),HLOOKUP(AM$11,index1970,Query!$O59)/AM$9 * HLOOKUP(AM$11,comboutfac,Query!$O59) /AM$8))</f>
        <v>1.7808453024368271</v>
      </c>
      <c r="AN24" s="120">
        <f ca="1">IF($J$7=1,HLOOKUP(AN$11,index1970,Query!$O59)/AN$9,IF($J$7=2,HLOOKUP(AN$11,index1970,Query!$O59)/AN$9 * HLOOKUP(AN$11,comboutfac,Query!$O59),HLOOKUP(AN$11,index1970,Query!$O59)/AN$9 * HLOOKUP(AN$11,comboutfac,Query!$O59) /AN$8))</f>
        <v>2.1204134964441348</v>
      </c>
      <c r="AO24" s="120">
        <f ca="1">IF($J$7=1,HLOOKUP(AO$11,index1970,Query!$O59)/AO$9,IF($J$7=2,HLOOKUP(AO$11,index1970,Query!$O59)/AO$9 * HLOOKUP(AO$11,comboutfac,Query!$O59),HLOOKUP(AO$11,index1970,Query!$O59)/AO$9 * HLOOKUP(AO$11,comboutfac,Query!$O59) /AO$8))</f>
        <v>1.7828874513661845</v>
      </c>
      <c r="AP24" s="120">
        <f ca="1">IF($J$7=1,HLOOKUP(AP$11,index1970,Query!$O59)/AP$9,IF($J$7=2,HLOOKUP(AP$11,index1970,Query!$O59)/AP$9 * HLOOKUP(AP$11,comboutfac,Query!$O59),HLOOKUP(AP$11,index1970,Query!$O59)/AP$9 * HLOOKUP(AP$11,comboutfac,Query!$O59) /AP$8))</f>
        <v>3.7281856808564173</v>
      </c>
      <c r="AQ24" s="683">
        <f ca="1">IF($J$7=1,HLOOKUP(AQ$11,index1970,Query!$O59)/AQ$9,IF($J$7=2,HLOOKUP(AQ$11,index1970,Query!$O59)/AQ$9 * HLOOKUP(AQ$11,comboutfac,Query!$O59),HLOOKUP(AQ$11,index1970,Query!$O59)/AQ$9 * HLOOKUP(AQ$11,comboutfac,Query!$O59) /AQ$8))</f>
        <v>2.7376250352540583</v>
      </c>
      <c r="AR24" s="120">
        <f ca="1">IF($J$7=1,HLOOKUP(AR$11,index1970,Query!$O59)/AR$9,IF($J$7=2,HLOOKUP(AR$11,index1970,Query!$O59)/AR$9 * HLOOKUP(AR$11,comboutfac,Query!$O59),HLOOKUP(AR$11,index1970,Query!$O59)/AR$9 * HLOOKUP(AR$11,comboutfac,Query!$O59) /AR$8))</f>
        <v>2.2912539730085784</v>
      </c>
      <c r="AS24" s="213"/>
    </row>
    <row r="25" spans="1:45" s="122" customFormat="1">
      <c r="A25" s="121">
        <f>+A24+1</f>
        <v>1981</v>
      </c>
      <c r="B25" s="120">
        <f ca="1">IF($J$7=1,HLOOKUP(B$11,index1970,Query!$O60)/B$9,IF($J$7=2,HLOOKUP(B$11,index1970,Query!$O60)/B$9 * HLOOKUP(B$11,comboutfac,Query!$O60),HLOOKUP(B$11,index1970,Query!$O60)/B$9 * HLOOKUP(B$11,comboutfac,Query!$O60) /B$8))</f>
        <v>2.5377331646448043</v>
      </c>
      <c r="C25" s="120">
        <f ca="1">IF($J$7=1,HLOOKUP(C$11,index1970,Query!$O60)/C$9,IF($J$7=2,HLOOKUP(C$11,index1970,Query!$O60)/C$9 * HLOOKUP(C$11,comboutfac,Query!$O60),HLOOKUP(C$11,index1970,Query!$O60)/C$9 * HLOOKUP(C$11,comboutfac,Query!$O60) /C$8))</f>
        <v>2.6573136975215235</v>
      </c>
      <c r="D25" s="120">
        <f ca="1">IF($J$7=1,HLOOKUP(D$11,index1970,Query!$O60)/D$9,IF($J$7=2,HLOOKUP(D$11,index1970,Query!$O60)/D$9 * HLOOKUP(D$11,comboutfac,Query!$O60),HLOOKUP(D$11,index1970,Query!$O60)/D$9 * HLOOKUP(D$11,comboutfac,Query!$O60) /D$8))</f>
        <v>2.5035492266896782</v>
      </c>
      <c r="E25" s="120">
        <f ca="1">IF($J$7=1,HLOOKUP(E$11,index1970,Query!$O60)/E$9,IF($J$7=2,HLOOKUP(E$11,index1970,Query!$O60)/E$9 * HLOOKUP(E$11,comboutfac,Query!$O60),HLOOKUP(E$11,index1970,Query!$O60)/E$9 * HLOOKUP(E$11,comboutfac,Query!$O60) /E$8))</f>
        <v>2.3112111490789311</v>
      </c>
      <c r="F25" s="120">
        <f ca="1">IF($J$7=1,HLOOKUP(F$11,index1970,Query!$O60)/F$9,IF($J$7=2,HLOOKUP(F$11,index1970,Query!$O60)/F$9 * HLOOKUP(F$11,comboutfac,Query!$O60),HLOOKUP(F$11,index1970,Query!$O60)/F$9 * HLOOKUP(F$11,comboutfac,Query!$O60) /F$8))</f>
        <v>2.6573136975215235</v>
      </c>
      <c r="G25" s="120">
        <f ca="1">IF($J$7=1,HLOOKUP(G$11,index1970,Query!$O60)/G$9,IF($J$7=2,HLOOKUP(G$11,index1970,Query!$O60)/G$9 * HLOOKUP(G$11,comboutfac,Query!$O60),HLOOKUP(G$11,index1970,Query!$O60)/G$9 * HLOOKUP(G$11,comboutfac,Query!$O60) /G$8))</f>
        <v>2.7692986858885673</v>
      </c>
      <c r="H25" s="120">
        <f ca="1">IF($J$7=1,HLOOKUP(H$11,index1970,Query!$O60)/H$9,IF($J$7=2,HLOOKUP(H$11,index1970,Query!$O60)/H$9 * HLOOKUP(H$11,comboutfac,Query!$O60),HLOOKUP(H$11,index1970,Query!$O60)/H$9 * HLOOKUP(H$11,comboutfac,Query!$O60) /H$8))</f>
        <v>2.5680458560313304</v>
      </c>
      <c r="I25" s="120">
        <f ca="1">IF($J$7=1,HLOOKUP(I$11,index1970,Query!$O60)/I$9,IF($J$7=2,HLOOKUP(I$11,index1970,Query!$O60)/I$9 * HLOOKUP(I$11,comboutfac,Query!$O60),HLOOKUP(I$11,index1970,Query!$O60)/I$9 * HLOOKUP(I$11,comboutfac,Query!$O60) /I$8))</f>
        <v>2.5337618401578395</v>
      </c>
      <c r="J25" s="120">
        <f ca="1">IF($J$7=1,HLOOKUP(J$11,index1970,Query!$O60)/J$9,IF($J$7=2,HLOOKUP(J$11,index1970,Query!$O60)/J$9 * HLOOKUP(J$11,comboutfac,Query!$O60),HLOOKUP(J$11,index1970,Query!$O60)/J$9 * HLOOKUP(J$11,comboutfac,Query!$O60) /J$8))</f>
        <v>4.284796573875802</v>
      </c>
      <c r="K25" s="120">
        <f ca="1">IF($J$7=1,HLOOKUP(K$11,index1970,Query!$O60)/K$9,IF($J$7=2,HLOOKUP(K$11,index1970,Query!$O60)/K$9 * HLOOKUP(K$11,comboutfac,Query!$O60),HLOOKUP(K$11,index1970,Query!$O60)/K$9 * HLOOKUP(K$11,comboutfac,Query!$O60) /K$8))</f>
        <v>2.5294051681762508</v>
      </c>
      <c r="L25" s="120">
        <f ca="1">IF($J$7=1,HLOOKUP(L$11,index1970,Query!$O60)/L$9,IF($J$7=2,HLOOKUP(L$11,index1970,Query!$O60)/L$9 * HLOOKUP(L$11,comboutfac,Query!$O60),HLOOKUP(L$11,index1970,Query!$O60)/L$9 * HLOOKUP(L$11,comboutfac,Query!$O60) /L$8))</f>
        <v>2.6324622310897454</v>
      </c>
      <c r="M25" s="120">
        <f ca="1">IF($J$7=1,HLOOKUP(M$11,index1970,Query!$O60)/M$9,IF($J$7=2,HLOOKUP(M$11,index1970,Query!$O60)/M$9 * HLOOKUP(M$11,comboutfac,Query!$O60),HLOOKUP(M$11,index1970,Query!$O60)/M$9 * HLOOKUP(M$11,comboutfac,Query!$O60) /M$8))</f>
        <v>2.1683007397726564</v>
      </c>
      <c r="N25" s="120">
        <f ca="1">IF($J$7=1,HLOOKUP(N$11,index1970,Query!$O60)/N$9,IF($J$7=2,HLOOKUP(N$11,index1970,Query!$O60)/N$9 * HLOOKUP(N$11,comboutfac,Query!$O60),HLOOKUP(N$11,index1970,Query!$O60)/N$9 * HLOOKUP(N$11,comboutfac,Query!$O60) /N$8))</f>
        <v>2.6573136975215235</v>
      </c>
      <c r="O25" s="120">
        <f ca="1">IF($J$7=1,HLOOKUP(O$11,index1970,Query!$O60)/O$9,IF($J$7=2,HLOOKUP(O$11,index1970,Query!$O60)/O$9 * HLOOKUP(O$11,comboutfac,Query!$O60),HLOOKUP(O$11,index1970,Query!$O60)/O$9 * HLOOKUP(O$11,comboutfac,Query!$O60) /O$8))</f>
        <v>2.6573136975215235</v>
      </c>
      <c r="P25" s="120">
        <f ca="1">IF($J$7=1,HLOOKUP(P$11,index1970,Query!$O60)/P$9,IF($J$7=2,HLOOKUP(P$11,index1970,Query!$O60)/P$9 * HLOOKUP(P$11,comboutfac,Query!$O60),HLOOKUP(P$11,index1970,Query!$O60)/P$9 * HLOOKUP(P$11,comboutfac,Query!$O60) /P$8))</f>
        <v>2.508756332446743</v>
      </c>
      <c r="Q25" s="120">
        <f ca="1">IF($J$7=1,HLOOKUP(Q$11,index1970,Query!$O60)/Q$9,IF($J$7=2,HLOOKUP(Q$11,index1970,Query!$O60)/Q$9 * HLOOKUP(Q$11,comboutfac,Query!$O60),HLOOKUP(Q$11,index1970,Query!$O60)/Q$9 * HLOOKUP(Q$11,comboutfac,Query!$O60) /Q$8))</f>
        <v>2.2034456407191483</v>
      </c>
      <c r="R25" s="120">
        <f ca="1">IF($J$7=1,HLOOKUP(R$11,index1970,Query!$O60)/R$9,IF($J$7=2,HLOOKUP(R$11,index1970,Query!$O60)/R$9 * HLOOKUP(R$11,comboutfac,Query!$O60),HLOOKUP(R$11,index1970,Query!$O60)/R$9 * HLOOKUP(R$11,comboutfac,Query!$O60) /R$8))</f>
        <v>2.4731120051245719</v>
      </c>
      <c r="S25" s="120">
        <f ca="1">IF($J$7=1,HLOOKUP(S$11,index1970,Query!$O60)/S$9,IF($J$7=2,HLOOKUP(S$11,index1970,Query!$O60)/S$9 * HLOOKUP(S$11,comboutfac,Query!$O60),HLOOKUP(S$11,index1970,Query!$O60)/S$9 * HLOOKUP(S$11,comboutfac,Query!$O60) /S$8))</f>
        <v>2.2034456407191483</v>
      </c>
      <c r="T25" s="120">
        <f ca="1">IF($J$7=1,HLOOKUP(T$11,index1970,Query!$O60)/T$9,IF($J$7=2,HLOOKUP(T$11,index1970,Query!$O60)/T$9 * HLOOKUP(T$11,comboutfac,Query!$O60),HLOOKUP(T$11,index1970,Query!$O60)/T$9 * HLOOKUP(T$11,comboutfac,Query!$O60) /T$8))</f>
        <v>2.1594847278377682</v>
      </c>
      <c r="U25" s="120">
        <f ca="1">IF($J$7=1,HLOOKUP(U$11,index1970,Query!$O60)/U$9,IF($J$7=2,HLOOKUP(U$11,index1970,Query!$O60)/U$9 * HLOOKUP(U$11,comboutfac,Query!$O60),HLOOKUP(U$11,index1970,Query!$O60)/U$9 * HLOOKUP(U$11,comboutfac,Query!$O60) /U$8))</f>
        <v>2.8268555701901361</v>
      </c>
      <c r="V25" s="120">
        <f ca="1">IF($J$7=1,HLOOKUP(V$11,index1970,Query!$O60)/V$9,IF($J$7=2,HLOOKUP(V$11,index1970,Query!$O60)/V$9 * HLOOKUP(V$11,comboutfac,Query!$O60),HLOOKUP(V$11,index1970,Query!$O60)/V$9 * HLOOKUP(V$11,comboutfac,Query!$O60) /V$8))</f>
        <v>2.5077058697740489</v>
      </c>
      <c r="W25" s="120">
        <f ca="1">IF($J$7=1,HLOOKUP(W$11,index1970,Query!$O60)/W$9,IF($J$7=2,HLOOKUP(W$11,index1970,Query!$O60)/W$9 * HLOOKUP(W$11,comboutfac,Query!$O60),HLOOKUP(W$11,index1970,Query!$O60)/W$9 * HLOOKUP(W$11,comboutfac,Query!$O60) /W$8))</f>
        <v>2.5579176135311852</v>
      </c>
      <c r="X25" s="120">
        <f ca="1">IF($J$7=1,HLOOKUP(X$11,index1970,Query!$O60)/X$9,IF($J$7=2,HLOOKUP(X$11,index1970,Query!$O60)/X$9 * HLOOKUP(X$11,comboutfac,Query!$O60),HLOOKUP(X$11,index1970,Query!$O60)/X$9 * HLOOKUP(X$11,comboutfac,Query!$O60) /X$8))</f>
        <v>2.5870124725535728</v>
      </c>
      <c r="Y25" s="120">
        <f ca="1">IF($J$7=1,HLOOKUP(Y$11,index1970,Query!$O60)/Y$9,IF($J$7=2,HLOOKUP(Y$11,index1970,Query!$O60)/Y$9 * HLOOKUP(Y$11,comboutfac,Query!$O60),HLOOKUP(Y$11,index1970,Query!$O60)/Y$9 * HLOOKUP(Y$11,comboutfac,Query!$O60) /Y$8))</f>
        <v>2.6114489555565839</v>
      </c>
      <c r="Z25" s="120">
        <f ca="1">IF($J$7=1,HLOOKUP(Z$11,index1970,Query!$O60)/Z$9,IF($J$7=2,HLOOKUP(Z$11,index1970,Query!$O60)/Z$9 * HLOOKUP(Z$11,comboutfac,Query!$O60),HLOOKUP(Z$11,index1970,Query!$O60)/Z$9 * HLOOKUP(Z$11,comboutfac,Query!$O60) /Z$8))</f>
        <v>2.7633529578141363</v>
      </c>
      <c r="AA25" s="120">
        <f ca="1">IF($J$7=1,HLOOKUP(AA$11,index1970,Query!$O60)/AA$9,IF($J$7=2,HLOOKUP(AA$11,index1970,Query!$O60)/AA$9 * HLOOKUP(AA$11,comboutfac,Query!$O60),HLOOKUP(AA$11,index1970,Query!$O60)/AA$9 * HLOOKUP(AA$11,comboutfac,Query!$O60) /AA$8))</f>
        <v>2.5870124725535728</v>
      </c>
      <c r="AB25" s="120">
        <f ca="1">IF($J$7=1,HLOOKUP(AB$11,index1970,Query!$O60)/AB$9,IF($J$7=2,HLOOKUP(AB$11,index1970,Query!$O60)/AB$9 * HLOOKUP(AB$11,comboutfac,Query!$O60),HLOOKUP(AB$11,index1970,Query!$O60)/AB$9 * HLOOKUP(AB$11,comboutfac,Query!$O60) /AB$8))</f>
        <v>2.4530460877592972</v>
      </c>
      <c r="AC25" s="120">
        <f ca="1">IF($J$7=1,HLOOKUP(AC$11,index1970,Query!$O60)/AC$9,IF($J$7=2,HLOOKUP(AC$11,index1970,Query!$O60)/AC$9 * HLOOKUP(AC$11,comboutfac,Query!$O60),HLOOKUP(AC$11,index1970,Query!$O60)/AC$9 * HLOOKUP(AC$11,comboutfac,Query!$O60) /AC$8))</f>
        <v>2.8575207898858253</v>
      </c>
      <c r="AD25" s="120">
        <f ca="1">IF($J$7=1,HLOOKUP(AD$11,index1970,Query!$O60)/AD$9,IF($J$7=2,HLOOKUP(AD$11,index1970,Query!$O60)/AD$9 * HLOOKUP(AD$11,comboutfac,Query!$O60),HLOOKUP(AD$11,index1970,Query!$O60)/AD$9 * HLOOKUP(AD$11,comboutfac,Query!$O60) /AD$8))</f>
        <v>2.5462419845682209</v>
      </c>
      <c r="AE25" s="120">
        <f ca="1">IF($J$7=1,HLOOKUP(AE$11,index1970,Query!$O60)/AE$9,IF($J$7=2,HLOOKUP(AE$11,index1970,Query!$O60)/AE$9 * HLOOKUP(AE$11,comboutfac,Query!$O60),HLOOKUP(AE$11,index1970,Query!$O60)/AE$9 * HLOOKUP(AE$11,comboutfac,Query!$O60) /AE$8))</f>
        <v>2.3439278177524536</v>
      </c>
      <c r="AF25" s="120">
        <f ca="1">IF($J$7=1,HLOOKUP(AF$11,index1970,Query!$O60)/AF$9,IF($J$7=2,HLOOKUP(AF$11,index1970,Query!$O60)/AF$9 * HLOOKUP(AF$11,comboutfac,Query!$O60),HLOOKUP(AF$11,index1970,Query!$O60)/AF$9 * HLOOKUP(AF$11,comboutfac,Query!$O60) /AF$8))</f>
        <v>3.5023448620176825</v>
      </c>
      <c r="AG25" s="120">
        <f ca="1">IF($J$7=1,HLOOKUP(AG$11,index1970,Query!$O60)/AG$9,IF($J$7=2,HLOOKUP(AG$11,index1970,Query!$O60)/AG$9 * HLOOKUP(AG$11,comboutfac,Query!$O60),HLOOKUP(AG$11,index1970,Query!$O60)/AG$9 * HLOOKUP(AG$11,comboutfac,Query!$O60) /AG$8))</f>
        <v>2.5841863316105784</v>
      </c>
      <c r="AH25" s="120">
        <f ca="1">IF($J$7=1,HLOOKUP(AH$11,index1970,Query!$O60)/AH$9,IF($J$7=2,HLOOKUP(AH$11,index1970,Query!$O60)/AH$9 * HLOOKUP(AH$11,comboutfac,Query!$O60),HLOOKUP(AH$11,index1970,Query!$O60)/AH$9 * HLOOKUP(AH$11,comboutfac,Query!$O60) /AH$8))</f>
        <v>2.1683007397726564</v>
      </c>
      <c r="AI25" s="120">
        <f ca="1">IF($J$7=1,HLOOKUP(AI$11,index1970,Query!$O60)/AI$9,IF($J$7=2,HLOOKUP(AI$11,index1970,Query!$O60)/AI$9 * HLOOKUP(AI$11,comboutfac,Query!$O60),HLOOKUP(AI$11,index1970,Query!$O60)/AI$9 * HLOOKUP(AI$11,comboutfac,Query!$O60) /AI$8))</f>
        <v>2.2971154229070621</v>
      </c>
      <c r="AJ25" s="120">
        <f ca="1">IF($J$7=1,HLOOKUP(AJ$11,index1970,Query!$O60)/AJ$9,IF($J$7=2,HLOOKUP(AJ$11,index1970,Query!$O60)/AJ$9 * HLOOKUP(AJ$11,comboutfac,Query!$O60),HLOOKUP(AJ$11,index1970,Query!$O60)/AJ$9 * HLOOKUP(AJ$11,comboutfac,Query!$O60) /AJ$8))</f>
        <v>2.1683007397726564</v>
      </c>
      <c r="AK25" s="120">
        <f ca="1">IF($J$7=1,HLOOKUP(AK$11,index1970,Query!$O60)/AK$9,IF($J$7=2,HLOOKUP(AK$11,index1970,Query!$O60)/AK$9 * HLOOKUP(AK$11,comboutfac,Query!$O60),HLOOKUP(AK$11,index1970,Query!$O60)/AK$9 * HLOOKUP(AK$11,comboutfac,Query!$O60) /AK$8))</f>
        <v>2.2941357516785392</v>
      </c>
      <c r="AL25" s="120">
        <f ca="1">IF($J$7=1,HLOOKUP(AL$11,index1970,Query!$O60)/AL$9,IF($J$7=2,HLOOKUP(AL$11,index1970,Query!$O60)/AL$9 * HLOOKUP(AL$11,comboutfac,Query!$O60),HLOOKUP(AL$11,index1970,Query!$O60)/AL$9 * HLOOKUP(AL$11,comboutfac,Query!$O60) /AL$8))</f>
        <v>2.4622686101603417</v>
      </c>
      <c r="AM25" s="120">
        <f ca="1">IF($J$7=1,HLOOKUP(AM$11,index1970,Query!$O60)/AM$9,IF($J$7=2,HLOOKUP(AM$11,index1970,Query!$O60)/AM$9 * HLOOKUP(AM$11,comboutfac,Query!$O60),HLOOKUP(AM$11,index1970,Query!$O60)/AM$9 * HLOOKUP(AM$11,comboutfac,Query!$O60) /AM$8))</f>
        <v>2.2034456407191483</v>
      </c>
      <c r="AN25" s="120">
        <f ca="1">IF($J$7=1,HLOOKUP(AN$11,index1970,Query!$O60)/AN$9,IF($J$7=2,HLOOKUP(AN$11,index1970,Query!$O60)/AN$9 * HLOOKUP(AN$11,comboutfac,Query!$O60),HLOOKUP(AN$11,index1970,Query!$O60)/AN$9 * HLOOKUP(AN$11,comboutfac,Query!$O60) /AN$8))</f>
        <v>2.4816816394377148</v>
      </c>
      <c r="AO25" s="120">
        <f ca="1">IF($J$7=1,HLOOKUP(AO$11,index1970,Query!$O60)/AO$9,IF($J$7=2,HLOOKUP(AO$11,index1970,Query!$O60)/AO$9 * HLOOKUP(AO$11,comboutfac,Query!$O60),HLOOKUP(AO$11,index1970,Query!$O60)/AO$9 * HLOOKUP(AO$11,comboutfac,Query!$O60) /AO$8))</f>
        <v>2.2034456407191483</v>
      </c>
      <c r="AP25" s="120">
        <f ca="1">IF($J$7=1,HLOOKUP(AP$11,index1970,Query!$O60)/AP$9,IF($J$7=2,HLOOKUP(AP$11,index1970,Query!$O60)/AP$9 * HLOOKUP(AP$11,comboutfac,Query!$O60),HLOOKUP(AP$11,index1970,Query!$O60)/AP$9 * HLOOKUP(AP$11,comboutfac,Query!$O60) /AP$8))</f>
        <v>3.9372961846515127</v>
      </c>
      <c r="AQ25" s="683">
        <f ca="1">IF($J$7=1,HLOOKUP(AQ$11,index1970,Query!$O60)/AQ$9,IF($J$7=2,HLOOKUP(AQ$11,index1970,Query!$O60)/AQ$9 * HLOOKUP(AQ$11,comboutfac,Query!$O60),HLOOKUP(AQ$11,index1970,Query!$O60)/AQ$9 * HLOOKUP(AQ$11,comboutfac,Query!$O60) /AQ$8))</f>
        <v>2.8268555701901361</v>
      </c>
      <c r="AR25" s="120">
        <f ca="1">IF($J$7=1,HLOOKUP(AR$11,index1970,Query!$O60)/AR$9,IF($J$7=2,HLOOKUP(AR$11,index1970,Query!$O60)/AR$9 * HLOOKUP(AR$11,comboutfac,Query!$O60),HLOOKUP(AR$11,index1970,Query!$O60)/AR$9 * HLOOKUP(AR$11,comboutfac,Query!$O60) /AR$8))</f>
        <v>2.5559113759184702</v>
      </c>
      <c r="AS25" s="213"/>
    </row>
    <row r="26" spans="1:45" s="122" customFormat="1">
      <c r="A26" s="121">
        <f t="shared" ref="A26:A45" si="6">+A25+1</f>
        <v>1982</v>
      </c>
      <c r="B26" s="120">
        <f ca="1">IF($J$7=1,HLOOKUP(B$11,index1970,Query!$O61)/B$9,IF($J$7=2,HLOOKUP(B$11,index1970,Query!$O61)/B$9 * HLOOKUP(B$11,comboutfac,Query!$O61),HLOOKUP(B$11,index1970,Query!$O61)/B$9 * HLOOKUP(B$11,comboutfac,Query!$O61) /B$8))</f>
        <v>2.756697483750159</v>
      </c>
      <c r="C26" s="120">
        <f ca="1">IF($J$7=1,HLOOKUP(C$11,index1970,Query!$O61)/C$9,IF($J$7=2,HLOOKUP(C$11,index1970,Query!$O61)/C$9 * HLOOKUP(C$11,comboutfac,Query!$O61),HLOOKUP(C$11,index1970,Query!$O61)/C$9 * HLOOKUP(C$11,comboutfac,Query!$O61) /C$8))</f>
        <v>2.8047923703809303</v>
      </c>
      <c r="D26" s="120">
        <f ca="1">IF($J$7=1,HLOOKUP(D$11,index1970,Query!$O61)/D$9,IF($J$7=2,HLOOKUP(D$11,index1970,Query!$O61)/D$9 * HLOOKUP(D$11,comboutfac,Query!$O61),HLOOKUP(D$11,index1970,Query!$O61)/D$9 * HLOOKUP(D$11,comboutfac,Query!$O61) /D$8))</f>
        <v>2.6938189679180939</v>
      </c>
      <c r="E26" s="120">
        <f ca="1">IF($J$7=1,HLOOKUP(E$11,index1970,Query!$O61)/E$9,IF($J$7=2,HLOOKUP(E$11,index1970,Query!$O61)/E$9 * HLOOKUP(E$11,comboutfac,Query!$O61),HLOOKUP(E$11,index1970,Query!$O61)/E$9 * HLOOKUP(E$11,comboutfac,Query!$O61) /E$8))</f>
        <v>2.4380966411633644</v>
      </c>
      <c r="F26" s="120">
        <f ca="1">IF($J$7=1,HLOOKUP(F$11,index1970,Query!$O61)/F$9,IF($J$7=2,HLOOKUP(F$11,index1970,Query!$O61)/F$9 * HLOOKUP(F$11,comboutfac,Query!$O61),HLOOKUP(F$11,index1970,Query!$O61)/F$9 * HLOOKUP(F$11,comboutfac,Query!$O61) /F$8))</f>
        <v>2.8047923703809303</v>
      </c>
      <c r="G26" s="120">
        <f ca="1">IF($J$7=1,HLOOKUP(G$11,index1970,Query!$O61)/G$9,IF($J$7=2,HLOOKUP(G$11,index1970,Query!$O61)/G$9 * HLOOKUP(G$11,comboutfac,Query!$O61),HLOOKUP(G$11,index1970,Query!$O61)/G$9 * HLOOKUP(G$11,comboutfac,Query!$O61) /G$8))</f>
        <v>2.8880622577876647</v>
      </c>
      <c r="H26" s="120">
        <f ca="1">IF($J$7=1,HLOOKUP(H$11,index1970,Query!$O61)/H$9,IF($J$7=2,HLOOKUP(H$11,index1970,Query!$O61)/H$9 * HLOOKUP(H$11,comboutfac,Query!$O61),HLOOKUP(H$11,index1970,Query!$O61)/H$9 * HLOOKUP(H$11,comboutfac,Query!$O61) /H$8))</f>
        <v>2.732610845085933</v>
      </c>
      <c r="I26" s="120">
        <f ca="1">IF($J$7=1,HLOOKUP(I$11,index1970,Query!$O61)/I$9,IF($J$7=2,HLOOKUP(I$11,index1970,Query!$O61)/I$9 * HLOOKUP(I$11,comboutfac,Query!$O61),HLOOKUP(I$11,index1970,Query!$O61)/I$9 * HLOOKUP(I$11,comboutfac,Query!$O61) /I$8))</f>
        <v>2.6928202950529965</v>
      </c>
      <c r="J26" s="120">
        <f ca="1">IF($J$7=1,HLOOKUP(J$11,index1970,Query!$O61)/J$9,IF($J$7=2,HLOOKUP(J$11,index1970,Query!$O61)/J$9 * HLOOKUP(J$11,comboutfac,Query!$O61),HLOOKUP(J$11,index1970,Query!$O61)/J$9 * HLOOKUP(J$11,comboutfac,Query!$O61) /J$8))</f>
        <v>4.7678189048638719</v>
      </c>
      <c r="K26" s="120">
        <f ca="1">IF($J$7=1,HLOOKUP(K$11,index1970,Query!$O61)/K$9,IF($J$7=2,HLOOKUP(K$11,index1970,Query!$O61)/K$9 * HLOOKUP(K$11,comboutfac,Query!$O61),HLOOKUP(K$11,index1970,Query!$O61)/K$9 * HLOOKUP(K$11,comboutfac,Query!$O61) /K$8))</f>
        <v>2.8761866167332149</v>
      </c>
      <c r="L26" s="120">
        <f ca="1">IF($J$7=1,HLOOKUP(L$11,index1970,Query!$O61)/L$9,IF($J$7=2,HLOOKUP(L$11,index1970,Query!$O61)/L$9 * HLOOKUP(L$11,comboutfac,Query!$O61),HLOOKUP(L$11,index1970,Query!$O61)/L$9 * HLOOKUP(L$11,comboutfac,Query!$O61) /L$8))</f>
        <v>2.7782268360588729</v>
      </c>
      <c r="M26" s="120">
        <f ca="1">IF($J$7=1,HLOOKUP(M$11,index1970,Query!$O61)/M$9,IF($J$7=2,HLOOKUP(M$11,index1970,Query!$O61)/M$9 * HLOOKUP(M$11,comboutfac,Query!$O61),HLOOKUP(M$11,index1970,Query!$O61)/M$9 * HLOOKUP(M$11,comboutfac,Query!$O61) /M$8))</f>
        <v>2.333091595995378</v>
      </c>
      <c r="N26" s="120">
        <f ca="1">IF($J$7=1,HLOOKUP(N$11,index1970,Query!$O61)/N$9,IF($J$7=2,HLOOKUP(N$11,index1970,Query!$O61)/N$9 * HLOOKUP(N$11,comboutfac,Query!$O61),HLOOKUP(N$11,index1970,Query!$O61)/N$9 * HLOOKUP(N$11,comboutfac,Query!$O61) /N$8))</f>
        <v>2.8047923703809303</v>
      </c>
      <c r="O26" s="120">
        <f ca="1">IF($J$7=1,HLOOKUP(O$11,index1970,Query!$O61)/O$9,IF($J$7=2,HLOOKUP(O$11,index1970,Query!$O61)/O$9 * HLOOKUP(O$11,comboutfac,Query!$O61),HLOOKUP(O$11,index1970,Query!$O61)/O$9 * HLOOKUP(O$11,comboutfac,Query!$O61) /O$8))</f>
        <v>2.8047923703809303</v>
      </c>
      <c r="P26" s="120">
        <f ca="1">IF($J$7=1,HLOOKUP(P$11,index1970,Query!$O61)/P$9,IF($J$7=2,HLOOKUP(P$11,index1970,Query!$O61)/P$9 * HLOOKUP(P$11,comboutfac,Query!$O61),HLOOKUP(P$11,index1970,Query!$O61)/P$9 * HLOOKUP(P$11,comboutfac,Query!$O61) /P$8))</f>
        <v>2.8425900148389669</v>
      </c>
      <c r="Q26" s="120">
        <f ca="1">IF($J$7=1,HLOOKUP(Q$11,index1970,Query!$O61)/Q$9,IF($J$7=2,HLOOKUP(Q$11,index1970,Query!$O61)/Q$9 * HLOOKUP(Q$11,comboutfac,Query!$O61),HLOOKUP(Q$11,index1970,Query!$O61)/Q$9 * HLOOKUP(Q$11,comboutfac,Query!$O61) /Q$8))</f>
        <v>2.3709075094138039</v>
      </c>
      <c r="R26" s="120">
        <f ca="1">IF($J$7=1,HLOOKUP(R$11,index1970,Query!$O61)/R$9,IF($J$7=2,HLOOKUP(R$11,index1970,Query!$O61)/R$9 * HLOOKUP(R$11,comboutfac,Query!$O61),HLOOKUP(R$11,index1970,Query!$O61)/R$9 * HLOOKUP(R$11,comboutfac,Query!$O61) /R$8))</f>
        <v>2.7896758073580483</v>
      </c>
      <c r="S26" s="120">
        <f ca="1">IF($J$7=1,HLOOKUP(S$11,index1970,Query!$O61)/S$9,IF($J$7=2,HLOOKUP(S$11,index1970,Query!$O61)/S$9 * HLOOKUP(S$11,comboutfac,Query!$O61),HLOOKUP(S$11,index1970,Query!$O61)/S$9 * HLOOKUP(S$11,comboutfac,Query!$O61) /S$8))</f>
        <v>2.3709075094138039</v>
      </c>
      <c r="T26" s="120">
        <f ca="1">IF($J$7=1,HLOOKUP(T$11,index1970,Query!$O61)/T$9,IF($J$7=2,HLOOKUP(T$11,index1970,Query!$O61)/T$9 * HLOOKUP(T$11,comboutfac,Query!$O61),HLOOKUP(T$11,index1970,Query!$O61)/T$9 * HLOOKUP(T$11,comboutfac,Query!$O61) /T$8))</f>
        <v>2.3236055671534386</v>
      </c>
      <c r="U26" s="120">
        <f ca="1">IF($J$7=1,HLOOKUP(U$11,index1970,Query!$O61)/U$9,IF($J$7=2,HLOOKUP(U$11,index1970,Query!$O61)/U$9 * HLOOKUP(U$11,comboutfac,Query!$O61),HLOOKUP(U$11,index1970,Query!$O61)/U$9 * HLOOKUP(U$11,comboutfac,Query!$O61) /U$8))</f>
        <v>2.9116092117148211</v>
      </c>
      <c r="V26" s="120">
        <f ca="1">IF($J$7=1,HLOOKUP(V$11,index1970,Query!$O61)/V$9,IF($J$7=2,HLOOKUP(V$11,index1970,Query!$O61)/V$9 * HLOOKUP(V$11,comboutfac,Query!$O61),HLOOKUP(V$11,index1970,Query!$O61)/V$9 * HLOOKUP(V$11,comboutfac,Query!$O61) /V$8))</f>
        <v>2.6982915158768765</v>
      </c>
      <c r="W26" s="120">
        <f ca="1">IF($J$7=1,HLOOKUP(W$11,index1970,Query!$O61)/W$9,IF($J$7=2,HLOOKUP(W$11,index1970,Query!$O61)/W$9 * HLOOKUP(W$11,comboutfac,Query!$O61),HLOOKUP(W$11,index1970,Query!$O61)/W$9 * HLOOKUP(W$11,comboutfac,Query!$O61) /W$8))</f>
        <v>2.7055497095766139</v>
      </c>
      <c r="X26" s="120">
        <f ca="1">IF($J$7=1,HLOOKUP(X$11,index1970,Query!$O61)/X$9,IF($J$7=2,HLOOKUP(X$11,index1970,Query!$O61)/X$9 * HLOOKUP(X$11,comboutfac,Query!$O61),HLOOKUP(X$11,index1970,Query!$O61)/X$9 * HLOOKUP(X$11,comboutfac,Query!$O61) /X$8))</f>
        <v>2.7347358669751123</v>
      </c>
      <c r="Y26" s="120">
        <f ca="1">IF($J$7=1,HLOOKUP(Y$11,index1970,Query!$O61)/Y$9,IF($J$7=2,HLOOKUP(Y$11,index1970,Query!$O61)/Y$9 * HLOOKUP(Y$11,comboutfac,Query!$O61),HLOOKUP(Y$11,index1970,Query!$O61)/Y$9 * HLOOKUP(Y$11,comboutfac,Query!$O61) /Y$8))</f>
        <v>2.763871426484394</v>
      </c>
      <c r="Z26" s="120">
        <f ca="1">IF($J$7=1,HLOOKUP(Z$11,index1970,Query!$O61)/Z$9,IF($J$7=2,HLOOKUP(Z$11,index1970,Query!$O61)/Z$9 * HLOOKUP(Z$11,comboutfac,Query!$O61),HLOOKUP(Z$11,index1970,Query!$O61)/Z$9 * HLOOKUP(Z$11,comboutfac,Query!$O61) /Z$8))</f>
        <v>2.9432897015088675</v>
      </c>
      <c r="AA26" s="120">
        <f ca="1">IF($J$7=1,HLOOKUP(AA$11,index1970,Query!$O61)/AA$9,IF($J$7=2,HLOOKUP(AA$11,index1970,Query!$O61)/AA$9 * HLOOKUP(AA$11,comboutfac,Query!$O61),HLOOKUP(AA$11,index1970,Query!$O61)/AA$9 * HLOOKUP(AA$11,comboutfac,Query!$O61) /AA$8))</f>
        <v>2.7347358669751123</v>
      </c>
      <c r="AB26" s="120">
        <f ca="1">IF($J$7=1,HLOOKUP(AB$11,index1970,Query!$O61)/AB$9,IF($J$7=2,HLOOKUP(AB$11,index1970,Query!$O61)/AB$9 * HLOOKUP(AB$11,comboutfac,Query!$O61),HLOOKUP(AB$11,index1970,Query!$O61)/AB$9 * HLOOKUP(AB$11,comboutfac,Query!$O61) /AB$8))</f>
        <v>2.5927255317965492</v>
      </c>
      <c r="AC26" s="120">
        <f ca="1">IF($J$7=1,HLOOKUP(AC$11,index1970,Query!$O61)/AC$9,IF($J$7=2,HLOOKUP(AC$11,index1970,Query!$O61)/AC$9 * HLOOKUP(AC$11,comboutfac,Query!$O61),HLOOKUP(AC$11,index1970,Query!$O61)/AC$9 * HLOOKUP(AC$11,comboutfac,Query!$O61) /AC$8))</f>
        <v>3.0701029089167657</v>
      </c>
      <c r="AD26" s="120">
        <f ca="1">IF($J$7=1,HLOOKUP(AD$11,index1970,Query!$O61)/AD$9,IF($J$7=2,HLOOKUP(AD$11,index1970,Query!$O61)/AD$9 * HLOOKUP(AD$11,comboutfac,Query!$O61),HLOOKUP(AD$11,index1970,Query!$O61)/AD$9 * HLOOKUP(AD$11,comboutfac,Query!$O61) /AD$8))</f>
        <v>2.716367280121557</v>
      </c>
      <c r="AE26" s="120">
        <f ca="1">IF($J$7=1,HLOOKUP(AE$11,index1970,Query!$O61)/AE$9,IF($J$7=2,HLOOKUP(AE$11,index1970,Query!$O61)/AE$9 * HLOOKUP(AE$11,comboutfac,Query!$O61),HLOOKUP(AE$11,index1970,Query!$O61)/AE$9 * HLOOKUP(AE$11,comboutfac,Query!$O61) /AE$8))</f>
        <v>2.4452357171402541</v>
      </c>
      <c r="AF26" s="120">
        <f ca="1">IF($J$7=1,HLOOKUP(AF$11,index1970,Query!$O61)/AF$9,IF($J$7=2,HLOOKUP(AF$11,index1970,Query!$O61)/AF$9 * HLOOKUP(AF$11,comboutfac,Query!$O61),HLOOKUP(AF$11,index1970,Query!$O61)/AF$9 * HLOOKUP(AF$11,comboutfac,Query!$O61) /AF$8))</f>
        <v>3.8304318589964708</v>
      </c>
      <c r="AG26" s="120">
        <f ca="1">IF($J$7=1,HLOOKUP(AG$11,index1970,Query!$O61)/AG$9,IF($J$7=2,HLOOKUP(AG$11,index1970,Query!$O61)/AG$9 * HLOOKUP(AG$11,comboutfac,Query!$O61),HLOOKUP(AG$11,index1970,Query!$O61)/AG$9 * HLOOKUP(AG$11,comboutfac,Query!$O61) /AG$8))</f>
        <v>2.8461104295550181</v>
      </c>
      <c r="AH26" s="120">
        <f ca="1">IF($J$7=1,HLOOKUP(AH$11,index1970,Query!$O61)/AH$9,IF($J$7=2,HLOOKUP(AH$11,index1970,Query!$O61)/AH$9 * HLOOKUP(AH$11,comboutfac,Query!$O61),HLOOKUP(AH$11,index1970,Query!$O61)/AH$9 * HLOOKUP(AH$11,comboutfac,Query!$O61) /AH$8))</f>
        <v>2.333091595995378</v>
      </c>
      <c r="AI26" s="120">
        <f ca="1">IF($J$7=1,HLOOKUP(AI$11,index1970,Query!$O61)/AI$9,IF($J$7=2,HLOOKUP(AI$11,index1970,Query!$O61)/AI$9 * HLOOKUP(AI$11,comboutfac,Query!$O61),HLOOKUP(AI$11,index1970,Query!$O61)/AI$9 * HLOOKUP(AI$11,comboutfac,Query!$O61) /AI$8))</f>
        <v>2.4194731266816296</v>
      </c>
      <c r="AJ26" s="120">
        <f ca="1">IF($J$7=1,HLOOKUP(AJ$11,index1970,Query!$O61)/AJ$9,IF($J$7=2,HLOOKUP(AJ$11,index1970,Query!$O61)/AJ$9 * HLOOKUP(AJ$11,comboutfac,Query!$O61),HLOOKUP(AJ$11,index1970,Query!$O61)/AJ$9 * HLOOKUP(AJ$11,comboutfac,Query!$O61) /AJ$8))</f>
        <v>2.333091595995378</v>
      </c>
      <c r="AK26" s="120">
        <f ca="1">IF($J$7=1,HLOOKUP(AK$11,index1970,Query!$O61)/AK$9,IF($J$7=2,HLOOKUP(AK$11,index1970,Query!$O61)/AK$9 * HLOOKUP(AK$11,comboutfac,Query!$O61),HLOOKUP(AK$11,index1970,Query!$O61)/AK$9 * HLOOKUP(AK$11,comboutfac,Query!$O61) /AK$8))</f>
        <v>2.4150278371176293</v>
      </c>
      <c r="AL26" s="120">
        <f ca="1">IF($J$7=1,HLOOKUP(AL$11,index1970,Query!$O61)/AL$9,IF($J$7=2,HLOOKUP(AL$11,index1970,Query!$O61)/AL$9 * HLOOKUP(AL$11,comboutfac,Query!$O61),HLOOKUP(AL$11,index1970,Query!$O61)/AL$9 * HLOOKUP(AL$11,comboutfac,Query!$O61) /AL$8))</f>
        <v>2.7678009342401149</v>
      </c>
      <c r="AM26" s="120">
        <f ca="1">IF($J$7=1,HLOOKUP(AM$11,index1970,Query!$O61)/AM$9,IF($J$7=2,HLOOKUP(AM$11,index1970,Query!$O61)/AM$9 * HLOOKUP(AM$11,comboutfac,Query!$O61),HLOOKUP(AM$11,index1970,Query!$O61)/AM$9 * HLOOKUP(AM$11,comboutfac,Query!$O61) /AM$8))</f>
        <v>2.3709075094138039</v>
      </c>
      <c r="AN26" s="120">
        <f ca="1">IF($J$7=1,HLOOKUP(AN$11,index1970,Query!$O61)/AN$9,IF($J$7=2,HLOOKUP(AN$11,index1970,Query!$O61)/AN$9 * HLOOKUP(AN$11,comboutfac,Query!$O61),HLOOKUP(AN$11,index1970,Query!$O61)/AN$9 * HLOOKUP(AN$11,comboutfac,Query!$O61) /AN$8))</f>
        <v>2.7988918496845185</v>
      </c>
      <c r="AO26" s="120">
        <f ca="1">IF($J$7=1,HLOOKUP(AO$11,index1970,Query!$O61)/AO$9,IF($J$7=2,HLOOKUP(AO$11,index1970,Query!$O61)/AO$9 * HLOOKUP(AO$11,comboutfac,Query!$O61),HLOOKUP(AO$11,index1970,Query!$O61)/AO$9 * HLOOKUP(AO$11,comboutfac,Query!$O61) /AO$8))</f>
        <v>2.3709075094138039</v>
      </c>
      <c r="AP26" s="120">
        <f ca="1">IF($J$7=1,HLOOKUP(AP$11,index1970,Query!$O61)/AP$9,IF($J$7=2,HLOOKUP(AP$11,index1970,Query!$O61)/AP$9 * HLOOKUP(AP$11,comboutfac,Query!$O61),HLOOKUP(AP$11,index1970,Query!$O61)/AP$9 * HLOOKUP(AP$11,comboutfac,Query!$O61) /AP$8))</f>
        <v>4.1301778481153768</v>
      </c>
      <c r="AQ26" s="683">
        <f ca="1">IF($J$7=1,HLOOKUP(AQ$11,index1970,Query!$O61)/AQ$9,IF($J$7=2,HLOOKUP(AQ$11,index1970,Query!$O61)/AQ$9 * HLOOKUP(AQ$11,comboutfac,Query!$O61),HLOOKUP(AQ$11,index1970,Query!$O61)/AQ$9 * HLOOKUP(AQ$11,comboutfac,Query!$O61) /AQ$8))</f>
        <v>2.9116092117148211</v>
      </c>
      <c r="AR26" s="120">
        <f ca="1">IF($J$7=1,HLOOKUP(AR$11,index1970,Query!$O61)/AR$9,IF($J$7=2,HLOOKUP(AR$11,index1970,Query!$O61)/AR$9 * HLOOKUP(AR$11,comboutfac,Query!$O61),HLOOKUP(AR$11,index1970,Query!$O61)/AR$9 * HLOOKUP(AR$11,comboutfac,Query!$O61) /AR$8))</f>
        <v>2.7750295114938734</v>
      </c>
      <c r="AS26" s="213"/>
    </row>
    <row r="27" spans="1:45" s="122" customFormat="1">
      <c r="A27" s="121">
        <f t="shared" si="6"/>
        <v>1983</v>
      </c>
      <c r="B27" s="120">
        <f ca="1">IF($J$7=1,HLOOKUP(B$11,index1970,Query!$O62)/B$9,IF($J$7=2,HLOOKUP(B$11,index1970,Query!$O62)/B$9 * HLOOKUP(B$11,comboutfac,Query!$O62),HLOOKUP(B$11,index1970,Query!$O62)/B$9 * HLOOKUP(B$11,comboutfac,Query!$O62) /B$8))</f>
        <v>2.9324802847097891</v>
      </c>
      <c r="C27" s="120">
        <f ca="1">IF($J$7=1,HLOOKUP(C$11,index1970,Query!$O62)/C$9,IF($J$7=2,HLOOKUP(C$11,index1970,Query!$O62)/C$9 * HLOOKUP(C$11,comboutfac,Query!$O62),HLOOKUP(C$11,index1970,Query!$O62)/C$9 * HLOOKUP(C$11,comboutfac,Query!$O62) /C$8))</f>
        <v>2.9046023469098876</v>
      </c>
      <c r="D27" s="120">
        <f ca="1">IF($J$7=1,HLOOKUP(D$11,index1970,Query!$O62)/D$9,IF($J$7=2,HLOOKUP(D$11,index1970,Query!$O62)/D$9 * HLOOKUP(D$11,comboutfac,Query!$O62),HLOOKUP(D$11,index1970,Query!$O62)/D$9 * HLOOKUP(D$11,comboutfac,Query!$O62) /D$8))</f>
        <v>2.8258160973460797</v>
      </c>
      <c r="E27" s="120">
        <f ca="1">IF($J$7=1,HLOOKUP(E$11,index1970,Query!$O62)/E$9,IF($J$7=2,HLOOKUP(E$11,index1970,Query!$O62)/E$9 * HLOOKUP(E$11,comboutfac,Query!$O62),HLOOKUP(E$11,index1970,Query!$O62)/E$9 * HLOOKUP(E$11,comboutfac,Query!$O62) /E$8))</f>
        <v>2.5429347967333888</v>
      </c>
      <c r="F27" s="120">
        <f ca="1">IF($J$7=1,HLOOKUP(F$11,index1970,Query!$O62)/F$9,IF($J$7=2,HLOOKUP(F$11,index1970,Query!$O62)/F$9 * HLOOKUP(F$11,comboutfac,Query!$O62),HLOOKUP(F$11,index1970,Query!$O62)/F$9 * HLOOKUP(F$11,comboutfac,Query!$O62) /F$8))</f>
        <v>2.9046023469098876</v>
      </c>
      <c r="G27" s="120">
        <f ca="1">IF($J$7=1,HLOOKUP(G$11,index1970,Query!$O62)/G$9,IF($J$7=2,HLOOKUP(G$11,index1970,Query!$O62)/G$9 * HLOOKUP(G$11,comboutfac,Query!$O62),HLOOKUP(G$11,index1970,Query!$O62)/G$9 * HLOOKUP(G$11,comboutfac,Query!$O62) /G$8))</f>
        <v>2.9892920886725771</v>
      </c>
      <c r="H27" s="120">
        <f ca="1">IF($J$7=1,HLOOKUP(H$11,index1970,Query!$O62)/H$9,IF($J$7=2,HLOOKUP(H$11,index1970,Query!$O62)/H$9 * HLOOKUP(H$11,comboutfac,Query!$O62),HLOOKUP(H$11,index1970,Query!$O62)/H$9 * HLOOKUP(H$11,comboutfac,Query!$O62) /H$8))</f>
        <v>2.8532837932631976</v>
      </c>
      <c r="I27" s="120">
        <f ca="1">IF($J$7=1,HLOOKUP(I$11,index1970,Query!$O62)/I$9,IF($J$7=2,HLOOKUP(I$11,index1970,Query!$O62)/I$9 * HLOOKUP(I$11,comboutfac,Query!$O62),HLOOKUP(I$11,index1970,Query!$O62)/I$9 * HLOOKUP(I$11,comboutfac,Query!$O62) /I$8))</f>
        <v>2.8112711816065699</v>
      </c>
      <c r="J27" s="120">
        <f ca="1">IF($J$7=1,HLOOKUP(J$11,index1970,Query!$O62)/J$9,IF($J$7=2,HLOOKUP(J$11,index1970,Query!$O62)/J$9 * HLOOKUP(J$11,comboutfac,Query!$O62),HLOOKUP(J$11,index1970,Query!$O62)/J$9 * HLOOKUP(J$11,comboutfac,Query!$O62) /J$8))</f>
        <v>4.296420923829916</v>
      </c>
      <c r="K27" s="120">
        <f ca="1">IF($J$7=1,HLOOKUP(K$11,index1970,Query!$O62)/K$9,IF($J$7=2,HLOOKUP(K$11,index1970,Query!$O62)/K$9 * HLOOKUP(K$11,comboutfac,Query!$O62),HLOOKUP(K$11,index1970,Query!$O62)/K$9 * HLOOKUP(K$11,comboutfac,Query!$O62) /K$8))</f>
        <v>2.9912340814025438</v>
      </c>
      <c r="L27" s="120">
        <f ca="1">IF($J$7=1,HLOOKUP(L$11,index1970,Query!$O62)/L$9,IF($J$7=2,HLOOKUP(L$11,index1970,Query!$O62)/L$9 * HLOOKUP(L$11,comboutfac,Query!$O62),HLOOKUP(L$11,index1970,Query!$O62)/L$9 * HLOOKUP(L$11,comboutfac,Query!$O62) /L$8))</f>
        <v>2.8784282835734727</v>
      </c>
      <c r="M27" s="120">
        <f ca="1">IF($J$7=1,HLOOKUP(M$11,index1970,Query!$O62)/M$9,IF($J$7=2,HLOOKUP(M$11,index1970,Query!$O62)/M$9 * HLOOKUP(M$11,comboutfac,Query!$O62),HLOOKUP(M$11,index1970,Query!$O62)/M$9 * HLOOKUP(M$11,comboutfac,Query!$O62) /M$8))</f>
        <v>2.4474130841991517</v>
      </c>
      <c r="N27" s="120">
        <f ca="1">IF($J$7=1,HLOOKUP(N$11,index1970,Query!$O62)/N$9,IF($J$7=2,HLOOKUP(N$11,index1970,Query!$O62)/N$9 * HLOOKUP(N$11,comboutfac,Query!$O62),HLOOKUP(N$11,index1970,Query!$O62)/N$9 * HLOOKUP(N$11,comboutfac,Query!$O62) /N$8))</f>
        <v>2.9046023469098876</v>
      </c>
      <c r="O27" s="120">
        <f ca="1">IF($J$7=1,HLOOKUP(O$11,index1970,Query!$O62)/O$9,IF($J$7=2,HLOOKUP(O$11,index1970,Query!$O62)/O$9 * HLOOKUP(O$11,comboutfac,Query!$O62),HLOOKUP(O$11,index1970,Query!$O62)/O$9 * HLOOKUP(O$11,comboutfac,Query!$O62) /O$8))</f>
        <v>2.8770938166497113</v>
      </c>
      <c r="P27" s="120">
        <f ca="1">IF($J$7=1,HLOOKUP(P$11,index1970,Query!$O62)/P$9,IF($J$7=2,HLOOKUP(P$11,index1970,Query!$O62)/P$9 * HLOOKUP(P$11,comboutfac,Query!$O62),HLOOKUP(P$11,index1970,Query!$O62)/P$9 * HLOOKUP(P$11,comboutfac,Query!$O62) /P$8))</f>
        <v>2.9587559872868812</v>
      </c>
      <c r="Q27" s="120">
        <f ca="1">IF($J$7=1,HLOOKUP(Q$11,index1970,Query!$O62)/Q$9,IF($J$7=2,HLOOKUP(Q$11,index1970,Query!$O62)/Q$9 * HLOOKUP(Q$11,comboutfac,Query!$O62),HLOOKUP(Q$11,index1970,Query!$O62)/Q$9 * HLOOKUP(Q$11,comboutfac,Query!$O62) /Q$8))</f>
        <v>2.4969406973742423</v>
      </c>
      <c r="R27" s="120">
        <f ca="1">IF($J$7=1,HLOOKUP(R$11,index1970,Query!$O62)/R$9,IF($J$7=2,HLOOKUP(R$11,index1970,Query!$O62)/R$9 * HLOOKUP(R$11,comboutfac,Query!$O62),HLOOKUP(R$11,index1970,Query!$O62)/R$9 * HLOOKUP(R$11,comboutfac,Query!$O62) /R$8))</f>
        <v>2.9067564210643164</v>
      </c>
      <c r="S27" s="120">
        <f ca="1">IF($J$7=1,HLOOKUP(S$11,index1970,Query!$O62)/S$9,IF($J$7=2,HLOOKUP(S$11,index1970,Query!$O62)/S$9 * HLOOKUP(S$11,comboutfac,Query!$O62),HLOOKUP(S$11,index1970,Query!$O62)/S$9 * HLOOKUP(S$11,comboutfac,Query!$O62) /S$8))</f>
        <v>2.4944580497510911</v>
      </c>
      <c r="T27" s="120">
        <f ca="1">IF($J$7=1,HLOOKUP(T$11,index1970,Query!$O62)/T$9,IF($J$7=2,HLOOKUP(T$11,index1970,Query!$O62)/T$9 * HLOOKUP(T$11,comboutfac,Query!$O62),HLOOKUP(T$11,index1970,Query!$O62)/T$9 * HLOOKUP(T$11,comboutfac,Query!$O62) /T$8))</f>
        <v>2.4374622399439572</v>
      </c>
      <c r="U27" s="120">
        <f ca="1">IF($J$7=1,HLOOKUP(U$11,index1970,Query!$O62)/U$9,IF($J$7=2,HLOOKUP(U$11,index1970,Query!$O62)/U$9 * HLOOKUP(U$11,comboutfac,Query!$O62),HLOOKUP(U$11,index1970,Query!$O62)/U$9 * HLOOKUP(U$11,comboutfac,Query!$O62) /U$8))</f>
        <v>2.9592643478876273</v>
      </c>
      <c r="V27" s="120">
        <f ca="1">IF($J$7=1,HLOOKUP(V$11,index1970,Query!$O62)/V$9,IF($J$7=2,HLOOKUP(V$11,index1970,Query!$O62)/V$9 * HLOOKUP(V$11,comboutfac,Query!$O62),HLOOKUP(V$11,index1970,Query!$O62)/V$9 * HLOOKUP(V$11,comboutfac,Query!$O62) /V$8))</f>
        <v>2.8305078001548436</v>
      </c>
      <c r="W27" s="120">
        <f ca="1">IF($J$7=1,HLOOKUP(W$11,index1970,Query!$O62)/W$9,IF($J$7=2,HLOOKUP(W$11,index1970,Query!$O62)/W$9 * HLOOKUP(W$11,comboutfac,Query!$O62),HLOOKUP(W$11,index1970,Query!$O62)/W$9 * HLOOKUP(W$11,comboutfac,Query!$O62) /W$8))</f>
        <v>2.8116357898947069</v>
      </c>
      <c r="X27" s="120">
        <f ca="1">IF($J$7=1,HLOOKUP(X$11,index1970,Query!$O62)/X$9,IF($J$7=2,HLOOKUP(X$11,index1970,Query!$O62)/X$9 * HLOOKUP(X$11,comboutfac,Query!$O62),HLOOKUP(X$11,index1970,Query!$O62)/X$9 * HLOOKUP(X$11,comboutfac,Query!$O62) /X$8))</f>
        <v>2.8503667696041934</v>
      </c>
      <c r="Y27" s="120">
        <f ca="1">IF($J$7=1,HLOOKUP(Y$11,index1970,Query!$O62)/Y$9,IF($J$7=2,HLOOKUP(Y$11,index1970,Query!$O62)/Y$9 * HLOOKUP(Y$11,comboutfac,Query!$O62),HLOOKUP(Y$11,index1970,Query!$O62)/Y$9 * HLOOKUP(Y$11,comboutfac,Query!$O62) /Y$8))</f>
        <v>2.8702450407975739</v>
      </c>
      <c r="Z27" s="120">
        <f ca="1">IF($J$7=1,HLOOKUP(Z$11,index1970,Query!$O62)/Z$9,IF($J$7=2,HLOOKUP(Z$11,index1970,Query!$O62)/Z$9 * HLOOKUP(Z$11,comboutfac,Query!$O62),HLOOKUP(Z$11,index1970,Query!$O62)/Z$9 * HLOOKUP(Z$11,comboutfac,Query!$O62) /Z$8))</f>
        <v>3.0102217010524295</v>
      </c>
      <c r="AA27" s="120">
        <f ca="1">IF($J$7=1,HLOOKUP(AA$11,index1970,Query!$O62)/AA$9,IF($J$7=2,HLOOKUP(AA$11,index1970,Query!$O62)/AA$9 * HLOOKUP(AA$11,comboutfac,Query!$O62),HLOOKUP(AA$11,index1970,Query!$O62)/AA$9 * HLOOKUP(AA$11,comboutfac,Query!$O62) /AA$8))</f>
        <v>2.8528204681370748</v>
      </c>
      <c r="AB27" s="120">
        <f ca="1">IF($J$7=1,HLOOKUP(AB$11,index1970,Query!$O62)/AB$9,IF($J$7=2,HLOOKUP(AB$11,index1970,Query!$O62)/AB$9 * HLOOKUP(AB$11,comboutfac,Query!$O62),HLOOKUP(AB$11,index1970,Query!$O62)/AB$9 * HLOOKUP(AB$11,comboutfac,Query!$O62) /AB$8))</f>
        <v>2.7041045320202617</v>
      </c>
      <c r="AC27" s="120">
        <f ca="1">IF($J$7=1,HLOOKUP(AC$11,index1970,Query!$O62)/AC$9,IF($J$7=2,HLOOKUP(AC$11,index1970,Query!$O62)/AC$9 * HLOOKUP(AC$11,comboutfac,Query!$O62),HLOOKUP(AC$11,index1970,Query!$O62)/AC$9 * HLOOKUP(AC$11,comboutfac,Query!$O62) /AC$8))</f>
        <v>3.1252305062186361</v>
      </c>
      <c r="AD27" s="120">
        <f ca="1">IF($J$7=1,HLOOKUP(AD$11,index1970,Query!$O62)/AD$9,IF($J$7=2,HLOOKUP(AD$11,index1970,Query!$O62)/AD$9 * HLOOKUP(AD$11,comboutfac,Query!$O62),HLOOKUP(AD$11,index1970,Query!$O62)/AD$9 * HLOOKUP(AD$11,comboutfac,Query!$O62) /AD$8))</f>
        <v>2.8392886637228547</v>
      </c>
      <c r="AE27" s="120">
        <f ca="1">IF($J$7=1,HLOOKUP(AE$11,index1970,Query!$O62)/AE$9,IF($J$7=2,HLOOKUP(AE$11,index1970,Query!$O62)/AE$9 * HLOOKUP(AE$11,comboutfac,Query!$O62),HLOOKUP(AE$11,index1970,Query!$O62)/AE$9 * HLOOKUP(AE$11,comboutfac,Query!$O62) /AE$8))</f>
        <v>2.5376191698265904</v>
      </c>
      <c r="AF27" s="120">
        <f ca="1">IF($J$7=1,HLOOKUP(AF$11,index1970,Query!$O62)/AF$9,IF($J$7=2,HLOOKUP(AF$11,index1970,Query!$O62)/AF$9 * HLOOKUP(AF$11,comboutfac,Query!$O62),HLOOKUP(AF$11,index1970,Query!$O62)/AF$9 * HLOOKUP(AF$11,comboutfac,Query!$O62) /AF$8))</f>
        <v>4.0435110808826069</v>
      </c>
      <c r="AG27" s="120">
        <f ca="1">IF($J$7=1,HLOOKUP(AG$11,index1970,Query!$O62)/AG$9,IF($J$7=2,HLOOKUP(AG$11,index1970,Query!$O62)/AG$9 * HLOOKUP(AG$11,comboutfac,Query!$O62),HLOOKUP(AG$11,index1970,Query!$O62)/AG$9 * HLOOKUP(AG$11,comboutfac,Query!$O62) /AG$8))</f>
        <v>2.9561489039379358</v>
      </c>
      <c r="AH27" s="120">
        <f ca="1">IF($J$7=1,HLOOKUP(AH$11,index1970,Query!$O62)/AH$9,IF($J$7=2,HLOOKUP(AH$11,index1970,Query!$O62)/AH$9 * HLOOKUP(AH$11,comboutfac,Query!$O62),HLOOKUP(AH$11,index1970,Query!$O62)/AH$9 * HLOOKUP(AH$11,comboutfac,Query!$O62) /AH$8))</f>
        <v>2.4474130841991517</v>
      </c>
      <c r="AI27" s="120">
        <f ca="1">IF($J$7=1,HLOOKUP(AI$11,index1970,Query!$O62)/AI$9,IF($J$7=2,HLOOKUP(AI$11,index1970,Query!$O62)/AI$9 * HLOOKUP(AI$11,comboutfac,Query!$O62),HLOOKUP(AI$11,index1970,Query!$O62)/AI$9 * HLOOKUP(AI$11,comboutfac,Query!$O62) /AI$8))</f>
        <v>2.5338578351515362</v>
      </c>
      <c r="AJ27" s="120">
        <f ca="1">IF($J$7=1,HLOOKUP(AJ$11,index1970,Query!$O62)/AJ$9,IF($J$7=2,HLOOKUP(AJ$11,index1970,Query!$O62)/AJ$9 * HLOOKUP(AJ$11,comboutfac,Query!$O62),HLOOKUP(AJ$11,index1970,Query!$O62)/AJ$9 * HLOOKUP(AJ$11,comboutfac,Query!$O62) /AJ$8))</f>
        <v>2.4474130841991517</v>
      </c>
      <c r="AK27" s="120">
        <f ca="1">IF($J$7=1,HLOOKUP(AK$11,index1970,Query!$O62)/AK$9,IF($J$7=2,HLOOKUP(AK$11,index1970,Query!$O62)/AK$9 * HLOOKUP(AK$11,comboutfac,Query!$O62),HLOOKUP(AK$11,index1970,Query!$O62)/AK$9 * HLOOKUP(AK$11,comboutfac,Query!$O62) /AK$8))</f>
        <v>2.5235370383643043</v>
      </c>
      <c r="AL27" s="120">
        <f ca="1">IF($J$7=1,HLOOKUP(AL$11,index1970,Query!$O62)/AL$9,IF($J$7=2,HLOOKUP(AL$11,index1970,Query!$O62)/AL$9 * HLOOKUP(AL$11,comboutfac,Query!$O62),HLOOKUP(AL$11,index1970,Query!$O62)/AL$9 * HLOOKUP(AL$11,comboutfac,Query!$O62) /AL$8))</f>
        <v>2.8893809846737732</v>
      </c>
      <c r="AM27" s="120">
        <f ca="1">IF($J$7=1,HLOOKUP(AM$11,index1970,Query!$O62)/AM$9,IF($J$7=2,HLOOKUP(AM$11,index1970,Query!$O62)/AM$9 * HLOOKUP(AM$11,comboutfac,Query!$O62),HLOOKUP(AM$11,index1970,Query!$O62)/AM$9 * HLOOKUP(AM$11,comboutfac,Query!$O62) /AM$8))</f>
        <v>2.5096028043331593</v>
      </c>
      <c r="AN27" s="120">
        <f ca="1">IF($J$7=1,HLOOKUP(AN$11,index1970,Query!$O62)/AN$9,IF($J$7=2,HLOOKUP(AN$11,index1970,Query!$O62)/AN$9 * HLOOKUP(AN$11,comboutfac,Query!$O62),HLOOKUP(AN$11,index1970,Query!$O62)/AN$9 * HLOOKUP(AN$11,comboutfac,Query!$O62) /AN$8))</f>
        <v>2.9177157075118991</v>
      </c>
      <c r="AO27" s="120">
        <f ca="1">IF($J$7=1,HLOOKUP(AO$11,index1970,Query!$O62)/AO$9,IF($J$7=2,HLOOKUP(AO$11,index1970,Query!$O62)/AO$9 * HLOOKUP(AO$11,comboutfac,Query!$O62),HLOOKUP(AO$11,index1970,Query!$O62)/AO$9 * HLOOKUP(AO$11,comboutfac,Query!$O62) /AO$8))</f>
        <v>2.5041766885878771</v>
      </c>
      <c r="AP27" s="120">
        <f ca="1">IF($J$7=1,HLOOKUP(AP$11,index1970,Query!$O62)/AP$9,IF($J$7=2,HLOOKUP(AP$11,index1970,Query!$O62)/AP$9 * HLOOKUP(AP$11,comboutfac,Query!$O62),HLOOKUP(AP$11,index1970,Query!$O62)/AP$9 * HLOOKUP(AP$11,comboutfac,Query!$O62) /AP$8))</f>
        <v>4.2279135781712824</v>
      </c>
      <c r="AQ27" s="683">
        <f ca="1">IF($J$7=1,HLOOKUP(AQ$11,index1970,Query!$O62)/AQ$9,IF($J$7=2,HLOOKUP(AQ$11,index1970,Query!$O62)/AQ$9 * HLOOKUP(AQ$11,comboutfac,Query!$O62),HLOOKUP(AQ$11,index1970,Query!$O62)/AQ$9 * HLOOKUP(AQ$11,comboutfac,Query!$O62) /AQ$8))</f>
        <v>2.9592643478876273</v>
      </c>
      <c r="AR27" s="120">
        <f ca="1">IF($J$7=1,HLOOKUP(AR$11,index1970,Query!$O62)/AR$9,IF($J$7=2,HLOOKUP(AR$11,index1970,Query!$O62)/AR$9 * HLOOKUP(AR$11,comboutfac,Query!$O62),HLOOKUP(AR$11,index1970,Query!$O62)/AR$9 * HLOOKUP(AR$11,comboutfac,Query!$O62) /AR$8))</f>
        <v>2.9346868768343275</v>
      </c>
      <c r="AS27" s="213"/>
    </row>
    <row r="28" spans="1:45" s="122" customFormat="1">
      <c r="A28" s="121">
        <f t="shared" si="6"/>
        <v>1984</v>
      </c>
      <c r="B28" s="120">
        <f ca="1">IF($J$7=1,HLOOKUP(B$11,index1970,Query!$O63)/B$9,IF($J$7=2,HLOOKUP(B$11,index1970,Query!$O63)/B$9 * HLOOKUP(B$11,comboutfac,Query!$O63),HLOOKUP(B$11,index1970,Query!$O63)/B$9 * HLOOKUP(B$11,comboutfac,Query!$O63) /B$8))</f>
        <v>3.0504055433351267</v>
      </c>
      <c r="C28" s="120">
        <f ca="1">IF($J$7=1,HLOOKUP(C$11,index1970,Query!$O63)/C$9,IF($J$7=2,HLOOKUP(C$11,index1970,Query!$O63)/C$9 * HLOOKUP(C$11,comboutfac,Query!$O63),HLOOKUP(C$11,index1970,Query!$O63)/C$9 * HLOOKUP(C$11,comboutfac,Query!$O63) /C$8))</f>
        <v>3.0038148883725628</v>
      </c>
      <c r="D28" s="120">
        <f ca="1">IF($J$7=1,HLOOKUP(D$11,index1970,Query!$O63)/D$9,IF($J$7=2,HLOOKUP(D$11,index1970,Query!$O63)/D$9 * HLOOKUP(D$11,comboutfac,Query!$O63),HLOOKUP(D$11,index1970,Query!$O63)/D$9 * HLOOKUP(D$11,comboutfac,Query!$O63) /D$8))</f>
        <v>2.9331971090452313</v>
      </c>
      <c r="E28" s="120">
        <f ca="1">IF($J$7=1,HLOOKUP(E$11,index1970,Query!$O63)/E$9,IF($J$7=2,HLOOKUP(E$11,index1970,Query!$O63)/E$9 * HLOOKUP(E$11,comboutfac,Query!$O63),HLOOKUP(E$11,index1970,Query!$O63)/E$9 * HLOOKUP(E$11,comboutfac,Query!$O63) /E$8))</f>
        <v>2.6192228406353908</v>
      </c>
      <c r="F28" s="120">
        <f ca="1">IF($J$7=1,HLOOKUP(F$11,index1970,Query!$O63)/F$9,IF($J$7=2,HLOOKUP(F$11,index1970,Query!$O63)/F$9 * HLOOKUP(F$11,comboutfac,Query!$O63),HLOOKUP(F$11,index1970,Query!$O63)/F$9 * HLOOKUP(F$11,comboutfac,Query!$O63) /F$8))</f>
        <v>3.0038148883725628</v>
      </c>
      <c r="G28" s="120">
        <f ca="1">IF($J$7=1,HLOOKUP(G$11,index1970,Query!$O63)/G$9,IF($J$7=2,HLOOKUP(G$11,index1970,Query!$O63)/G$9 * HLOOKUP(G$11,comboutfac,Query!$O63),HLOOKUP(G$11,index1970,Query!$O63)/G$9 * HLOOKUP(G$11,comboutfac,Query!$O63) /G$8))</f>
        <v>3.0600524347204834</v>
      </c>
      <c r="H28" s="120">
        <f ca="1">IF($J$7=1,HLOOKUP(H$11,index1970,Query!$O63)/H$9,IF($J$7=2,HLOOKUP(H$11,index1970,Query!$O63)/H$9 * HLOOKUP(H$11,comboutfac,Query!$O63),HLOOKUP(H$11,index1970,Query!$O63)/H$9 * HLOOKUP(H$11,comboutfac,Query!$O63) /H$8))</f>
        <v>2.954900968640048</v>
      </c>
      <c r="I28" s="120">
        <f ca="1">IF($J$7=1,HLOOKUP(I$11,index1970,Query!$O63)/I$9,IF($J$7=2,HLOOKUP(I$11,index1970,Query!$O63)/I$9 * HLOOKUP(I$11,comboutfac,Query!$O63),HLOOKUP(I$11,index1970,Query!$O63)/I$9 * HLOOKUP(I$11,comboutfac,Query!$O63) /I$8))</f>
        <v>2.9091736710904543</v>
      </c>
      <c r="J28" s="120">
        <f ca="1">IF($J$7=1,HLOOKUP(J$11,index1970,Query!$O63)/J$9,IF($J$7=2,HLOOKUP(J$11,index1970,Query!$O63)/J$9 * HLOOKUP(J$11,comboutfac,Query!$O63),HLOOKUP(J$11,index1970,Query!$O63)/J$9 * HLOOKUP(J$11,comboutfac,Query!$O63) /J$8))</f>
        <v>3.7029672682777597</v>
      </c>
      <c r="K28" s="120">
        <f ca="1">IF($J$7=1,HLOOKUP(K$11,index1970,Query!$O63)/K$9,IF($J$7=2,HLOOKUP(K$11,index1970,Query!$O63)/K$9 * HLOOKUP(K$11,comboutfac,Query!$O63),HLOOKUP(K$11,index1970,Query!$O63)/K$9 * HLOOKUP(K$11,comboutfac,Query!$O63) /K$8))</f>
        <v>3.0809711038446204</v>
      </c>
      <c r="L28" s="120">
        <f ca="1">IF($J$7=1,HLOOKUP(L$11,index1970,Query!$O63)/L$9,IF($J$7=2,HLOOKUP(L$11,index1970,Query!$O63)/L$9 * HLOOKUP(L$11,comboutfac,Query!$O63),HLOOKUP(L$11,index1970,Query!$O63)/L$9 * HLOOKUP(L$11,comboutfac,Query!$O63) /L$8))</f>
        <v>2.9758553388867393</v>
      </c>
      <c r="M28" s="120">
        <f ca="1">IF($J$7=1,HLOOKUP(M$11,index1970,Query!$O63)/M$9,IF($J$7=2,HLOOKUP(M$11,index1970,Query!$O63)/M$9 * HLOOKUP(M$11,comboutfac,Query!$O63),HLOOKUP(M$11,index1970,Query!$O63)/M$9 * HLOOKUP(M$11,comboutfac,Query!$O63) /M$8))</f>
        <v>2.5404147813987197</v>
      </c>
      <c r="N28" s="120">
        <f ca="1">IF($J$7=1,HLOOKUP(N$11,index1970,Query!$O63)/N$9,IF($J$7=2,HLOOKUP(N$11,index1970,Query!$O63)/N$9 * HLOOKUP(N$11,comboutfac,Query!$O63),HLOOKUP(N$11,index1970,Query!$O63)/N$9 * HLOOKUP(N$11,comboutfac,Query!$O63) /N$8))</f>
        <v>3.0038148883725628</v>
      </c>
      <c r="O28" s="120">
        <f ca="1">IF($J$7=1,HLOOKUP(O$11,index1970,Query!$O63)/O$9,IF($J$7=2,HLOOKUP(O$11,index1970,Query!$O63)/O$9 * HLOOKUP(O$11,comboutfac,Query!$O63),HLOOKUP(O$11,index1970,Query!$O63)/O$9 * HLOOKUP(O$11,comboutfac,Query!$O63) /O$8))</f>
        <v>2.9721900396849121</v>
      </c>
      <c r="P28" s="120">
        <f ca="1">IF($J$7=1,HLOOKUP(P$11,index1970,Query!$O63)/P$9,IF($J$7=2,HLOOKUP(P$11,index1970,Query!$O63)/P$9 * HLOOKUP(P$11,comboutfac,Query!$O63),HLOOKUP(P$11,index1970,Query!$O63)/P$9 * HLOOKUP(P$11,comboutfac,Query!$O63) /P$8))</f>
        <v>3.0491805673287304</v>
      </c>
      <c r="Q28" s="120">
        <f ca="1">IF($J$7=1,HLOOKUP(Q$11,index1970,Query!$O63)/Q$9,IF($J$7=2,HLOOKUP(Q$11,index1970,Query!$O63)/Q$9 * HLOOKUP(Q$11,comboutfac,Query!$O63),HLOOKUP(Q$11,index1970,Query!$O63)/Q$9 * HLOOKUP(Q$11,comboutfac,Query!$O63) /Q$8))</f>
        <v>2.5931034843212113</v>
      </c>
      <c r="R28" s="120">
        <f ca="1">IF($J$7=1,HLOOKUP(R$11,index1970,Query!$O63)/R$9,IF($J$7=2,HLOOKUP(R$11,index1970,Query!$O63)/R$9 * HLOOKUP(R$11,comboutfac,Query!$O63),HLOOKUP(R$11,index1970,Query!$O63)/R$9 * HLOOKUP(R$11,comboutfac,Query!$O63) /R$8))</f>
        <v>2.9972847898712121</v>
      </c>
      <c r="S28" s="120">
        <f ca="1">IF($J$7=1,HLOOKUP(S$11,index1970,Query!$O63)/S$9,IF($J$7=2,HLOOKUP(S$11,index1970,Query!$O63)/S$9 * HLOOKUP(S$11,comboutfac,Query!$O63),HLOOKUP(S$11,index1970,Query!$O63)/S$9 * HLOOKUP(S$11,comboutfac,Query!$O63) /S$8))</f>
        <v>2.5871632516656815</v>
      </c>
      <c r="T28" s="120">
        <f ca="1">IF($J$7=1,HLOOKUP(T$11,index1970,Query!$O63)/T$9,IF($J$7=2,HLOOKUP(T$11,index1970,Query!$O63)/T$9 * HLOOKUP(T$11,comboutfac,Query!$O63),HLOOKUP(T$11,index1970,Query!$O63)/T$9 * HLOOKUP(T$11,comboutfac,Query!$O63) /T$8))</f>
        <v>2.5300858050618276</v>
      </c>
      <c r="U28" s="120">
        <f ca="1">IF($J$7=1,HLOOKUP(U$11,index1970,Query!$O63)/U$9,IF($J$7=2,HLOOKUP(U$11,index1970,Query!$O63)/U$9 * HLOOKUP(U$11,comboutfac,Query!$O63),HLOOKUP(U$11,index1970,Query!$O63)/U$9 * HLOOKUP(U$11,comboutfac,Query!$O63) /U$8))</f>
        <v>3.017542039830984</v>
      </c>
      <c r="V28" s="120">
        <f ca="1">IF($J$7=1,HLOOKUP(V$11,index1970,Query!$O63)/V$9,IF($J$7=2,HLOOKUP(V$11,index1970,Query!$O63)/V$9 * HLOOKUP(V$11,comboutfac,Query!$O63),HLOOKUP(V$11,index1970,Query!$O63)/V$9 * HLOOKUP(V$11,comboutfac,Query!$O63) /V$8))</f>
        <v>2.9380670965607276</v>
      </c>
      <c r="W28" s="120">
        <f ca="1">IF($J$7=1,HLOOKUP(W$11,index1970,Query!$O63)/W$9,IF($J$7=2,HLOOKUP(W$11,index1970,Query!$O63)/W$9 * HLOOKUP(W$11,comboutfac,Query!$O63),HLOOKUP(W$11,index1970,Query!$O63)/W$9 * HLOOKUP(W$11,comboutfac,Query!$O63) /W$8))</f>
        <v>2.8986013786797282</v>
      </c>
      <c r="X28" s="120">
        <f ca="1">IF($J$7=1,HLOOKUP(X$11,index1970,Query!$O63)/X$9,IF($J$7=2,HLOOKUP(X$11,index1970,Query!$O63)/X$9 * HLOOKUP(X$11,comboutfac,Query!$O63),HLOOKUP(X$11,index1970,Query!$O63)/X$9 * HLOOKUP(X$11,comboutfac,Query!$O63) /X$8))</f>
        <v>2.954866830902541</v>
      </c>
      <c r="Y28" s="120">
        <f ca="1">IF($J$7=1,HLOOKUP(Y$11,index1970,Query!$O63)/Y$9,IF($J$7=2,HLOOKUP(Y$11,index1970,Query!$O63)/Y$9 * HLOOKUP(Y$11,comboutfac,Query!$O63),HLOOKUP(Y$11,index1970,Query!$O63)/Y$9 * HLOOKUP(Y$11,comboutfac,Query!$O63) /Y$8))</f>
        <v>2.9600637987943439</v>
      </c>
      <c r="Z28" s="120">
        <f ca="1">IF($J$7=1,HLOOKUP(Z$11,index1970,Query!$O63)/Z$9,IF($J$7=2,HLOOKUP(Z$11,index1970,Query!$O63)/Z$9 * HLOOKUP(Z$11,comboutfac,Query!$O63),HLOOKUP(Z$11,index1970,Query!$O63)/Z$9 * HLOOKUP(Z$11,comboutfac,Query!$O63) /Z$8))</f>
        <v>3.062530729082201</v>
      </c>
      <c r="AA28" s="120">
        <f ca="1">IF($J$7=1,HLOOKUP(AA$11,index1970,Query!$O63)/AA$9,IF($J$7=2,HLOOKUP(AA$11,index1970,Query!$O63)/AA$9 * HLOOKUP(AA$11,comboutfac,Query!$O63),HLOOKUP(AA$11,index1970,Query!$O63)/AA$9 * HLOOKUP(AA$11,comboutfac,Query!$O63) /AA$8))</f>
        <v>2.9607152860209269</v>
      </c>
      <c r="AB28" s="120">
        <f ca="1">IF($J$7=1,HLOOKUP(AB$11,index1970,Query!$O63)/AB$9,IF($J$7=2,HLOOKUP(AB$11,index1970,Query!$O63)/AB$9 * HLOOKUP(AB$11,comboutfac,Query!$O63),HLOOKUP(AB$11,index1970,Query!$O63)/AB$9 * HLOOKUP(AB$11,comboutfac,Query!$O63) /AB$8))</f>
        <v>2.7988577331369644</v>
      </c>
      <c r="AC28" s="120">
        <f ca="1">IF($J$7=1,HLOOKUP(AC$11,index1970,Query!$O63)/AC$9,IF($J$7=2,HLOOKUP(AC$11,index1970,Query!$O63)/AC$9 * HLOOKUP(AC$11,comboutfac,Query!$O63),HLOOKUP(AC$11,index1970,Query!$O63)/AC$9 * HLOOKUP(AC$11,comboutfac,Query!$O63) /AC$8))</f>
        <v>3.1403687563272644</v>
      </c>
      <c r="AD28" s="120">
        <f ca="1">IF($J$7=1,HLOOKUP(AD$11,index1970,Query!$O63)/AD$9,IF($J$7=2,HLOOKUP(AD$11,index1970,Query!$O63)/AD$9 * HLOOKUP(AD$11,comboutfac,Query!$O63),HLOOKUP(AD$11,index1970,Query!$O63)/AD$9 * HLOOKUP(AD$11,comboutfac,Query!$O63) /AD$8))</f>
        <v>2.9500535436117157</v>
      </c>
      <c r="AE28" s="120">
        <f ca="1">IF($J$7=1,HLOOKUP(AE$11,index1970,Query!$O63)/AE$9,IF($J$7=2,HLOOKUP(AE$11,index1970,Query!$O63)/AE$9 * HLOOKUP(AE$11,comboutfac,Query!$O63),HLOOKUP(AE$11,index1970,Query!$O63)/AE$9 * HLOOKUP(AE$11,comboutfac,Query!$O63) /AE$8))</f>
        <v>2.6128790880021051</v>
      </c>
      <c r="AF28" s="120">
        <f ca="1">IF($J$7=1,HLOOKUP(AF$11,index1970,Query!$O63)/AF$9,IF($J$7=2,HLOOKUP(AF$11,index1970,Query!$O63)/AF$9 * HLOOKUP(AF$11,comboutfac,Query!$O63),HLOOKUP(AF$11,index1970,Query!$O63)/AF$9 * HLOOKUP(AF$11,comboutfac,Query!$O63) /AF$8))</f>
        <v>4.1668444511605687</v>
      </c>
      <c r="AG28" s="120">
        <f ca="1">IF($J$7=1,HLOOKUP(AG$11,index1970,Query!$O63)/AG$9,IF($J$7=2,HLOOKUP(AG$11,index1970,Query!$O63)/AG$9 * HLOOKUP(AG$11,comboutfac,Query!$O63),HLOOKUP(AG$11,index1970,Query!$O63)/AG$9 * HLOOKUP(AG$11,comboutfac,Query!$O63) /AG$8))</f>
        <v>3.0641107071694602</v>
      </c>
      <c r="AH28" s="120">
        <f ca="1">IF($J$7=1,HLOOKUP(AH$11,index1970,Query!$O63)/AH$9,IF($J$7=2,HLOOKUP(AH$11,index1970,Query!$O63)/AH$9 * HLOOKUP(AH$11,comboutfac,Query!$O63),HLOOKUP(AH$11,index1970,Query!$O63)/AH$9 * HLOOKUP(AH$11,comboutfac,Query!$O63) /AH$8))</f>
        <v>2.5404147813987197</v>
      </c>
      <c r="AI28" s="120">
        <f ca="1">IF($J$7=1,HLOOKUP(AI$11,index1970,Query!$O63)/AI$9,IF($J$7=2,HLOOKUP(AI$11,index1970,Query!$O63)/AI$9 * HLOOKUP(AI$11,comboutfac,Query!$O63),HLOOKUP(AI$11,index1970,Query!$O63)/AI$9 * HLOOKUP(AI$11,comboutfac,Query!$O63) /AI$8))</f>
        <v>2.6253086577797977</v>
      </c>
      <c r="AJ28" s="120">
        <f ca="1">IF($J$7=1,HLOOKUP(AJ$11,index1970,Query!$O63)/AJ$9,IF($J$7=2,HLOOKUP(AJ$11,index1970,Query!$O63)/AJ$9 * HLOOKUP(AJ$11,comboutfac,Query!$O63),HLOOKUP(AJ$11,index1970,Query!$O63)/AJ$9 * HLOOKUP(AJ$11,comboutfac,Query!$O63) /AJ$8))</f>
        <v>2.5404147813987197</v>
      </c>
      <c r="AK28" s="120">
        <f ca="1">IF($J$7=1,HLOOKUP(AK$11,index1970,Query!$O63)/AK$9,IF($J$7=2,HLOOKUP(AK$11,index1970,Query!$O63)/AK$9 * HLOOKUP(AK$11,comboutfac,Query!$O63),HLOOKUP(AK$11,index1970,Query!$O63)/AK$9 * HLOOKUP(AK$11,comboutfac,Query!$O63) /AK$8))</f>
        <v>2.6146688311091792</v>
      </c>
      <c r="AL28" s="120">
        <f ca="1">IF($J$7=1,HLOOKUP(AL$11,index1970,Query!$O63)/AL$9,IF($J$7=2,HLOOKUP(AL$11,index1970,Query!$O63)/AL$9 * HLOOKUP(AL$11,comboutfac,Query!$O63),HLOOKUP(AL$11,index1970,Query!$O63)/AL$9 * HLOOKUP(AL$11,comboutfac,Query!$O63) /AL$8))</f>
        <v>2.9786462636800941</v>
      </c>
      <c r="AM28" s="120">
        <f ca="1">IF($J$7=1,HLOOKUP(AM$11,index1970,Query!$O63)/AM$9,IF($J$7=2,HLOOKUP(AM$11,index1970,Query!$O63)/AM$9 * HLOOKUP(AM$11,comboutfac,Query!$O63),HLOOKUP(AM$11,index1970,Query!$O63)/AM$9 * HLOOKUP(AM$11,comboutfac,Query!$O63) /AM$8))</f>
        <v>2.595436749328095</v>
      </c>
      <c r="AN28" s="120">
        <f ca="1">IF($J$7=1,HLOOKUP(AN$11,index1970,Query!$O63)/AN$9,IF($J$7=2,HLOOKUP(AN$11,index1970,Query!$O63)/AN$9 * HLOOKUP(AN$11,comboutfac,Query!$O63),HLOOKUP(AN$11,index1970,Query!$O63)/AN$9 * HLOOKUP(AN$11,comboutfac,Query!$O63) /AN$8))</f>
        <v>3.0080307262207255</v>
      </c>
      <c r="AO28" s="120">
        <f ca="1">IF($J$7=1,HLOOKUP(AO$11,index1970,Query!$O63)/AO$9,IF($J$7=2,HLOOKUP(AO$11,index1970,Query!$O63)/AO$9 * HLOOKUP(AO$11,comboutfac,Query!$O63),HLOOKUP(AO$11,index1970,Query!$O63)/AO$9 * HLOOKUP(AO$11,comboutfac,Query!$O63) /AO$8))</f>
        <v>2.5950293520861005</v>
      </c>
      <c r="AP28" s="120">
        <f ca="1">IF($J$7=1,HLOOKUP(AP$11,index1970,Query!$O63)/AP$9,IF($J$7=2,HLOOKUP(AP$11,index1970,Query!$O63)/AP$9 * HLOOKUP(AP$11,comboutfac,Query!$O63),HLOOKUP(AP$11,index1970,Query!$O63)/AP$9 * HLOOKUP(AP$11,comboutfac,Query!$O63) /AP$8))</f>
        <v>4.3557355589647804</v>
      </c>
      <c r="AQ28" s="683">
        <f ca="1">IF($J$7=1,HLOOKUP(AQ$11,index1970,Query!$O63)/AQ$9,IF($J$7=2,HLOOKUP(AQ$11,index1970,Query!$O63)/AQ$9 * HLOOKUP(AQ$11,comboutfac,Query!$O63),HLOOKUP(AQ$11,index1970,Query!$O63)/AQ$9 * HLOOKUP(AQ$11,comboutfac,Query!$O63) /AQ$8))</f>
        <v>3.017542039830984</v>
      </c>
      <c r="AR28" s="120">
        <f ca="1">IF($J$7=1,HLOOKUP(AR$11,index1970,Query!$O63)/AR$9,IF($J$7=2,HLOOKUP(AR$11,index1970,Query!$O63)/AR$9 * HLOOKUP(AR$11,comboutfac,Query!$O63),HLOOKUP(AR$11,index1970,Query!$O63)/AR$9 * HLOOKUP(AR$11,comboutfac,Query!$O63) /AR$8))</f>
        <v>3.0535248019955987</v>
      </c>
      <c r="AS28" s="213"/>
    </row>
    <row r="29" spans="1:45" s="122" customFormat="1">
      <c r="A29" s="121">
        <f t="shared" si="6"/>
        <v>1985</v>
      </c>
      <c r="B29" s="120">
        <f ca="1">IF($J$7=1,HLOOKUP(B$11,index1970,Query!$O64)/B$9,IF($J$7=2,HLOOKUP(B$11,index1970,Query!$O64)/B$9 * HLOOKUP(B$11,comboutfac,Query!$O64),HLOOKUP(B$11,index1970,Query!$O64)/B$9 * HLOOKUP(B$11,comboutfac,Query!$O64) /B$8))</f>
        <v>3.1387276767174521</v>
      </c>
      <c r="C29" s="120">
        <f ca="1">IF($J$7=1,HLOOKUP(C$11,index1970,Query!$O64)/C$9,IF($J$7=2,HLOOKUP(C$11,index1970,Query!$O64)/C$9 * HLOOKUP(C$11,comboutfac,Query!$O64),HLOOKUP(C$11,index1970,Query!$O64)/C$9 * HLOOKUP(C$11,comboutfac,Query!$O64) /C$8))</f>
        <v>3.0943151580105579</v>
      </c>
      <c r="D29" s="120">
        <f ca="1">IF($J$7=1,HLOOKUP(D$11,index1970,Query!$O64)/D$9,IF($J$7=2,HLOOKUP(D$11,index1970,Query!$O64)/D$9 * HLOOKUP(D$11,comboutfac,Query!$O64),HLOOKUP(D$11,index1970,Query!$O64)/D$9 * HLOOKUP(D$11,comboutfac,Query!$O64) /D$8))</f>
        <v>3.0329258107527695</v>
      </c>
      <c r="E29" s="120">
        <f ca="1">IF($J$7=1,HLOOKUP(E$11,index1970,Query!$O64)/E$9,IF($J$7=2,HLOOKUP(E$11,index1970,Query!$O64)/E$9 * HLOOKUP(E$11,comboutfac,Query!$O64),HLOOKUP(E$11,index1970,Query!$O64)/E$9 * HLOOKUP(E$11,comboutfac,Query!$O64) /E$8))</f>
        <v>2.7140387074663921</v>
      </c>
      <c r="F29" s="120">
        <f ca="1">IF($J$7=1,HLOOKUP(F$11,index1970,Query!$O64)/F$9,IF($J$7=2,HLOOKUP(F$11,index1970,Query!$O64)/F$9 * HLOOKUP(F$11,comboutfac,Query!$O64),HLOOKUP(F$11,index1970,Query!$O64)/F$9 * HLOOKUP(F$11,comboutfac,Query!$O64) /F$8))</f>
        <v>3.0943151580105579</v>
      </c>
      <c r="G29" s="120">
        <f ca="1">IF($J$7=1,HLOOKUP(G$11,index1970,Query!$O64)/G$9,IF($J$7=2,HLOOKUP(G$11,index1970,Query!$O64)/G$9 * HLOOKUP(G$11,comboutfac,Query!$O64),HLOOKUP(G$11,index1970,Query!$O64)/G$9 * HLOOKUP(G$11,comboutfac,Query!$O64) /G$8))</f>
        <v>3.1491559585385653</v>
      </c>
      <c r="H29" s="120">
        <f ca="1">IF($J$7=1,HLOOKUP(H$11,index1970,Query!$O64)/H$9,IF($J$7=2,HLOOKUP(H$11,index1970,Query!$O64)/H$9 * HLOOKUP(H$11,comboutfac,Query!$O64),HLOOKUP(H$11,index1970,Query!$O64)/H$9 * HLOOKUP(H$11,comboutfac,Query!$O64) /H$8))</f>
        <v>3.0479346206793947</v>
      </c>
      <c r="I29" s="120">
        <f ca="1">IF($J$7=1,HLOOKUP(I$11,index1970,Query!$O64)/I$9,IF($J$7=2,HLOOKUP(I$11,index1970,Query!$O64)/I$9 * HLOOKUP(I$11,comboutfac,Query!$O64),HLOOKUP(I$11,index1970,Query!$O64)/I$9 * HLOOKUP(I$11,comboutfac,Query!$O64) /I$8))</f>
        <v>3.002671816551068</v>
      </c>
      <c r="J29" s="120">
        <f ca="1">IF($J$7=1,HLOOKUP(J$11,index1970,Query!$O64)/J$9,IF($J$7=2,HLOOKUP(J$11,index1970,Query!$O64)/J$9 * HLOOKUP(J$11,comboutfac,Query!$O64),HLOOKUP(J$11,index1970,Query!$O64)/J$9 * HLOOKUP(J$11,comboutfac,Query!$O64) /J$8))</f>
        <v>3.4346895074946455</v>
      </c>
      <c r="K29" s="120">
        <f ca="1">IF($J$7=1,HLOOKUP(K$11,index1970,Query!$O64)/K$9,IF($J$7=2,HLOOKUP(K$11,index1970,Query!$O64)/K$9 * HLOOKUP(K$11,comboutfac,Query!$O64),HLOOKUP(K$11,index1970,Query!$O64)/K$9 * HLOOKUP(K$11,comboutfac,Query!$O64) /K$8))</f>
        <v>3.2042099479984052</v>
      </c>
      <c r="L29" s="120">
        <f ca="1">IF($J$7=1,HLOOKUP(L$11,index1970,Query!$O64)/L$9,IF($J$7=2,HLOOKUP(L$11,index1970,Query!$O64)/L$9 * HLOOKUP(L$11,comboutfac,Query!$O64),HLOOKUP(L$11,index1970,Query!$O64)/L$9 * HLOOKUP(L$11,comboutfac,Query!$O64) /L$8))</f>
        <v>3.0667730298078779</v>
      </c>
      <c r="M29" s="120">
        <f ca="1">IF($J$7=1,HLOOKUP(M$11,index1970,Query!$O64)/M$9,IF($J$7=2,HLOOKUP(M$11,index1970,Query!$O64)/M$9 * HLOOKUP(M$11,comboutfac,Query!$O64),HLOOKUP(M$11,index1970,Query!$O64)/M$9 * HLOOKUP(M$11,comboutfac,Query!$O64) /M$8))</f>
        <v>2.6267888839662761</v>
      </c>
      <c r="N29" s="120">
        <f ca="1">IF($J$7=1,HLOOKUP(N$11,index1970,Query!$O64)/N$9,IF($J$7=2,HLOOKUP(N$11,index1970,Query!$O64)/N$9 * HLOOKUP(N$11,comboutfac,Query!$O64),HLOOKUP(N$11,index1970,Query!$O64)/N$9 * HLOOKUP(N$11,comboutfac,Query!$O64) /N$8))</f>
        <v>3.0943151580105579</v>
      </c>
      <c r="O29" s="120">
        <f ca="1">IF($J$7=1,HLOOKUP(O$11,index1970,Query!$O64)/O$9,IF($J$7=2,HLOOKUP(O$11,index1970,Query!$O64)/O$9 * HLOOKUP(O$11,comboutfac,Query!$O64),HLOOKUP(O$11,index1970,Query!$O64)/O$9 * HLOOKUP(O$11,comboutfac,Query!$O64) /O$8))</f>
        <v>3.0592923250881823</v>
      </c>
      <c r="P29" s="120">
        <f ca="1">IF($J$7=1,HLOOKUP(P$11,index1970,Query!$O64)/P$9,IF($J$7=2,HLOOKUP(P$11,index1970,Query!$O64)/P$9 * HLOOKUP(P$11,comboutfac,Query!$O64),HLOOKUP(P$11,index1970,Query!$O64)/P$9 * HLOOKUP(P$11,comboutfac,Query!$O64) /P$8))</f>
        <v>3.1697132704136273</v>
      </c>
      <c r="Q29" s="120">
        <f ca="1">IF($J$7=1,HLOOKUP(Q$11,index1970,Query!$O64)/Q$9,IF($J$7=2,HLOOKUP(Q$11,index1970,Query!$O64)/Q$9 * HLOOKUP(Q$11,comboutfac,Query!$O64),HLOOKUP(Q$11,index1970,Query!$O64)/Q$9 * HLOOKUP(Q$11,comboutfac,Query!$O64) /Q$8))</f>
        <v>2.6783713189199738</v>
      </c>
      <c r="R29" s="120">
        <f ca="1">IF($J$7=1,HLOOKUP(R$11,index1970,Query!$O64)/R$9,IF($J$7=2,HLOOKUP(R$11,index1970,Query!$O64)/R$9 * HLOOKUP(R$11,comboutfac,Query!$O64),HLOOKUP(R$11,index1970,Query!$O64)/R$9 * HLOOKUP(R$11,comboutfac,Query!$O64) /R$8))</f>
        <v>3.1144143634505435</v>
      </c>
      <c r="S29" s="120">
        <f ca="1">IF($J$7=1,HLOOKUP(S$11,index1970,Query!$O64)/S$9,IF($J$7=2,HLOOKUP(S$11,index1970,Query!$O64)/S$9 * HLOOKUP(S$11,comboutfac,Query!$O64),HLOOKUP(S$11,index1970,Query!$O64)/S$9 * HLOOKUP(S$11,comboutfac,Query!$O64) /S$8))</f>
        <v>2.674135973099244</v>
      </c>
      <c r="T29" s="120">
        <f ca="1">IF($J$7=1,HLOOKUP(T$11,index1970,Query!$O64)/T$9,IF($J$7=2,HLOOKUP(T$11,index1970,Query!$O64)/T$9 * HLOOKUP(T$11,comboutfac,Query!$O64),HLOOKUP(T$11,index1970,Query!$O64)/T$9 * HLOOKUP(T$11,comboutfac,Query!$O64) /T$8))</f>
        <v>2.6161087224339297</v>
      </c>
      <c r="U29" s="120">
        <f ca="1">IF($J$7=1,HLOOKUP(U$11,index1970,Query!$O64)/U$9,IF($J$7=2,HLOOKUP(U$11,index1970,Query!$O64)/U$9 * HLOOKUP(U$11,comboutfac,Query!$O64),HLOOKUP(U$11,index1970,Query!$O64)/U$9 * HLOOKUP(U$11,comboutfac,Query!$O64) /U$8))</f>
        <v>3.0779535259535589</v>
      </c>
      <c r="V29" s="120">
        <f ca="1">IF($J$7=1,HLOOKUP(V$11,index1970,Query!$O64)/V$9,IF($J$7=2,HLOOKUP(V$11,index1970,Query!$O64)/V$9 * HLOOKUP(V$11,comboutfac,Query!$O64),HLOOKUP(V$11,index1970,Query!$O64)/V$9 * HLOOKUP(V$11,comboutfac,Query!$O64) /V$8))</f>
        <v>3.0379613778437924</v>
      </c>
      <c r="W29" s="120">
        <f ca="1">IF($J$7=1,HLOOKUP(W$11,index1970,Query!$O64)/W$9,IF($J$7=2,HLOOKUP(W$11,index1970,Query!$O64)/W$9 * HLOOKUP(W$11,comboutfac,Query!$O64),HLOOKUP(W$11,index1970,Query!$O64)/W$9 * HLOOKUP(W$11,comboutfac,Query!$O64) /W$8))</f>
        <v>2.9860948896054564</v>
      </c>
      <c r="X29" s="120">
        <f ca="1">IF($J$7=1,HLOOKUP(X$11,index1970,Query!$O64)/X$9,IF($J$7=2,HLOOKUP(X$11,index1970,Query!$O64)/X$9 * HLOOKUP(X$11,comboutfac,Query!$O64),HLOOKUP(X$11,index1970,Query!$O64)/X$9 * HLOOKUP(X$11,comboutfac,Query!$O64) /X$8))</f>
        <v>3.0474239992803187</v>
      </c>
      <c r="Y29" s="120">
        <f ca="1">IF($J$7=1,HLOOKUP(Y$11,index1970,Query!$O64)/Y$9,IF($J$7=2,HLOOKUP(Y$11,index1970,Query!$O64)/Y$9 * HLOOKUP(Y$11,comboutfac,Query!$O64),HLOOKUP(Y$11,index1970,Query!$O64)/Y$9 * HLOOKUP(Y$11,comboutfac,Query!$O64) /Y$8))</f>
        <v>3.0456368979397297</v>
      </c>
      <c r="Z29" s="120">
        <f ca="1">IF($J$7=1,HLOOKUP(Z$11,index1970,Query!$O64)/Z$9,IF($J$7=2,HLOOKUP(Z$11,index1970,Query!$O64)/Z$9 * HLOOKUP(Z$11,comboutfac,Query!$O64),HLOOKUP(Z$11,index1970,Query!$O64)/Z$9 * HLOOKUP(Z$11,comboutfac,Query!$O64) /Z$8))</f>
        <v>3.1354340610559279</v>
      </c>
      <c r="AA29" s="120">
        <f ca="1">IF($J$7=1,HLOOKUP(AA$11,index1970,Query!$O64)/AA$9,IF($J$7=2,HLOOKUP(AA$11,index1970,Query!$O64)/AA$9 * HLOOKUP(AA$11,comboutfac,Query!$O64),HLOOKUP(AA$11,index1970,Query!$O64)/AA$9 * HLOOKUP(AA$11,comboutfac,Query!$O64) /AA$8))</f>
        <v>3.0523066569837995</v>
      </c>
      <c r="AB29" s="120">
        <f ca="1">IF($J$7=1,HLOOKUP(AB$11,index1970,Query!$O64)/AB$9,IF($J$7=2,HLOOKUP(AB$11,index1970,Query!$O64)/AB$9 * HLOOKUP(AB$11,comboutfac,Query!$O64),HLOOKUP(AB$11,index1970,Query!$O64)/AB$9 * HLOOKUP(AB$11,comboutfac,Query!$O64) /AB$8))</f>
        <v>2.8929920861048748</v>
      </c>
      <c r="AC29" s="120">
        <f ca="1">IF($J$7=1,HLOOKUP(AC$11,index1970,Query!$O64)/AC$9,IF($J$7=2,HLOOKUP(AC$11,index1970,Query!$O64)/AC$9 * HLOOKUP(AC$11,comboutfac,Query!$O64),HLOOKUP(AC$11,index1970,Query!$O64)/AC$9 * HLOOKUP(AC$11,comboutfac,Query!$O64) /AC$8))</f>
        <v>3.1789538811088671</v>
      </c>
      <c r="AD29" s="120">
        <f ca="1">IF($J$7=1,HLOOKUP(AD$11,index1970,Query!$O64)/AD$9,IF($J$7=2,HLOOKUP(AD$11,index1970,Query!$O64)/AD$9 * HLOOKUP(AD$11,comboutfac,Query!$O64),HLOOKUP(AD$11,index1970,Query!$O64)/AD$9 * HLOOKUP(AD$11,comboutfac,Query!$O64) /AD$8))</f>
        <v>3.0428218339305237</v>
      </c>
      <c r="AE29" s="120">
        <f ca="1">IF($J$7=1,HLOOKUP(AE$11,index1970,Query!$O64)/AE$9,IF($J$7=2,HLOOKUP(AE$11,index1970,Query!$O64)/AE$9 * HLOOKUP(AE$11,comboutfac,Query!$O64),HLOOKUP(AE$11,index1970,Query!$O64)/AE$9 * HLOOKUP(AE$11,comboutfac,Query!$O64) /AE$8))</f>
        <v>2.6899540583653834</v>
      </c>
      <c r="AF29" s="120">
        <f ca="1">IF($J$7=1,HLOOKUP(AF$11,index1970,Query!$O64)/AF$9,IF($J$7=2,HLOOKUP(AF$11,index1970,Query!$O64)/AF$9 * HLOOKUP(AF$11,comboutfac,Query!$O64),HLOOKUP(AF$11,index1970,Query!$O64)/AF$9 * HLOOKUP(AF$11,comboutfac,Query!$O64) /AF$8))</f>
        <v>4.2974663624683105</v>
      </c>
      <c r="AG29" s="120">
        <f ca="1">IF($J$7=1,HLOOKUP(AG$11,index1970,Query!$O64)/AG$9,IF($J$7=2,HLOOKUP(AG$11,index1970,Query!$O64)/AG$9 * HLOOKUP(AG$11,comboutfac,Query!$O64),HLOOKUP(AG$11,index1970,Query!$O64)/AG$9 * HLOOKUP(AG$11,comboutfac,Query!$O64) /AG$8))</f>
        <v>3.1518642307834157</v>
      </c>
      <c r="AH29" s="120">
        <f ca="1">IF($J$7=1,HLOOKUP(AH$11,index1970,Query!$O64)/AH$9,IF($J$7=2,HLOOKUP(AH$11,index1970,Query!$O64)/AH$9 * HLOOKUP(AH$11,comboutfac,Query!$O64),HLOOKUP(AH$11,index1970,Query!$O64)/AH$9 * HLOOKUP(AH$11,comboutfac,Query!$O64) /AH$8))</f>
        <v>2.6267888839662761</v>
      </c>
      <c r="AI29" s="120">
        <f ca="1">IF($J$7=1,HLOOKUP(AI$11,index1970,Query!$O64)/AI$9,IF($J$7=2,HLOOKUP(AI$11,index1970,Query!$O64)/AI$9 * HLOOKUP(AI$11,comboutfac,Query!$O64),HLOOKUP(AI$11,index1970,Query!$O64)/AI$9 * HLOOKUP(AI$11,comboutfac,Query!$O64) /AI$8))</f>
        <v>2.7071640075959729</v>
      </c>
      <c r="AJ29" s="120">
        <f ca="1">IF($J$7=1,HLOOKUP(AJ$11,index1970,Query!$O64)/AJ$9,IF($J$7=2,HLOOKUP(AJ$11,index1970,Query!$O64)/AJ$9 * HLOOKUP(AJ$11,comboutfac,Query!$O64),HLOOKUP(AJ$11,index1970,Query!$O64)/AJ$9 * HLOOKUP(AJ$11,comboutfac,Query!$O64) /AJ$8))</f>
        <v>2.6267888839662761</v>
      </c>
      <c r="AK29" s="120">
        <f ca="1">IF($J$7=1,HLOOKUP(AK$11,index1970,Query!$O64)/AK$9,IF($J$7=2,HLOOKUP(AK$11,index1970,Query!$O64)/AK$9 * HLOOKUP(AK$11,comboutfac,Query!$O64),HLOOKUP(AK$11,index1970,Query!$O64)/AK$9 * HLOOKUP(AK$11,comboutfac,Query!$O64) /AK$8))</f>
        <v>2.6960275771491951</v>
      </c>
      <c r="AL29" s="120">
        <f ca="1">IF($J$7=1,HLOOKUP(AL$11,index1970,Query!$O64)/AL$9,IF($J$7=2,HLOOKUP(AL$11,index1970,Query!$O64)/AL$9 * HLOOKUP(AL$11,comboutfac,Query!$O64),HLOOKUP(AL$11,index1970,Query!$O64)/AL$9 * HLOOKUP(AL$11,comboutfac,Query!$O64) /AL$8))</f>
        <v>3.0931250270191999</v>
      </c>
      <c r="AM29" s="120">
        <f ca="1">IF($J$7=1,HLOOKUP(AM$11,index1970,Query!$O64)/AM$9,IF($J$7=2,HLOOKUP(AM$11,index1970,Query!$O64)/AM$9 * HLOOKUP(AM$11,comboutfac,Query!$O64),HLOOKUP(AM$11,index1970,Query!$O64)/AM$9 * HLOOKUP(AM$11,comboutfac,Query!$O64) /AM$8))</f>
        <v>2.6801926475311242</v>
      </c>
      <c r="AN29" s="120">
        <f ca="1">IF($J$7=1,HLOOKUP(AN$11,index1970,Query!$O64)/AN$9,IF($J$7=2,HLOOKUP(AN$11,index1970,Query!$O64)/AN$9 * HLOOKUP(AN$11,comboutfac,Query!$O64),HLOOKUP(AN$11,index1970,Query!$O64)/AN$9 * HLOOKUP(AN$11,comboutfac,Query!$O64) /AN$8))</f>
        <v>3.1251953484337407</v>
      </c>
      <c r="AO29" s="120">
        <f ca="1">IF($J$7=1,HLOOKUP(AO$11,index1970,Query!$O64)/AO$9,IF($J$7=2,HLOOKUP(AO$11,index1970,Query!$O64)/AO$9 * HLOOKUP(AO$11,comboutfac,Query!$O64),HLOOKUP(AO$11,index1970,Query!$O64)/AO$9 * HLOOKUP(AO$11,comboutfac,Query!$O64) /AO$8))</f>
        <v>2.6809213819321291</v>
      </c>
      <c r="AP29" s="120">
        <f ca="1">IF($J$7=1,HLOOKUP(AP$11,index1970,Query!$O64)/AP$9,IF($J$7=2,HLOOKUP(AP$11,index1970,Query!$O64)/AP$9 * HLOOKUP(AP$11,comboutfac,Query!$O64),HLOOKUP(AP$11,index1970,Query!$O64)/AP$9 * HLOOKUP(AP$11,comboutfac,Query!$O64) /AP$8))</f>
        <v>4.4984248464691738</v>
      </c>
      <c r="AQ29" s="683">
        <f ca="1">IF($J$7=1,HLOOKUP(AQ$11,index1970,Query!$O64)/AQ$9,IF($J$7=2,HLOOKUP(AQ$11,index1970,Query!$O64)/AQ$9 * HLOOKUP(AQ$11,comboutfac,Query!$O64),HLOOKUP(AQ$11,index1970,Query!$O64)/AQ$9 * HLOOKUP(AQ$11,comboutfac,Query!$O64) /AQ$8))</f>
        <v>3.0779535259535589</v>
      </c>
      <c r="AR29" s="120">
        <f ca="1">IF($J$7=1,HLOOKUP(AR$11,index1970,Query!$O64)/AR$9,IF($J$7=2,HLOOKUP(AR$11,index1970,Query!$O64)/AR$9 * HLOOKUP(AR$11,comboutfac,Query!$O64),HLOOKUP(AR$11,index1970,Query!$O64)/AR$9 * HLOOKUP(AR$11,comboutfac,Query!$O64) /AR$8))</f>
        <v>3.1429064677673706</v>
      </c>
      <c r="AS29" s="213"/>
    </row>
    <row r="30" spans="1:45" s="122" customFormat="1">
      <c r="A30" s="121">
        <f t="shared" si="6"/>
        <v>1986</v>
      </c>
      <c r="B30" s="120">
        <f ca="1">IF($J$7=1,HLOOKUP(B$11,index1970,Query!$O65)/B$9,IF($J$7=2,HLOOKUP(B$11,index1970,Query!$O65)/B$9 * HLOOKUP(B$11,comboutfac,Query!$O65),HLOOKUP(B$11,index1970,Query!$O65)/B$9 * HLOOKUP(B$11,comboutfac,Query!$O65) /B$8))</f>
        <v>3.2344279210844773</v>
      </c>
      <c r="C30" s="120">
        <f ca="1">IF($J$7=1,HLOOKUP(C$11,index1970,Query!$O65)/C$9,IF($J$7=2,HLOOKUP(C$11,index1970,Query!$O65)/C$9 * HLOOKUP(C$11,comboutfac,Query!$O65),HLOOKUP(C$11,index1970,Query!$O65)/C$9 * HLOOKUP(C$11,comboutfac,Query!$O65) /C$8))</f>
        <v>3.1860001165029121</v>
      </c>
      <c r="D30" s="120">
        <f ca="1">IF($J$7=1,HLOOKUP(D$11,index1970,Query!$O65)/D$9,IF($J$7=2,HLOOKUP(D$11,index1970,Query!$O65)/D$9 * HLOOKUP(D$11,comboutfac,Query!$O65),HLOOKUP(D$11,index1970,Query!$O65)/D$9 * HLOOKUP(D$11,comboutfac,Query!$O65) /D$8))</f>
        <v>3.1178477334538472</v>
      </c>
      <c r="E30" s="120">
        <f ca="1">IF($J$7=1,HLOOKUP(E$11,index1970,Query!$O65)/E$9,IF($J$7=2,HLOOKUP(E$11,index1970,Query!$O65)/E$9 * HLOOKUP(E$11,comboutfac,Query!$O65),HLOOKUP(E$11,index1970,Query!$O65)/E$9 * HLOOKUP(E$11,comboutfac,Query!$O65) /E$8))</f>
        <v>2.7140387074663921</v>
      </c>
      <c r="F30" s="120">
        <f ca="1">IF($J$7=1,HLOOKUP(F$11,index1970,Query!$O65)/F$9,IF($J$7=2,HLOOKUP(F$11,index1970,Query!$O65)/F$9 * HLOOKUP(F$11,comboutfac,Query!$O65),HLOOKUP(F$11,index1970,Query!$O65)/F$9 * HLOOKUP(F$11,comboutfac,Query!$O65) /F$8))</f>
        <v>3.1860001165029121</v>
      </c>
      <c r="G30" s="120">
        <f ca="1">IF($J$7=1,HLOOKUP(G$11,index1970,Query!$O65)/G$9,IF($J$7=2,HLOOKUP(G$11,index1970,Query!$O65)/G$9 * HLOOKUP(G$11,comboutfac,Query!$O65),HLOOKUP(G$11,index1970,Query!$O65)/G$9 * HLOOKUP(G$11,comboutfac,Query!$O65) /G$8))</f>
        <v>3.2478736432419537</v>
      </c>
      <c r="H30" s="120">
        <f ca="1">IF($J$7=1,HLOOKUP(H$11,index1970,Query!$O65)/H$9,IF($J$7=2,HLOOKUP(H$11,index1970,Query!$O65)/H$9 * HLOOKUP(H$11,comboutfac,Query!$O65),HLOOKUP(H$11,index1970,Query!$O65)/H$9 * HLOOKUP(H$11,comboutfac,Query!$O65) /H$8))</f>
        <v>3.1224261503076831</v>
      </c>
      <c r="I30" s="120">
        <f ca="1">IF($J$7=1,HLOOKUP(I$11,index1970,Query!$O65)/I$9,IF($J$7=2,HLOOKUP(I$11,index1970,Query!$O65)/I$9 * HLOOKUP(I$11,comboutfac,Query!$O65),HLOOKUP(I$11,index1970,Query!$O65)/I$9 * HLOOKUP(I$11,comboutfac,Query!$O65) /I$8))</f>
        <v>3.0658002755056617</v>
      </c>
      <c r="J30" s="120">
        <f ca="1">IF($J$7=1,HLOOKUP(J$11,index1970,Query!$O65)/J$9,IF($J$7=2,HLOOKUP(J$11,index1970,Query!$O65)/J$9 * HLOOKUP(J$11,comboutfac,Query!$O65),HLOOKUP(J$11,index1970,Query!$O65)/J$9 * HLOOKUP(J$11,comboutfac,Query!$O65) /J$8))</f>
        <v>2.9761394921994482</v>
      </c>
      <c r="K30" s="120">
        <f ca="1">IF($J$7=1,HLOOKUP(K$11,index1970,Query!$O65)/K$9,IF($J$7=2,HLOOKUP(K$11,index1970,Query!$O65)/K$9 * HLOOKUP(K$11,comboutfac,Query!$O65),HLOOKUP(K$11,index1970,Query!$O65)/K$9 * HLOOKUP(K$11,comboutfac,Query!$O65) /K$8))</f>
        <v>3.3003362464383574</v>
      </c>
      <c r="L30" s="120">
        <f ca="1">IF($J$7=1,HLOOKUP(L$11,index1970,Query!$O65)/L$9,IF($J$7=2,HLOOKUP(L$11,index1970,Query!$O65)/L$9 * HLOOKUP(L$11,comboutfac,Query!$O65),HLOOKUP(L$11,index1970,Query!$O65)/L$9 * HLOOKUP(L$11,comboutfac,Query!$O65) /L$8))</f>
        <v>3.1511199690056784</v>
      </c>
      <c r="M30" s="120">
        <f ca="1">IF($J$7=1,HLOOKUP(M$11,index1970,Query!$O65)/M$9,IF($J$7=2,HLOOKUP(M$11,index1970,Query!$O65)/M$9 * HLOOKUP(M$11,comboutfac,Query!$O65),HLOOKUP(M$11,index1970,Query!$O65)/M$9 * HLOOKUP(M$11,comboutfac,Query!$O65) /M$8))</f>
        <v>2.7003389727173319</v>
      </c>
      <c r="N30" s="120">
        <f ca="1">IF($J$7=1,HLOOKUP(N$11,index1970,Query!$O65)/N$9,IF($J$7=2,HLOOKUP(N$11,index1970,Query!$O65)/N$9 * HLOOKUP(N$11,comboutfac,Query!$O65),HLOOKUP(N$11,index1970,Query!$O65)/N$9 * HLOOKUP(N$11,comboutfac,Query!$O65) /N$8))</f>
        <v>3.1860001165029121</v>
      </c>
      <c r="O30" s="120">
        <f ca="1">IF($J$7=1,HLOOKUP(O$11,index1970,Query!$O65)/O$9,IF($J$7=2,HLOOKUP(O$11,index1970,Query!$O65)/O$9 * HLOOKUP(O$11,comboutfac,Query!$O65),HLOOKUP(O$11,index1970,Query!$O65)/O$9 * HLOOKUP(O$11,comboutfac,Query!$O65) /O$8))</f>
        <v>3.167133500722028</v>
      </c>
      <c r="P30" s="120">
        <f ca="1">IF($J$7=1,HLOOKUP(P$11,index1970,Query!$O65)/P$9,IF($J$7=2,HLOOKUP(P$11,index1970,Query!$O65)/P$9 * HLOOKUP(P$11,comboutfac,Query!$O65),HLOOKUP(P$11,index1970,Query!$O65)/P$9 * HLOOKUP(P$11,comboutfac,Query!$O65) /P$8))</f>
        <v>3.2640627058502414</v>
      </c>
      <c r="Q30" s="120">
        <f ca="1">IF($J$7=1,HLOOKUP(Q$11,index1970,Query!$O65)/Q$9,IF($J$7=2,HLOOKUP(Q$11,index1970,Query!$O65)/Q$9 * HLOOKUP(Q$11,comboutfac,Query!$O65),HLOOKUP(Q$11,index1970,Query!$O65)/Q$9 * HLOOKUP(Q$11,comboutfac,Query!$O65) /Q$8))</f>
        <v>2.7492345089034553</v>
      </c>
      <c r="R30" s="120">
        <f ca="1">IF($J$7=1,HLOOKUP(R$11,index1970,Query!$O65)/R$9,IF($J$7=2,HLOOKUP(R$11,index1970,Query!$O65)/R$9 * HLOOKUP(R$11,comboutfac,Query!$O65),HLOOKUP(R$11,index1970,Query!$O65)/R$9 * HLOOKUP(R$11,comboutfac,Query!$O65) /R$8))</f>
        <v>3.2092880944655247</v>
      </c>
      <c r="S30" s="120">
        <f ca="1">IF($J$7=1,HLOOKUP(S$11,index1970,Query!$O65)/S$9,IF($J$7=2,HLOOKUP(S$11,index1970,Query!$O65)/S$9 * HLOOKUP(S$11,comboutfac,Query!$O65),HLOOKUP(S$11,index1970,Query!$O65)/S$9 * HLOOKUP(S$11,comboutfac,Query!$O65) /S$8))</f>
        <v>2.7638789725640911</v>
      </c>
      <c r="T30" s="120">
        <f ca="1">IF($J$7=1,HLOOKUP(T$11,index1970,Query!$O65)/T$9,IF($J$7=2,HLOOKUP(T$11,index1970,Query!$O65)/T$9 * HLOOKUP(T$11,comboutfac,Query!$O65),HLOOKUP(T$11,index1970,Query!$O65)/T$9 * HLOOKUP(T$11,comboutfac,Query!$O65) /T$8))</f>
        <v>2.6893597666620797</v>
      </c>
      <c r="U30" s="120">
        <f ca="1">IF($J$7=1,HLOOKUP(U$11,index1970,Query!$O65)/U$9,IF($J$7=2,HLOOKUP(U$11,index1970,Query!$O65)/U$9 * HLOOKUP(U$11,comboutfac,Query!$O65),HLOOKUP(U$11,index1970,Query!$O65)/U$9 * HLOOKUP(U$11,comboutfac,Query!$O65) /U$8))</f>
        <v>3.1497187278251397</v>
      </c>
      <c r="V30" s="120">
        <f ca="1">IF($J$7=1,HLOOKUP(V$11,index1970,Query!$O65)/V$9,IF($J$7=2,HLOOKUP(V$11,index1970,Query!$O65)/V$9 * HLOOKUP(V$11,comboutfac,Query!$O65),HLOOKUP(V$11,index1970,Query!$O65)/V$9 * HLOOKUP(V$11,comboutfac,Query!$O65) /V$8))</f>
        <v>3.1230242964234187</v>
      </c>
      <c r="W30" s="120">
        <f ca="1">IF($J$7=1,HLOOKUP(W$11,index1970,Query!$O65)/W$9,IF($J$7=2,HLOOKUP(W$11,index1970,Query!$O65)/W$9 * HLOOKUP(W$11,comboutfac,Query!$O65),HLOOKUP(W$11,index1970,Query!$O65)/W$9 * HLOOKUP(W$11,comboutfac,Query!$O65) /W$8))</f>
        <v>3.0389823954874737</v>
      </c>
      <c r="X30" s="120">
        <f ca="1">IF($J$7=1,HLOOKUP(X$11,index1970,Query!$O65)/X$9,IF($J$7=2,HLOOKUP(X$11,index1970,Query!$O65)/X$9 * HLOOKUP(X$11,comboutfac,Query!$O65),HLOOKUP(X$11,index1970,Query!$O65)/X$9 * HLOOKUP(X$11,comboutfac,Query!$O65) /X$8))</f>
        <v>3.1333901339218446</v>
      </c>
      <c r="Y30" s="120">
        <f ca="1">IF($J$7=1,HLOOKUP(Y$11,index1970,Query!$O65)/Y$9,IF($J$7=2,HLOOKUP(Y$11,index1970,Query!$O65)/Y$9 * HLOOKUP(Y$11,comboutfac,Query!$O65),HLOOKUP(Y$11,index1970,Query!$O65)/Y$9 * HLOOKUP(Y$11,comboutfac,Query!$O65) /Y$8))</f>
        <v>3.109490792810425</v>
      </c>
      <c r="Z30" s="120">
        <f ca="1">IF($J$7=1,HLOOKUP(Z$11,index1970,Query!$O65)/Z$9,IF($J$7=2,HLOOKUP(Z$11,index1970,Query!$O65)/Z$9 * HLOOKUP(Z$11,comboutfac,Query!$O65),HLOOKUP(Z$11,index1970,Query!$O65)/Z$9 * HLOOKUP(Z$11,comboutfac,Query!$O65) /Z$8))</f>
        <v>3.1524455152256055</v>
      </c>
      <c r="AA30" s="120">
        <f ca="1">IF($J$7=1,HLOOKUP(AA$11,index1970,Query!$O65)/AA$9,IF($J$7=2,HLOOKUP(AA$11,index1970,Query!$O65)/AA$9 * HLOOKUP(AA$11,comboutfac,Query!$O65),HLOOKUP(AA$11,index1970,Query!$O65)/AA$9 * HLOOKUP(AA$11,comboutfac,Query!$O65) /AA$8))</f>
        <v>3.150989727621369</v>
      </c>
      <c r="AB30" s="120">
        <f ca="1">IF($J$7=1,HLOOKUP(AB$11,index1970,Query!$O65)/AB$9,IF($J$7=2,HLOOKUP(AB$11,index1970,Query!$O65)/AB$9 * HLOOKUP(AB$11,comboutfac,Query!$O65),HLOOKUP(AB$11,index1970,Query!$O65)/AB$9 * HLOOKUP(AB$11,comboutfac,Query!$O65) /AB$8))</f>
        <v>2.9439411958063442</v>
      </c>
      <c r="AC30" s="120">
        <f ca="1">IF($J$7=1,HLOOKUP(AC$11,index1970,Query!$O65)/AC$9,IF($J$7=2,HLOOKUP(AC$11,index1970,Query!$O65)/AC$9 * HLOOKUP(AC$11,comboutfac,Query!$O65),HLOOKUP(AC$11,index1970,Query!$O65)/AC$9 * HLOOKUP(AC$11,comboutfac,Query!$O65) /AC$8))</f>
        <v>3.1906484934466084</v>
      </c>
      <c r="AD30" s="120">
        <f ca="1">IF($J$7=1,HLOOKUP(AD$11,index1970,Query!$O65)/AD$9,IF($J$7=2,HLOOKUP(AD$11,index1970,Query!$O65)/AD$9 * HLOOKUP(AD$11,comboutfac,Query!$O65),HLOOKUP(AD$11,index1970,Query!$O65)/AD$9 * HLOOKUP(AD$11,comboutfac,Query!$O65) /AD$8))</f>
        <v>3.1352049050349544</v>
      </c>
      <c r="AE30" s="120">
        <f ca="1">IF($J$7=1,HLOOKUP(AE$11,index1970,Query!$O65)/AE$9,IF($J$7=2,HLOOKUP(AE$11,index1970,Query!$O65)/AE$9 * HLOOKUP(AE$11,comboutfac,Query!$O65),HLOOKUP(AE$11,index1970,Query!$O65)/AE$9 * HLOOKUP(AE$11,comboutfac,Query!$O65) /AE$8))</f>
        <v>2.7837364451862907</v>
      </c>
      <c r="AF30" s="120">
        <f ca="1">IF($J$7=1,HLOOKUP(AF$11,index1970,Query!$O65)/AF$9,IF($J$7=2,HLOOKUP(AF$11,index1970,Query!$O65)/AF$9 * HLOOKUP(AF$11,comboutfac,Query!$O65),HLOOKUP(AF$11,index1970,Query!$O65)/AF$9 * HLOOKUP(AF$11,comboutfac,Query!$O65) /AF$8))</f>
        <v>4.4281010079938774</v>
      </c>
      <c r="AG30" s="120">
        <f ca="1">IF($J$7=1,HLOOKUP(AG$11,index1970,Query!$O65)/AG$9,IF($J$7=2,HLOOKUP(AG$11,index1970,Query!$O65)/AG$9 * HLOOKUP(AG$11,comboutfac,Query!$O65),HLOOKUP(AG$11,index1970,Query!$O65)/AG$9 * HLOOKUP(AG$11,comboutfac,Query!$O65) /AG$8))</f>
        <v>3.2491177832924047</v>
      </c>
      <c r="AH30" s="120">
        <f ca="1">IF($J$7=1,HLOOKUP(AH$11,index1970,Query!$O65)/AH$9,IF($J$7=2,HLOOKUP(AH$11,index1970,Query!$O65)/AH$9 * HLOOKUP(AH$11,comboutfac,Query!$O65),HLOOKUP(AH$11,index1970,Query!$O65)/AH$9 * HLOOKUP(AH$11,comboutfac,Query!$O65) /AH$8))</f>
        <v>2.7003389727173319</v>
      </c>
      <c r="AI30" s="120">
        <f ca="1">IF($J$7=1,HLOOKUP(AI$11,index1970,Query!$O65)/AI$9,IF($J$7=2,HLOOKUP(AI$11,index1970,Query!$O65)/AI$9 * HLOOKUP(AI$11,comboutfac,Query!$O65),HLOOKUP(AI$11,index1970,Query!$O65)/AI$9 * HLOOKUP(AI$11,comboutfac,Query!$O65) /AI$8))</f>
        <v>2.7845045316202857</v>
      </c>
      <c r="AJ30" s="120">
        <f ca="1">IF($J$7=1,HLOOKUP(AJ$11,index1970,Query!$O65)/AJ$9,IF($J$7=2,HLOOKUP(AJ$11,index1970,Query!$O65)/AJ$9 * HLOOKUP(AJ$11,comboutfac,Query!$O65),HLOOKUP(AJ$11,index1970,Query!$O65)/AJ$9 * HLOOKUP(AJ$11,comboutfac,Query!$O65) /AJ$8))</f>
        <v>2.7003389727173319</v>
      </c>
      <c r="AK30" s="120">
        <f ca="1">IF($J$7=1,HLOOKUP(AK$11,index1970,Query!$O65)/AK$9,IF($J$7=2,HLOOKUP(AK$11,index1970,Query!$O65)/AK$9 * HLOOKUP(AK$11,comboutfac,Query!$O65),HLOOKUP(AK$11,index1970,Query!$O65)/AK$9 * HLOOKUP(AK$11,comboutfac,Query!$O65) /AK$8))</f>
        <v>2.7738271471764859</v>
      </c>
      <c r="AL30" s="120">
        <f ca="1">IF($J$7=1,HLOOKUP(AL$11,index1970,Query!$O65)/AL$9,IF($J$7=2,HLOOKUP(AL$11,index1970,Query!$O65)/AL$9 * HLOOKUP(AL$11,comboutfac,Query!$O65),HLOOKUP(AL$11,index1970,Query!$O65)/AL$9 * HLOOKUP(AL$11,comboutfac,Query!$O65) /AL$8))</f>
        <v>3.1868157671477406</v>
      </c>
      <c r="AM30" s="120">
        <f ca="1">IF($J$7=1,HLOOKUP(AM$11,index1970,Query!$O65)/AM$9,IF($J$7=2,HLOOKUP(AM$11,index1970,Query!$O65)/AM$9 * HLOOKUP(AM$11,comboutfac,Query!$O65),HLOOKUP(AM$11,index1970,Query!$O65)/AM$9 * HLOOKUP(AM$11,comboutfac,Query!$O65) /AM$8))</f>
        <v>2.7637354780626557</v>
      </c>
      <c r="AN30" s="120">
        <f ca="1">IF($J$7=1,HLOOKUP(AN$11,index1970,Query!$O65)/AN$9,IF($J$7=2,HLOOKUP(AN$11,index1970,Query!$O65)/AN$9 * HLOOKUP(AN$11,comboutfac,Query!$O65),HLOOKUP(AN$11,index1970,Query!$O65)/AN$9 * HLOOKUP(AN$11,comboutfac,Query!$O65) /AN$8))</f>
        <v>3.2187003955691242</v>
      </c>
      <c r="AO30" s="120">
        <f ca="1">IF($J$7=1,HLOOKUP(AO$11,index1970,Query!$O65)/AO$9,IF($J$7=2,HLOOKUP(AO$11,index1970,Query!$O65)/AO$9 * HLOOKUP(AO$11,comboutfac,Query!$O65),HLOOKUP(AO$11,index1970,Query!$O65)/AO$9 * HLOOKUP(AO$11,comboutfac,Query!$O65) /AO$8))</f>
        <v>2.7581903545987774</v>
      </c>
      <c r="AP30" s="120">
        <f ca="1">IF($J$7=1,HLOOKUP(AP$11,index1970,Query!$O65)/AP$9,IF($J$7=2,HLOOKUP(AP$11,index1970,Query!$O65)/AP$9 * HLOOKUP(AP$11,comboutfac,Query!$O65),HLOOKUP(AP$11,index1970,Query!$O65)/AP$9 * HLOOKUP(AP$11,comboutfac,Query!$O65) /AP$8))</f>
        <v>4.6644578019176661</v>
      </c>
      <c r="AQ30" s="683">
        <f ca="1">IF($J$7=1,HLOOKUP(AQ$11,index1970,Query!$O65)/AQ$9,IF($J$7=2,HLOOKUP(AQ$11,index1970,Query!$O65)/AQ$9 * HLOOKUP(AQ$11,comboutfac,Query!$O65),HLOOKUP(AQ$11,index1970,Query!$O65)/AQ$9 * HLOOKUP(AQ$11,comboutfac,Query!$O65) /AQ$8))</f>
        <v>3.1497187278251397</v>
      </c>
      <c r="AR30" s="120">
        <f ca="1">IF($J$7=1,HLOOKUP(AR$11,index1970,Query!$O65)/AR$9,IF($J$7=2,HLOOKUP(AR$11,index1970,Query!$O65)/AR$9 * HLOOKUP(AR$11,comboutfac,Query!$O65),HLOOKUP(AR$11,index1970,Query!$O65)/AR$9 * HLOOKUP(AR$11,comboutfac,Query!$O65) /AR$8))</f>
        <v>3.2517386180032704</v>
      </c>
      <c r="AS30" s="213"/>
    </row>
    <row r="31" spans="1:45" s="122" customFormat="1">
      <c r="A31" s="121">
        <f t="shared" si="6"/>
        <v>1987</v>
      </c>
      <c r="B31" s="120">
        <f ca="1">IF($J$7=1,HLOOKUP(B$11,index1970,Query!$O66)/B$9,IF($J$7=2,HLOOKUP(B$11,index1970,Query!$O66)/B$9 * HLOOKUP(B$11,comboutfac,Query!$O66),HLOOKUP(B$11,index1970,Query!$O66)/B$9 * HLOOKUP(B$11,comboutfac,Query!$O66) /B$8))</f>
        <v>3.3479310225617391</v>
      </c>
      <c r="C31" s="120">
        <f ca="1">IF($J$7=1,HLOOKUP(C$11,index1970,Query!$O66)/C$9,IF($J$7=2,HLOOKUP(C$11,index1970,Query!$O66)/C$9 * HLOOKUP(C$11,comboutfac,Query!$O66),HLOOKUP(C$11,index1970,Query!$O66)/C$9 * HLOOKUP(C$11,comboutfac,Query!$O66) /C$8))</f>
        <v>3.2946375287868199</v>
      </c>
      <c r="D31" s="120">
        <f ca="1">IF($J$7=1,HLOOKUP(D$11,index1970,Query!$O66)/D$9,IF($J$7=2,HLOOKUP(D$11,index1970,Query!$O66)/D$9 * HLOOKUP(D$11,comboutfac,Query!$O66),HLOOKUP(D$11,index1970,Query!$O66)/D$9 * HLOOKUP(D$11,comboutfac,Query!$O66) /D$8))</f>
        <v>3.2020296222571005</v>
      </c>
      <c r="E31" s="120">
        <f ca="1">IF($J$7=1,HLOOKUP(E$11,index1970,Query!$O66)/E$9,IF($J$7=2,HLOOKUP(E$11,index1970,Query!$O66)/E$9 * HLOOKUP(E$11,comboutfac,Query!$O66),HLOOKUP(E$11,index1970,Query!$O66)/E$9 * HLOOKUP(E$11,comboutfac,Query!$O66) /E$8))</f>
        <v>2.775104578384386</v>
      </c>
      <c r="F31" s="120">
        <f ca="1">IF($J$7=1,HLOOKUP(F$11,index1970,Query!$O66)/F$9,IF($J$7=2,HLOOKUP(F$11,index1970,Query!$O66)/F$9 * HLOOKUP(F$11,comboutfac,Query!$O66),HLOOKUP(F$11,index1970,Query!$O66)/F$9 * HLOOKUP(F$11,comboutfac,Query!$O66) /F$8))</f>
        <v>3.2946375287868199</v>
      </c>
      <c r="G31" s="120">
        <f ca="1">IF($J$7=1,HLOOKUP(G$11,index1970,Query!$O66)/G$9,IF($J$7=2,HLOOKUP(G$11,index1970,Query!$O66)/G$9 * HLOOKUP(G$11,comboutfac,Query!$O66),HLOOKUP(G$11,index1970,Query!$O66)/G$9 * HLOOKUP(G$11,comboutfac,Query!$O66) /G$8))</f>
        <v>3.3707204893616352</v>
      </c>
      <c r="H31" s="120">
        <f ca="1">IF($J$7=1,HLOOKUP(H$11,index1970,Query!$O66)/H$9,IF($J$7=2,HLOOKUP(H$11,index1970,Query!$O66)/H$9 * HLOOKUP(H$11,comboutfac,Query!$O66),HLOOKUP(H$11,index1970,Query!$O66)/H$9 * HLOOKUP(H$11,comboutfac,Query!$O66) /H$8))</f>
        <v>3.2129662034475408</v>
      </c>
      <c r="I31" s="120">
        <f ca="1">IF($J$7=1,HLOOKUP(I$11,index1970,Query!$O66)/I$9,IF($J$7=2,HLOOKUP(I$11,index1970,Query!$O66)/I$9 * HLOOKUP(I$11,comboutfac,Query!$O66),HLOOKUP(I$11,index1970,Query!$O66)/I$9 * HLOOKUP(I$11,comboutfac,Query!$O66) /I$8))</f>
        <v>3.1519144593498223</v>
      </c>
      <c r="J31" s="120">
        <f ca="1">IF($J$7=1,HLOOKUP(J$11,index1970,Query!$O66)/J$9,IF($J$7=2,HLOOKUP(J$11,index1970,Query!$O66)/J$9 * HLOOKUP(J$11,comboutfac,Query!$O66),HLOOKUP(J$11,index1970,Query!$O66)/J$9 * HLOOKUP(J$11,comboutfac,Query!$O66) /J$8))</f>
        <v>2.7326399510553672</v>
      </c>
      <c r="K31" s="120">
        <f ca="1">IF($J$7=1,HLOOKUP(K$11,index1970,Query!$O66)/K$9,IF($J$7=2,HLOOKUP(K$11,index1970,Query!$O66)/K$9 * HLOOKUP(K$11,comboutfac,Query!$O66),HLOOKUP(K$11,index1970,Query!$O66)/K$9 * HLOOKUP(K$11,comboutfac,Query!$O66) /K$8))</f>
        <v>3.3745938119832202</v>
      </c>
      <c r="L31" s="120">
        <f ca="1">IF($J$7=1,HLOOKUP(L$11,index1970,Query!$O66)/L$9,IF($J$7=2,HLOOKUP(L$11,index1970,Query!$O66)/L$9 * HLOOKUP(L$11,comboutfac,Query!$O66),HLOOKUP(L$11,index1970,Query!$O66)/L$9 * HLOOKUP(L$11,comboutfac,Query!$O66) /L$8))</f>
        <v>3.2535590225857791</v>
      </c>
      <c r="M31" s="120">
        <f ca="1">IF($J$7=1,HLOOKUP(M$11,index1970,Query!$O66)/M$9,IF($J$7=2,HLOOKUP(M$11,index1970,Query!$O66)/M$9 * HLOOKUP(M$11,comboutfac,Query!$O66),HLOOKUP(M$11,index1970,Query!$O66)/M$9 * HLOOKUP(M$11,comboutfac,Query!$O66) /M$8))</f>
        <v>2.7732481249806993</v>
      </c>
      <c r="N31" s="120">
        <f ca="1">IF($J$7=1,HLOOKUP(N$11,index1970,Query!$O66)/N$9,IF($J$7=2,HLOOKUP(N$11,index1970,Query!$O66)/N$9 * HLOOKUP(N$11,comboutfac,Query!$O66),HLOOKUP(N$11,index1970,Query!$O66)/N$9 * HLOOKUP(N$11,comboutfac,Query!$O66) /N$8))</f>
        <v>3.2946375287868199</v>
      </c>
      <c r="O31" s="120">
        <f ca="1">IF($J$7=1,HLOOKUP(O$11,index1970,Query!$O66)/O$9,IF($J$7=2,HLOOKUP(O$11,index1970,Query!$O66)/O$9 * HLOOKUP(O$11,comboutfac,Query!$O66),HLOOKUP(O$11,index1970,Query!$O66)/O$9 * HLOOKUP(O$11,comboutfac,Query!$O66) /O$8))</f>
        <v>3.2680306424909236</v>
      </c>
      <c r="P31" s="120">
        <f ca="1">IF($J$7=1,HLOOKUP(P$11,index1970,Query!$O66)/P$9,IF($J$7=2,HLOOKUP(P$11,index1970,Query!$O66)/P$9 * HLOOKUP(P$11,comboutfac,Query!$O66),HLOOKUP(P$11,index1970,Query!$O66)/P$9 * HLOOKUP(P$11,comboutfac,Query!$O66) /P$8))</f>
        <v>3.3397369013029428</v>
      </c>
      <c r="Q31" s="120">
        <f ca="1">IF($J$7=1,HLOOKUP(Q$11,index1970,Query!$O66)/Q$9,IF($J$7=2,HLOOKUP(Q$11,index1970,Query!$O66)/Q$9 * HLOOKUP(Q$11,comboutfac,Query!$O66),HLOOKUP(Q$11,index1970,Query!$O66)/Q$9 * HLOOKUP(Q$11,comboutfac,Query!$O66) /Q$8))</f>
        <v>2.8388837139209642</v>
      </c>
      <c r="R31" s="120">
        <f ca="1">IF($J$7=1,HLOOKUP(R$11,index1970,Query!$O66)/R$9,IF($J$7=2,HLOOKUP(R$11,index1970,Query!$O66)/R$9 * HLOOKUP(R$11,comboutfac,Query!$O66),HLOOKUP(R$11,index1970,Query!$O66)/R$9 * HLOOKUP(R$11,comboutfac,Query!$O66) /R$8))</f>
        <v>3.2836948739928902</v>
      </c>
      <c r="S31" s="120">
        <f ca="1">IF($J$7=1,HLOOKUP(S$11,index1970,Query!$O66)/S$9,IF($J$7=2,HLOOKUP(S$11,index1970,Query!$O66)/S$9 * HLOOKUP(S$11,comboutfac,Query!$O66),HLOOKUP(S$11,index1970,Query!$O66)/S$9 * HLOOKUP(S$11,comboutfac,Query!$O66) /S$8))</f>
        <v>2.8478435369259936</v>
      </c>
      <c r="T31" s="120">
        <f ca="1">IF($J$7=1,HLOOKUP(T$11,index1970,Query!$O66)/T$9,IF($J$7=2,HLOOKUP(T$11,index1970,Query!$O66)/T$9 * HLOOKUP(T$11,comboutfac,Query!$O66),HLOOKUP(T$11,index1970,Query!$O66)/T$9 * HLOOKUP(T$11,comboutfac,Query!$O66) /T$8))</f>
        <v>2.7619724803619556</v>
      </c>
      <c r="U31" s="120">
        <f ca="1">IF($J$7=1,HLOOKUP(U$11,index1970,Query!$O66)/U$9,IF($J$7=2,HLOOKUP(U$11,index1970,Query!$O66)/U$9 * HLOOKUP(U$11,comboutfac,Query!$O66),HLOOKUP(U$11,index1970,Query!$O66)/U$9 * HLOOKUP(U$11,comboutfac,Query!$O66) /U$8))</f>
        <v>3.2204433724748904</v>
      </c>
      <c r="V31" s="120">
        <f ca="1">IF($J$7=1,HLOOKUP(V$11,index1970,Query!$O66)/V$9,IF($J$7=2,HLOOKUP(V$11,index1970,Query!$O66)/V$9 * HLOOKUP(V$11,comboutfac,Query!$O66),HLOOKUP(V$11,index1970,Query!$O66)/V$9 * HLOOKUP(V$11,comboutfac,Query!$O66) /V$8))</f>
        <v>3.2073459524268508</v>
      </c>
      <c r="W31" s="120">
        <f ca="1">IF($J$7=1,HLOOKUP(W$11,index1970,Query!$O66)/W$9,IF($J$7=2,HLOOKUP(W$11,index1970,Query!$O66)/W$9 * HLOOKUP(W$11,comboutfac,Query!$O66),HLOOKUP(W$11,index1970,Query!$O66)/W$9 * HLOOKUP(W$11,comboutfac,Query!$O66) /W$8))</f>
        <v>3.1173851065621832</v>
      </c>
      <c r="X31" s="120">
        <f ca="1">IF($J$7=1,HLOOKUP(X$11,index1970,Query!$O66)/X$9,IF($J$7=2,HLOOKUP(X$11,index1970,Query!$O66)/X$9 * HLOOKUP(X$11,comboutfac,Query!$O66),HLOOKUP(X$11,index1970,Query!$O66)/X$9 * HLOOKUP(X$11,comboutfac,Query!$O66) /X$8))</f>
        <v>3.2241891214484917</v>
      </c>
      <c r="Y31" s="120">
        <f ca="1">IF($J$7=1,HLOOKUP(Y$11,index1970,Query!$O66)/Y$9,IF($J$7=2,HLOOKUP(Y$11,index1970,Query!$O66)/Y$9 * HLOOKUP(Y$11,comboutfac,Query!$O66),HLOOKUP(Y$11,index1970,Query!$O66)/Y$9 * HLOOKUP(Y$11,comboutfac,Query!$O66) /Y$8))</f>
        <v>3.1879360916179054</v>
      </c>
      <c r="Z31" s="120">
        <f ca="1">IF($J$7=1,HLOOKUP(Z$11,index1970,Query!$O66)/Z$9,IF($J$7=2,HLOOKUP(Z$11,index1970,Query!$O66)/Z$9 * HLOOKUP(Z$11,comboutfac,Query!$O66),HLOOKUP(Z$11,index1970,Query!$O66)/Z$9 * HLOOKUP(Z$11,comboutfac,Query!$O66) /Z$8))</f>
        <v>3.2144902890489964</v>
      </c>
      <c r="AA31" s="120">
        <f ca="1">IF($J$7=1,HLOOKUP(AA$11,index1970,Query!$O66)/AA$9,IF($J$7=2,HLOOKUP(AA$11,index1970,Query!$O66)/AA$9 * HLOOKUP(AA$11,comboutfac,Query!$O66),HLOOKUP(AA$11,index1970,Query!$O66)/AA$9 * HLOOKUP(AA$11,comboutfac,Query!$O66) /AA$8))</f>
        <v>3.24550418639198</v>
      </c>
      <c r="AB31" s="120">
        <f ca="1">IF($J$7=1,HLOOKUP(AB$11,index1970,Query!$O66)/AB$9,IF($J$7=2,HLOOKUP(AB$11,index1970,Query!$O66)/AB$9 * HLOOKUP(AB$11,comboutfac,Query!$O66),HLOOKUP(AB$11,index1970,Query!$O66)/AB$9 * HLOOKUP(AB$11,comboutfac,Query!$O66) /AB$8))</f>
        <v>3.0214441713737079</v>
      </c>
      <c r="AC31" s="120">
        <f ca="1">IF($J$7=1,HLOOKUP(AC$11,index1970,Query!$O66)/AC$9,IF($J$7=2,HLOOKUP(AC$11,index1970,Query!$O66)/AC$9 * HLOOKUP(AC$11,comboutfac,Query!$O66),HLOOKUP(AC$11,index1970,Query!$O66)/AC$9 * HLOOKUP(AC$11,comboutfac,Query!$O66) /AC$8))</f>
        <v>3.227936811613997</v>
      </c>
      <c r="AD31" s="120">
        <f ca="1">IF($J$7=1,HLOOKUP(AD$11,index1970,Query!$O66)/AD$9,IF($J$7=2,HLOOKUP(AD$11,index1970,Query!$O66)/AD$9 * HLOOKUP(AD$11,comboutfac,Query!$O66),HLOOKUP(AD$11,index1970,Query!$O66)/AD$9 * HLOOKUP(AD$11,comboutfac,Query!$O66) /AD$8))</f>
        <v>3.2260917093230859</v>
      </c>
      <c r="AE31" s="120">
        <f ca="1">IF($J$7=1,HLOOKUP(AE$11,index1970,Query!$O66)/AE$9,IF($J$7=2,HLOOKUP(AE$11,index1970,Query!$O66)/AE$9 * HLOOKUP(AE$11,comboutfac,Query!$O66),HLOOKUP(AE$11,index1970,Query!$O66)/AE$9 * HLOOKUP(AE$11,comboutfac,Query!$O66) /AE$8))</f>
        <v>2.884166482039074</v>
      </c>
      <c r="AF31" s="120">
        <f ca="1">IF($J$7=1,HLOOKUP(AF$11,index1970,Query!$O66)/AF$9,IF($J$7=2,HLOOKUP(AF$11,index1970,Query!$O66)/AF$9 * HLOOKUP(AF$11,comboutfac,Query!$O66),HLOOKUP(AF$11,index1970,Query!$O66)/AF$9 * HLOOKUP(AF$11,comboutfac,Query!$O66) /AF$8))</f>
        <v>4.5711036869769002</v>
      </c>
      <c r="AG31" s="120">
        <f ca="1">IF($J$7=1,HLOOKUP(AG$11,index1970,Query!$O66)/AG$9,IF($J$7=2,HLOOKUP(AG$11,index1970,Query!$O66)/AG$9 * HLOOKUP(AG$11,comboutfac,Query!$O66),HLOOKUP(AG$11,index1970,Query!$O66)/AG$9 * HLOOKUP(AG$11,comboutfac,Query!$O66) /AG$8))</f>
        <v>3.3632949347505607</v>
      </c>
      <c r="AH31" s="120">
        <f ca="1">IF($J$7=1,HLOOKUP(AH$11,index1970,Query!$O66)/AH$9,IF($J$7=2,HLOOKUP(AH$11,index1970,Query!$O66)/AH$9 * HLOOKUP(AH$11,comboutfac,Query!$O66),HLOOKUP(AH$11,index1970,Query!$O66)/AH$9 * HLOOKUP(AH$11,comboutfac,Query!$O66) /AH$8))</f>
        <v>2.7732481249806993</v>
      </c>
      <c r="AI31" s="120">
        <f ca="1">IF($J$7=1,HLOOKUP(AI$11,index1970,Query!$O66)/AI$9,IF($J$7=2,HLOOKUP(AI$11,index1970,Query!$O66)/AI$9 * HLOOKUP(AI$11,comboutfac,Query!$O66),HLOOKUP(AI$11,index1970,Query!$O66)/AI$9 * HLOOKUP(AI$11,comboutfac,Query!$O66) /AI$8))</f>
        <v>2.8666828113814544</v>
      </c>
      <c r="AJ31" s="120">
        <f ca="1">IF($J$7=1,HLOOKUP(AJ$11,index1970,Query!$O66)/AJ$9,IF($J$7=2,HLOOKUP(AJ$11,index1970,Query!$O66)/AJ$9 * HLOOKUP(AJ$11,comboutfac,Query!$O66),HLOOKUP(AJ$11,index1970,Query!$O66)/AJ$9 * HLOOKUP(AJ$11,comboutfac,Query!$O66) /AJ$8))</f>
        <v>2.7732481249806993</v>
      </c>
      <c r="AK31" s="120">
        <f ca="1">IF($J$7=1,HLOOKUP(AK$11,index1970,Query!$O66)/AK$9,IF($J$7=2,HLOOKUP(AK$11,index1970,Query!$O66)/AK$9 * HLOOKUP(AK$11,comboutfac,Query!$O66),HLOOKUP(AK$11,index1970,Query!$O66)/AK$9 * HLOOKUP(AK$11,comboutfac,Query!$O66) /AK$8))</f>
        <v>2.8559171875894394</v>
      </c>
      <c r="AL31" s="120">
        <f ca="1">IF($J$7=1,HLOOKUP(AL$11,index1970,Query!$O66)/AL$9,IF($J$7=2,HLOOKUP(AL$11,index1970,Query!$O66)/AL$9 * HLOOKUP(AL$11,comboutfac,Query!$O66),HLOOKUP(AL$11,index1970,Query!$O66)/AL$9 * HLOOKUP(AL$11,comboutfac,Query!$O66) /AL$8))</f>
        <v>3.2602204819591845</v>
      </c>
      <c r="AM31" s="120">
        <f ca="1">IF($J$7=1,HLOOKUP(AM$11,index1970,Query!$O66)/AM$9,IF($J$7=2,HLOOKUP(AM$11,index1970,Query!$O66)/AM$9 * HLOOKUP(AM$11,comboutfac,Query!$O66),HLOOKUP(AM$11,index1970,Query!$O66)/AM$9 * HLOOKUP(AM$11,comboutfac,Query!$O66) /AM$8))</f>
        <v>2.8323966452759732</v>
      </c>
      <c r="AN31" s="120">
        <f ca="1">IF($J$7=1,HLOOKUP(AN$11,index1970,Query!$O66)/AN$9,IF($J$7=2,HLOOKUP(AN$11,index1970,Query!$O66)/AN$9 * HLOOKUP(AN$11,comboutfac,Query!$O66),HLOOKUP(AN$11,index1970,Query!$O66)/AN$9 * HLOOKUP(AN$11,comboutfac,Query!$O66) /AN$8))</f>
        <v>3.2957504921400189</v>
      </c>
      <c r="AO31" s="120">
        <f ca="1">IF($J$7=1,HLOOKUP(AO$11,index1970,Query!$O66)/AO$9,IF($J$7=2,HLOOKUP(AO$11,index1970,Query!$O66)/AO$9 * HLOOKUP(AO$11,comboutfac,Query!$O66),HLOOKUP(AO$11,index1970,Query!$O66)/AO$9 * HLOOKUP(AO$11,comboutfac,Query!$O66) /AO$8))</f>
        <v>2.8415428315167635</v>
      </c>
      <c r="AP31" s="120">
        <f ca="1">IF($J$7=1,HLOOKUP(AP$11,index1970,Query!$O66)/AP$9,IF($J$7=2,HLOOKUP(AP$11,index1970,Query!$O66)/AP$9 * HLOOKUP(AP$11,comboutfac,Query!$O66),HLOOKUP(AP$11,index1970,Query!$O66)/AP$9 * HLOOKUP(AP$11,comboutfac,Query!$O66) /AP$8))</f>
        <v>4.839052426479018</v>
      </c>
      <c r="AQ31" s="683">
        <f ca="1">IF($J$7=1,HLOOKUP(AQ$11,index1970,Query!$O66)/AQ$9,IF($J$7=2,HLOOKUP(AQ$11,index1970,Query!$O66)/AQ$9 * HLOOKUP(AQ$11,comboutfac,Query!$O66),HLOOKUP(AQ$11,index1970,Query!$O66)/AQ$9 * HLOOKUP(AQ$11,comboutfac,Query!$O66) /AQ$8))</f>
        <v>3.2204433724748904</v>
      </c>
      <c r="AR31" s="120">
        <f ca="1">IF($J$7=1,HLOOKUP(AR$11,index1970,Query!$O66)/AR$9,IF($J$7=2,HLOOKUP(AR$11,index1970,Query!$O66)/AR$9 * HLOOKUP(AR$11,comboutfac,Query!$O66),HLOOKUP(AR$11,index1970,Query!$O66)/AR$9 * HLOOKUP(AR$11,comboutfac,Query!$O66) /AR$8))</f>
        <v>3.3692141494757473</v>
      </c>
      <c r="AS31" s="213"/>
    </row>
    <row r="32" spans="1:45" s="122" customFormat="1">
      <c r="A32" s="121">
        <f t="shared" si="6"/>
        <v>1988</v>
      </c>
      <c r="B32" s="120">
        <f ca="1">IF($J$7=1,HLOOKUP(B$11,index1970,Query!$O67)/B$9,IF($J$7=2,HLOOKUP(B$11,index1970,Query!$O67)/B$9 * HLOOKUP(B$11,comboutfac,Query!$O67),HLOOKUP(B$11,index1970,Query!$O67)/B$9 * HLOOKUP(B$11,comboutfac,Query!$O67) /B$8))</f>
        <v>3.4935735584458421</v>
      </c>
      <c r="C32" s="120">
        <f ca="1">IF($J$7=1,HLOOKUP(C$11,index1970,Query!$O67)/C$9,IF($J$7=2,HLOOKUP(C$11,index1970,Query!$O67)/C$9 * HLOOKUP(C$11,comboutfac,Query!$O67),HLOOKUP(C$11,index1970,Query!$O67)/C$9 * HLOOKUP(C$11,comboutfac,Query!$O67) /C$8))</f>
        <v>3.4144202157755736</v>
      </c>
      <c r="D32" s="120">
        <f ca="1">IF($J$7=1,HLOOKUP(D$11,index1970,Query!$O67)/D$9,IF($J$7=2,HLOOKUP(D$11,index1970,Query!$O67)/D$9 * HLOOKUP(D$11,comboutfac,Query!$O67),HLOOKUP(D$11,index1970,Query!$O67)/D$9 * HLOOKUP(D$11,comboutfac,Query!$O67) /D$8))</f>
        <v>3.2980905109248138</v>
      </c>
      <c r="E32" s="120">
        <f ca="1">IF($J$7=1,HLOOKUP(E$11,index1970,Query!$O67)/E$9,IF($J$7=2,HLOOKUP(E$11,index1970,Query!$O67)/E$9 * HLOOKUP(E$11,comboutfac,Query!$O67),HLOOKUP(E$11,index1970,Query!$O67)/E$9 * HLOOKUP(E$11,comboutfac,Query!$O67) /E$8))</f>
        <v>2.8372669209401962</v>
      </c>
      <c r="F32" s="120">
        <f ca="1">IF($J$7=1,HLOOKUP(F$11,index1970,Query!$O67)/F$9,IF($J$7=2,HLOOKUP(F$11,index1970,Query!$O67)/F$9 * HLOOKUP(F$11,comboutfac,Query!$O67),HLOOKUP(F$11,index1970,Query!$O67)/F$9 * HLOOKUP(F$11,comboutfac,Query!$O67) /F$8))</f>
        <v>3.4144202157755736</v>
      </c>
      <c r="G32" s="120">
        <f ca="1">IF($J$7=1,HLOOKUP(G$11,index1970,Query!$O67)/G$9,IF($J$7=2,HLOOKUP(G$11,index1970,Query!$O67)/G$9 * HLOOKUP(G$11,comboutfac,Query!$O67),HLOOKUP(G$11,index1970,Query!$O67)/G$9 * HLOOKUP(G$11,comboutfac,Query!$O67) /G$8))</f>
        <v>3.5043900595814166</v>
      </c>
      <c r="H32" s="120">
        <f ca="1">IF($J$7=1,HLOOKUP(H$11,index1970,Query!$O67)/H$9,IF($J$7=2,HLOOKUP(H$11,index1970,Query!$O67)/H$9 * HLOOKUP(H$11,comboutfac,Query!$O67),HLOOKUP(H$11,index1970,Query!$O67)/H$9 * HLOOKUP(H$11,comboutfac,Query!$O67) /H$8))</f>
        <v>3.3224137532833744</v>
      </c>
      <c r="I32" s="120">
        <f ca="1">IF($J$7=1,HLOOKUP(I$11,index1970,Query!$O67)/I$9,IF($J$7=2,HLOOKUP(I$11,index1970,Query!$O67)/I$9 * HLOOKUP(I$11,comboutfac,Query!$O67),HLOOKUP(I$11,index1970,Query!$O67)/I$9 * HLOOKUP(I$11,comboutfac,Query!$O67) /I$8))</f>
        <v>3.2541430978043251</v>
      </c>
      <c r="J32" s="120">
        <f ca="1">IF($J$7=1,HLOOKUP(J$11,index1970,Query!$O67)/J$9,IF($J$7=2,HLOOKUP(J$11,index1970,Query!$O67)/J$9 * HLOOKUP(J$11,comboutfac,Query!$O67),HLOOKUP(J$11,index1970,Query!$O67)/J$9 * HLOOKUP(J$11,comboutfac,Query!$O67) /J$8))</f>
        <v>2.290608748852859</v>
      </c>
      <c r="K32" s="120">
        <f ca="1">IF($J$7=1,HLOOKUP(K$11,index1970,Query!$O67)/K$9,IF($J$7=2,HLOOKUP(K$11,index1970,Query!$O67)/K$9 * HLOOKUP(K$11,comboutfac,Query!$O67),HLOOKUP(K$11,index1970,Query!$O67)/K$9 * HLOOKUP(K$11,comboutfac,Query!$O67) /K$8))</f>
        <v>3.4501847133716441</v>
      </c>
      <c r="L32" s="120">
        <f ca="1">IF($J$7=1,HLOOKUP(L$11,index1970,Query!$O67)/L$9,IF($J$7=2,HLOOKUP(L$11,index1970,Query!$O67)/L$9 * HLOOKUP(L$11,comboutfac,Query!$O67),HLOOKUP(L$11,index1970,Query!$O67)/L$9 * HLOOKUP(L$11,comboutfac,Query!$O67) /L$8))</f>
        <v>3.3654805342281811</v>
      </c>
      <c r="M32" s="120">
        <f ca="1">IF($J$7=1,HLOOKUP(M$11,index1970,Query!$O67)/M$9,IF($J$7=2,HLOOKUP(M$11,index1970,Query!$O67)/M$9 * HLOOKUP(M$11,comboutfac,Query!$O67),HLOOKUP(M$11,index1970,Query!$O67)/M$9 * HLOOKUP(M$11,comboutfac,Query!$O67) /M$8))</f>
        <v>2.8564455687301202</v>
      </c>
      <c r="N32" s="120">
        <f ca="1">IF($J$7=1,HLOOKUP(N$11,index1970,Query!$O67)/N$9,IF($J$7=2,HLOOKUP(N$11,index1970,Query!$O67)/N$9 * HLOOKUP(N$11,comboutfac,Query!$O67),HLOOKUP(N$11,index1970,Query!$O67)/N$9 * HLOOKUP(N$11,comboutfac,Query!$O67) /N$8))</f>
        <v>3.4144202157755736</v>
      </c>
      <c r="O32" s="120">
        <f ca="1">IF($J$7=1,HLOOKUP(O$11,index1970,Query!$O67)/O$9,IF($J$7=2,HLOOKUP(O$11,index1970,Query!$O67)/O$9 * HLOOKUP(O$11,comboutfac,Query!$O67),HLOOKUP(O$11,index1970,Query!$O67)/O$9 * HLOOKUP(O$11,comboutfac,Query!$O67) /O$8))</f>
        <v>3.3963965899615594</v>
      </c>
      <c r="P32" s="120">
        <f ca="1">IF($J$7=1,HLOOKUP(P$11,index1970,Query!$O67)/P$9,IF($J$7=2,HLOOKUP(P$11,index1970,Query!$O67)/P$9 * HLOOKUP(P$11,comboutfac,Query!$O67),HLOOKUP(P$11,index1970,Query!$O67)/P$9 * HLOOKUP(P$11,comboutfac,Query!$O67) /P$8))</f>
        <v>3.416494600166637</v>
      </c>
      <c r="Q32" s="120">
        <f ca="1">IF($J$7=1,HLOOKUP(Q$11,index1970,Query!$O67)/Q$9,IF($J$7=2,HLOOKUP(Q$11,index1970,Query!$O67)/Q$9 * HLOOKUP(Q$11,comboutfac,Query!$O67),HLOOKUP(Q$11,index1970,Query!$O67)/Q$9 * HLOOKUP(Q$11,comboutfac,Query!$O67) /Q$8))</f>
        <v>2.9363372061969364</v>
      </c>
      <c r="R32" s="120">
        <f ca="1">IF($J$7=1,HLOOKUP(R$11,index1970,Query!$O67)/R$9,IF($J$7=2,HLOOKUP(R$11,index1970,Query!$O67)/R$9 * HLOOKUP(R$11,comboutfac,Query!$O67),HLOOKUP(R$11,index1970,Query!$O67)/R$9 * HLOOKUP(R$11,comboutfac,Query!$O67) /R$8))</f>
        <v>3.3562204327823748</v>
      </c>
      <c r="S32" s="120">
        <f ca="1">IF($J$7=1,HLOOKUP(S$11,index1970,Query!$O67)/S$9,IF($J$7=2,HLOOKUP(S$11,index1970,Query!$O67)/S$9 * HLOOKUP(S$11,comboutfac,Query!$O67),HLOOKUP(S$11,index1970,Query!$O67)/S$9 * HLOOKUP(S$11,comboutfac,Query!$O67) /S$8))</f>
        <v>2.9335465029114229</v>
      </c>
      <c r="T32" s="120">
        <f ca="1">IF($J$7=1,HLOOKUP(T$11,index1970,Query!$O67)/T$9,IF($J$7=2,HLOOKUP(T$11,index1970,Query!$O67)/T$9 * HLOOKUP(T$11,comboutfac,Query!$O67),HLOOKUP(T$11,index1970,Query!$O67)/T$9 * HLOOKUP(T$11,comboutfac,Query!$O67) /T$8))</f>
        <v>2.8448316547728143</v>
      </c>
      <c r="U32" s="120">
        <f ca="1">IF($J$7=1,HLOOKUP(U$11,index1970,Query!$O67)/U$9,IF($J$7=2,HLOOKUP(U$11,index1970,Query!$O67)/U$9 * HLOOKUP(U$11,comboutfac,Query!$O67),HLOOKUP(U$11,index1970,Query!$O67)/U$9 * HLOOKUP(U$11,comboutfac,Query!$O67) /U$8))</f>
        <v>3.3154732117828201</v>
      </c>
      <c r="V32" s="120">
        <f ca="1">IF($J$7=1,HLOOKUP(V$11,index1970,Query!$O67)/V$9,IF($J$7=2,HLOOKUP(V$11,index1970,Query!$O67)/V$9 * HLOOKUP(V$11,comboutfac,Query!$O67),HLOOKUP(V$11,index1970,Query!$O67)/V$9 * HLOOKUP(V$11,comboutfac,Query!$O67) /V$8))</f>
        <v>3.3035663309996566</v>
      </c>
      <c r="W32" s="120">
        <f ca="1">IF($J$7=1,HLOOKUP(W$11,index1970,Query!$O67)/W$9,IF($J$7=2,HLOOKUP(W$11,index1970,Query!$O67)/W$9 * HLOOKUP(W$11,comboutfac,Query!$O67),HLOOKUP(W$11,index1970,Query!$O67)/W$9 * HLOOKUP(W$11,comboutfac,Query!$O67) /W$8))</f>
        <v>3.2065860873066563</v>
      </c>
      <c r="X32" s="120">
        <f ca="1">IF($J$7=1,HLOOKUP(X$11,index1970,Query!$O67)/X$9,IF($J$7=2,HLOOKUP(X$11,index1970,Query!$O67)/X$9 * HLOOKUP(X$11,comboutfac,Query!$O67),HLOOKUP(X$11,index1970,Query!$O67)/X$9 * HLOOKUP(X$11,comboutfac,Query!$O67) /X$8))</f>
        <v>3.338453422417869</v>
      </c>
      <c r="Y32" s="120">
        <f ca="1">IF($J$7=1,HLOOKUP(Y$11,index1970,Query!$O67)/Y$9,IF($J$7=2,HLOOKUP(Y$11,index1970,Query!$O67)/Y$9 * HLOOKUP(Y$11,comboutfac,Query!$O67),HLOOKUP(Y$11,index1970,Query!$O67)/Y$9 * HLOOKUP(Y$11,comboutfac,Query!$O67) /Y$8))</f>
        <v>3.2857762037459217</v>
      </c>
      <c r="Z32" s="120">
        <f ca="1">IF($J$7=1,HLOOKUP(Z$11,index1970,Query!$O67)/Z$9,IF($J$7=2,HLOOKUP(Z$11,index1970,Query!$O67)/Z$9 * HLOOKUP(Z$11,comboutfac,Query!$O67),HLOOKUP(Z$11,index1970,Query!$O67)/Z$9 * HLOOKUP(Z$11,comboutfac,Query!$O67) /Z$8))</f>
        <v>3.2784094914217214</v>
      </c>
      <c r="AA32" s="120">
        <f ca="1">IF($J$7=1,HLOOKUP(AA$11,index1970,Query!$O67)/AA$9,IF($J$7=2,HLOOKUP(AA$11,index1970,Query!$O67)/AA$9 * HLOOKUP(AA$11,comboutfac,Query!$O67),HLOOKUP(AA$11,index1970,Query!$O67)/AA$9 * HLOOKUP(AA$11,comboutfac,Query!$O67) /AA$8))</f>
        <v>3.3441422259611109</v>
      </c>
      <c r="AB32" s="120">
        <f ca="1">IF($J$7=1,HLOOKUP(AB$11,index1970,Query!$O67)/AB$9,IF($J$7=2,HLOOKUP(AB$11,index1970,Query!$O67)/AB$9 * HLOOKUP(AB$11,comboutfac,Query!$O67),HLOOKUP(AB$11,index1970,Query!$O67)/AB$9 * HLOOKUP(AB$11,comboutfac,Query!$O67) /AB$8))</f>
        <v>3.107745284250532</v>
      </c>
      <c r="AC32" s="120">
        <f ca="1">IF($J$7=1,HLOOKUP(AC$11,index1970,Query!$O67)/AC$9,IF($J$7=2,HLOOKUP(AC$11,index1970,Query!$O67)/AC$9 * HLOOKUP(AC$11,comboutfac,Query!$O67),HLOOKUP(AC$11,index1970,Query!$O67)/AC$9 * HLOOKUP(AC$11,comboutfac,Query!$O67) /AC$8))</f>
        <v>3.2566400285384853</v>
      </c>
      <c r="AD32" s="120">
        <f ca="1">IF($J$7=1,HLOOKUP(AD$11,index1970,Query!$O67)/AD$9,IF($J$7=2,HLOOKUP(AD$11,index1970,Query!$O67)/AD$9 * HLOOKUP(AD$11,comboutfac,Query!$O67),HLOOKUP(AD$11,index1970,Query!$O67)/AD$9 * HLOOKUP(AD$11,comboutfac,Query!$O67) /AD$8))</f>
        <v>3.3404703355984804</v>
      </c>
      <c r="AE32" s="120">
        <f ca="1">IF($J$7=1,HLOOKUP(AE$11,index1970,Query!$O67)/AE$9,IF($J$7=2,HLOOKUP(AE$11,index1970,Query!$O67)/AE$9 * HLOOKUP(AE$11,comboutfac,Query!$O67),HLOOKUP(AE$11,index1970,Query!$O67)/AE$9 * HLOOKUP(AE$11,comboutfac,Query!$O67) /AE$8))</f>
        <v>3.0172868797950643</v>
      </c>
      <c r="AF32" s="120">
        <f ca="1">IF($J$7=1,HLOOKUP(AF$11,index1970,Query!$O67)/AF$9,IF($J$7=2,HLOOKUP(AF$11,index1970,Query!$O67)/AF$9 * HLOOKUP(AF$11,comboutfac,Query!$O67),HLOOKUP(AF$11,index1970,Query!$O67)/AF$9 * HLOOKUP(AF$11,comboutfac,Query!$O67) /AF$8))</f>
        <v>4.7350105562410709</v>
      </c>
      <c r="AG32" s="120">
        <f ca="1">IF($J$7=1,HLOOKUP(AG$11,index1970,Query!$O67)/AG$9,IF($J$7=2,HLOOKUP(AG$11,index1970,Query!$O67)/AG$9 * HLOOKUP(AG$11,comboutfac,Query!$O67),HLOOKUP(AG$11,index1970,Query!$O67)/AG$9 * HLOOKUP(AG$11,comboutfac,Query!$O67) /AG$8))</f>
        <v>3.4912131517114071</v>
      </c>
      <c r="AH32" s="120">
        <f ca="1">IF($J$7=1,HLOOKUP(AH$11,index1970,Query!$O67)/AH$9,IF($J$7=2,HLOOKUP(AH$11,index1970,Query!$O67)/AH$9 * HLOOKUP(AH$11,comboutfac,Query!$O67),HLOOKUP(AH$11,index1970,Query!$O67)/AH$9 * HLOOKUP(AH$11,comboutfac,Query!$O67) /AH$8))</f>
        <v>2.8564455687301202</v>
      </c>
      <c r="AI32" s="120">
        <f ca="1">IF($J$7=1,HLOOKUP(AI$11,index1970,Query!$O67)/AI$9,IF($J$7=2,HLOOKUP(AI$11,index1970,Query!$O67)/AI$9 * HLOOKUP(AI$11,comboutfac,Query!$O67),HLOOKUP(AI$11,index1970,Query!$O67)/AI$9 * HLOOKUP(AI$11,comboutfac,Query!$O67) /AI$8))</f>
        <v>2.9622932915043516</v>
      </c>
      <c r="AJ32" s="120">
        <f ca="1">IF($J$7=1,HLOOKUP(AJ$11,index1970,Query!$O67)/AJ$9,IF($J$7=2,HLOOKUP(AJ$11,index1970,Query!$O67)/AJ$9 * HLOOKUP(AJ$11,comboutfac,Query!$O67),HLOOKUP(AJ$11,index1970,Query!$O67)/AJ$9 * HLOOKUP(AJ$11,comboutfac,Query!$O67) /AJ$8))</f>
        <v>2.8564455687301202</v>
      </c>
      <c r="AK32" s="120">
        <f ca="1">IF($J$7=1,HLOOKUP(AK$11,index1970,Query!$O67)/AK$9,IF($J$7=2,HLOOKUP(AK$11,index1970,Query!$O67)/AK$9 * HLOOKUP(AK$11,comboutfac,Query!$O67),HLOOKUP(AK$11,index1970,Query!$O67)/AK$9 * HLOOKUP(AK$11,comboutfac,Query!$O67) /AK$8))</f>
        <v>2.9514705078532582</v>
      </c>
      <c r="AL32" s="120">
        <f ca="1">IF($J$7=1,HLOOKUP(AL$11,index1970,Query!$O67)/AL$9,IF($J$7=2,HLOOKUP(AL$11,index1970,Query!$O67)/AL$9 * HLOOKUP(AL$11,comboutfac,Query!$O67),HLOOKUP(AL$11,index1970,Query!$O67)/AL$9 * HLOOKUP(AL$11,comboutfac,Query!$O67) /AL$8))</f>
        <v>3.3361377991921448</v>
      </c>
      <c r="AM32" s="120">
        <f ca="1">IF($J$7=1,HLOOKUP(AM$11,index1970,Query!$O67)/AM$9,IF($J$7=2,HLOOKUP(AM$11,index1970,Query!$O67)/AM$9 * HLOOKUP(AM$11,comboutfac,Query!$O67),HLOOKUP(AM$11,index1970,Query!$O67)/AM$9 * HLOOKUP(AM$11,comboutfac,Query!$O67) /AM$8))</f>
        <v>2.9258819515398526</v>
      </c>
      <c r="AN32" s="120">
        <f ca="1">IF($J$7=1,HLOOKUP(AN$11,index1970,Query!$O67)/AN$9,IF($J$7=2,HLOOKUP(AN$11,index1970,Query!$O67)/AN$9 * HLOOKUP(AN$11,comboutfac,Query!$O67),HLOOKUP(AN$11,index1970,Query!$O67)/AN$9 * HLOOKUP(AN$11,comboutfac,Query!$O67) /AN$8))</f>
        <v>3.3705858065937591</v>
      </c>
      <c r="AO32" s="120">
        <f ca="1">IF($J$7=1,HLOOKUP(AO$11,index1970,Query!$O67)/AO$9,IF($J$7=2,HLOOKUP(AO$11,index1970,Query!$O67)/AO$9 * HLOOKUP(AO$11,comboutfac,Query!$O67),HLOOKUP(AO$11,index1970,Query!$O67)/AO$9 * HLOOKUP(AO$11,comboutfac,Query!$O67) /AO$8))</f>
        <v>2.9354752689585886</v>
      </c>
      <c r="AP32" s="120">
        <f ca="1">IF($J$7=1,HLOOKUP(AP$11,index1970,Query!$O67)/AP$9,IF($J$7=2,HLOOKUP(AP$11,index1970,Query!$O67)/AP$9 * HLOOKUP(AP$11,comboutfac,Query!$O67),HLOOKUP(AP$11,index1970,Query!$O67)/AP$9 * HLOOKUP(AP$11,comboutfac,Query!$O67) /AP$8))</f>
        <v>5.0459195281497022</v>
      </c>
      <c r="AQ32" s="683">
        <f ca="1">IF($J$7=1,HLOOKUP(AQ$11,index1970,Query!$O67)/AQ$9,IF($J$7=2,HLOOKUP(AQ$11,index1970,Query!$O67)/AQ$9 * HLOOKUP(AQ$11,comboutfac,Query!$O67),HLOOKUP(AQ$11,index1970,Query!$O67)/AQ$9 * HLOOKUP(AQ$11,comboutfac,Query!$O67) /AQ$8))</f>
        <v>3.3154732117828201</v>
      </c>
      <c r="AR32" s="120">
        <f ca="1">IF($J$7=1,HLOOKUP(AR$11,index1970,Query!$O67)/AR$9,IF($J$7=2,HLOOKUP(AR$11,index1970,Query!$O67)/AR$9 * HLOOKUP(AR$11,comboutfac,Query!$O67),HLOOKUP(AR$11,index1970,Query!$O67)/AR$9 * HLOOKUP(AR$11,comboutfac,Query!$O67) /AR$8))</f>
        <v>3.5013900474153266</v>
      </c>
      <c r="AS32" s="213"/>
    </row>
    <row r="33" spans="1:45" s="122" customFormat="1">
      <c r="A33" s="121">
        <f t="shared" si="6"/>
        <v>1989</v>
      </c>
      <c r="B33" s="120">
        <f ca="1">IF($J$7=1,HLOOKUP(B$11,index1970,Query!$O68)/B$9,IF($J$7=2,HLOOKUP(B$11,index1970,Query!$O68)/B$9 * HLOOKUP(B$11,comboutfac,Query!$O68),HLOOKUP(B$11,index1970,Query!$O68)/B$9 * HLOOKUP(B$11,comboutfac,Query!$O68) /B$8))</f>
        <v>3.6334099977056198</v>
      </c>
      <c r="C33" s="120">
        <f ca="1">IF($J$7=1,HLOOKUP(C$11,index1970,Query!$O68)/C$9,IF($J$7=2,HLOOKUP(C$11,index1970,Query!$O68)/C$9 * HLOOKUP(C$11,comboutfac,Query!$O68),HLOOKUP(C$11,index1970,Query!$O68)/C$9 * HLOOKUP(C$11,comboutfac,Query!$O68) /C$8))</f>
        <v>3.5511265180241502</v>
      </c>
      <c r="D33" s="120">
        <f ca="1">IF($J$7=1,HLOOKUP(D$11,index1970,Query!$O68)/D$9,IF($J$7=2,HLOOKUP(D$11,index1970,Query!$O68)/D$9 * HLOOKUP(D$11,comboutfac,Query!$O68),HLOOKUP(D$11,index1970,Query!$O68)/D$9 * HLOOKUP(D$11,comboutfac,Query!$O68) /D$8))</f>
        <v>3.4366103123836558</v>
      </c>
      <c r="E33" s="120">
        <f ca="1">IF($J$7=1,HLOOKUP(E$11,index1970,Query!$O68)/E$9,IF($J$7=2,HLOOKUP(E$11,index1970,Query!$O68)/E$9 * HLOOKUP(E$11,comboutfac,Query!$O68),HLOOKUP(E$11,index1970,Query!$O68)/E$9 * HLOOKUP(E$11,comboutfac,Query!$O68) /E$8))</f>
        <v>2.9388410767098554</v>
      </c>
      <c r="F33" s="120">
        <f ca="1">IF($J$7=1,HLOOKUP(F$11,index1970,Query!$O68)/F$9,IF($J$7=2,HLOOKUP(F$11,index1970,Query!$O68)/F$9 * HLOOKUP(F$11,comboutfac,Query!$O68),HLOOKUP(F$11,index1970,Query!$O68)/F$9 * HLOOKUP(F$11,comboutfac,Query!$O68) /F$8))</f>
        <v>3.5511265180241502</v>
      </c>
      <c r="G33" s="120">
        <f ca="1">IF($J$7=1,HLOOKUP(G$11,index1970,Query!$O68)/G$9,IF($J$7=2,HLOOKUP(G$11,index1970,Query!$O68)/G$9 * HLOOKUP(G$11,comboutfac,Query!$O68),HLOOKUP(G$11,index1970,Query!$O68)/G$9 * HLOOKUP(G$11,comboutfac,Query!$O68) /G$8))</f>
        <v>3.64052180226457</v>
      </c>
      <c r="H33" s="120">
        <f ca="1">IF($J$7=1,HLOOKUP(H$11,index1970,Query!$O68)/H$9,IF($J$7=2,HLOOKUP(H$11,index1970,Query!$O68)/H$9 * HLOOKUP(H$11,comboutfac,Query!$O68),HLOOKUP(H$11,index1970,Query!$O68)/H$9 * HLOOKUP(H$11,comboutfac,Query!$O68) /H$8))</f>
        <v>3.4601387475326306</v>
      </c>
      <c r="I33" s="120">
        <f ca="1">IF($J$7=1,HLOOKUP(I$11,index1970,Query!$O68)/I$9,IF($J$7=2,HLOOKUP(I$11,index1970,Query!$O68)/I$9 * HLOOKUP(I$11,comboutfac,Query!$O68),HLOOKUP(I$11,index1970,Query!$O68)/I$9 * HLOOKUP(I$11,comboutfac,Query!$O68) /I$8))</f>
        <v>3.386460286698628</v>
      </c>
      <c r="J33" s="120">
        <f ca="1">IF($J$7=1,HLOOKUP(J$11,index1970,Query!$O68)/J$9,IF($J$7=2,HLOOKUP(J$11,index1970,Query!$O68)/J$9 * HLOOKUP(J$11,comboutfac,Query!$O68),HLOOKUP(J$11,index1970,Query!$O68)/J$9 * HLOOKUP(J$11,comboutfac,Query!$O68) /J$8))</f>
        <v>2.2924441725298248</v>
      </c>
      <c r="K33" s="120">
        <f ca="1">IF($J$7=1,HLOOKUP(K$11,index1970,Query!$O68)/K$9,IF($J$7=2,HLOOKUP(K$11,index1970,Query!$O68)/K$9 * HLOOKUP(K$11,comboutfac,Query!$O68),HLOOKUP(K$11,index1970,Query!$O68)/K$9 * HLOOKUP(K$11,comboutfac,Query!$O68) /K$8))</f>
        <v>3.5737013261103492</v>
      </c>
      <c r="L33" s="120">
        <f ca="1">IF($J$7=1,HLOOKUP(L$11,index1970,Query!$O68)/L$9,IF($J$7=2,HLOOKUP(L$11,index1970,Query!$O68)/L$9 * HLOOKUP(L$11,comboutfac,Query!$O68),HLOOKUP(L$11,index1970,Query!$O68)/L$9 * HLOOKUP(L$11,comboutfac,Query!$O68) /L$8))</f>
        <v>3.4999560872355766</v>
      </c>
      <c r="M33" s="120">
        <f ca="1">IF($J$7=1,HLOOKUP(M$11,index1970,Query!$O68)/M$9,IF($J$7=2,HLOOKUP(M$11,index1970,Query!$O68)/M$9 * HLOOKUP(M$11,comboutfac,Query!$O68),HLOOKUP(M$11,index1970,Query!$O68)/M$9 * HLOOKUP(M$11,comboutfac,Query!$O68) /M$8))</f>
        <v>2.9764162826167855</v>
      </c>
      <c r="N33" s="120">
        <f ca="1">IF($J$7=1,HLOOKUP(N$11,index1970,Query!$O68)/N$9,IF($J$7=2,HLOOKUP(N$11,index1970,Query!$O68)/N$9 * HLOOKUP(N$11,comboutfac,Query!$O68),HLOOKUP(N$11,index1970,Query!$O68)/N$9 * HLOOKUP(N$11,comboutfac,Query!$O68) /N$8))</f>
        <v>3.5511265180241502</v>
      </c>
      <c r="O33" s="120">
        <f ca="1">IF($J$7=1,HLOOKUP(O$11,index1970,Query!$O68)/O$9,IF($J$7=2,HLOOKUP(O$11,index1970,Query!$O68)/O$9 * HLOOKUP(O$11,comboutfac,Query!$O68),HLOOKUP(O$11,index1970,Query!$O68)/O$9 * HLOOKUP(O$11,comboutfac,Query!$O68) /O$8))</f>
        <v>3.5295832058926462</v>
      </c>
      <c r="P33" s="120">
        <f ca="1">IF($J$7=1,HLOOKUP(P$11,index1970,Query!$O68)/P$9,IF($J$7=2,HLOOKUP(P$11,index1970,Query!$O68)/P$9 * HLOOKUP(P$11,comboutfac,Query!$O68),HLOOKUP(P$11,index1970,Query!$O68)/P$9 * HLOOKUP(P$11,comboutfac,Query!$O68) /P$8))</f>
        <v>3.5411244047228667</v>
      </c>
      <c r="Q33" s="120">
        <f ca="1">IF($J$7=1,HLOOKUP(Q$11,index1970,Query!$O68)/Q$9,IF($J$7=2,HLOOKUP(Q$11,index1970,Query!$O68)/Q$9 * HLOOKUP(Q$11,comboutfac,Query!$O68),HLOOKUP(Q$11,index1970,Query!$O68)/Q$9 * HLOOKUP(Q$11,comboutfac,Query!$O68) /Q$8))</f>
        <v>3.0610077277307508</v>
      </c>
      <c r="R33" s="120">
        <f ca="1">IF($J$7=1,HLOOKUP(R$11,index1970,Query!$O68)/R$9,IF($J$7=2,HLOOKUP(R$11,index1970,Query!$O68)/R$9 * HLOOKUP(R$11,comboutfac,Query!$O68),HLOOKUP(R$11,index1970,Query!$O68)/R$9 * HLOOKUP(R$11,comboutfac,Query!$O68) /R$8))</f>
        <v>3.4767354679397107</v>
      </c>
      <c r="S33" s="120">
        <f ca="1">IF($J$7=1,HLOOKUP(S$11,index1970,Query!$O68)/S$9,IF($J$7=2,HLOOKUP(S$11,index1970,Query!$O68)/S$9 * HLOOKUP(S$11,comboutfac,Query!$O68),HLOOKUP(S$11,index1970,Query!$O68)/S$9 * HLOOKUP(S$11,comboutfac,Query!$O68) /S$8))</f>
        <v>3.0451911393889985</v>
      </c>
      <c r="T33" s="120">
        <f ca="1">IF($J$7=1,HLOOKUP(T$11,index1970,Query!$O68)/T$9,IF($J$7=2,HLOOKUP(T$11,index1970,Query!$O68)/T$9 * HLOOKUP(T$11,comboutfac,Query!$O68),HLOOKUP(T$11,index1970,Query!$O68)/T$9 * HLOOKUP(T$11,comboutfac,Query!$O68) /T$8))</f>
        <v>2.9643145842732723</v>
      </c>
      <c r="U33" s="120">
        <f ca="1">IF($J$7=1,HLOOKUP(U$11,index1970,Query!$O68)/U$9,IF($J$7=2,HLOOKUP(U$11,index1970,Query!$O68)/U$9 * HLOOKUP(U$11,comboutfac,Query!$O68),HLOOKUP(U$11,index1970,Query!$O68)/U$9 * HLOOKUP(U$11,comboutfac,Query!$O68) /U$8))</f>
        <v>3.4160138882473787</v>
      </c>
      <c r="V33" s="120">
        <f ca="1">IF($J$7=1,HLOOKUP(V$11,index1970,Query!$O68)/V$9,IF($J$7=2,HLOOKUP(V$11,index1970,Query!$O68)/V$9 * HLOOKUP(V$11,comboutfac,Query!$O68),HLOOKUP(V$11,index1970,Query!$O68)/V$9 * HLOOKUP(V$11,comboutfac,Query!$O68) /V$8))</f>
        <v>3.4423161169016421</v>
      </c>
      <c r="W33" s="120">
        <f ca="1">IF($J$7=1,HLOOKUP(W$11,index1970,Query!$O68)/W$9,IF($J$7=2,HLOOKUP(W$11,index1970,Query!$O68)/W$9 * HLOOKUP(W$11,comboutfac,Query!$O68),HLOOKUP(W$11,index1970,Query!$O68)/W$9 * HLOOKUP(W$11,comboutfac,Query!$O68) /W$8))</f>
        <v>3.3316679797462019</v>
      </c>
      <c r="X33" s="120">
        <f ca="1">IF($J$7=1,HLOOKUP(X$11,index1970,Query!$O68)/X$9,IF($J$7=2,HLOOKUP(X$11,index1970,Query!$O68)/X$9 * HLOOKUP(X$11,comboutfac,Query!$O68),HLOOKUP(X$11,index1970,Query!$O68)/X$9 * HLOOKUP(X$11,comboutfac,Query!$O68) /X$8))</f>
        <v>3.4760947629569885</v>
      </c>
      <c r="Y33" s="120">
        <f ca="1">IF($J$7=1,HLOOKUP(Y$11,index1970,Query!$O68)/Y$9,IF($J$7=2,HLOOKUP(Y$11,index1970,Query!$O68)/Y$9 * HLOOKUP(Y$11,comboutfac,Query!$O68),HLOOKUP(Y$11,index1970,Query!$O68)/Y$9 * HLOOKUP(Y$11,comboutfac,Query!$O68) /Y$8))</f>
        <v>3.4186565356541547</v>
      </c>
      <c r="Z33" s="120">
        <f ca="1">IF($J$7=1,HLOOKUP(Z$11,index1970,Query!$O68)/Z$9,IF($J$7=2,HLOOKUP(Z$11,index1970,Query!$O68)/Z$9 * HLOOKUP(Z$11,comboutfac,Query!$O68),HLOOKUP(Z$11,index1970,Query!$O68)/Z$9 * HLOOKUP(Z$11,comboutfac,Query!$O68) /Z$8))</f>
        <v>3.4037964855431251</v>
      </c>
      <c r="AA33" s="120">
        <f ca="1">IF($J$7=1,HLOOKUP(AA$11,index1970,Query!$O68)/AA$9,IF($J$7=2,HLOOKUP(AA$11,index1970,Query!$O68)/AA$9 * HLOOKUP(AA$11,comboutfac,Query!$O68),HLOOKUP(AA$11,index1970,Query!$O68)/AA$9 * HLOOKUP(AA$11,comboutfac,Query!$O68) /AA$8))</f>
        <v>3.491814463863788</v>
      </c>
      <c r="AB33" s="120">
        <f ca="1">IF($J$7=1,HLOOKUP(AB$11,index1970,Query!$O68)/AB$9,IF($J$7=2,HLOOKUP(AB$11,index1970,Query!$O68)/AB$9 * HLOOKUP(AB$11,comboutfac,Query!$O68),HLOOKUP(AB$11,index1970,Query!$O68)/AB$9 * HLOOKUP(AB$11,comboutfac,Query!$O68) /AB$8))</f>
        <v>3.2322554344431862</v>
      </c>
      <c r="AC33" s="120">
        <f ca="1">IF($J$7=1,HLOOKUP(AC$11,index1970,Query!$O68)/AC$9,IF($J$7=2,HLOOKUP(AC$11,index1970,Query!$O68)/AC$9 * HLOOKUP(AC$11,comboutfac,Query!$O68),HLOOKUP(AC$11,index1970,Query!$O68)/AC$9 * HLOOKUP(AC$11,comboutfac,Query!$O68) /AC$8))</f>
        <v>3.3725960918744602</v>
      </c>
      <c r="AD33" s="120">
        <f ca="1">IF($J$7=1,HLOOKUP(AD$11,index1970,Query!$O68)/AD$9,IF($J$7=2,HLOOKUP(AD$11,index1970,Query!$O68)/AD$9 * HLOOKUP(AD$11,comboutfac,Query!$O68),HLOOKUP(AD$11,index1970,Query!$O68)/AD$9 * HLOOKUP(AD$11,comboutfac,Query!$O68) /AD$8))</f>
        <v>3.4782902935992728</v>
      </c>
      <c r="AE33" s="120">
        <f ca="1">IF($J$7=1,HLOOKUP(AE$11,index1970,Query!$O68)/AE$9,IF($J$7=2,HLOOKUP(AE$11,index1970,Query!$O68)/AE$9 * HLOOKUP(AE$11,comboutfac,Query!$O68),HLOOKUP(AE$11,index1970,Query!$O68)/AE$9 * HLOOKUP(AE$11,comboutfac,Query!$O68) /AE$8))</f>
        <v>3.1321333466251797</v>
      </c>
      <c r="AF33" s="120">
        <f ca="1">IF($J$7=1,HLOOKUP(AF$11,index1970,Query!$O68)/AF$9,IF($J$7=2,HLOOKUP(AF$11,index1970,Query!$O68)/AF$9 * HLOOKUP(AF$11,comboutfac,Query!$O68),HLOOKUP(AF$11,index1970,Query!$O68)/AF$9 * HLOOKUP(AF$11,comboutfac,Query!$O68) /AF$8))</f>
        <v>4.9202649412774173</v>
      </c>
      <c r="AG33" s="120">
        <f ca="1">IF($J$7=1,HLOOKUP(AG$11,index1970,Query!$O68)/AG$9,IF($J$7=2,HLOOKUP(AG$11,index1970,Query!$O68)/AG$9 * HLOOKUP(AG$11,comboutfac,Query!$O68),HLOOKUP(AG$11,index1970,Query!$O68)/AG$9 * HLOOKUP(AG$11,comboutfac,Query!$O68) /AG$8))</f>
        <v>3.623238184794483</v>
      </c>
      <c r="AH33" s="120">
        <f ca="1">IF($J$7=1,HLOOKUP(AH$11,index1970,Query!$O68)/AH$9,IF($J$7=2,HLOOKUP(AH$11,index1970,Query!$O68)/AH$9 * HLOOKUP(AH$11,comboutfac,Query!$O68),HLOOKUP(AH$11,index1970,Query!$O68)/AH$9 * HLOOKUP(AH$11,comboutfac,Query!$O68) /AH$8))</f>
        <v>2.9764162826167855</v>
      </c>
      <c r="AI33" s="120">
        <f ca="1">IF($J$7=1,HLOOKUP(AI$11,index1970,Query!$O68)/AI$9,IF($J$7=2,HLOOKUP(AI$11,index1970,Query!$O68)/AI$9 * HLOOKUP(AI$11,comboutfac,Query!$O68),HLOOKUP(AI$11,index1970,Query!$O68)/AI$9 * HLOOKUP(AI$11,comboutfac,Query!$O68) /AI$8))</f>
        <v>3.0869146472291598</v>
      </c>
      <c r="AJ33" s="120">
        <f ca="1">IF($J$7=1,HLOOKUP(AJ$11,index1970,Query!$O68)/AJ$9,IF($J$7=2,HLOOKUP(AJ$11,index1970,Query!$O68)/AJ$9 * HLOOKUP(AJ$11,comboutfac,Query!$O68),HLOOKUP(AJ$11,index1970,Query!$O68)/AJ$9 * HLOOKUP(AJ$11,comboutfac,Query!$O68) /AJ$8))</f>
        <v>2.9764162826167855</v>
      </c>
      <c r="AK33" s="120">
        <f ca="1">IF($J$7=1,HLOOKUP(AK$11,index1970,Query!$O68)/AK$9,IF($J$7=2,HLOOKUP(AK$11,index1970,Query!$O68)/AK$9 * HLOOKUP(AK$11,comboutfac,Query!$O68),HLOOKUP(AK$11,index1970,Query!$O68)/AK$9 * HLOOKUP(AK$11,comboutfac,Query!$O68) /AK$8))</f>
        <v>3.0759134825002681</v>
      </c>
      <c r="AL33" s="120">
        <f ca="1">IF($J$7=1,HLOOKUP(AL$11,index1970,Query!$O68)/AL$9,IF($J$7=2,HLOOKUP(AL$11,index1970,Query!$O68)/AL$9 * HLOOKUP(AL$11,comboutfac,Query!$O68),HLOOKUP(AL$11,index1970,Query!$O68)/AL$9 * HLOOKUP(AL$11,comboutfac,Query!$O68) /AL$8))</f>
        <v>3.4592492211829513</v>
      </c>
      <c r="AM33" s="120">
        <f ca="1">IF($J$7=1,HLOOKUP(AM$11,index1970,Query!$O68)/AM$9,IF($J$7=2,HLOOKUP(AM$11,index1970,Query!$O68)/AM$9 * HLOOKUP(AM$11,comboutfac,Query!$O68),HLOOKUP(AM$11,index1970,Query!$O68)/AM$9 * HLOOKUP(AM$11,comboutfac,Query!$O68) /AM$8))</f>
        <v>3.0496855278081765</v>
      </c>
      <c r="AN33" s="120">
        <f ca="1">IF($J$7=1,HLOOKUP(AN$11,index1970,Query!$O68)/AN$9,IF($J$7=2,HLOOKUP(AN$11,index1970,Query!$O68)/AN$9 * HLOOKUP(AN$11,comboutfac,Query!$O68),HLOOKUP(AN$11,index1970,Query!$O68)/AN$9 * HLOOKUP(AN$11,comboutfac,Query!$O68) /AN$8))</f>
        <v>3.493270753033102</v>
      </c>
      <c r="AO33" s="120">
        <f ca="1">IF($J$7=1,HLOOKUP(AO$11,index1970,Query!$O68)/AO$9,IF($J$7=2,HLOOKUP(AO$11,index1970,Query!$O68)/AO$9 * HLOOKUP(AO$11,comboutfac,Query!$O68),HLOOKUP(AO$11,index1970,Query!$O68)/AO$9 * HLOOKUP(AO$11,comboutfac,Query!$O68) /AO$8))</f>
        <v>3.057360302278989</v>
      </c>
      <c r="AP33" s="120">
        <f ca="1">IF($J$7=1,HLOOKUP(AP$11,index1970,Query!$O68)/AP$9,IF($J$7=2,HLOOKUP(AP$11,index1970,Query!$O68)/AP$9 * HLOOKUP(AP$11,comboutfac,Query!$O68),HLOOKUP(AP$11,index1970,Query!$O68)/AP$9 * HLOOKUP(AP$11,comboutfac,Query!$O68) /AP$8))</f>
        <v>5.2367172990889967</v>
      </c>
      <c r="AQ33" s="683">
        <f ca="1">IF($J$7=1,HLOOKUP(AQ$11,index1970,Query!$O68)/AQ$9,IF($J$7=2,HLOOKUP(AQ$11,index1970,Query!$O68)/AQ$9 * HLOOKUP(AQ$11,comboutfac,Query!$O68),HLOOKUP(AQ$11,index1970,Query!$O68)/AQ$9 * HLOOKUP(AQ$11,comboutfac,Query!$O68) /AQ$8))</f>
        <v>3.4160138882473787</v>
      </c>
      <c r="AR33" s="120">
        <f ca="1">IF($J$7=1,HLOOKUP(AR$11,index1970,Query!$O68)/AR$9,IF($J$7=2,HLOOKUP(AR$11,index1970,Query!$O68)/AR$9 * HLOOKUP(AR$11,comboutfac,Query!$O68),HLOOKUP(AR$11,index1970,Query!$O68)/AR$9 * HLOOKUP(AR$11,comboutfac,Query!$O68) /AR$8))</f>
        <v>3.6388266696108773</v>
      </c>
      <c r="AS33" s="213"/>
    </row>
    <row r="34" spans="1:45" s="122" customFormat="1">
      <c r="A34" s="121">
        <f t="shared" si="6"/>
        <v>1990</v>
      </c>
      <c r="B34" s="120">
        <f ca="1">IF($J$7=1,HLOOKUP(B$11,index1970,Query!$O69)/B$9,IF($J$7=2,HLOOKUP(B$11,index1970,Query!$O69)/B$9 * HLOOKUP(B$11,comboutfac,Query!$O69),HLOOKUP(B$11,index1970,Query!$O69)/B$9 * HLOOKUP(B$11,comboutfac,Query!$O69) /B$8))</f>
        <v>3.7586147747022531</v>
      </c>
      <c r="C34" s="120">
        <f ca="1">IF($J$7=1,HLOOKUP(C$11,index1970,Query!$O69)/C$9,IF($J$7=2,HLOOKUP(C$11,index1970,Query!$O69)/C$9 * HLOOKUP(C$11,comboutfac,Query!$O69),HLOOKUP(C$11,index1970,Query!$O69)/C$9 * HLOOKUP(C$11,comboutfac,Query!$O69) /C$8))</f>
        <v>3.6559913723551474</v>
      </c>
      <c r="D34" s="120">
        <f ca="1">IF($J$7=1,HLOOKUP(D$11,index1970,Query!$O69)/D$9,IF($J$7=2,HLOOKUP(D$11,index1970,Query!$O69)/D$9 * HLOOKUP(D$11,comboutfac,Query!$O69),HLOOKUP(D$11,index1970,Query!$O69)/D$9 * HLOOKUP(D$11,comboutfac,Query!$O69) /D$8))</f>
        <v>3.5740747248790026</v>
      </c>
      <c r="E34" s="120">
        <f ca="1">IF($J$7=1,HLOOKUP(E$11,index1970,Query!$O69)/E$9,IF($J$7=2,HLOOKUP(E$11,index1970,Query!$O69)/E$9 * HLOOKUP(E$11,comboutfac,Query!$O69),HLOOKUP(E$11,index1970,Query!$O69)/E$9 * HLOOKUP(E$11,comboutfac,Query!$O69) /E$8))</f>
        <v>3.0481659647634616</v>
      </c>
      <c r="F34" s="120">
        <f ca="1">IF($J$7=1,HLOOKUP(F$11,index1970,Query!$O69)/F$9,IF($J$7=2,HLOOKUP(F$11,index1970,Query!$O69)/F$9 * HLOOKUP(F$11,comboutfac,Query!$O69),HLOOKUP(F$11,index1970,Query!$O69)/F$9 * HLOOKUP(F$11,comboutfac,Query!$O69) /F$8))</f>
        <v>3.6559913723551474</v>
      </c>
      <c r="G34" s="120">
        <f ca="1">IF($J$7=1,HLOOKUP(G$11,index1970,Query!$O69)/G$9,IF($J$7=2,HLOOKUP(G$11,index1970,Query!$O69)/G$9 * HLOOKUP(G$11,comboutfac,Query!$O69),HLOOKUP(G$11,index1970,Query!$O69)/G$9 * HLOOKUP(G$11,comboutfac,Query!$O69) /G$8))</f>
        <v>3.7732421254478044</v>
      </c>
      <c r="H34" s="120">
        <f ca="1">IF($J$7=1,HLOOKUP(H$11,index1970,Query!$O69)/H$9,IF($J$7=2,HLOOKUP(H$11,index1970,Query!$O69)/H$9 * HLOOKUP(H$11,comboutfac,Query!$O69),HLOOKUP(H$11,index1970,Query!$O69)/H$9 * HLOOKUP(H$11,comboutfac,Query!$O69) /H$8))</f>
        <v>3.5994289777865989</v>
      </c>
      <c r="I34" s="120">
        <f ca="1">IF($J$7=1,HLOOKUP(I$11,index1970,Query!$O69)/I$9,IF($J$7=2,HLOOKUP(I$11,index1970,Query!$O69)/I$9 * HLOOKUP(I$11,comboutfac,Query!$O69),HLOOKUP(I$11,index1970,Query!$O69)/I$9 * HLOOKUP(I$11,comboutfac,Query!$O69) /I$8))</f>
        <v>3.521337203762791</v>
      </c>
      <c r="J34" s="120">
        <f ca="1">IF($J$7=1,HLOOKUP(J$11,index1970,Query!$O69)/J$9,IF($J$7=2,HLOOKUP(J$11,index1970,Query!$O69)/J$9 * HLOOKUP(J$11,comboutfac,Query!$O69),HLOOKUP(J$11,index1970,Query!$O69)/J$9 * HLOOKUP(J$11,comboutfac,Query!$O69) /J$8))</f>
        <v>2.0452737840318131</v>
      </c>
      <c r="K34" s="120">
        <f ca="1">IF($J$7=1,HLOOKUP(K$11,index1970,Query!$O69)/K$9,IF($J$7=2,HLOOKUP(K$11,index1970,Query!$O69)/K$9 * HLOOKUP(K$11,comboutfac,Query!$O69),HLOOKUP(K$11,index1970,Query!$O69)/K$9 * HLOOKUP(K$11,comboutfac,Query!$O69) /K$8))</f>
        <v>3.7066430154416539</v>
      </c>
      <c r="L34" s="120">
        <f ca="1">IF($J$7=1,HLOOKUP(L$11,index1970,Query!$O69)/L$9,IF($J$7=2,HLOOKUP(L$11,index1970,Query!$O69)/L$9 * HLOOKUP(L$11,comboutfac,Query!$O69),HLOOKUP(L$11,index1970,Query!$O69)/L$9 * HLOOKUP(L$11,comboutfac,Query!$O69) /L$8))</f>
        <v>3.598773590431374</v>
      </c>
      <c r="M34" s="120">
        <f ca="1">IF($J$7=1,HLOOKUP(M$11,index1970,Query!$O69)/M$9,IF($J$7=2,HLOOKUP(M$11,index1970,Query!$O69)/M$9 * HLOOKUP(M$11,comboutfac,Query!$O69),HLOOKUP(M$11,index1970,Query!$O69)/M$9 * HLOOKUP(M$11,comboutfac,Query!$O69) /M$8))</f>
        <v>3.0954729339214566</v>
      </c>
      <c r="N34" s="120">
        <f ca="1">IF($J$7=1,HLOOKUP(N$11,index1970,Query!$O69)/N$9,IF($J$7=2,HLOOKUP(N$11,index1970,Query!$O69)/N$9 * HLOOKUP(N$11,comboutfac,Query!$O69),HLOOKUP(N$11,index1970,Query!$O69)/N$9 * HLOOKUP(N$11,comboutfac,Query!$O69) /N$8))</f>
        <v>3.6559913723551474</v>
      </c>
      <c r="O34" s="120">
        <f ca="1">IF($J$7=1,HLOOKUP(O$11,index1970,Query!$O69)/O$9,IF($J$7=2,HLOOKUP(O$11,index1970,Query!$O69)/O$9 * HLOOKUP(O$11,comboutfac,Query!$O69),HLOOKUP(O$11,index1970,Query!$O69)/O$9 * HLOOKUP(O$11,comboutfac,Query!$O69) /O$8))</f>
        <v>3.6615386208209482</v>
      </c>
      <c r="P34" s="120">
        <f ca="1">IF($J$7=1,HLOOKUP(P$11,index1970,Query!$O69)/P$9,IF($J$7=2,HLOOKUP(P$11,index1970,Query!$O69)/P$9 * HLOOKUP(P$11,comboutfac,Query!$O69),HLOOKUP(P$11,index1970,Query!$O69)/P$9 * HLOOKUP(P$11,comboutfac,Query!$O69) /P$8))</f>
        <v>3.674193544593523</v>
      </c>
      <c r="Q34" s="120">
        <f ca="1">IF($J$7=1,HLOOKUP(Q$11,index1970,Query!$O69)/Q$9,IF($J$7=2,HLOOKUP(Q$11,index1970,Query!$O69)/Q$9 * HLOOKUP(Q$11,comboutfac,Query!$O69),HLOOKUP(Q$11,index1970,Query!$O69)/Q$9 * HLOOKUP(Q$11,comboutfac,Query!$O69) /Q$8))</f>
        <v>3.1882500001199952</v>
      </c>
      <c r="R34" s="120">
        <f ca="1">IF($J$7=1,HLOOKUP(R$11,index1970,Query!$O69)/R$9,IF($J$7=2,HLOOKUP(R$11,index1970,Query!$O69)/R$9 * HLOOKUP(R$11,comboutfac,Query!$O69),HLOOKUP(R$11,index1970,Query!$O69)/R$9 * HLOOKUP(R$11,comboutfac,Query!$O69) /R$8))</f>
        <v>3.6070028380786945</v>
      </c>
      <c r="S34" s="120">
        <f ca="1">IF($J$7=1,HLOOKUP(S$11,index1970,Query!$O69)/S$9,IF($J$7=2,HLOOKUP(S$11,index1970,Query!$O69)/S$9 * HLOOKUP(S$11,comboutfac,Query!$O69),HLOOKUP(S$11,index1970,Query!$O69)/S$9 * HLOOKUP(S$11,comboutfac,Query!$O69) /S$8))</f>
        <v>3.1760765549627124</v>
      </c>
      <c r="T34" s="120">
        <f ca="1">IF($J$7=1,HLOOKUP(T$11,index1970,Query!$O69)/T$9,IF($J$7=2,HLOOKUP(T$11,index1970,Query!$O69)/T$9 * HLOOKUP(T$11,comboutfac,Query!$O69),HLOOKUP(T$11,index1970,Query!$O69)/T$9 * HLOOKUP(T$11,comboutfac,Query!$O69) /T$8))</f>
        <v>3.0828871676442033</v>
      </c>
      <c r="U34" s="120">
        <f ca="1">IF($J$7=1,HLOOKUP(U$11,index1970,Query!$O69)/U$9,IF($J$7=2,HLOOKUP(U$11,index1970,Query!$O69)/U$9 * HLOOKUP(U$11,comboutfac,Query!$O69),HLOOKUP(U$11,index1970,Query!$O69)/U$9 * HLOOKUP(U$11,comboutfac,Query!$O69) /U$8))</f>
        <v>3.5146475694897985</v>
      </c>
      <c r="V34" s="120">
        <f ca="1">IF($J$7=1,HLOOKUP(V$11,index1970,Query!$O69)/V$9,IF($J$7=2,HLOOKUP(V$11,index1970,Query!$O69)/V$9 * HLOOKUP(V$11,comboutfac,Query!$O69),HLOOKUP(V$11,index1970,Query!$O69)/V$9 * HLOOKUP(V$11,comboutfac,Query!$O69) /V$8))</f>
        <v>3.5800087615777079</v>
      </c>
      <c r="W34" s="120">
        <f ca="1">IF($J$7=1,HLOOKUP(W$11,index1970,Query!$O69)/W$9,IF($J$7=2,HLOOKUP(W$11,index1970,Query!$O69)/W$9 * HLOOKUP(W$11,comboutfac,Query!$O69),HLOOKUP(W$11,index1970,Query!$O69)/W$9 * HLOOKUP(W$11,comboutfac,Query!$O69) /W$8))</f>
        <v>3.4596495667230136</v>
      </c>
      <c r="X34" s="120">
        <f ca="1">IF($J$7=1,HLOOKUP(X$11,index1970,Query!$O69)/X$9,IF($J$7=2,HLOOKUP(X$11,index1970,Query!$O69)/X$9 * HLOOKUP(X$11,comboutfac,Query!$O69),HLOOKUP(X$11,index1970,Query!$O69)/X$9 * HLOOKUP(X$11,comboutfac,Query!$O69) /X$8))</f>
        <v>3.6140209067272413</v>
      </c>
      <c r="Y34" s="120">
        <f ca="1">IF($J$7=1,HLOOKUP(Y$11,index1970,Query!$O69)/Y$9,IF($J$7=2,HLOOKUP(Y$11,index1970,Query!$O69)/Y$9 * HLOOKUP(Y$11,comboutfac,Query!$O69),HLOOKUP(Y$11,index1970,Query!$O69)/Y$9 * HLOOKUP(Y$11,comboutfac,Query!$O69) /Y$8))</f>
        <v>3.5431071709742556</v>
      </c>
      <c r="Z34" s="120">
        <f ca="1">IF($J$7=1,HLOOKUP(Z$11,index1970,Query!$O69)/Z$9,IF($J$7=2,HLOOKUP(Z$11,index1970,Query!$O69)/Z$9 * HLOOKUP(Z$11,comboutfac,Query!$O69),HLOOKUP(Z$11,index1970,Query!$O69)/Z$9 * HLOOKUP(Z$11,comboutfac,Query!$O69) /Z$8))</f>
        <v>3.5161304395884967</v>
      </c>
      <c r="AA34" s="120">
        <f ca="1">IF($J$7=1,HLOOKUP(AA$11,index1970,Query!$O69)/AA$9,IF($J$7=2,HLOOKUP(AA$11,index1970,Query!$O69)/AA$9 * HLOOKUP(AA$11,comboutfac,Query!$O69),HLOOKUP(AA$11,index1970,Query!$O69)/AA$9 * HLOOKUP(AA$11,comboutfac,Query!$O69) /AA$8))</f>
        <v>3.6334629173321522</v>
      </c>
      <c r="AB34" s="120">
        <f ca="1">IF($J$7=1,HLOOKUP(AB$11,index1970,Query!$O69)/AB$9,IF($J$7=2,HLOOKUP(AB$11,index1970,Query!$O69)/AB$9 * HLOOKUP(AB$11,comboutfac,Query!$O69),HLOOKUP(AB$11,index1970,Query!$O69)/AB$9 * HLOOKUP(AB$11,comboutfac,Query!$O69) /AB$8))</f>
        <v>3.3577831804747209</v>
      </c>
      <c r="AC34" s="120">
        <f ca="1">IF($J$7=1,HLOOKUP(AC$11,index1970,Query!$O69)/AC$9,IF($J$7=2,HLOOKUP(AC$11,index1970,Query!$O69)/AC$9 * HLOOKUP(AC$11,comboutfac,Query!$O69),HLOOKUP(AC$11,index1970,Query!$O69)/AC$9 * HLOOKUP(AC$11,comboutfac,Query!$O69) /AC$8))</f>
        <v>3.4350790688164556</v>
      </c>
      <c r="AD34" s="120">
        <f ca="1">IF($J$7=1,HLOOKUP(AD$11,index1970,Query!$O69)/AD$9,IF($J$7=2,HLOOKUP(AD$11,index1970,Query!$O69)/AD$9 * HLOOKUP(AD$11,comboutfac,Query!$O69),HLOOKUP(AD$11,index1970,Query!$O69)/AD$9 * HLOOKUP(AD$11,comboutfac,Query!$O69) /AD$8))</f>
        <v>3.6043679555738906</v>
      </c>
      <c r="AE34" s="120">
        <f ca="1">IF($J$7=1,HLOOKUP(AE$11,index1970,Query!$O69)/AE$9,IF($J$7=2,HLOOKUP(AE$11,index1970,Query!$O69)/AE$9 * HLOOKUP(AE$11,comboutfac,Query!$O69),HLOOKUP(AE$11,index1970,Query!$O69)/AE$9 * HLOOKUP(AE$11,comboutfac,Query!$O69) /AE$8))</f>
        <v>3.2332137734538762</v>
      </c>
      <c r="AF34" s="120">
        <f ca="1">IF($J$7=1,HLOOKUP(AF$11,index1970,Query!$O69)/AF$9,IF($J$7=2,HLOOKUP(AF$11,index1970,Query!$O69)/AF$9 * HLOOKUP(AF$11,comboutfac,Query!$O69),HLOOKUP(AF$11,index1970,Query!$O69)/AF$9 * HLOOKUP(AF$11,comboutfac,Query!$O69) /AF$8))</f>
        <v>5.0978039046090569</v>
      </c>
      <c r="AG34" s="120">
        <f ca="1">IF($J$7=1,HLOOKUP(AG$11,index1970,Query!$O69)/AG$9,IF($J$7=2,HLOOKUP(AG$11,index1970,Query!$O69)/AG$9 * HLOOKUP(AG$11,comboutfac,Query!$O69),HLOOKUP(AG$11,index1970,Query!$O69)/AG$9 * HLOOKUP(AG$11,comboutfac,Query!$O69) /AG$8))</f>
        <v>3.772918233610576</v>
      </c>
      <c r="AH34" s="120">
        <f ca="1">IF($J$7=1,HLOOKUP(AH$11,index1970,Query!$O69)/AH$9,IF($J$7=2,HLOOKUP(AH$11,index1970,Query!$O69)/AH$9 * HLOOKUP(AH$11,comboutfac,Query!$O69),HLOOKUP(AH$11,index1970,Query!$O69)/AH$9 * HLOOKUP(AH$11,comboutfac,Query!$O69) /AH$8))</f>
        <v>3.0954729339214566</v>
      </c>
      <c r="AI34" s="120">
        <f ca="1">IF($J$7=1,HLOOKUP(AI$11,index1970,Query!$O69)/AI$9,IF($J$7=2,HLOOKUP(AI$11,index1970,Query!$O69)/AI$9 * HLOOKUP(AI$11,comboutfac,Query!$O69),HLOOKUP(AI$11,index1970,Query!$O69)/AI$9 * HLOOKUP(AI$11,comboutfac,Query!$O69) /AI$8))</f>
        <v>3.2128649746654014</v>
      </c>
      <c r="AJ34" s="120">
        <f ca="1">IF($J$7=1,HLOOKUP(AJ$11,index1970,Query!$O69)/AJ$9,IF($J$7=2,HLOOKUP(AJ$11,index1970,Query!$O69)/AJ$9 * HLOOKUP(AJ$11,comboutfac,Query!$O69),HLOOKUP(AJ$11,index1970,Query!$O69)/AJ$9 * HLOOKUP(AJ$11,comboutfac,Query!$O69) /AJ$8))</f>
        <v>3.0954729339214566</v>
      </c>
      <c r="AK34" s="120">
        <f ca="1">IF($J$7=1,HLOOKUP(AK$11,index1970,Query!$O69)/AK$9,IF($J$7=2,HLOOKUP(AK$11,index1970,Query!$O69)/AK$9 * HLOOKUP(AK$11,comboutfac,Query!$O69),HLOOKUP(AK$11,index1970,Query!$O69)/AK$9 * HLOOKUP(AK$11,comboutfac,Query!$O69) /AK$8))</f>
        <v>3.2015879047454505</v>
      </c>
      <c r="AL34" s="120">
        <f ca="1">IF($J$7=1,HLOOKUP(AL$11,index1970,Query!$O69)/AL$9,IF($J$7=2,HLOOKUP(AL$11,index1970,Query!$O69)/AL$9 * HLOOKUP(AL$11,comboutfac,Query!$O69),HLOOKUP(AL$11,index1970,Query!$O69)/AL$9 * HLOOKUP(AL$11,comboutfac,Query!$O69) /AL$8))</f>
        <v>3.5933104578555555</v>
      </c>
      <c r="AM34" s="120">
        <f ca="1">IF($J$7=1,HLOOKUP(AM$11,index1970,Query!$O69)/AM$9,IF($J$7=2,HLOOKUP(AM$11,index1970,Query!$O69)/AM$9 * HLOOKUP(AM$11,comboutfac,Query!$O69),HLOOKUP(AM$11,index1970,Query!$O69)/AM$9 * HLOOKUP(AM$11,comboutfac,Query!$O69) /AM$8))</f>
        <v>3.1806227833653908</v>
      </c>
      <c r="AN34" s="120">
        <f ca="1">IF($J$7=1,HLOOKUP(AN$11,index1970,Query!$O69)/AN$9,IF($J$7=2,HLOOKUP(AN$11,index1970,Query!$O69)/AN$9 * HLOOKUP(AN$11,comboutfac,Query!$O69),HLOOKUP(AN$11,index1970,Query!$O69)/AN$9 * HLOOKUP(AN$11,comboutfac,Query!$O69) /AN$8))</f>
        <v>3.6268274015963295</v>
      </c>
      <c r="AO34" s="120">
        <f ca="1">IF($J$7=1,HLOOKUP(AO$11,index1970,Query!$O69)/AO$9,IF($J$7=2,HLOOKUP(AO$11,index1970,Query!$O69)/AO$9 * HLOOKUP(AO$11,comboutfac,Query!$O69),HLOOKUP(AO$11,index1970,Query!$O69)/AO$9 * HLOOKUP(AO$11,comboutfac,Query!$O69) /AO$8))</f>
        <v>3.1973983880190948</v>
      </c>
      <c r="AP34" s="120">
        <f ca="1">IF($J$7=1,HLOOKUP(AP$11,index1970,Query!$O69)/AP$9,IF($J$7=2,HLOOKUP(AP$11,index1970,Query!$O69)/AP$9 * HLOOKUP(AP$11,comboutfac,Query!$O69),HLOOKUP(AP$11,index1970,Query!$O69)/AP$9 * HLOOKUP(AP$11,comboutfac,Query!$O69) /AP$8))</f>
        <v>5.3793815754114309</v>
      </c>
      <c r="AQ34" s="683">
        <f ca="1">IF($J$7=1,HLOOKUP(AQ$11,index1970,Query!$O69)/AQ$9,IF($J$7=2,HLOOKUP(AQ$11,index1970,Query!$O69)/AQ$9 * HLOOKUP(AQ$11,comboutfac,Query!$O69),HLOOKUP(AQ$11,index1970,Query!$O69)/AQ$9 * HLOOKUP(AQ$11,comboutfac,Query!$O69) /AQ$8))</f>
        <v>3.5146475694897985</v>
      </c>
      <c r="AR34" s="120">
        <f ca="1">IF($J$7=1,HLOOKUP(AR$11,index1970,Query!$O69)/AR$9,IF($J$7=2,HLOOKUP(AR$11,index1970,Query!$O69)/AR$9 * HLOOKUP(AR$11,comboutfac,Query!$O69),HLOOKUP(AR$11,index1970,Query!$O69)/AR$9 * HLOOKUP(AR$11,comboutfac,Query!$O69) /AR$8))</f>
        <v>3.7645701489422372</v>
      </c>
      <c r="AS34" s="213"/>
    </row>
    <row r="35" spans="1:45" s="122" customFormat="1">
      <c r="A35" s="121">
        <f t="shared" si="6"/>
        <v>1991</v>
      </c>
      <c r="B35" s="120">
        <f ca="1">IF($J$7=1,HLOOKUP(B$11,index1970,Query!$O70)/B$9,IF($J$7=2,HLOOKUP(B$11,index1970,Query!$O70)/B$9 * HLOOKUP(B$11,comboutfac,Query!$O70),HLOOKUP(B$11,index1970,Query!$O70)/B$9 * HLOOKUP(B$11,comboutfac,Query!$O70) /B$8))</f>
        <v>3.8666084279341573</v>
      </c>
      <c r="C35" s="120">
        <f ca="1">IF($J$7=1,HLOOKUP(C$11,index1970,Query!$O70)/C$9,IF($J$7=2,HLOOKUP(C$11,index1970,Query!$O70)/C$9 * HLOOKUP(C$11,comboutfac,Query!$O70),HLOOKUP(C$11,index1970,Query!$O70)/C$9 * HLOOKUP(C$11,comboutfac,Query!$O70) /C$8))</f>
        <v>3.7875823261464086</v>
      </c>
      <c r="D35" s="120">
        <f ca="1">IF($J$7=1,HLOOKUP(D$11,index1970,Query!$O70)/D$9,IF($J$7=2,HLOOKUP(D$11,index1970,Query!$O70)/D$9 * HLOOKUP(D$11,comboutfac,Query!$O70),HLOOKUP(D$11,index1970,Query!$O70)/D$9 * HLOOKUP(D$11,comboutfac,Query!$O70) /D$8))</f>
        <v>3.7277599380487993</v>
      </c>
      <c r="E35" s="120">
        <f ca="1">IF($J$7=1,HLOOKUP(E$11,index1970,Query!$O70)/E$9,IF($J$7=2,HLOOKUP(E$11,index1970,Query!$O70)/E$9 * HLOOKUP(E$11,comboutfac,Query!$O70),HLOOKUP(E$11,index1970,Query!$O70)/E$9 * HLOOKUP(E$11,comboutfac,Query!$O70) /E$8))</f>
        <v>3.1694829701610474</v>
      </c>
      <c r="F35" s="120">
        <f ca="1">IF($J$7=1,HLOOKUP(F$11,index1970,Query!$O70)/F$9,IF($J$7=2,HLOOKUP(F$11,index1970,Query!$O70)/F$9 * HLOOKUP(F$11,comboutfac,Query!$O70),HLOOKUP(F$11,index1970,Query!$O70)/F$9 * HLOOKUP(F$11,comboutfac,Query!$O70) /F$8))</f>
        <v>3.7875823261464086</v>
      </c>
      <c r="G35" s="120">
        <f ca="1">IF($J$7=1,HLOOKUP(G$11,index1970,Query!$O70)/G$9,IF($J$7=2,HLOOKUP(G$11,index1970,Query!$O70)/G$9 * HLOOKUP(G$11,comboutfac,Query!$O70),HLOOKUP(G$11,index1970,Query!$O70)/G$9 * HLOOKUP(G$11,comboutfac,Query!$O70) /G$8))</f>
        <v>3.8797417032803199</v>
      </c>
      <c r="H35" s="120">
        <f ca="1">IF($J$7=1,HLOOKUP(H$11,index1970,Query!$O70)/H$9,IF($J$7=2,HLOOKUP(H$11,index1970,Query!$O70)/H$9 * HLOOKUP(H$11,comboutfac,Query!$O70),HLOOKUP(H$11,index1970,Query!$O70)/H$9 * HLOOKUP(H$11,comboutfac,Query!$O70) /H$8))</f>
        <v>3.7419007280340151</v>
      </c>
      <c r="I35" s="120">
        <f ca="1">IF($J$7=1,HLOOKUP(I$11,index1970,Query!$O70)/I$9,IF($J$7=2,HLOOKUP(I$11,index1970,Query!$O70)/I$9 * HLOOKUP(I$11,comboutfac,Query!$O70),HLOOKUP(I$11,index1970,Query!$O70)/I$9 * HLOOKUP(I$11,comboutfac,Query!$O70) /I$8))</f>
        <v>3.6608066300395836</v>
      </c>
      <c r="J35" s="120">
        <f ca="1">IF($J$7=1,HLOOKUP(J$11,index1970,Query!$O70)/J$9,IF($J$7=2,HLOOKUP(J$11,index1970,Query!$O70)/J$9 * HLOOKUP(J$11,comboutfac,Query!$O70),HLOOKUP(J$11,index1970,Query!$O70)/J$9 * HLOOKUP(J$11,comboutfac,Query!$O70) /J$8))</f>
        <v>3.8289996940960522</v>
      </c>
      <c r="K35" s="120">
        <f ca="1">IF($J$7=1,HLOOKUP(K$11,index1970,Query!$O70)/K$9,IF($J$7=2,HLOOKUP(K$11,index1970,Query!$O70)/K$9 * HLOOKUP(K$11,comboutfac,Query!$O70),HLOOKUP(K$11,index1970,Query!$O70)/K$9 * HLOOKUP(K$11,comboutfac,Query!$O70) /K$8))</f>
        <v>3.8541674074562318</v>
      </c>
      <c r="L35" s="120">
        <f ca="1">IF($J$7=1,HLOOKUP(L$11,index1970,Query!$O70)/L$9,IF($J$7=2,HLOOKUP(L$11,index1970,Query!$O70)/L$9 * HLOOKUP(L$11,comboutfac,Query!$O70),HLOOKUP(L$11,index1970,Query!$O70)/L$9 * HLOOKUP(L$11,comboutfac,Query!$O70) /L$8))</f>
        <v>3.7311202234737593</v>
      </c>
      <c r="M35" s="120">
        <f ca="1">IF($J$7=1,HLOOKUP(M$11,index1970,Query!$O70)/M$9,IF($J$7=2,HLOOKUP(M$11,index1970,Query!$O70)/M$9 * HLOOKUP(M$11,comboutfac,Query!$O70),HLOOKUP(M$11,index1970,Query!$O70)/M$9 * HLOOKUP(M$11,comboutfac,Query!$O70) /M$8))</f>
        <v>3.2285782700800794</v>
      </c>
      <c r="N35" s="120">
        <f ca="1">IF($J$7=1,HLOOKUP(N$11,index1970,Query!$O70)/N$9,IF($J$7=2,HLOOKUP(N$11,index1970,Query!$O70)/N$9 * HLOOKUP(N$11,comboutfac,Query!$O70),HLOOKUP(N$11,index1970,Query!$O70)/N$9 * HLOOKUP(N$11,comboutfac,Query!$O70) /N$8))</f>
        <v>3.7875823261464086</v>
      </c>
      <c r="O35" s="120">
        <f ca="1">IF($J$7=1,HLOOKUP(O$11,index1970,Query!$O70)/O$9,IF($J$7=2,HLOOKUP(O$11,index1970,Query!$O70)/O$9 * HLOOKUP(O$11,comboutfac,Query!$O70),HLOOKUP(O$11,index1970,Query!$O70)/O$9 * HLOOKUP(O$11,comboutfac,Query!$O70) /O$8))</f>
        <v>3.7858541222884727</v>
      </c>
      <c r="P35" s="120">
        <f ca="1">IF($J$7=1,HLOOKUP(P$11,index1970,Query!$O70)/P$9,IF($J$7=2,HLOOKUP(P$11,index1970,Query!$O70)/P$9 * HLOOKUP(P$11,comboutfac,Query!$O70),HLOOKUP(P$11,index1970,Query!$O70)/P$9 * HLOOKUP(P$11,comboutfac,Query!$O70) /P$8))</f>
        <v>3.8324631443929547</v>
      </c>
      <c r="Q35" s="120">
        <f ca="1">IF($J$7=1,HLOOKUP(Q$11,index1970,Query!$O70)/Q$9,IF($J$7=2,HLOOKUP(Q$11,index1970,Query!$O70)/Q$9 * HLOOKUP(Q$11,comboutfac,Query!$O70),HLOOKUP(Q$11,index1970,Query!$O70)/Q$9 * HLOOKUP(Q$11,comboutfac,Query!$O70) /Q$8))</f>
        <v>3.3232231592274828</v>
      </c>
      <c r="R35" s="120">
        <f ca="1">IF($J$7=1,HLOOKUP(R$11,index1970,Query!$O70)/R$9,IF($J$7=2,HLOOKUP(R$11,index1970,Query!$O70)/R$9 * HLOOKUP(R$11,comboutfac,Query!$O70),HLOOKUP(R$11,index1970,Query!$O70)/R$9 * HLOOKUP(R$11,comboutfac,Query!$O70) /R$8))</f>
        <v>3.7502368867919467</v>
      </c>
      <c r="S35" s="120">
        <f ca="1">IF($J$7=1,HLOOKUP(S$11,index1970,Query!$O70)/S$9,IF($J$7=2,HLOOKUP(S$11,index1970,Query!$O70)/S$9 * HLOOKUP(S$11,comboutfac,Query!$O70),HLOOKUP(S$11,index1970,Query!$O70)/S$9 * HLOOKUP(S$11,comboutfac,Query!$O70) /S$8))</f>
        <v>3.303067506174469</v>
      </c>
      <c r="T35" s="120">
        <f ca="1">IF($J$7=1,HLOOKUP(T$11,index1970,Query!$O70)/T$9,IF($J$7=2,HLOOKUP(T$11,index1970,Query!$O70)/T$9 * HLOOKUP(T$11,comboutfac,Query!$O70),HLOOKUP(T$11,index1970,Query!$O70)/T$9 * HLOOKUP(T$11,comboutfac,Query!$O70) /T$8))</f>
        <v>3.2154513158529041</v>
      </c>
      <c r="U35" s="120">
        <f ca="1">IF($J$7=1,HLOOKUP(U$11,index1970,Query!$O70)/U$9,IF($J$7=2,HLOOKUP(U$11,index1970,Query!$O70)/U$9 * HLOOKUP(U$11,comboutfac,Query!$O70),HLOOKUP(U$11,index1970,Query!$O70)/U$9 * HLOOKUP(U$11,comboutfac,Query!$O70) /U$8))</f>
        <v>3.6127821943803275</v>
      </c>
      <c r="V35" s="120">
        <f ca="1">IF($J$7=1,HLOOKUP(V$11,index1970,Query!$O70)/V$9,IF($J$7=2,HLOOKUP(V$11,index1970,Query!$O70)/V$9 * HLOOKUP(V$11,comboutfac,Query!$O70),HLOOKUP(V$11,index1970,Query!$O70)/V$9 * HLOOKUP(V$11,comboutfac,Query!$O70) /V$8))</f>
        <v>3.7339491383255492</v>
      </c>
      <c r="W35" s="120">
        <f ca="1">IF($J$7=1,HLOOKUP(W$11,index1970,Query!$O70)/W$9,IF($J$7=2,HLOOKUP(W$11,index1970,Query!$O70)/W$9 * HLOOKUP(W$11,comboutfac,Query!$O70),HLOOKUP(W$11,index1970,Query!$O70)/W$9 * HLOOKUP(W$11,comboutfac,Query!$O70) /W$8))</f>
        <v>3.6347762321915749</v>
      </c>
      <c r="X35" s="120">
        <f ca="1">IF($J$7=1,HLOOKUP(X$11,index1970,Query!$O70)/X$9,IF($J$7=2,HLOOKUP(X$11,index1970,Query!$O70)/X$9 * HLOOKUP(X$11,comboutfac,Query!$O70),HLOOKUP(X$11,index1970,Query!$O70)/X$9 * HLOOKUP(X$11,comboutfac,Query!$O70) /X$8))</f>
        <v>3.7506203123317121</v>
      </c>
      <c r="Y35" s="120">
        <f ca="1">IF($J$7=1,HLOOKUP(Y$11,index1970,Query!$O70)/Y$9,IF($J$7=2,HLOOKUP(Y$11,index1970,Query!$O70)/Y$9 * HLOOKUP(Y$11,comboutfac,Query!$O70),HLOOKUP(Y$11,index1970,Query!$O70)/Y$9 * HLOOKUP(Y$11,comboutfac,Query!$O70) /Y$8))</f>
        <v>3.7356028342390357</v>
      </c>
      <c r="Z35" s="120">
        <f ca="1">IF($J$7=1,HLOOKUP(Z$11,index1970,Query!$O70)/Z$9,IF($J$7=2,HLOOKUP(Z$11,index1970,Query!$O70)/Z$9 * HLOOKUP(Z$11,comboutfac,Query!$O70),HLOOKUP(Z$11,index1970,Query!$O70)/Z$9 * HLOOKUP(Z$11,comboutfac,Query!$O70) /Z$8))</f>
        <v>3.7968160880810977</v>
      </c>
      <c r="AA35" s="120">
        <f ca="1">IF($J$7=1,HLOOKUP(AA$11,index1970,Query!$O70)/AA$9,IF($J$7=2,HLOOKUP(AA$11,index1970,Query!$O70)/AA$9 * HLOOKUP(AA$11,comboutfac,Query!$O70),HLOOKUP(AA$11,index1970,Query!$O70)/AA$9 * HLOOKUP(AA$11,comboutfac,Query!$O70) /AA$8))</f>
        <v>3.7628457834651252</v>
      </c>
      <c r="AB35" s="120">
        <f ca="1">IF($J$7=1,HLOOKUP(AB$11,index1970,Query!$O70)/AB$9,IF($J$7=2,HLOOKUP(AB$11,index1970,Query!$O70)/AB$9 * HLOOKUP(AB$11,comboutfac,Query!$O70),HLOOKUP(AB$11,index1970,Query!$O70)/AB$9 * HLOOKUP(AB$11,comboutfac,Query!$O70) /AB$8))</f>
        <v>3.4809486756293335</v>
      </c>
      <c r="AC35" s="120">
        <f ca="1">IF($J$7=1,HLOOKUP(AC$11,index1970,Query!$O70)/AC$9,IF($J$7=2,HLOOKUP(AC$11,index1970,Query!$O70)/AC$9 * HLOOKUP(AC$11,comboutfac,Query!$O70),HLOOKUP(AC$11,index1970,Query!$O70)/AC$9 * HLOOKUP(AC$11,comboutfac,Query!$O70) /AC$8))</f>
        <v>3.9268044886166904</v>
      </c>
      <c r="AD35" s="120">
        <f ca="1">IF($J$7=1,HLOOKUP(AD$11,index1970,Query!$O70)/AD$9,IF($J$7=2,HLOOKUP(AD$11,index1970,Query!$O70)/AD$9 * HLOOKUP(AD$11,comboutfac,Query!$O70),HLOOKUP(AD$11,index1970,Query!$O70)/AD$9 * HLOOKUP(AD$11,comboutfac,Query!$O70) /AD$8))</f>
        <v>3.748036366117331</v>
      </c>
      <c r="AE35" s="120">
        <f ca="1">IF($J$7=1,HLOOKUP(AE$11,index1970,Query!$O70)/AE$9,IF($J$7=2,HLOOKUP(AE$11,index1970,Query!$O70)/AE$9 * HLOOKUP(AE$11,comboutfac,Query!$O70),HLOOKUP(AE$11,index1970,Query!$O70)/AE$9 * HLOOKUP(AE$11,comboutfac,Query!$O70) /AE$8))</f>
        <v>3.2920472244967618</v>
      </c>
      <c r="AF35" s="120">
        <f ca="1">IF($J$7=1,HLOOKUP(AF$11,index1970,Query!$O70)/AF$9,IF($J$7=2,HLOOKUP(AF$11,index1970,Query!$O70)/AF$9 * HLOOKUP(AF$11,comboutfac,Query!$O70),HLOOKUP(AF$11,index1970,Query!$O70)/AF$9 * HLOOKUP(AF$11,comboutfac,Query!$O70) /AF$8))</f>
        <v>5.2644916190841515</v>
      </c>
      <c r="AG35" s="120">
        <f ca="1">IF($J$7=1,HLOOKUP(AG$11,index1970,Query!$O70)/AG$9,IF($J$7=2,HLOOKUP(AG$11,index1970,Query!$O70)/AG$9 * HLOOKUP(AG$11,comboutfac,Query!$O70),HLOOKUP(AG$11,index1970,Query!$O70)/AG$9 * HLOOKUP(AG$11,comboutfac,Query!$O70) /AG$8))</f>
        <v>3.8769017880246865</v>
      </c>
      <c r="AH35" s="120">
        <f ca="1">IF($J$7=1,HLOOKUP(AH$11,index1970,Query!$O70)/AH$9,IF($J$7=2,HLOOKUP(AH$11,index1970,Query!$O70)/AH$9 * HLOOKUP(AH$11,comboutfac,Query!$O70),HLOOKUP(AH$11,index1970,Query!$O70)/AH$9 * HLOOKUP(AH$11,comboutfac,Query!$O70) /AH$8))</f>
        <v>3.2285782700800794</v>
      </c>
      <c r="AI35" s="120">
        <f ca="1">IF($J$7=1,HLOOKUP(AI$11,index1970,Query!$O70)/AI$9,IF($J$7=2,HLOOKUP(AI$11,index1970,Query!$O70)/AI$9 * HLOOKUP(AI$11,comboutfac,Query!$O70),HLOOKUP(AI$11,index1970,Query!$O70)/AI$9 * HLOOKUP(AI$11,comboutfac,Query!$O70) /AI$8))</f>
        <v>3.3281046795988241</v>
      </c>
      <c r="AJ35" s="120">
        <f ca="1">IF($J$7=1,HLOOKUP(AJ$11,index1970,Query!$O70)/AJ$9,IF($J$7=2,HLOOKUP(AJ$11,index1970,Query!$O70)/AJ$9 * HLOOKUP(AJ$11,comboutfac,Query!$O70),HLOOKUP(AJ$11,index1970,Query!$O70)/AJ$9 * HLOOKUP(AJ$11,comboutfac,Query!$O70) /AJ$8))</f>
        <v>3.2285782700800794</v>
      </c>
      <c r="AK35" s="120">
        <f ca="1">IF($J$7=1,HLOOKUP(AK$11,index1970,Query!$O70)/AK$9,IF($J$7=2,HLOOKUP(AK$11,index1970,Query!$O70)/AK$9 * HLOOKUP(AK$11,comboutfac,Query!$O70),HLOOKUP(AK$11,index1970,Query!$O70)/AK$9 * HLOOKUP(AK$11,comboutfac,Query!$O70) /AK$8))</f>
        <v>3.3164307396753907</v>
      </c>
      <c r="AL35" s="120">
        <f ca="1">IF($J$7=1,HLOOKUP(AL$11,index1970,Query!$O70)/AL$9,IF($J$7=2,HLOOKUP(AL$11,index1970,Query!$O70)/AL$9 * HLOOKUP(AL$11,comboutfac,Query!$O70),HLOOKUP(AL$11,index1970,Query!$O70)/AL$9 * HLOOKUP(AL$11,comboutfac,Query!$O70) /AL$8))</f>
        <v>3.7451100095550145</v>
      </c>
      <c r="AM35" s="120">
        <f ca="1">IF($J$7=1,HLOOKUP(AM$11,index1970,Query!$O70)/AM$9,IF($J$7=2,HLOOKUP(AM$11,index1970,Query!$O70)/AM$9 * HLOOKUP(AM$11,comboutfac,Query!$O70),HLOOKUP(AM$11,index1970,Query!$O70)/AM$9 * HLOOKUP(AM$11,comboutfac,Query!$O70) /AM$8))</f>
        <v>3.3471713622558461</v>
      </c>
      <c r="AN35" s="120">
        <f ca="1">IF($J$7=1,HLOOKUP(AN$11,index1970,Query!$O70)/AN$9,IF($J$7=2,HLOOKUP(AN$11,index1970,Query!$O70)/AN$9 * HLOOKUP(AN$11,comboutfac,Query!$O70),HLOOKUP(AN$11,index1970,Query!$O70)/AN$9 * HLOOKUP(AN$11,comboutfac,Query!$O70) /AN$8))</f>
        <v>3.7723678810889236</v>
      </c>
      <c r="AO35" s="120">
        <f ca="1">IF($J$7=1,HLOOKUP(AO$11,index1970,Query!$O70)/AO$9,IF($J$7=2,HLOOKUP(AO$11,index1970,Query!$O70)/AO$9 * HLOOKUP(AO$11,comboutfac,Query!$O70),HLOOKUP(AO$11,index1970,Query!$O70)/AO$9 * HLOOKUP(AO$11,comboutfac,Query!$O70) /AO$8))</f>
        <v>3.3346787515401775</v>
      </c>
      <c r="AP35" s="120">
        <f ca="1">IF($J$7=1,HLOOKUP(AP$11,index1970,Query!$O70)/AP$9,IF($J$7=2,HLOOKUP(AP$11,index1970,Query!$O70)/AP$9 * HLOOKUP(AP$11,comboutfac,Query!$O70),HLOOKUP(AP$11,index1970,Query!$O70)/AP$9 * HLOOKUP(AP$11,comboutfac,Query!$O70) /AP$8))</f>
        <v>5.5054885179306803</v>
      </c>
      <c r="AQ35" s="683">
        <f ca="1">IF($J$7=1,HLOOKUP(AQ$11,index1970,Query!$O70)/AQ$9,IF($J$7=2,HLOOKUP(AQ$11,index1970,Query!$O70)/AQ$9 * HLOOKUP(AQ$11,comboutfac,Query!$O70),HLOOKUP(AQ$11,index1970,Query!$O70)/AQ$9 * HLOOKUP(AQ$11,comboutfac,Query!$O70) /AQ$8))</f>
        <v>3.6127821943803275</v>
      </c>
      <c r="AR35" s="120">
        <f ca="1">IF($J$7=1,HLOOKUP(AR$11,index1970,Query!$O70)/AR$9,IF($J$7=2,HLOOKUP(AR$11,index1970,Query!$O70)/AR$9 * HLOOKUP(AR$11,comboutfac,Query!$O70),HLOOKUP(AR$11,index1970,Query!$O70)/AR$9 * HLOOKUP(AR$11,comboutfac,Query!$O70) /AR$8))</f>
        <v>3.8596943955294285</v>
      </c>
      <c r="AS35" s="213"/>
    </row>
    <row r="36" spans="1:45" s="122" customFormat="1">
      <c r="A36" s="121">
        <f t="shared" si="6"/>
        <v>1992</v>
      </c>
      <c r="B36" s="120">
        <f ca="1">IF($J$7=1,HLOOKUP(B$11,index1970,Query!$O71)/B$9,IF($J$7=2,HLOOKUP(B$11,index1970,Query!$O71)/B$9 * HLOOKUP(B$11,comboutfac,Query!$O71),HLOOKUP(B$11,index1970,Query!$O71)/B$9 * HLOOKUP(B$11,comboutfac,Query!$O71) /B$8))</f>
        <v>3.9534955755806731</v>
      </c>
      <c r="C36" s="120">
        <f ca="1">IF($J$7=1,HLOOKUP(C$11,index1970,Query!$O71)/C$9,IF($J$7=2,HLOOKUP(C$11,index1970,Query!$O71)/C$9 * HLOOKUP(C$11,comboutfac,Query!$O71),HLOOKUP(C$11,index1970,Query!$O71)/C$9 * HLOOKUP(C$11,comboutfac,Query!$O71) /C$8))</f>
        <v>3.8793589182871022</v>
      </c>
      <c r="D36" s="120">
        <f ca="1">IF($J$7=1,HLOOKUP(D$11,index1970,Query!$O71)/D$9,IF($J$7=2,HLOOKUP(D$11,index1970,Query!$O71)/D$9 * HLOOKUP(D$11,comboutfac,Query!$O71),HLOOKUP(D$11,index1970,Query!$O71)/D$9 * HLOOKUP(D$11,comboutfac,Query!$O71) /D$8))</f>
        <v>3.832137216314166</v>
      </c>
      <c r="E36" s="120">
        <f ca="1">IF($J$7=1,HLOOKUP(E$11,index1970,Query!$O71)/E$9,IF($J$7=2,HLOOKUP(E$11,index1970,Query!$O71)/E$9 * HLOOKUP(E$11,comboutfac,Query!$O71),HLOOKUP(E$11,index1970,Query!$O71)/E$9 * HLOOKUP(E$11,comboutfac,Query!$O71) /E$8))</f>
        <v>3.3019673583137794</v>
      </c>
      <c r="F36" s="120">
        <f ca="1">IF($J$7=1,HLOOKUP(F$11,index1970,Query!$O71)/F$9,IF($J$7=2,HLOOKUP(F$11,index1970,Query!$O71)/F$9 * HLOOKUP(F$11,comboutfac,Query!$O71),HLOOKUP(F$11,index1970,Query!$O71)/F$9 * HLOOKUP(F$11,comboutfac,Query!$O71) /F$8))</f>
        <v>3.8793589182871022</v>
      </c>
      <c r="G36" s="120">
        <f ca="1">IF($J$7=1,HLOOKUP(G$11,index1970,Query!$O71)/G$9,IF($J$7=2,HLOOKUP(G$11,index1970,Query!$O71)/G$9 * HLOOKUP(G$11,comboutfac,Query!$O71),HLOOKUP(G$11,index1970,Query!$O71)/G$9 * HLOOKUP(G$11,comboutfac,Query!$O71) /G$8))</f>
        <v>3.9564449070600074</v>
      </c>
      <c r="H36" s="120">
        <f ca="1">IF($J$7=1,HLOOKUP(H$11,index1970,Query!$O71)/H$9,IF($J$7=2,HLOOKUP(H$11,index1970,Query!$O71)/H$9 * HLOOKUP(H$11,comboutfac,Query!$O71),HLOOKUP(H$11,index1970,Query!$O71)/H$9 * HLOOKUP(H$11,comboutfac,Query!$O71) /H$8))</f>
        <v>3.8430025308438678</v>
      </c>
      <c r="I36" s="120">
        <f ca="1">IF($J$7=1,HLOOKUP(I$11,index1970,Query!$O71)/I$9,IF($J$7=2,HLOOKUP(I$11,index1970,Query!$O71)/I$9 * HLOOKUP(I$11,comboutfac,Query!$O71),HLOOKUP(I$11,index1970,Query!$O71)/I$9 * HLOOKUP(I$11,comboutfac,Query!$O71) /I$8))</f>
        <v>3.7672815211727722</v>
      </c>
      <c r="J36" s="120">
        <f ca="1">IF($J$7=1,HLOOKUP(J$11,index1970,Query!$O71)/J$9,IF($J$7=2,HLOOKUP(J$11,index1970,Query!$O71)/J$9 * HLOOKUP(J$11,comboutfac,Query!$O71),HLOOKUP(J$11,index1970,Query!$O71)/J$9 * HLOOKUP(J$11,comboutfac,Query!$O71) /J$8))</f>
        <v>2.5539920464973984</v>
      </c>
      <c r="K36" s="120">
        <f ca="1">IF($J$7=1,HLOOKUP(K$11,index1970,Query!$O71)/K$9,IF($J$7=2,HLOOKUP(K$11,index1970,Query!$O71)/K$9 * HLOOKUP(K$11,comboutfac,Query!$O71),HLOOKUP(K$11,index1970,Query!$O71)/K$9 * HLOOKUP(K$11,comboutfac,Query!$O71) /K$8))</f>
        <v>4.0152716050879027</v>
      </c>
      <c r="L36" s="120">
        <f ca="1">IF($J$7=1,HLOOKUP(L$11,index1970,Query!$O71)/L$9,IF($J$7=2,HLOOKUP(L$11,index1970,Query!$O71)/L$9 * HLOOKUP(L$11,comboutfac,Query!$O71),HLOOKUP(L$11,index1970,Query!$O71)/L$9 * HLOOKUP(L$11,comboutfac,Query!$O71) /L$8))</f>
        <v>3.8255504981170341</v>
      </c>
      <c r="M36" s="120">
        <f ca="1">IF($J$7=1,HLOOKUP(M$11,index1970,Query!$O71)/M$9,IF($J$7=2,HLOOKUP(M$11,index1970,Query!$O71)/M$9 * HLOOKUP(M$11,comboutfac,Query!$O71),HLOOKUP(M$11,index1970,Query!$O71)/M$9 * HLOOKUP(M$11,comboutfac,Query!$O71) /M$8))</f>
        <v>3.3189784616423217</v>
      </c>
      <c r="N36" s="120">
        <f ca="1">IF($J$7=1,HLOOKUP(N$11,index1970,Query!$O71)/N$9,IF($J$7=2,HLOOKUP(N$11,index1970,Query!$O71)/N$9 * HLOOKUP(N$11,comboutfac,Query!$O71),HLOOKUP(N$11,index1970,Query!$O71)/N$9 * HLOOKUP(N$11,comboutfac,Query!$O71) /N$8))</f>
        <v>3.8793589182871022</v>
      </c>
      <c r="O36" s="120">
        <f ca="1">IF($J$7=1,HLOOKUP(O$11,index1970,Query!$O71)/O$9,IF($J$7=2,HLOOKUP(O$11,index1970,Query!$O71)/O$9 * HLOOKUP(O$11,comboutfac,Query!$O71),HLOOKUP(O$11,index1970,Query!$O71)/O$9 * HLOOKUP(O$11,comboutfac,Query!$O71) /O$8))</f>
        <v>3.8317034650915613</v>
      </c>
      <c r="P36" s="120">
        <f ca="1">IF($J$7=1,HLOOKUP(P$11,index1970,Query!$O71)/P$9,IF($J$7=2,HLOOKUP(P$11,index1970,Query!$O71)/P$9 * HLOOKUP(P$11,comboutfac,Query!$O71),HLOOKUP(P$11,index1970,Query!$O71)/P$9 * HLOOKUP(P$11,comboutfac,Query!$O71) /P$8))</f>
        <v>3.9786092907240267</v>
      </c>
      <c r="Q36" s="120">
        <f ca="1">IF($J$7=1,HLOOKUP(Q$11,index1970,Query!$O71)/Q$9,IF($J$7=2,HLOOKUP(Q$11,index1970,Query!$O71)/Q$9 * HLOOKUP(Q$11,comboutfac,Query!$O71),HLOOKUP(Q$11,index1970,Query!$O71)/Q$9 * HLOOKUP(Q$11,comboutfac,Query!$O71) /Q$8))</f>
        <v>3.4093286132874638</v>
      </c>
      <c r="R36" s="120">
        <f ca="1">IF($J$7=1,HLOOKUP(R$11,index1970,Query!$O71)/R$9,IF($J$7=2,HLOOKUP(R$11,index1970,Query!$O71)/R$9 * HLOOKUP(R$11,comboutfac,Query!$O71),HLOOKUP(R$11,index1970,Query!$O71)/R$9 * HLOOKUP(R$11,comboutfac,Query!$O71) /R$8))</f>
        <v>3.9048475097531359</v>
      </c>
      <c r="S36" s="120">
        <f ca="1">IF($J$7=1,HLOOKUP(S$11,index1970,Query!$O71)/S$9,IF($J$7=2,HLOOKUP(S$11,index1970,Query!$O71)/S$9 * HLOOKUP(S$11,comboutfac,Query!$O71),HLOOKUP(S$11,index1970,Query!$O71)/S$9 * HLOOKUP(S$11,comboutfac,Query!$O71) /S$8))</f>
        <v>3.3902884109495672</v>
      </c>
      <c r="T36" s="120">
        <f ca="1">IF($J$7=1,HLOOKUP(T$11,index1970,Query!$O71)/T$9,IF($J$7=2,HLOOKUP(T$11,index1970,Query!$O71)/T$9 * HLOOKUP(T$11,comboutfac,Query!$O71),HLOOKUP(T$11,index1970,Query!$O71)/T$9 * HLOOKUP(T$11,comboutfac,Query!$O71) /T$8))</f>
        <v>3.3054839526967852</v>
      </c>
      <c r="U36" s="120">
        <f ca="1">IF($J$7=1,HLOOKUP(U$11,index1970,Query!$O71)/U$9,IF($J$7=2,HLOOKUP(U$11,index1970,Query!$O71)/U$9 * HLOOKUP(U$11,comboutfac,Query!$O71),HLOOKUP(U$11,index1970,Query!$O71)/U$9 * HLOOKUP(U$11,comboutfac,Query!$O71) /U$8))</f>
        <v>3.706106747164128</v>
      </c>
      <c r="V36" s="120">
        <f ca="1">IF($J$7=1,HLOOKUP(V$11,index1970,Query!$O71)/V$9,IF($J$7=2,HLOOKUP(V$11,index1970,Query!$O71)/V$9 * HLOOKUP(V$11,comboutfac,Query!$O71),HLOOKUP(V$11,index1970,Query!$O71)/V$9 * HLOOKUP(V$11,comboutfac,Query!$O71) /V$8))</f>
        <v>3.8384997141986648</v>
      </c>
      <c r="W36" s="120">
        <f ca="1">IF($J$7=1,HLOOKUP(W$11,index1970,Query!$O71)/W$9,IF($J$7=2,HLOOKUP(W$11,index1970,Query!$O71)/W$9 * HLOOKUP(W$11,comboutfac,Query!$O71),HLOOKUP(W$11,index1970,Query!$O71)/W$9 * HLOOKUP(W$11,comboutfac,Query!$O71) /W$8))</f>
        <v>3.7299980992407757</v>
      </c>
      <c r="X36" s="120">
        <f ca="1">IF($J$7=1,HLOOKUP(X$11,index1970,Query!$O71)/X$9,IF($J$7=2,HLOOKUP(X$11,index1970,Query!$O71)/X$9 * HLOOKUP(X$11,comboutfac,Query!$O71),HLOOKUP(X$11,index1970,Query!$O71)/X$9 * HLOOKUP(X$11,comboutfac,Query!$O71) /X$8))</f>
        <v>3.846970097114331</v>
      </c>
      <c r="Y36" s="120">
        <f ca="1">IF($J$7=1,HLOOKUP(Y$11,index1970,Query!$O71)/Y$9,IF($J$7=2,HLOOKUP(Y$11,index1970,Query!$O71)/Y$9 * HLOOKUP(Y$11,comboutfac,Query!$O71),HLOOKUP(Y$11,index1970,Query!$O71)/Y$9 * HLOOKUP(Y$11,comboutfac,Query!$O71) /Y$8))</f>
        <v>3.8146231371782604</v>
      </c>
      <c r="Z36" s="120">
        <f ca="1">IF($J$7=1,HLOOKUP(Z$11,index1970,Query!$O71)/Z$9,IF($J$7=2,HLOOKUP(Z$11,index1970,Query!$O71)/Z$9 * HLOOKUP(Z$11,comboutfac,Query!$O71),HLOOKUP(Z$11,index1970,Query!$O71)/Z$9 * HLOOKUP(Z$11,comboutfac,Query!$O71) /Z$8))</f>
        <v>3.8486196094354646</v>
      </c>
      <c r="AA36" s="120">
        <f ca="1">IF($J$7=1,HLOOKUP(AA$11,index1970,Query!$O71)/AA$9,IF($J$7=2,HLOOKUP(AA$11,index1970,Query!$O71)/AA$9 * HLOOKUP(AA$11,comboutfac,Query!$O71),HLOOKUP(AA$11,index1970,Query!$O71)/AA$9 * HLOOKUP(AA$11,comboutfac,Query!$O71) /AA$8))</f>
        <v>3.8513458231193698</v>
      </c>
      <c r="AB36" s="120">
        <f ca="1">IF($J$7=1,HLOOKUP(AB$11,index1970,Query!$O71)/AB$9,IF($J$7=2,HLOOKUP(AB$11,index1970,Query!$O71)/AB$9 * HLOOKUP(AB$11,comboutfac,Query!$O71),HLOOKUP(AB$11,index1970,Query!$O71)/AB$9 * HLOOKUP(AB$11,comboutfac,Query!$O71) /AB$8))</f>
        <v>3.5922095999496948</v>
      </c>
      <c r="AC36" s="120">
        <f ca="1">IF($J$7=1,HLOOKUP(AC$11,index1970,Query!$O71)/AC$9,IF($J$7=2,HLOOKUP(AC$11,index1970,Query!$O71)/AC$9 * HLOOKUP(AC$11,comboutfac,Query!$O71),HLOOKUP(AC$11,index1970,Query!$O71)/AC$9 * HLOOKUP(AC$11,comboutfac,Query!$O71) /AC$8))</f>
        <v>3.8794178268034423</v>
      </c>
      <c r="AD36" s="120">
        <f ca="1">IF($J$7=1,HLOOKUP(AD$11,index1970,Query!$O71)/AD$9,IF($J$7=2,HLOOKUP(AD$11,index1970,Query!$O71)/AD$9 * HLOOKUP(AD$11,comboutfac,Query!$O71),HLOOKUP(AD$11,index1970,Query!$O71)/AD$9 * HLOOKUP(AD$11,comboutfac,Query!$O71) /AD$8))</f>
        <v>3.8652728001110095</v>
      </c>
      <c r="AE36" s="120">
        <f ca="1">IF($J$7=1,HLOOKUP(AE$11,index1970,Query!$O71)/AE$9,IF($J$7=2,HLOOKUP(AE$11,index1970,Query!$O71)/AE$9 * HLOOKUP(AE$11,comboutfac,Query!$O71),HLOOKUP(AE$11,index1970,Query!$O71)/AE$9 * HLOOKUP(AE$11,comboutfac,Query!$O71) /AE$8))</f>
        <v>3.3939548103395838</v>
      </c>
      <c r="AF36" s="120">
        <f ca="1">IF($J$7=1,HLOOKUP(AF$11,index1970,Query!$O71)/AF$9,IF($J$7=2,HLOOKUP(AF$11,index1970,Query!$O71)/AF$9 * HLOOKUP(AF$11,comboutfac,Query!$O71),HLOOKUP(AF$11,index1970,Query!$O71)/AF$9 * HLOOKUP(AF$11,comboutfac,Query!$O71) /AF$8))</f>
        <v>5.3954474037364371</v>
      </c>
      <c r="AG36" s="120">
        <f ca="1">IF($J$7=1,HLOOKUP(AG$11,index1970,Query!$O71)/AG$9,IF($J$7=2,HLOOKUP(AG$11,index1970,Query!$O71)/AG$9 * HLOOKUP(AG$11,comboutfac,Query!$O71),HLOOKUP(AG$11,index1970,Query!$O71)/AG$9 * HLOOKUP(AG$11,comboutfac,Query!$O71) /AG$8))</f>
        <v>3.9462221083398576</v>
      </c>
      <c r="AH36" s="120">
        <f ca="1">IF($J$7=1,HLOOKUP(AH$11,index1970,Query!$O71)/AH$9,IF($J$7=2,HLOOKUP(AH$11,index1970,Query!$O71)/AH$9 * HLOOKUP(AH$11,comboutfac,Query!$O71),HLOOKUP(AH$11,index1970,Query!$O71)/AH$9 * HLOOKUP(AH$11,comboutfac,Query!$O71) /AH$8))</f>
        <v>3.3189784616423217</v>
      </c>
      <c r="AI36" s="120">
        <f ca="1">IF($J$7=1,HLOOKUP(AI$11,index1970,Query!$O71)/AI$9,IF($J$7=2,HLOOKUP(AI$11,index1970,Query!$O71)/AI$9 * HLOOKUP(AI$11,comboutfac,Query!$O71),HLOOKUP(AI$11,index1970,Query!$O71)/AI$9 * HLOOKUP(AI$11,comboutfac,Query!$O71) /AI$8))</f>
        <v>3.4256084714409885</v>
      </c>
      <c r="AJ36" s="120">
        <f ca="1">IF($J$7=1,HLOOKUP(AJ$11,index1970,Query!$O71)/AJ$9,IF($J$7=2,HLOOKUP(AJ$11,index1970,Query!$O71)/AJ$9 * HLOOKUP(AJ$11,comboutfac,Query!$O71),HLOOKUP(AJ$11,index1970,Query!$O71)/AJ$9 * HLOOKUP(AJ$11,comboutfac,Query!$O71) /AJ$8))</f>
        <v>3.3189784616423217</v>
      </c>
      <c r="AK36" s="120">
        <f ca="1">IF($J$7=1,HLOOKUP(AK$11,index1970,Query!$O71)/AK$9,IF($J$7=2,HLOOKUP(AK$11,index1970,Query!$O71)/AK$9 * HLOOKUP(AK$11,comboutfac,Query!$O71),HLOOKUP(AK$11,index1970,Query!$O71)/AK$9 * HLOOKUP(AK$11,comboutfac,Query!$O71) /AK$8))</f>
        <v>3.4130107476752993</v>
      </c>
      <c r="AL36" s="120">
        <f ca="1">IF($J$7=1,HLOOKUP(AL$11,index1970,Query!$O71)/AL$9,IF($J$7=2,HLOOKUP(AL$11,index1970,Query!$O71)/AL$9 * HLOOKUP(AL$11,comboutfac,Query!$O71),HLOOKUP(AL$11,index1970,Query!$O71)/AL$9 * HLOOKUP(AL$11,comboutfac,Query!$O71) /AL$8))</f>
        <v>3.8887784088340451</v>
      </c>
      <c r="AM36" s="120">
        <f ca="1">IF($J$7=1,HLOOKUP(AM$11,index1970,Query!$O71)/AM$9,IF($J$7=2,HLOOKUP(AM$11,index1970,Query!$O71)/AM$9 * HLOOKUP(AM$11,comboutfac,Query!$O71),HLOOKUP(AM$11,index1970,Query!$O71)/AM$9 * HLOOKUP(AM$11,comboutfac,Query!$O71) /AM$8))</f>
        <v>3.4272894149692661</v>
      </c>
      <c r="AN36" s="120">
        <f ca="1">IF($J$7=1,HLOOKUP(AN$11,index1970,Query!$O71)/AN$9,IF($J$7=2,HLOOKUP(AN$11,index1970,Query!$O71)/AN$9 * HLOOKUP(AN$11,comboutfac,Query!$O71),HLOOKUP(AN$11,index1970,Query!$O71)/AN$9 * HLOOKUP(AN$11,comboutfac,Query!$O71) /AN$8))</f>
        <v>3.9230311016888697</v>
      </c>
      <c r="AO36" s="120">
        <f ca="1">IF($J$7=1,HLOOKUP(AO$11,index1970,Query!$O71)/AO$9,IF($J$7=2,HLOOKUP(AO$11,index1970,Query!$O71)/AO$9 * HLOOKUP(AO$11,comboutfac,Query!$O71),HLOOKUP(AO$11,index1970,Query!$O71)/AO$9 * HLOOKUP(AO$11,comboutfac,Query!$O71) /AO$8))</f>
        <v>3.4168262274521521</v>
      </c>
      <c r="AP36" s="120">
        <f ca="1">IF($J$7=1,HLOOKUP(AP$11,index1970,Query!$O71)/AP$9,IF($J$7=2,HLOOKUP(AP$11,index1970,Query!$O71)/AP$9 * HLOOKUP(AP$11,comboutfac,Query!$O71),HLOOKUP(AP$11,index1970,Query!$O71)/AP$9 * HLOOKUP(AP$11,comboutfac,Query!$O71) /AP$8))</f>
        <v>5.6133253203207989</v>
      </c>
      <c r="AQ36" s="683">
        <f ca="1">IF($J$7=1,HLOOKUP(AQ$11,index1970,Query!$O71)/AQ$9,IF($J$7=2,HLOOKUP(AQ$11,index1970,Query!$O71)/AQ$9 * HLOOKUP(AQ$11,comboutfac,Query!$O71),HLOOKUP(AQ$11,index1970,Query!$O71)/AQ$9 * HLOOKUP(AQ$11,comboutfac,Query!$O71) /AQ$8))</f>
        <v>3.706106747164128</v>
      </c>
      <c r="AR36" s="120">
        <f ca="1">IF($J$7=1,HLOOKUP(AR$11,index1970,Query!$O71)/AR$9,IF($J$7=2,HLOOKUP(AR$11,index1970,Query!$O71)/AR$9 * HLOOKUP(AR$11,comboutfac,Query!$O71),HLOOKUP(AR$11,index1970,Query!$O71)/AR$9 * HLOOKUP(AR$11,comboutfac,Query!$O71) /AR$8))</f>
        <v>3.957339322404871</v>
      </c>
      <c r="AS36" s="213"/>
    </row>
    <row r="37" spans="1:45" s="122" customFormat="1">
      <c r="A37" s="121">
        <f t="shared" si="6"/>
        <v>1993</v>
      </c>
      <c r="B37" s="120">
        <f ca="1">IF($J$7=1,HLOOKUP(B$11,index1970,Query!$O72)/B$9,IF($J$7=2,HLOOKUP(B$11,index1970,Query!$O72)/B$9 * HLOOKUP(B$11,comboutfac,Query!$O72),HLOOKUP(B$11,index1970,Query!$O72)/B$9 * HLOOKUP(B$11,comboutfac,Query!$O72) /B$8))</f>
        <v>4.0272117904727693</v>
      </c>
      <c r="C37" s="120">
        <f ca="1">IF($J$7=1,HLOOKUP(C$11,index1970,Query!$O72)/C$9,IF($J$7=2,HLOOKUP(C$11,index1970,Query!$O72)/C$9 * HLOOKUP(C$11,comboutfac,Query!$O72),HLOOKUP(C$11,index1970,Query!$O72)/C$9 * HLOOKUP(C$11,comboutfac,Query!$O72) /C$8))</f>
        <v>3.9215886349448073</v>
      </c>
      <c r="D37" s="120">
        <f ca="1">IF($J$7=1,HLOOKUP(D$11,index1970,Query!$O72)/D$9,IF($J$7=2,HLOOKUP(D$11,index1970,Query!$O72)/D$9 * HLOOKUP(D$11,comboutfac,Query!$O72),HLOOKUP(D$11,index1970,Query!$O72)/D$9 * HLOOKUP(D$11,comboutfac,Query!$O72) /D$8))</f>
        <v>3.9356049211546478</v>
      </c>
      <c r="E37" s="120">
        <f ca="1">IF($J$7=1,HLOOKUP(E$11,index1970,Query!$O72)/E$9,IF($J$7=2,HLOOKUP(E$11,index1970,Query!$O72)/E$9 * HLOOKUP(E$11,comboutfac,Query!$O72),HLOOKUP(E$11,index1970,Query!$O72)/E$9 * HLOOKUP(E$11,comboutfac,Query!$O72) /E$8))</f>
        <v>3.4281025114013657</v>
      </c>
      <c r="F37" s="120">
        <f ca="1">IF($J$7=1,HLOOKUP(F$11,index1970,Query!$O72)/F$9,IF($J$7=2,HLOOKUP(F$11,index1970,Query!$O72)/F$9 * HLOOKUP(F$11,comboutfac,Query!$O72),HLOOKUP(F$11,index1970,Query!$O72)/F$9 * HLOOKUP(F$11,comboutfac,Query!$O72) /F$8))</f>
        <v>3.9350853526795375</v>
      </c>
      <c r="G37" s="120">
        <f ca="1">IF($J$7=1,HLOOKUP(G$11,index1970,Query!$O72)/G$9,IF($J$7=2,HLOOKUP(G$11,index1970,Query!$O72)/G$9 * HLOOKUP(G$11,comboutfac,Query!$O72),HLOOKUP(G$11,index1970,Query!$O72)/G$9 * HLOOKUP(G$11,comboutfac,Query!$O72) /G$8))</f>
        <v>4.092522283261296</v>
      </c>
      <c r="H37" s="120">
        <f ca="1">IF($J$7=1,HLOOKUP(H$11,index1970,Query!$O72)/H$9,IF($J$7=2,HLOOKUP(H$11,index1970,Query!$O72)/H$9 * HLOOKUP(H$11,comboutfac,Query!$O72),HLOOKUP(H$11,index1970,Query!$O72)/H$9 * HLOOKUP(H$11,comboutfac,Query!$O72) /H$8))</f>
        <v>3.9366982544687104</v>
      </c>
      <c r="I37" s="120">
        <f ca="1">IF($J$7=1,HLOOKUP(I$11,index1970,Query!$O72)/I$9,IF($J$7=2,HLOOKUP(I$11,index1970,Query!$O72)/I$9 * HLOOKUP(I$11,comboutfac,Query!$O72),HLOOKUP(I$11,index1970,Query!$O72)/I$9 * HLOOKUP(I$11,comboutfac,Query!$O72) /I$8))</f>
        <v>3.866392440452735</v>
      </c>
      <c r="J37" s="120">
        <f ca="1">IF($J$7=1,HLOOKUP(J$11,index1970,Query!$O72)/J$9,IF($J$7=2,HLOOKUP(J$11,index1970,Query!$O72)/J$9 * HLOOKUP(J$11,comboutfac,Query!$O72),HLOOKUP(J$11,index1970,Query!$O72)/J$9 * HLOOKUP(J$11,comboutfac,Query!$O72) /J$8))</f>
        <v>2.5894769042520633</v>
      </c>
      <c r="K37" s="120">
        <f ca="1">IF($J$7=1,HLOOKUP(K$11,index1970,Query!$O72)/K$9,IF($J$7=2,HLOOKUP(K$11,index1970,Query!$O72)/K$9 * HLOOKUP(K$11,comboutfac,Query!$O72),HLOOKUP(K$11,index1970,Query!$O72)/K$9 * HLOOKUP(K$11,comboutfac,Query!$O72) /K$8))</f>
        <v>4.1686549804022608</v>
      </c>
      <c r="L37" s="120">
        <f ca="1">IF($J$7=1,HLOOKUP(L$11,index1970,Query!$O72)/L$9,IF($J$7=2,HLOOKUP(L$11,index1970,Query!$O72)/L$9 * HLOOKUP(L$11,comboutfac,Query!$O72),HLOOKUP(L$11,index1970,Query!$O72)/L$9 * HLOOKUP(L$11,comboutfac,Query!$O72) /L$8))</f>
        <v>3.8914450402990481</v>
      </c>
      <c r="M37" s="120">
        <f ca="1">IF($J$7=1,HLOOKUP(M$11,index1970,Query!$O72)/M$9,IF($J$7=2,HLOOKUP(M$11,index1970,Query!$O72)/M$9 * HLOOKUP(M$11,comboutfac,Query!$O72),HLOOKUP(M$11,index1970,Query!$O72)/M$9 * HLOOKUP(M$11,comboutfac,Query!$O72) /M$8))</f>
        <v>3.4362807922548289</v>
      </c>
      <c r="N37" s="120">
        <f ca="1">IF($J$7=1,HLOOKUP(N$11,index1970,Query!$O72)/N$9,IF($J$7=2,HLOOKUP(N$11,index1970,Query!$O72)/N$9 * HLOOKUP(N$11,comboutfac,Query!$O72),HLOOKUP(N$11,index1970,Query!$O72)/N$9 * HLOOKUP(N$11,comboutfac,Query!$O72) /N$8))</f>
        <v>3.9563576829889717</v>
      </c>
      <c r="O37" s="120">
        <f ca="1">IF($J$7=1,HLOOKUP(O$11,index1970,Query!$O72)/O$9,IF($J$7=2,HLOOKUP(O$11,index1970,Query!$O72)/O$9 * HLOOKUP(O$11,comboutfac,Query!$O72),HLOOKUP(O$11,index1970,Query!$O72)/O$9 * HLOOKUP(O$11,comboutfac,Query!$O72) /O$8))</f>
        <v>4.0417207666583259</v>
      </c>
      <c r="P37" s="120">
        <f ca="1">IF($J$7=1,HLOOKUP(P$11,index1970,Query!$O72)/P$9,IF($J$7=2,HLOOKUP(P$11,index1970,Query!$O72)/P$9 * HLOOKUP(P$11,comboutfac,Query!$O72),HLOOKUP(P$11,index1970,Query!$O72)/P$9 * HLOOKUP(P$11,comboutfac,Query!$O72) /P$8))</f>
        <v>4.1261495524820093</v>
      </c>
      <c r="Q37" s="120">
        <f ca="1">IF($J$7=1,HLOOKUP(Q$11,index1970,Query!$O72)/Q$9,IF($J$7=2,HLOOKUP(Q$11,index1970,Query!$O72)/Q$9 * HLOOKUP(Q$11,comboutfac,Query!$O72),HLOOKUP(Q$11,index1970,Query!$O72)/Q$9 * HLOOKUP(Q$11,comboutfac,Query!$O72) /Q$8))</f>
        <v>3.4813942425776823</v>
      </c>
      <c r="R37" s="120">
        <f ca="1">IF($J$7=1,HLOOKUP(R$11,index1970,Query!$O72)/R$9,IF($J$7=2,HLOOKUP(R$11,index1970,Query!$O72)/R$9 * HLOOKUP(R$11,comboutfac,Query!$O72),HLOOKUP(R$11,index1970,Query!$O72)/R$9 * HLOOKUP(R$11,comboutfac,Query!$O72) /R$8))</f>
        <v>4.0523329964119004</v>
      </c>
      <c r="S37" s="120">
        <f ca="1">IF($J$7=1,HLOOKUP(S$11,index1970,Query!$O72)/S$9,IF($J$7=2,HLOOKUP(S$11,index1970,Query!$O72)/S$9 * HLOOKUP(S$11,comboutfac,Query!$O72),HLOOKUP(S$11,index1970,Query!$O72)/S$9 * HLOOKUP(S$11,comboutfac,Query!$O72) /S$8))</f>
        <v>3.483098138078863</v>
      </c>
      <c r="T37" s="120">
        <f ca="1">IF($J$7=1,HLOOKUP(T$11,index1970,Query!$O72)/T$9,IF($J$7=2,HLOOKUP(T$11,index1970,Query!$O72)/T$9 * HLOOKUP(T$11,comboutfac,Query!$O72),HLOOKUP(T$11,index1970,Query!$O72)/T$9 * HLOOKUP(T$11,comboutfac,Query!$O72) /T$8))</f>
        <v>3.3947320194195982</v>
      </c>
      <c r="U37" s="120">
        <f ca="1">IF($J$7=1,HLOOKUP(U$11,index1970,Query!$O72)/U$9,IF($J$7=2,HLOOKUP(U$11,index1970,Query!$O72)/U$9 * HLOOKUP(U$11,comboutfac,Query!$O72),HLOOKUP(U$11,index1970,Query!$O72)/U$9 * HLOOKUP(U$11,comboutfac,Query!$O72) /U$8))</f>
        <v>3.5927422231300663</v>
      </c>
      <c r="V37" s="120">
        <f ca="1">IF($J$7=1,HLOOKUP(V$11,index1970,Query!$O72)/V$9,IF($J$7=2,HLOOKUP(V$11,index1970,Query!$O72)/V$9 * HLOOKUP(V$11,comboutfac,Query!$O72),HLOOKUP(V$11,index1970,Query!$O72)/V$9 * HLOOKUP(V$11,comboutfac,Query!$O72) /V$8))</f>
        <v>3.9421392064820284</v>
      </c>
      <c r="W37" s="120">
        <f ca="1">IF($J$7=1,HLOOKUP(W$11,index1970,Query!$O72)/W$9,IF($J$7=2,HLOOKUP(W$11,index1970,Query!$O72)/W$9 * HLOOKUP(W$11,comboutfac,Query!$O72),HLOOKUP(W$11,index1970,Query!$O72)/W$9 * HLOOKUP(W$11,comboutfac,Query!$O72) /W$8))</f>
        <v>3.8330185042845599</v>
      </c>
      <c r="X37" s="120">
        <f ca="1">IF($J$7=1,HLOOKUP(X$11,index1970,Query!$O72)/X$9,IF($J$7=2,HLOOKUP(X$11,index1970,Query!$O72)/X$9 * HLOOKUP(X$11,comboutfac,Query!$O72),HLOOKUP(X$11,index1970,Query!$O72)/X$9 * HLOOKUP(X$11,comboutfac,Query!$O72) /X$8))</f>
        <v>3.9403595512408041</v>
      </c>
      <c r="Y37" s="120">
        <f ca="1">IF($J$7=1,HLOOKUP(Y$11,index1970,Query!$O72)/Y$9,IF($J$7=2,HLOOKUP(Y$11,index1970,Query!$O72)/Y$9 * HLOOKUP(Y$11,comboutfac,Query!$O72),HLOOKUP(Y$11,index1970,Query!$O72)/Y$9 * HLOOKUP(Y$11,comboutfac,Query!$O72) /Y$8))</f>
        <v>3.9112962163032643</v>
      </c>
      <c r="Z37" s="120">
        <f ca="1">IF($J$7=1,HLOOKUP(Z$11,index1970,Query!$O72)/Z$9,IF($J$7=2,HLOOKUP(Z$11,index1970,Query!$O72)/Z$9 * HLOOKUP(Z$11,comboutfac,Query!$O72),HLOOKUP(Z$11,index1970,Query!$O72)/Z$9 * HLOOKUP(Z$11,comboutfac,Query!$O72) /Z$8))</f>
        <v>3.9576690432293082</v>
      </c>
      <c r="AA37" s="120">
        <f ca="1">IF($J$7=1,HLOOKUP(AA$11,index1970,Query!$O72)/AA$9,IF($J$7=2,HLOOKUP(AA$11,index1970,Query!$O72)/AA$9 * HLOOKUP(AA$11,comboutfac,Query!$O72),HLOOKUP(AA$11,index1970,Query!$O72)/AA$9 * HLOOKUP(AA$11,comboutfac,Query!$O72) /AA$8))</f>
        <v>3.9350815811193431</v>
      </c>
      <c r="AB37" s="120">
        <f ca="1">IF($J$7=1,HLOOKUP(AB$11,index1970,Query!$O72)/AB$9,IF($J$7=2,HLOOKUP(AB$11,index1970,Query!$O72)/AB$9 * HLOOKUP(AB$11,comboutfac,Query!$O72),HLOOKUP(AB$11,index1970,Query!$O72)/AB$9 * HLOOKUP(AB$11,comboutfac,Query!$O72) /AB$8))</f>
        <v>3.6974341353879647</v>
      </c>
      <c r="AC37" s="120">
        <f ca="1">IF($J$7=1,HLOOKUP(AC$11,index1970,Query!$O72)/AC$9,IF($J$7=2,HLOOKUP(AC$11,index1970,Query!$O72)/AC$9 * HLOOKUP(AC$11,comboutfac,Query!$O72),HLOOKUP(AC$11,index1970,Query!$O72)/AC$9 * HLOOKUP(AC$11,comboutfac,Query!$O72) /AC$8))</f>
        <v>3.9581303775875791</v>
      </c>
      <c r="AD37" s="120">
        <f ca="1">IF($J$7=1,HLOOKUP(AD$11,index1970,Query!$O72)/AD$9,IF($J$7=2,HLOOKUP(AD$11,index1970,Query!$O72)/AD$9 * HLOOKUP(AD$11,comboutfac,Query!$O72),HLOOKUP(AD$11,index1970,Query!$O72)/AD$9 * HLOOKUP(AD$11,comboutfac,Query!$O72) /AD$8))</f>
        <v>3.9398736119805622</v>
      </c>
      <c r="AE37" s="120">
        <f ca="1">IF($J$7=1,HLOOKUP(AE$11,index1970,Query!$O72)/AE$9,IF($J$7=2,HLOOKUP(AE$11,index1970,Query!$O72)/AE$9 * HLOOKUP(AE$11,comboutfac,Query!$O72),HLOOKUP(AE$11,index1970,Query!$O72)/AE$9 * HLOOKUP(AE$11,comboutfac,Query!$O72) /AE$8))</f>
        <v>3.4326605195820994</v>
      </c>
      <c r="AF37" s="120">
        <f ca="1">IF($J$7=1,HLOOKUP(AF$11,index1970,Query!$O72)/AF$9,IF($J$7=2,HLOOKUP(AF$11,index1970,Query!$O72)/AF$9 * HLOOKUP(AF$11,comboutfac,Query!$O72),HLOOKUP(AF$11,index1970,Query!$O72)/AF$9 * HLOOKUP(AF$11,comboutfac,Query!$O72) /AF$8))</f>
        <v>5.5164215396669132</v>
      </c>
      <c r="AG37" s="120">
        <f ca="1">IF($J$7=1,HLOOKUP(AG$11,index1970,Query!$O72)/AG$9,IF($J$7=2,HLOOKUP(AG$11,index1970,Query!$O72)/AG$9 * HLOOKUP(AG$11,comboutfac,Query!$O72),HLOOKUP(AG$11,index1970,Query!$O72)/AG$9 * HLOOKUP(AG$11,comboutfac,Query!$O72) /AG$8))</f>
        <v>4.0472981100592111</v>
      </c>
      <c r="AH37" s="120">
        <f ca="1">IF($J$7=1,HLOOKUP(AH$11,index1970,Query!$O72)/AH$9,IF($J$7=2,HLOOKUP(AH$11,index1970,Query!$O72)/AH$9 * HLOOKUP(AH$11,comboutfac,Query!$O72),HLOOKUP(AH$11,index1970,Query!$O72)/AH$9 * HLOOKUP(AH$11,comboutfac,Query!$O72) /AH$8))</f>
        <v>3.4085908801066638</v>
      </c>
      <c r="AI37" s="120">
        <f ca="1">IF($J$7=1,HLOOKUP(AI$11,index1970,Query!$O72)/AI$9,IF($J$7=2,HLOOKUP(AI$11,index1970,Query!$O72)/AI$9 * HLOOKUP(AI$11,comboutfac,Query!$O72),HLOOKUP(AI$11,index1970,Query!$O72)/AI$9 * HLOOKUP(AI$11,comboutfac,Query!$O72) /AI$8))</f>
        <v>3.5056305823928837</v>
      </c>
      <c r="AJ37" s="120">
        <f ca="1">IF($J$7=1,HLOOKUP(AJ$11,index1970,Query!$O72)/AJ$9,IF($J$7=2,HLOOKUP(AJ$11,index1970,Query!$O72)/AJ$9 * HLOOKUP(AJ$11,comboutfac,Query!$O72),HLOOKUP(AJ$11,index1970,Query!$O72)/AJ$9 * HLOOKUP(AJ$11,comboutfac,Query!$O72) /AJ$8))</f>
        <v>3.3710325378903043</v>
      </c>
      <c r="AK37" s="120">
        <f ca="1">IF($J$7=1,HLOOKUP(AK$11,index1970,Query!$O72)/AK$9,IF($J$7=2,HLOOKUP(AK$11,index1970,Query!$O72)/AK$9 * HLOOKUP(AK$11,comboutfac,Query!$O72),HLOOKUP(AK$11,index1970,Query!$O72)/AK$9 * HLOOKUP(AK$11,comboutfac,Query!$O72) /AK$8))</f>
        <v>3.4919684506694764</v>
      </c>
      <c r="AL37" s="120">
        <f ca="1">IF($J$7=1,HLOOKUP(AL$11,index1970,Query!$O72)/AL$9,IF($J$7=2,HLOOKUP(AL$11,index1970,Query!$O72)/AL$9 * HLOOKUP(AL$11,comboutfac,Query!$O72),HLOOKUP(AL$11,index1970,Query!$O72)/AL$9 * HLOOKUP(AL$11,comboutfac,Query!$O72) /AL$8))</f>
        <v>4.0199495496356699</v>
      </c>
      <c r="AM37" s="120">
        <f ca="1">IF($J$7=1,HLOOKUP(AM$11,index1970,Query!$O72)/AM$9,IF($J$7=2,HLOOKUP(AM$11,index1970,Query!$O72)/AM$9 * HLOOKUP(AM$11,comboutfac,Query!$O72),HLOOKUP(AM$11,index1970,Query!$O72)/AM$9 * HLOOKUP(AM$11,comboutfac,Query!$O72) /AM$8))</f>
        <v>3.4884634709108715</v>
      </c>
      <c r="AN37" s="120">
        <f ca="1">IF($J$7=1,HLOOKUP(AN$11,index1970,Query!$O72)/AN$9,IF($J$7=2,HLOOKUP(AN$11,index1970,Query!$O72)/AN$9 * HLOOKUP(AN$11,comboutfac,Query!$O72),HLOOKUP(AN$11,index1970,Query!$O72)/AN$9 * HLOOKUP(AN$11,comboutfac,Query!$O72) /AN$8))</f>
        <v>4.0660803009050941</v>
      </c>
      <c r="AO37" s="120">
        <f ca="1">IF($J$7=1,HLOOKUP(AO$11,index1970,Query!$O72)/AO$9,IF($J$7=2,HLOOKUP(AO$11,index1970,Query!$O72)/AO$9 * HLOOKUP(AO$11,comboutfac,Query!$O72),HLOOKUP(AO$11,index1970,Query!$O72)/AO$9 * HLOOKUP(AO$11,comboutfac,Query!$O72) /AO$8))</f>
        <v>3.4925325748191325</v>
      </c>
      <c r="AP37" s="120">
        <f ca="1">IF($J$7=1,HLOOKUP(AP$11,index1970,Query!$O72)/AP$9,IF($J$7=2,HLOOKUP(AP$11,index1970,Query!$O72)/AP$9 * HLOOKUP(AP$11,comboutfac,Query!$O72),HLOOKUP(AP$11,index1970,Query!$O72)/AP$9 * HLOOKUP(AP$11,comboutfac,Query!$O72) /AP$8))</f>
        <v>5.6484680602055723</v>
      </c>
      <c r="AQ37" s="683">
        <f ca="1">IF($J$7=1,HLOOKUP(AQ$11,index1970,Query!$O72)/AQ$9,IF($J$7=2,HLOOKUP(AQ$11,index1970,Query!$O72)/AQ$9 * HLOOKUP(AQ$11,comboutfac,Query!$O72),HLOOKUP(AQ$11,index1970,Query!$O72)/AQ$9 * HLOOKUP(AQ$11,comboutfac,Query!$O72) /AQ$8))</f>
        <v>3.7435287388217278</v>
      </c>
      <c r="AR37" s="120">
        <f ca="1">IF($J$7=1,HLOOKUP(AR$11,index1970,Query!$O72)/AR$9,IF($J$7=2,HLOOKUP(AR$11,index1970,Query!$O72)/AR$9 * HLOOKUP(AR$11,comboutfac,Query!$O72),HLOOKUP(AR$11,index1970,Query!$O72)/AR$9 * HLOOKUP(AR$11,comboutfac,Query!$O72) /AR$8))</f>
        <v>4.0298741109226031</v>
      </c>
      <c r="AS37" s="213"/>
    </row>
    <row r="38" spans="1:45" s="122" customFormat="1">
      <c r="A38" s="121">
        <f t="shared" si="6"/>
        <v>1994</v>
      </c>
      <c r="B38" s="120">
        <f ca="1">IF($J$7=1,HLOOKUP(B$11,index1970,Query!$O73)/B$9,IF($J$7=2,HLOOKUP(B$11,index1970,Query!$O73)/B$9 * HLOOKUP(B$11,comboutfac,Query!$O73),HLOOKUP(B$11,index1970,Query!$O73)/B$9 * HLOOKUP(B$11,comboutfac,Query!$O73) /B$8))</f>
        <v>4.1018826629453615</v>
      </c>
      <c r="C38" s="120">
        <f ca="1">IF($J$7=1,HLOOKUP(C$11,index1970,Query!$O73)/C$9,IF($J$7=2,HLOOKUP(C$11,index1970,Query!$O73)/C$9 * HLOOKUP(C$11,comboutfac,Query!$O73),HLOOKUP(C$11,index1970,Query!$O73)/C$9 * HLOOKUP(C$11,comboutfac,Query!$O73) /C$8))</f>
        <v>3.9949097898914263</v>
      </c>
      <c r="D38" s="120">
        <f ca="1">IF($J$7=1,HLOOKUP(D$11,index1970,Query!$O73)/D$9,IF($J$7=2,HLOOKUP(D$11,index1970,Query!$O73)/D$9 * HLOOKUP(D$11,comboutfac,Query!$O73),HLOOKUP(D$11,index1970,Query!$O73)/D$9 * HLOOKUP(D$11,comboutfac,Query!$O73) /D$8))</f>
        <v>4.0097055057949795</v>
      </c>
      <c r="E38" s="120">
        <f ca="1">IF($J$7=1,HLOOKUP(E$11,index1970,Query!$O73)/E$9,IF($J$7=2,HLOOKUP(E$11,index1970,Query!$O73)/E$9 * HLOOKUP(E$11,comboutfac,Query!$O73),HLOOKUP(E$11,index1970,Query!$O73)/E$9 * HLOOKUP(E$11,comboutfac,Query!$O73) /E$8))</f>
        <v>3.4589554340039776</v>
      </c>
      <c r="F38" s="120">
        <f ca="1">IF($J$7=1,HLOOKUP(F$11,index1970,Query!$O73)/F$9,IF($J$7=2,HLOOKUP(F$11,index1970,Query!$O73)/F$9 * HLOOKUP(F$11,comboutfac,Query!$O73),HLOOKUP(F$11,index1970,Query!$O73)/F$9 * HLOOKUP(F$11,comboutfac,Query!$O73) /F$8))</f>
        <v>4.0090940468866227</v>
      </c>
      <c r="G38" s="120">
        <f ca="1">IF($J$7=1,HLOOKUP(G$11,index1970,Query!$O73)/G$9,IF($J$7=2,HLOOKUP(G$11,index1970,Query!$O73)/G$9 * HLOOKUP(G$11,comboutfac,Query!$O73),HLOOKUP(G$11,index1970,Query!$O73)/G$9 * HLOOKUP(G$11,comboutfac,Query!$O73) /G$8))</f>
        <v>4.1200331542231021</v>
      </c>
      <c r="H38" s="120">
        <f ca="1">IF($J$7=1,HLOOKUP(H$11,index1970,Query!$O73)/H$9,IF($J$7=2,HLOOKUP(H$11,index1970,Query!$O73)/H$9 * HLOOKUP(H$11,comboutfac,Query!$O73),HLOOKUP(H$11,index1970,Query!$O73)/H$9 * HLOOKUP(H$11,comboutfac,Query!$O73) /H$8))</f>
        <v>4.0141170526519421</v>
      </c>
      <c r="I38" s="120">
        <f ca="1">IF($J$7=1,HLOOKUP(I$11,index1970,Query!$O73)/I$9,IF($J$7=2,HLOOKUP(I$11,index1970,Query!$O73)/I$9 * HLOOKUP(I$11,comboutfac,Query!$O73),HLOOKUP(I$11,index1970,Query!$O73)/I$9 * HLOOKUP(I$11,comboutfac,Query!$O73) /I$8))</f>
        <v>3.936655420033758</v>
      </c>
      <c r="J38" s="120">
        <f ca="1">IF($J$7=1,HLOOKUP(J$11,index1970,Query!$O73)/J$9,IF($J$7=2,HLOOKUP(J$11,index1970,Query!$O73)/J$9 * HLOOKUP(J$11,comboutfac,Query!$O73),HLOOKUP(J$11,index1970,Query!$O73)/J$9 * HLOOKUP(J$11,comboutfac,Query!$O73) /J$8))</f>
        <v>2.9547262159681842</v>
      </c>
      <c r="K38" s="120">
        <f ca="1">IF($J$7=1,HLOOKUP(K$11,index1970,Query!$O73)/K$9,IF($J$7=2,HLOOKUP(K$11,index1970,Query!$O73)/K$9 * HLOOKUP(K$11,comboutfac,Query!$O73),HLOOKUP(K$11,index1970,Query!$O73)/K$9 * HLOOKUP(K$11,comboutfac,Query!$O73) /K$8))</f>
        <v>4.2753725479005587</v>
      </c>
      <c r="L38" s="120">
        <f ca="1">IF($J$7=1,HLOOKUP(L$11,index1970,Query!$O73)/L$9,IF($J$7=2,HLOOKUP(L$11,index1970,Query!$O73)/L$9 * HLOOKUP(L$11,comboutfac,Query!$O73),HLOOKUP(L$11,index1970,Query!$O73)/L$9 * HLOOKUP(L$11,comboutfac,Query!$O73) /L$8))</f>
        <v>3.9996349179962936</v>
      </c>
      <c r="M38" s="120">
        <f ca="1">IF($J$7=1,HLOOKUP(M$11,index1970,Query!$O73)/M$9,IF($J$7=2,HLOOKUP(M$11,index1970,Query!$O73)/M$9 * HLOOKUP(M$11,comboutfac,Query!$O73),HLOOKUP(M$11,index1970,Query!$O73)/M$9 * HLOOKUP(M$11,comboutfac,Query!$O73) /M$8))</f>
        <v>3.4989787820359952</v>
      </c>
      <c r="N38" s="120">
        <f ca="1">IF($J$7=1,HLOOKUP(N$11,index1970,Query!$O73)/N$9,IF($J$7=2,HLOOKUP(N$11,index1970,Query!$O73)/N$9 * HLOOKUP(N$11,comboutfac,Query!$O73),HLOOKUP(N$11,index1970,Query!$O73)/N$9 * HLOOKUP(N$11,comboutfac,Query!$O73) /N$8))</f>
        <v>4.050979428732119</v>
      </c>
      <c r="O38" s="120">
        <f ca="1">IF($J$7=1,HLOOKUP(O$11,index1970,Query!$O73)/O$9,IF($J$7=2,HLOOKUP(O$11,index1970,Query!$O73)/O$9 * HLOOKUP(O$11,comboutfac,Query!$O73),HLOOKUP(O$11,index1970,Query!$O73)/O$9 * HLOOKUP(O$11,comboutfac,Query!$O73) /O$8))</f>
        <v>4.0927139809492887</v>
      </c>
      <c r="P38" s="120">
        <f ca="1">IF($J$7=1,HLOOKUP(P$11,index1970,Query!$O73)/P$9,IF($J$7=2,HLOOKUP(P$11,index1970,Query!$O73)/P$9 * HLOOKUP(P$11,comboutfac,Query!$O73),HLOOKUP(P$11,index1970,Query!$O73)/P$9 * HLOOKUP(P$11,comboutfac,Query!$O73) /P$8))</f>
        <v>4.230455315440075</v>
      </c>
      <c r="Q38" s="120">
        <f ca="1">IF($J$7=1,HLOOKUP(Q$11,index1970,Query!$O73)/Q$9,IF($J$7=2,HLOOKUP(Q$11,index1970,Query!$O73)/Q$9 * HLOOKUP(Q$11,comboutfac,Query!$O73),HLOOKUP(Q$11,index1970,Query!$O73)/Q$9 * HLOOKUP(Q$11,comboutfac,Query!$O73) /Q$8))</f>
        <v>3.5535248612956822</v>
      </c>
      <c r="R38" s="120">
        <f ca="1">IF($J$7=1,HLOOKUP(R$11,index1970,Query!$O73)/R$9,IF($J$7=2,HLOOKUP(R$11,index1970,Query!$O73)/R$9 * HLOOKUP(R$11,comboutfac,Query!$O73),HLOOKUP(R$11,index1970,Query!$O73)/R$9 * HLOOKUP(R$11,comboutfac,Query!$O73) /R$8))</f>
        <v>4.1548814597324126</v>
      </c>
      <c r="S38" s="120">
        <f ca="1">IF($J$7=1,HLOOKUP(S$11,index1970,Query!$O73)/S$9,IF($J$7=2,HLOOKUP(S$11,index1970,Query!$O73)/S$9 * HLOOKUP(S$11,comboutfac,Query!$O73),HLOOKUP(S$11,index1970,Query!$O73)/S$9 * HLOOKUP(S$11,comboutfac,Query!$O73) /S$8))</f>
        <v>3.5480363924785898</v>
      </c>
      <c r="T38" s="120">
        <f ca="1">IF($J$7=1,HLOOKUP(T$11,index1970,Query!$O73)/T$9,IF($J$7=2,HLOOKUP(T$11,index1970,Query!$O73)/T$9 * HLOOKUP(T$11,comboutfac,Query!$O73),HLOOKUP(T$11,index1970,Query!$O73)/T$9 * HLOOKUP(T$11,comboutfac,Query!$O73) /T$8))</f>
        <v>3.4571950311606816</v>
      </c>
      <c r="U38" s="120">
        <f ca="1">IF($J$7=1,HLOOKUP(U$11,index1970,Query!$O73)/U$9,IF($J$7=2,HLOOKUP(U$11,index1970,Query!$O73)/U$9 * HLOOKUP(U$11,comboutfac,Query!$O73),HLOOKUP(U$11,index1970,Query!$O73)/U$9 * HLOOKUP(U$11,comboutfac,Query!$O73) /U$8))</f>
        <v>3.7123498170391875</v>
      </c>
      <c r="V38" s="120">
        <f ca="1">IF($J$7=1,HLOOKUP(V$11,index1970,Query!$O73)/V$9,IF($J$7=2,HLOOKUP(V$11,index1970,Query!$O73)/V$9 * HLOOKUP(V$11,comboutfac,Query!$O73),HLOOKUP(V$11,index1970,Query!$O73)/V$9 * HLOOKUP(V$11,comboutfac,Query!$O73) /V$8))</f>
        <v>4.0193646489871879</v>
      </c>
      <c r="W38" s="120">
        <f ca="1">IF($J$7=1,HLOOKUP(W$11,index1970,Query!$O73)/W$9,IF($J$7=2,HLOOKUP(W$11,index1970,Query!$O73)/W$9 * HLOOKUP(W$11,comboutfac,Query!$O73),HLOOKUP(W$11,index1970,Query!$O73)/W$9 * HLOOKUP(W$11,comboutfac,Query!$O73) /W$8))</f>
        <v>3.9030199328817705</v>
      </c>
      <c r="X38" s="120">
        <f ca="1">IF($J$7=1,HLOOKUP(X$11,index1970,Query!$O73)/X$9,IF($J$7=2,HLOOKUP(X$11,index1970,Query!$O73)/X$9 * HLOOKUP(X$11,comboutfac,Query!$O73),HLOOKUP(X$11,index1970,Query!$O73)/X$9 * HLOOKUP(X$11,comboutfac,Query!$O73) /X$8))</f>
        <v>4.0196755324353353</v>
      </c>
      <c r="Y38" s="120">
        <f ca="1">IF($J$7=1,HLOOKUP(Y$11,index1970,Query!$O73)/Y$9,IF($J$7=2,HLOOKUP(Y$11,index1970,Query!$O73)/Y$9 * HLOOKUP(Y$11,comboutfac,Query!$O73),HLOOKUP(Y$11,index1970,Query!$O73)/Y$9 * HLOOKUP(Y$11,comboutfac,Query!$O73) /Y$8))</f>
        <v>3.9975574215696605</v>
      </c>
      <c r="Z38" s="120">
        <f ca="1">IF($J$7=1,HLOOKUP(Z$11,index1970,Query!$O73)/Z$9,IF($J$7=2,HLOOKUP(Z$11,index1970,Query!$O73)/Z$9 * HLOOKUP(Z$11,comboutfac,Query!$O73),HLOOKUP(Z$11,index1970,Query!$O73)/Z$9 * HLOOKUP(Z$11,comboutfac,Query!$O73) /Z$8))</f>
        <v>4.0467883175010746</v>
      </c>
      <c r="AA38" s="120">
        <f ca="1">IF($J$7=1,HLOOKUP(AA$11,index1970,Query!$O73)/AA$9,IF($J$7=2,HLOOKUP(AA$11,index1970,Query!$O73)/AA$9 * HLOOKUP(AA$11,comboutfac,Query!$O73),HLOOKUP(AA$11,index1970,Query!$O73)/AA$9 * HLOOKUP(AA$11,comboutfac,Query!$O73) /AA$8))</f>
        <v>4.0135994386078675</v>
      </c>
      <c r="AB38" s="120">
        <f ca="1">IF($J$7=1,HLOOKUP(AB$11,index1970,Query!$O73)/AB$9,IF($J$7=2,HLOOKUP(AB$11,index1970,Query!$O73)/AB$9 * HLOOKUP(AB$11,comboutfac,Query!$O73),HLOOKUP(AB$11,index1970,Query!$O73)/AB$9 * HLOOKUP(AB$11,comboutfac,Query!$O73) /AB$8))</f>
        <v>3.752609039130463</v>
      </c>
      <c r="AC38" s="120">
        <f ca="1">IF($J$7=1,HLOOKUP(AC$11,index1970,Query!$O73)/AC$9,IF($J$7=2,HLOOKUP(AC$11,index1970,Query!$O73)/AC$9 * HLOOKUP(AC$11,comboutfac,Query!$O73),HLOOKUP(AC$11,index1970,Query!$O73)/AC$9 * HLOOKUP(AC$11,comboutfac,Query!$O73) /AC$8))</f>
        <v>4.107343942959603</v>
      </c>
      <c r="AD38" s="120">
        <f ca="1">IF($J$7=1,HLOOKUP(AD$11,index1970,Query!$O73)/AD$9,IF($J$7=2,HLOOKUP(AD$11,index1970,Query!$O73)/AD$9 * HLOOKUP(AD$11,comboutfac,Query!$O73),HLOOKUP(AD$11,index1970,Query!$O73)/AD$9 * HLOOKUP(AD$11,comboutfac,Query!$O73) /AD$8))</f>
        <v>4.0168369036674809</v>
      </c>
      <c r="AE38" s="120">
        <f ca="1">IF($J$7=1,HLOOKUP(AE$11,index1970,Query!$O73)/AE$9,IF($J$7=2,HLOOKUP(AE$11,index1970,Query!$O73)/AE$9 * HLOOKUP(AE$11,comboutfac,Query!$O73),HLOOKUP(AE$11,index1970,Query!$O73)/AE$9 * HLOOKUP(AE$11,comboutfac,Query!$O73) /AE$8))</f>
        <v>3.4812247574841773</v>
      </c>
      <c r="AF38" s="120">
        <f ca="1">IF($J$7=1,HLOOKUP(AF$11,index1970,Query!$O73)/AF$9,IF($J$7=2,HLOOKUP(AF$11,index1970,Query!$O73)/AF$9 * HLOOKUP(AF$11,comboutfac,Query!$O73),HLOOKUP(AF$11,index1970,Query!$O73)/AF$9 * HLOOKUP(AF$11,comboutfac,Query!$O73) /AF$8))</f>
        <v>5.6199257383167343</v>
      </c>
      <c r="AG38" s="120">
        <f ca="1">IF($J$7=1,HLOOKUP(AG$11,index1970,Query!$O73)/AG$9,IF($J$7=2,HLOOKUP(AG$11,index1970,Query!$O73)/AG$9 * HLOOKUP(AG$11,comboutfac,Query!$O73),HLOOKUP(AG$11,index1970,Query!$O73)/AG$9 * HLOOKUP(AG$11,comboutfac,Query!$O73) /AG$8))</f>
        <v>4.1003826986183238</v>
      </c>
      <c r="AH38" s="120">
        <f ca="1">IF($J$7=1,HLOOKUP(AH$11,index1970,Query!$O73)/AH$9,IF($J$7=2,HLOOKUP(AH$11,index1970,Query!$O73)/AH$9 * HLOOKUP(AH$11,comboutfac,Query!$O73),HLOOKUP(AH$11,index1970,Query!$O73)/AH$9 * HLOOKUP(AH$11,comboutfac,Query!$O73) /AH$8))</f>
        <v>3.473585033073276</v>
      </c>
      <c r="AI38" s="120">
        <f ca="1">IF($J$7=1,HLOOKUP(AI$11,index1970,Query!$O73)/AI$9,IF($J$7=2,HLOOKUP(AI$11,index1970,Query!$O73)/AI$9 * HLOOKUP(AI$11,comboutfac,Query!$O73),HLOOKUP(AI$11,index1970,Query!$O73)/AI$9 * HLOOKUP(AI$11,comboutfac,Query!$O73) /AI$8))</f>
        <v>3.5708476393672806</v>
      </c>
      <c r="AJ38" s="120">
        <f ca="1">IF($J$7=1,HLOOKUP(AJ$11,index1970,Query!$O73)/AJ$9,IF($J$7=2,HLOOKUP(AJ$11,index1970,Query!$O73)/AJ$9 * HLOOKUP(AJ$11,comboutfac,Query!$O73),HLOOKUP(AJ$11,index1970,Query!$O73)/AJ$9 * HLOOKUP(AJ$11,comboutfac,Query!$O73) /AJ$8))</f>
        <v>3.4364324718289976</v>
      </c>
      <c r="AK38" s="120">
        <f ca="1">IF($J$7=1,HLOOKUP(AK$11,index1970,Query!$O73)/AK$9,IF($J$7=2,HLOOKUP(AK$11,index1970,Query!$O73)/AK$9 * HLOOKUP(AK$11,comboutfac,Query!$O73),HLOOKUP(AK$11,index1970,Query!$O73)/AK$9 * HLOOKUP(AK$11,comboutfac,Query!$O73) /AK$8))</f>
        <v>3.5574073585579713</v>
      </c>
      <c r="AL38" s="120">
        <f ca="1">IF($J$7=1,HLOOKUP(AL$11,index1970,Query!$O73)/AL$9,IF($J$7=2,HLOOKUP(AL$11,index1970,Query!$O73)/AL$9 * HLOOKUP(AL$11,comboutfac,Query!$O73),HLOOKUP(AL$11,index1970,Query!$O73)/AL$9 * HLOOKUP(AL$11,comboutfac,Query!$O73) /AL$8))</f>
        <v>4.1177357653372297</v>
      </c>
      <c r="AM38" s="120">
        <f ca="1">IF($J$7=1,HLOOKUP(AM$11,index1970,Query!$O73)/AM$9,IF($J$7=2,HLOOKUP(AM$11,index1970,Query!$O73)/AM$9 * HLOOKUP(AM$11,comboutfac,Query!$O73),HLOOKUP(AM$11,index1970,Query!$O73)/AM$9 * HLOOKUP(AM$11,comboutfac,Query!$O73) /AM$8))</f>
        <v>3.5584147704508808</v>
      </c>
      <c r="AN38" s="120">
        <f ca="1">IF($J$7=1,HLOOKUP(AN$11,index1970,Query!$O73)/AN$9,IF($J$7=2,HLOOKUP(AN$11,index1970,Query!$O73)/AN$9 * HLOOKUP(AN$11,comboutfac,Query!$O73),HLOOKUP(AN$11,index1970,Query!$O73)/AN$9 * HLOOKUP(AN$11,comboutfac,Query!$O73) /AN$8))</f>
        <v>4.1669707094721771</v>
      </c>
      <c r="AO38" s="120">
        <f ca="1">IF($J$7=1,HLOOKUP(AO$11,index1970,Query!$O73)/AO$9,IF($J$7=2,HLOOKUP(AO$11,index1970,Query!$O73)/AO$9 * HLOOKUP(AO$11,comboutfac,Query!$O73),HLOOKUP(AO$11,index1970,Query!$O73)/AO$9 * HLOOKUP(AO$11,comboutfac,Query!$O73) /AO$8))</f>
        <v>3.5584147704508808</v>
      </c>
      <c r="AP38" s="120">
        <f ca="1">IF($J$7=1,HLOOKUP(AP$11,index1970,Query!$O73)/AP$9,IF($J$7=2,HLOOKUP(AP$11,index1970,Query!$O73)/AP$9 * HLOOKUP(AP$11,comboutfac,Query!$O73),HLOOKUP(AP$11,index1970,Query!$O73)/AP$9 * HLOOKUP(AP$11,comboutfac,Query!$O73) /AP$8))</f>
        <v>5.7742951052471003</v>
      </c>
      <c r="AQ38" s="683">
        <f ca="1">IF($J$7=1,HLOOKUP(AQ$11,index1970,Query!$O73)/AQ$9,IF($J$7=2,HLOOKUP(AQ$11,index1970,Query!$O73)/AQ$9 * HLOOKUP(AQ$11,comboutfac,Query!$O73),HLOOKUP(AQ$11,index1970,Query!$O73)/AQ$9 * HLOOKUP(AQ$11,comboutfac,Query!$O73) /AQ$8))</f>
        <v>3.8336351724526225</v>
      </c>
      <c r="AR38" s="120">
        <f ca="1">IF($J$7=1,HLOOKUP(AR$11,index1970,Query!$O73)/AR$9,IF($J$7=2,HLOOKUP(AR$11,index1970,Query!$O73)/AR$9 * HLOOKUP(AR$11,comboutfac,Query!$O73),HLOOKUP(AR$11,index1970,Query!$O73)/AR$9 * HLOOKUP(AR$11,comboutfac,Query!$O73) /AR$8))</f>
        <v>4.1088003202976129</v>
      </c>
      <c r="AS38" s="213"/>
    </row>
    <row r="39" spans="1:45" s="122" customFormat="1">
      <c r="A39" s="121">
        <f t="shared" si="6"/>
        <v>1995</v>
      </c>
      <c r="B39" s="120">
        <f ca="1">IF($J$7=1,HLOOKUP(B$11,index1970,Query!$O74)/B$9,IF($J$7=2,HLOOKUP(B$11,index1970,Query!$O74)/B$9 * HLOOKUP(B$11,comboutfac,Query!$O74),HLOOKUP(B$11,index1970,Query!$O74)/B$9 * HLOOKUP(B$11,comboutfac,Query!$O74) /B$8))</f>
        <v>4.1678209292496877</v>
      </c>
      <c r="C39" s="120">
        <f ca="1">IF($J$7=1,HLOOKUP(C$11,index1970,Query!$O74)/C$9,IF($J$7=2,HLOOKUP(C$11,index1970,Query!$O74)/C$9 * HLOOKUP(C$11,comboutfac,Query!$O74),HLOOKUP(C$11,index1970,Query!$O74)/C$9 * HLOOKUP(C$11,comboutfac,Query!$O74) /C$8))</f>
        <v>4.0665174592896989</v>
      </c>
      <c r="D39" s="120">
        <f ca="1">IF($J$7=1,HLOOKUP(D$11,index1970,Query!$O74)/D$9,IF($J$7=2,HLOOKUP(D$11,index1970,Query!$O74)/D$9 * HLOOKUP(D$11,comboutfac,Query!$O74),HLOOKUP(D$11,index1970,Query!$O74)/D$9 * HLOOKUP(D$11,comboutfac,Query!$O74) /D$8))</f>
        <v>4.0823382170410563</v>
      </c>
      <c r="E39" s="120">
        <f ca="1">IF($J$7=1,HLOOKUP(E$11,index1970,Query!$O74)/E$9,IF($J$7=2,HLOOKUP(E$11,index1970,Query!$O74)/E$9 * HLOOKUP(E$11,comboutfac,Query!$O74),HLOOKUP(E$11,index1970,Query!$O74)/E$9 * HLOOKUP(E$11,comboutfac,Query!$O74) /E$8))</f>
        <v>3.5108397655140369</v>
      </c>
      <c r="F39" s="120">
        <f ca="1">IF($J$7=1,HLOOKUP(F$11,index1970,Query!$O74)/F$9,IF($J$7=2,HLOOKUP(F$11,index1970,Query!$O74)/F$9 * HLOOKUP(F$11,comboutfac,Query!$O74),HLOOKUP(F$11,index1970,Query!$O74)/F$9 * HLOOKUP(F$11,comboutfac,Query!$O74) /F$8))</f>
        <v>4.0812444867407356</v>
      </c>
      <c r="G39" s="120">
        <f ca="1">IF($J$7=1,HLOOKUP(G$11,index1970,Query!$O74)/G$9,IF($J$7=2,HLOOKUP(G$11,index1970,Query!$O74)/G$9 * HLOOKUP(G$11,comboutfac,Query!$O74),HLOOKUP(G$11,index1970,Query!$O74)/G$9 * HLOOKUP(G$11,comboutfac,Query!$O74) /G$8))</f>
        <v>4.180195937995272</v>
      </c>
      <c r="H39" s="120">
        <f ca="1">IF($J$7=1,HLOOKUP(H$11,index1970,Query!$O74)/H$9,IF($J$7=2,HLOOKUP(H$11,index1970,Query!$O74)/H$9 * HLOOKUP(H$11,comboutfac,Query!$O74),HLOOKUP(H$11,index1970,Query!$O74)/H$9 * HLOOKUP(H$11,comboutfac,Query!$O74) /H$8))</f>
        <v>4.0954623557671255</v>
      </c>
      <c r="I39" s="120">
        <f ca="1">IF($J$7=1,HLOOKUP(I$11,index1970,Query!$O74)/I$9,IF($J$7=2,HLOOKUP(I$11,index1970,Query!$O74)/I$9 * HLOOKUP(I$11,comboutfac,Query!$O74),HLOOKUP(I$11,index1970,Query!$O74)/I$9 * HLOOKUP(I$11,comboutfac,Query!$O74) /I$8))</f>
        <v>4.0135324534378736</v>
      </c>
      <c r="J39" s="120">
        <f ca="1">IF($J$7=1,HLOOKUP(J$11,index1970,Query!$O74)/J$9,IF($J$7=2,HLOOKUP(J$11,index1970,Query!$O74)/J$9 * HLOOKUP(J$11,comboutfac,Query!$O74),HLOOKUP(J$11,index1970,Query!$O74)/J$9 * HLOOKUP(J$11,comboutfac,Query!$O74) /J$8))</f>
        <v>2.5882532884674196</v>
      </c>
      <c r="K39" s="120">
        <f ca="1">IF($J$7=1,HLOOKUP(K$11,index1970,Query!$O74)/K$9,IF($J$7=2,HLOOKUP(K$11,index1970,Query!$O74)/K$9 * HLOOKUP(K$11,comboutfac,Query!$O74),HLOOKUP(K$11,index1970,Query!$O74)/K$9 * HLOOKUP(K$11,comboutfac,Query!$O74) /K$8))</f>
        <v>4.3822568615980719</v>
      </c>
      <c r="L39" s="120">
        <f ca="1">IF($J$7=1,HLOOKUP(L$11,index1970,Query!$O74)/L$9,IF($J$7=2,HLOOKUP(L$11,index1970,Query!$O74)/L$9 * HLOOKUP(L$11,comboutfac,Query!$O74),HLOOKUP(L$11,index1970,Query!$O74)/L$9 * HLOOKUP(L$11,comboutfac,Query!$O74) /L$8))</f>
        <v>4.0452614446423718</v>
      </c>
      <c r="M39" s="120">
        <f ca="1">IF($J$7=1,HLOOKUP(M$11,index1970,Query!$O74)/M$9,IF($J$7=2,HLOOKUP(M$11,index1970,Query!$O74)/M$9 * HLOOKUP(M$11,comboutfac,Query!$O74),HLOOKUP(M$11,index1970,Query!$O74)/M$9 * HLOOKUP(M$11,comboutfac,Query!$O74) /M$8))</f>
        <v>3.5586230982669429</v>
      </c>
      <c r="N39" s="120">
        <f ca="1">IF($J$7=1,HLOOKUP(N$11,index1970,Query!$O74)/N$9,IF($J$7=2,HLOOKUP(N$11,index1970,Query!$O74)/N$9 * HLOOKUP(N$11,comboutfac,Query!$O74),HLOOKUP(N$11,index1970,Query!$O74)/N$9 * HLOOKUP(N$11,comboutfac,Query!$O74) /N$8))</f>
        <v>4.1181870067434891</v>
      </c>
      <c r="O39" s="120">
        <f ca="1">IF($J$7=1,HLOOKUP(O$11,index1970,Query!$O74)/O$9,IF($J$7=2,HLOOKUP(O$11,index1970,Query!$O74)/O$9 * HLOOKUP(O$11,comboutfac,Query!$O74),HLOOKUP(O$11,index1970,Query!$O74)/O$9 * HLOOKUP(O$11,comboutfac,Query!$O74) /O$8))</f>
        <v>4.1260306742809867</v>
      </c>
      <c r="P39" s="120">
        <f ca="1">IF($J$7=1,HLOOKUP(P$11,index1970,Query!$O74)/P$9,IF($J$7=2,HLOOKUP(P$11,index1970,Query!$O74)/P$9 * HLOOKUP(P$11,comboutfac,Query!$O74),HLOOKUP(P$11,index1970,Query!$O74)/P$9 * HLOOKUP(P$11,comboutfac,Query!$O74) /P$8))</f>
        <v>4.3345077833077044</v>
      </c>
      <c r="Q39" s="120">
        <f ca="1">IF($J$7=1,HLOOKUP(Q$11,index1970,Query!$O74)/Q$9,IF($J$7=2,HLOOKUP(Q$11,index1970,Query!$O74)/Q$9 * HLOOKUP(Q$11,comboutfac,Query!$O74),HLOOKUP(Q$11,index1970,Query!$O74)/Q$9 * HLOOKUP(Q$11,comboutfac,Query!$O74) /Q$8))</f>
        <v>3.6195550278016904</v>
      </c>
      <c r="R39" s="120">
        <f ca="1">IF($J$7=1,HLOOKUP(R$11,index1970,Query!$O74)/R$9,IF($J$7=2,HLOOKUP(R$11,index1970,Query!$O74)/R$9 * HLOOKUP(R$11,comboutfac,Query!$O74),HLOOKUP(R$11,index1970,Query!$O74)/R$9 * HLOOKUP(R$11,comboutfac,Query!$O74) /R$8))</f>
        <v>4.2578288218591833</v>
      </c>
      <c r="S39" s="120">
        <f ca="1">IF($J$7=1,HLOOKUP(S$11,index1970,Query!$O74)/S$9,IF($J$7=2,HLOOKUP(S$11,index1970,Query!$O74)/S$9 * HLOOKUP(S$11,comboutfac,Query!$O74),HLOOKUP(S$11,index1970,Query!$O74)/S$9 * HLOOKUP(S$11,comboutfac,Query!$O74) /S$8))</f>
        <v>3.6178089721081248</v>
      </c>
      <c r="T39" s="120">
        <f ca="1">IF($J$7=1,HLOOKUP(T$11,index1970,Query!$O74)/T$9,IF($J$7=2,HLOOKUP(T$11,index1970,Query!$O74)/T$9 * HLOOKUP(T$11,comboutfac,Query!$O74),HLOOKUP(T$11,index1970,Query!$O74)/T$9 * HLOOKUP(T$11,comboutfac,Query!$O74) /T$8))</f>
        <v>3.5192272938915066</v>
      </c>
      <c r="U39" s="120">
        <f ca="1">IF($J$7=1,HLOOKUP(U$11,index1970,Query!$O74)/U$9,IF($J$7=2,HLOOKUP(U$11,index1970,Query!$O74)/U$9 * HLOOKUP(U$11,comboutfac,Query!$O74),HLOOKUP(U$11,index1970,Query!$O74)/U$9 * HLOOKUP(U$11,comboutfac,Query!$O74) /U$8))</f>
        <v>3.8073997282513998</v>
      </c>
      <c r="V39" s="120">
        <f ca="1">IF($J$7=1,HLOOKUP(V$11,index1970,Query!$O74)/V$9,IF($J$7=2,HLOOKUP(V$11,index1970,Query!$O74)/V$9 * HLOOKUP(V$11,comboutfac,Query!$O74),HLOOKUP(V$11,index1970,Query!$O74)/V$9 * HLOOKUP(V$11,comboutfac,Query!$O74) /V$8))</f>
        <v>4.0952249565365291</v>
      </c>
      <c r="W39" s="120">
        <f ca="1">IF($J$7=1,HLOOKUP(W$11,index1970,Query!$O74)/W$9,IF($J$7=2,HLOOKUP(W$11,index1970,Query!$O74)/W$9 * HLOOKUP(W$11,comboutfac,Query!$O74),HLOOKUP(W$11,index1970,Query!$O74)/W$9 * HLOOKUP(W$11,comboutfac,Query!$O74) /W$8))</f>
        <v>3.9694178309160835</v>
      </c>
      <c r="X39" s="120">
        <f ca="1">IF($J$7=1,HLOOKUP(X$11,index1970,Query!$O74)/X$9,IF($J$7=2,HLOOKUP(X$11,index1970,Query!$O74)/X$9 * HLOOKUP(X$11,comboutfac,Query!$O74),HLOOKUP(X$11,index1970,Query!$O74)/X$9 * HLOOKUP(X$11,comboutfac,Query!$O74) /X$8))</f>
        <v>4.0943102223731094</v>
      </c>
      <c r="Y39" s="120">
        <f ca="1">IF($J$7=1,HLOOKUP(Y$11,index1970,Query!$O74)/Y$9,IF($J$7=2,HLOOKUP(Y$11,index1970,Query!$O74)/Y$9 * HLOOKUP(Y$11,comboutfac,Query!$O74),HLOOKUP(Y$11,index1970,Query!$O74)/Y$9 * HLOOKUP(Y$11,comboutfac,Query!$O74) /Y$8))</f>
        <v>4.060704770146935</v>
      </c>
      <c r="Z39" s="120">
        <f ca="1">IF($J$7=1,HLOOKUP(Z$11,index1970,Query!$O74)/Z$9,IF($J$7=2,HLOOKUP(Z$11,index1970,Query!$O74)/Z$9 * HLOOKUP(Z$11,comboutfac,Query!$O74),HLOOKUP(Z$11,index1970,Query!$O74)/Z$9 * HLOOKUP(Z$11,comboutfac,Query!$O74) /Z$8))</f>
        <v>4.089781170859017</v>
      </c>
      <c r="AA39" s="120">
        <f ca="1">IF($J$7=1,HLOOKUP(AA$11,index1970,Query!$O74)/AA$9,IF($J$7=2,HLOOKUP(AA$11,index1970,Query!$O74)/AA$9 * HLOOKUP(AA$11,comboutfac,Query!$O74),HLOOKUP(AA$11,index1970,Query!$O74)/AA$9 * HLOOKUP(AA$11,comboutfac,Query!$O74) /AA$8))</f>
        <v>4.0882358783878061</v>
      </c>
      <c r="AB39" s="120">
        <f ca="1">IF($J$7=1,HLOOKUP(AB$11,index1970,Query!$O74)/AB$9,IF($J$7=2,HLOOKUP(AB$11,index1970,Query!$O74)/AB$9 * HLOOKUP(AB$11,comboutfac,Query!$O74),HLOOKUP(AB$11,index1970,Query!$O74)/AB$9 * HLOOKUP(AB$11,comboutfac,Query!$O74) /AB$8))</f>
        <v>3.8169143229252533</v>
      </c>
      <c r="AC39" s="120">
        <f ca="1">IF($J$7=1,HLOOKUP(AC$11,index1970,Query!$O74)/AC$9,IF($J$7=2,HLOOKUP(AC$11,index1970,Query!$O74)/AC$9 * HLOOKUP(AC$11,comboutfac,Query!$O74),HLOOKUP(AC$11,index1970,Query!$O74)/AC$9 * HLOOKUP(AC$11,comboutfac,Query!$O74) /AC$8))</f>
        <v>4.1165274112186445</v>
      </c>
      <c r="AD39" s="120">
        <f ca="1">IF($J$7=1,HLOOKUP(AD$11,index1970,Query!$O74)/AD$9,IF($J$7=2,HLOOKUP(AD$11,index1970,Query!$O74)/AD$9 * HLOOKUP(AD$11,comboutfac,Query!$O74),HLOOKUP(AD$11,index1970,Query!$O74)/AD$9 * HLOOKUP(AD$11,comboutfac,Query!$O74) /AD$8))</f>
        <v>4.0953980568678015</v>
      </c>
      <c r="AE39" s="120">
        <f ca="1">IF($J$7=1,HLOOKUP(AE$11,index1970,Query!$O74)/AE$9,IF($J$7=2,HLOOKUP(AE$11,index1970,Query!$O74)/AE$9 * HLOOKUP(AE$11,comboutfac,Query!$O74),HLOOKUP(AE$11,index1970,Query!$O74)/AE$9 * HLOOKUP(AE$11,comboutfac,Query!$O74) /AE$8))</f>
        <v>3.5415026017577484</v>
      </c>
      <c r="AF39" s="120">
        <f ca="1">IF($J$7=1,HLOOKUP(AF$11,index1970,Query!$O74)/AF$9,IF($J$7=2,HLOOKUP(AF$11,index1970,Query!$O74)/AF$9 * HLOOKUP(AF$11,comboutfac,Query!$O74),HLOOKUP(AF$11,index1970,Query!$O74)/AF$9 * HLOOKUP(AF$11,comboutfac,Query!$O74) /AF$8))</f>
        <v>5.7161103002788174</v>
      </c>
      <c r="AG39" s="120">
        <f ca="1">IF($J$7=1,HLOOKUP(AG$11,index1970,Query!$O74)/AG$9,IF($J$7=2,HLOOKUP(AG$11,index1970,Query!$O74)/AG$9 * HLOOKUP(AG$11,comboutfac,Query!$O74),HLOOKUP(AG$11,index1970,Query!$O74)/AG$9 * HLOOKUP(AG$11,comboutfac,Query!$O74) /AG$8))</f>
        <v>4.1798647376063274</v>
      </c>
      <c r="AH39" s="120">
        <f ca="1">IF($J$7=1,HLOOKUP(AH$11,index1970,Query!$O74)/AH$9,IF($J$7=2,HLOOKUP(AH$11,index1970,Query!$O74)/AH$9 * HLOOKUP(AH$11,comboutfac,Query!$O74),HLOOKUP(AH$11,index1970,Query!$O74)/AH$9 * HLOOKUP(AH$11,comboutfac,Query!$O74) /AH$8))</f>
        <v>3.5358118439309894</v>
      </c>
      <c r="AI39" s="120">
        <f ca="1">IF($J$7=1,HLOOKUP(AI$11,index1970,Query!$O74)/AI$9,IF($J$7=2,HLOOKUP(AI$11,index1970,Query!$O74)/AI$9 * HLOOKUP(AI$11,comboutfac,Query!$O74),HLOOKUP(AI$11,index1970,Query!$O74)/AI$9 * HLOOKUP(AI$11,comboutfac,Query!$O74) /AI$8))</f>
        <v>3.6394897864100644</v>
      </c>
      <c r="AJ39" s="120">
        <f ca="1">IF($J$7=1,HLOOKUP(AJ$11,index1970,Query!$O74)/AJ$9,IF($J$7=2,HLOOKUP(AJ$11,index1970,Query!$O74)/AJ$9 * HLOOKUP(AJ$11,comboutfac,Query!$O74),HLOOKUP(AJ$11,index1970,Query!$O74)/AJ$9 * HLOOKUP(AJ$11,comboutfac,Query!$O74) /AJ$8))</f>
        <v>3.5019224283378967</v>
      </c>
      <c r="AK39" s="120">
        <f ca="1">IF($J$7=1,HLOOKUP(AK$11,index1970,Query!$O74)/AK$9,IF($J$7=2,HLOOKUP(AK$11,index1970,Query!$O74)/AK$9 * HLOOKUP(AK$11,comboutfac,Query!$O74),HLOOKUP(AK$11,index1970,Query!$O74)/AK$9 * HLOOKUP(AK$11,comboutfac,Query!$O74) /AK$8))</f>
        <v>3.6259641812766357</v>
      </c>
      <c r="AL39" s="120">
        <f ca="1">IF($J$7=1,HLOOKUP(AL$11,index1970,Query!$O74)/AL$9,IF($J$7=2,HLOOKUP(AL$11,index1970,Query!$O74)/AL$9 * HLOOKUP(AL$11,comboutfac,Query!$O74),HLOOKUP(AL$11,index1970,Query!$O74)/AL$9 * HLOOKUP(AL$11,comboutfac,Query!$O74) /AL$8))</f>
        <v>4.2179148776467592</v>
      </c>
      <c r="AM39" s="120">
        <f ca="1">IF($J$7=1,HLOOKUP(AM$11,index1970,Query!$O74)/AM$9,IF($J$7=2,HLOOKUP(AM$11,index1970,Query!$O74)/AM$9 * HLOOKUP(AM$11,comboutfac,Query!$O74),HLOOKUP(AM$11,index1970,Query!$O74)/AM$9 * HLOOKUP(AM$11,comboutfac,Query!$O74) /AM$8))</f>
        <v>3.6348473247028097</v>
      </c>
      <c r="AN39" s="120">
        <f ca="1">IF($J$7=1,HLOOKUP(AN$11,index1970,Query!$O74)/AN$9,IF($J$7=2,HLOOKUP(AN$11,index1970,Query!$O74)/AN$9 * HLOOKUP(AN$11,comboutfac,Query!$O74),HLOOKUP(AN$11,index1970,Query!$O74)/AN$9 * HLOOKUP(AN$11,comboutfac,Query!$O74) /AN$8))</f>
        <v>4.268153833211799</v>
      </c>
      <c r="AO39" s="120">
        <f ca="1">IF($J$7=1,HLOOKUP(AO$11,index1970,Query!$O74)/AO$9,IF($J$7=2,HLOOKUP(AO$11,index1970,Query!$O74)/AO$9 * HLOOKUP(AO$11,comboutfac,Query!$O74),HLOOKUP(AO$11,index1970,Query!$O74)/AO$9 * HLOOKUP(AO$11,comboutfac,Query!$O74) /AO$8))</f>
        <v>3.6267343871157003</v>
      </c>
      <c r="AP39" s="120">
        <f ca="1">IF($J$7=1,HLOOKUP(AP$11,index1970,Query!$O74)/AP$9,IF($J$7=2,HLOOKUP(AP$11,index1970,Query!$O74)/AP$9 * HLOOKUP(AP$11,comboutfac,Query!$O74),HLOOKUP(AP$11,index1970,Query!$O74)/AP$9 * HLOOKUP(AP$11,comboutfac,Query!$O74) /AP$8))</f>
        <v>5.8527991795924716</v>
      </c>
      <c r="AQ39" s="683">
        <f ca="1">IF($J$7=1,HLOOKUP(AQ$11,index1970,Query!$O74)/AQ$9,IF($J$7=2,HLOOKUP(AQ$11,index1970,Query!$O74)/AQ$9 * HLOOKUP(AQ$11,comboutfac,Query!$O74),HLOOKUP(AQ$11,index1970,Query!$O74)/AQ$9 * HLOOKUP(AQ$11,comboutfac,Query!$O74) /AQ$8))</f>
        <v>3.8766998842525471</v>
      </c>
      <c r="AR39" s="120">
        <f ca="1">IF($J$7=1,HLOOKUP(AR$11,index1970,Query!$O74)/AR$9,IF($J$7=2,HLOOKUP(AR$11,index1970,Query!$O74)/AR$9 * HLOOKUP(AR$11,comboutfac,Query!$O74),HLOOKUP(AR$11,index1970,Query!$O74)/AR$9 * HLOOKUP(AR$11,comboutfac,Query!$O74) /AR$8))</f>
        <v>4.174227210827901</v>
      </c>
      <c r="AS39" s="213"/>
    </row>
    <row r="40" spans="1:45" s="122" customFormat="1">
      <c r="A40" s="121">
        <f t="shared" si="6"/>
        <v>1996</v>
      </c>
      <c r="B40" s="120">
        <f ca="1">IF($J$7=1,HLOOKUP(B$11,index1970,Query!$O75)/B$9,IF($J$7=2,HLOOKUP(B$11,index1970,Query!$O75)/B$9 * HLOOKUP(B$11,comboutfac,Query!$O75),HLOOKUP(B$11,index1970,Query!$O75)/B$9 * HLOOKUP(B$11,comboutfac,Query!$O75) /B$8))</f>
        <v>4.2263773154846014</v>
      </c>
      <c r="C40" s="120">
        <f ca="1">IF($J$7=1,HLOOKUP(C$11,index1970,Query!$O75)/C$9,IF($J$7=2,HLOOKUP(C$11,index1970,Query!$O75)/C$9 * HLOOKUP(C$11,comboutfac,Query!$O75),HLOOKUP(C$11,index1970,Query!$O75)/C$9 * HLOOKUP(C$11,comboutfac,Query!$O75) /C$8))</f>
        <v>4.133811313431603</v>
      </c>
      <c r="D40" s="120">
        <f ca="1">IF($J$7=1,HLOOKUP(D$11,index1970,Query!$O75)/D$9,IF($J$7=2,HLOOKUP(D$11,index1970,Query!$O75)/D$9 * HLOOKUP(D$11,comboutfac,Query!$O75),HLOOKUP(D$11,index1970,Query!$O75)/D$9 * HLOOKUP(D$11,comboutfac,Query!$O75) /D$8))</f>
        <v>4.144946816935116</v>
      </c>
      <c r="E40" s="120">
        <f ca="1">IF($J$7=1,HLOOKUP(E$11,index1970,Query!$O75)/E$9,IF($J$7=2,HLOOKUP(E$11,index1970,Query!$O75)/E$9 * HLOOKUP(E$11,comboutfac,Query!$O75),HLOOKUP(E$11,index1970,Query!$O75)/E$9 * HLOOKUP(E$11,comboutfac,Query!$O75) /E$8))</f>
        <v>3.5810565608243179</v>
      </c>
      <c r="F40" s="120">
        <f ca="1">IF($J$7=1,HLOOKUP(F$11,index1970,Query!$O75)/F$9,IF($J$7=2,HLOOKUP(F$11,index1970,Query!$O75)/F$9 * HLOOKUP(F$11,comboutfac,Query!$O75),HLOOKUP(F$11,index1970,Query!$O75)/F$9 * HLOOKUP(F$11,comboutfac,Query!$O75) /F$8))</f>
        <v>4.1435228692189421</v>
      </c>
      <c r="G40" s="120">
        <f ca="1">IF($J$7=1,HLOOKUP(G$11,index1970,Query!$O75)/G$9,IF($J$7=2,HLOOKUP(G$11,index1970,Query!$O75)/G$9 * HLOOKUP(G$11,comboutfac,Query!$O75),HLOOKUP(G$11,index1970,Query!$O75)/G$9 * HLOOKUP(G$11,comboutfac,Query!$O75) /G$8))</f>
        <v>4.2368999550279876</v>
      </c>
      <c r="H40" s="120">
        <f ca="1">IF($J$7=1,HLOOKUP(H$11,index1970,Query!$O75)/H$9,IF($J$7=2,HLOOKUP(H$11,index1970,Query!$O75)/H$9 * HLOOKUP(H$11,comboutfac,Query!$O75),HLOOKUP(H$11,index1970,Query!$O75)/H$9 * HLOOKUP(H$11,comboutfac,Query!$O75) /H$8))</f>
        <v>4.1759997277487058</v>
      </c>
      <c r="I40" s="120">
        <f ca="1">IF($J$7=1,HLOOKUP(I$11,index1970,Query!$O75)/I$9,IF($J$7=2,HLOOKUP(I$11,index1970,Query!$O75)/I$9 * HLOOKUP(I$11,comboutfac,Query!$O75),HLOOKUP(I$11,index1970,Query!$O75)/I$9 * HLOOKUP(I$11,comboutfac,Query!$O75) /I$8))</f>
        <v>4.0926452256575301</v>
      </c>
      <c r="J40" s="120">
        <f ca="1">IF($J$7=1,HLOOKUP(J$11,index1970,Query!$O75)/J$9,IF($J$7=2,HLOOKUP(J$11,index1970,Query!$O75)/J$9 * HLOOKUP(J$11,comboutfac,Query!$O75),HLOOKUP(J$11,index1970,Query!$O75)/J$9 * HLOOKUP(J$11,comboutfac,Query!$O75) /J$8))</f>
        <v>2.7332517589476888</v>
      </c>
      <c r="K40" s="120">
        <f ca="1">IF($J$7=1,HLOOKUP(K$11,index1970,Query!$O75)/K$9,IF($J$7=2,HLOOKUP(K$11,index1970,Query!$O75)/K$9 * HLOOKUP(K$11,comboutfac,Query!$O75),HLOOKUP(K$11,index1970,Query!$O75)/K$9 * HLOOKUP(K$11,comboutfac,Query!$O75) /K$8))</f>
        <v>4.4896221547072246</v>
      </c>
      <c r="L40" s="120">
        <f ca="1">IF($J$7=1,HLOOKUP(L$11,index1970,Query!$O75)/L$9,IF($J$7=2,HLOOKUP(L$11,index1970,Query!$O75)/L$9 * HLOOKUP(L$11,comboutfac,Query!$O75),HLOOKUP(L$11,index1970,Query!$O75)/L$9 * HLOOKUP(L$11,comboutfac,Query!$O75) /L$8))</f>
        <v>4.1144594520744553</v>
      </c>
      <c r="M40" s="120">
        <f ca="1">IF($J$7=1,HLOOKUP(M$11,index1970,Query!$O75)/M$9,IF($J$7=2,HLOOKUP(M$11,index1970,Query!$O75)/M$9 * HLOOKUP(M$11,comboutfac,Query!$O75),HLOOKUP(M$11,index1970,Query!$O75)/M$9 * HLOOKUP(M$11,comboutfac,Query!$O75) /M$8))</f>
        <v>3.6090147248846383</v>
      </c>
      <c r="N40" s="120">
        <f ca="1">IF($J$7=1,HLOOKUP(N$11,index1970,Query!$O75)/N$9,IF($J$7=2,HLOOKUP(N$11,index1970,Query!$O75)/N$9 * HLOOKUP(N$11,comboutfac,Query!$O75),HLOOKUP(N$11,index1970,Query!$O75)/N$9 * HLOOKUP(N$11,comboutfac,Query!$O75) /N$8))</f>
        <v>4.1731180174140023</v>
      </c>
      <c r="O40" s="120">
        <f ca="1">IF($J$7=1,HLOOKUP(O$11,index1970,Query!$O75)/O$9,IF($J$7=2,HLOOKUP(O$11,index1970,Query!$O75)/O$9 * HLOOKUP(O$11,comboutfac,Query!$O75),HLOOKUP(O$11,index1970,Query!$O75)/O$9 * HLOOKUP(O$11,comboutfac,Query!$O75) /O$8))</f>
        <v>4.1718389641374838</v>
      </c>
      <c r="P40" s="120">
        <f ca="1">IF($J$7=1,HLOOKUP(P$11,index1970,Query!$O75)/P$9,IF($J$7=2,HLOOKUP(P$11,index1970,Query!$O75)/P$9 * HLOOKUP(P$11,comboutfac,Query!$O75),HLOOKUP(P$11,index1970,Query!$O75)/P$9 * HLOOKUP(P$11,comboutfac,Query!$O75) /P$8))</f>
        <v>4.4400382555035076</v>
      </c>
      <c r="Q40" s="120">
        <f ca="1">IF($J$7=1,HLOOKUP(Q$11,index1970,Query!$O75)/Q$9,IF($J$7=2,HLOOKUP(Q$11,index1970,Query!$O75)/Q$9 * HLOOKUP(Q$11,comboutfac,Query!$O75),HLOOKUP(Q$11,index1970,Query!$O75)/Q$9 * HLOOKUP(Q$11,comboutfac,Query!$O75) /Q$8))</f>
        <v>3.6991698011979914</v>
      </c>
      <c r="R40" s="120">
        <f ca="1">IF($J$7=1,HLOOKUP(R$11,index1970,Query!$O75)/R$9,IF($J$7=2,HLOOKUP(R$11,index1970,Query!$O75)/R$9 * HLOOKUP(R$11,comboutfac,Query!$O75),HLOOKUP(R$11,index1970,Query!$O75)/R$9 * HLOOKUP(R$11,comboutfac,Query!$O75) /R$8))</f>
        <v>4.3612570605370129</v>
      </c>
      <c r="S40" s="120">
        <f ca="1">IF($J$7=1,HLOOKUP(S$11,index1970,Query!$O75)/S$9,IF($J$7=2,HLOOKUP(S$11,index1970,Query!$O75)/S$9 * HLOOKUP(S$11,comboutfac,Query!$O75),HLOOKUP(S$11,index1970,Query!$O75)/S$9 * HLOOKUP(S$11,comboutfac,Query!$O75) /S$8))</f>
        <v>3.6868511839076374</v>
      </c>
      <c r="T40" s="120">
        <f ca="1">IF($J$7=1,HLOOKUP(T$11,index1970,Query!$O75)/T$9,IF($J$7=2,HLOOKUP(T$11,index1970,Query!$O75)/T$9 * HLOOKUP(T$11,comboutfac,Query!$O75),HLOOKUP(T$11,index1970,Query!$O75)/T$9 * HLOOKUP(T$11,comboutfac,Query!$O75) /T$8))</f>
        <v>3.5808550624078941</v>
      </c>
      <c r="U40" s="120">
        <f ca="1">IF($J$7=1,HLOOKUP(U$11,index1970,Query!$O75)/U$9,IF($J$7=2,HLOOKUP(U$11,index1970,Query!$O75)/U$9 * HLOOKUP(U$11,comboutfac,Query!$O75),HLOOKUP(U$11,index1970,Query!$O75)/U$9 * HLOOKUP(U$11,comboutfac,Query!$O75) /U$8))</f>
        <v>3.8530926422431397</v>
      </c>
      <c r="V40" s="120">
        <f ca="1">IF($J$7=1,HLOOKUP(V$11,index1970,Query!$O75)/V$9,IF($J$7=2,HLOOKUP(V$11,index1970,Query!$O75)/V$9 * HLOOKUP(V$11,comboutfac,Query!$O75),HLOOKUP(V$11,index1970,Query!$O75)/V$9 * HLOOKUP(V$11,comboutfac,Query!$O75) /V$8))</f>
        <v>4.1699157109787937</v>
      </c>
      <c r="W40" s="120">
        <f ca="1">IF($J$7=1,HLOOKUP(W$11,index1970,Query!$O75)/W$9,IF($J$7=2,HLOOKUP(W$11,index1970,Query!$O75)/W$9 * HLOOKUP(W$11,comboutfac,Query!$O75),HLOOKUP(W$11,index1970,Query!$O75)/W$9 * HLOOKUP(W$11,comboutfac,Query!$O75) /W$8))</f>
        <v>4.0481995483535878</v>
      </c>
      <c r="X40" s="120">
        <f ca="1">IF($J$7=1,HLOOKUP(X$11,index1970,Query!$O75)/X$9,IF($J$7=2,HLOOKUP(X$11,index1970,Query!$O75)/X$9 * HLOOKUP(X$11,comboutfac,Query!$O75),HLOOKUP(X$11,index1970,Query!$O75)/X$9 * HLOOKUP(X$11,comboutfac,Query!$O75) /X$8))</f>
        <v>4.1730801727172855</v>
      </c>
      <c r="Y40" s="120">
        <f ca="1">IF($J$7=1,HLOOKUP(Y$11,index1970,Query!$O75)/Y$9,IF($J$7=2,HLOOKUP(Y$11,index1970,Query!$O75)/Y$9 * HLOOKUP(Y$11,comboutfac,Query!$O75),HLOOKUP(Y$11,index1970,Query!$O75)/Y$9 * HLOOKUP(Y$11,comboutfac,Query!$O75) /Y$8))</f>
        <v>4.1421374853057191</v>
      </c>
      <c r="Z40" s="120">
        <f ca="1">IF($J$7=1,HLOOKUP(Z$11,index1970,Query!$O75)/Z$9,IF($J$7=2,HLOOKUP(Z$11,index1970,Query!$O75)/Z$9 * HLOOKUP(Z$11,comboutfac,Query!$O75),HLOOKUP(Z$11,index1970,Query!$O75)/Z$9 * HLOOKUP(Z$11,comboutfac,Query!$O75) /Z$8))</f>
        <v>4.1758163615502379</v>
      </c>
      <c r="AA40" s="120">
        <f ca="1">IF($J$7=1,HLOOKUP(AA$11,index1970,Query!$O75)/AA$9,IF($J$7=2,HLOOKUP(AA$11,index1970,Query!$O75)/AA$9 * HLOOKUP(AA$11,comboutfac,Query!$O75),HLOOKUP(AA$11,index1970,Query!$O75)/AA$9 * HLOOKUP(AA$11,comboutfac,Query!$O75) /AA$8))</f>
        <v>4.1651930390855547</v>
      </c>
      <c r="AB40" s="120">
        <f ca="1">IF($J$7=1,HLOOKUP(AB$11,index1970,Query!$O75)/AB$9,IF($J$7=2,HLOOKUP(AB$11,index1970,Query!$O75)/AB$9 * HLOOKUP(AB$11,comboutfac,Query!$O75),HLOOKUP(AB$11,index1970,Query!$O75)/AB$9 * HLOOKUP(AB$11,comboutfac,Query!$O75) /AB$8))</f>
        <v>3.890390850567421</v>
      </c>
      <c r="AC40" s="120">
        <f ca="1">IF($J$7=1,HLOOKUP(AC$11,index1970,Query!$O75)/AC$9,IF($J$7=2,HLOOKUP(AC$11,index1970,Query!$O75)/AC$9 * HLOOKUP(AC$11,comboutfac,Query!$O75),HLOOKUP(AC$11,index1970,Query!$O75)/AC$9 * HLOOKUP(AC$11,comboutfac,Query!$O75) /AC$8))</f>
        <v>4.2114458499141341</v>
      </c>
      <c r="AD40" s="120">
        <f ca="1">IF($J$7=1,HLOOKUP(AD$11,index1970,Query!$O75)/AD$9,IF($J$7=2,HLOOKUP(AD$11,index1970,Query!$O75)/AD$9 * HLOOKUP(AD$11,comboutfac,Query!$O75),HLOOKUP(AD$11,index1970,Query!$O75)/AD$9 * HLOOKUP(AD$11,comboutfac,Query!$O75) /AD$8))</f>
        <v>4.1669342609694624</v>
      </c>
      <c r="AE40" s="120">
        <f ca="1">IF($J$7=1,HLOOKUP(AE$11,index1970,Query!$O75)/AE$9,IF($J$7=2,HLOOKUP(AE$11,index1970,Query!$O75)/AE$9 * HLOOKUP(AE$11,comboutfac,Query!$O75),HLOOKUP(AE$11,index1970,Query!$O75)/AE$9 * HLOOKUP(AE$11,comboutfac,Query!$O75) /AE$8))</f>
        <v>3.5860624617297572</v>
      </c>
      <c r="AF40" s="120">
        <f ca="1">IF($J$7=1,HLOOKUP(AF$11,index1970,Query!$O75)/AF$9,IF($J$7=2,HLOOKUP(AF$11,index1970,Query!$O75)/AF$9 * HLOOKUP(AF$11,comboutfac,Query!$O75),HLOOKUP(AF$11,index1970,Query!$O75)/AF$9 * HLOOKUP(AF$11,comboutfac,Query!$O75) /AF$8))</f>
        <v>5.8229312997707785</v>
      </c>
      <c r="AG40" s="120">
        <f ca="1">IF($J$7=1,HLOOKUP(AG$11,index1970,Query!$O75)/AG$9,IF($J$7=2,HLOOKUP(AG$11,index1970,Query!$O75)/AG$9 * HLOOKUP(AG$11,comboutfac,Query!$O75),HLOOKUP(AG$11,index1970,Query!$O75)/AG$9 * HLOOKUP(AG$11,comboutfac,Query!$O75) /AG$8))</f>
        <v>4.2395751974209901</v>
      </c>
      <c r="AH40" s="120">
        <f ca="1">IF($J$7=1,HLOOKUP(AH$11,index1970,Query!$O75)/AH$9,IF($J$7=2,HLOOKUP(AH$11,index1970,Query!$O75)/AH$9 * HLOOKUP(AH$11,comboutfac,Query!$O75),HLOOKUP(AH$11,index1970,Query!$O75)/AH$9 * HLOOKUP(AH$11,comboutfac,Query!$O75) /AH$8))</f>
        <v>3.589165461903026</v>
      </c>
      <c r="AI40" s="120">
        <f ca="1">IF($J$7=1,HLOOKUP(AI$11,index1970,Query!$O75)/AI$9,IF($J$7=2,HLOOKUP(AI$11,index1970,Query!$O75)/AI$9 * HLOOKUP(AI$11,comboutfac,Query!$O75),HLOOKUP(AI$11,index1970,Query!$O75)/AI$9 * HLOOKUP(AI$11,comboutfac,Query!$O75) /AI$8))</f>
        <v>3.70110571761799</v>
      </c>
      <c r="AJ40" s="120">
        <f ca="1">IF($J$7=1,HLOOKUP(AJ$11,index1970,Query!$O75)/AJ$9,IF($J$7=2,HLOOKUP(AJ$11,index1970,Query!$O75)/AJ$9 * HLOOKUP(AJ$11,comboutfac,Query!$O75),HLOOKUP(AJ$11,index1970,Query!$O75)/AJ$9 * HLOOKUP(AJ$11,comboutfac,Query!$O75) /AJ$8))</f>
        <v>3.5652831336665836</v>
      </c>
      <c r="AK40" s="120">
        <f ca="1">IF($J$7=1,HLOOKUP(AK$11,index1970,Query!$O75)/AK$9,IF($J$7=2,HLOOKUP(AK$11,index1970,Query!$O75)/AK$9 * HLOOKUP(AK$11,comboutfac,Query!$O75),HLOOKUP(AK$11,index1970,Query!$O75)/AK$9 * HLOOKUP(AK$11,comboutfac,Query!$O75) /AK$8))</f>
        <v>3.6872102454172819</v>
      </c>
      <c r="AL40" s="120">
        <f ca="1">IF($J$7=1,HLOOKUP(AL$11,index1970,Query!$O75)/AL$9,IF($J$7=2,HLOOKUP(AL$11,index1970,Query!$O75)/AL$9 * HLOOKUP(AL$11,comboutfac,Query!$O75),HLOOKUP(AL$11,index1970,Query!$O75)/AL$9 * HLOOKUP(AL$11,comboutfac,Query!$O75) /AL$8))</f>
        <v>4.3157351911290007</v>
      </c>
      <c r="AM40" s="120">
        <f ca="1">IF($J$7=1,HLOOKUP(AM$11,index1970,Query!$O75)/AM$9,IF($J$7=2,HLOOKUP(AM$11,index1970,Query!$O75)/AM$9 * HLOOKUP(AM$11,comboutfac,Query!$O75),HLOOKUP(AM$11,index1970,Query!$O75)/AM$9 * HLOOKUP(AM$11,comboutfac,Query!$O75) /AM$8))</f>
        <v>3.6973812150694885</v>
      </c>
      <c r="AN40" s="120">
        <f ca="1">IF($J$7=1,HLOOKUP(AN$11,index1970,Query!$O75)/AN$9,IF($J$7=2,HLOOKUP(AN$11,index1970,Query!$O75)/AN$9 * HLOOKUP(AN$11,comboutfac,Query!$O75),HLOOKUP(AN$11,index1970,Query!$O75)/AN$9 * HLOOKUP(AN$11,comboutfac,Query!$O75) /AN$8))</f>
        <v>4.3704849058551254</v>
      </c>
      <c r="AO40" s="120">
        <f ca="1">IF($J$7=1,HLOOKUP(AO$11,index1970,Query!$O75)/AO$9,IF($J$7=2,HLOOKUP(AO$11,index1970,Query!$O75)/AO$9 * HLOOKUP(AO$11,comboutfac,Query!$O75),HLOOKUP(AO$11,index1970,Query!$O75)/AO$9 * HLOOKUP(AO$11,comboutfac,Query!$O75) /AO$8))</f>
        <v>3.6995825796905635</v>
      </c>
      <c r="AP40" s="120">
        <f ca="1">IF($J$7=1,HLOOKUP(AP$11,index1970,Query!$O75)/AP$9,IF($J$7=2,HLOOKUP(AP$11,index1970,Query!$O75)/AP$9 * HLOOKUP(AP$11,comboutfac,Query!$O75),HLOOKUP(AP$11,index1970,Query!$O75)/AP$9 * HLOOKUP(AP$11,comboutfac,Query!$O75) /AP$8))</f>
        <v>5.9283127761388092</v>
      </c>
      <c r="AQ40" s="683">
        <f ca="1">IF($J$7=1,HLOOKUP(AQ$11,index1970,Query!$O75)/AQ$9,IF($J$7=2,HLOOKUP(AQ$11,index1970,Query!$O75)/AQ$9 * HLOOKUP(AQ$11,comboutfac,Query!$O75),HLOOKUP(AQ$11,index1970,Query!$O75)/AQ$9 * HLOOKUP(AQ$11,comboutfac,Query!$O75) /AQ$8))</f>
        <v>3.9183665786552906</v>
      </c>
      <c r="AR40" s="120">
        <f ca="1">IF($J$7=1,HLOOKUP(AR$11,index1970,Query!$O75)/AR$9,IF($J$7=2,HLOOKUP(AR$11,index1970,Query!$O75)/AR$9 * HLOOKUP(AR$11,comboutfac,Query!$O75),HLOOKUP(AR$11,index1970,Query!$O75)/AR$9 * HLOOKUP(AR$11,comboutfac,Query!$O75) /AR$8))</f>
        <v>4.2261154142432797</v>
      </c>
      <c r="AS40" s="213"/>
    </row>
    <row r="41" spans="1:45" s="122" customFormat="1">
      <c r="A41" s="121">
        <f t="shared" si="6"/>
        <v>1997</v>
      </c>
      <c r="B41" s="120">
        <f ca="1">IF($J$7=1,HLOOKUP(B$11,index1970,Query!$O76)/B$9,IF($J$7=2,HLOOKUP(B$11,index1970,Query!$O76)/B$9 * HLOOKUP(B$11,comboutfac,Query!$O76),HLOOKUP(B$11,index1970,Query!$O76)/B$9 * HLOOKUP(B$11,comboutfac,Query!$O76) /B$8))</f>
        <v>4.2626402476315279</v>
      </c>
      <c r="C41" s="120">
        <f ca="1">IF($J$7=1,HLOOKUP(C$11,index1970,Query!$O76)/C$9,IF($J$7=2,HLOOKUP(C$11,index1970,Query!$O76)/C$9 * HLOOKUP(C$11,comboutfac,Query!$O76),HLOOKUP(C$11,index1970,Query!$O76)/C$9 * HLOOKUP(C$11,comboutfac,Query!$O76) /C$8))</f>
        <v>4.18451582085555</v>
      </c>
      <c r="D41" s="120">
        <f ca="1">IF($J$7=1,HLOOKUP(D$11,index1970,Query!$O76)/D$9,IF($J$7=2,HLOOKUP(D$11,index1970,Query!$O76)/D$9 * HLOOKUP(D$11,comboutfac,Query!$O76),HLOOKUP(D$11,index1970,Query!$O76)/D$9 * HLOOKUP(D$11,comboutfac,Query!$O76) /D$8))</f>
        <v>4.1881149149469952</v>
      </c>
      <c r="E41" s="120">
        <f ca="1">IF($J$7=1,HLOOKUP(E$11,index1970,Query!$O76)/E$9,IF($J$7=2,HLOOKUP(E$11,index1970,Query!$O76)/E$9 * HLOOKUP(E$11,comboutfac,Query!$O76),HLOOKUP(E$11,index1970,Query!$O76)/E$9 * HLOOKUP(E$11,comboutfac,Query!$O76) /E$8))</f>
        <v>3.6795356162469868</v>
      </c>
      <c r="F41" s="120">
        <f ca="1">IF($J$7=1,HLOOKUP(F$11,index1970,Query!$O76)/F$9,IF($J$7=2,HLOOKUP(F$11,index1970,Query!$O76)/F$9 * HLOOKUP(F$11,comboutfac,Query!$O76),HLOOKUP(F$11,index1970,Query!$O76)/F$9 * HLOOKUP(F$11,comboutfac,Query!$O76) /F$8))</f>
        <v>4.1874738043091329</v>
      </c>
      <c r="G41" s="120">
        <f ca="1">IF($J$7=1,HLOOKUP(G$11,index1970,Query!$O76)/G$9,IF($J$7=2,HLOOKUP(G$11,index1970,Query!$O76)/G$9 * HLOOKUP(G$11,comboutfac,Query!$O76),HLOOKUP(G$11,index1970,Query!$O76)/G$9 * HLOOKUP(G$11,comboutfac,Query!$O76) /G$8))</f>
        <v>4.2862503167544546</v>
      </c>
      <c r="H41" s="120">
        <f ca="1">IF($J$7=1,HLOOKUP(H$11,index1970,Query!$O76)/H$9,IF($J$7=2,HLOOKUP(H$11,index1970,Query!$O76)/H$9 * HLOOKUP(H$11,comboutfac,Query!$O76),HLOOKUP(H$11,index1970,Query!$O76)/H$9 * HLOOKUP(H$11,comboutfac,Query!$O76) /H$8))</f>
        <v>4.2306348942420247</v>
      </c>
      <c r="I41" s="120">
        <f ca="1">IF($J$7=1,HLOOKUP(I$11,index1970,Query!$O76)/I$9,IF($J$7=2,HLOOKUP(I$11,index1970,Query!$O76)/I$9 * HLOOKUP(I$11,comboutfac,Query!$O76),HLOOKUP(I$11,index1970,Query!$O76)/I$9 * HLOOKUP(I$11,comboutfac,Query!$O76) /I$8))</f>
        <v>4.1544034962012431</v>
      </c>
      <c r="J41" s="120">
        <f ca="1">IF($J$7=1,HLOOKUP(J$11,index1970,Query!$O76)/J$9,IF($J$7=2,HLOOKUP(J$11,index1970,Query!$O76)/J$9 * HLOOKUP(J$11,comboutfac,Query!$O76),HLOOKUP(J$11,index1970,Query!$O76)/J$9 * HLOOKUP(J$11,comboutfac,Query!$O76) /J$8))</f>
        <v>2.7687366167023542</v>
      </c>
      <c r="K41" s="120">
        <f ca="1">IF($J$7=1,HLOOKUP(K$11,index1970,Query!$O76)/K$9,IF($J$7=2,HLOOKUP(K$11,index1970,Query!$O76)/K$9 * HLOOKUP(K$11,comboutfac,Query!$O76),HLOOKUP(K$11,index1970,Query!$O76)/K$9 * HLOOKUP(K$11,comboutfac,Query!$O76) /K$8))</f>
        <v>4.6175763861163803</v>
      </c>
      <c r="L41" s="120">
        <f ca="1">IF($J$7=1,HLOOKUP(L$11,index1970,Query!$O76)/L$9,IF($J$7=2,HLOOKUP(L$11,index1970,Query!$O76)/L$9 * HLOOKUP(L$11,comboutfac,Query!$O76),HLOOKUP(L$11,index1970,Query!$O76)/L$9 * HLOOKUP(L$11,comboutfac,Query!$O76) /L$8))</f>
        <v>4.1670479518406918</v>
      </c>
      <c r="M41" s="120">
        <f ca="1">IF($J$7=1,HLOOKUP(M$11,index1970,Query!$O76)/M$9,IF($J$7=2,HLOOKUP(M$11,index1970,Query!$O76)/M$9 * HLOOKUP(M$11,comboutfac,Query!$O76),HLOOKUP(M$11,index1970,Query!$O76)/M$9 * HLOOKUP(M$11,comboutfac,Query!$O76) /M$8))</f>
        <v>3.6444542699548035</v>
      </c>
      <c r="N41" s="120">
        <f ca="1">IF($J$7=1,HLOOKUP(N$11,index1970,Query!$O76)/N$9,IF($J$7=2,HLOOKUP(N$11,index1970,Query!$O76)/N$9 * HLOOKUP(N$11,comboutfac,Query!$O76),HLOOKUP(N$11,index1970,Query!$O76)/N$9 * HLOOKUP(N$11,comboutfac,Query!$O76) /N$8))</f>
        <v>4.1989643210410277</v>
      </c>
      <c r="O41" s="120">
        <f ca="1">IF($J$7=1,HLOOKUP(O$11,index1970,Query!$O76)/O$9,IF($J$7=2,HLOOKUP(O$11,index1970,Query!$O76)/O$9 * HLOOKUP(O$11,comboutfac,Query!$O76),HLOOKUP(O$11,index1970,Query!$O76)/O$9 * HLOOKUP(O$11,comboutfac,Query!$O76) /O$8))</f>
        <v>4.2096498102701396</v>
      </c>
      <c r="P41" s="120">
        <f ca="1">IF($J$7=1,HLOOKUP(P$11,index1970,Query!$O76)/P$9,IF($J$7=2,HLOOKUP(P$11,index1970,Query!$O76)/P$9 * HLOOKUP(P$11,comboutfac,Query!$O76),HLOOKUP(P$11,index1970,Query!$O76)/P$9 * HLOOKUP(P$11,comboutfac,Query!$O76) /P$8))</f>
        <v>4.56138187734659</v>
      </c>
      <c r="Q41" s="120">
        <f ca="1">IF($J$7=1,HLOOKUP(Q$11,index1970,Query!$O76)/Q$9,IF($J$7=2,HLOOKUP(Q$11,index1970,Query!$O76)/Q$9 * HLOOKUP(Q$11,comboutfac,Query!$O76),HLOOKUP(Q$11,index1970,Query!$O76)/Q$9 * HLOOKUP(Q$11,comboutfac,Query!$O76) /Q$8))</f>
        <v>3.7455578480567553</v>
      </c>
      <c r="R41" s="120">
        <f ca="1">IF($J$7=1,HLOOKUP(R$11,index1970,Query!$O76)/R$9,IF($J$7=2,HLOOKUP(R$11,index1970,Query!$O76)/R$9 * HLOOKUP(R$11,comboutfac,Query!$O76),HLOOKUP(R$11,index1970,Query!$O76)/R$9 * HLOOKUP(R$11,comboutfac,Query!$O76) /R$8))</f>
        <v>4.4834278505150564</v>
      </c>
      <c r="S41" s="120">
        <f ca="1">IF($J$7=1,HLOOKUP(S$11,index1970,Query!$O76)/S$9,IF($J$7=2,HLOOKUP(S$11,index1970,Query!$O76)/S$9 * HLOOKUP(S$11,comboutfac,Query!$O76),HLOOKUP(S$11,index1970,Query!$O76)/S$9 * HLOOKUP(S$11,comboutfac,Query!$O76) /S$8))</f>
        <v>3.742590913600381</v>
      </c>
      <c r="T41" s="120">
        <f ca="1">IF($J$7=1,HLOOKUP(T$11,index1970,Query!$O76)/T$9,IF($J$7=2,HLOOKUP(T$11,index1970,Query!$O76)/T$9 * HLOOKUP(T$11,comboutfac,Query!$O76),HLOOKUP(T$11,index1970,Query!$O76)/T$9 * HLOOKUP(T$11,comboutfac,Query!$O76) /T$8))</f>
        <v>3.627590858474004</v>
      </c>
      <c r="U41" s="120">
        <f ca="1">IF($J$7=1,HLOOKUP(U$11,index1970,Query!$O76)/U$9,IF($J$7=2,HLOOKUP(U$11,index1970,Query!$O76)/U$9 * HLOOKUP(U$11,comboutfac,Query!$O76),HLOOKUP(U$11,index1970,Query!$O76)/U$9 * HLOOKUP(U$11,comboutfac,Query!$O76) /U$8))</f>
        <v>3.8884204325276155</v>
      </c>
      <c r="V41" s="120">
        <f ca="1">IF($J$7=1,HLOOKUP(V$11,index1970,Query!$O76)/V$9,IF($J$7=2,HLOOKUP(V$11,index1970,Query!$O76)/V$9 * HLOOKUP(V$11,comboutfac,Query!$O76),HLOOKUP(V$11,index1970,Query!$O76)/V$9 * HLOOKUP(V$11,comboutfac,Query!$O76) /V$8))</f>
        <v>4.226514595795777</v>
      </c>
      <c r="W41" s="120">
        <f ca="1">IF($J$7=1,HLOOKUP(W$11,index1970,Query!$O76)/W$9,IF($J$7=2,HLOOKUP(W$11,index1970,Query!$O76)/W$9 * HLOOKUP(W$11,comboutfac,Query!$O76),HLOOKUP(W$11,index1970,Query!$O76)/W$9 * HLOOKUP(W$11,comboutfac,Query!$O76) /W$8))</f>
        <v>4.1131668881759529</v>
      </c>
      <c r="X41" s="120">
        <f ca="1">IF($J$7=1,HLOOKUP(X$11,index1970,Query!$O76)/X$9,IF($J$7=2,HLOOKUP(X$11,index1970,Query!$O76)/X$9 * HLOOKUP(X$11,comboutfac,Query!$O76),HLOOKUP(X$11,index1970,Query!$O76)/X$9 * HLOOKUP(X$11,comboutfac,Query!$O76) /X$8))</f>
        <v>4.2260485834709574</v>
      </c>
      <c r="Y41" s="120">
        <f ca="1">IF($J$7=1,HLOOKUP(Y$11,index1970,Query!$O76)/Y$9,IF($J$7=2,HLOOKUP(Y$11,index1970,Query!$O76)/Y$9 * HLOOKUP(Y$11,comboutfac,Query!$O76),HLOOKUP(Y$11,index1970,Query!$O76)/Y$9 * HLOOKUP(Y$11,comboutfac,Query!$O76) /Y$8))</f>
        <v>4.1982679543645709</v>
      </c>
      <c r="Z41" s="120">
        <f ca="1">IF($J$7=1,HLOOKUP(Z$11,index1970,Query!$O76)/Z$9,IF($J$7=2,HLOOKUP(Z$11,index1970,Query!$O76)/Z$9 * HLOOKUP(Z$11,comboutfac,Query!$O76),HLOOKUP(Z$11,index1970,Query!$O76)/Z$9 * HLOOKUP(Z$11,comboutfac,Query!$O76) /Z$8))</f>
        <v>4.2604208021569043</v>
      </c>
      <c r="AA41" s="120">
        <f ca="1">IF($J$7=1,HLOOKUP(AA$11,index1970,Query!$O76)/AA$9,IF($J$7=2,HLOOKUP(AA$11,index1970,Query!$O76)/AA$9 * HLOOKUP(AA$11,comboutfac,Query!$O76),HLOOKUP(AA$11,index1970,Query!$O76)/AA$9 * HLOOKUP(AA$11,comboutfac,Query!$O76) /AA$8))</f>
        <v>4.2255937086614157</v>
      </c>
      <c r="AB41" s="120">
        <f ca="1">IF($J$7=1,HLOOKUP(AB$11,index1970,Query!$O76)/AB$9,IF($J$7=2,HLOOKUP(AB$11,index1970,Query!$O76)/AB$9 * HLOOKUP(AB$11,comboutfac,Query!$O76),HLOOKUP(AB$11,index1970,Query!$O76)/AB$9 * HLOOKUP(AB$11,comboutfac,Query!$O76) /AB$8))</f>
        <v>3.9705644951536039</v>
      </c>
      <c r="AC41" s="120">
        <f ca="1">IF($J$7=1,HLOOKUP(AC$11,index1970,Query!$O76)/AC$9,IF($J$7=2,HLOOKUP(AC$11,index1970,Query!$O76)/AC$9 * HLOOKUP(AC$11,comboutfac,Query!$O76),HLOOKUP(AC$11,index1970,Query!$O76)/AC$9 * HLOOKUP(AC$11,comboutfac,Query!$O76) /AC$8))</f>
        <v>4.2842656667492136</v>
      </c>
      <c r="AD41" s="120">
        <f ca="1">IF($J$7=1,HLOOKUP(AD$11,index1970,Query!$O76)/AD$9,IF($J$7=2,HLOOKUP(AD$11,index1970,Query!$O76)/AD$9 * HLOOKUP(AD$11,comboutfac,Query!$O76),HLOOKUP(AD$11,index1970,Query!$O76)/AD$9 * HLOOKUP(AD$11,comboutfac,Query!$O76) /AD$8))</f>
        <v>4.2276251149622999</v>
      </c>
      <c r="AE41" s="120">
        <f ca="1">IF($J$7=1,HLOOKUP(AE$11,index1970,Query!$O76)/AE$9,IF($J$7=2,HLOOKUP(AE$11,index1970,Query!$O76)/AE$9 * HLOOKUP(AE$11,comboutfac,Query!$O76),HLOOKUP(AE$11,index1970,Query!$O76)/AE$9 * HLOOKUP(AE$11,comboutfac,Query!$O76) /AE$8))</f>
        <v>3.6270181097564795</v>
      </c>
      <c r="AF41" s="120">
        <f ca="1">IF($J$7=1,HLOOKUP(AF$11,index1970,Query!$O76)/AF$9,IF($J$7=2,HLOOKUP(AF$11,index1970,Query!$O76)/AF$9 * HLOOKUP(AF$11,comboutfac,Query!$O76),HLOOKUP(AF$11,index1970,Query!$O76)/AF$9 * HLOOKUP(AF$11,comboutfac,Query!$O76) /AF$8))</f>
        <v>5.9070759232416403</v>
      </c>
      <c r="AG41" s="120">
        <f ca="1">IF($J$7=1,HLOOKUP(AG$11,index1970,Query!$O76)/AG$9,IF($J$7=2,HLOOKUP(AG$11,index1970,Query!$O76)/AG$9 * HLOOKUP(AG$11,comboutfac,Query!$O76),HLOOKUP(AG$11,index1970,Query!$O76)/AG$9 * HLOOKUP(AG$11,comboutfac,Query!$O76) /AG$8))</f>
        <v>4.2638495387975439</v>
      </c>
      <c r="AH41" s="120">
        <f ca="1">IF($J$7=1,HLOOKUP(AH$11,index1970,Query!$O76)/AH$9,IF($J$7=2,HLOOKUP(AH$11,index1970,Query!$O76)/AH$9 * HLOOKUP(AH$11,comboutfac,Query!$O76),HLOOKUP(AH$11,index1970,Query!$O76)/AH$9 * HLOOKUP(AH$11,comboutfac,Query!$O76) /AH$8))</f>
        <v>3.6282016171318028</v>
      </c>
      <c r="AI41" s="120">
        <f ca="1">IF($J$7=1,HLOOKUP(AI$11,index1970,Query!$O76)/AI$9,IF($J$7=2,HLOOKUP(AI$11,index1970,Query!$O76)/AI$9 * HLOOKUP(AI$11,comboutfac,Query!$O76),HLOOKUP(AI$11,index1970,Query!$O76)/AI$9 * HLOOKUP(AI$11,comboutfac,Query!$O76) /AI$8))</f>
        <v>3.747185675459523</v>
      </c>
      <c r="AJ41" s="120">
        <f ca="1">IF($J$7=1,HLOOKUP(AJ$11,index1970,Query!$O76)/AJ$9,IF($J$7=2,HLOOKUP(AJ$11,index1970,Query!$O76)/AJ$9 * HLOOKUP(AJ$11,comboutfac,Query!$O76),HLOOKUP(AJ$11,index1970,Query!$O76)/AJ$9 * HLOOKUP(AJ$11,comboutfac,Query!$O76) /AJ$8))</f>
        <v>3.611057299146327</v>
      </c>
      <c r="AK41" s="120">
        <f ca="1">IF($J$7=1,HLOOKUP(AK$11,index1970,Query!$O76)/AK$9,IF($J$7=2,HLOOKUP(AK$11,index1970,Query!$O76)/AK$9 * HLOOKUP(AK$11,comboutfac,Query!$O76),HLOOKUP(AK$11,index1970,Query!$O76)/AK$9 * HLOOKUP(AK$11,comboutfac,Query!$O76) /AK$8))</f>
        <v>3.7324273083145347</v>
      </c>
      <c r="AL41" s="120">
        <f ca="1">IF($J$7=1,HLOOKUP(AL$11,index1970,Query!$O76)/AL$9,IF($J$7=2,HLOOKUP(AL$11,index1970,Query!$O76)/AL$9 * HLOOKUP(AL$11,comboutfac,Query!$O76),HLOOKUP(AL$11,index1970,Query!$O76)/AL$9 * HLOOKUP(AL$11,comboutfac,Query!$O76) /AL$8))</f>
        <v>4.4276372723991217</v>
      </c>
      <c r="AM41" s="120">
        <f ca="1">IF($J$7=1,HLOOKUP(AM$11,index1970,Query!$O76)/AM$9,IF($J$7=2,HLOOKUP(AM$11,index1970,Query!$O76)/AM$9 * HLOOKUP(AM$11,comboutfac,Query!$O76),HLOOKUP(AM$11,index1970,Query!$O76)/AM$9 * HLOOKUP(AM$11,comboutfac,Query!$O76) /AM$8))</f>
        <v>3.7461200832758221</v>
      </c>
      <c r="AN41" s="120">
        <f ca="1">IF($J$7=1,HLOOKUP(AN$11,index1970,Query!$O76)/AN$9,IF($J$7=2,HLOOKUP(AN$11,index1970,Query!$O76)/AN$9 * HLOOKUP(AN$11,comboutfac,Query!$O76),HLOOKUP(AN$11,index1970,Query!$O76)/AN$9 * HLOOKUP(AN$11,comboutfac,Query!$O76) /AN$8))</f>
        <v>4.4874761388801545</v>
      </c>
      <c r="AO41" s="120">
        <f ca="1">IF($J$7=1,HLOOKUP(AO$11,index1970,Query!$O76)/AO$9,IF($J$7=2,HLOOKUP(AO$11,index1970,Query!$O76)/AO$9 * HLOOKUP(AO$11,comboutfac,Query!$O76),HLOOKUP(AO$11,index1970,Query!$O76)/AO$9 * HLOOKUP(AO$11,comboutfac,Query!$O76) /AO$8))</f>
        <v>3.7475495755207988</v>
      </c>
      <c r="AP41" s="120">
        <f ca="1">IF($J$7=1,HLOOKUP(AP$11,index1970,Query!$O76)/AP$9,IF($J$7=2,HLOOKUP(AP$11,index1970,Query!$O76)/AP$9 * HLOOKUP(AP$11,comboutfac,Query!$O76),HLOOKUP(AP$11,index1970,Query!$O76)/AP$9 * HLOOKUP(AP$11,comboutfac,Query!$O76) /AP$8))</f>
        <v>5.9999727613813514</v>
      </c>
      <c r="AQ41" s="683">
        <f ca="1">IF($J$7=1,HLOOKUP(AQ$11,index1970,Query!$O76)/AQ$9,IF($J$7=2,HLOOKUP(AQ$11,index1970,Query!$O76)/AQ$9 * HLOOKUP(AQ$11,comboutfac,Query!$O76),HLOOKUP(AQ$11,index1970,Query!$O76)/AQ$9 * HLOOKUP(AQ$11,comboutfac,Query!$O76) /AQ$8))</f>
        <v>3.9782256664591125</v>
      </c>
      <c r="AR41" s="120">
        <f ca="1">IF($J$7=1,HLOOKUP(AR$11,index1970,Query!$O76)/AR$9,IF($J$7=2,HLOOKUP(AR$11,index1970,Query!$O76)/AR$9 * HLOOKUP(AR$11,comboutfac,Query!$O76),HLOOKUP(AR$11,index1970,Query!$O76)/AR$9 * HLOOKUP(AR$11,comboutfac,Query!$O76) /AR$8))</f>
        <v>4.2684289281345604</v>
      </c>
      <c r="AS41" s="213"/>
    </row>
    <row r="42" spans="1:45" s="122" customFormat="1">
      <c r="A42" s="121">
        <f t="shared" si="6"/>
        <v>1998</v>
      </c>
      <c r="B42" s="120">
        <f ca="1">IF($J$7=1,HLOOKUP(B$11,index1970,Query!$O77)/B$9,IF($J$7=2,HLOOKUP(B$11,index1970,Query!$O77)/B$9 * HLOOKUP(B$11,comboutfac,Query!$O77),HLOOKUP(B$11,index1970,Query!$O77)/B$9 * HLOOKUP(B$11,comboutfac,Query!$O77) /B$8))</f>
        <v>4.3121414797094726</v>
      </c>
      <c r="C42" s="120">
        <f ca="1">IF($J$7=1,HLOOKUP(C$11,index1970,Query!$O77)/C$9,IF($J$7=2,HLOOKUP(C$11,index1970,Query!$O77)/C$9 * HLOOKUP(C$11,comboutfac,Query!$O77),HLOOKUP(C$11,index1970,Query!$O77)/C$9 * HLOOKUP(C$11,comboutfac,Query!$O77) /C$8))</f>
        <v>4.222597259178638</v>
      </c>
      <c r="D42" s="120">
        <f ca="1">IF($J$7=1,HLOOKUP(D$11,index1970,Query!$O77)/D$9,IF($J$7=2,HLOOKUP(D$11,index1970,Query!$O77)/D$9 * HLOOKUP(D$11,comboutfac,Query!$O77),HLOOKUP(D$11,index1970,Query!$O77)/D$9 * HLOOKUP(D$11,comboutfac,Query!$O77) /D$8))</f>
        <v>4.2287746687547347</v>
      </c>
      <c r="E42" s="120">
        <f ca="1">IF($J$7=1,HLOOKUP(E$11,index1970,Query!$O77)/E$9,IF($J$7=2,HLOOKUP(E$11,index1970,Query!$O77)/E$9 * HLOOKUP(E$11,comboutfac,Query!$O77),HLOOKUP(E$11,index1970,Query!$O77)/E$9 * HLOOKUP(E$11,comboutfac,Query!$O77) /E$8))</f>
        <v>3.7844023813100258</v>
      </c>
      <c r="F42" s="120">
        <f ca="1">IF($J$7=1,HLOOKUP(F$11,index1970,Query!$O77)/F$9,IF($J$7=2,HLOOKUP(F$11,index1970,Query!$O77)/F$9 * HLOOKUP(F$11,comboutfac,Query!$O77),HLOOKUP(F$11,index1970,Query!$O77)/F$9 * HLOOKUP(F$11,comboutfac,Query!$O77) /F$8))</f>
        <v>4.2279657648423479</v>
      </c>
      <c r="G42" s="120">
        <f ca="1">IF($J$7=1,HLOOKUP(G$11,index1970,Query!$O77)/G$9,IF($J$7=2,HLOOKUP(G$11,index1970,Query!$O77)/G$9 * HLOOKUP(G$11,comboutfac,Query!$O77),HLOOKUP(G$11,index1970,Query!$O77)/G$9 * HLOOKUP(G$11,comboutfac,Query!$O77) /G$8))</f>
        <v>4.3363216344311999</v>
      </c>
      <c r="H42" s="120">
        <f ca="1">IF($J$7=1,HLOOKUP(H$11,index1970,Query!$O77)/H$9,IF($J$7=2,HLOOKUP(H$11,index1970,Query!$O77)/H$9 * HLOOKUP(H$11,comboutfac,Query!$O77),HLOOKUP(H$11,index1970,Query!$O77)/H$9 * HLOOKUP(H$11,comboutfac,Query!$O77) /H$8))</f>
        <v>4.2645478885492567</v>
      </c>
      <c r="I42" s="120">
        <f ca="1">IF($J$7=1,HLOOKUP(I$11,index1970,Query!$O77)/I$9,IF($J$7=2,HLOOKUP(I$11,index1970,Query!$O77)/I$9 * HLOOKUP(I$11,comboutfac,Query!$O77),HLOOKUP(I$11,index1970,Query!$O77)/I$9 * HLOOKUP(I$11,comboutfac,Query!$O77) /I$8))</f>
        <v>4.1996326945936504</v>
      </c>
      <c r="J42" s="120">
        <f ca="1">IF($J$7=1,HLOOKUP(J$11,index1970,Query!$O77)/J$9,IF($J$7=2,HLOOKUP(J$11,index1970,Query!$O77)/J$9 * HLOOKUP(J$11,comboutfac,Query!$O77),HLOOKUP(J$11,index1970,Query!$O77)/J$9 * HLOOKUP(J$11,comboutfac,Query!$O77) /J$8))</f>
        <v>3.314163352707248</v>
      </c>
      <c r="K42" s="120">
        <f ca="1">IF($J$7=1,HLOOKUP(K$11,index1970,Query!$O77)/K$9,IF($J$7=2,HLOOKUP(K$11,index1970,Query!$O77)/K$9 * HLOOKUP(K$11,comboutfac,Query!$O77),HLOOKUP(K$11,index1970,Query!$O77)/K$9 * HLOOKUP(K$11,comboutfac,Query!$O77) /K$8))</f>
        <v>4.7491773131206969</v>
      </c>
      <c r="L42" s="120">
        <f ca="1">IF($J$7=1,HLOOKUP(L$11,index1970,Query!$O77)/L$9,IF($J$7=2,HLOOKUP(L$11,index1970,Query!$O77)/L$9 * HLOOKUP(L$11,comboutfac,Query!$O77),HLOOKUP(L$11,index1970,Query!$O77)/L$9 * HLOOKUP(L$11,comboutfac,Query!$O77) /L$8))</f>
        <v>4.2253091891761949</v>
      </c>
      <c r="M42" s="120">
        <f ca="1">IF($J$7=1,HLOOKUP(M$11,index1970,Query!$O77)/M$9,IF($J$7=2,HLOOKUP(M$11,index1970,Query!$O77)/M$9 * HLOOKUP(M$11,comboutfac,Query!$O77),HLOOKUP(M$11,index1970,Query!$O77)/M$9 * HLOOKUP(M$11,comboutfac,Query!$O77) /M$8))</f>
        <v>3.6829557315810257</v>
      </c>
      <c r="N42" s="120">
        <f ca="1">IF($J$7=1,HLOOKUP(N$11,index1970,Query!$O77)/N$9,IF($J$7=2,HLOOKUP(N$11,index1970,Query!$O77)/N$9 * HLOOKUP(N$11,comboutfac,Query!$O77),HLOOKUP(N$11,index1970,Query!$O77)/N$9 * HLOOKUP(N$11,comboutfac,Query!$O77) /N$8))</f>
        <v>4.2371159338335707</v>
      </c>
      <c r="O42" s="120">
        <f ca="1">IF($J$7=1,HLOOKUP(O$11,index1970,Query!$O77)/O$9,IF($J$7=2,HLOOKUP(O$11,index1970,Query!$O77)/O$9 * HLOOKUP(O$11,comboutfac,Query!$O77),HLOOKUP(O$11,index1970,Query!$O77)/O$9 * HLOOKUP(O$11,comboutfac,Query!$O77) /O$8))</f>
        <v>4.2645448198164351</v>
      </c>
      <c r="P42" s="120">
        <f ca="1">IF($J$7=1,HLOOKUP(P$11,index1970,Query!$O77)/P$9,IF($J$7=2,HLOOKUP(P$11,index1970,Query!$O77)/P$9 * HLOOKUP(P$11,comboutfac,Query!$O77),HLOOKUP(P$11,index1970,Query!$O77)/P$9 * HLOOKUP(P$11,comboutfac,Query!$O77) /P$8))</f>
        <v>4.6852081829848871</v>
      </c>
      <c r="Q42" s="120">
        <f ca="1">IF($J$7=1,HLOOKUP(Q$11,index1970,Query!$O77)/Q$9,IF($J$7=2,HLOOKUP(Q$11,index1970,Query!$O77)/Q$9 * HLOOKUP(Q$11,comboutfac,Query!$O77),HLOOKUP(Q$11,index1970,Query!$O77)/Q$9 * HLOOKUP(Q$11,comboutfac,Query!$O77) /Q$8))</f>
        <v>3.773597688228838</v>
      </c>
      <c r="R42" s="120">
        <f ca="1">IF($J$7=1,HLOOKUP(R$11,index1970,Query!$O77)/R$9,IF($J$7=2,HLOOKUP(R$11,index1970,Query!$O77)/R$9 * HLOOKUP(R$11,comboutfac,Query!$O77),HLOOKUP(R$11,index1970,Query!$O77)/R$9 * HLOOKUP(R$11,comboutfac,Query!$O77) /R$8))</f>
        <v>4.6071922973676172</v>
      </c>
      <c r="S42" s="120">
        <f ca="1">IF($J$7=1,HLOOKUP(S$11,index1970,Query!$O77)/S$9,IF($J$7=2,HLOOKUP(S$11,index1970,Query!$O77)/S$9 * HLOOKUP(S$11,comboutfac,Query!$O77),HLOOKUP(S$11,index1970,Query!$O77)/S$9 * HLOOKUP(S$11,comboutfac,Query!$O77) /S$8))</f>
        <v>3.7705963309836052</v>
      </c>
      <c r="T42" s="120">
        <f ca="1">IF($J$7=1,HLOOKUP(T$11,index1970,Query!$O77)/T$9,IF($J$7=2,HLOOKUP(T$11,index1970,Query!$O77)/T$9 * HLOOKUP(T$11,comboutfac,Query!$O77),HLOOKUP(T$11,index1970,Query!$O77)/T$9 * HLOOKUP(T$11,comboutfac,Query!$O77) /T$8))</f>
        <v>3.6586454768870933</v>
      </c>
      <c r="U42" s="120">
        <f ca="1">IF($J$7=1,HLOOKUP(U$11,index1970,Query!$O77)/U$9,IF($J$7=2,HLOOKUP(U$11,index1970,Query!$O77)/U$9 * HLOOKUP(U$11,comboutfac,Query!$O77),HLOOKUP(U$11,index1970,Query!$O77)/U$9 * HLOOKUP(U$11,comboutfac,Query!$O77) /U$8))</f>
        <v>3.9127170644635592</v>
      </c>
      <c r="V42" s="120">
        <f ca="1">IF($J$7=1,HLOOKUP(V$11,index1970,Query!$O77)/V$9,IF($J$7=2,HLOOKUP(V$11,index1970,Query!$O77)/V$9 * HLOOKUP(V$11,comboutfac,Query!$O77),HLOOKUP(V$11,index1970,Query!$O77)/V$9 * HLOOKUP(V$11,comboutfac,Query!$O77) /V$8))</f>
        <v>4.2606645452894574</v>
      </c>
      <c r="W42" s="120">
        <f ca="1">IF($J$7=1,HLOOKUP(W$11,index1970,Query!$O77)/W$9,IF($J$7=2,HLOOKUP(W$11,index1970,Query!$O77)/W$9 * HLOOKUP(W$11,comboutfac,Query!$O77),HLOOKUP(W$11,index1970,Query!$O77)/W$9 * HLOOKUP(W$11,comboutfac,Query!$O77) /W$8))</f>
        <v>4.17787254114522</v>
      </c>
      <c r="X42" s="120">
        <f ca="1">IF($J$7=1,HLOOKUP(X$11,index1970,Query!$O77)/X$9,IF($J$7=2,HLOOKUP(X$11,index1970,Query!$O77)/X$9 * HLOOKUP(X$11,comboutfac,Query!$O77),HLOOKUP(X$11,index1970,Query!$O77)/X$9 * HLOOKUP(X$11,comboutfac,Query!$O77) /X$8))</f>
        <v>4.2662631497620795</v>
      </c>
      <c r="Y42" s="120">
        <f ca="1">IF($J$7=1,HLOOKUP(Y$11,index1970,Query!$O77)/Y$9,IF($J$7=2,HLOOKUP(Y$11,index1970,Query!$O77)/Y$9 * HLOOKUP(Y$11,comboutfac,Query!$O77),HLOOKUP(Y$11,index1970,Query!$O77)/Y$9 * HLOOKUP(Y$11,comboutfac,Query!$O77) /Y$8))</f>
        <v>4.256485536351807</v>
      </c>
      <c r="Z42" s="120">
        <f ca="1">IF($J$7=1,HLOOKUP(Z$11,index1970,Query!$O77)/Z$9,IF($J$7=2,HLOOKUP(Z$11,index1970,Query!$O77)/Z$9 * HLOOKUP(Z$11,comboutfac,Query!$O77),HLOOKUP(Z$11,index1970,Query!$O77)/Z$9 * HLOOKUP(Z$11,comboutfac,Query!$O77) /Z$8))</f>
        <v>4.3790152601432251</v>
      </c>
      <c r="AA42" s="120">
        <f ca="1">IF($J$7=1,HLOOKUP(AA$11,index1970,Query!$O77)/AA$9,IF($J$7=2,HLOOKUP(AA$11,index1970,Query!$O77)/AA$9 * HLOOKUP(AA$11,comboutfac,Query!$O77),HLOOKUP(AA$11,index1970,Query!$O77)/AA$9 * HLOOKUP(AA$11,comboutfac,Query!$O77) /AA$8))</f>
        <v>4.2642076450586366</v>
      </c>
      <c r="AB42" s="120">
        <f ca="1">IF($J$7=1,HLOOKUP(AB$11,index1970,Query!$O77)/AB$9,IF($J$7=2,HLOOKUP(AB$11,index1970,Query!$O77)/AB$9 * HLOOKUP(AB$11,comboutfac,Query!$O77),HLOOKUP(AB$11,index1970,Query!$O77)/AB$9 * HLOOKUP(AB$11,comboutfac,Query!$O77) /AB$8))</f>
        <v>4.0438120627809031</v>
      </c>
      <c r="AC42" s="120">
        <f ca="1">IF($J$7=1,HLOOKUP(AC$11,index1970,Query!$O77)/AC$9,IF($J$7=2,HLOOKUP(AC$11,index1970,Query!$O77)/AC$9 * HLOOKUP(AC$11,comboutfac,Query!$O77),HLOOKUP(AC$11,index1970,Query!$O77)/AC$9 * HLOOKUP(AC$11,comboutfac,Query!$O77) /AC$8))</f>
        <v>4.4410645869536625</v>
      </c>
      <c r="AD42" s="120">
        <f ca="1">IF($J$7=1,HLOOKUP(AD$11,index1970,Query!$O77)/AD$9,IF($J$7=2,HLOOKUP(AD$11,index1970,Query!$O77)/AD$9 * HLOOKUP(AD$11,comboutfac,Query!$O77),HLOOKUP(AD$11,index1970,Query!$O77)/AD$9 * HLOOKUP(AD$11,comboutfac,Query!$O77) /AD$8))</f>
        <v>4.2606487802861102</v>
      </c>
      <c r="AE42" s="120">
        <f ca="1">IF($J$7=1,HLOOKUP(AE$11,index1970,Query!$O77)/AE$9,IF($J$7=2,HLOOKUP(AE$11,index1970,Query!$O77)/AE$9 * HLOOKUP(AE$11,comboutfac,Query!$O77),HLOOKUP(AE$11,index1970,Query!$O77)/AE$9 * HLOOKUP(AE$11,comboutfac,Query!$O77) /AE$8))</f>
        <v>3.6577939497787071</v>
      </c>
      <c r="AF42" s="120">
        <f ca="1">IF($J$7=1,HLOOKUP(AF$11,index1970,Query!$O77)/AF$9,IF($J$7=2,HLOOKUP(AF$11,index1970,Query!$O77)/AF$9 * HLOOKUP(AF$11,comboutfac,Query!$O77),HLOOKUP(AF$11,index1970,Query!$O77)/AF$9 * HLOOKUP(AF$11,comboutfac,Query!$O77) /AF$8))</f>
        <v>5.9748829121675726</v>
      </c>
      <c r="AG42" s="120">
        <f ca="1">IF($J$7=1,HLOOKUP(AG$11,index1970,Query!$O77)/AG$9,IF($J$7=2,HLOOKUP(AG$11,index1970,Query!$O77)/AG$9 * HLOOKUP(AG$11,comboutfac,Query!$O77),HLOOKUP(AG$11,index1970,Query!$O77)/AG$9 * HLOOKUP(AG$11,comboutfac,Query!$O77) /AG$8))</f>
        <v>4.3001499297094359</v>
      </c>
      <c r="AH42" s="120">
        <f ca="1">IF($J$7=1,HLOOKUP(AH$11,index1970,Query!$O77)/AH$9,IF($J$7=2,HLOOKUP(AH$11,index1970,Query!$O77)/AH$9 * HLOOKUP(AH$11,comboutfac,Query!$O77),HLOOKUP(AH$11,index1970,Query!$O77)/AH$9 * HLOOKUP(AH$11,comboutfac,Query!$O77) /AH$8))</f>
        <v>3.6641449840134359</v>
      </c>
      <c r="AI42" s="120">
        <f ca="1">IF($J$7=1,HLOOKUP(AI$11,index1970,Query!$O77)/AI$9,IF($J$7=2,HLOOKUP(AI$11,index1970,Query!$O77)/AI$9 * HLOOKUP(AI$11,comboutfac,Query!$O77),HLOOKUP(AI$11,index1970,Query!$O77)/AI$9 * HLOOKUP(AI$11,comboutfac,Query!$O77) /AI$8))</f>
        <v>3.778913524582717</v>
      </c>
      <c r="AJ42" s="120">
        <f ca="1">IF($J$7=1,HLOOKUP(AJ$11,index1970,Query!$O77)/AJ$9,IF($J$7=2,HLOOKUP(AJ$11,index1970,Query!$O77)/AJ$9 * HLOOKUP(AJ$11,comboutfac,Query!$O77),HLOOKUP(AJ$11,index1970,Query!$O77)/AJ$9 * HLOOKUP(AJ$11,comboutfac,Query!$O77) /AJ$8))</f>
        <v>3.6403692209365035</v>
      </c>
      <c r="AK42" s="120">
        <f ca="1">IF($J$7=1,HLOOKUP(AK$11,index1970,Query!$O77)/AK$9,IF($J$7=2,HLOOKUP(AK$11,index1970,Query!$O77)/AK$9 * HLOOKUP(AK$11,comboutfac,Query!$O77),HLOOKUP(AK$11,index1970,Query!$O77)/AK$9 * HLOOKUP(AK$11,comboutfac,Query!$O77) /AK$8))</f>
        <v>3.7629993879285233</v>
      </c>
      <c r="AL42" s="120">
        <f ca="1">IF($J$7=1,HLOOKUP(AL$11,index1970,Query!$O77)/AL$9,IF($J$7=2,HLOOKUP(AL$11,index1970,Query!$O77)/AL$9 * HLOOKUP(AL$11,comboutfac,Query!$O77),HLOOKUP(AL$11,index1970,Query!$O77)/AL$9 * HLOOKUP(AL$11,comboutfac,Query!$O77) /AL$8))</f>
        <v>4.5380569680287373</v>
      </c>
      <c r="AM42" s="120">
        <f ca="1">IF($J$7=1,HLOOKUP(AM$11,index1970,Query!$O77)/AM$9,IF($J$7=2,HLOOKUP(AM$11,index1970,Query!$O77)/AM$9 * HLOOKUP(AM$11,comboutfac,Query!$O77),HLOOKUP(AM$11,index1970,Query!$O77)/AM$9 * HLOOKUP(AM$11,comboutfac,Query!$O77) /AM$8))</f>
        <v>3.7770782934201073</v>
      </c>
      <c r="AN42" s="120">
        <f ca="1">IF($J$7=1,HLOOKUP(AN$11,index1970,Query!$O77)/AN$9,IF($J$7=2,HLOOKUP(AN$11,index1970,Query!$O77)/AN$9 * HLOOKUP(AN$11,comboutfac,Query!$O77),HLOOKUP(AN$11,index1970,Query!$O77)/AN$9 * HLOOKUP(AN$11,comboutfac,Query!$O77) /AN$8))</f>
        <v>4.6045510332151736</v>
      </c>
      <c r="AO42" s="120">
        <f ca="1">IF($J$7=1,HLOOKUP(AO$11,index1970,Query!$O77)/AO$9,IF($J$7=2,HLOOKUP(AO$11,index1970,Query!$O77)/AO$9 * HLOOKUP(AO$11,comboutfac,Query!$O77),HLOOKUP(AO$11,index1970,Query!$O77)/AO$9 * HLOOKUP(AO$11,comboutfac,Query!$O77) /AO$8))</f>
        <v>3.777196706082345</v>
      </c>
      <c r="AP42" s="120">
        <f ca="1">IF($J$7=1,HLOOKUP(AP$11,index1970,Query!$O77)/AP$9,IF($J$7=2,HLOOKUP(AP$11,index1970,Query!$O77)/AP$9 * HLOOKUP(AP$11,comboutfac,Query!$O77),HLOOKUP(AP$11,index1970,Query!$O77)/AP$9 * HLOOKUP(AP$11,comboutfac,Query!$O77) /AP$8))</f>
        <v>6.0892811879173951</v>
      </c>
      <c r="AQ42" s="683">
        <f ca="1">IF($J$7=1,HLOOKUP(AQ$11,index1970,Query!$O77)/AQ$9,IF($J$7=2,HLOOKUP(AQ$11,index1970,Query!$O77)/AQ$9 * HLOOKUP(AQ$11,comboutfac,Query!$O77),HLOOKUP(AQ$11,index1970,Query!$O77)/AQ$9 * HLOOKUP(AQ$11,comboutfac,Query!$O77) /AQ$8))</f>
        <v>4.067755380731553</v>
      </c>
      <c r="AR42" s="120">
        <f ca="1">IF($J$7=1,HLOOKUP(AR$11,index1970,Query!$O77)/AR$9,IF($J$7=2,HLOOKUP(AR$11,index1970,Query!$O77)/AR$9 * HLOOKUP(AR$11,comboutfac,Query!$O77),HLOOKUP(AR$11,index1970,Query!$O77)/AR$9 * HLOOKUP(AR$11,comboutfac,Query!$O77) /AR$8))</f>
        <v>4.3184540374166547</v>
      </c>
      <c r="AS42" s="213"/>
    </row>
    <row r="43" spans="1:45" s="122" customFormat="1">
      <c r="A43" s="121">
        <f t="shared" si="6"/>
        <v>1999</v>
      </c>
      <c r="B43" s="120">
        <f ca="1">IF($J$7=1,HLOOKUP(B$11,index1970,Query!$O78)/B$9,IF($J$7=2,HLOOKUP(B$11,index1970,Query!$O78)/B$9 * HLOOKUP(B$11,comboutfac,Query!$O78),HLOOKUP(B$11,index1970,Query!$O78)/B$9 * HLOOKUP(B$11,comboutfac,Query!$O78) /B$8))</f>
        <v>4.3675155409659228</v>
      </c>
      <c r="C43" s="120">
        <f ca="1">IF($J$7=1,HLOOKUP(C$11,index1970,Query!$O78)/C$9,IF($J$7=2,HLOOKUP(C$11,index1970,Query!$O78)/C$9 * HLOOKUP(C$11,comboutfac,Query!$O78),HLOOKUP(C$11,index1970,Query!$O78)/C$9 * HLOOKUP(C$11,comboutfac,Query!$O78) /C$8))</f>
        <v>4.2727096950793122</v>
      </c>
      <c r="D43" s="120">
        <f ca="1">IF($J$7=1,HLOOKUP(D$11,index1970,Query!$O78)/D$9,IF($J$7=2,HLOOKUP(D$11,index1970,Query!$O78)/D$9 * HLOOKUP(D$11,comboutfac,Query!$O78),HLOOKUP(D$11,index1970,Query!$O78)/D$9 * HLOOKUP(D$11,comboutfac,Query!$O78) /D$8))</f>
        <v>4.2844640160236365</v>
      </c>
      <c r="E43" s="120">
        <f ca="1">IF($J$7=1,HLOOKUP(E$11,index1970,Query!$O78)/E$9,IF($J$7=2,HLOOKUP(E$11,index1970,Query!$O78)/E$9 * HLOOKUP(E$11,comboutfac,Query!$O78),HLOOKUP(E$11,index1970,Query!$O78)/E$9 * HLOOKUP(E$11,comboutfac,Query!$O78) /E$8))</f>
        <v>3.9130720622745669</v>
      </c>
      <c r="F43" s="120">
        <f ca="1">IF($J$7=1,HLOOKUP(F$11,index1970,Query!$O78)/F$9,IF($J$7=2,HLOOKUP(F$11,index1970,Query!$O78)/F$9 * HLOOKUP(F$11,comboutfac,Query!$O78),HLOOKUP(F$11,index1970,Query!$O78)/F$9 * HLOOKUP(F$11,comboutfac,Query!$O78) /F$8))</f>
        <v>4.2828361872653469</v>
      </c>
      <c r="G43" s="120">
        <f ca="1">IF($J$7=1,HLOOKUP(G$11,index1970,Query!$O78)/G$9,IF($J$7=2,HLOOKUP(G$11,index1970,Query!$O78)/G$9 * HLOOKUP(G$11,comboutfac,Query!$O78),HLOOKUP(G$11,index1970,Query!$O78)/G$9 * HLOOKUP(G$11,comboutfac,Query!$O78) /G$8))</f>
        <v>4.4070780233421196</v>
      </c>
      <c r="H43" s="120">
        <f ca="1">IF($J$7=1,HLOOKUP(H$11,index1970,Query!$O78)/H$9,IF($J$7=2,HLOOKUP(H$11,index1970,Query!$O78)/H$9 * HLOOKUP(H$11,comboutfac,Query!$O78),HLOOKUP(H$11,index1970,Query!$O78)/H$9 * HLOOKUP(H$11,comboutfac,Query!$O78) /H$8))</f>
        <v>4.3062712040567197</v>
      </c>
      <c r="I43" s="120">
        <f ca="1">IF($J$7=1,HLOOKUP(I$11,index1970,Query!$O78)/I$9,IF($J$7=2,HLOOKUP(I$11,index1970,Query!$O78)/I$9 * HLOOKUP(I$11,comboutfac,Query!$O78),HLOOKUP(I$11,index1970,Query!$O78)/I$9 * HLOOKUP(I$11,comboutfac,Query!$O78) /I$8))</f>
        <v>4.2549876372309949</v>
      </c>
      <c r="J43" s="120">
        <f ca="1">IF($J$7=1,HLOOKUP(J$11,index1970,Query!$O78)/J$9,IF($J$7=2,HLOOKUP(J$11,index1970,Query!$O78)/J$9 * HLOOKUP(J$11,comboutfac,Query!$O78),HLOOKUP(J$11,index1970,Query!$O78)/J$9 * HLOOKUP(J$11,comboutfac,Query!$O78) /J$8))</f>
        <v>3.022636892015905</v>
      </c>
      <c r="K43" s="120">
        <f ca="1">IF($J$7=1,HLOOKUP(K$11,index1970,Query!$O78)/K$9,IF($J$7=2,HLOOKUP(K$11,index1970,Query!$O78)/K$9 * HLOOKUP(K$11,comboutfac,Query!$O78),HLOOKUP(K$11,index1970,Query!$O78)/K$9 * HLOOKUP(K$11,comboutfac,Query!$O78) /K$8))</f>
        <v>4.9106493417668009</v>
      </c>
      <c r="L43" s="120">
        <f ca="1">IF($J$7=1,HLOOKUP(L$11,index1970,Query!$O78)/L$9,IF($J$7=2,HLOOKUP(L$11,index1970,Query!$O78)/L$9 * HLOOKUP(L$11,comboutfac,Query!$O78),HLOOKUP(L$11,index1970,Query!$O78)/L$9 * HLOOKUP(L$11,comboutfac,Query!$O78) /L$8))</f>
        <v>4.312417096348808</v>
      </c>
      <c r="M43" s="120">
        <f ca="1">IF($J$7=1,HLOOKUP(M$11,index1970,Query!$O78)/M$9,IF($J$7=2,HLOOKUP(M$11,index1970,Query!$O78)/M$9 * HLOOKUP(M$11,comboutfac,Query!$O78),HLOOKUP(M$11,index1970,Query!$O78)/M$9 * HLOOKUP(M$11,comboutfac,Query!$O78) /M$8))</f>
        <v>3.7329674814997729</v>
      </c>
      <c r="N43" s="120">
        <f ca="1">IF($J$7=1,HLOOKUP(N$11,index1970,Query!$O78)/N$9,IF($J$7=2,HLOOKUP(N$11,index1970,Query!$O78)/N$9 * HLOOKUP(N$11,comboutfac,Query!$O78),HLOOKUP(N$11,index1970,Query!$O78)/N$9 * HLOOKUP(N$11,comboutfac,Query!$O78) /N$8))</f>
        <v>4.3041977427034999</v>
      </c>
      <c r="O43" s="120">
        <f ca="1">IF($J$7=1,HLOOKUP(O$11,index1970,Query!$O78)/O$9,IF($J$7=2,HLOOKUP(O$11,index1970,Query!$O78)/O$9 * HLOOKUP(O$11,comboutfac,Query!$O78),HLOOKUP(O$11,index1970,Query!$O78)/O$9 * HLOOKUP(O$11,comboutfac,Query!$O78) /O$8))</f>
        <v>4.3159859396777405</v>
      </c>
      <c r="P43" s="120">
        <f ca="1">IF($J$7=1,HLOOKUP(P$11,index1970,Query!$O78)/P$9,IF($J$7=2,HLOOKUP(P$11,index1970,Query!$O78)/P$9 * HLOOKUP(P$11,comboutfac,Query!$O78),HLOOKUP(P$11,index1970,Query!$O78)/P$9 * HLOOKUP(P$11,comboutfac,Query!$O78) /P$8))</f>
        <v>4.8374778404311858</v>
      </c>
      <c r="Q43" s="120">
        <f ca="1">IF($J$7=1,HLOOKUP(Q$11,index1970,Query!$O78)/Q$9,IF($J$7=2,HLOOKUP(Q$11,index1970,Query!$O78)/Q$9 * HLOOKUP(Q$11,comboutfac,Query!$O78),HLOOKUP(Q$11,index1970,Query!$O78)/Q$9 * HLOOKUP(Q$11,comboutfac,Query!$O78) /Q$8))</f>
        <v>3.8071874751443882</v>
      </c>
      <c r="R43" s="120">
        <f ca="1">IF($J$7=1,HLOOKUP(R$11,index1970,Query!$O78)/R$9,IF($J$7=2,HLOOKUP(R$11,index1970,Query!$O78)/R$9 * HLOOKUP(R$11,comboutfac,Query!$O78),HLOOKUP(R$11,index1970,Query!$O78)/R$9 * HLOOKUP(R$11,comboutfac,Query!$O78) /R$8))</f>
        <v>4.7591866344050402</v>
      </c>
      <c r="S43" s="120">
        <f ca="1">IF($J$7=1,HLOOKUP(S$11,index1970,Query!$O78)/S$9,IF($J$7=2,HLOOKUP(S$11,index1970,Query!$O78)/S$9 * HLOOKUP(S$11,comboutfac,Query!$O78),HLOOKUP(S$11,index1970,Query!$O78)/S$9 * HLOOKUP(S$11,comboutfac,Query!$O78) /S$8))</f>
        <v>3.8075480308314518</v>
      </c>
      <c r="T43" s="120">
        <f ca="1">IF($J$7=1,HLOOKUP(T$11,index1970,Query!$O78)/T$9,IF($J$7=2,HLOOKUP(T$11,index1970,Query!$O78)/T$9 * HLOOKUP(T$11,comboutfac,Query!$O78),HLOOKUP(T$11,index1970,Query!$O78)/T$9 * HLOOKUP(T$11,comboutfac,Query!$O78) /T$8))</f>
        <v>3.7001982690015769</v>
      </c>
      <c r="U43" s="120">
        <f ca="1">IF($J$7=1,HLOOKUP(U$11,index1970,Query!$O78)/U$9,IF($J$7=2,HLOOKUP(U$11,index1970,Query!$O78)/U$9 * HLOOKUP(U$11,comboutfac,Query!$O78),HLOOKUP(U$11,index1970,Query!$O78)/U$9 * HLOOKUP(U$11,comboutfac,Query!$O78) /U$8))</f>
        <v>3.9554696405034102</v>
      </c>
      <c r="V43" s="120">
        <f ca="1">IF($J$7=1,HLOOKUP(V$11,index1970,Query!$O78)/V$9,IF($J$7=2,HLOOKUP(V$11,index1970,Query!$O78)/V$9 * HLOOKUP(V$11,comboutfac,Query!$O78),HLOOKUP(V$11,index1970,Query!$O78)/V$9 * HLOOKUP(V$11,comboutfac,Query!$O78) /V$8))</f>
        <v>4.3056386232370327</v>
      </c>
      <c r="W43" s="120">
        <f ca="1">IF($J$7=1,HLOOKUP(W$11,index1970,Query!$O78)/W$9,IF($J$7=2,HLOOKUP(W$11,index1970,Query!$O78)/W$9 * HLOOKUP(W$11,comboutfac,Query!$O78),HLOOKUP(W$11,index1970,Query!$O78)/W$9 * HLOOKUP(W$11,comboutfac,Query!$O78) /W$8))</f>
        <v>4.2425984641839145</v>
      </c>
      <c r="X43" s="120">
        <f ca="1">IF($J$7=1,HLOOKUP(X$11,index1970,Query!$O78)/X$9,IF($J$7=2,HLOOKUP(X$11,index1970,Query!$O78)/X$9 * HLOOKUP(X$11,comboutfac,Query!$O78),HLOOKUP(X$11,index1970,Query!$O78)/X$9 * HLOOKUP(X$11,comboutfac,Query!$O78) /X$8))</f>
        <v>4.3116712378478192</v>
      </c>
      <c r="Y43" s="120">
        <f ca="1">IF($J$7=1,HLOOKUP(Y$11,index1970,Query!$O78)/Y$9,IF($J$7=2,HLOOKUP(Y$11,index1970,Query!$O78)/Y$9 * HLOOKUP(Y$11,comboutfac,Query!$O78),HLOOKUP(Y$11,index1970,Query!$O78)/Y$9 * HLOOKUP(Y$11,comboutfac,Query!$O78) /Y$8))</f>
        <v>4.3001456680347792</v>
      </c>
      <c r="Z43" s="120">
        <f ca="1">IF($J$7=1,HLOOKUP(Z$11,index1970,Query!$O78)/Z$9,IF($J$7=2,HLOOKUP(Z$11,index1970,Query!$O78)/Z$9 * HLOOKUP(Z$11,comboutfac,Query!$O78),HLOOKUP(Z$11,index1970,Query!$O78)/Z$9 * HLOOKUP(Z$11,comboutfac,Query!$O78) /Z$8))</f>
        <v>4.4479707708856679</v>
      </c>
      <c r="AA43" s="120">
        <f ca="1">IF($J$7=1,HLOOKUP(AA$11,index1970,Query!$O78)/AA$9,IF($J$7=2,HLOOKUP(AA$11,index1970,Query!$O78)/AA$9 * HLOOKUP(AA$11,comboutfac,Query!$O78),HLOOKUP(AA$11,index1970,Query!$O78)/AA$9 * HLOOKUP(AA$11,comboutfac,Query!$O78) /AA$8))</f>
        <v>4.3048296815656935</v>
      </c>
      <c r="AB43" s="120">
        <f ca="1">IF($J$7=1,HLOOKUP(AB$11,index1970,Query!$O78)/AB$9,IF($J$7=2,HLOOKUP(AB$11,index1970,Query!$O78)/AB$9 * HLOOKUP(AB$11,comboutfac,Query!$O78),HLOOKUP(AB$11,index1970,Query!$O78)/AB$9 * HLOOKUP(AB$11,comboutfac,Query!$O78) /AB$8))</f>
        <v>4.1272571212667106</v>
      </c>
      <c r="AC43" s="120">
        <f ca="1">IF($J$7=1,HLOOKUP(AC$11,index1970,Query!$O78)/AC$9,IF($J$7=2,HLOOKUP(AC$11,index1970,Query!$O78)/AC$9 * HLOOKUP(AC$11,comboutfac,Query!$O78),HLOOKUP(AC$11,index1970,Query!$O78)/AC$9 * HLOOKUP(AC$11,comboutfac,Query!$O78) /AC$8))</f>
        <v>4.4642578276753362</v>
      </c>
      <c r="AD43" s="120">
        <f ca="1">IF($J$7=1,HLOOKUP(AD$11,index1970,Query!$O78)/AD$9,IF($J$7=2,HLOOKUP(AD$11,index1970,Query!$O78)/AD$9 * HLOOKUP(AD$11,comboutfac,Query!$O78),HLOOKUP(AD$11,index1970,Query!$O78)/AD$9 * HLOOKUP(AD$11,comboutfac,Query!$O78) /AD$8))</f>
        <v>4.3099432376418658</v>
      </c>
      <c r="AE43" s="120">
        <f ca="1">IF($J$7=1,HLOOKUP(AE$11,index1970,Query!$O78)/AE$9,IF($J$7=2,HLOOKUP(AE$11,index1970,Query!$O78)/AE$9 * HLOOKUP(AE$11,comboutfac,Query!$O78),HLOOKUP(AE$11,index1970,Query!$O78)/AE$9 * HLOOKUP(AE$11,comboutfac,Query!$O78) /AE$8))</f>
        <v>3.7039057540279496</v>
      </c>
      <c r="AF43" s="120">
        <f ca="1">IF($J$7=1,HLOOKUP(AF$11,index1970,Query!$O78)/AF$9,IF($J$7=2,HLOOKUP(AF$11,index1970,Query!$O78)/AF$9 * HLOOKUP(AF$11,comboutfac,Query!$O78),HLOOKUP(AF$11,index1970,Query!$O78)/AF$9 * HLOOKUP(AF$11,comboutfac,Query!$O78) /AF$8))</f>
        <v>6.0543180503361871</v>
      </c>
      <c r="AG43" s="120">
        <f ca="1">IF($J$7=1,HLOOKUP(AG$11,index1970,Query!$O78)/AG$9,IF($J$7=2,HLOOKUP(AG$11,index1970,Query!$O78)/AG$9 * HLOOKUP(AG$11,comboutfac,Query!$O78),HLOOKUP(AG$11,index1970,Query!$O78)/AG$9 * HLOOKUP(AG$11,comboutfac,Query!$O78) /AG$8))</f>
        <v>4.3546500473196463</v>
      </c>
      <c r="AH43" s="120">
        <f ca="1">IF($J$7=1,HLOOKUP(AH$11,index1970,Query!$O78)/AH$9,IF($J$7=2,HLOOKUP(AH$11,index1970,Query!$O78)/AH$9 * HLOOKUP(AH$11,comboutfac,Query!$O78),HLOOKUP(AH$11,index1970,Query!$O78)/AH$9 * HLOOKUP(AH$11,comboutfac,Query!$O78) /AH$8))</f>
        <v>3.7109836125942586</v>
      </c>
      <c r="AI43" s="120">
        <f ca="1">IF($J$7=1,HLOOKUP(AI$11,index1970,Query!$O78)/AI$9,IF($J$7=2,HLOOKUP(AI$11,index1970,Query!$O78)/AI$9 * HLOOKUP(AI$11,comboutfac,Query!$O78),HLOOKUP(AI$11,index1970,Query!$O78)/AI$9 * HLOOKUP(AI$11,comboutfac,Query!$O78) /AI$8))</f>
        <v>3.8246486721166755</v>
      </c>
      <c r="AJ43" s="120">
        <f ca="1">IF($J$7=1,HLOOKUP(AJ$11,index1970,Query!$O78)/AJ$9,IF($J$7=2,HLOOKUP(AJ$11,index1970,Query!$O78)/AJ$9 * HLOOKUP(AJ$11,comboutfac,Query!$O78),HLOOKUP(AJ$11,index1970,Query!$O78)/AJ$9 * HLOOKUP(AJ$11,comboutfac,Query!$O78) /AJ$8))</f>
        <v>3.6811616236586207</v>
      </c>
      <c r="AK43" s="120">
        <f ca="1">IF($J$7=1,HLOOKUP(AK$11,index1970,Query!$O78)/AK$9,IF($J$7=2,HLOOKUP(AK$11,index1970,Query!$O78)/AK$9 * HLOOKUP(AK$11,comboutfac,Query!$O78),HLOOKUP(AK$11,index1970,Query!$O78)/AK$9 * HLOOKUP(AK$11,comboutfac,Query!$O78) /AK$8))</f>
        <v>3.8073038756456512</v>
      </c>
      <c r="AL43" s="120">
        <f ca="1">IF($J$7=1,HLOOKUP(AL$11,index1970,Query!$O78)/AL$9,IF($J$7=2,HLOOKUP(AL$11,index1970,Query!$O78)/AL$9 * HLOOKUP(AL$11,comboutfac,Query!$O78),HLOOKUP(AL$11,index1970,Query!$O78)/AL$9 * HLOOKUP(AL$11,comboutfac,Query!$O78) /AL$8))</f>
        <v>4.6706394677387459</v>
      </c>
      <c r="AM43" s="120">
        <f ca="1">IF($J$7=1,HLOOKUP(AM$11,index1970,Query!$O78)/AM$9,IF($J$7=2,HLOOKUP(AM$11,index1970,Query!$O78)/AM$9 * HLOOKUP(AM$11,comboutfac,Query!$O78),HLOOKUP(AM$11,index1970,Query!$O78)/AM$9 * HLOOKUP(AM$11,comboutfac,Query!$O78) /AM$8))</f>
        <v>3.8071874751443882</v>
      </c>
      <c r="AN43" s="120">
        <f ca="1">IF($J$7=1,HLOOKUP(AN$11,index1970,Query!$O78)/AN$9,IF($J$7=2,HLOOKUP(AN$11,index1970,Query!$O78)/AN$9 * HLOOKUP(AN$11,comboutfac,Query!$O78),HLOOKUP(AN$11,index1970,Query!$O78)/AN$9 * HLOOKUP(AN$11,comboutfac,Query!$O78) /AN$8))</f>
        <v>4.7460904769547634</v>
      </c>
      <c r="AO43" s="120">
        <f ca="1">IF($J$7=1,HLOOKUP(AO$11,index1970,Query!$O78)/AO$9,IF($J$7=2,HLOOKUP(AO$11,index1970,Query!$O78)/AO$9 * HLOOKUP(AO$11,comboutfac,Query!$O78),HLOOKUP(AO$11,index1970,Query!$O78)/AO$9 * HLOOKUP(AO$11,comboutfac,Query!$O78) /AO$8))</f>
        <v>3.8075480308314518</v>
      </c>
      <c r="AP43" s="120">
        <f ca="1">IF($J$7=1,HLOOKUP(AP$11,index1970,Query!$O78)/AP$9,IF($J$7=2,HLOOKUP(AP$11,index1970,Query!$O78)/AP$9 * HLOOKUP(AP$11,comboutfac,Query!$O78),HLOOKUP(AP$11,index1970,Query!$O78)/AP$9 * HLOOKUP(AP$11,comboutfac,Query!$O78) /AP$8))</f>
        <v>6.1538551479419414</v>
      </c>
      <c r="AQ43" s="683">
        <f ca="1">IF($J$7=1,HLOOKUP(AQ$11,index1970,Query!$O78)/AQ$9,IF($J$7=2,HLOOKUP(AQ$11,index1970,Query!$O78)/AQ$9 * HLOOKUP(AQ$11,comboutfac,Query!$O78),HLOOKUP(AQ$11,index1970,Query!$O78)/AQ$9 * HLOOKUP(AQ$11,comboutfac,Query!$O78) /AQ$8))</f>
        <v>4.1324565632406918</v>
      </c>
      <c r="AR43" s="120">
        <f ca="1">IF($J$7=1,HLOOKUP(AR$11,index1970,Query!$O78)/AR$9,IF($J$7=2,HLOOKUP(AR$11,index1970,Query!$O78)/AR$9 * HLOOKUP(AR$11,comboutfac,Query!$O78),HLOOKUP(AR$11,index1970,Query!$O78)/AR$9 * HLOOKUP(AR$11,comboutfac,Query!$O78) /AR$8))</f>
        <v>4.3724325951406886</v>
      </c>
      <c r="AS43" s="213"/>
    </row>
    <row r="44" spans="1:45" s="122" customFormat="1">
      <c r="A44" s="121">
        <f t="shared" si="6"/>
        <v>2000</v>
      </c>
      <c r="B44" s="120">
        <f ca="1">IF($J$7=1,HLOOKUP(B$11,index1970,Query!$O79)/B$9,IF($J$7=2,HLOOKUP(B$11,index1970,Query!$O79)/B$9 * HLOOKUP(B$11,comboutfac,Query!$O79),HLOOKUP(B$11,index1970,Query!$O79)/B$9 * HLOOKUP(B$11,comboutfac,Query!$O79) /B$8))</f>
        <v>4.425484734292672</v>
      </c>
      <c r="C44" s="120">
        <f ca="1">IF($J$7=1,HLOOKUP(C$11,index1970,Query!$O79)/C$9,IF($J$7=2,HLOOKUP(C$11,index1970,Query!$O79)/C$9 * HLOOKUP(C$11,comboutfac,Query!$O79),HLOOKUP(C$11,index1970,Query!$O79)/C$9 * HLOOKUP(C$11,comboutfac,Query!$O79) /C$8))</f>
        <v>4.3367362387807908</v>
      </c>
      <c r="D44" s="120">
        <f ca="1">IF($J$7=1,HLOOKUP(D$11,index1970,Query!$O79)/D$9,IF($J$7=2,HLOOKUP(D$11,index1970,Query!$O79)/D$9 * HLOOKUP(D$11,comboutfac,Query!$O79),HLOOKUP(D$11,index1970,Query!$O79)/D$9 * HLOOKUP(D$11,comboutfac,Query!$O79) /D$8))</f>
        <v>4.3474079930381828</v>
      </c>
      <c r="E44" s="120">
        <f ca="1">IF($J$7=1,HLOOKUP(E$11,index1970,Query!$O79)/E$9,IF($J$7=2,HLOOKUP(E$11,index1970,Query!$O79)/E$9 * HLOOKUP(E$11,comboutfac,Query!$O79),HLOOKUP(E$11,index1970,Query!$O79)/E$9 * HLOOKUP(E$11,comboutfac,Query!$O79) /E$8))</f>
        <v>4.0894689310136743</v>
      </c>
      <c r="F44" s="120">
        <f ca="1">IF($J$7=1,HLOOKUP(F$11,index1970,Query!$O79)/F$9,IF($J$7=2,HLOOKUP(F$11,index1970,Query!$O79)/F$9 * HLOOKUP(F$11,comboutfac,Query!$O79),HLOOKUP(F$11,index1970,Query!$O79)/F$9 * HLOOKUP(F$11,comboutfac,Query!$O79) /F$8))</f>
        <v>4.3451258207328385</v>
      </c>
      <c r="G44" s="120">
        <f ca="1">IF($J$7=1,HLOOKUP(G$11,index1970,Query!$O79)/G$9,IF($J$7=2,HLOOKUP(G$11,index1970,Query!$O79)/G$9 * HLOOKUP(G$11,comboutfac,Query!$O79),HLOOKUP(G$11,index1970,Query!$O79)/G$9 * HLOOKUP(G$11,comboutfac,Query!$O79) /G$8))</f>
        <v>4.4719350136491007</v>
      </c>
      <c r="H44" s="120">
        <f ca="1">IF($J$7=1,HLOOKUP(H$11,index1970,Query!$O79)/H$9,IF($J$7=2,HLOOKUP(H$11,index1970,Query!$O79)/H$9 * HLOOKUP(H$11,comboutfac,Query!$O79),HLOOKUP(H$11,index1970,Query!$O79)/H$9 * HLOOKUP(H$11,comboutfac,Query!$O79) /H$8))</f>
        <v>4.3689637567345274</v>
      </c>
      <c r="I44" s="120">
        <f ca="1">IF($J$7=1,HLOOKUP(I$11,index1970,Query!$O79)/I$9,IF($J$7=2,HLOOKUP(I$11,index1970,Query!$O79)/I$9 * HLOOKUP(I$11,comboutfac,Query!$O79),HLOOKUP(I$11,index1970,Query!$O79)/I$9 * HLOOKUP(I$11,comboutfac,Query!$O79) /I$8))</f>
        <v>4.3351255976535574</v>
      </c>
      <c r="J44" s="120">
        <f ca="1">IF($J$7=1,HLOOKUP(J$11,index1970,Query!$O79)/J$9,IF($J$7=2,HLOOKUP(J$11,index1970,Query!$O79)/J$9 * HLOOKUP(J$11,comboutfac,Query!$O79),HLOOKUP(J$11,index1970,Query!$O79)/J$9 * HLOOKUP(J$11,comboutfac,Query!$O79) /J$8))</f>
        <v>2.2579097583358809</v>
      </c>
      <c r="K44" s="120">
        <f ca="1">IF($J$7=1,HLOOKUP(K$11,index1970,Query!$O79)/K$9,IF($J$7=2,HLOOKUP(K$11,index1970,Query!$O79)/K$9 * HLOOKUP(K$11,comboutfac,Query!$O79),HLOOKUP(K$11,index1970,Query!$O79)/K$9 * HLOOKUP(K$11,comboutfac,Query!$O79) /K$8))</f>
        <v>5.1320158674984819</v>
      </c>
      <c r="L44" s="120">
        <f ca="1">IF($J$7=1,HLOOKUP(L$11,index1970,Query!$O79)/L$9,IF($J$7=2,HLOOKUP(L$11,index1970,Query!$O79)/L$9 * HLOOKUP(L$11,comboutfac,Query!$O79),HLOOKUP(L$11,index1970,Query!$O79)/L$9 * HLOOKUP(L$11,comboutfac,Query!$O79) /L$8))</f>
        <v>4.4052054068342548</v>
      </c>
      <c r="M44" s="120">
        <f ca="1">IF($J$7=1,HLOOKUP(M$11,index1970,Query!$O79)/M$9,IF($J$7=2,HLOOKUP(M$11,index1970,Query!$O79)/M$9 * HLOOKUP(M$11,comboutfac,Query!$O79),HLOOKUP(M$11,index1970,Query!$O79)/M$9 * HLOOKUP(M$11,comboutfac,Query!$O79) /M$8))</f>
        <v>3.7876133331173572</v>
      </c>
      <c r="N44" s="120">
        <f ca="1">IF($J$7=1,HLOOKUP(N$11,index1970,Query!$O79)/N$9,IF($J$7=2,HLOOKUP(N$11,index1970,Query!$O79)/N$9 * HLOOKUP(N$11,comboutfac,Query!$O79),HLOOKUP(N$11,index1970,Query!$O79)/N$9 * HLOOKUP(N$11,comboutfac,Query!$O79) /N$8))</f>
        <v>4.3597304298301047</v>
      </c>
      <c r="O44" s="120">
        <f ca="1">IF($J$7=1,HLOOKUP(O$11,index1970,Query!$O79)/O$9,IF($J$7=2,HLOOKUP(O$11,index1970,Query!$O79)/O$9 * HLOOKUP(O$11,comboutfac,Query!$O79),HLOOKUP(O$11,index1970,Query!$O79)/O$9 * HLOOKUP(O$11,comboutfac,Query!$O79) /O$8))</f>
        <v>4.3804709615924438</v>
      </c>
      <c r="P44" s="120">
        <f ca="1">IF($J$7=1,HLOOKUP(P$11,index1970,Query!$O79)/P$9,IF($J$7=2,HLOOKUP(P$11,index1970,Query!$O79)/P$9 * HLOOKUP(P$11,comboutfac,Query!$O79),HLOOKUP(P$11,index1970,Query!$O79)/P$9 * HLOOKUP(P$11,comboutfac,Query!$O79) /P$8))</f>
        <v>5.0468260294851861</v>
      </c>
      <c r="Q44" s="120">
        <f ca="1">IF($J$7=1,HLOOKUP(Q$11,index1970,Query!$O79)/Q$9,IF($J$7=2,HLOOKUP(Q$11,index1970,Query!$O79)/Q$9 * HLOOKUP(Q$11,comboutfac,Query!$O79),HLOOKUP(Q$11,index1970,Query!$O79)/Q$9 * HLOOKUP(Q$11,comboutfac,Query!$O79) /Q$8))</f>
        <v>3.8608181465519196</v>
      </c>
      <c r="R44" s="120">
        <f ca="1">IF($J$7=1,HLOOKUP(R$11,index1970,Query!$O79)/R$9,IF($J$7=2,HLOOKUP(R$11,index1970,Query!$O79)/R$9 * HLOOKUP(R$11,comboutfac,Query!$O79),HLOOKUP(R$11,index1970,Query!$O79)/R$9 * HLOOKUP(R$11,comboutfac,Query!$O79) /R$8))</f>
        <v>4.967603178581915</v>
      </c>
      <c r="S44" s="120">
        <f ca="1">IF($J$7=1,HLOOKUP(S$11,index1970,Query!$O79)/S$9,IF($J$7=2,HLOOKUP(S$11,index1970,Query!$O79)/S$9 * HLOOKUP(S$11,comboutfac,Query!$O79),HLOOKUP(S$11,index1970,Query!$O79)/S$9 * HLOOKUP(S$11,comboutfac,Query!$O79) /S$8))</f>
        <v>3.8563647952016842</v>
      </c>
      <c r="T44" s="120">
        <f ca="1">IF($J$7=1,HLOOKUP(T$11,index1970,Query!$O79)/T$9,IF($J$7=2,HLOOKUP(T$11,index1970,Query!$O79)/T$9 * HLOOKUP(T$11,comboutfac,Query!$O79),HLOOKUP(T$11,index1970,Query!$O79)/T$9 * HLOOKUP(T$11,comboutfac,Query!$O79) /T$8))</f>
        <v>3.7581267605360327</v>
      </c>
      <c r="U44" s="120">
        <f ca="1">IF($J$7=1,HLOOKUP(U$11,index1970,Query!$O79)/U$9,IF($J$7=2,HLOOKUP(U$11,index1970,Query!$O79)/U$9 * HLOOKUP(U$11,comboutfac,Query!$O79),HLOOKUP(U$11,index1970,Query!$O79)/U$9 * HLOOKUP(U$11,comboutfac,Query!$O79) /U$8))</f>
        <v>4.0588762079616991</v>
      </c>
      <c r="V44" s="120">
        <f ca="1">IF($J$7=1,HLOOKUP(V$11,index1970,Query!$O79)/V$9,IF($J$7=2,HLOOKUP(V$11,index1970,Query!$O79)/V$9 * HLOOKUP(V$11,comboutfac,Query!$O79),HLOOKUP(V$11,index1970,Query!$O79)/V$9 * HLOOKUP(V$11,comboutfac,Query!$O79) /V$8))</f>
        <v>4.3698862561683294</v>
      </c>
      <c r="W44" s="120">
        <f ca="1">IF($J$7=1,HLOOKUP(W$11,index1970,Query!$O79)/W$9,IF($J$7=2,HLOOKUP(W$11,index1970,Query!$O79)/W$9 * HLOOKUP(W$11,comboutfac,Query!$O79),HLOOKUP(W$11,index1970,Query!$O79)/W$9 * HLOOKUP(W$11,comboutfac,Query!$O79) /W$8))</f>
        <v>4.3293949758643286</v>
      </c>
      <c r="X44" s="120">
        <f ca="1">IF($J$7=1,HLOOKUP(X$11,index1970,Query!$O79)/X$9,IF($J$7=2,HLOOKUP(X$11,index1970,Query!$O79)/X$9 * HLOOKUP(X$11,comboutfac,Query!$O79),HLOOKUP(X$11,index1970,Query!$O79)/X$9 * HLOOKUP(X$11,comboutfac,Query!$O79) /X$8))</f>
        <v>4.3763264946270271</v>
      </c>
      <c r="Y44" s="120">
        <f ca="1">IF($J$7=1,HLOOKUP(Y$11,index1970,Query!$O79)/Y$9,IF($J$7=2,HLOOKUP(Y$11,index1970,Query!$O79)/Y$9 * HLOOKUP(Y$11,comboutfac,Query!$O79),HLOOKUP(Y$11,index1970,Query!$O79)/Y$9 * HLOOKUP(Y$11,comboutfac,Query!$O79) /Y$8))</f>
        <v>4.3597673880091037</v>
      </c>
      <c r="Z44" s="120">
        <f ca="1">IF($J$7=1,HLOOKUP(Z$11,index1970,Query!$O79)/Z$9,IF($J$7=2,HLOOKUP(Z$11,index1970,Query!$O79)/Z$9 * HLOOKUP(Z$11,comboutfac,Query!$O79),HLOOKUP(Z$11,index1970,Query!$O79)/Z$9 * HLOOKUP(Z$11,comboutfac,Query!$O79) /Z$8))</f>
        <v>4.5313429201617081</v>
      </c>
      <c r="AA44" s="120">
        <f ca="1">IF($J$7=1,HLOOKUP(AA$11,index1970,Query!$O79)/AA$9,IF($J$7=2,HLOOKUP(AA$11,index1970,Query!$O79)/AA$9 * HLOOKUP(AA$11,comboutfac,Query!$O79),HLOOKUP(AA$11,index1970,Query!$O79)/AA$9 * HLOOKUP(AA$11,comboutfac,Query!$O79) /AA$8))</f>
        <v>4.3662995205039499</v>
      </c>
      <c r="AB44" s="120">
        <f ca="1">IF($J$7=1,HLOOKUP(AB$11,index1970,Query!$O79)/AB$9,IF($J$7=2,HLOOKUP(AB$11,index1970,Query!$O79)/AB$9 * HLOOKUP(AB$11,comboutfac,Query!$O79),HLOOKUP(AB$11,index1970,Query!$O79)/AB$9 * HLOOKUP(AB$11,comboutfac,Query!$O79) /AB$8))</f>
        <v>4.2434015040863455</v>
      </c>
      <c r="AC44" s="120">
        <f ca="1">IF($J$7=1,HLOOKUP(AC$11,index1970,Query!$O79)/AC$9,IF($J$7=2,HLOOKUP(AC$11,index1970,Query!$O79)/AC$9 * HLOOKUP(AC$11,comboutfac,Query!$O79),HLOOKUP(AC$11,index1970,Query!$O79)/AC$9 * HLOOKUP(AC$11,comboutfac,Query!$O79) /AC$8))</f>
        <v>4.3221335012524493</v>
      </c>
      <c r="AD44" s="120">
        <f ca="1">IF($J$7=1,HLOOKUP(AD$11,index1970,Query!$O79)/AD$9,IF($J$7=2,HLOOKUP(AD$11,index1970,Query!$O79)/AD$9 * HLOOKUP(AD$11,comboutfac,Query!$O79),HLOOKUP(AD$11,index1970,Query!$O79)/AD$9 * HLOOKUP(AD$11,comboutfac,Query!$O79) /AD$8))</f>
        <v>4.3733626713044007</v>
      </c>
      <c r="AE44" s="120">
        <f ca="1">IF($J$7=1,HLOOKUP(AE$11,index1970,Query!$O79)/AE$9,IF($J$7=2,HLOOKUP(AE$11,index1970,Query!$O79)/AE$9 * HLOOKUP(AE$11,comboutfac,Query!$O79),HLOOKUP(AE$11,index1970,Query!$O79)/AE$9 * HLOOKUP(AE$11,comboutfac,Query!$O79) /AE$8))</f>
        <v>3.7553982264395187</v>
      </c>
      <c r="AF44" s="120">
        <f ca="1">IF($J$7=1,HLOOKUP(AF$11,index1970,Query!$O79)/AF$9,IF($J$7=2,HLOOKUP(AF$11,index1970,Query!$O79)/AF$9 * HLOOKUP(AF$11,comboutfac,Query!$O79),HLOOKUP(AF$11,index1970,Query!$O79)/AF$9 * HLOOKUP(AF$11,comboutfac,Query!$O79) /AF$8))</f>
        <v>6.1316541055786313</v>
      </c>
      <c r="AG44" s="120">
        <f ca="1">IF($J$7=1,HLOOKUP(AG$11,index1970,Query!$O79)/AG$9,IF($J$7=2,HLOOKUP(AG$11,index1970,Query!$O79)/AG$9 * HLOOKUP(AG$11,comboutfac,Query!$O79),HLOOKUP(AG$11,index1970,Query!$O79)/AG$9 * HLOOKUP(AG$11,comboutfac,Query!$O79) /AG$8))</f>
        <v>4.4129134411466957</v>
      </c>
      <c r="AH44" s="120">
        <f ca="1">IF($J$7=1,HLOOKUP(AH$11,index1970,Query!$O79)/AH$9,IF($J$7=2,HLOOKUP(AH$11,index1970,Query!$O79)/AH$9 * HLOOKUP(AH$11,comboutfac,Query!$O79),HLOOKUP(AH$11,index1970,Query!$O79)/AH$9 * HLOOKUP(AH$11,comboutfac,Query!$O79) /AH$8))</f>
        <v>3.7633911243231752</v>
      </c>
      <c r="AI44" s="120">
        <f ca="1">IF($J$7=1,HLOOKUP(AI$11,index1970,Query!$O79)/AI$9,IF($J$7=2,HLOOKUP(AI$11,index1970,Query!$O79)/AI$9 * HLOOKUP(AI$11,comboutfac,Query!$O79),HLOOKUP(AI$11,index1970,Query!$O79)/AI$9 * HLOOKUP(AI$11,comboutfac,Query!$O79) /AI$8))</f>
        <v>3.8819922552948878</v>
      </c>
      <c r="AJ44" s="120">
        <f ca="1">IF($J$7=1,HLOOKUP(AJ$11,index1970,Query!$O79)/AJ$9,IF($J$7=2,HLOOKUP(AJ$11,index1970,Query!$O79)/AJ$9 * HLOOKUP(AJ$11,comboutfac,Query!$O79),HLOOKUP(AJ$11,index1970,Query!$O79)/AJ$9 * HLOOKUP(AJ$11,comboutfac,Query!$O79) /AJ$8))</f>
        <v>3.7378248693280209</v>
      </c>
      <c r="AK44" s="120">
        <f ca="1">IF($J$7=1,HLOOKUP(AK$11,index1970,Query!$O79)/AK$9,IF($J$7=2,HLOOKUP(AK$11,index1970,Query!$O79)/AK$9 * HLOOKUP(AK$11,comboutfac,Query!$O79),HLOOKUP(AK$11,index1970,Query!$O79)/AK$9 * HLOOKUP(AK$11,comboutfac,Query!$O79) /AK$8))</f>
        <v>3.8630296225469096</v>
      </c>
      <c r="AL44" s="120">
        <f ca="1">IF($J$7=1,HLOOKUP(AL$11,index1970,Query!$O79)/AL$9,IF($J$7=2,HLOOKUP(AL$11,index1970,Query!$O79)/AL$9 * HLOOKUP(AL$11,comboutfac,Query!$O79),HLOOKUP(AL$11,index1970,Query!$O79)/AL$9 * HLOOKUP(AL$11,comboutfac,Query!$O79) /AL$8))</f>
        <v>4.8561449634652094</v>
      </c>
      <c r="AM44" s="120">
        <f ca="1">IF($J$7=1,HLOOKUP(AM$11,index1970,Query!$O79)/AM$9,IF($J$7=2,HLOOKUP(AM$11,index1970,Query!$O79)/AM$9 * HLOOKUP(AM$11,comboutfac,Query!$O79),HLOOKUP(AM$11,index1970,Query!$O79)/AM$9 * HLOOKUP(AM$11,comboutfac,Query!$O79) /AM$8))</f>
        <v>3.8680470649102454</v>
      </c>
      <c r="AN44" s="120">
        <f ca="1">IF($J$7=1,HLOOKUP(AN$11,index1970,Query!$O79)/AN$9,IF($J$7=2,HLOOKUP(AN$11,index1970,Query!$O79)/AN$9 * HLOOKUP(AN$11,comboutfac,Query!$O79),HLOOKUP(AN$11,index1970,Query!$O79)/AN$9 * HLOOKUP(AN$11,comboutfac,Query!$O79) /AN$8))</f>
        <v>4.9424179471654819</v>
      </c>
      <c r="AO44" s="120">
        <f ca="1">IF($J$7=1,HLOOKUP(AO$11,index1970,Query!$O79)/AO$9,IF($J$7=2,HLOOKUP(AO$11,index1970,Query!$O79)/AO$9 * HLOOKUP(AO$11,comboutfac,Query!$O79),HLOOKUP(AO$11,index1970,Query!$O79)/AO$9 * HLOOKUP(AO$11,comboutfac,Query!$O79) /AO$8))</f>
        <v>3.8726200828939654</v>
      </c>
      <c r="AP44" s="120">
        <f ca="1">IF($J$7=1,HLOOKUP(AP$11,index1970,Query!$O79)/AP$9,IF($J$7=2,HLOOKUP(AP$11,index1970,Query!$O79)/AP$9 * HLOOKUP(AP$11,comboutfac,Query!$O79),HLOOKUP(AP$11,index1970,Query!$O79)/AP$9 * HLOOKUP(AP$11,comboutfac,Query!$O79) /AP$8))</f>
        <v>6.2465181259604803</v>
      </c>
      <c r="AQ44" s="683">
        <f ca="1">IF($J$7=1,HLOOKUP(AQ$11,index1970,Query!$O79)/AQ$9,IF($J$7=2,HLOOKUP(AQ$11,index1970,Query!$O79)/AQ$9 * HLOOKUP(AQ$11,comboutfac,Query!$O79),HLOOKUP(AQ$11,index1970,Query!$O79)/AQ$9 * HLOOKUP(AQ$11,comboutfac,Query!$O79) /AQ$8))</f>
        <v>4.2374577803087394</v>
      </c>
      <c r="AR44" s="120">
        <f ca="1">IF($J$7=1,HLOOKUP(AR$11,index1970,Query!$O79)/AR$9,IF($J$7=2,HLOOKUP(AR$11,index1970,Query!$O79)/AR$9 * HLOOKUP(AR$11,comboutfac,Query!$O79),HLOOKUP(AR$11,index1970,Query!$O79)/AR$9 * HLOOKUP(AR$11,comboutfac,Query!$O79) /AR$8))</f>
        <v>4.4310101475256074</v>
      </c>
      <c r="AS44" s="213"/>
    </row>
    <row r="45" spans="1:45" s="122" customFormat="1">
      <c r="A45" s="121">
        <f t="shared" si="6"/>
        <v>2001</v>
      </c>
      <c r="B45" s="120">
        <f ca="1">IF($J$7=1,HLOOKUP(B$11,index1970,Query!$O80)/B$9,IF($J$7=2,HLOOKUP(B$11,index1970,Query!$O80)/B$9 * HLOOKUP(B$11,comboutfac,Query!$O80),HLOOKUP(B$11,index1970,Query!$O80)/B$9 * HLOOKUP(B$11,comboutfac,Query!$O80) /B$8))</f>
        <v>4.4782239420800369</v>
      </c>
      <c r="C45" s="120">
        <f ca="1">IF($J$7=1,HLOOKUP(C$11,index1970,Query!$O80)/C$9,IF($J$7=2,HLOOKUP(C$11,index1970,Query!$O80)/C$9 * HLOOKUP(C$11,comboutfac,Query!$O80),HLOOKUP(C$11,index1970,Query!$O80)/C$9 * HLOOKUP(C$11,comboutfac,Query!$O80) /C$8))</f>
        <v>4.3988978530897809</v>
      </c>
      <c r="D45" s="120">
        <f ca="1">IF($J$7=1,HLOOKUP(D$11,index1970,Query!$O80)/D$9,IF($J$7=2,HLOOKUP(D$11,index1970,Query!$O80)/D$9 * HLOOKUP(D$11,comboutfac,Query!$O80),HLOOKUP(D$11,index1970,Query!$O80)/D$9 * HLOOKUP(D$11,comboutfac,Query!$O80) /D$8))</f>
        <v>4.4011598804966301</v>
      </c>
      <c r="E45" s="120">
        <f ca="1">IF($J$7=1,HLOOKUP(E$11,index1970,Query!$O80)/E$9,IF($J$7=2,HLOOKUP(E$11,index1970,Query!$O80)/E$9 * HLOOKUP(E$11,comboutfac,Query!$O80),HLOOKUP(E$11,index1970,Query!$O80)/E$9 * HLOOKUP(E$11,comboutfac,Query!$O80) /E$8))</f>
        <v>4.2516345320019981</v>
      </c>
      <c r="F45" s="120">
        <f ca="1">IF($J$7=1,HLOOKUP(F$11,index1970,Query!$O80)/F$9,IF($J$7=2,HLOOKUP(F$11,index1970,Query!$O80)/F$9 * HLOOKUP(F$11,comboutfac,Query!$O80),HLOOKUP(F$11,index1970,Query!$O80)/F$9 * HLOOKUP(F$11,comboutfac,Query!$O80) /F$8))</f>
        <v>4.3986483002658572</v>
      </c>
      <c r="G45" s="120">
        <f ca="1">IF($J$7=1,HLOOKUP(G$11,index1970,Query!$O80)/G$9,IF($J$7=2,HLOOKUP(G$11,index1970,Query!$O80)/G$9 * HLOOKUP(G$11,comboutfac,Query!$O80),HLOOKUP(G$11,index1970,Query!$O80)/G$9 * HLOOKUP(G$11,comboutfac,Query!$O80) /G$8))</f>
        <v>4.5186671361926782</v>
      </c>
      <c r="H45" s="120">
        <f ca="1">IF($J$7=1,HLOOKUP(H$11,index1970,Query!$O80)/H$9,IF($J$7=2,HLOOKUP(H$11,index1970,Query!$O80)/H$9 * HLOOKUP(H$11,comboutfac,Query!$O80),HLOOKUP(H$11,index1970,Query!$O80)/H$9 * HLOOKUP(H$11,comboutfac,Query!$O80) /H$8))</f>
        <v>4.4352615868186982</v>
      </c>
      <c r="I45" s="120">
        <f ca="1">IF($J$7=1,HLOOKUP(I$11,index1970,Query!$O80)/I$9,IF($J$7=2,HLOOKUP(I$11,index1970,Query!$O80)/I$9 * HLOOKUP(I$11,comboutfac,Query!$O80),HLOOKUP(I$11,index1970,Query!$O80)/I$9 * HLOOKUP(I$11,comboutfac,Query!$O80) /I$8))</f>
        <v>4.4157232243104554</v>
      </c>
      <c r="J45" s="120">
        <f ca="1">IF($J$7=1,HLOOKUP(J$11,index1970,Query!$O80)/J$9,IF($J$7=2,HLOOKUP(J$11,index1970,Query!$O80)/J$9 * HLOOKUP(J$11,comboutfac,Query!$O80),HLOOKUP(J$11,index1970,Query!$O80)/J$9 * HLOOKUP(J$11,comboutfac,Query!$O80) /J$8))</f>
        <v>3.6781349963291499</v>
      </c>
      <c r="K45" s="120">
        <f ca="1">IF($J$7=1,HLOOKUP(K$11,index1970,Query!$O80)/K$9,IF($J$7=2,HLOOKUP(K$11,index1970,Query!$O80)/K$9 * HLOOKUP(K$11,comboutfac,Query!$O80),HLOOKUP(K$11,index1970,Query!$O80)/K$9 * HLOOKUP(K$11,comboutfac,Query!$O80) /K$8))</f>
        <v>5.3355230835878373</v>
      </c>
      <c r="L45" s="120">
        <f ca="1">IF($J$7=1,HLOOKUP(L$11,index1970,Query!$O80)/L$9,IF($J$7=2,HLOOKUP(L$11,index1970,Query!$O80)/L$9 * HLOOKUP(L$11,comboutfac,Query!$O80),HLOOKUP(L$11,index1970,Query!$O80)/L$9 * HLOOKUP(L$11,comboutfac,Query!$O80) /L$8))</f>
        <v>4.4801967200147166</v>
      </c>
      <c r="M45" s="120">
        <f ca="1">IF($J$7=1,HLOOKUP(M$11,index1970,Query!$O80)/M$9,IF($J$7=2,HLOOKUP(M$11,index1970,Query!$O80)/M$9 * HLOOKUP(M$11,comboutfac,Query!$O80),HLOOKUP(M$11,index1970,Query!$O80)/M$9 * HLOOKUP(M$11,comboutfac,Query!$O80) /M$8))</f>
        <v>3.8354868895382688</v>
      </c>
      <c r="N45" s="120">
        <f ca="1">IF($J$7=1,HLOOKUP(N$11,index1970,Query!$O80)/N$9,IF($J$7=2,HLOOKUP(N$11,index1970,Query!$O80)/N$9 * HLOOKUP(N$11,comboutfac,Query!$O80),HLOOKUP(N$11,index1970,Query!$O80)/N$9 * HLOOKUP(N$11,comboutfac,Query!$O80) /N$8))</f>
        <v>4.4090295714103185</v>
      </c>
      <c r="O45" s="120">
        <f ca="1">IF($J$7=1,HLOOKUP(O$11,index1970,Query!$O80)/O$9,IF($J$7=2,HLOOKUP(O$11,index1970,Query!$O80)/O$9 * HLOOKUP(O$11,comboutfac,Query!$O80),HLOOKUP(O$11,index1970,Query!$O80)/O$9 * HLOOKUP(O$11,comboutfac,Query!$O80) /O$8))</f>
        <v>4.3980170170669712</v>
      </c>
      <c r="P45" s="120">
        <f ca="1">IF($J$7=1,HLOOKUP(P$11,index1970,Query!$O80)/P$9,IF($J$7=2,HLOOKUP(P$11,index1970,Query!$O80)/P$9 * HLOOKUP(P$11,comboutfac,Query!$O80),HLOOKUP(P$11,index1970,Query!$O80)/P$9 * HLOOKUP(P$11,comboutfac,Query!$O80) /P$8))</f>
        <v>5.2419468466716976</v>
      </c>
      <c r="Q45" s="120">
        <f ca="1">IF($J$7=1,HLOOKUP(Q$11,index1970,Query!$O80)/Q$9,IF($J$7=2,HLOOKUP(Q$11,index1970,Query!$O80)/Q$9 * HLOOKUP(Q$11,comboutfac,Query!$O80),HLOOKUP(Q$11,index1970,Query!$O80)/Q$9 * HLOOKUP(Q$11,comboutfac,Query!$O80) /Q$8))</f>
        <v>3.9210707923372694</v>
      </c>
      <c r="R45" s="120">
        <f ca="1">IF($J$7=1,HLOOKUP(R$11,index1970,Query!$O80)/R$9,IF($J$7=2,HLOOKUP(R$11,index1970,Query!$O80)/R$9 * HLOOKUP(R$11,comboutfac,Query!$O80),HLOOKUP(R$11,index1970,Query!$O80)/R$9 * HLOOKUP(R$11,comboutfac,Query!$O80) /R$8))</f>
        <v>5.1601165602229049</v>
      </c>
      <c r="S45" s="120">
        <f ca="1">IF($J$7=1,HLOOKUP(S$11,index1970,Query!$O80)/S$9,IF($J$7=2,HLOOKUP(S$11,index1970,Query!$O80)/S$9 * HLOOKUP(S$11,comboutfac,Query!$O80),HLOOKUP(S$11,index1970,Query!$O80)/S$9 * HLOOKUP(S$11,comboutfac,Query!$O80) /S$8))</f>
        <v>3.9196301041137489</v>
      </c>
      <c r="T45" s="120">
        <f ca="1">IF($J$7=1,HLOOKUP(T$11,index1970,Query!$O80)/T$9,IF($J$7=2,HLOOKUP(T$11,index1970,Query!$O80)/T$9 * HLOOKUP(T$11,comboutfac,Query!$O80),HLOOKUP(T$11,index1970,Query!$O80)/T$9 * HLOOKUP(T$11,comboutfac,Query!$O80) /T$8))</f>
        <v>3.8163254418740364</v>
      </c>
      <c r="U45" s="120">
        <f ca="1">IF($J$7=1,HLOOKUP(U$11,index1970,Query!$O80)/U$9,IF($J$7=2,HLOOKUP(U$11,index1970,Query!$O80)/U$9 * HLOOKUP(U$11,comboutfac,Query!$O80),HLOOKUP(U$11,index1970,Query!$O80)/U$9 * HLOOKUP(U$11,comboutfac,Query!$O80) /U$8))</f>
        <v>4.1386520830089237</v>
      </c>
      <c r="V45" s="120">
        <f ca="1">IF($J$7=1,HLOOKUP(V$11,index1970,Query!$O80)/V$9,IF($J$7=2,HLOOKUP(V$11,index1970,Query!$O80)/V$9 * HLOOKUP(V$11,comboutfac,Query!$O80),HLOOKUP(V$11,index1970,Query!$O80)/V$9 * HLOOKUP(V$11,comboutfac,Query!$O80) /V$8))</f>
        <v>4.4320697391463151</v>
      </c>
      <c r="W45" s="120">
        <f ca="1">IF($J$7=1,HLOOKUP(W$11,index1970,Query!$O80)/W$9,IF($J$7=2,HLOOKUP(W$11,index1970,Query!$O80)/W$9 * HLOOKUP(W$11,comboutfac,Query!$O80),HLOOKUP(W$11,index1970,Query!$O80)/W$9 * HLOOKUP(W$11,comboutfac,Query!$O80) /W$8))</f>
        <v>4.4295251166395841</v>
      </c>
      <c r="X45" s="120">
        <f ca="1">IF($J$7=1,HLOOKUP(X$11,index1970,Query!$O80)/X$9,IF($J$7=2,HLOOKUP(X$11,index1970,Query!$O80)/X$9 * HLOOKUP(X$11,comboutfac,Query!$O80),HLOOKUP(X$11,index1970,Query!$O80)/X$9 * HLOOKUP(X$11,comboutfac,Query!$O80) /X$8))</f>
        <v>4.4327411231215077</v>
      </c>
      <c r="Y45" s="120">
        <f ca="1">IF($J$7=1,HLOOKUP(Y$11,index1970,Query!$O80)/Y$9,IF($J$7=2,HLOOKUP(Y$11,index1970,Query!$O80)/Y$9 * HLOOKUP(Y$11,comboutfac,Query!$O80),HLOOKUP(Y$11,index1970,Query!$O80)/Y$9 * HLOOKUP(Y$11,comboutfac,Query!$O80) /Y$8))</f>
        <v>4.4461541507211662</v>
      </c>
      <c r="Z45" s="120">
        <f ca="1">IF($J$7=1,HLOOKUP(Z$11,index1970,Query!$O80)/Z$9,IF($J$7=2,HLOOKUP(Z$11,index1970,Query!$O80)/Z$9 * HLOOKUP(Z$11,comboutfac,Query!$O80),HLOOKUP(Z$11,index1970,Query!$O80)/Z$9 * HLOOKUP(Z$11,comboutfac,Query!$O80) /Z$8))</f>
        <v>4.7849271492854006</v>
      </c>
      <c r="AA45" s="120">
        <f ca="1">IF($J$7=1,HLOOKUP(AA$11,index1970,Query!$O80)/AA$9,IF($J$7=2,HLOOKUP(AA$11,index1970,Query!$O80)/AA$9 * HLOOKUP(AA$11,comboutfac,Query!$O80),HLOOKUP(AA$11,index1970,Query!$O80)/AA$9 * HLOOKUP(AA$11,comboutfac,Query!$O80) /AA$8))</f>
        <v>4.4306295228315582</v>
      </c>
      <c r="AB45" s="120">
        <f ca="1">IF($J$7=1,HLOOKUP(AB$11,index1970,Query!$O80)/AB$9,IF($J$7=2,HLOOKUP(AB$11,index1970,Query!$O80)/AB$9 * HLOOKUP(AB$11,comboutfac,Query!$O80),HLOOKUP(AB$11,index1970,Query!$O80)/AB$9 * HLOOKUP(AB$11,comboutfac,Query!$O80) /AB$8))</f>
        <v>4.3529128595120685</v>
      </c>
      <c r="AC45" s="120">
        <f ca="1">IF($J$7=1,HLOOKUP(AC$11,index1970,Query!$O80)/AC$9,IF($J$7=2,HLOOKUP(AC$11,index1970,Query!$O80)/AC$9 * HLOOKUP(AC$11,comboutfac,Query!$O80),HLOOKUP(AC$11,index1970,Query!$O80)/AC$9 * HLOOKUP(AC$11,comboutfac,Query!$O80) /AC$8))</f>
        <v>4.6935491532707001</v>
      </c>
      <c r="AD45" s="120">
        <f ca="1">IF($J$7=1,HLOOKUP(AD$11,index1970,Query!$O80)/AD$9,IF($J$7=2,HLOOKUP(AD$11,index1970,Query!$O80)/AD$9 * HLOOKUP(AD$11,comboutfac,Query!$O80),HLOOKUP(AD$11,index1970,Query!$O80)/AD$9 * HLOOKUP(AD$11,comboutfac,Query!$O80) /AD$8))</f>
        <v>4.4291271631825335</v>
      </c>
      <c r="AE45" s="120">
        <f ca="1">IF($J$7=1,HLOOKUP(AE$11,index1970,Query!$O80)/AE$9,IF($J$7=2,HLOOKUP(AE$11,index1970,Query!$O80)/AE$9 * HLOOKUP(AE$11,comboutfac,Query!$O80),HLOOKUP(AE$11,index1970,Query!$O80)/AE$9 * HLOOKUP(AE$11,comboutfac,Query!$O80) /AE$8))</f>
        <v>3.8057059152187378</v>
      </c>
      <c r="AF45" s="120">
        <f ca="1">IF($J$7=1,HLOOKUP(AF$11,index1970,Query!$O80)/AF$9,IF($J$7=2,HLOOKUP(AF$11,index1970,Query!$O80)/AF$9 * HLOOKUP(AF$11,comboutfac,Query!$O80),HLOOKUP(AF$11,index1970,Query!$O80)/AF$9 * HLOOKUP(AF$11,comboutfac,Query!$O80) /AF$8))</f>
        <v>6.208793576163953</v>
      </c>
      <c r="AG45" s="120">
        <f ca="1">IF($J$7=1,HLOOKUP(AG$11,index1970,Query!$O80)/AG$9,IF($J$7=2,HLOOKUP(AG$11,index1970,Query!$O80)/AG$9 * HLOOKUP(AG$11,comboutfac,Query!$O80),HLOOKUP(AG$11,index1970,Query!$O80)/AG$9 * HLOOKUP(AG$11,comboutfac,Query!$O80) /AG$8))</f>
        <v>4.4628797017138977</v>
      </c>
      <c r="AH45" s="120">
        <f ca="1">IF($J$7=1,HLOOKUP(AH$11,index1970,Query!$O80)/AH$9,IF($J$7=2,HLOOKUP(AH$11,index1970,Query!$O80)/AH$9 * HLOOKUP(AH$11,comboutfac,Query!$O80),HLOOKUP(AH$11,index1970,Query!$O80)/AH$9 * HLOOKUP(AH$11,comboutfac,Query!$O80) /AH$8))</f>
        <v>3.8104168020264688</v>
      </c>
      <c r="AI45" s="120">
        <f ca="1">IF($J$7=1,HLOOKUP(AI$11,index1970,Query!$O80)/AI$9,IF($J$7=2,HLOOKUP(AI$11,index1970,Query!$O80)/AI$9 * HLOOKUP(AI$11,comboutfac,Query!$O80),HLOOKUP(AI$11,index1970,Query!$O80)/AI$9 * HLOOKUP(AI$11,comboutfac,Query!$O80) /AI$8))</f>
        <v>3.9362965677367265</v>
      </c>
      <c r="AJ45" s="120">
        <f ca="1">IF($J$7=1,HLOOKUP(AJ$11,index1970,Query!$O80)/AJ$9,IF($J$7=2,HLOOKUP(AJ$11,index1970,Query!$O80)/AJ$9 * HLOOKUP(AJ$11,comboutfac,Query!$O80),HLOOKUP(AJ$11,index1970,Query!$O80)/AJ$9 * HLOOKUP(AJ$11,comboutfac,Query!$O80) /AJ$8))</f>
        <v>3.789169280763621</v>
      </c>
      <c r="AK45" s="120">
        <f ca="1">IF($J$7=1,HLOOKUP(AK$11,index1970,Query!$O80)/AK$9,IF($J$7=2,HLOOKUP(AK$11,index1970,Query!$O80)/AK$9 * HLOOKUP(AK$11,comboutfac,Query!$O80),HLOOKUP(AK$11,index1970,Query!$O80)/AK$9 * HLOOKUP(AK$11,comboutfac,Query!$O80) /AK$8))</f>
        <v>3.9160319305111999</v>
      </c>
      <c r="AL45" s="120">
        <f ca="1">IF($J$7=1,HLOOKUP(AL$11,index1970,Query!$O80)/AL$9,IF($J$7=2,HLOOKUP(AL$11,index1970,Query!$O80)/AL$9 * HLOOKUP(AL$11,comboutfac,Query!$O80),HLOOKUP(AL$11,index1970,Query!$O80)/AL$9 * HLOOKUP(AL$11,comboutfac,Query!$O80) /AL$8))</f>
        <v>5.0438035566864396</v>
      </c>
      <c r="AM45" s="120">
        <f ca="1">IF($J$7=1,HLOOKUP(AM$11,index1970,Query!$O80)/AM$9,IF($J$7=2,HLOOKUP(AM$11,index1970,Query!$O80)/AM$9 * HLOOKUP(AM$11,comboutfac,Query!$O80),HLOOKUP(AM$11,index1970,Query!$O80)/AM$9 * HLOOKUP(AM$11,comboutfac,Query!$O80) /AM$8))</f>
        <v>3.9210707923372694</v>
      </c>
      <c r="AN45" s="120">
        <f ca="1">IF($J$7=1,HLOOKUP(AN$11,index1970,Query!$O80)/AN$9,IF($J$7=2,HLOOKUP(AN$11,index1970,Query!$O80)/AN$9 * HLOOKUP(AN$11,comboutfac,Query!$O80),HLOOKUP(AN$11,index1970,Query!$O80)/AN$9 * HLOOKUP(AN$11,comboutfac,Query!$O80) /AN$8))</f>
        <v>5.1199890354416233</v>
      </c>
      <c r="AO45" s="120">
        <f ca="1">IF($J$7=1,HLOOKUP(AO$11,index1970,Query!$O80)/AO$9,IF($J$7=2,HLOOKUP(AO$11,index1970,Query!$O80)/AO$9 * HLOOKUP(AO$11,comboutfac,Query!$O80),HLOOKUP(AO$11,index1970,Query!$O80)/AO$9 * HLOOKUP(AO$11,comboutfac,Query!$O80) /AO$8))</f>
        <v>3.9196301041137489</v>
      </c>
      <c r="AP45" s="120">
        <f ca="1">IF($J$7=1,HLOOKUP(AP$11,index1970,Query!$O80)/AP$9,IF($J$7=2,HLOOKUP(AP$11,index1970,Query!$O80)/AP$9 * HLOOKUP(AP$11,comboutfac,Query!$O80),HLOOKUP(AP$11,index1970,Query!$O80)/AP$9 * HLOOKUP(AP$11,comboutfac,Query!$O80) /AP$8))</f>
        <v>6.366277030318197</v>
      </c>
      <c r="AQ45" s="683">
        <f ca="1">IF($J$7=1,HLOOKUP(AQ$11,index1970,Query!$O80)/AQ$9,IF($J$7=2,HLOOKUP(AQ$11,index1970,Query!$O80)/AQ$9 * HLOOKUP(AQ$11,comboutfac,Query!$O80),HLOOKUP(AQ$11,index1970,Query!$O80)/AQ$9 * HLOOKUP(AQ$11,comboutfac,Query!$O80) /AQ$8))</f>
        <v>4.383216892590684</v>
      </c>
      <c r="AR45" s="120">
        <f ca="1">IF($J$7=1,HLOOKUP(AR$11,index1970,Query!$O80)/AR$9,IF($J$7=2,HLOOKUP(AR$11,index1970,Query!$O80)/AR$9 * HLOOKUP(AR$11,comboutfac,Query!$O80),HLOOKUP(AR$11,index1970,Query!$O80)/AR$9 * HLOOKUP(AR$11,comboutfac,Query!$O80) /AR$8))</f>
        <v>4.4878062925830982</v>
      </c>
      <c r="AS45" s="213"/>
    </row>
    <row r="46" spans="1:45" s="122" customFormat="1">
      <c r="A46" s="121">
        <f t="shared" ref="A46:A61" si="7">+A45+1</f>
        <v>2002</v>
      </c>
      <c r="B46" s="120">
        <f ca="1">IF($J$7=1,HLOOKUP(B$11,index1970,Query!$O81)/B$9,IF($J$7=2,HLOOKUP(B$11,index1970,Query!$O81)/B$9 * HLOOKUP(B$11,comboutfac,Query!$O81),HLOOKUP(B$11,index1970,Query!$O81)/B$9 * HLOOKUP(B$11,comboutfac,Query!$O81) /B$8))</f>
        <v>4.5348715133531803</v>
      </c>
      <c r="C46" s="120">
        <f ca="1">IF($J$7=1,HLOOKUP(C$11,index1970,Query!$O81)/C$9,IF($J$7=2,HLOOKUP(C$11,index1970,Query!$O81)/C$9 * HLOOKUP(C$11,comboutfac,Query!$O81),HLOOKUP(C$11,index1970,Query!$O81)/C$9 * HLOOKUP(C$11,comboutfac,Query!$O81) /C$8))</f>
        <v>4.455559508709606</v>
      </c>
      <c r="D46" s="120">
        <f ca="1">IF($J$7=1,HLOOKUP(D$11,index1970,Query!$O81)/D$9,IF($J$7=2,HLOOKUP(D$11,index1970,Query!$O81)/D$9 * HLOOKUP(D$11,comboutfac,Query!$O81),HLOOKUP(D$11,index1970,Query!$O81)/D$9 * HLOOKUP(D$11,comboutfac,Query!$O81) /D$8))</f>
        <v>4.4613012677286594</v>
      </c>
      <c r="E46" s="120">
        <f ca="1">IF($J$7=1,HLOOKUP(E$11,index1970,Query!$O81)/E$9,IF($J$7=2,HLOOKUP(E$11,index1970,Query!$O81)/E$9 * HLOOKUP(E$11,comboutfac,Query!$O81),HLOOKUP(E$11,index1970,Query!$O81)/E$9 * HLOOKUP(E$11,comboutfac,Query!$O81) /E$8))</f>
        <v>4.4379018365558167</v>
      </c>
      <c r="F46" s="120">
        <f ca="1">IF($J$7=1,HLOOKUP(F$11,index1970,Query!$O81)/F$9,IF($J$7=2,HLOOKUP(F$11,index1970,Query!$O81)/F$9 * HLOOKUP(F$11,comboutfac,Query!$O81),HLOOKUP(F$11,index1970,Query!$O81)/F$9 * HLOOKUP(F$11,comboutfac,Query!$O81) /F$8))</f>
        <v>4.4591124868885554</v>
      </c>
      <c r="G46" s="120">
        <f ca="1">IF($J$7=1,HLOOKUP(G$11,index1970,Query!$O81)/G$9,IF($J$7=2,HLOOKUP(G$11,index1970,Query!$O81)/G$9 * HLOOKUP(G$11,comboutfac,Query!$O81),HLOOKUP(G$11,index1970,Query!$O81)/G$9 * HLOOKUP(G$11,comboutfac,Query!$O81) /G$8))</f>
        <v>4.6082135553874446</v>
      </c>
      <c r="H46" s="120">
        <f ca="1">IF($J$7=1,HLOOKUP(H$11,index1970,Query!$O81)/H$9,IF($J$7=2,HLOOKUP(H$11,index1970,Query!$O81)/H$9 * HLOOKUP(H$11,comboutfac,Query!$O81),HLOOKUP(H$11,index1970,Query!$O81)/H$9 * HLOOKUP(H$11,comboutfac,Query!$O81) /H$8))</f>
        <v>4.4779947494029448</v>
      </c>
      <c r="I46" s="120">
        <f ca="1">IF($J$7=1,HLOOKUP(I$11,index1970,Query!$O81)/I$9,IF($J$7=2,HLOOKUP(I$11,index1970,Query!$O81)/I$9 * HLOOKUP(I$11,comboutfac,Query!$O81),HLOOKUP(I$11,index1970,Query!$O81)/I$9 * HLOOKUP(I$11,comboutfac,Query!$O81) /I$8))</f>
        <v>4.4794315685466577</v>
      </c>
      <c r="J46" s="120">
        <f ca="1">IF($J$7=1,HLOOKUP(J$11,index1970,Query!$O81)/J$9,IF($J$7=2,HLOOKUP(J$11,index1970,Query!$O81)/J$9 * HLOOKUP(J$11,comboutfac,Query!$O81),HLOOKUP(J$11,index1970,Query!$O81)/J$9 * HLOOKUP(J$11,comboutfac,Query!$O81) /J$8))</f>
        <v>3.6413536463658582</v>
      </c>
      <c r="K46" s="120">
        <f ca="1">IF($J$7=1,HLOOKUP(K$11,index1970,Query!$O81)/K$9,IF($J$7=2,HLOOKUP(K$11,index1970,Query!$O81)/K$9 * HLOOKUP(K$11,comboutfac,Query!$O81),HLOOKUP(K$11,index1970,Query!$O81)/K$9 * HLOOKUP(K$11,comboutfac,Query!$O81) /K$8))</f>
        <v>5.6621424958215103</v>
      </c>
      <c r="L46" s="120">
        <f ca="1">IF($J$7=1,HLOOKUP(L$11,index1970,Query!$O81)/L$9,IF($J$7=2,HLOOKUP(L$11,index1970,Query!$O81)/L$9 * HLOOKUP(L$11,comboutfac,Query!$O81),HLOOKUP(L$11,index1970,Query!$O81)/L$9 * HLOOKUP(L$11,comboutfac,Query!$O81) /L$8))</f>
        <v>4.5679562064836494</v>
      </c>
      <c r="M46" s="120">
        <f ca="1">IF($J$7=1,HLOOKUP(M$11,index1970,Query!$O81)/M$9,IF($J$7=2,HLOOKUP(M$11,index1970,Query!$O81)/M$9 * HLOOKUP(M$11,comboutfac,Query!$O81),HLOOKUP(M$11,index1970,Query!$O81)/M$9 * HLOOKUP(M$11,comboutfac,Query!$O81) /M$8))</f>
        <v>3.8963734484554799</v>
      </c>
      <c r="N46" s="120">
        <f ca="1">IF($J$7=1,HLOOKUP(N$11,index1970,Query!$O81)/N$9,IF($J$7=2,HLOOKUP(N$11,index1970,Query!$O81)/N$9 * HLOOKUP(N$11,comboutfac,Query!$O81),HLOOKUP(N$11,index1970,Query!$O81)/N$9 * HLOOKUP(N$11,comboutfac,Query!$O81) /N$8))</f>
        <v>4.4719000845853643</v>
      </c>
      <c r="O46" s="120">
        <f ca="1">IF($J$7=1,HLOOKUP(O$11,index1970,Query!$O81)/O$9,IF($J$7=2,HLOOKUP(O$11,index1970,Query!$O81)/O$9 * HLOOKUP(O$11,comboutfac,Query!$O81),HLOOKUP(O$11,index1970,Query!$O81)/O$9 * HLOOKUP(O$11,comboutfac,Query!$O81) /O$8))</f>
        <v>4.4731395783586718</v>
      </c>
      <c r="P46" s="120">
        <f ca="1">IF($J$7=1,HLOOKUP(P$11,index1970,Query!$O81)/P$9,IF($J$7=2,HLOOKUP(P$11,index1970,Query!$O81)/P$9 * HLOOKUP(P$11,comboutfac,Query!$O81),HLOOKUP(P$11,index1970,Query!$O81)/P$9 * HLOOKUP(P$11,comboutfac,Query!$O81) /P$8))</f>
        <v>5.5512865522648669</v>
      </c>
      <c r="Q46" s="120">
        <f ca="1">IF($J$7=1,HLOOKUP(Q$11,index1970,Query!$O81)/Q$9,IF($J$7=2,HLOOKUP(Q$11,index1970,Query!$O81)/Q$9 * HLOOKUP(Q$11,comboutfac,Query!$O81),HLOOKUP(Q$11,index1970,Query!$O81)/Q$9 * HLOOKUP(Q$11,comboutfac,Query!$O81) /Q$8))</f>
        <v>3.9519641321891643</v>
      </c>
      <c r="R46" s="120">
        <f ca="1">IF($J$7=1,HLOOKUP(R$11,index1970,Query!$O81)/R$9,IF($J$7=2,HLOOKUP(R$11,index1970,Query!$O81)/R$9 * HLOOKUP(R$11,comboutfac,Query!$O81),HLOOKUP(R$11,index1970,Query!$O81)/R$9 * HLOOKUP(R$11,comboutfac,Query!$O81) /R$8))</f>
        <v>5.4665087661055303</v>
      </c>
      <c r="S46" s="120">
        <f ca="1">IF($J$7=1,HLOOKUP(S$11,index1970,Query!$O81)/S$9,IF($J$7=2,HLOOKUP(S$11,index1970,Query!$O81)/S$9 * HLOOKUP(S$11,comboutfac,Query!$O81),HLOOKUP(S$11,index1970,Query!$O81)/S$9 * HLOOKUP(S$11,comboutfac,Query!$O81) /S$8))</f>
        <v>3.9510610297700968</v>
      </c>
      <c r="T46" s="120">
        <f ca="1">IF($J$7=1,HLOOKUP(T$11,index1970,Query!$O81)/T$9,IF($J$7=2,HLOOKUP(T$11,index1970,Query!$O81)/T$9 * HLOOKUP(T$11,comboutfac,Query!$O81),HLOOKUP(T$11,index1970,Query!$O81)/T$9 * HLOOKUP(T$11,comboutfac,Query!$O81) /T$8))</f>
        <v>3.8397354099942471</v>
      </c>
      <c r="U46" s="120">
        <f ca="1">IF($J$7=1,HLOOKUP(U$11,index1970,Query!$O81)/U$9,IF($J$7=2,HLOOKUP(U$11,index1970,Query!$O81)/U$9 * HLOOKUP(U$11,comboutfac,Query!$O81),HLOOKUP(U$11,index1970,Query!$O81)/U$9 * HLOOKUP(U$11,comboutfac,Query!$O81) /U$8))</f>
        <v>4.2042901365001857</v>
      </c>
      <c r="V46" s="120">
        <f ca="1">IF($J$7=1,HLOOKUP(V$11,index1970,Query!$O81)/V$9,IF($J$7=2,HLOOKUP(V$11,index1970,Query!$O81)/V$9 * HLOOKUP(V$11,comboutfac,Query!$O81),HLOOKUP(V$11,index1970,Query!$O81)/V$9 * HLOOKUP(V$11,comboutfac,Query!$O81) /V$8))</f>
        <v>4.476276201971733</v>
      </c>
      <c r="W46" s="120">
        <f ca="1">IF($J$7=1,HLOOKUP(W$11,index1970,Query!$O81)/W$9,IF($J$7=2,HLOOKUP(W$11,index1970,Query!$O81)/W$9 * HLOOKUP(W$11,comboutfac,Query!$O81),HLOOKUP(W$11,index1970,Query!$O81)/W$9 * HLOOKUP(W$11,comboutfac,Query!$O81) /W$8))</f>
        <v>4.5068019863813209</v>
      </c>
      <c r="X46" s="120">
        <f ca="1">IF($J$7=1,HLOOKUP(X$11,index1970,Query!$O81)/X$9,IF($J$7=2,HLOOKUP(X$11,index1970,Query!$O81)/X$9 * HLOOKUP(X$11,comboutfac,Query!$O81),HLOOKUP(X$11,index1970,Query!$O81)/X$9 * HLOOKUP(X$11,comboutfac,Query!$O81) /X$8))</f>
        <v>4.4759987215634043</v>
      </c>
      <c r="Y46" s="120">
        <f ca="1">IF($J$7=1,HLOOKUP(Y$11,index1970,Query!$O81)/Y$9,IF($J$7=2,HLOOKUP(Y$11,index1970,Query!$O81)/Y$9 * HLOOKUP(Y$11,comboutfac,Query!$O81),HLOOKUP(Y$11,index1970,Query!$O81)/Y$9 * HLOOKUP(Y$11,comboutfac,Query!$O81) /Y$8))</f>
        <v>4.4976713466831324</v>
      </c>
      <c r="Z46" s="120">
        <f ca="1">IF($J$7=1,HLOOKUP(Z$11,index1970,Query!$O81)/Z$9,IF($J$7=2,HLOOKUP(Z$11,index1970,Query!$O81)/Z$9 * HLOOKUP(Z$11,comboutfac,Query!$O81),HLOOKUP(Z$11,index1970,Query!$O81)/Z$9 * HLOOKUP(Z$11,comboutfac,Query!$O81) /Z$8))</f>
        <v>4.8955631928934418</v>
      </c>
      <c r="AA46" s="120">
        <f ca="1">IF($J$7=1,HLOOKUP(AA$11,index1970,Query!$O81)/AA$9,IF($J$7=2,HLOOKUP(AA$11,index1970,Query!$O81)/AA$9 * HLOOKUP(AA$11,comboutfac,Query!$O81),HLOOKUP(AA$11,index1970,Query!$O81)/AA$9 * HLOOKUP(AA$11,comboutfac,Query!$O81) /AA$8))</f>
        <v>4.4818161086959831</v>
      </c>
      <c r="AB46" s="120">
        <f ca="1">IF($J$7=1,HLOOKUP(AB$11,index1970,Query!$O81)/AB$9,IF($J$7=2,HLOOKUP(AB$11,index1970,Query!$O81)/AB$9 * HLOOKUP(AB$11,comboutfac,Query!$O81),HLOOKUP(AB$11,index1970,Query!$O81)/AB$9 * HLOOKUP(AB$11,comboutfac,Query!$O81) /AB$8))</f>
        <v>4.4604091786417301</v>
      </c>
      <c r="AC46" s="120">
        <f ca="1">IF($J$7=1,HLOOKUP(AC$11,index1970,Query!$O81)/AC$9,IF($J$7=2,HLOOKUP(AC$11,index1970,Query!$O81)/AC$9 * HLOOKUP(AC$11,comboutfac,Query!$O81),HLOOKUP(AC$11,index1970,Query!$O81)/AC$9 * HLOOKUP(AC$11,comboutfac,Query!$O81) /AC$8))</f>
        <v>4.7548650926680081</v>
      </c>
      <c r="AD46" s="120">
        <f ca="1">IF($J$7=1,HLOOKUP(AD$11,index1970,Query!$O81)/AD$9,IF($J$7=2,HLOOKUP(AD$11,index1970,Query!$O81)/AD$9 * HLOOKUP(AD$11,comboutfac,Query!$O81),HLOOKUP(AD$11,index1970,Query!$O81)/AD$9 * HLOOKUP(AD$11,comboutfac,Query!$O81) /AD$8))</f>
        <v>4.4712405743116044</v>
      </c>
      <c r="AE46" s="120">
        <f ca="1">IF($J$7=1,HLOOKUP(AE$11,index1970,Query!$O81)/AE$9,IF($J$7=2,HLOOKUP(AE$11,index1970,Query!$O81)/AE$9 * HLOOKUP(AE$11,comboutfac,Query!$O81),HLOOKUP(AE$11,index1970,Query!$O81)/AE$9 * HLOOKUP(AE$11,comboutfac,Query!$O81) /AE$8))</f>
        <v>3.856441498577023</v>
      </c>
      <c r="AF46" s="120">
        <f ca="1">IF($J$7=1,HLOOKUP(AF$11,index1970,Query!$O81)/AF$9,IF($J$7=2,HLOOKUP(AF$11,index1970,Query!$O81)/AF$9 * HLOOKUP(AF$11,comboutfac,Query!$O81),HLOOKUP(AF$11,index1970,Query!$O81)/AF$9 * HLOOKUP(AF$11,comboutfac,Query!$O81) /AF$8))</f>
        <v>6.2732215913738925</v>
      </c>
      <c r="AG46" s="120">
        <f ca="1">IF($J$7=1,HLOOKUP(AG$11,index1970,Query!$O81)/AG$9,IF($J$7=2,HLOOKUP(AG$11,index1970,Query!$O81)/AG$9 * HLOOKUP(AG$11,comboutfac,Query!$O81),HLOOKUP(AG$11,index1970,Query!$O81)/AG$9 * HLOOKUP(AG$11,comboutfac,Query!$O81) /AG$8))</f>
        <v>4.4976493631830774</v>
      </c>
      <c r="AH46" s="120">
        <f ca="1">IF($J$7=1,HLOOKUP(AH$11,index1970,Query!$O81)/AH$9,IF($J$7=2,HLOOKUP(AH$11,index1970,Query!$O81)/AH$9 * HLOOKUP(AH$11,comboutfac,Query!$O81),HLOOKUP(AH$11,index1970,Query!$O81)/AH$9 * HLOOKUP(AH$11,comboutfac,Query!$O81) /AH$8))</f>
        <v>3.862775213223113</v>
      </c>
      <c r="AI46" s="120">
        <f ca="1">IF($J$7=1,HLOOKUP(AI$11,index1970,Query!$O81)/AI$9,IF($J$7=2,HLOOKUP(AI$11,index1970,Query!$O81)/AI$9 * HLOOKUP(AI$11,comboutfac,Query!$O81),HLOOKUP(AI$11,index1970,Query!$O81)/AI$9 * HLOOKUP(AI$11,comboutfac,Query!$O81) /AI$8))</f>
        <v>3.9772791157776117</v>
      </c>
      <c r="AJ46" s="120">
        <f ca="1">IF($J$7=1,HLOOKUP(AJ$11,index1970,Query!$O81)/AJ$9,IF($J$7=2,HLOOKUP(AJ$11,index1970,Query!$O81)/AJ$9 * HLOOKUP(AJ$11,comboutfac,Query!$O81),HLOOKUP(AJ$11,index1970,Query!$O81)/AJ$9 * HLOOKUP(AJ$11,comboutfac,Query!$O81) /AJ$8))</f>
        <v>3.8276162525152633</v>
      </c>
      <c r="AK46" s="120">
        <f ca="1">IF($J$7=1,HLOOKUP(AK$11,index1970,Query!$O81)/AK$9,IF($J$7=2,HLOOKUP(AK$11,index1970,Query!$O81)/AK$9 * HLOOKUP(AK$11,comboutfac,Query!$O81),HLOOKUP(AK$11,index1970,Query!$O81)/AK$9 * HLOOKUP(AK$11,comboutfac,Query!$O81) /AK$8))</f>
        <v>3.9556148759035987</v>
      </c>
      <c r="AL46" s="120">
        <f ca="1">IF($J$7=1,HLOOKUP(AL$11,index1970,Query!$O81)/AL$9,IF($J$7=2,HLOOKUP(AL$11,index1970,Query!$O81)/AL$9 * HLOOKUP(AL$11,comboutfac,Query!$O81),HLOOKUP(AL$11,index1970,Query!$O81)/AL$9 * HLOOKUP(AL$11,comboutfac,Query!$O81) /AL$8))</f>
        <v>5.3498504358553296</v>
      </c>
      <c r="AM46" s="120">
        <f ca="1">IF($J$7=1,HLOOKUP(AM$11,index1970,Query!$O81)/AM$9,IF($J$7=2,HLOOKUP(AM$11,index1970,Query!$O81)/AM$9 * HLOOKUP(AM$11,comboutfac,Query!$O81),HLOOKUP(AM$11,index1970,Query!$O81)/AM$9 * HLOOKUP(AM$11,comboutfac,Query!$O81) /AM$8))</f>
        <v>3.9610688311649116</v>
      </c>
      <c r="AN46" s="120">
        <f ca="1">IF($J$7=1,HLOOKUP(AN$11,index1970,Query!$O81)/AN$9,IF($J$7=2,HLOOKUP(AN$11,index1970,Query!$O81)/AN$9 * HLOOKUP(AN$11,comboutfac,Query!$O81),HLOOKUP(AN$11,index1970,Query!$O81)/AN$9 * HLOOKUP(AN$11,comboutfac,Query!$O81) /AN$8))</f>
        <v>5.3979992833249533</v>
      </c>
      <c r="AO46" s="120">
        <f ca="1">IF($J$7=1,HLOOKUP(AO$11,index1970,Query!$O81)/AO$9,IF($J$7=2,HLOOKUP(AO$11,index1970,Query!$O81)/AO$9 * HLOOKUP(AO$11,comboutfac,Query!$O81),HLOOKUP(AO$11,index1970,Query!$O81)/AO$9 * HLOOKUP(AO$11,comboutfac,Query!$O81) /AO$8))</f>
        <v>3.9674464573095429</v>
      </c>
      <c r="AP46" s="120">
        <f ca="1">IF($J$7=1,HLOOKUP(AP$11,index1970,Query!$O81)/AP$9,IF($J$7=2,HLOOKUP(AP$11,index1970,Query!$O81)/AP$9 * HLOOKUP(AP$11,comboutfac,Query!$O81),HLOOKUP(AP$11,index1970,Query!$O81)/AP$9 * HLOOKUP(AP$11,comboutfac,Query!$O81) /AP$8))</f>
        <v>6.3805461675382906</v>
      </c>
      <c r="AQ46" s="683">
        <f ca="1">IF($J$7=1,HLOOKUP(AQ$11,index1970,Query!$O81)/AQ$9,IF($J$7=2,HLOOKUP(AQ$11,index1970,Query!$O81)/AQ$9 * HLOOKUP(AQ$11,comboutfac,Query!$O81),HLOOKUP(AQ$11,index1970,Query!$O81)/AQ$9 * HLOOKUP(AQ$11,comboutfac,Query!$O81) /AQ$8))</f>
        <v>4.4081705346465396</v>
      </c>
      <c r="AR46" s="120">
        <f ca="1">IF($J$7=1,HLOOKUP(AR$11,index1970,Query!$O81)/AR$9,IF($J$7=2,HLOOKUP(AR$11,index1970,Query!$O81)/AR$9 * HLOOKUP(AR$11,comboutfac,Query!$O81),HLOOKUP(AR$11,index1970,Query!$O81)/AR$9 * HLOOKUP(AR$11,comboutfac,Query!$O81) /AR$8))</f>
        <v>4.5351651050944648</v>
      </c>
      <c r="AS46" s="213"/>
    </row>
    <row r="47" spans="1:45" s="122" customFormat="1">
      <c r="A47" s="121">
        <f t="shared" si="7"/>
        <v>2003</v>
      </c>
      <c r="B47" s="120">
        <f ca="1">IF($J$7=1,HLOOKUP(B$11,index1970,Query!$O82)/B$9,IF($J$7=2,HLOOKUP(B$11,index1970,Query!$O82)/B$9 * HLOOKUP(B$11,comboutfac,Query!$O82),HLOOKUP(B$11,index1970,Query!$O82)/B$9 * HLOOKUP(B$11,comboutfac,Query!$O82) /B$8))</f>
        <v>4.6254127358408565</v>
      </c>
      <c r="C47" s="120">
        <f ca="1">IF($J$7=1,HLOOKUP(C$11,index1970,Query!$O82)/C$9,IF($J$7=2,HLOOKUP(C$11,index1970,Query!$O82)/C$9 * HLOOKUP(C$11,comboutfac,Query!$O82),HLOOKUP(C$11,index1970,Query!$O82)/C$9 * HLOOKUP(C$11,comboutfac,Query!$O82) /C$8))</f>
        <v>4.5171203141542087</v>
      </c>
      <c r="D47" s="120">
        <f ca="1">IF($J$7=1,HLOOKUP(D$11,index1970,Query!$O82)/D$9,IF($J$7=2,HLOOKUP(D$11,index1970,Query!$O82)/D$9 * HLOOKUP(D$11,comboutfac,Query!$O82),HLOOKUP(D$11,index1970,Query!$O82)/D$9 * HLOOKUP(D$11,comboutfac,Query!$O82) /D$8))</f>
        <v>4.5521283882590335</v>
      </c>
      <c r="E47" s="120">
        <f ca="1">IF($J$7=1,HLOOKUP(E$11,index1970,Query!$O82)/E$9,IF($J$7=2,HLOOKUP(E$11,index1970,Query!$O82)/E$9 * HLOOKUP(E$11,comboutfac,Query!$O82),HLOOKUP(E$11,index1970,Query!$O82)/E$9 * HLOOKUP(E$11,comboutfac,Query!$O82) /E$8))</f>
        <v>4.6252181872008533</v>
      </c>
      <c r="F47" s="120">
        <f ca="1">IF($J$7=1,HLOOKUP(F$11,index1970,Query!$O82)/F$9,IF($J$7=2,HLOOKUP(F$11,index1970,Query!$O82)/F$9 * HLOOKUP(F$11,comboutfac,Query!$O82),HLOOKUP(F$11,index1970,Query!$O82)/F$9 * HLOOKUP(F$11,comboutfac,Query!$O82) /F$8))</f>
        <v>4.5521283882590335</v>
      </c>
      <c r="G47" s="120">
        <f ca="1">IF($J$7=1,HLOOKUP(G$11,index1970,Query!$O82)/G$9,IF($J$7=2,HLOOKUP(G$11,index1970,Query!$O82)/G$9 * HLOOKUP(G$11,comboutfac,Query!$O82),HLOOKUP(G$11,index1970,Query!$O82)/G$9 * HLOOKUP(G$11,comboutfac,Query!$O82) /G$8))</f>
        <v>4.7197770079461021</v>
      </c>
      <c r="H47" s="120">
        <f ca="1">IF($J$7=1,HLOOKUP(H$11,index1970,Query!$O82)/H$9,IF($J$7=2,HLOOKUP(H$11,index1970,Query!$O82)/H$9 * HLOOKUP(H$11,comboutfac,Query!$O82),HLOOKUP(H$11,index1970,Query!$O82)/H$9 * HLOOKUP(H$11,comboutfac,Query!$O82) /H$8))</f>
        <v>4.5455905485770218</v>
      </c>
      <c r="I47" s="120">
        <f ca="1">IF($J$7=1,HLOOKUP(I$11,index1970,Query!$O82)/I$9,IF($J$7=2,HLOOKUP(I$11,index1970,Query!$O82)/I$9 * HLOOKUP(I$11,comboutfac,Query!$O82),HLOOKUP(I$11,index1970,Query!$O82)/I$9 * HLOOKUP(I$11,comboutfac,Query!$O82) /I$8))</f>
        <v>4.5641601161884102</v>
      </c>
      <c r="J47" s="120">
        <f ca="1">IF($J$7=1,HLOOKUP(J$11,index1970,Query!$O82)/J$9,IF($J$7=2,HLOOKUP(J$11,index1970,Query!$O82)/J$9 * HLOOKUP(J$11,comboutfac,Query!$O82),HLOOKUP(J$11,index1970,Query!$O82)/J$9 * HLOOKUP(J$11,comboutfac,Query!$O82) /J$8))</f>
        <v>3.058737062947321</v>
      </c>
      <c r="K47" s="120">
        <f ca="1">IF($J$7=1,HLOOKUP(K$11,index1970,Query!$O82)/K$9,IF($J$7=2,HLOOKUP(K$11,index1970,Query!$O82)/K$9 * HLOOKUP(K$11,comboutfac,Query!$O82),HLOOKUP(K$11,index1970,Query!$O82)/K$9 * HLOOKUP(K$11,comboutfac,Query!$O82) /K$8))</f>
        <v>5.95787268561575</v>
      </c>
      <c r="L47" s="120">
        <f ca="1">IF($J$7=1,HLOOKUP(L$11,index1970,Query!$O82)/L$9,IF($J$7=2,HLOOKUP(L$11,index1970,Query!$O82)/L$9 * HLOOKUP(L$11,comboutfac,Query!$O82),HLOOKUP(L$11,index1970,Query!$O82)/L$9 * HLOOKUP(L$11,comboutfac,Query!$O82) /L$8))</f>
        <v>4.6852041146398395</v>
      </c>
      <c r="M47" s="120">
        <f ca="1">IF($J$7=1,HLOOKUP(M$11,index1970,Query!$O82)/M$9,IF($J$7=2,HLOOKUP(M$11,index1970,Query!$O82)/M$9 * HLOOKUP(M$11,comboutfac,Query!$O82),HLOOKUP(M$11,index1970,Query!$O82)/M$9 * HLOOKUP(M$11,comboutfac,Query!$O82) /M$8))</f>
        <v>3.9844984389630778</v>
      </c>
      <c r="N47" s="120">
        <f ca="1">IF($J$7=1,HLOOKUP(N$11,index1970,Query!$O82)/N$9,IF($J$7=2,HLOOKUP(N$11,index1970,Query!$O82)/N$9 * HLOOKUP(N$11,comboutfac,Query!$O82),HLOOKUP(N$11,index1970,Query!$O82)/N$9 * HLOOKUP(N$11,comboutfac,Query!$O82) /N$8))</f>
        <v>4.5714275330473395</v>
      </c>
      <c r="O47" s="120">
        <f ca="1">IF($J$7=1,HLOOKUP(O$11,index1970,Query!$O82)/O$9,IF($J$7=2,HLOOKUP(O$11,index1970,Query!$O82)/O$9 * HLOOKUP(O$11,comboutfac,Query!$O82),HLOOKUP(O$11,index1970,Query!$O82)/O$9 * HLOOKUP(O$11,comboutfac,Query!$O82) /O$8))</f>
        <v>4.568109221148819</v>
      </c>
      <c r="P47" s="120">
        <f ca="1">IF($J$7=1,HLOOKUP(P$11,index1970,Query!$O82)/P$9,IF($J$7=2,HLOOKUP(P$11,index1970,Query!$O82)/P$9 * HLOOKUP(P$11,comboutfac,Query!$O82),HLOOKUP(P$11,index1970,Query!$O82)/P$9 * HLOOKUP(P$11,comboutfac,Query!$O82) /P$8))</f>
        <v>5.8327997913475764</v>
      </c>
      <c r="Q47" s="120">
        <f ca="1">IF($J$7=1,HLOOKUP(Q$11,index1970,Query!$O82)/Q$9,IF($J$7=2,HLOOKUP(Q$11,index1970,Query!$O82)/Q$9 * HLOOKUP(Q$11,comboutfac,Query!$O82),HLOOKUP(Q$11,index1970,Query!$O82)/Q$9 * HLOOKUP(Q$11,comboutfac,Query!$O82) /Q$8))</f>
        <v>3.9988952399367061</v>
      </c>
      <c r="R47" s="120">
        <f ca="1">IF($J$7=1,HLOOKUP(R$11,index1970,Query!$O82)/R$9,IF($J$7=2,HLOOKUP(R$11,index1970,Query!$O82)/R$9 * HLOOKUP(R$11,comboutfac,Query!$O82),HLOOKUP(R$11,index1970,Query!$O82)/R$9 * HLOOKUP(R$11,comboutfac,Query!$O82) /R$8))</f>
        <v>5.7212939748524638</v>
      </c>
      <c r="S47" s="120">
        <f ca="1">IF($J$7=1,HLOOKUP(S$11,index1970,Query!$O82)/S$9,IF($J$7=2,HLOOKUP(S$11,index1970,Query!$O82)/S$9 * HLOOKUP(S$11,comboutfac,Query!$O82),HLOOKUP(S$11,index1970,Query!$O82)/S$9 * HLOOKUP(S$11,comboutfac,Query!$O82) /S$8))</f>
        <v>3.9920896890610731</v>
      </c>
      <c r="T47" s="120">
        <f ca="1">IF($J$7=1,HLOOKUP(T$11,index1970,Query!$O82)/T$9,IF($J$7=2,HLOOKUP(T$11,index1970,Query!$O82)/T$9 * HLOOKUP(T$11,comboutfac,Query!$O82),HLOOKUP(T$11,index1970,Query!$O82)/T$9 * HLOOKUP(T$11,comboutfac,Query!$O82) /T$8))</f>
        <v>3.9018618475859621</v>
      </c>
      <c r="U47" s="120">
        <f ca="1">IF($J$7=1,HLOOKUP(U$11,index1970,Query!$O82)/U$9,IF($J$7=2,HLOOKUP(U$11,index1970,Query!$O82)/U$9 * HLOOKUP(U$11,comboutfac,Query!$O82),HLOOKUP(U$11,index1970,Query!$O82)/U$9 * HLOOKUP(U$11,comboutfac,Query!$O82) /U$8))</f>
        <v>4.3527204411214218</v>
      </c>
      <c r="V47" s="120">
        <f ca="1">IF($J$7=1,HLOOKUP(V$11,index1970,Query!$O82)/V$9,IF($J$7=2,HLOOKUP(V$11,index1970,Query!$O82)/V$9 * HLOOKUP(V$11,comboutfac,Query!$O82),HLOOKUP(V$11,index1970,Query!$O82)/V$9 * HLOOKUP(V$11,comboutfac,Query!$O82) /V$8))</f>
        <v>4.5374175735353477</v>
      </c>
      <c r="W47" s="120">
        <f ca="1">IF($J$7=1,HLOOKUP(W$11,index1970,Query!$O82)/W$9,IF($J$7=2,HLOOKUP(W$11,index1970,Query!$O82)/W$9 * HLOOKUP(W$11,comboutfac,Query!$O82),HLOOKUP(W$11,index1970,Query!$O82)/W$9 * HLOOKUP(W$11,comboutfac,Query!$O82) /W$8))</f>
        <v>4.5783357107339171</v>
      </c>
      <c r="X47" s="120">
        <f ca="1">IF($J$7=1,HLOOKUP(X$11,index1970,Query!$O82)/X$9,IF($J$7=2,HLOOKUP(X$11,index1970,Query!$O82)/X$9 * HLOOKUP(X$11,comboutfac,Query!$O82),HLOOKUP(X$11,index1970,Query!$O82)/X$9 * HLOOKUP(X$11,comboutfac,Query!$O82) /X$8))</f>
        <v>4.5478889172294981</v>
      </c>
      <c r="Y47" s="120">
        <f ca="1">IF($J$7=1,HLOOKUP(Y$11,index1970,Query!$O82)/Y$9,IF($J$7=2,HLOOKUP(Y$11,index1970,Query!$O82)/Y$9 * HLOOKUP(Y$11,comboutfac,Query!$O82),HLOOKUP(Y$11,index1970,Query!$O82)/Y$9 * HLOOKUP(Y$11,comboutfac,Query!$O82) /Y$8))</f>
        <v>4.5545398404905137</v>
      </c>
      <c r="Z47" s="120">
        <f ca="1">IF($J$7=1,HLOOKUP(Z$11,index1970,Query!$O82)/Z$9,IF($J$7=2,HLOOKUP(Z$11,index1970,Query!$O82)/Z$9 * HLOOKUP(Z$11,comboutfac,Query!$O82),HLOOKUP(Z$11,index1970,Query!$O82)/Z$9 * HLOOKUP(Z$11,comboutfac,Query!$O82) /Z$8))</f>
        <v>4.9825082131842997</v>
      </c>
      <c r="AA47" s="120">
        <f ca="1">IF($J$7=1,HLOOKUP(AA$11,index1970,Query!$O82)/AA$9,IF($J$7=2,HLOOKUP(AA$11,index1970,Query!$O82)/AA$9 * HLOOKUP(AA$11,comboutfac,Query!$O82),HLOOKUP(AA$11,index1970,Query!$O82)/AA$9 * HLOOKUP(AA$11,comboutfac,Query!$O82) /AA$8))</f>
        <v>4.5377248181601963</v>
      </c>
      <c r="AB47" s="120">
        <f ca="1">IF($J$7=1,HLOOKUP(AB$11,index1970,Query!$O82)/AB$9,IF($J$7=2,HLOOKUP(AB$11,index1970,Query!$O82)/AB$9 * HLOOKUP(AB$11,comboutfac,Query!$O82),HLOOKUP(AB$11,index1970,Query!$O82)/AB$9 * HLOOKUP(AB$11,comboutfac,Query!$O82) /AB$8))</f>
        <v>4.5670318887020995</v>
      </c>
      <c r="AC47" s="120">
        <f ca="1">IF($J$7=1,HLOOKUP(AC$11,index1970,Query!$O82)/AC$9,IF($J$7=2,HLOOKUP(AC$11,index1970,Query!$O82)/AC$9 * HLOOKUP(AC$11,comboutfac,Query!$O82),HLOOKUP(AC$11,index1970,Query!$O82)/AC$9 * HLOOKUP(AC$11,comboutfac,Query!$O82) /AC$8))</f>
        <v>4.7820818864390437</v>
      </c>
      <c r="AD47" s="120">
        <f ca="1">IF($J$7=1,HLOOKUP(AD$11,index1970,Query!$O82)/AD$9,IF($J$7=2,HLOOKUP(AD$11,index1970,Query!$O82)/AD$9 * HLOOKUP(AD$11,comboutfac,Query!$O82),HLOOKUP(AD$11,index1970,Query!$O82)/AD$9 * HLOOKUP(AD$11,comboutfac,Query!$O82) /AD$8))</f>
        <v>4.5347184566833123</v>
      </c>
      <c r="AE47" s="120">
        <f ca="1">IF($J$7=1,HLOOKUP(AE$11,index1970,Query!$O82)/AE$9,IF($J$7=2,HLOOKUP(AE$11,index1970,Query!$O82)/AE$9 * HLOOKUP(AE$11,comboutfac,Query!$O82),HLOOKUP(AE$11,index1970,Query!$O82)/AE$9 * HLOOKUP(AE$11,comboutfac,Query!$O82) /AE$8))</f>
        <v>3.9326844062037845</v>
      </c>
      <c r="AF47" s="120">
        <f ca="1">IF($J$7=1,HLOOKUP(AF$11,index1970,Query!$O82)/AF$9,IF($J$7=2,HLOOKUP(AF$11,index1970,Query!$O82)/AF$9 * HLOOKUP(AF$11,comboutfac,Query!$O82),HLOOKUP(AF$11,index1970,Query!$O82)/AF$9 * HLOOKUP(AF$11,comboutfac,Query!$O82) /AF$8))</f>
        <v>6.415813747790299</v>
      </c>
      <c r="AG47" s="120">
        <f ca="1">IF($J$7=1,HLOOKUP(AG$11,index1970,Query!$O82)/AG$9,IF($J$7=2,HLOOKUP(AG$11,index1970,Query!$O82)/AG$9 * HLOOKUP(AG$11,comboutfac,Query!$O82),HLOOKUP(AG$11,index1970,Query!$O82)/AG$9 * HLOOKUP(AG$11,comboutfac,Query!$O82) /AG$8))</f>
        <v>4.5997820827813021</v>
      </c>
      <c r="AH47" s="120">
        <f ca="1">IF($J$7=1,HLOOKUP(AH$11,index1970,Query!$O82)/AH$9,IF($J$7=2,HLOOKUP(AH$11,index1970,Query!$O82)/AH$9 * HLOOKUP(AH$11,comboutfac,Query!$O82),HLOOKUP(AH$11,index1970,Query!$O82)/AH$9 * HLOOKUP(AH$11,comboutfac,Query!$O82) /AH$8))</f>
        <v>3.9410809485067491</v>
      </c>
      <c r="AI47" s="120">
        <f ca="1">IF($J$7=1,HLOOKUP(AI$11,index1970,Query!$O82)/AI$9,IF($J$7=2,HLOOKUP(AI$11,index1970,Query!$O82)/AI$9 * HLOOKUP(AI$11,comboutfac,Query!$O82),HLOOKUP(AI$11,index1970,Query!$O82)/AI$9 * HLOOKUP(AI$11,comboutfac,Query!$O82) /AI$8))</f>
        <v>4.0364544851119595</v>
      </c>
      <c r="AJ47" s="120">
        <f ca="1">IF($J$7=1,HLOOKUP(AJ$11,index1970,Query!$O82)/AJ$9,IF($J$7=2,HLOOKUP(AJ$11,index1970,Query!$O82)/AJ$9 * HLOOKUP(AJ$11,comboutfac,Query!$O82),HLOOKUP(AJ$11,index1970,Query!$O82)/AJ$9 * HLOOKUP(AJ$11,comboutfac,Query!$O82) /AJ$8))</f>
        <v>3.8870852531592539</v>
      </c>
      <c r="AK47" s="120">
        <f ca="1">IF($J$7=1,HLOOKUP(AK$11,index1970,Query!$O82)/AK$9,IF($J$7=2,HLOOKUP(AK$11,index1970,Query!$O82)/AK$9 * HLOOKUP(AK$11,comboutfac,Query!$O82),HLOOKUP(AK$11,index1970,Query!$O82)/AK$9 * HLOOKUP(AK$11,comboutfac,Query!$O82) /AK$8))</f>
        <v>4.013602641879884</v>
      </c>
      <c r="AL47" s="120">
        <f ca="1">IF($J$7=1,HLOOKUP(AL$11,index1970,Query!$O82)/AL$9,IF($J$7=2,HLOOKUP(AL$11,index1970,Query!$O82)/AL$9 * HLOOKUP(AL$11,comboutfac,Query!$O82),HLOOKUP(AL$11,index1970,Query!$O82)/AL$9 * HLOOKUP(AL$11,comboutfac,Query!$O82) /AL$8))</f>
        <v>5.627588395969723</v>
      </c>
      <c r="AM47" s="120">
        <f ca="1">IF($J$7=1,HLOOKUP(AM$11,index1970,Query!$O82)/AM$9,IF($J$7=2,HLOOKUP(AM$11,index1970,Query!$O82)/AM$9 * HLOOKUP(AM$11,comboutfac,Query!$O82),HLOOKUP(AM$11,index1970,Query!$O82)/AM$9 * HLOOKUP(AM$11,comboutfac,Query!$O82) /AM$8))</f>
        <v>4.0061737463797913</v>
      </c>
      <c r="AN47" s="120">
        <f ca="1">IF($J$7=1,HLOOKUP(AN$11,index1970,Query!$O82)/AN$9,IF($J$7=2,HLOOKUP(AN$11,index1970,Query!$O82)/AN$9 * HLOOKUP(AN$11,comboutfac,Query!$O82),HLOOKUP(AN$11,index1970,Query!$O82)/AN$9 * HLOOKUP(AN$11,comboutfac,Query!$O82) /AN$8))</f>
        <v>5.6403161810380364</v>
      </c>
      <c r="AO47" s="120">
        <f ca="1">IF($J$7=1,HLOOKUP(AO$11,index1970,Query!$O82)/AO$9,IF($J$7=2,HLOOKUP(AO$11,index1970,Query!$O82)/AO$9 * HLOOKUP(AO$11,comboutfac,Query!$O82),HLOOKUP(AO$11,index1970,Query!$O82)/AO$9 * HLOOKUP(AO$11,comboutfac,Query!$O82) /AO$8))</f>
        <v>4.0169239327143407</v>
      </c>
      <c r="AP47" s="120">
        <f ca="1">IF($J$7=1,HLOOKUP(AP$11,index1970,Query!$O82)/AP$9,IF($J$7=2,HLOOKUP(AP$11,index1970,Query!$O82)/AP$9 * HLOOKUP(AP$11,comboutfac,Query!$O82),HLOOKUP(AP$11,index1970,Query!$O82)/AP$9 * HLOOKUP(AP$11,comboutfac,Query!$O82) /AP$8))</f>
        <v>6.5839859169105477</v>
      </c>
      <c r="AQ47" s="683">
        <f ca="1">IF($J$7=1,HLOOKUP(AQ$11,index1970,Query!$O82)/AQ$9,IF($J$7=2,HLOOKUP(AQ$11,index1970,Query!$O82)/AQ$9 * HLOOKUP(AQ$11,comboutfac,Query!$O82),HLOOKUP(AQ$11,index1970,Query!$O82)/AQ$9 * HLOOKUP(AQ$11,comboutfac,Query!$O82) /AQ$8))</f>
        <v>4.6632048850431103</v>
      </c>
      <c r="AR47" s="120">
        <f ca="1">IF($J$7=1,HLOOKUP(AR$11,index1970,Query!$O82)/AR$9,IF($J$7=2,HLOOKUP(AR$11,index1970,Query!$O82)/AR$9 * HLOOKUP(AR$11,comboutfac,Query!$O82),HLOOKUP(AR$11,index1970,Query!$O82)/AR$9 * HLOOKUP(AR$11,comboutfac,Query!$O82) /AR$8))</f>
        <v>4.6284027000922983</v>
      </c>
      <c r="AS47" s="213"/>
    </row>
    <row r="48" spans="1:45" s="122" customFormat="1">
      <c r="A48" s="121">
        <f t="shared" si="7"/>
        <v>2004</v>
      </c>
      <c r="B48" s="120">
        <f ca="1">IF($J$7=1,HLOOKUP(B$11,index1970,Query!$O83)/B$9,IF($J$7=2,HLOOKUP(B$11,index1970,Query!$O83)/B$9 * HLOOKUP(B$11,comboutfac,Query!$O83),HLOOKUP(B$11,index1970,Query!$O83)/B$9 * HLOOKUP(B$11,comboutfac,Query!$O83) /B$8))</f>
        <v>4.7475208405594733</v>
      </c>
      <c r="C48" s="120">
        <f ca="1">IF($J$7=1,HLOOKUP(C$11,index1970,Query!$O83)/C$9,IF($J$7=2,HLOOKUP(C$11,index1970,Query!$O83)/C$9 * HLOOKUP(C$11,comboutfac,Query!$O83),HLOOKUP(C$11,index1970,Query!$O83)/C$9 * HLOOKUP(C$11,comboutfac,Query!$O83) /C$8))</f>
        <v>4.7740581005787517</v>
      </c>
      <c r="D48" s="120">
        <f ca="1">IF($J$7=1,HLOOKUP(D$11,index1970,Query!$O83)/D$9,IF($J$7=2,HLOOKUP(D$11,index1970,Query!$O83)/D$9 * HLOOKUP(D$11,comboutfac,Query!$O83),HLOOKUP(D$11,index1970,Query!$O83)/D$9 * HLOOKUP(D$11,comboutfac,Query!$O83) /D$8))</f>
        <v>4.6723714119900794</v>
      </c>
      <c r="E48" s="120">
        <f ca="1">IF($J$7=1,HLOOKUP(E$11,index1970,Query!$O83)/E$9,IF($J$7=2,HLOOKUP(E$11,index1970,Query!$O83)/E$9 * HLOOKUP(E$11,comboutfac,Query!$O83),HLOOKUP(E$11,index1970,Query!$O83)/E$9 * HLOOKUP(E$11,comboutfac,Query!$O83) /E$8))</f>
        <v>4.8148521328760872</v>
      </c>
      <c r="F48" s="120">
        <f ca="1">IF($J$7=1,HLOOKUP(F$11,index1970,Query!$O83)/F$9,IF($J$7=2,HLOOKUP(F$11,index1970,Query!$O83)/F$9 * HLOOKUP(F$11,comboutfac,Query!$O83),HLOOKUP(F$11,index1970,Query!$O83)/F$9 * HLOOKUP(F$11,comboutfac,Query!$O83) /F$8))</f>
        <v>4.6723714119900794</v>
      </c>
      <c r="G48" s="120">
        <f ca="1">IF($J$7=1,HLOOKUP(G$11,index1970,Query!$O83)/G$9,IF($J$7=2,HLOOKUP(G$11,index1970,Query!$O83)/G$9 * HLOOKUP(G$11,comboutfac,Query!$O83),HLOOKUP(G$11,index1970,Query!$O83)/G$9 * HLOOKUP(G$11,comboutfac,Query!$O83) /G$8))</f>
        <v>4.872443825303268</v>
      </c>
      <c r="H48" s="120">
        <f ca="1">IF($J$7=1,HLOOKUP(H$11,index1970,Query!$O83)/H$9,IF($J$7=2,HLOOKUP(H$11,index1970,Query!$O83)/H$9 * HLOOKUP(H$11,comboutfac,Query!$O83),HLOOKUP(H$11,index1970,Query!$O83)/H$9 * HLOOKUP(H$11,comboutfac,Query!$O83) /H$8))</f>
        <v>4.6446457300091293</v>
      </c>
      <c r="I48" s="120">
        <f ca="1">IF($J$7=1,HLOOKUP(I$11,index1970,Query!$O83)/I$9,IF($J$7=2,HLOOKUP(I$11,index1970,Query!$O83)/I$9 * HLOOKUP(I$11,comboutfac,Query!$O83),HLOOKUP(I$11,index1970,Query!$O83)/I$9 * HLOOKUP(I$11,comboutfac,Query!$O83) /I$8))</f>
        <v>4.6759262785529065</v>
      </c>
      <c r="J48" s="120">
        <f ca="1">IF($J$7=1,HLOOKUP(J$11,index1970,Query!$O83)/J$9,IF($J$7=2,HLOOKUP(J$11,index1970,Query!$O83)/J$9 * HLOOKUP(J$11,comboutfac,Query!$O83),HLOOKUP(J$11,index1970,Query!$O83)/J$9 * HLOOKUP(J$11,comboutfac,Query!$O83) /J$8))</f>
        <v>3.3126122391719486</v>
      </c>
      <c r="K48" s="120">
        <f ca="1">IF($J$7=1,HLOOKUP(K$11,index1970,Query!$O83)/K$9,IF($J$7=2,HLOOKUP(K$11,index1970,Query!$O83)/K$9 * HLOOKUP(K$11,comboutfac,Query!$O83),HLOOKUP(K$11,index1970,Query!$O83)/K$9 * HLOOKUP(K$11,comboutfac,Query!$O83) /K$8))</f>
        <v>6.2130375389369243</v>
      </c>
      <c r="L48" s="120">
        <f ca="1">IF($J$7=1,HLOOKUP(L$11,index1970,Query!$O83)/L$9,IF($J$7=2,HLOOKUP(L$11,index1970,Query!$O83)/L$9 * HLOOKUP(L$11,comboutfac,Query!$O83),HLOOKUP(L$11,index1970,Query!$O83)/L$9 * HLOOKUP(L$11,comboutfac,Query!$O83) /L$8))</f>
        <v>4.815516082900472</v>
      </c>
      <c r="M48" s="120">
        <f ca="1">IF($J$7=1,HLOOKUP(M$11,index1970,Query!$O83)/M$9,IF($J$7=2,HLOOKUP(M$11,index1970,Query!$O83)/M$9 * HLOOKUP(M$11,comboutfac,Query!$O83),HLOOKUP(M$11,index1970,Query!$O83)/M$9 * HLOOKUP(M$11,comboutfac,Query!$O83) /M$8))</f>
        <v>4.0928092310583457</v>
      </c>
      <c r="N48" s="120">
        <f ca="1">IF($J$7=1,HLOOKUP(N$11,index1970,Query!$O83)/N$9,IF($J$7=2,HLOOKUP(N$11,index1970,Query!$O83)/N$9 * HLOOKUP(N$11,comboutfac,Query!$O83),HLOOKUP(N$11,index1970,Query!$O83)/N$9 * HLOOKUP(N$11,comboutfac,Query!$O83) /N$8))</f>
        <v>4.6911321747449826</v>
      </c>
      <c r="O48" s="120">
        <f ca="1">IF($J$7=1,HLOOKUP(O$11,index1970,Query!$O83)/O$9,IF($J$7=2,HLOOKUP(O$11,index1970,Query!$O83)/O$9 * HLOOKUP(O$11,comboutfac,Query!$O83),HLOOKUP(O$11,index1970,Query!$O83)/O$9 * HLOOKUP(O$11,comboutfac,Query!$O83) /O$8))</f>
        <v>4.7127800178496413</v>
      </c>
      <c r="P48" s="120">
        <f ca="1">IF($J$7=1,HLOOKUP(P$11,index1970,Query!$O83)/P$9,IF($J$7=2,HLOOKUP(P$11,index1970,Query!$O83)/P$9 * HLOOKUP(P$11,comboutfac,Query!$O83),HLOOKUP(P$11,index1970,Query!$O83)/P$9 * HLOOKUP(P$11,comboutfac,Query!$O83) /P$8))</f>
        <v>6.0778020452930841</v>
      </c>
      <c r="Q48" s="120">
        <f ca="1">IF($J$7=1,HLOOKUP(Q$11,index1970,Query!$O83)/Q$9,IF($J$7=2,HLOOKUP(Q$11,index1970,Query!$O83)/Q$9 * HLOOKUP(Q$11,comboutfac,Query!$O83),HLOOKUP(Q$11,index1970,Query!$O83)/Q$9 * HLOOKUP(Q$11,comboutfac,Query!$O83) /Q$8))</f>
        <v>4.0908824856396864</v>
      </c>
      <c r="R48" s="120">
        <f ca="1">IF($J$7=1,HLOOKUP(R$11,index1970,Query!$O83)/R$9,IF($J$7=2,HLOOKUP(R$11,index1970,Query!$O83)/R$9 * HLOOKUP(R$11,comboutfac,Query!$O83),HLOOKUP(R$11,index1970,Query!$O83)/R$9 * HLOOKUP(R$11,comboutfac,Query!$O83) /R$8))</f>
        <v>5.9534707556624111</v>
      </c>
      <c r="S48" s="120">
        <f ca="1">IF($J$7=1,HLOOKUP(S$11,index1970,Query!$O83)/S$9,IF($J$7=2,HLOOKUP(S$11,index1970,Query!$O83)/S$9 * HLOOKUP(S$11,comboutfac,Query!$O83),HLOOKUP(S$11,index1970,Query!$O83)/S$9 * HLOOKUP(S$11,comboutfac,Query!$O83) /S$8))</f>
        <v>4.0766726477661761</v>
      </c>
      <c r="T48" s="120">
        <f ca="1">IF($J$7=1,HLOOKUP(T$11,index1970,Query!$O83)/T$9,IF($J$7=2,HLOOKUP(T$11,index1970,Query!$O83)/T$9 * HLOOKUP(T$11,comboutfac,Query!$O83),HLOOKUP(T$11,index1970,Query!$O83)/T$9 * HLOOKUP(T$11,comboutfac,Query!$O83) /T$8))</f>
        <v>4.0261431799711529</v>
      </c>
      <c r="U48" s="120">
        <f ca="1">IF($J$7=1,HLOOKUP(U$11,index1970,Query!$O83)/U$9,IF($J$7=2,HLOOKUP(U$11,index1970,Query!$O83)/U$9 * HLOOKUP(U$11,comboutfac,Query!$O83),HLOOKUP(U$11,index1970,Query!$O83)/U$9 * HLOOKUP(U$11,comboutfac,Query!$O83) /U$8))</f>
        <v>4.591950051412323</v>
      </c>
      <c r="V48" s="120">
        <f ca="1">IF($J$7=1,HLOOKUP(V$11,index1970,Query!$O83)/V$9,IF($J$7=2,HLOOKUP(V$11,index1970,Query!$O83)/V$9 * HLOOKUP(V$11,comboutfac,Query!$O83),HLOOKUP(V$11,index1970,Query!$O83)/V$9 * HLOOKUP(V$11,comboutfac,Query!$O83) /V$8))</f>
        <v>4.6605549556262575</v>
      </c>
      <c r="W48" s="120">
        <f ca="1">IF($J$7=1,HLOOKUP(W$11,index1970,Query!$O83)/W$9,IF($J$7=2,HLOOKUP(W$11,index1970,Query!$O83)/W$9 * HLOOKUP(W$11,comboutfac,Query!$O83),HLOOKUP(W$11,index1970,Query!$O83)/W$9 * HLOOKUP(W$11,comboutfac,Query!$O83) /W$8))</f>
        <v>4.703048443369882</v>
      </c>
      <c r="X48" s="120">
        <f ca="1">IF($J$7=1,HLOOKUP(X$11,index1970,Query!$O83)/X$9,IF($J$7=2,HLOOKUP(X$11,index1970,Query!$O83)/X$9 * HLOOKUP(X$11,comboutfac,Query!$O83),HLOOKUP(X$11,index1970,Query!$O83)/X$9 * HLOOKUP(X$11,comboutfac,Query!$O83) /X$8))</f>
        <v>4.6530713150027552</v>
      </c>
      <c r="Y48" s="120">
        <f ca="1">IF($J$7=1,HLOOKUP(Y$11,index1970,Query!$O83)/Y$9,IF($J$7=2,HLOOKUP(Y$11,index1970,Query!$O83)/Y$9 * HLOOKUP(Y$11,comboutfac,Query!$O83),HLOOKUP(Y$11,index1970,Query!$O83)/Y$9 * HLOOKUP(Y$11,comboutfac,Query!$O83) /Y$8))</f>
        <v>4.6670295679619782</v>
      </c>
      <c r="Z48" s="120">
        <f ca="1">IF($J$7=1,HLOOKUP(Z$11,index1970,Query!$O83)/Z$9,IF($J$7=2,HLOOKUP(Z$11,index1970,Query!$O83)/Z$9 * HLOOKUP(Z$11,comboutfac,Query!$O83),HLOOKUP(Z$11,index1970,Query!$O83)/Z$9 * HLOOKUP(Z$11,comboutfac,Query!$O83) /Z$8))</f>
        <v>5.1508006288574277</v>
      </c>
      <c r="AA48" s="120">
        <f ca="1">IF($J$7=1,HLOOKUP(AA$11,index1970,Query!$O83)/AA$9,IF($J$7=2,HLOOKUP(AA$11,index1970,Query!$O83)/AA$9 * HLOOKUP(AA$11,comboutfac,Query!$O83),HLOOKUP(AA$11,index1970,Query!$O83)/AA$9 * HLOOKUP(AA$11,comboutfac,Query!$O83) /AA$8))</f>
        <v>4.6571404138717361</v>
      </c>
      <c r="AB48" s="120">
        <f ca="1">IF($J$7=1,HLOOKUP(AB$11,index1970,Query!$O83)/AB$9,IF($J$7=2,HLOOKUP(AB$11,index1970,Query!$O83)/AB$9 * HLOOKUP(AB$11,comboutfac,Query!$O83),HLOOKUP(AB$11,index1970,Query!$O83)/AB$9 * HLOOKUP(AB$11,comboutfac,Query!$O83) /AB$8))</f>
        <v>4.7130475039639608</v>
      </c>
      <c r="AC48" s="120">
        <f ca="1">IF($J$7=1,HLOOKUP(AC$11,index1970,Query!$O83)/AC$9,IF($J$7=2,HLOOKUP(AC$11,index1970,Query!$O83)/AC$9 * HLOOKUP(AC$11,comboutfac,Query!$O83),HLOOKUP(AC$11,index1970,Query!$O83)/AC$9 * HLOOKUP(AC$11,comboutfac,Query!$O83) /AC$8))</f>
        <v>4.940469302543911</v>
      </c>
      <c r="AD48" s="120">
        <f ca="1">IF($J$7=1,HLOOKUP(AD$11,index1970,Query!$O83)/AD$9,IF($J$7=2,HLOOKUP(AD$11,index1970,Query!$O83)/AD$9 * HLOOKUP(AD$11,comboutfac,Query!$O83),HLOOKUP(AD$11,index1970,Query!$O83)/AD$9 * HLOOKUP(AD$11,comboutfac,Query!$O83) /AD$8))</f>
        <v>4.6493567147756458</v>
      </c>
      <c r="AE48" s="120">
        <f ca="1">IF($J$7=1,HLOOKUP(AE$11,index1970,Query!$O83)/AE$9,IF($J$7=2,HLOOKUP(AE$11,index1970,Query!$O83)/AE$9 * HLOOKUP(AE$11,comboutfac,Query!$O83),HLOOKUP(AE$11,index1970,Query!$O83)/AE$9 * HLOOKUP(AE$11,comboutfac,Query!$O83) /AE$8))</f>
        <v>4.0297119724475801</v>
      </c>
      <c r="AF48" s="120">
        <f ca="1">IF($J$7=1,HLOOKUP(AF$11,index1970,Query!$O83)/AF$9,IF($J$7=2,HLOOKUP(AF$11,index1970,Query!$O83)/AF$9 * HLOOKUP(AF$11,comboutfac,Query!$O83),HLOOKUP(AF$11,index1970,Query!$O83)/AF$9 * HLOOKUP(AF$11,comboutfac,Query!$O83) /AF$8))</f>
        <v>6.5873793360465021</v>
      </c>
      <c r="AG48" s="120">
        <f ca="1">IF($J$7=1,HLOOKUP(AG$11,index1970,Query!$O83)/AG$9,IF($J$7=2,HLOOKUP(AG$11,index1970,Query!$O83)/AG$9 * HLOOKUP(AG$11,comboutfac,Query!$O83),HLOOKUP(AG$11,index1970,Query!$O83)/AG$9 * HLOOKUP(AG$11,comboutfac,Query!$O83) /AG$8))</f>
        <v>4.7395412994432267</v>
      </c>
      <c r="AH48" s="120">
        <f ca="1">IF($J$7=1,HLOOKUP(AH$11,index1970,Query!$O83)/AH$9,IF($J$7=2,HLOOKUP(AH$11,index1970,Query!$O83)/AH$9 * HLOOKUP(AH$11,comboutfac,Query!$O83),HLOOKUP(AH$11,index1970,Query!$O83)/AH$9 * HLOOKUP(AH$11,comboutfac,Query!$O83) /AH$8))</f>
        <v>4.0535246491783772</v>
      </c>
      <c r="AI48" s="120">
        <f ca="1">IF($J$7=1,HLOOKUP(AI$11,index1970,Query!$O83)/AI$9,IF($J$7=2,HLOOKUP(AI$11,index1970,Query!$O83)/AI$9 * HLOOKUP(AI$11,comboutfac,Query!$O83),HLOOKUP(AI$11,index1970,Query!$O83)/AI$9 * HLOOKUP(AI$11,comboutfac,Query!$O83) /AI$8))</f>
        <v>4.1495361308592438</v>
      </c>
      <c r="AJ48" s="120">
        <f ca="1">IF($J$7=1,HLOOKUP(AJ$11,index1970,Query!$O83)/AJ$9,IF($J$7=2,HLOOKUP(AJ$11,index1970,Query!$O83)/AJ$9 * HLOOKUP(AJ$11,comboutfac,Query!$O83),HLOOKUP(AJ$11,index1970,Query!$O83)/AJ$9 * HLOOKUP(AJ$11,comboutfac,Query!$O83) /AJ$8))</f>
        <v>3.9796838550898213</v>
      </c>
      <c r="AK48" s="120">
        <f ca="1">IF($J$7=1,HLOOKUP(AK$11,index1970,Query!$O83)/AK$9,IF($J$7=2,HLOOKUP(AK$11,index1970,Query!$O83)/AK$9 * HLOOKUP(AK$11,comboutfac,Query!$O83),HLOOKUP(AK$11,index1970,Query!$O83)/AK$9 * HLOOKUP(AK$11,comboutfac,Query!$O83) /AK$8))</f>
        <v>4.1256387441043856</v>
      </c>
      <c r="AL48" s="120">
        <f ca="1">IF($J$7=1,HLOOKUP(AL$11,index1970,Query!$O83)/AL$9,IF($J$7=2,HLOOKUP(AL$11,index1970,Query!$O83)/AL$9 * HLOOKUP(AL$11,comboutfac,Query!$O83),HLOOKUP(AL$11,index1970,Query!$O83)/AL$9 * HLOOKUP(AL$11,comboutfac,Query!$O83) /AL$8))</f>
        <v>5.8681924449881295</v>
      </c>
      <c r="AM48" s="120">
        <f ca="1">IF($J$7=1,HLOOKUP(AM$11,index1970,Query!$O83)/AM$9,IF($J$7=2,HLOOKUP(AM$11,index1970,Query!$O83)/AM$9 * HLOOKUP(AM$11,comboutfac,Query!$O83),HLOOKUP(AM$11,index1970,Query!$O83)/AM$9 * HLOOKUP(AM$11,comboutfac,Query!$O83) /AM$8))</f>
        <v>4.1139586674628621</v>
      </c>
      <c r="AN48" s="120">
        <f ca="1">IF($J$7=1,HLOOKUP(AN$11,index1970,Query!$O83)/AN$9,IF($J$7=2,HLOOKUP(AN$11,index1970,Query!$O83)/AN$9 * HLOOKUP(AN$11,comboutfac,Query!$O83),HLOOKUP(AN$11,index1970,Query!$O83)/AN$9 * HLOOKUP(AN$11,comboutfac,Query!$O83) /AN$8))</f>
        <v>5.862729050654286</v>
      </c>
      <c r="AO48" s="120">
        <f ca="1">IF($J$7=1,HLOOKUP(AO$11,index1970,Query!$O83)/AO$9,IF($J$7=2,HLOOKUP(AO$11,index1970,Query!$O83)/AO$9 * HLOOKUP(AO$11,comboutfac,Query!$O83),HLOOKUP(AO$11,index1970,Query!$O83)/AO$9 * HLOOKUP(AO$11,comboutfac,Query!$O83) /AO$8))</f>
        <v>4.115668017794194</v>
      </c>
      <c r="AP48" s="120">
        <f ca="1">IF($J$7=1,HLOOKUP(AP$11,index1970,Query!$O83)/AP$9,IF($J$7=2,HLOOKUP(AP$11,index1970,Query!$O83)/AP$9 * HLOOKUP(AP$11,comboutfac,Query!$O83),HLOOKUP(AP$11,index1970,Query!$O83)/AP$9 * HLOOKUP(AP$11,comboutfac,Query!$O83) /AP$8))</f>
        <v>6.7224127570440384</v>
      </c>
      <c r="AQ48" s="683">
        <f ca="1">IF($J$7=1,HLOOKUP(AQ$11,index1970,Query!$O83)/AQ$9,IF($J$7=2,HLOOKUP(AQ$11,index1970,Query!$O83)/AQ$9 * HLOOKUP(AQ$11,comboutfac,Query!$O83),HLOOKUP(AQ$11,index1970,Query!$O83)/AQ$9 * HLOOKUP(AQ$11,comboutfac,Query!$O83) /AQ$8))</f>
        <v>4.8323670069900162</v>
      </c>
      <c r="AR48" s="120">
        <f ca="1">IF($J$7=1,HLOOKUP(AR$11,index1970,Query!$O83)/AR$9,IF($J$7=2,HLOOKUP(AR$11,index1970,Query!$O83)/AR$9 * HLOOKUP(AR$11,comboutfac,Query!$O83),HLOOKUP(AR$11,index1970,Query!$O83)/AR$9 * HLOOKUP(AR$11,comboutfac,Query!$O83) /AR$8))</f>
        <v>4.7658498582190312</v>
      </c>
      <c r="AS48" s="213"/>
    </row>
    <row r="49" spans="1:45" s="122" customFormat="1">
      <c r="A49" s="121">
        <f t="shared" si="7"/>
        <v>2005</v>
      </c>
      <c r="B49" s="120">
        <f ca="1">IF($J$7=1,HLOOKUP(B$11,index1970,Query!$O84)/B$9,IF($J$7=2,HLOOKUP(B$11,index1970,Query!$O84)/B$9 * HLOOKUP(B$11,comboutfac,Query!$O84),HLOOKUP(B$11,index1970,Query!$O84)/B$9 * HLOOKUP(B$11,comboutfac,Query!$O84) /B$8))</f>
        <v>4.8812293540293972</v>
      </c>
      <c r="C49" s="120">
        <f ca="1">IF($J$7=1,HLOOKUP(C$11,index1970,Query!$O84)/C$9,IF($J$7=2,HLOOKUP(C$11,index1970,Query!$O84)/C$9 * HLOOKUP(C$11,comboutfac,Query!$O84),HLOOKUP(C$11,index1970,Query!$O84)/C$9 * HLOOKUP(C$11,comboutfac,Query!$O84) /C$8))</f>
        <v>4.8948758541951038</v>
      </c>
      <c r="D49" s="120">
        <f ca="1">IF($J$7=1,HLOOKUP(D$11,index1970,Query!$O84)/D$9,IF($J$7=2,HLOOKUP(D$11,index1970,Query!$O84)/D$9 * HLOOKUP(D$11,comboutfac,Query!$O84),HLOOKUP(D$11,index1970,Query!$O84)/D$9 * HLOOKUP(D$11,comboutfac,Query!$O84) /D$8))</f>
        <v>4.8039983672562219</v>
      </c>
      <c r="E49" s="120">
        <f ca="1">IF($J$7=1,HLOOKUP(E$11,index1970,Query!$O84)/E$9,IF($J$7=2,HLOOKUP(E$11,index1970,Query!$O84)/E$9 * HLOOKUP(E$11,comboutfac,Query!$O84),HLOOKUP(E$11,index1970,Query!$O84)/E$9 * HLOOKUP(E$11,comboutfac,Query!$O84) /E$8))</f>
        <v>4.9903787760562812</v>
      </c>
      <c r="F49" s="120">
        <f ca="1">IF($J$7=1,HLOOKUP(F$11,index1970,Query!$O84)/F$9,IF($J$7=2,HLOOKUP(F$11,index1970,Query!$O84)/F$9 * HLOOKUP(F$11,comboutfac,Query!$O84),HLOOKUP(F$11,index1970,Query!$O84)/F$9 * HLOOKUP(F$11,comboutfac,Query!$O84) /F$8))</f>
        <v>4.8039983672562219</v>
      </c>
      <c r="G49" s="120">
        <f ca="1">IF($J$7=1,HLOOKUP(G$11,index1970,Query!$O84)/G$9,IF($J$7=2,HLOOKUP(G$11,index1970,Query!$O84)/G$9 * HLOOKUP(G$11,comboutfac,Query!$O84),HLOOKUP(G$11,index1970,Query!$O84)/G$9 * HLOOKUP(G$11,comboutfac,Query!$O84) /G$8))</f>
        <v>4.99738870572462</v>
      </c>
      <c r="H49" s="120">
        <f ca="1">IF($J$7=1,HLOOKUP(H$11,index1970,Query!$O84)/H$9,IF($J$7=2,HLOOKUP(H$11,index1970,Query!$O84)/H$9 * HLOOKUP(H$11,comboutfac,Query!$O84),HLOOKUP(H$11,index1970,Query!$O84)/H$9 * HLOOKUP(H$11,comboutfac,Query!$O84) /H$8))</f>
        <v>4.7788808543976176</v>
      </c>
      <c r="I49" s="120">
        <f ca="1">IF($J$7=1,HLOOKUP(I$11,index1970,Query!$O84)/I$9,IF($J$7=2,HLOOKUP(I$11,index1970,Query!$O84)/I$9 * HLOOKUP(I$11,comboutfac,Query!$O84),HLOOKUP(I$11,index1970,Query!$O84)/I$9 * HLOOKUP(I$11,comboutfac,Query!$O84) /I$8))</f>
        <v>4.8160219558370727</v>
      </c>
      <c r="J49" s="120">
        <f ca="1">IF($J$7=1,HLOOKUP(J$11,index1970,Query!$O84)/J$9,IF($J$7=2,HLOOKUP(J$11,index1970,Query!$O84)/J$9 * HLOOKUP(J$11,comboutfac,Query!$O84),HLOOKUP(J$11,index1970,Query!$O84)/J$9 * HLOOKUP(J$11,comboutfac,Query!$O84) /J$8))</f>
        <v>4.4057742780986917</v>
      </c>
      <c r="K49" s="120">
        <f ca="1">IF($J$7=1,HLOOKUP(K$11,index1970,Query!$O84)/K$9,IF($J$7=2,HLOOKUP(K$11,index1970,Query!$O84)/K$9 * HLOOKUP(K$11,comboutfac,Query!$O84),HLOOKUP(K$11,index1970,Query!$O84)/K$9 * HLOOKUP(K$11,comboutfac,Query!$O84) /K$8))</f>
        <v>6.4402852806098974</v>
      </c>
      <c r="L49" s="120">
        <f ca="1">IF($J$7=1,HLOOKUP(L$11,index1970,Query!$O84)/L$9,IF($J$7=2,HLOOKUP(L$11,index1970,Query!$O84)/L$9 * HLOOKUP(L$11,comboutfac,Query!$O84),HLOOKUP(L$11,index1970,Query!$O84)/L$9 * HLOOKUP(L$11,comboutfac,Query!$O84) /L$8))</f>
        <v>4.96098064145664</v>
      </c>
      <c r="M49" s="120">
        <f ca="1">IF($J$7=1,HLOOKUP(M$11,index1970,Query!$O84)/M$9,IF($J$7=2,HLOOKUP(M$11,index1970,Query!$O84)/M$9 * HLOOKUP(M$11,comboutfac,Query!$O84),HLOOKUP(M$11,index1970,Query!$O84)/M$9 * HLOOKUP(M$11,comboutfac,Query!$O84) /M$8))</f>
        <v>4.2049860806323291</v>
      </c>
      <c r="N49" s="120">
        <f ca="1">IF($J$7=1,HLOOKUP(N$11,index1970,Query!$O84)/N$9,IF($J$7=2,HLOOKUP(N$11,index1970,Query!$O84)/N$9 * HLOOKUP(N$11,comboutfac,Query!$O84),HLOOKUP(N$11,index1970,Query!$O84)/N$9 * HLOOKUP(N$11,comboutfac,Query!$O84) /N$8))</f>
        <v>4.8242735195101263</v>
      </c>
      <c r="O49" s="120">
        <f ca="1">IF($J$7=1,HLOOKUP(O$11,index1970,Query!$O84)/O$9,IF($J$7=2,HLOOKUP(O$11,index1970,Query!$O84)/O$9 * HLOOKUP(O$11,comboutfac,Query!$O84),HLOOKUP(O$11,index1970,Query!$O84)/O$9 * HLOOKUP(O$11,comboutfac,Query!$O84) /O$8))</f>
        <v>4.8462822617670085</v>
      </c>
      <c r="P49" s="120">
        <f ca="1">IF($J$7=1,HLOOKUP(P$11,index1970,Query!$O84)/P$9,IF($J$7=2,HLOOKUP(P$11,index1970,Query!$O84)/P$9 * HLOOKUP(P$11,comboutfac,Query!$O84),HLOOKUP(P$11,index1970,Query!$O84)/P$9 * HLOOKUP(P$11,comboutfac,Query!$O84) /P$8))</f>
        <v>6.2938754405460546</v>
      </c>
      <c r="Q49" s="120">
        <f ca="1">IF($J$7=1,HLOOKUP(Q$11,index1970,Query!$O84)/Q$9,IF($J$7=2,HLOOKUP(Q$11,index1970,Query!$O84)/Q$9 * HLOOKUP(Q$11,comboutfac,Query!$O84),HLOOKUP(Q$11,index1970,Query!$O84)/Q$9 * HLOOKUP(Q$11,comboutfac,Query!$O84) /Q$8))</f>
        <v>4.1963258070508598</v>
      </c>
      <c r="R49" s="120">
        <f ca="1">IF($J$7=1,HLOOKUP(R$11,index1970,Query!$O84)/R$9,IF($J$7=2,HLOOKUP(R$11,index1970,Query!$O84)/R$9 * HLOOKUP(R$11,comboutfac,Query!$O84),HLOOKUP(R$11,index1970,Query!$O84)/R$9 * HLOOKUP(R$11,comboutfac,Query!$O84) /R$8))</f>
        <v>6.1644808508943569</v>
      </c>
      <c r="S49" s="120">
        <f ca="1">IF($J$7=1,HLOOKUP(S$11,index1970,Query!$O84)/S$9,IF($J$7=2,HLOOKUP(S$11,index1970,Query!$O84)/S$9 * HLOOKUP(S$11,comboutfac,Query!$O84),HLOOKUP(S$11,index1970,Query!$O84)/S$9 * HLOOKUP(S$11,comboutfac,Query!$O84) /S$8))</f>
        <v>4.1924826896100562</v>
      </c>
      <c r="T49" s="120">
        <f ca="1">IF($J$7=1,HLOOKUP(T$11,index1970,Query!$O84)/T$9,IF($J$7=2,HLOOKUP(T$11,index1970,Query!$O84)/T$9 * HLOOKUP(T$11,comboutfac,Query!$O84),HLOOKUP(T$11,index1970,Query!$O84)/T$9 * HLOOKUP(T$11,comboutfac,Query!$O84) /T$8))</f>
        <v>4.1348547271506293</v>
      </c>
      <c r="U49" s="120">
        <f ca="1">IF($J$7=1,HLOOKUP(U$11,index1970,Query!$O84)/U$9,IF($J$7=2,HLOOKUP(U$11,index1970,Query!$O84)/U$9 * HLOOKUP(U$11,comboutfac,Query!$O84),HLOOKUP(U$11,index1970,Query!$O84)/U$9 * HLOOKUP(U$11,comboutfac,Query!$O84) /U$8))</f>
        <v>4.7976214569935891</v>
      </c>
      <c r="V49" s="120">
        <f ca="1">IF($J$7=1,HLOOKUP(V$11,index1970,Query!$O84)/V$9,IF($J$7=2,HLOOKUP(V$11,index1970,Query!$O84)/V$9 * HLOOKUP(V$11,comboutfac,Query!$O84),HLOOKUP(V$11,index1970,Query!$O84)/V$9 * HLOOKUP(V$11,comboutfac,Query!$O84) /V$8))</f>
        <v>4.7924152643384934</v>
      </c>
      <c r="W49" s="120">
        <f ca="1">IF($J$7=1,HLOOKUP(W$11,index1970,Query!$O84)/W$9,IF($J$7=2,HLOOKUP(W$11,index1970,Query!$O84)/W$9 * HLOOKUP(W$11,comboutfac,Query!$O84),HLOOKUP(W$11,index1970,Query!$O84)/W$9 * HLOOKUP(W$11,comboutfac,Query!$O84) /W$8))</f>
        <v>4.8882543998417951</v>
      </c>
      <c r="X49" s="120">
        <f ca="1">IF($J$7=1,HLOOKUP(X$11,index1970,Query!$O84)/X$9,IF($J$7=2,HLOOKUP(X$11,index1970,Query!$O84)/X$9 * HLOOKUP(X$11,comboutfac,Query!$O84),HLOOKUP(X$11,index1970,Query!$O84)/X$9 * HLOOKUP(X$11,comboutfac,Query!$O84) /X$8))</f>
        <v>4.826274291985456</v>
      </c>
      <c r="Y49" s="120">
        <f ca="1">IF($J$7=1,HLOOKUP(Y$11,index1970,Query!$O84)/Y$9,IF($J$7=2,HLOOKUP(Y$11,index1970,Query!$O84)/Y$9 * HLOOKUP(Y$11,comboutfac,Query!$O84),HLOOKUP(Y$11,index1970,Query!$O84)/Y$9 * HLOOKUP(Y$11,comboutfac,Query!$O84) /Y$8))</f>
        <v>4.843987551397265</v>
      </c>
      <c r="Z49" s="120">
        <f ca="1">IF($J$7=1,HLOOKUP(Z$11,index1970,Query!$O84)/Z$9,IF($J$7=2,HLOOKUP(Z$11,index1970,Query!$O84)/Z$9 * HLOOKUP(Z$11,comboutfac,Query!$O84),HLOOKUP(Z$11,index1970,Query!$O84)/Z$9 * HLOOKUP(Z$11,comboutfac,Query!$O84) /Z$8))</f>
        <v>5.3625895160561292</v>
      </c>
      <c r="AA49" s="120">
        <f ca="1">IF($J$7=1,HLOOKUP(AA$11,index1970,Query!$O84)/AA$9,IF($J$7=2,HLOOKUP(AA$11,index1970,Query!$O84)/AA$9 * HLOOKUP(AA$11,comboutfac,Query!$O84),HLOOKUP(AA$11,index1970,Query!$O84)/AA$9 * HLOOKUP(AA$11,comboutfac,Query!$O84) /AA$8))</f>
        <v>4.7862368526078702</v>
      </c>
      <c r="AB49" s="120">
        <f ca="1">IF($J$7=1,HLOOKUP(AB$11,index1970,Query!$O84)/AB$9,IF($J$7=2,HLOOKUP(AB$11,index1970,Query!$O84)/AB$9 * HLOOKUP(AB$11,comboutfac,Query!$O84),HLOOKUP(AB$11,index1970,Query!$O84)/AB$9 * HLOOKUP(AB$11,comboutfac,Query!$O84) /AB$8))</f>
        <v>4.8610955881231055</v>
      </c>
      <c r="AC49" s="120">
        <f ca="1">IF($J$7=1,HLOOKUP(AC$11,index1970,Query!$O84)/AC$9,IF($J$7=2,HLOOKUP(AC$11,index1970,Query!$O84)/AC$9 * HLOOKUP(AC$11,comboutfac,Query!$O84),HLOOKUP(AC$11,index1970,Query!$O84)/AC$9 * HLOOKUP(AC$11,comboutfac,Query!$O84) /AC$8))</f>
        <v>5.1938280103063521</v>
      </c>
      <c r="AD49" s="120">
        <f ca="1">IF($J$7=1,HLOOKUP(AD$11,index1970,Query!$O84)/AD$9,IF($J$7=2,HLOOKUP(AD$11,index1970,Query!$O84)/AD$9 * HLOOKUP(AD$11,comboutfac,Query!$O84),HLOOKUP(AD$11,index1970,Query!$O84)/AD$9 * HLOOKUP(AD$11,comboutfac,Query!$O84) /AD$8))</f>
        <v>4.7805850749243115</v>
      </c>
      <c r="AE49" s="120">
        <f ca="1">IF($J$7=1,HLOOKUP(AE$11,index1970,Query!$O84)/AE$9,IF($J$7=2,HLOOKUP(AE$11,index1970,Query!$O84)/AE$9 * HLOOKUP(AE$11,comboutfac,Query!$O84),HLOOKUP(AE$11,index1970,Query!$O84)/AE$9 * HLOOKUP(AE$11,comboutfac,Query!$O84) /AE$8))</f>
        <v>4.1431674738316024</v>
      </c>
      <c r="AF49" s="120">
        <f ca="1">IF($J$7=1,HLOOKUP(AF$11,index1970,Query!$O84)/AF$9,IF($J$7=2,HLOOKUP(AF$11,index1970,Query!$O84)/AF$9 * HLOOKUP(AF$11,comboutfac,Query!$O84),HLOOKUP(AF$11,index1970,Query!$O84)/AF$9 * HLOOKUP(AF$11,comboutfac,Query!$O84) /AF$8))</f>
        <v>6.7762796386885489</v>
      </c>
      <c r="AG49" s="120">
        <f ca="1">IF($J$7=1,HLOOKUP(AG$11,index1970,Query!$O84)/AG$9,IF($J$7=2,HLOOKUP(AG$11,index1970,Query!$O84)/AG$9 * HLOOKUP(AG$11,comboutfac,Query!$O84),HLOOKUP(AG$11,index1970,Query!$O84)/AG$9 * HLOOKUP(AG$11,comboutfac,Query!$O84) /AG$8))</f>
        <v>4.8750117726814075</v>
      </c>
      <c r="AH49" s="120">
        <f ca="1">IF($J$7=1,HLOOKUP(AH$11,index1970,Query!$O84)/AH$9,IF($J$7=2,HLOOKUP(AH$11,index1970,Query!$O84)/AH$9 * HLOOKUP(AH$11,comboutfac,Query!$O84),HLOOKUP(AH$11,index1970,Query!$O84)/AH$9 * HLOOKUP(AH$11,comboutfac,Query!$O84) /AH$8))</f>
        <v>4.1685376283733797</v>
      </c>
      <c r="AI49" s="120">
        <f ca="1">IF($J$7=1,HLOOKUP(AI$11,index1970,Query!$O84)/AI$9,IF($J$7=2,HLOOKUP(AI$11,index1970,Query!$O84)/AI$9 * HLOOKUP(AI$11,comboutfac,Query!$O84),HLOOKUP(AI$11,index1970,Query!$O84)/AI$9 * HLOOKUP(AI$11,comboutfac,Query!$O84) /AI$8))</f>
        <v>4.2590888484667557</v>
      </c>
      <c r="AJ49" s="120">
        <f ca="1">IF($J$7=1,HLOOKUP(AJ$11,index1970,Query!$O84)/AJ$9,IF($J$7=2,HLOOKUP(AJ$11,index1970,Query!$O84)/AJ$9 * HLOOKUP(AJ$11,comboutfac,Query!$O84),HLOOKUP(AJ$11,index1970,Query!$O84)/AJ$9 * HLOOKUP(AJ$11,comboutfac,Query!$O84) /AJ$8))</f>
        <v>4.094512310179903</v>
      </c>
      <c r="AK49" s="120">
        <f ca="1">IF($J$7=1,HLOOKUP(AK$11,index1970,Query!$O84)/AK$9,IF($J$7=2,HLOOKUP(AK$11,index1970,Query!$O84)/AK$9 * HLOOKUP(AK$11,comboutfac,Query!$O84),HLOOKUP(AK$11,index1970,Query!$O84)/AK$9 * HLOOKUP(AK$11,comboutfac,Query!$O84) /AK$8))</f>
        <v>4.2342242341889493</v>
      </c>
      <c r="AL49" s="120">
        <f ca="1">IF($J$7=1,HLOOKUP(AL$11,index1970,Query!$O84)/AL$9,IF($J$7=2,HLOOKUP(AL$11,index1970,Query!$O84)/AL$9 * HLOOKUP(AL$11,comboutfac,Query!$O84),HLOOKUP(AL$11,index1970,Query!$O84)/AL$9 * HLOOKUP(AL$11,comboutfac,Query!$O84) /AL$8))</f>
        <v>6.0750359911724967</v>
      </c>
      <c r="AM49" s="120">
        <f ca="1">IF($J$7=1,HLOOKUP(AM$11,index1970,Query!$O84)/AM$9,IF($J$7=2,HLOOKUP(AM$11,index1970,Query!$O84)/AM$9 * HLOOKUP(AM$11,comboutfac,Query!$O84),HLOOKUP(AM$11,index1970,Query!$O84)/AM$9 * HLOOKUP(AM$11,comboutfac,Query!$O84) /AM$8))</f>
        <v>4.1931519426967885</v>
      </c>
      <c r="AN49" s="120">
        <f ca="1">IF($J$7=1,HLOOKUP(AN$11,index1970,Query!$O84)/AN$9,IF($J$7=2,HLOOKUP(AN$11,index1970,Query!$O84)/AN$9 * HLOOKUP(AN$11,comboutfac,Query!$O84),HLOOKUP(AN$11,index1970,Query!$O84)/AN$9 * HLOOKUP(AN$11,comboutfac,Query!$O84) /AN$8))</f>
        <v>6.0671384315617845</v>
      </c>
      <c r="AO49" s="120">
        <f ca="1">IF($J$7=1,HLOOKUP(AO$11,index1970,Query!$O84)/AO$9,IF($J$7=2,HLOOKUP(AO$11,index1970,Query!$O84)/AO$9 * HLOOKUP(AO$11,comboutfac,Query!$O84),HLOOKUP(AO$11,index1970,Query!$O84)/AO$9 * HLOOKUP(AO$11,comboutfac,Query!$O84) /AO$8))</f>
        <v>4.2265850848965121</v>
      </c>
      <c r="AP49" s="120">
        <f ca="1">IF($J$7=1,HLOOKUP(AP$11,index1970,Query!$O84)/AP$9,IF($J$7=2,HLOOKUP(AP$11,index1970,Query!$O84)/AP$9 * HLOOKUP(AP$11,comboutfac,Query!$O84),HLOOKUP(AP$11,index1970,Query!$O84)/AP$9 * HLOOKUP(AP$11,comboutfac,Query!$O84) /AP$8))</f>
        <v>6.8877116245848713</v>
      </c>
      <c r="AQ49" s="683">
        <f ca="1">IF($J$7=1,HLOOKUP(AQ$11,index1970,Query!$O84)/AQ$9,IF($J$7=2,HLOOKUP(AQ$11,index1970,Query!$O84)/AQ$9 * HLOOKUP(AQ$11,comboutfac,Query!$O84),HLOOKUP(AQ$11,index1970,Query!$O84)/AQ$9 * HLOOKUP(AQ$11,comboutfac,Query!$O84) /AQ$8))</f>
        <v>5.0465598310567561</v>
      </c>
      <c r="AR49" s="120">
        <f ca="1">IF($J$7=1,HLOOKUP(AR$11,index1970,Query!$O84)/AR$9,IF($J$7=2,HLOOKUP(AR$11,index1970,Query!$O84)/AR$9 * HLOOKUP(AR$11,comboutfac,Query!$O84),HLOOKUP(AR$11,index1970,Query!$O84)/AR$9 * HLOOKUP(AR$11,comboutfac,Query!$O84) /AR$8))</f>
        <v>4.8974937784336321</v>
      </c>
      <c r="AS49" s="213"/>
    </row>
    <row r="50" spans="1:45" s="122" customFormat="1">
      <c r="A50" s="121">
        <f t="shared" si="7"/>
        <v>2006</v>
      </c>
      <c r="B50" s="120">
        <f ca="1">IF($J$7=1,HLOOKUP(B$11,index1970,Query!$O85)/B$9,IF($J$7=2,HLOOKUP(B$11,index1970,Query!$O85)/B$9 * HLOOKUP(B$11,comboutfac,Query!$O85),HLOOKUP(B$11,index1970,Query!$O85)/B$9 * HLOOKUP(B$11,comboutfac,Query!$O85) /B$8))</f>
        <v>5.016596555727415</v>
      </c>
      <c r="C50" s="120">
        <f ca="1">IF($J$7=1,HLOOKUP(C$11,index1970,Query!$O85)/C$9,IF($J$7=2,HLOOKUP(C$11,index1970,Query!$O85)/C$9 * HLOOKUP(C$11,comboutfac,Query!$O85),HLOOKUP(C$11,index1970,Query!$O85)/C$9 * HLOOKUP(C$11,comboutfac,Query!$O85) /C$8))</f>
        <v>4.88282635778834</v>
      </c>
      <c r="D50" s="120">
        <f ca="1">IF($J$7=1,HLOOKUP(D$11,index1970,Query!$O85)/D$9,IF($J$7=2,HLOOKUP(D$11,index1970,Query!$O85)/D$9 * HLOOKUP(D$11,comboutfac,Query!$O85),HLOOKUP(D$11,index1970,Query!$O85)/D$9 * HLOOKUP(D$11,comboutfac,Query!$O85) /D$8))</f>
        <v>4.9283585959537737</v>
      </c>
      <c r="E50" s="120">
        <f ca="1">IF($J$7=1,HLOOKUP(E$11,index1970,Query!$O85)/E$9,IF($J$7=2,HLOOKUP(E$11,index1970,Query!$O85)/E$9 * HLOOKUP(E$11,comboutfac,Query!$O85),HLOOKUP(E$11,index1970,Query!$O85)/E$9 * HLOOKUP(E$11,comboutfac,Query!$O85) /E$8))</f>
        <v>5.1499432501735205</v>
      </c>
      <c r="F50" s="120">
        <f ca="1">IF($J$7=1,HLOOKUP(F$11,index1970,Query!$O85)/F$9,IF($J$7=2,HLOOKUP(F$11,index1970,Query!$O85)/F$9 * HLOOKUP(F$11,comboutfac,Query!$O85),HLOOKUP(F$11,index1970,Query!$O85)/F$9 * HLOOKUP(F$11,comboutfac,Query!$O85) /F$8))</f>
        <v>4.9283585959537737</v>
      </c>
      <c r="G50" s="120">
        <f ca="1">IF($J$7=1,HLOOKUP(G$11,index1970,Query!$O85)/G$9,IF($J$7=2,HLOOKUP(G$11,index1970,Query!$O85)/G$9 * HLOOKUP(G$11,comboutfac,Query!$O85),HLOOKUP(G$11,index1970,Query!$O85)/G$9 * HLOOKUP(G$11,comboutfac,Query!$O85) /G$8))</f>
        <v>5.0902369114206873</v>
      </c>
      <c r="H50" s="120">
        <f ca="1">IF($J$7=1,HLOOKUP(H$11,index1970,Query!$O85)/H$9,IF($J$7=2,HLOOKUP(H$11,index1970,Query!$O85)/H$9 * HLOOKUP(H$11,comboutfac,Query!$O85),HLOOKUP(H$11,index1970,Query!$O85)/H$9 * HLOOKUP(H$11,comboutfac,Query!$O85) /H$8))</f>
        <v>4.9154684248621123</v>
      </c>
      <c r="I50" s="120">
        <f ca="1">IF($J$7=1,HLOOKUP(I$11,index1970,Query!$O85)/I$9,IF($J$7=2,HLOOKUP(I$11,index1970,Query!$O85)/I$9 * HLOOKUP(I$11,comboutfac,Query!$O85),HLOOKUP(I$11,index1970,Query!$O85)/I$9 * HLOOKUP(I$11,comboutfac,Query!$O85) /I$8))</f>
        <v>4.9559364872773601</v>
      </c>
      <c r="J50" s="120">
        <f ca="1">IF($J$7=1,HLOOKUP(J$11,index1970,Query!$O85)/J$9,IF($J$7=2,HLOOKUP(J$11,index1970,Query!$O85)/J$9 * HLOOKUP(J$11,comboutfac,Query!$O85),HLOOKUP(J$11,index1970,Query!$O85)/J$9 * HLOOKUP(J$11,comboutfac,Query!$O85) /J$8))</f>
        <v>7.0360215221236109</v>
      </c>
      <c r="K50" s="120">
        <f ca="1">IF($J$7=1,HLOOKUP(K$11,index1970,Query!$O85)/K$9,IF($J$7=2,HLOOKUP(K$11,index1970,Query!$O85)/K$9 * HLOOKUP(K$11,comboutfac,Query!$O85),HLOOKUP(K$11,index1970,Query!$O85)/K$9 * HLOOKUP(K$11,comboutfac,Query!$O85) /K$8))</f>
        <v>6.6462096763483762</v>
      </c>
      <c r="L50" s="120">
        <f ca="1">IF($J$7=1,HLOOKUP(L$11,index1970,Query!$O85)/L$9,IF($J$7=2,HLOOKUP(L$11,index1970,Query!$O85)/L$9 * HLOOKUP(L$11,comboutfac,Query!$O85),HLOOKUP(L$11,index1970,Query!$O85)/L$9 * HLOOKUP(L$11,comboutfac,Query!$O85) /L$8))</f>
        <v>5.100617877248224</v>
      </c>
      <c r="M50" s="120">
        <f ca="1">IF($J$7=1,HLOOKUP(M$11,index1970,Query!$O85)/M$9,IF($J$7=2,HLOOKUP(M$11,index1970,Query!$O85)/M$9 * HLOOKUP(M$11,comboutfac,Query!$O85),HLOOKUP(M$11,index1970,Query!$O85)/M$9 * HLOOKUP(M$11,comboutfac,Query!$O85) /M$8))</f>
        <v>4.3154855262831529</v>
      </c>
      <c r="N50" s="120">
        <f ca="1">IF($J$7=1,HLOOKUP(N$11,index1970,Query!$O85)/N$9,IF($J$7=2,HLOOKUP(N$11,index1970,Query!$O85)/N$9 * HLOOKUP(N$11,comboutfac,Query!$O85),HLOOKUP(N$11,index1970,Query!$O85)/N$9 * HLOOKUP(N$11,comboutfac,Query!$O85) /N$8))</f>
        <v>4.9551241792341205</v>
      </c>
      <c r="O50" s="120">
        <f ca="1">IF($J$7=1,HLOOKUP(O$11,index1970,Query!$O85)/O$9,IF($J$7=2,HLOOKUP(O$11,index1970,Query!$O85)/O$9 * HLOOKUP(O$11,comboutfac,Query!$O85),HLOOKUP(O$11,index1970,Query!$O85)/O$9 * HLOOKUP(O$11,comboutfac,Query!$O85) /O$8))</f>
        <v>4.9665634339753799</v>
      </c>
      <c r="P50" s="120">
        <f ca="1">IF($J$7=1,HLOOKUP(P$11,index1970,Query!$O85)/P$9,IF($J$7=2,HLOOKUP(P$11,index1970,Query!$O85)/P$9 * HLOOKUP(P$11,comboutfac,Query!$O85),HLOOKUP(P$11,index1970,Query!$O85)/P$9 * HLOOKUP(P$11,comboutfac,Query!$O85) /P$8))</f>
        <v>6.492303426080472</v>
      </c>
      <c r="Q50" s="120">
        <f ca="1">IF($J$7=1,HLOOKUP(Q$11,index1970,Query!$O85)/Q$9,IF($J$7=2,HLOOKUP(Q$11,index1970,Query!$O85)/Q$9 * HLOOKUP(Q$11,comboutfac,Query!$O85),HLOOKUP(Q$11,index1970,Query!$O85)/Q$9 * HLOOKUP(Q$11,comboutfac,Query!$O85) /Q$8))</f>
        <v>4.3276502420324281</v>
      </c>
      <c r="R50" s="120">
        <f ca="1">IF($J$7=1,HLOOKUP(R$11,index1970,Query!$O85)/R$9,IF($J$7=2,HLOOKUP(R$11,index1970,Query!$O85)/R$9 * HLOOKUP(R$11,comboutfac,Query!$O85),HLOOKUP(R$11,index1970,Query!$O85)/R$9 * HLOOKUP(R$11,comboutfac,Query!$O85) /R$8))</f>
        <v>6.3599297833763906</v>
      </c>
      <c r="S50" s="120">
        <f ca="1">IF($J$7=1,HLOOKUP(S$11,index1970,Query!$O85)/S$9,IF($J$7=2,HLOOKUP(S$11,index1970,Query!$O85)/S$9 * HLOOKUP(S$11,comboutfac,Query!$O85),HLOOKUP(S$11,index1970,Query!$O85)/S$9 * HLOOKUP(S$11,comboutfac,Query!$O85) /S$8))</f>
        <v>4.3201126170983324</v>
      </c>
      <c r="T50" s="120">
        <f ca="1">IF($J$7=1,HLOOKUP(T$11,index1970,Query!$O85)/T$9,IF($J$7=2,HLOOKUP(T$11,index1970,Query!$O85)/T$9 * HLOOKUP(T$11,comboutfac,Query!$O85),HLOOKUP(T$11,index1970,Query!$O85)/T$9 * HLOOKUP(T$11,comboutfac,Query!$O85) /T$8))</f>
        <v>4.2448267335507754</v>
      </c>
      <c r="U50" s="120">
        <f ca="1">IF($J$7=1,HLOOKUP(U$11,index1970,Query!$O85)/U$9,IF($J$7=2,HLOOKUP(U$11,index1970,Query!$O85)/U$9 * HLOOKUP(U$11,comboutfac,Query!$O85),HLOOKUP(U$11,index1970,Query!$O85)/U$9 * HLOOKUP(U$11,comboutfac,Query!$O85) /U$8))</f>
        <v>5.0204291971719153</v>
      </c>
      <c r="V50" s="120">
        <f ca="1">IF($J$7=1,HLOOKUP(V$11,index1970,Query!$O85)/V$9,IF($J$7=2,HLOOKUP(V$11,index1970,Query!$O85)/V$9 * HLOOKUP(V$11,comboutfac,Query!$O85),HLOOKUP(V$11,index1970,Query!$O85)/V$9 * HLOOKUP(V$11,comboutfac,Query!$O85) /V$8))</f>
        <v>4.9270668222675127</v>
      </c>
      <c r="W50" s="120">
        <f ca="1">IF($J$7=1,HLOOKUP(W$11,index1970,Query!$O85)/W$9,IF($J$7=2,HLOOKUP(W$11,index1970,Query!$O85)/W$9 * HLOOKUP(W$11,comboutfac,Query!$O85),HLOOKUP(W$11,index1970,Query!$O85)/W$9 * HLOOKUP(W$11,comboutfac,Query!$O85) /W$8))</f>
        <v>5.1831808895180789</v>
      </c>
      <c r="X50" s="120">
        <f ca="1">IF($J$7=1,HLOOKUP(X$11,index1970,Query!$O85)/X$9,IF($J$7=2,HLOOKUP(X$11,index1970,Query!$O85)/X$9 * HLOOKUP(X$11,comboutfac,Query!$O85),HLOOKUP(X$11,index1970,Query!$O85)/X$9 * HLOOKUP(X$11,comboutfac,Query!$O85) /X$8))</f>
        <v>4.9402585310217413</v>
      </c>
      <c r="Y50" s="120">
        <f ca="1">IF($J$7=1,HLOOKUP(Y$11,index1970,Query!$O85)/Y$9,IF($J$7=2,HLOOKUP(Y$11,index1970,Query!$O85)/Y$9 * HLOOKUP(Y$11,comboutfac,Query!$O85),HLOOKUP(Y$11,index1970,Query!$O85)/Y$9 * HLOOKUP(Y$11,comboutfac,Query!$O85) /Y$8))</f>
        <v>5.004170632338047</v>
      </c>
      <c r="Z50" s="120">
        <f ca="1">IF($J$7=1,HLOOKUP(Z$11,index1970,Query!$O85)/Z$9,IF($J$7=2,HLOOKUP(Z$11,index1970,Query!$O85)/Z$9 * HLOOKUP(Z$11,comboutfac,Query!$O85),HLOOKUP(Z$11,index1970,Query!$O85)/Z$9 * HLOOKUP(Z$11,comboutfac,Query!$O85) /Z$8))</f>
        <v>5.7570942446559572</v>
      </c>
      <c r="AA50" s="120">
        <f ca="1">IF($J$7=1,HLOOKUP(AA$11,index1970,Query!$O85)/AA$9,IF($J$7=2,HLOOKUP(AA$11,index1970,Query!$O85)/AA$9 * HLOOKUP(AA$11,comboutfac,Query!$O85),HLOOKUP(AA$11,index1970,Query!$O85)/AA$9 * HLOOKUP(AA$11,comboutfac,Query!$O85) /AA$8))</f>
        <v>4.9203354061597642</v>
      </c>
      <c r="AB50" s="120">
        <f ca="1">IF($J$7=1,HLOOKUP(AB$11,index1970,Query!$O85)/AB$9,IF($J$7=2,HLOOKUP(AB$11,index1970,Query!$O85)/AB$9 * HLOOKUP(AB$11,comboutfac,Query!$O85),HLOOKUP(AB$11,index1970,Query!$O85)/AB$9 * HLOOKUP(AB$11,comboutfac,Query!$O85) /AB$8))</f>
        <v>4.9992293949005155</v>
      </c>
      <c r="AC50" s="120">
        <f ca="1">IF($J$7=1,HLOOKUP(AC$11,index1970,Query!$O85)/AC$9,IF($J$7=2,HLOOKUP(AC$11,index1970,Query!$O85)/AC$9 * HLOOKUP(AC$11,comboutfac,Query!$O85),HLOOKUP(AC$11,index1970,Query!$O85)/AC$9 * HLOOKUP(AC$11,comboutfac,Query!$O85) /AC$8))</f>
        <v>5.7097166944623785</v>
      </c>
      <c r="AD50" s="120">
        <f ca="1">IF($J$7=1,HLOOKUP(AD$11,index1970,Query!$O85)/AD$9,IF($J$7=2,HLOOKUP(AD$11,index1970,Query!$O85)/AD$9 * HLOOKUP(AD$11,comboutfac,Query!$O85),HLOOKUP(AD$11,index1970,Query!$O85)/AD$9 * HLOOKUP(AD$11,comboutfac,Query!$O85) /AD$8))</f>
        <v>4.9239946634327305</v>
      </c>
      <c r="AE50" s="120">
        <f ca="1">IF($J$7=1,HLOOKUP(AE$11,index1970,Query!$O85)/AE$9,IF($J$7=2,HLOOKUP(AE$11,index1970,Query!$O85)/AE$9 * HLOOKUP(AE$11,comboutfac,Query!$O85),HLOOKUP(AE$11,index1970,Query!$O85)/AE$9 * HLOOKUP(AE$11,comboutfac,Query!$O85) /AE$8))</f>
        <v>4.2804512136008537</v>
      </c>
      <c r="AF50" s="120">
        <f ca="1">IF($J$7=1,HLOOKUP(AF$11,index1970,Query!$O85)/AF$9,IF($J$7=2,HLOOKUP(AF$11,index1970,Query!$O85)/AF$9 * HLOOKUP(AF$11,comboutfac,Query!$O85),HLOOKUP(AF$11,index1970,Query!$O85)/AF$9 * HLOOKUP(AF$11,comboutfac,Query!$O85) /AF$8))</f>
        <v>6.9481939904789183</v>
      </c>
      <c r="AG50" s="120">
        <f ca="1">IF($J$7=1,HLOOKUP(AG$11,index1970,Query!$O85)/AG$9,IF($J$7=2,HLOOKUP(AG$11,index1970,Query!$O85)/AG$9 * HLOOKUP(AG$11,comboutfac,Query!$O85),HLOOKUP(AG$11,index1970,Query!$O85)/AG$9 * HLOOKUP(AG$11,comboutfac,Query!$O85) /AG$8))</f>
        <v>5.0291398728402044</v>
      </c>
      <c r="AH50" s="120">
        <f ca="1">IF($J$7=1,HLOOKUP(AH$11,index1970,Query!$O85)/AH$9,IF($J$7=2,HLOOKUP(AH$11,index1970,Query!$O85)/AH$9 * HLOOKUP(AH$11,comboutfac,Query!$O85),HLOOKUP(AH$11,index1970,Query!$O85)/AH$9 * HLOOKUP(AH$11,comboutfac,Query!$O85) /AH$8))</f>
        <v>4.2774692540729218</v>
      </c>
      <c r="AI50" s="120">
        <f ca="1">IF($J$7=1,HLOOKUP(AI$11,index1970,Query!$O85)/AI$9,IF($J$7=2,HLOOKUP(AI$11,index1970,Query!$O85)/AI$9 * HLOOKUP(AI$11,comboutfac,Query!$O85),HLOOKUP(AI$11,index1970,Query!$O85)/AI$9 * HLOOKUP(AI$11,comboutfac,Query!$O85) /AI$8))</f>
        <v>4.391846836897928</v>
      </c>
      <c r="AJ50" s="120">
        <f ca="1">IF($J$7=1,HLOOKUP(AJ$11,index1970,Query!$O85)/AJ$9,IF($J$7=2,HLOOKUP(AJ$11,index1970,Query!$O85)/AJ$9 * HLOOKUP(AJ$11,comboutfac,Query!$O85),HLOOKUP(AJ$11,index1970,Query!$O85)/AJ$9 * HLOOKUP(AJ$11,comboutfac,Query!$O85) /AJ$8))</f>
        <v>4.2190197941765062</v>
      </c>
      <c r="AK50" s="120">
        <f ca="1">IF($J$7=1,HLOOKUP(AK$11,index1970,Query!$O85)/AK$9,IF($J$7=2,HLOOKUP(AK$11,index1970,Query!$O85)/AK$9 * HLOOKUP(AK$11,comboutfac,Query!$O85),HLOOKUP(AK$11,index1970,Query!$O85)/AK$9 * HLOOKUP(AK$11,comboutfac,Query!$O85) /AK$8))</f>
        <v>4.366161717037718</v>
      </c>
      <c r="AL50" s="120">
        <f ca="1">IF($J$7=1,HLOOKUP(AL$11,index1970,Query!$O85)/AL$9,IF($J$7=2,HLOOKUP(AL$11,index1970,Query!$O85)/AL$9 * HLOOKUP(AL$11,comboutfac,Query!$O85),HLOOKUP(AL$11,index1970,Query!$O85)/AL$9 * HLOOKUP(AL$11,comboutfac,Query!$O85) /AL$8))</f>
        <v>6.2649064311071809</v>
      </c>
      <c r="AM50" s="120">
        <f ca="1">IF($J$7=1,HLOOKUP(AM$11,index1970,Query!$O85)/AM$9,IF($J$7=2,HLOOKUP(AM$11,index1970,Query!$O85)/AM$9 * HLOOKUP(AM$11,comboutfac,Query!$O85),HLOOKUP(AM$11,index1970,Query!$O85)/AM$9 * HLOOKUP(AM$11,comboutfac,Query!$O85) /AM$8))</f>
        <v>4.324133103127906</v>
      </c>
      <c r="AN50" s="120">
        <f ca="1">IF($J$7=1,HLOOKUP(AN$11,index1970,Query!$O85)/AN$9,IF($J$7=2,HLOOKUP(AN$11,index1970,Query!$O85)/AN$9 * HLOOKUP(AN$11,comboutfac,Query!$O85),HLOOKUP(AN$11,index1970,Query!$O85)/AN$9 * HLOOKUP(AN$11,comboutfac,Query!$O85) /AN$8))</f>
        <v>6.2502437617084485</v>
      </c>
      <c r="AO50" s="120">
        <f ca="1">IF($J$7=1,HLOOKUP(AO$11,index1970,Query!$O85)/AO$9,IF($J$7=2,HLOOKUP(AO$11,index1970,Query!$O85)/AO$9 * HLOOKUP(AO$11,comboutfac,Query!$O85),HLOOKUP(AO$11,index1970,Query!$O85)/AO$9 * HLOOKUP(AO$11,comboutfac,Query!$O85) /AO$8))</f>
        <v>4.3472619096089433</v>
      </c>
      <c r="AP50" s="120">
        <f ca="1">IF($J$7=1,HLOOKUP(AP$11,index1970,Query!$O85)/AP$9,IF($J$7=2,HLOOKUP(AP$11,index1970,Query!$O85)/AP$9 * HLOOKUP(AP$11,comboutfac,Query!$O85),HLOOKUP(AP$11,index1970,Query!$O85)/AP$9 * HLOOKUP(AP$11,comboutfac,Query!$O85) /AP$8))</f>
        <v>7.0134736186406093</v>
      </c>
      <c r="AQ50" s="683">
        <f ca="1">IF($J$7=1,HLOOKUP(AQ$11,index1970,Query!$O85)/AQ$9,IF($J$7=2,HLOOKUP(AQ$11,index1970,Query!$O85)/AQ$9 * HLOOKUP(AQ$11,comboutfac,Query!$O85),HLOOKUP(AQ$11,index1970,Query!$O85)/AQ$9 * HLOOKUP(AQ$11,comboutfac,Query!$O85) /AQ$8))</f>
        <v>5.2245370134805853</v>
      </c>
      <c r="AR50" s="120">
        <f ca="1">IF($J$7=1,HLOOKUP(AR$11,index1970,Query!$O85)/AR$9,IF($J$7=2,HLOOKUP(AR$11,index1970,Query!$O85)/AR$9 * HLOOKUP(AR$11,comboutfac,Query!$O85),HLOOKUP(AR$11,index1970,Query!$O85)/AR$9 * HLOOKUP(AR$11,comboutfac,Query!$O85) /AR$8))</f>
        <v>5.0204686817972997</v>
      </c>
      <c r="AS50" s="213"/>
    </row>
    <row r="51" spans="1:45" s="122" customFormat="1">
      <c r="A51" s="121">
        <f t="shared" si="7"/>
        <v>2007</v>
      </c>
      <c r="B51" s="120">
        <f ca="1">IF($J$7=1,HLOOKUP(B$11,index1970,Query!$O86)/B$9,IF($J$7=2,HLOOKUP(B$11,index1970,Query!$O86)/B$9 * HLOOKUP(B$11,comboutfac,Query!$O86),HLOOKUP(B$11,index1970,Query!$O86)/B$9 * HLOOKUP(B$11,comboutfac,Query!$O86) /B$8))</f>
        <v>5.133560985270984</v>
      </c>
      <c r="C51" s="120">
        <f ca="1">IF($J$7=1,HLOOKUP(C$11,index1970,Query!$O86)/C$9,IF($J$7=2,HLOOKUP(C$11,index1970,Query!$O86)/C$9 * HLOOKUP(C$11,comboutfac,Query!$O86),HLOOKUP(C$11,index1970,Query!$O86)/C$9 * HLOOKUP(C$11,comboutfac,Query!$O86) /C$8))</f>
        <v>4.999900175166097</v>
      </c>
      <c r="D51" s="120">
        <f ca="1">IF($J$7=1,HLOOKUP(D$11,index1970,Query!$O86)/D$9,IF($J$7=2,HLOOKUP(D$11,index1970,Query!$O86)/D$9 * HLOOKUP(D$11,comboutfac,Query!$O86),HLOOKUP(D$11,index1970,Query!$O86)/D$9 * HLOOKUP(D$11,comboutfac,Query!$O86) /D$8))</f>
        <v>5.0345872039891972</v>
      </c>
      <c r="E51" s="120">
        <f ca="1">IF($J$7=1,HLOOKUP(E$11,index1970,Query!$O86)/E$9,IF($J$7=2,HLOOKUP(E$11,index1970,Query!$O86)/E$9 * HLOOKUP(E$11,comboutfac,Query!$O86),HLOOKUP(E$11,index1970,Query!$O86)/E$9 * HLOOKUP(E$11,comboutfac,Query!$O86) /E$8))</f>
        <v>5.274566088960885</v>
      </c>
      <c r="F51" s="120">
        <f ca="1">IF($J$7=1,HLOOKUP(F$11,index1970,Query!$O86)/F$9,IF($J$7=2,HLOOKUP(F$11,index1970,Query!$O86)/F$9 * HLOOKUP(F$11,comboutfac,Query!$O86),HLOOKUP(F$11,index1970,Query!$O86)/F$9 * HLOOKUP(F$11,comboutfac,Query!$O86) /F$8))</f>
        <v>5.0345872039891972</v>
      </c>
      <c r="G51" s="120">
        <f ca="1">IF($J$7=1,HLOOKUP(G$11,index1970,Query!$O86)/G$9,IF($J$7=2,HLOOKUP(G$11,index1970,Query!$O86)/G$9 * HLOOKUP(G$11,comboutfac,Query!$O86),HLOOKUP(G$11,index1970,Query!$O86)/G$9 * HLOOKUP(G$11,comboutfac,Query!$O86) /G$8))</f>
        <v>5.1876879996161245</v>
      </c>
      <c r="H51" s="120">
        <f ca="1">IF($J$7=1,HLOOKUP(H$11,index1970,Query!$O86)/H$9,IF($J$7=2,HLOOKUP(H$11,index1970,Query!$O86)/H$9 * HLOOKUP(H$11,comboutfac,Query!$O86),HLOOKUP(H$11,index1970,Query!$O86)/H$9 * HLOOKUP(H$11,comboutfac,Query!$O86) /H$8))</f>
        <v>5.0397692901351991</v>
      </c>
      <c r="I51" s="120">
        <f ca="1">IF($J$7=1,HLOOKUP(I$11,index1970,Query!$O86)/I$9,IF($J$7=2,HLOOKUP(I$11,index1970,Query!$O86)/I$9 * HLOOKUP(I$11,comboutfac,Query!$O86),HLOOKUP(I$11,index1970,Query!$O86)/I$9 * HLOOKUP(I$11,comboutfac,Query!$O86) /I$8))</f>
        <v>5.0804951698428393</v>
      </c>
      <c r="J51" s="120">
        <f ca="1">IF($J$7=1,HLOOKUP(J$11,index1970,Query!$O86)/J$9,IF($J$7=2,HLOOKUP(J$11,index1970,Query!$O86)/J$9 * HLOOKUP(J$11,comboutfac,Query!$O86),HLOOKUP(J$11,index1970,Query!$O86)/J$9 * HLOOKUP(J$11,comboutfac,Query!$O86) /J$8))</f>
        <v>7.1345258234333411</v>
      </c>
      <c r="K51" s="120">
        <f ca="1">IF($J$7=1,HLOOKUP(K$11,index1970,Query!$O86)/K$9,IF($J$7=2,HLOOKUP(K$11,index1970,Query!$O86)/K$9 * HLOOKUP(K$11,comboutfac,Query!$O86),HLOOKUP(K$11,index1970,Query!$O86)/K$9 * HLOOKUP(K$11,comboutfac,Query!$O86) /K$8))</f>
        <v>6.8070404810401905</v>
      </c>
      <c r="L51" s="120">
        <f ca="1">IF($J$7=1,HLOOKUP(L$11,index1970,Query!$O86)/L$9,IF($J$7=2,HLOOKUP(L$11,index1970,Query!$O86)/L$9 * HLOOKUP(L$11,comboutfac,Query!$O86),HLOOKUP(L$11,index1970,Query!$O86)/L$9 * HLOOKUP(L$11,comboutfac,Query!$O86) /L$8))</f>
        <v>5.2077547220743554</v>
      </c>
      <c r="M51" s="120">
        <f ca="1">IF($J$7=1,HLOOKUP(M$11,index1970,Query!$O86)/M$9,IF($J$7=2,HLOOKUP(M$11,index1970,Query!$O86)/M$9 * HLOOKUP(M$11,comboutfac,Query!$O86),HLOOKUP(M$11,index1970,Query!$O86)/M$9 * HLOOKUP(M$11,comboutfac,Query!$O86) /M$8))</f>
        <v>4.3981878217586745</v>
      </c>
      <c r="N51" s="120">
        <f ca="1">IF($J$7=1,HLOOKUP(N$11,index1970,Query!$O86)/N$9,IF($J$7=2,HLOOKUP(N$11,index1970,Query!$O86)/N$9 * HLOOKUP(N$11,comboutfac,Query!$O86),HLOOKUP(N$11,index1970,Query!$O86)/N$9 * HLOOKUP(N$11,comboutfac,Query!$O86) /N$8))</f>
        <v>5.0558930207716326</v>
      </c>
      <c r="O51" s="120">
        <f ca="1">IF($J$7=1,HLOOKUP(O$11,index1970,Query!$O86)/O$9,IF($J$7=2,HLOOKUP(O$11,index1970,Query!$O86)/O$9 * HLOOKUP(O$11,comboutfac,Query!$O86),HLOOKUP(O$11,index1970,Query!$O86)/O$9 * HLOOKUP(O$11,comboutfac,Query!$O86) /O$8))</f>
        <v>5.0638731776987536</v>
      </c>
      <c r="P51" s="120">
        <f ca="1">IF($J$7=1,HLOOKUP(P$11,index1970,Query!$O86)/P$9,IF($J$7=2,HLOOKUP(P$11,index1970,Query!$O86)/P$9 * HLOOKUP(P$11,comboutfac,Query!$O86),HLOOKUP(P$11,index1970,Query!$O86)/P$9 * HLOOKUP(P$11,comboutfac,Query!$O86) /P$8))</f>
        <v>6.6509099969637981</v>
      </c>
      <c r="Q51" s="120">
        <f ca="1">IF($J$7=1,HLOOKUP(Q$11,index1970,Query!$O86)/Q$9,IF($J$7=2,HLOOKUP(Q$11,index1970,Query!$O86)/Q$9 * HLOOKUP(Q$11,comboutfac,Query!$O86),HLOOKUP(Q$11,index1970,Query!$O86)/Q$9 * HLOOKUP(Q$11,comboutfac,Query!$O86) /Q$8))</f>
        <v>4.4423941832470373</v>
      </c>
      <c r="R51" s="120">
        <f ca="1">IF($J$7=1,HLOOKUP(R$11,index1970,Query!$O86)/R$9,IF($J$7=2,HLOOKUP(R$11,index1970,Query!$O86)/R$9 * HLOOKUP(R$11,comboutfac,Query!$O86),HLOOKUP(R$11,index1970,Query!$O86)/R$9 * HLOOKUP(R$11,comboutfac,Query!$O86) /R$8))</f>
        <v>6.5139086767437302</v>
      </c>
      <c r="S51" s="120">
        <f ca="1">IF($J$7=1,HLOOKUP(S$11,index1970,Query!$O86)/S$9,IF($J$7=2,HLOOKUP(S$11,index1970,Query!$O86)/S$9 * HLOOKUP(S$11,comboutfac,Query!$O86),HLOOKUP(S$11,index1970,Query!$O86)/S$9 * HLOOKUP(S$11,comboutfac,Query!$O86) /S$8))</f>
        <v>4.4355063548256819</v>
      </c>
      <c r="T51" s="120">
        <f ca="1">IF($J$7=1,HLOOKUP(T$11,index1970,Query!$O86)/T$9,IF($J$7=2,HLOOKUP(T$11,index1970,Query!$O86)/T$9 * HLOOKUP(T$11,comboutfac,Query!$O86),HLOOKUP(T$11,index1970,Query!$O86)/T$9 * HLOOKUP(T$11,comboutfac,Query!$O86) /T$8))</f>
        <v>4.3426564255357141</v>
      </c>
      <c r="U51" s="120">
        <f ca="1">IF($J$7=1,HLOOKUP(U$11,index1970,Query!$O86)/U$9,IF($J$7=2,HLOOKUP(U$11,index1970,Query!$O86)/U$9 * HLOOKUP(U$11,comboutfac,Query!$O86),HLOOKUP(U$11,index1970,Query!$O86)/U$9 * HLOOKUP(U$11,comboutfac,Query!$O86) /U$8))</f>
        <v>5.246160493771705</v>
      </c>
      <c r="V51" s="120">
        <f ca="1">IF($J$7=1,HLOOKUP(V$11,index1970,Query!$O86)/V$9,IF($J$7=2,HLOOKUP(V$11,index1970,Query!$O86)/V$9 * HLOOKUP(V$11,comboutfac,Query!$O86),HLOOKUP(V$11,index1970,Query!$O86)/V$9 * HLOOKUP(V$11,comboutfac,Query!$O86) /V$8))</f>
        <v>5.0535406082235932</v>
      </c>
      <c r="W51" s="120">
        <f ca="1">IF($J$7=1,HLOOKUP(W$11,index1970,Query!$O86)/W$9,IF($J$7=2,HLOOKUP(W$11,index1970,Query!$O86)/W$9 * HLOOKUP(W$11,comboutfac,Query!$O86),HLOOKUP(W$11,index1970,Query!$O86)/W$9 * HLOOKUP(W$11,comboutfac,Query!$O86) /W$8))</f>
        <v>5.320394354398867</v>
      </c>
      <c r="X51" s="120">
        <f ca="1">IF($J$7=1,HLOOKUP(X$11,index1970,Query!$O86)/X$9,IF($J$7=2,HLOOKUP(X$11,index1970,Query!$O86)/X$9 * HLOOKUP(X$11,comboutfac,Query!$O86),HLOOKUP(X$11,index1970,Query!$O86)/X$9 * HLOOKUP(X$11,comboutfac,Query!$O86) /X$8))</f>
        <v>5.0592205872550817</v>
      </c>
      <c r="Y51" s="120">
        <f ca="1">IF($J$7=1,HLOOKUP(Y$11,index1970,Query!$O86)/Y$9,IF($J$7=2,HLOOKUP(Y$11,index1970,Query!$O86)/Y$9 * HLOOKUP(Y$11,comboutfac,Query!$O86),HLOOKUP(Y$11,index1970,Query!$O86)/Y$9 * HLOOKUP(Y$11,comboutfac,Query!$O86) /Y$8))</f>
        <v>5.1253535792502136</v>
      </c>
      <c r="Z51" s="120">
        <f ca="1">IF($J$7=1,HLOOKUP(Z$11,index1970,Query!$O86)/Z$9,IF($J$7=2,HLOOKUP(Z$11,index1970,Query!$O86)/Z$9 * HLOOKUP(Z$11,comboutfac,Query!$O86),HLOOKUP(Z$11,index1970,Query!$O86)/Z$9 * HLOOKUP(Z$11,comboutfac,Query!$O86) /Z$8))</f>
        <v>5.9084415532835841</v>
      </c>
      <c r="AA51" s="120">
        <f ca="1">IF($J$7=1,HLOOKUP(AA$11,index1970,Query!$O86)/AA$9,IF($J$7=2,HLOOKUP(AA$11,index1970,Query!$O86)/AA$9 * HLOOKUP(AA$11,comboutfac,Query!$O86),HLOOKUP(AA$11,index1970,Query!$O86)/AA$9 * HLOOKUP(AA$11,comboutfac,Query!$O86) /AA$8))</f>
        <v>5.0473305024240824</v>
      </c>
      <c r="AB51" s="120">
        <f ca="1">IF($J$7=1,HLOOKUP(AB$11,index1970,Query!$O86)/AB$9,IF($J$7=2,HLOOKUP(AB$11,index1970,Query!$O86)/AB$9 * HLOOKUP(AB$11,comboutfac,Query!$O86),HLOOKUP(AB$11,index1970,Query!$O86)/AB$9 * HLOOKUP(AB$11,comboutfac,Query!$O86) /AB$8))</f>
        <v>5.131382206587503</v>
      </c>
      <c r="AC51" s="120">
        <f ca="1">IF($J$7=1,HLOOKUP(AC$11,index1970,Query!$O86)/AC$9,IF($J$7=2,HLOOKUP(AC$11,index1970,Query!$O86)/AC$9 * HLOOKUP(AC$11,comboutfac,Query!$O86),HLOOKUP(AC$11,index1970,Query!$O86)/AC$9 * HLOOKUP(AC$11,comboutfac,Query!$O86) /AC$8))</f>
        <v>5.841411534820848</v>
      </c>
      <c r="AD51" s="120">
        <f ca="1">IF($J$7=1,HLOOKUP(AD$11,index1970,Query!$O86)/AD$9,IF($J$7=2,HLOOKUP(AD$11,index1970,Query!$O86)/AD$9 * HLOOKUP(AD$11,comboutfac,Query!$O86),HLOOKUP(AD$11,index1970,Query!$O86)/AD$9 * HLOOKUP(AD$11,comboutfac,Query!$O86) /AD$8))</f>
        <v>5.0524037493125595</v>
      </c>
      <c r="AE51" s="120">
        <f ca="1">IF($J$7=1,HLOOKUP(AE$11,index1970,Query!$O86)/AE$9,IF($J$7=2,HLOOKUP(AE$11,index1970,Query!$O86)/AE$9 * HLOOKUP(AE$11,comboutfac,Query!$O86),HLOOKUP(AE$11,index1970,Query!$O86)/AE$9 * HLOOKUP(AE$11,comboutfac,Query!$O86) /AE$8))</f>
        <v>4.3736294863216303</v>
      </c>
      <c r="AF51" s="120">
        <f ca="1">IF($J$7=1,HLOOKUP(AF$11,index1970,Query!$O86)/AF$9,IF($J$7=2,HLOOKUP(AF$11,index1970,Query!$O86)/AF$9 * HLOOKUP(AF$11,comboutfac,Query!$O86),HLOOKUP(AF$11,index1970,Query!$O86)/AF$9 * HLOOKUP(AF$11,comboutfac,Query!$O86) /AF$8))</f>
        <v>7.1091387975370992</v>
      </c>
      <c r="AG51" s="120">
        <f ca="1">IF($J$7=1,HLOOKUP(AG$11,index1970,Query!$O86)/AG$9,IF($J$7=2,HLOOKUP(AG$11,index1970,Query!$O86)/AG$9 * HLOOKUP(AG$11,comboutfac,Query!$O86),HLOOKUP(AG$11,index1970,Query!$O86)/AG$9 * HLOOKUP(AG$11,comboutfac,Query!$O86) /AG$8))</f>
        <v>5.126685528595349</v>
      </c>
      <c r="AH51" s="120">
        <f ca="1">IF($J$7=1,HLOOKUP(AH$11,index1970,Query!$O86)/AH$9,IF($J$7=2,HLOOKUP(AH$11,index1970,Query!$O86)/AH$9 * HLOOKUP(AH$11,comboutfac,Query!$O86),HLOOKUP(AH$11,index1970,Query!$O86)/AH$9 * HLOOKUP(AH$11,comboutfac,Query!$O86) /AH$8))</f>
        <v>4.3661473385554368</v>
      </c>
      <c r="AI51" s="120">
        <f ca="1">IF($J$7=1,HLOOKUP(AI$11,index1970,Query!$O86)/AI$9,IF($J$7=2,HLOOKUP(AI$11,index1970,Query!$O86)/AI$9 * HLOOKUP(AI$11,comboutfac,Query!$O86),HLOOKUP(AI$11,index1970,Query!$O86)/AI$9 * HLOOKUP(AI$11,comboutfac,Query!$O86) /AI$8))</f>
        <v>4.4994080288266831</v>
      </c>
      <c r="AJ51" s="120">
        <f ca="1">IF($J$7=1,HLOOKUP(AJ$11,index1970,Query!$O86)/AJ$9,IF($J$7=2,HLOOKUP(AJ$11,index1970,Query!$O86)/AJ$9 * HLOOKUP(AJ$11,comboutfac,Query!$O86),HLOOKUP(AJ$11,index1970,Query!$O86)/AJ$9 * HLOOKUP(AJ$11,comboutfac,Query!$O86) /AJ$8))</f>
        <v>4.323878505550816</v>
      </c>
      <c r="AK51" s="120">
        <f ca="1">IF($J$7=1,HLOOKUP(AK$11,index1970,Query!$O86)/AK$9,IF($J$7=2,HLOOKUP(AK$11,index1970,Query!$O86)/AK$9 * HLOOKUP(AK$11,comboutfac,Query!$O86),HLOOKUP(AK$11,index1970,Query!$O86)/AK$9 * HLOOKUP(AK$11,comboutfac,Query!$O86) /AK$8))</f>
        <v>4.473102095235987</v>
      </c>
      <c r="AL51" s="120">
        <f ca="1">IF($J$7=1,HLOOKUP(AL$11,index1970,Query!$O86)/AL$9,IF($J$7=2,HLOOKUP(AL$11,index1970,Query!$O86)/AL$9 * HLOOKUP(AL$11,comboutfac,Query!$O86),HLOOKUP(AL$11,index1970,Query!$O86)/AL$9 * HLOOKUP(AL$11,comboutfac,Query!$O86) /AL$8))</f>
        <v>6.4225872591460575</v>
      </c>
      <c r="AM51" s="120">
        <f ca="1">IF($J$7=1,HLOOKUP(AM$11,index1970,Query!$O86)/AM$9,IF($J$7=2,HLOOKUP(AM$11,index1970,Query!$O86)/AM$9 * HLOOKUP(AM$11,comboutfac,Query!$O86),HLOOKUP(AM$11,index1970,Query!$O86)/AM$9 * HLOOKUP(AM$11,comboutfac,Query!$O86) /AM$8))</f>
        <v>4.4462836600560882</v>
      </c>
      <c r="AN51" s="120">
        <f ca="1">IF($J$7=1,HLOOKUP(AN$11,index1970,Query!$O86)/AN$9,IF($J$7=2,HLOOKUP(AN$11,index1970,Query!$O86)/AN$9 * HLOOKUP(AN$11,comboutfac,Query!$O86),HLOOKUP(AN$11,index1970,Query!$O86)/AN$9 * HLOOKUP(AN$11,comboutfac,Query!$O86) /AN$8))</f>
        <v>6.404277591055263</v>
      </c>
      <c r="AO51" s="120">
        <f ca="1">IF($J$7=1,HLOOKUP(AO$11,index1970,Query!$O86)/AO$9,IF($J$7=2,HLOOKUP(AO$11,index1970,Query!$O86)/AO$9 * HLOOKUP(AO$11,comboutfac,Query!$O86),HLOOKUP(AO$11,index1970,Query!$O86)/AO$9 * HLOOKUP(AO$11,comboutfac,Query!$O86) /AO$8))</f>
        <v>4.4592248993302777</v>
      </c>
      <c r="AP51" s="120">
        <f ca="1">IF($J$7=1,HLOOKUP(AP$11,index1970,Query!$O86)/AP$9,IF($J$7=2,HLOOKUP(AP$11,index1970,Query!$O86)/AP$9 * HLOOKUP(AP$11,comboutfac,Query!$O86),HLOOKUP(AP$11,index1970,Query!$O86)/AP$9 * HLOOKUP(AP$11,comboutfac,Query!$O86) /AP$8))</f>
        <v>7.1701038641201933</v>
      </c>
      <c r="AQ51" s="683">
        <f ca="1">IF($J$7=1,HLOOKUP(AQ$11,index1970,Query!$O86)/AQ$9,IF($J$7=2,HLOOKUP(AQ$11,index1970,Query!$O86)/AQ$9 * HLOOKUP(AQ$11,comboutfac,Query!$O86),HLOOKUP(AQ$11,index1970,Query!$O86)/AQ$9 * HLOOKUP(AQ$11,comboutfac,Query!$O86) /AQ$8))</f>
        <v>5.464607437160053</v>
      </c>
      <c r="AR51" s="120">
        <f ca="1">IF($J$7=1,HLOOKUP(AR$11,index1970,Query!$O86)/AR$9,IF($J$7=2,HLOOKUP(AR$11,index1970,Query!$O86)/AR$9 * HLOOKUP(AR$11,comboutfac,Query!$O86),HLOOKUP(AR$11,index1970,Query!$O86)/AR$9 * HLOOKUP(AR$11,comboutfac,Query!$O86) /AR$8))</f>
        <v>5.1297725575624042</v>
      </c>
      <c r="AS51" s="213"/>
    </row>
    <row r="52" spans="1:45" s="122" customFormat="1">
      <c r="A52" s="121">
        <f t="shared" si="7"/>
        <v>2008</v>
      </c>
      <c r="B52" s="120">
        <f ca="1">IF($J$7=1,HLOOKUP(B$11,index1970,Query!$O87)/B$9,IF($J$7=2,HLOOKUP(B$11,index1970,Query!$O87)/B$9 * HLOOKUP(B$11,comboutfac,Query!$O87),HLOOKUP(B$11,index1970,Query!$O87)/B$9 * HLOOKUP(B$11,comboutfac,Query!$O87) /B$8))</f>
        <v>5.2105614327937335</v>
      </c>
      <c r="C52" s="120">
        <f ca="1">IF($J$7=1,HLOOKUP(C$11,index1970,Query!$O87)/C$9,IF($J$7=2,HLOOKUP(C$11,index1970,Query!$O87)/C$9 * HLOOKUP(C$11,comboutfac,Query!$O87),HLOOKUP(C$11,index1970,Query!$O87)/C$9 * HLOOKUP(C$11,comboutfac,Query!$O87) /C$8))</f>
        <v>5.0923203362694442</v>
      </c>
      <c r="D52" s="120">
        <f ca="1">IF($J$7=1,HLOOKUP(D$11,index1970,Query!$O87)/D$9,IF($J$7=2,HLOOKUP(D$11,index1970,Query!$O87)/D$9 * HLOOKUP(D$11,comboutfac,Query!$O87),HLOOKUP(D$11,index1970,Query!$O87)/D$9 * HLOOKUP(D$11,comboutfac,Query!$O87) /D$8))</f>
        <v>5.1144454978835228</v>
      </c>
      <c r="E52" s="120">
        <f ca="1">IF($J$7=1,HLOOKUP(E$11,index1970,Query!$O87)/E$9,IF($J$7=2,HLOOKUP(E$11,index1970,Query!$O87)/E$9 * HLOOKUP(E$11,comboutfac,Query!$O87),HLOOKUP(E$11,index1970,Query!$O87)/E$9 * HLOOKUP(E$11,comboutfac,Query!$O87) /E$8))</f>
        <v>5.4423118196454725</v>
      </c>
      <c r="F52" s="120">
        <f ca="1">IF($J$7=1,HLOOKUP(F$11,index1970,Query!$O87)/F$9,IF($J$7=2,HLOOKUP(F$11,index1970,Query!$O87)/F$9 * HLOOKUP(F$11,comboutfac,Query!$O87),HLOOKUP(F$11,index1970,Query!$O87)/F$9 * HLOOKUP(F$11,comboutfac,Query!$O87) /F$8))</f>
        <v>5.1144454978835228</v>
      </c>
      <c r="G52" s="120">
        <f ca="1">IF($J$7=1,HLOOKUP(G$11,index1970,Query!$O87)/G$9,IF($J$7=2,HLOOKUP(G$11,index1970,Query!$O87)/G$9 * HLOOKUP(G$11,comboutfac,Query!$O87),HLOOKUP(G$11,index1970,Query!$O87)/G$9 * HLOOKUP(G$11,comboutfac,Query!$O87) /G$8))</f>
        <v>5.2665284195814248</v>
      </c>
      <c r="H52" s="120">
        <f ca="1">IF($J$7=1,HLOOKUP(H$11,index1970,Query!$O87)/H$9,IF($J$7=2,HLOOKUP(H$11,index1970,Query!$O87)/H$9 * HLOOKUP(H$11,comboutfac,Query!$O87),HLOOKUP(H$11,index1970,Query!$O87)/H$9 * HLOOKUP(H$11,comboutfac,Query!$O87) /H$8))</f>
        <v>5.1431965101756765</v>
      </c>
      <c r="I52" s="120">
        <f ca="1">IF($J$7=1,HLOOKUP(I$11,index1970,Query!$O87)/I$9,IF($J$7=2,HLOOKUP(I$11,index1970,Query!$O87)/I$9 * HLOOKUP(I$11,comboutfac,Query!$O87),HLOOKUP(I$11,index1970,Query!$O87)/I$9 * HLOOKUP(I$11,comboutfac,Query!$O87) /I$8))</f>
        <v>5.192742182727927</v>
      </c>
      <c r="J52" s="120">
        <f ca="1">IF($J$7=1,HLOOKUP(J$11,index1970,Query!$O87)/J$9,IF($J$7=2,HLOOKUP(J$11,index1970,Query!$O87)/J$9 * HLOOKUP(J$11,comboutfac,Query!$O87),HLOOKUP(J$11,index1970,Query!$O87)/J$9 * HLOOKUP(J$11,comboutfac,Query!$O87) /J$8))</f>
        <v>9.6387443874584431</v>
      </c>
      <c r="K52" s="120">
        <f ca="1">IF($J$7=1,HLOOKUP(K$11,index1970,Query!$O87)/K$9,IF($J$7=2,HLOOKUP(K$11,index1970,Query!$O87)/K$9 * HLOOKUP(K$11,comboutfac,Query!$O87),HLOOKUP(K$11,index1970,Query!$O87)/K$9 * HLOOKUP(K$11,comboutfac,Query!$O87) /K$8))</f>
        <v>7.0235231186701235</v>
      </c>
      <c r="L52" s="120">
        <f ca="1">IF($J$7=1,HLOOKUP(L$11,index1970,Query!$O87)/L$9,IF($J$7=2,HLOOKUP(L$11,index1970,Query!$O87)/L$9 * HLOOKUP(L$11,comboutfac,Query!$O87),HLOOKUP(L$11,index1970,Query!$O87)/L$9 * HLOOKUP(L$11,comboutfac,Query!$O87) /L$8))</f>
        <v>5.3043549073564114</v>
      </c>
      <c r="M52" s="120">
        <f ca="1">IF($J$7=1,HLOOKUP(M$11,index1970,Query!$O87)/M$9,IF($J$7=2,HLOOKUP(M$11,index1970,Query!$O87)/M$9 * HLOOKUP(M$11,comboutfac,Query!$O87),HLOOKUP(M$11,index1970,Query!$O87)/M$9 * HLOOKUP(M$11,comboutfac,Query!$O87) /M$8))</f>
        <v>4.4677595867368529</v>
      </c>
      <c r="N52" s="120">
        <f ca="1">IF($J$7=1,HLOOKUP(N$11,index1970,Query!$O87)/N$9,IF($J$7=2,HLOOKUP(N$11,index1970,Query!$O87)/N$9 * HLOOKUP(N$11,comboutfac,Query!$O87),HLOOKUP(N$11,index1970,Query!$O87)/N$9 * HLOOKUP(N$11,comboutfac,Query!$O87) /N$8))</f>
        <v>5.1420601461802633</v>
      </c>
      <c r="O52" s="120">
        <f ca="1">IF($J$7=1,HLOOKUP(O$11,index1970,Query!$O87)/O$9,IF($J$7=2,HLOOKUP(O$11,index1970,Query!$O87)/O$9 * HLOOKUP(O$11,comboutfac,Query!$O87),HLOOKUP(O$11,index1970,Query!$O87)/O$9 * HLOOKUP(O$11,comboutfac,Query!$O87) /O$8))</f>
        <v>5.1415731889393781</v>
      </c>
      <c r="P52" s="120">
        <f ca="1">IF($J$7=1,HLOOKUP(P$11,index1970,Query!$O87)/P$9,IF($J$7=2,HLOOKUP(P$11,index1970,Query!$O87)/P$9 * HLOOKUP(P$11,comboutfac,Query!$O87),HLOOKUP(P$11,index1970,Query!$O87)/P$9 * HLOOKUP(P$11,comboutfac,Query!$O87) /P$8))</f>
        <v>6.8592623784446749</v>
      </c>
      <c r="Q52" s="120">
        <f ca="1">IF($J$7=1,HLOOKUP(Q$11,index1970,Query!$O87)/Q$9,IF($J$7=2,HLOOKUP(Q$11,index1970,Query!$O87)/Q$9 * HLOOKUP(Q$11,comboutfac,Query!$O87),HLOOKUP(Q$11,index1970,Query!$O87)/Q$9 * HLOOKUP(Q$11,comboutfac,Query!$O87) /Q$8))</f>
        <v>4.5450228616906081</v>
      </c>
      <c r="R52" s="120">
        <f ca="1">IF($J$7=1,HLOOKUP(R$11,index1970,Query!$O87)/R$9,IF($J$7=2,HLOOKUP(R$11,index1970,Query!$O87)/R$9 * HLOOKUP(R$11,comboutfac,Query!$O87),HLOOKUP(R$11,index1970,Query!$O87)/R$9 * HLOOKUP(R$11,comboutfac,Query!$O87) /R$8))</f>
        <v>6.7197752798509436</v>
      </c>
      <c r="S52" s="120">
        <f ca="1">IF($J$7=1,HLOOKUP(S$11,index1970,Query!$O87)/S$9,IF($J$7=2,HLOOKUP(S$11,index1970,Query!$O87)/S$9 * HLOOKUP(S$11,comboutfac,Query!$O87),HLOOKUP(S$11,index1970,Query!$O87)/S$9 * HLOOKUP(S$11,comboutfac,Query!$O87) /S$8))</f>
        <v>4.539838329019199</v>
      </c>
      <c r="T52" s="120">
        <f ca="1">IF($J$7=1,HLOOKUP(T$11,index1970,Query!$O87)/T$9,IF($J$7=2,HLOOKUP(T$11,index1970,Query!$O87)/T$9 * HLOOKUP(T$11,comboutfac,Query!$O87),HLOOKUP(T$11,index1970,Query!$O87)/T$9 * HLOOKUP(T$11,comboutfac,Query!$O87) /T$8))</f>
        <v>4.4269578255131155</v>
      </c>
      <c r="U52" s="120">
        <f ca="1">IF($J$7=1,HLOOKUP(U$11,index1970,Query!$O87)/U$9,IF($J$7=2,HLOOKUP(U$11,index1970,Query!$O87)/U$9 * HLOOKUP(U$11,comboutfac,Query!$O87),HLOOKUP(U$11,index1970,Query!$O87)/U$9 * HLOOKUP(U$11,comboutfac,Query!$O87) /U$8))</f>
        <v>5.4564290879838149</v>
      </c>
      <c r="V52" s="120">
        <f ca="1">IF($J$7=1,HLOOKUP(V$11,index1970,Query!$O87)/V$9,IF($J$7=2,HLOOKUP(V$11,index1970,Query!$O87)/V$9 * HLOOKUP(V$11,comboutfac,Query!$O87),HLOOKUP(V$11,index1970,Query!$O87)/V$9 * HLOOKUP(V$11,comboutfac,Query!$O87) /V$8))</f>
        <v>5.1569719669507252</v>
      </c>
      <c r="W52" s="120">
        <f ca="1">IF($J$7=1,HLOOKUP(W$11,index1970,Query!$O87)/W$9,IF($J$7=2,HLOOKUP(W$11,index1970,Query!$O87)/W$9 * HLOOKUP(W$11,comboutfac,Query!$O87),HLOOKUP(W$11,index1970,Query!$O87)/W$9 * HLOOKUP(W$11,comboutfac,Query!$O87) /W$8))</f>
        <v>5.4799775696753406</v>
      </c>
      <c r="X52" s="120">
        <f ca="1">IF($J$7=1,HLOOKUP(X$11,index1970,Query!$O87)/X$9,IF($J$7=2,HLOOKUP(X$11,index1970,Query!$O87)/X$9 * HLOOKUP(X$11,comboutfac,Query!$O87),HLOOKUP(X$11,index1970,Query!$O87)/X$9 * HLOOKUP(X$11,comboutfac,Query!$O87) /X$8))</f>
        <v>5.1748973611334108</v>
      </c>
      <c r="Y52" s="120">
        <f ca="1">IF($J$7=1,HLOOKUP(Y$11,index1970,Query!$O87)/Y$9,IF($J$7=2,HLOOKUP(Y$11,index1970,Query!$O87)/Y$9 * HLOOKUP(Y$11,comboutfac,Query!$O87),HLOOKUP(Y$11,index1970,Query!$O87)/Y$9 * HLOOKUP(Y$11,comboutfac,Query!$O87) /Y$8))</f>
        <v>5.2765730048495083</v>
      </c>
      <c r="Z52" s="120">
        <f ca="1">IF($J$7=1,HLOOKUP(Z$11,index1970,Query!$O87)/Z$9,IF($J$7=2,HLOOKUP(Z$11,index1970,Query!$O87)/Z$9 * HLOOKUP(Z$11,comboutfac,Query!$O87),HLOOKUP(Z$11,index1970,Query!$O87)/Z$9 * HLOOKUP(Z$11,comboutfac,Query!$O87) /Z$8))</f>
        <v>6.2216102832612954</v>
      </c>
      <c r="AA52" s="120">
        <f ca="1">IF($J$7=1,HLOOKUP(AA$11,index1970,Query!$O87)/AA$9,IF($J$7=2,HLOOKUP(AA$11,index1970,Query!$O87)/AA$9 * HLOOKUP(AA$11,comboutfac,Query!$O87),HLOOKUP(AA$11,index1970,Query!$O87)/AA$9 * HLOOKUP(AA$11,comboutfac,Query!$O87) /AA$8))</f>
        <v>5.1482614527617026</v>
      </c>
      <c r="AB52" s="120">
        <f ca="1">IF($J$7=1,HLOOKUP(AB$11,index1970,Query!$O87)/AB$9,IF($J$7=2,HLOOKUP(AB$11,index1970,Query!$O87)/AB$9 * HLOOKUP(AB$11,comboutfac,Query!$O87),HLOOKUP(AB$11,index1970,Query!$O87)/AB$9 * HLOOKUP(AB$11,comboutfac,Query!$O87) /AB$8))</f>
        <v>5.255344086747451</v>
      </c>
      <c r="AC52" s="120">
        <f ca="1">IF($J$7=1,HLOOKUP(AC$11,index1970,Query!$O87)/AC$9,IF($J$7=2,HLOOKUP(AC$11,index1970,Query!$O87)/AC$9 * HLOOKUP(AC$11,comboutfac,Query!$O87),HLOOKUP(AC$11,index1970,Query!$O87)/AC$9 * HLOOKUP(AC$11,comboutfac,Query!$O87) /AC$8))</f>
        <v>6.3489307425456278</v>
      </c>
      <c r="AD52" s="120">
        <f ca="1">IF($J$7=1,HLOOKUP(AD$11,index1970,Query!$O87)/AD$9,IF($J$7=2,HLOOKUP(AD$11,index1970,Query!$O87)/AD$9 * HLOOKUP(AD$11,comboutfac,Query!$O87),HLOOKUP(AD$11,index1970,Query!$O87)/AD$9 * HLOOKUP(AD$11,comboutfac,Query!$O87) /AD$8))</f>
        <v>5.1389251894259393</v>
      </c>
      <c r="AE52" s="120">
        <f ca="1">IF($J$7=1,HLOOKUP(AE$11,index1970,Query!$O87)/AE$9,IF($J$7=2,HLOOKUP(AE$11,index1970,Query!$O87)/AE$9 * HLOOKUP(AE$11,comboutfac,Query!$O87),HLOOKUP(AE$11,index1970,Query!$O87)/AE$9 * HLOOKUP(AE$11,comboutfac,Query!$O87) /AE$8))</f>
        <v>4.4447049700427739</v>
      </c>
      <c r="AF52" s="120">
        <f ca="1">IF($J$7=1,HLOOKUP(AF$11,index1970,Query!$O87)/AF$9,IF($J$7=2,HLOOKUP(AF$11,index1970,Query!$O87)/AF$9 * HLOOKUP(AF$11,comboutfac,Query!$O87),HLOOKUP(AF$11,index1970,Query!$O87)/AF$9 * HLOOKUP(AF$11,comboutfac,Query!$O87) /AF$8))</f>
        <v>7.21537313747125</v>
      </c>
      <c r="AG52" s="120">
        <f ca="1">IF($J$7=1,HLOOKUP(AG$11,index1970,Query!$O87)/AG$9,IF($J$7=2,HLOOKUP(AG$11,index1970,Query!$O87)/AG$9 * HLOOKUP(AG$11,comboutfac,Query!$O87),HLOOKUP(AG$11,index1970,Query!$O87)/AG$9 * HLOOKUP(AG$11,comboutfac,Query!$O87) /AG$8))</f>
        <v>5.2096039425136</v>
      </c>
      <c r="AH52" s="120">
        <f ca="1">IF($J$7=1,HLOOKUP(AH$11,index1970,Query!$O87)/AH$9,IF($J$7=2,HLOOKUP(AH$11,index1970,Query!$O87)/AH$9 * HLOOKUP(AH$11,comboutfac,Query!$O87),HLOOKUP(AH$11,index1970,Query!$O87)/AH$9 * HLOOKUP(AH$11,comboutfac,Query!$O87) /AH$8))</f>
        <v>4.4339718747831034</v>
      </c>
      <c r="AI52" s="120">
        <f ca="1">IF($J$7=1,HLOOKUP(AI$11,index1970,Query!$O87)/AI$9,IF($J$7=2,HLOOKUP(AI$11,index1970,Query!$O87)/AI$9 * HLOOKUP(AI$11,comboutfac,Query!$O87),HLOOKUP(AI$11,index1970,Query!$O87)/AI$9 * HLOOKUP(AI$11,comboutfac,Query!$O87) /AI$8))</f>
        <v>4.581865948944718</v>
      </c>
      <c r="AJ52" s="120">
        <f ca="1">IF($J$7=1,HLOOKUP(AJ$11,index1970,Query!$O87)/AJ$9,IF($J$7=2,HLOOKUP(AJ$11,index1970,Query!$O87)/AJ$9 * HLOOKUP(AJ$11,comboutfac,Query!$O87),HLOOKUP(AJ$11,index1970,Query!$O87)/AJ$9 * HLOOKUP(AJ$11,comboutfac,Query!$O87) /AJ$8))</f>
        <v>4.4053246177183523</v>
      </c>
      <c r="AK52" s="120">
        <f ca="1">IF($J$7=1,HLOOKUP(AK$11,index1970,Query!$O87)/AK$9,IF($J$7=2,HLOOKUP(AK$11,index1970,Query!$O87)/AK$9 * HLOOKUP(AK$11,comboutfac,Query!$O87),HLOOKUP(AK$11,index1970,Query!$O87)/AK$9 * HLOOKUP(AK$11,comboutfac,Query!$O87) /AK$8))</f>
        <v>4.5546974878451172</v>
      </c>
      <c r="AL52" s="120">
        <f ca="1">IF($J$7=1,HLOOKUP(AL$11,index1970,Query!$O87)/AL$9,IF($J$7=2,HLOOKUP(AL$11,index1970,Query!$O87)/AL$9 * HLOOKUP(AL$11,comboutfac,Query!$O87),HLOOKUP(AL$11,index1970,Query!$O87)/AL$9 * HLOOKUP(AL$11,comboutfac,Query!$O87) /AL$8))</f>
        <v>6.6202406691483686</v>
      </c>
      <c r="AM52" s="120">
        <f ca="1">IF($J$7=1,HLOOKUP(AM$11,index1970,Query!$O87)/AM$9,IF($J$7=2,HLOOKUP(AM$11,index1970,Query!$O87)/AM$9 * HLOOKUP(AM$11,comboutfac,Query!$O87),HLOOKUP(AM$11,index1970,Query!$O87)/AM$9 * HLOOKUP(AM$11,comboutfac,Query!$O87) /AM$8))</f>
        <v>4.5443276061933497</v>
      </c>
      <c r="AN52" s="120">
        <f ca="1">IF($J$7=1,HLOOKUP(AN$11,index1970,Query!$O87)/AN$9,IF($J$7=2,HLOOKUP(AN$11,index1970,Query!$O87)/AN$9 * HLOOKUP(AN$11,comboutfac,Query!$O87),HLOOKUP(AN$11,index1970,Query!$O87)/AN$9 * HLOOKUP(AN$11,comboutfac,Query!$O87) /AN$8))</f>
        <v>6.6012688841459397</v>
      </c>
      <c r="AO52" s="120">
        <f ca="1">IF($J$7=1,HLOOKUP(AO$11,index1970,Query!$O87)/AO$9,IF($J$7=2,HLOOKUP(AO$11,index1970,Query!$O87)/AO$9 * HLOOKUP(AO$11,comboutfac,Query!$O87),HLOOKUP(AO$11,index1970,Query!$O87)/AO$9 * HLOOKUP(AO$11,comboutfac,Query!$O87) /AO$8))</f>
        <v>4.5546134552196573</v>
      </c>
      <c r="AP52" s="120">
        <f ca="1">IF($J$7=1,HLOOKUP(AP$11,index1970,Query!$O87)/AP$9,IF($J$7=2,HLOOKUP(AP$11,index1970,Query!$O87)/AP$9 * HLOOKUP(AP$11,comboutfac,Query!$O87),HLOOKUP(AP$11,index1970,Query!$O87)/AP$9 * HLOOKUP(AP$11,comboutfac,Query!$O87) /AP$8))</f>
        <v>7.285452860363395</v>
      </c>
      <c r="AQ52" s="683">
        <f ca="1">IF($J$7=1,HLOOKUP(AQ$11,index1970,Query!$O87)/AQ$9,IF($J$7=2,HLOOKUP(AQ$11,index1970,Query!$O87)/AQ$9 * HLOOKUP(AQ$11,comboutfac,Query!$O87),HLOOKUP(AQ$11,index1970,Query!$O87)/AQ$9 * HLOOKUP(AQ$11,comboutfac,Query!$O87) /AQ$8))</f>
        <v>5.6507331727007815</v>
      </c>
      <c r="AR52" s="120">
        <f ca="1">IF($J$7=1,HLOOKUP(AR$11,index1970,Query!$O87)/AR$9,IF($J$7=2,HLOOKUP(AR$11,index1970,Query!$O87)/AR$9 * HLOOKUP(AR$11,comboutfac,Query!$O87),HLOOKUP(AR$11,index1970,Query!$O87)/AR$9 * HLOOKUP(AR$11,comboutfac,Query!$O87) /AR$8))</f>
        <v>5.2109434507635672</v>
      </c>
      <c r="AS52" s="213"/>
    </row>
    <row r="53" spans="1:45" s="122" customFormat="1">
      <c r="A53" s="121">
        <f t="shared" si="7"/>
        <v>2009</v>
      </c>
      <c r="B53" s="120">
        <f ca="1">IF($J$7=1,HLOOKUP(B$11,index1970,Query!$O88)/B$9,IF($J$7=2,HLOOKUP(B$11,index1970,Query!$O88)/B$9 * HLOOKUP(B$11,comboutfac,Query!$O88),HLOOKUP(B$11,index1970,Query!$O88)/B$9 * HLOOKUP(B$11,comboutfac,Query!$O88) /B$8))</f>
        <v>5.2831444599631627</v>
      </c>
      <c r="C53" s="120">
        <f ca="1">IF($J$7=1,HLOOKUP(C$11,index1970,Query!$O88)/C$9,IF($J$7=2,HLOOKUP(C$11,index1970,Query!$O88)/C$9 * HLOOKUP(C$11,comboutfac,Query!$O88),HLOOKUP(C$11,index1970,Query!$O88)/C$9 * HLOOKUP(C$11,comboutfac,Query!$O88) /C$8))</f>
        <v>5.1538952707959629</v>
      </c>
      <c r="D53" s="120">
        <f ca="1">IF($J$7=1,HLOOKUP(D$11,index1970,Query!$O88)/D$9,IF($J$7=2,HLOOKUP(D$11,index1970,Query!$O88)/D$9 * HLOOKUP(D$11,comboutfac,Query!$O88),HLOOKUP(D$11,index1970,Query!$O88)/D$9 * HLOOKUP(D$11,comboutfac,Query!$O88) /D$8))</f>
        <v>5.1511229943857408</v>
      </c>
      <c r="E53" s="120">
        <f ca="1">IF($J$7=1,HLOOKUP(E$11,index1970,Query!$O88)/E$9,IF($J$7=2,HLOOKUP(E$11,index1970,Query!$O88)/E$9 * HLOOKUP(E$11,comboutfac,Query!$O88),HLOOKUP(E$11,index1970,Query!$O88)/E$9 * HLOOKUP(E$11,comboutfac,Query!$O88) /E$8))</f>
        <v>5.6492588753062662</v>
      </c>
      <c r="F53" s="120">
        <f ca="1">IF($J$7=1,HLOOKUP(F$11,index1970,Query!$O88)/F$9,IF($J$7=2,HLOOKUP(F$11,index1970,Query!$O88)/F$9 * HLOOKUP(F$11,comboutfac,Query!$O88),HLOOKUP(F$11,index1970,Query!$O88)/F$9 * HLOOKUP(F$11,comboutfac,Query!$O88) /F$8))</f>
        <v>5.1511229943857408</v>
      </c>
      <c r="G53" s="120">
        <f ca="1">IF($J$7=1,HLOOKUP(G$11,index1970,Query!$O88)/G$9,IF($J$7=2,HLOOKUP(G$11,index1970,Query!$O88)/G$9 * HLOOKUP(G$11,comboutfac,Query!$O88),HLOOKUP(G$11,index1970,Query!$O88)/G$9 * HLOOKUP(G$11,comboutfac,Query!$O88) /G$8))</f>
        <v>5.3490010640849741</v>
      </c>
      <c r="H53" s="120">
        <f ca="1">IF($J$7=1,HLOOKUP(H$11,index1970,Query!$O88)/H$9,IF($J$7=2,HLOOKUP(H$11,index1970,Query!$O88)/H$9 * HLOOKUP(H$11,comboutfac,Query!$O88),HLOOKUP(H$11,index1970,Query!$O88)/H$9 * HLOOKUP(H$11,comboutfac,Query!$O88) /H$8))</f>
        <v>5.2141167920598548</v>
      </c>
      <c r="I53" s="120">
        <f ca="1">IF($J$7=1,HLOOKUP(I$11,index1970,Query!$O88)/I$9,IF($J$7=2,HLOOKUP(I$11,index1970,Query!$O88)/I$9 * HLOOKUP(I$11,comboutfac,Query!$O88),HLOOKUP(I$11,index1970,Query!$O88)/I$9 * HLOOKUP(I$11,comboutfac,Query!$O88) /I$8))</f>
        <v>5.2819422433741714</v>
      </c>
      <c r="J53" s="120">
        <f ca="1">IF($J$7=1,HLOOKUP(J$11,index1970,Query!$O88)/J$9,IF($J$7=2,HLOOKUP(J$11,index1970,Query!$O88)/J$9 * HLOOKUP(J$11,comboutfac,Query!$O88),HLOOKUP(J$11,index1970,Query!$O88)/J$9 * HLOOKUP(J$11,comboutfac,Query!$O88) /J$8))</f>
        <v>6.6314561385714086</v>
      </c>
      <c r="K53" s="120">
        <f ca="1">IF($J$7=1,HLOOKUP(K$11,index1970,Query!$O88)/K$9,IF($J$7=2,HLOOKUP(K$11,index1970,Query!$O88)/K$9 * HLOOKUP(K$11,comboutfac,Query!$O88),HLOOKUP(K$11,index1970,Query!$O88)/K$9 * HLOOKUP(K$11,comboutfac,Query!$O88) /K$8))</f>
        <v>7.290596648806253</v>
      </c>
      <c r="L53" s="120">
        <f ca="1">IF($J$7=1,HLOOKUP(L$11,index1970,Query!$O88)/L$9,IF($J$7=2,HLOOKUP(L$11,index1970,Query!$O88)/L$9 * HLOOKUP(L$11,comboutfac,Query!$O88),HLOOKUP(L$11,index1970,Query!$O88)/L$9 * HLOOKUP(L$11,comboutfac,Query!$O88) /L$8))</f>
        <v>5.4009621301493755</v>
      </c>
      <c r="M53" s="120">
        <f ca="1">IF($J$7=1,HLOOKUP(M$11,index1970,Query!$O88)/M$9,IF($J$7=2,HLOOKUP(M$11,index1970,Query!$O88)/M$9 * HLOOKUP(M$11,comboutfac,Query!$O88),HLOOKUP(M$11,index1970,Query!$O88)/M$9 * HLOOKUP(M$11,comboutfac,Query!$O88) /M$8))</f>
        <v>4.5547779691804973</v>
      </c>
      <c r="N53" s="120">
        <f ca="1">IF($J$7=1,HLOOKUP(N$11,index1970,Query!$O88)/N$9,IF($J$7=2,HLOOKUP(N$11,index1970,Query!$O88)/N$9 * HLOOKUP(N$11,comboutfac,Query!$O88),HLOOKUP(N$11,index1970,Query!$O88)/N$9 * HLOOKUP(N$11,comboutfac,Query!$O88) /N$8))</f>
        <v>5.2125134898075629</v>
      </c>
      <c r="O53" s="120">
        <f ca="1">IF($J$7=1,HLOOKUP(O$11,index1970,Query!$O88)/O$9,IF($J$7=2,HLOOKUP(O$11,index1970,Query!$O88)/O$9 * HLOOKUP(O$11,comboutfac,Query!$O88),HLOOKUP(O$11,index1970,Query!$O88)/O$9 * HLOOKUP(O$11,comboutfac,Query!$O88) /O$8))</f>
        <v>5.2129514286057042</v>
      </c>
      <c r="P53" s="120">
        <f ca="1">IF($J$7=1,HLOOKUP(P$11,index1970,Query!$O88)/P$9,IF($J$7=2,HLOOKUP(P$11,index1970,Query!$O88)/P$9 * HLOOKUP(P$11,comboutfac,Query!$O88),HLOOKUP(P$11,index1970,Query!$O88)/P$9 * HLOOKUP(P$11,comboutfac,Query!$O88) /P$8))</f>
        <v>7.1125256483493455</v>
      </c>
      <c r="Q53" s="120">
        <f ca="1">IF($J$7=1,HLOOKUP(Q$11,index1970,Query!$O88)/Q$9,IF($J$7=2,HLOOKUP(Q$11,index1970,Query!$O88)/Q$9 * HLOOKUP(Q$11,comboutfac,Query!$O88),HLOOKUP(Q$11,index1970,Query!$O88)/Q$9 * HLOOKUP(Q$11,comboutfac,Query!$O88) /Q$8))</f>
        <v>4.6115185134019541</v>
      </c>
      <c r="R53" s="120">
        <f ca="1">IF($J$7=1,HLOOKUP(R$11,index1970,Query!$O88)/R$9,IF($J$7=2,HLOOKUP(R$11,index1970,Query!$O88)/R$9 * HLOOKUP(R$11,comboutfac,Query!$O88),HLOOKUP(R$11,index1970,Query!$O88)/R$9 * HLOOKUP(R$11,comboutfac,Query!$O88) /R$8))</f>
        <v>6.9694690259633312</v>
      </c>
      <c r="S53" s="120">
        <f ca="1">IF($J$7=1,HLOOKUP(S$11,index1970,Query!$O88)/S$9,IF($J$7=2,HLOOKUP(S$11,index1970,Query!$O88)/S$9 * HLOOKUP(S$11,comboutfac,Query!$O88),HLOOKUP(S$11,index1970,Query!$O88)/S$9 * HLOOKUP(S$11,comboutfac,Query!$O88) /S$8))</f>
        <v>4.6075797726383385</v>
      </c>
      <c r="T53" s="120">
        <f ca="1">IF($J$7=1,HLOOKUP(T$11,index1970,Query!$O88)/T$9,IF($J$7=2,HLOOKUP(T$11,index1970,Query!$O88)/T$9 * HLOOKUP(T$11,comboutfac,Query!$O88),HLOOKUP(T$11,index1970,Query!$O88)/T$9 * HLOOKUP(T$11,comboutfac,Query!$O88) /T$8))</f>
        <v>4.4880648921246777</v>
      </c>
      <c r="U53" s="120">
        <f ca="1">IF($J$7=1,HLOOKUP(U$11,index1970,Query!$O88)/U$9,IF($J$7=2,HLOOKUP(U$11,index1970,Query!$O88)/U$9 * HLOOKUP(U$11,comboutfac,Query!$O88),HLOOKUP(U$11,index1970,Query!$O88)/U$9 * HLOOKUP(U$11,comboutfac,Query!$O88) /U$8))</f>
        <v>5.6242416057107434</v>
      </c>
      <c r="V53" s="120">
        <f ca="1">IF($J$7=1,HLOOKUP(V$11,index1970,Query!$O88)/V$9,IF($J$7=2,HLOOKUP(V$11,index1970,Query!$O88)/V$9 * HLOOKUP(V$11,comboutfac,Query!$O88),HLOOKUP(V$11,index1970,Query!$O88)/V$9 * HLOOKUP(V$11,comboutfac,Query!$O88) /V$8))</f>
        <v>5.2205315819059326</v>
      </c>
      <c r="W53" s="120">
        <f ca="1">IF($J$7=1,HLOOKUP(W$11,index1970,Query!$O88)/W$9,IF($J$7=2,HLOOKUP(W$11,index1970,Query!$O88)/W$9 * HLOOKUP(W$11,comboutfac,Query!$O88),HLOOKUP(W$11,index1970,Query!$O88)/W$9 * HLOOKUP(W$11,comboutfac,Query!$O88) /W$8))</f>
        <v>5.5528635170182383</v>
      </c>
      <c r="X53" s="120">
        <f ca="1">IF($J$7=1,HLOOKUP(X$11,index1970,Query!$O88)/X$9,IF($J$7=2,HLOOKUP(X$11,index1970,Query!$O88)/X$9 * HLOOKUP(X$11,comboutfac,Query!$O88),HLOOKUP(X$11,index1970,Query!$O88)/X$9 * HLOOKUP(X$11,comboutfac,Query!$O88) /X$8))</f>
        <v>5.234769233617353</v>
      </c>
      <c r="Y53" s="120">
        <f ca="1">IF($J$7=1,HLOOKUP(Y$11,index1970,Query!$O88)/Y$9,IF($J$7=2,HLOOKUP(Y$11,index1970,Query!$O88)/Y$9 * HLOOKUP(Y$11,comboutfac,Query!$O88),HLOOKUP(Y$11,index1970,Query!$O88)/Y$9 * HLOOKUP(Y$11,comboutfac,Query!$O88) /Y$8))</f>
        <v>5.3431700676063425</v>
      </c>
      <c r="Z53" s="120">
        <f ca="1">IF($J$7=1,HLOOKUP(Z$11,index1970,Query!$O88)/Z$9,IF($J$7=2,HLOOKUP(Z$11,index1970,Query!$O88)/Z$9 * HLOOKUP(Z$11,comboutfac,Query!$O88),HLOOKUP(Z$11,index1970,Query!$O88)/Z$9 * HLOOKUP(Z$11,comboutfac,Query!$O88) /Z$8))</f>
        <v>6.2540301185125031</v>
      </c>
      <c r="AA53" s="120">
        <f ca="1">IF($J$7=1,HLOOKUP(AA$11,index1970,Query!$O88)/AA$9,IF($J$7=2,HLOOKUP(AA$11,index1970,Query!$O88)/AA$9 * HLOOKUP(AA$11,comboutfac,Query!$O88),HLOOKUP(AA$11,index1970,Query!$O88)/AA$9 * HLOOKUP(AA$11,comboutfac,Query!$O88) /AA$8))</f>
        <v>5.2163525084423465</v>
      </c>
      <c r="AB53" s="120">
        <f ca="1">IF($J$7=1,HLOOKUP(AB$11,index1970,Query!$O88)/AB$9,IF($J$7=2,HLOOKUP(AB$11,index1970,Query!$O88)/AB$9 * HLOOKUP(AB$11,comboutfac,Query!$O88),HLOOKUP(AB$11,index1970,Query!$O88)/AB$9 * HLOOKUP(AB$11,comboutfac,Query!$O88) /AB$8))</f>
        <v>5.3812027934854392</v>
      </c>
      <c r="AC53" s="120">
        <f ca="1">IF($J$7=1,HLOOKUP(AC$11,index1970,Query!$O88)/AC$9,IF($J$7=2,HLOOKUP(AC$11,index1970,Query!$O88)/AC$9 * HLOOKUP(AC$11,comboutfac,Query!$O88),HLOOKUP(AC$11,index1970,Query!$O88)/AC$9 * HLOOKUP(AC$11,comboutfac,Query!$O88) /AC$8))</f>
        <v>6.1743673457961794</v>
      </c>
      <c r="AD53" s="120">
        <f ca="1">IF($J$7=1,HLOOKUP(AD$11,index1970,Query!$O88)/AD$9,IF($J$7=2,HLOOKUP(AD$11,index1970,Query!$O88)/AD$9 * HLOOKUP(AD$11,comboutfac,Query!$O88),HLOOKUP(AD$11,index1970,Query!$O88)/AD$9 * HLOOKUP(AD$11,comboutfac,Query!$O88) /AD$8))</f>
        <v>5.2058412743025162</v>
      </c>
      <c r="AE53" s="120">
        <f ca="1">IF($J$7=1,HLOOKUP(AE$11,index1970,Query!$O88)/AE$9,IF($J$7=2,HLOOKUP(AE$11,index1970,Query!$O88)/AE$9 * HLOOKUP(AE$11,comboutfac,Query!$O88),HLOOKUP(AE$11,index1970,Query!$O88)/AE$9 * HLOOKUP(AE$11,comboutfac,Query!$O88) /AE$8))</f>
        <v>4.5032979674248805</v>
      </c>
      <c r="AF53" s="120">
        <f ca="1">IF($J$7=1,HLOOKUP(AF$11,index1970,Query!$O88)/AF$9,IF($J$7=2,HLOOKUP(AF$11,index1970,Query!$O88)/AF$9 * HLOOKUP(AF$11,comboutfac,Query!$O88),HLOOKUP(AF$11,index1970,Query!$O88)/AF$9 * HLOOKUP(AF$11,comboutfac,Query!$O88) /AF$8))</f>
        <v>7.317695656502722</v>
      </c>
      <c r="AG53" s="120">
        <f ca="1">IF($J$7=1,HLOOKUP(AG$11,index1970,Query!$O88)/AG$9,IF($J$7=2,HLOOKUP(AG$11,index1970,Query!$O88)/AG$9 * HLOOKUP(AG$11,comboutfac,Query!$O88),HLOOKUP(AG$11,index1970,Query!$O88)/AG$9 * HLOOKUP(AG$11,comboutfac,Query!$O88) /AG$8))</f>
        <v>5.280269553368985</v>
      </c>
      <c r="AH53" s="120">
        <f ca="1">IF($J$7=1,HLOOKUP(AH$11,index1970,Query!$O88)/AH$9,IF($J$7=2,HLOOKUP(AH$11,index1970,Query!$O88)/AH$9 * HLOOKUP(AH$11,comboutfac,Query!$O88),HLOOKUP(AH$11,index1970,Query!$O88)/AH$9 * HLOOKUP(AH$11,comboutfac,Query!$O88) /AH$8))</f>
        <v>4.493345413180565</v>
      </c>
      <c r="AI53" s="120">
        <f ca="1">IF($J$7=1,HLOOKUP(AI$11,index1970,Query!$O88)/AI$9,IF($J$7=2,HLOOKUP(AI$11,index1970,Query!$O88)/AI$9 * HLOOKUP(AI$11,comboutfac,Query!$O88),HLOOKUP(AI$11,index1970,Query!$O88)/AI$9 * HLOOKUP(AI$11,comboutfac,Query!$O88) /AI$8))</f>
        <v>4.6413924500418009</v>
      </c>
      <c r="AJ53" s="120">
        <f ca="1">IF($J$7=1,HLOOKUP(AJ$11,index1970,Query!$O88)/AJ$9,IF($J$7=2,HLOOKUP(AJ$11,index1970,Query!$O88)/AJ$9 * HLOOKUP(AJ$11,comboutfac,Query!$O88),HLOOKUP(AJ$11,index1970,Query!$O88)/AJ$9 * HLOOKUP(AJ$11,comboutfac,Query!$O88) /AJ$8))</f>
        <v>4.4602936750719477</v>
      </c>
      <c r="AK53" s="120">
        <f ca="1">IF($J$7=1,HLOOKUP(AK$11,index1970,Query!$O88)/AK$9,IF($J$7=2,HLOOKUP(AK$11,index1970,Query!$O88)/AK$9 * HLOOKUP(AK$11,comboutfac,Query!$O88),HLOOKUP(AK$11,index1970,Query!$O88)/AK$9 * HLOOKUP(AK$11,comboutfac,Query!$O88) /AK$8))</f>
        <v>4.6131821897711989</v>
      </c>
      <c r="AL53" s="120">
        <f ca="1">IF($J$7=1,HLOOKUP(AL$11,index1970,Query!$O88)/AL$9,IF($J$7=2,HLOOKUP(AL$11,index1970,Query!$O88)/AL$9 * HLOOKUP(AL$11,comboutfac,Query!$O88),HLOOKUP(AL$11,index1970,Query!$O88)/AL$9 * HLOOKUP(AL$11,comboutfac,Query!$O88) /AL$8))</f>
        <v>6.8580149689340919</v>
      </c>
      <c r="AM53" s="120">
        <f ca="1">IF($J$7=1,HLOOKUP(AM$11,index1970,Query!$O88)/AM$9,IF($J$7=2,HLOOKUP(AM$11,index1970,Query!$O88)/AM$9 * HLOOKUP(AM$11,comboutfac,Query!$O88),HLOOKUP(AM$11,index1970,Query!$O88)/AM$9 * HLOOKUP(AM$11,comboutfac,Query!$O88) /AM$8))</f>
        <v>4.6139235351181487</v>
      </c>
      <c r="AN53" s="120">
        <f ca="1">IF($J$7=1,HLOOKUP(AN$11,index1970,Query!$O88)/AN$9,IF($J$7=2,HLOOKUP(AN$11,index1970,Query!$O88)/AN$9 * HLOOKUP(AN$11,comboutfac,Query!$O88),HLOOKUP(AN$11,index1970,Query!$O88)/AN$9 * HLOOKUP(AN$11,comboutfac,Query!$O88) /AN$8))</f>
        <v>6.8365108108566144</v>
      </c>
      <c r="AO53" s="120">
        <f ca="1">IF($J$7=1,HLOOKUP(AO$11,index1970,Query!$O88)/AO$9,IF($J$7=2,HLOOKUP(AO$11,index1970,Query!$O88)/AO$9 * HLOOKUP(AO$11,comboutfac,Query!$O88),HLOOKUP(AO$11,index1970,Query!$O88)/AO$9 * HLOOKUP(AO$11,comboutfac,Query!$O88) /AO$8))</f>
        <v>4.6221774797113975</v>
      </c>
      <c r="AP53" s="120">
        <f ca="1">IF($J$7=1,HLOOKUP(AP$11,index1970,Query!$O88)/AP$9,IF($J$7=2,HLOOKUP(AP$11,index1970,Query!$O88)/AP$9 * HLOOKUP(AP$11,comboutfac,Query!$O88),HLOOKUP(AP$11,index1970,Query!$O88)/AP$9 * HLOOKUP(AP$11,comboutfac,Query!$O88) /AP$8))</f>
        <v>7.3911233916062464</v>
      </c>
      <c r="AQ53" s="683">
        <f ca="1">IF($J$7=1,HLOOKUP(AQ$11,index1970,Query!$O88)/AQ$9,IF($J$7=2,HLOOKUP(AQ$11,index1970,Query!$O88)/AQ$9 * HLOOKUP(AQ$11,comboutfac,Query!$O88),HLOOKUP(AQ$11,index1970,Query!$O88)/AQ$9 * HLOOKUP(AQ$11,comboutfac,Query!$O88) /AQ$8))</f>
        <v>5.8235131896215471</v>
      </c>
      <c r="AR53" s="120">
        <f ca="1">IF($J$7=1,HLOOKUP(AR$11,index1970,Query!$O88)/AR$9,IF($J$7=2,HLOOKUP(AR$11,index1970,Query!$O88)/AR$9 * HLOOKUP(AR$11,comboutfac,Query!$O88),HLOOKUP(AR$11,index1970,Query!$O88)/AR$9 * HLOOKUP(AR$11,comboutfac,Query!$O88) /AR$8))</f>
        <v>5.2858092546192603</v>
      </c>
      <c r="AS53" s="213"/>
    </row>
    <row r="54" spans="1:45" s="122" customFormat="1">
      <c r="A54" s="121">
        <f t="shared" si="7"/>
        <v>2010</v>
      </c>
      <c r="B54" s="120">
        <f ca="1">IF($J$7=1,HLOOKUP(B$11,index1970,Query!$O89)/B$9,IF($J$7=2,HLOOKUP(B$11,index1970,Query!$O89)/B$9 * HLOOKUP(B$11,comboutfac,Query!$O89),HLOOKUP(B$11,index1970,Query!$O89)/B$9 * HLOOKUP(B$11,comboutfac,Query!$O89) /B$8))</f>
        <v>5.3936159027758919</v>
      </c>
      <c r="C54" s="120">
        <f ca="1">IF($J$7=1,HLOOKUP(C$11,index1970,Query!$O89)/C$9,IF($J$7=2,HLOOKUP(C$11,index1970,Query!$O89)/C$9 * HLOOKUP(C$11,comboutfac,Query!$O89),HLOOKUP(C$11,index1970,Query!$O89)/C$9 * HLOOKUP(C$11,comboutfac,Query!$O89) /C$8))</f>
        <v>5.2277165614266652</v>
      </c>
      <c r="D54" s="120">
        <f ca="1">IF($J$7=1,HLOOKUP(D$11,index1970,Query!$O89)/D$9,IF($J$7=2,HLOOKUP(D$11,index1970,Query!$O89)/D$9 * HLOOKUP(D$11,comboutfac,Query!$O89),HLOOKUP(D$11,index1970,Query!$O89)/D$9 * HLOOKUP(D$11,comboutfac,Query!$O89) /D$8))</f>
        <v>5.2256320404694128</v>
      </c>
      <c r="E54" s="120">
        <f ca="1">IF($J$7=1,HLOOKUP(E$11,index1970,Query!$O89)/E$9,IF($J$7=2,HLOOKUP(E$11,index1970,Query!$O89)/E$9 * HLOOKUP(E$11,comboutfac,Query!$O89),HLOOKUP(E$11,index1970,Query!$O89)/E$9 * HLOOKUP(E$11,comboutfac,Query!$O89) /E$8))</f>
        <v>5.7883154442699629</v>
      </c>
      <c r="F54" s="120">
        <f ca="1">IF($J$7=1,HLOOKUP(F$11,index1970,Query!$O89)/F$9,IF($J$7=2,HLOOKUP(F$11,index1970,Query!$O89)/F$9 * HLOOKUP(F$11,comboutfac,Query!$O89),HLOOKUP(F$11,index1970,Query!$O89)/F$9 * HLOOKUP(F$11,comboutfac,Query!$O89) /F$8))</f>
        <v>5.2256320404694128</v>
      </c>
      <c r="G54" s="120">
        <f ca="1">IF($J$7=1,HLOOKUP(G$11,index1970,Query!$O89)/G$9,IF($J$7=2,HLOOKUP(G$11,index1970,Query!$O89)/G$9 * HLOOKUP(G$11,comboutfac,Query!$O89),HLOOKUP(G$11,index1970,Query!$O89)/G$9 * HLOOKUP(G$11,comboutfac,Query!$O89) /G$8))</f>
        <v>5.4341832688349925</v>
      </c>
      <c r="H54" s="120">
        <f ca="1">IF($J$7=1,HLOOKUP(H$11,index1970,Query!$O89)/H$9,IF($J$7=2,HLOOKUP(H$11,index1970,Query!$O89)/H$9 * HLOOKUP(H$11,comboutfac,Query!$O89),HLOOKUP(H$11,index1970,Query!$O89)/H$9 * HLOOKUP(H$11,comboutfac,Query!$O89) /H$8))</f>
        <v>5.2757579409707214</v>
      </c>
      <c r="I54" s="120">
        <f ca="1">IF($J$7=1,HLOOKUP(I$11,index1970,Query!$O89)/I$9,IF($J$7=2,HLOOKUP(I$11,index1970,Query!$O89)/I$9 * HLOOKUP(I$11,comboutfac,Query!$O89),HLOOKUP(I$11,index1970,Query!$O89)/I$9 * HLOOKUP(I$11,comboutfac,Query!$O89) /I$8))</f>
        <v>5.3539008897392026</v>
      </c>
      <c r="J54" s="120">
        <f ca="1">IF($J$7=1,HLOOKUP(J$11,index1970,Query!$O89)/J$9,IF($J$7=2,HLOOKUP(J$11,index1970,Query!$O89)/J$9 * HLOOKUP(J$11,comboutfac,Query!$O89),HLOOKUP(J$11,index1970,Query!$O89)/J$9 * HLOOKUP(J$11,comboutfac,Query!$O89) /J$8))</f>
        <v>8.3092145416299754</v>
      </c>
      <c r="K54" s="120">
        <f ca="1">IF($J$7=1,HLOOKUP(K$11,index1970,Query!$O89)/K$9,IF($J$7=2,HLOOKUP(K$11,index1970,Query!$O89)/K$9 * HLOOKUP(K$11,comboutfac,Query!$O89),HLOOKUP(K$11,index1970,Query!$O89)/K$9 * HLOOKUP(K$11,comboutfac,Query!$O89) /K$8))</f>
        <v>7.5473311936084473</v>
      </c>
      <c r="L54" s="120">
        <f ca="1">IF($J$7=1,HLOOKUP(L$11,index1970,Query!$O89)/L$9,IF($J$7=2,HLOOKUP(L$11,index1970,Query!$O89)/L$9 * HLOOKUP(L$11,comboutfac,Query!$O89),HLOOKUP(L$11,index1970,Query!$O89)/L$9 * HLOOKUP(L$11,comboutfac,Query!$O89) /L$8))</f>
        <v>5.5626221919054224</v>
      </c>
      <c r="M54" s="120">
        <f ca="1">IF($J$7=1,HLOOKUP(M$11,index1970,Query!$O89)/M$9,IF($J$7=2,HLOOKUP(M$11,index1970,Query!$O89)/M$9 * HLOOKUP(M$11,comboutfac,Query!$O89),HLOOKUP(M$11,index1970,Query!$O89)/M$9 * HLOOKUP(M$11,comboutfac,Query!$O89) /M$8))</f>
        <v>4.651363344413987</v>
      </c>
      <c r="N54" s="120">
        <f ca="1">IF($J$7=1,HLOOKUP(N$11,index1970,Query!$O89)/N$9,IF($J$7=2,HLOOKUP(N$11,index1970,Query!$O89)/N$9 * HLOOKUP(N$11,comboutfac,Query!$O89),HLOOKUP(N$11,index1970,Query!$O89)/N$9 * HLOOKUP(N$11,comboutfac,Query!$O89) /N$8))</f>
        <v>5.3429693510583549</v>
      </c>
      <c r="O54" s="120">
        <f ca="1">IF($J$7=1,HLOOKUP(O$11,index1970,Query!$O89)/O$9,IF($J$7=2,HLOOKUP(O$11,index1970,Query!$O89)/O$9 * HLOOKUP(O$11,comboutfac,Query!$O89),HLOOKUP(O$11,index1970,Query!$O89)/O$9 * HLOOKUP(O$11,comboutfac,Query!$O89) /O$8))</f>
        <v>5.3468858465806033</v>
      </c>
      <c r="P54" s="120">
        <f ca="1">IF($J$7=1,HLOOKUP(P$11,index1970,Query!$O89)/P$9,IF($J$7=2,HLOOKUP(P$11,index1970,Query!$O89)/P$9 * HLOOKUP(P$11,comboutfac,Query!$O89),HLOOKUP(P$11,index1970,Query!$O89)/P$9 * HLOOKUP(P$11,comboutfac,Query!$O89) /P$8))</f>
        <v>7.3537461044998631</v>
      </c>
      <c r="Q54" s="120">
        <f ca="1">IF($J$7=1,HLOOKUP(Q$11,index1970,Query!$O89)/Q$9,IF($J$7=2,HLOOKUP(Q$11,index1970,Query!$O89)/Q$9 * HLOOKUP(Q$11,comboutfac,Query!$O89),HLOOKUP(Q$11,index1970,Query!$O89)/Q$9 * HLOOKUP(Q$11,comboutfac,Query!$O89) /Q$8))</f>
        <v>4.6576206151000825</v>
      </c>
      <c r="R54" s="120">
        <f ca="1">IF($J$7=1,HLOOKUP(R$11,index1970,Query!$O89)/R$9,IF($J$7=2,HLOOKUP(R$11,index1970,Query!$O89)/R$9 * HLOOKUP(R$11,comboutfac,Query!$O89),HLOOKUP(R$11,index1970,Query!$O89)/R$9 * HLOOKUP(R$11,comboutfac,Query!$O89) /R$8))</f>
        <v>7.2066687120891357</v>
      </c>
      <c r="S54" s="120">
        <f ca="1">IF($J$7=1,HLOOKUP(S$11,index1970,Query!$O89)/S$9,IF($J$7=2,HLOOKUP(S$11,index1970,Query!$O89)/S$9 * HLOOKUP(S$11,comboutfac,Query!$O89),HLOOKUP(S$11,index1970,Query!$O89)/S$9 * HLOOKUP(S$11,comboutfac,Query!$O89) /S$8))</f>
        <v>4.6512885544740863</v>
      </c>
      <c r="T54" s="120">
        <f ca="1">IF($J$7=1,HLOOKUP(T$11,index1970,Query!$O89)/T$9,IF($J$7=2,HLOOKUP(T$11,index1970,Query!$O89)/T$9 * HLOOKUP(T$11,comboutfac,Query!$O89),HLOOKUP(T$11,index1970,Query!$O89)/T$9 * HLOOKUP(T$11,comboutfac,Query!$O89) /T$8))</f>
        <v>4.5419918973318589</v>
      </c>
      <c r="U54" s="120">
        <f ca="1">IF($J$7=1,HLOOKUP(U$11,index1970,Query!$O89)/U$9,IF($J$7=2,HLOOKUP(U$11,index1970,Query!$O89)/U$9 * HLOOKUP(U$11,comboutfac,Query!$O89),HLOOKUP(U$11,index1970,Query!$O89)/U$9 * HLOOKUP(U$11,comboutfac,Query!$O89) /U$8))</f>
        <v>5.7899745194290428</v>
      </c>
      <c r="V54" s="120">
        <f ca="1">IF($J$7=1,HLOOKUP(V$11,index1970,Query!$O89)/V$9,IF($J$7=2,HLOOKUP(V$11,index1970,Query!$O89)/V$9 * HLOOKUP(V$11,comboutfac,Query!$O89),HLOOKUP(V$11,index1970,Query!$O89)/V$9 * HLOOKUP(V$11,comboutfac,Query!$O89) /V$8))</f>
        <v>5.2882540568130745</v>
      </c>
      <c r="W54" s="120">
        <f ca="1">IF($J$7=1,HLOOKUP(W$11,index1970,Query!$O89)/W$9,IF($J$7=2,HLOOKUP(W$11,index1970,Query!$O89)/W$9 * HLOOKUP(W$11,comboutfac,Query!$O89),HLOOKUP(W$11,index1970,Query!$O89)/W$9 * HLOOKUP(W$11,comboutfac,Query!$O89) /W$8))</f>
        <v>5.6643044767340953</v>
      </c>
      <c r="X54" s="120">
        <f ca="1">IF($J$7=1,HLOOKUP(X$11,index1970,Query!$O89)/X$9,IF($J$7=2,HLOOKUP(X$11,index1970,Query!$O89)/X$9 * HLOOKUP(X$11,comboutfac,Query!$O89),HLOOKUP(X$11,index1970,Query!$O89)/X$9 * HLOOKUP(X$11,comboutfac,Query!$O89) /X$8))</f>
        <v>5.3127903842328061</v>
      </c>
      <c r="Y54" s="120">
        <f ca="1">IF($J$7=1,HLOOKUP(Y$11,index1970,Query!$O89)/Y$9,IF($J$7=2,HLOOKUP(Y$11,index1970,Query!$O89)/Y$9 * HLOOKUP(Y$11,comboutfac,Query!$O89),HLOOKUP(Y$11,index1970,Query!$O89)/Y$9 * HLOOKUP(Y$11,comboutfac,Query!$O89) /Y$8))</f>
        <v>5.4431275576233711</v>
      </c>
      <c r="Z54" s="120">
        <f ca="1">IF($J$7=1,HLOOKUP(Z$11,index1970,Query!$O89)/Z$9,IF($J$7=2,HLOOKUP(Z$11,index1970,Query!$O89)/Z$9 * HLOOKUP(Z$11,comboutfac,Query!$O89),HLOOKUP(Z$11,index1970,Query!$O89)/Z$9 * HLOOKUP(Z$11,comboutfac,Query!$O89) /Z$8))</f>
        <v>6.4566102243976387</v>
      </c>
      <c r="AA54" s="120">
        <f ca="1">IF($J$7=1,HLOOKUP(AA$11,index1970,Query!$O89)/AA$9,IF($J$7=2,HLOOKUP(AA$11,index1970,Query!$O89)/AA$9 * HLOOKUP(AA$11,comboutfac,Query!$O89),HLOOKUP(AA$11,index1970,Query!$O89)/AA$9 * HLOOKUP(AA$11,comboutfac,Query!$O89) /AA$8))</f>
        <v>5.2820894598834416</v>
      </c>
      <c r="AB54" s="120">
        <f ca="1">IF($J$7=1,HLOOKUP(AB$11,index1970,Query!$O89)/AB$9,IF($J$7=2,HLOOKUP(AB$11,index1970,Query!$O89)/AB$9 * HLOOKUP(AB$11,comboutfac,Query!$O89),HLOOKUP(AB$11,index1970,Query!$O89)/AB$9 * HLOOKUP(AB$11,comboutfac,Query!$O89) /AB$8))</f>
        <v>5.4755622647092865</v>
      </c>
      <c r="AC54" s="120">
        <f ca="1">IF($J$7=1,HLOOKUP(AC$11,index1970,Query!$O89)/AC$9,IF($J$7=2,HLOOKUP(AC$11,index1970,Query!$O89)/AC$9 * HLOOKUP(AC$11,comboutfac,Query!$O89),HLOOKUP(AC$11,index1970,Query!$O89)/AC$9 * HLOOKUP(AC$11,comboutfac,Query!$O89) /AC$8))</f>
        <v>6.5134586505968119</v>
      </c>
      <c r="AD54" s="120">
        <f ca="1">IF($J$7=1,HLOOKUP(AD$11,index1970,Query!$O89)/AD$9,IF($J$7=2,HLOOKUP(AD$11,index1970,Query!$O89)/AD$9 * HLOOKUP(AD$11,comboutfac,Query!$O89),HLOOKUP(AD$11,index1970,Query!$O89)/AD$9 * HLOOKUP(AD$11,comboutfac,Query!$O89) /AD$8))</f>
        <v>5.2728691031218382</v>
      </c>
      <c r="AE54" s="120">
        <f ca="1">IF($J$7=1,HLOOKUP(AE$11,index1970,Query!$O89)/AE$9,IF($J$7=2,HLOOKUP(AE$11,index1970,Query!$O89)/AE$9 * HLOOKUP(AE$11,comboutfac,Query!$O89),HLOOKUP(AE$11,index1970,Query!$O89)/AE$9 * HLOOKUP(AE$11,comboutfac,Query!$O89) /AE$8))</f>
        <v>4.5903363383087772</v>
      </c>
      <c r="AF54" s="120">
        <f ca="1">IF($J$7=1,HLOOKUP(AF$11,index1970,Query!$O89)/AF$9,IF($J$7=2,HLOOKUP(AF$11,index1970,Query!$O89)/AF$9 * HLOOKUP(AF$11,comboutfac,Query!$O89),HLOOKUP(AF$11,index1970,Query!$O89)/AF$9 * HLOOKUP(AF$11,comboutfac,Query!$O89) /AF$8))</f>
        <v>7.4645203716151745</v>
      </c>
      <c r="AG54" s="120">
        <f ca="1">IF($J$7=1,HLOOKUP(AG$11,index1970,Query!$O89)/AG$9,IF($J$7=2,HLOOKUP(AG$11,index1970,Query!$O89)/AG$9 * HLOOKUP(AG$11,comboutfac,Query!$O89),HLOOKUP(AG$11,index1970,Query!$O89)/AG$9 * HLOOKUP(AG$11,comboutfac,Query!$O89) /AG$8))</f>
        <v>5.4014694654543174</v>
      </c>
      <c r="AH54" s="120">
        <f ca="1">IF($J$7=1,HLOOKUP(AH$11,index1970,Query!$O89)/AH$9,IF($J$7=2,HLOOKUP(AH$11,index1970,Query!$O89)/AH$9 * HLOOKUP(AH$11,comboutfac,Query!$O89),HLOOKUP(AH$11,index1970,Query!$O89)/AH$9 * HLOOKUP(AH$11,comboutfac,Query!$O89) /AH$8))</f>
        <v>4.5715628482073658</v>
      </c>
      <c r="AI54" s="120">
        <f ca="1">IF($J$7=1,HLOOKUP(AI$11,index1970,Query!$O89)/AI$9,IF($J$7=2,HLOOKUP(AI$11,index1970,Query!$O89)/AI$9 * HLOOKUP(AI$11,comboutfac,Query!$O89),HLOOKUP(AI$11,index1970,Query!$O89)/AI$9 * HLOOKUP(AI$11,comboutfac,Query!$O89) /AI$8))</f>
        <v>4.71127198045735</v>
      </c>
      <c r="AJ54" s="120">
        <f ca="1">IF($J$7=1,HLOOKUP(AJ$11,index1970,Query!$O89)/AJ$9,IF($J$7=2,HLOOKUP(AJ$11,index1970,Query!$O89)/AJ$9 * HLOOKUP(AJ$11,comboutfac,Query!$O89),HLOOKUP(AJ$11,index1970,Query!$O89)/AJ$9 * HLOOKUP(AJ$11,comboutfac,Query!$O89) /AJ$8))</f>
        <v>4.5238494561575706</v>
      </c>
      <c r="AK54" s="120">
        <f ca="1">IF($J$7=1,HLOOKUP(AK$11,index1970,Query!$O89)/AK$9,IF($J$7=2,HLOOKUP(AK$11,index1970,Query!$O89)/AK$9 * HLOOKUP(AK$11,comboutfac,Query!$O89),HLOOKUP(AK$11,index1970,Query!$O89)/AK$9 * HLOOKUP(AK$11,comboutfac,Query!$O89) /AK$8))</f>
        <v>4.6823774285338926</v>
      </c>
      <c r="AL54" s="120">
        <f ca="1">IF($J$7=1,HLOOKUP(AL$11,index1970,Query!$O89)/AL$9,IF($J$7=2,HLOOKUP(AL$11,index1970,Query!$O89)/AL$9 * HLOOKUP(AL$11,comboutfac,Query!$O89),HLOOKUP(AL$11,index1970,Query!$O89)/AL$9 * HLOOKUP(AL$11,comboutfac,Query!$O89) /AL$8))</f>
        <v>7.0863281819825978</v>
      </c>
      <c r="AM54" s="120">
        <f ca="1">IF($J$7=1,HLOOKUP(AM$11,index1970,Query!$O89)/AM$9,IF($J$7=2,HLOOKUP(AM$11,index1970,Query!$O89)/AM$9 * HLOOKUP(AM$11,comboutfac,Query!$O89),HLOOKUP(AM$11,index1970,Query!$O89)/AM$9 * HLOOKUP(AM$11,comboutfac,Query!$O89) /AM$8))</f>
        <v>4.6650955677583683</v>
      </c>
      <c r="AN54" s="120">
        <f ca="1">IF($J$7=1,HLOOKUP(AN$11,index1970,Query!$O89)/AN$9,IF($J$7=2,HLOOKUP(AN$11,index1970,Query!$O89)/AN$9 * HLOOKUP(AN$11,comboutfac,Query!$O89),HLOOKUP(AN$11,index1970,Query!$O89)/AN$9 * HLOOKUP(AN$11,comboutfac,Query!$O89) /AN$8))</f>
        <v>7.0521135172648792</v>
      </c>
      <c r="AO54" s="120">
        <f ca="1">IF($J$7=1,HLOOKUP(AO$11,index1970,Query!$O89)/AO$9,IF($J$7=2,HLOOKUP(AO$11,index1970,Query!$O89)/AO$9 * HLOOKUP(AO$11,comboutfac,Query!$O89),HLOOKUP(AO$11,index1970,Query!$O89)/AO$9 * HLOOKUP(AO$11,comboutfac,Query!$O89) /AO$8))</f>
        <v>4.6714129467512118</v>
      </c>
      <c r="AP54" s="120">
        <f ca="1">IF($J$7=1,HLOOKUP(AP$11,index1970,Query!$O89)/AP$9,IF($J$7=2,HLOOKUP(AP$11,index1970,Query!$O89)/AP$9 * HLOOKUP(AP$11,comboutfac,Query!$O89),HLOOKUP(AP$11,index1970,Query!$O89)/AP$9 * HLOOKUP(AP$11,comboutfac,Query!$O89) /AP$8))</f>
        <v>7.5261984140492695</v>
      </c>
      <c r="AQ54" s="683">
        <f ca="1">IF($J$7=1,HLOOKUP(AQ$11,index1970,Query!$O89)/AQ$9,IF($J$7=2,HLOOKUP(AQ$11,index1970,Query!$O89)/AQ$9 * HLOOKUP(AQ$11,comboutfac,Query!$O89),HLOOKUP(AQ$11,index1970,Query!$O89)/AQ$9 * HLOOKUP(AQ$11,comboutfac,Query!$O89) /AQ$8))</f>
        <v>6.0259069053425316</v>
      </c>
      <c r="AR54" s="120">
        <f ca="1">IF($J$7=1,HLOOKUP(AR$11,index1970,Query!$O89)/AR$9,IF($J$7=2,HLOOKUP(AR$11,index1970,Query!$O89)/AR$9 * HLOOKUP(AR$11,comboutfac,Query!$O89),HLOOKUP(AR$11,index1970,Query!$O89)/AR$9 * HLOOKUP(AR$11,comboutfac,Query!$O89) /AR$8))</f>
        <v>5.376074450784456</v>
      </c>
      <c r="AS54" s="213"/>
    </row>
    <row r="55" spans="1:45" s="122" customFormat="1">
      <c r="A55" s="121">
        <f t="shared" si="7"/>
        <v>2011</v>
      </c>
      <c r="B55" s="120">
        <f ca="1">IF($J$7=1,HLOOKUP(B$11,index1970,Query!$O90)/B$9,IF($J$7=2,HLOOKUP(B$11,index1970,Query!$O90)/B$9 * HLOOKUP(B$11,comboutfac,Query!$O90),HLOOKUP(B$11,index1970,Query!$O90)/B$9 * HLOOKUP(B$11,comboutfac,Query!$O90) /B$8))</f>
        <v>5.5007384156816261</v>
      </c>
      <c r="C55" s="120">
        <f ca="1">IF($J$7=1,HLOOKUP(C$11,index1970,Query!$O90)/C$9,IF($J$7=2,HLOOKUP(C$11,index1970,Query!$O90)/C$9 * HLOOKUP(C$11,comboutfac,Query!$O90),HLOOKUP(C$11,index1970,Query!$O90)/C$9 * HLOOKUP(C$11,comboutfac,Query!$O90) /C$8))</f>
        <v>5.3545982183632432</v>
      </c>
      <c r="D55" s="120">
        <f ca="1">IF($J$7=1,HLOOKUP(D$11,index1970,Query!$O90)/D$9,IF($J$7=2,HLOOKUP(D$11,index1970,Query!$O90)/D$9 * HLOOKUP(D$11,comboutfac,Query!$O90),HLOOKUP(D$11,index1970,Query!$O90)/D$9 * HLOOKUP(D$11,comboutfac,Query!$O90) /D$8))</f>
        <v>5.3204883218444436</v>
      </c>
      <c r="E55" s="120">
        <f ca="1">IF($J$7=1,HLOOKUP(E$11,index1970,Query!$O90)/E$9,IF($J$7=2,HLOOKUP(E$11,index1970,Query!$O90)/E$9 * HLOOKUP(E$11,comboutfac,Query!$O90),HLOOKUP(E$11,index1970,Query!$O90)/E$9 * HLOOKUP(E$11,comboutfac,Query!$O90) /E$8))</f>
        <v>5.8168293134535585</v>
      </c>
      <c r="F55" s="120">
        <f ca="1">IF($J$7=1,HLOOKUP(F$11,index1970,Query!$O90)/F$9,IF($J$7=2,HLOOKUP(F$11,index1970,Query!$O90)/F$9 * HLOOKUP(F$11,comboutfac,Query!$O90),HLOOKUP(F$11,index1970,Query!$O90)/F$9 * HLOOKUP(F$11,comboutfac,Query!$O90) /F$8))</f>
        <v>5.3204883218444436</v>
      </c>
      <c r="G55" s="120">
        <f ca="1">IF($J$7=1,HLOOKUP(G$11,index1970,Query!$O90)/G$9,IF($J$7=2,HLOOKUP(G$11,index1970,Query!$O90)/G$9 * HLOOKUP(G$11,comboutfac,Query!$O90),HLOOKUP(G$11,index1970,Query!$O90)/G$9 * HLOOKUP(G$11,comboutfac,Query!$O90) /G$8))</f>
        <v>5.5635407286705467</v>
      </c>
      <c r="H55" s="120">
        <f ca="1">IF($J$7=1,HLOOKUP(H$11,index1970,Query!$O90)/H$9,IF($J$7=2,HLOOKUP(H$11,index1970,Query!$O90)/H$9 * HLOOKUP(H$11,comboutfac,Query!$O90),HLOOKUP(H$11,index1970,Query!$O90)/H$9 * HLOOKUP(H$11,comboutfac,Query!$O90) /H$8))</f>
        <v>5.3761136050600182</v>
      </c>
      <c r="I55" s="120">
        <f ca="1">IF($J$7=1,HLOOKUP(I$11,index1970,Query!$O90)/I$9,IF($J$7=2,HLOOKUP(I$11,index1970,Query!$O90)/I$9 * HLOOKUP(I$11,comboutfac,Query!$O90),HLOOKUP(I$11,index1970,Query!$O90)/I$9 * HLOOKUP(I$11,comboutfac,Query!$O90) /I$8))</f>
        <v>5.4451803872024165</v>
      </c>
      <c r="J55" s="120">
        <f ca="1">IF($J$7=1,HLOOKUP(J$11,index1970,Query!$O90)/J$9,IF($J$7=2,HLOOKUP(J$11,index1970,Query!$O90)/J$9 * HLOOKUP(J$11,comboutfac,Query!$O90),HLOOKUP(J$11,index1970,Query!$O90)/J$9 * HLOOKUP(J$11,comboutfac,Query!$O90) /J$8))</f>
        <v>10.320044460704429</v>
      </c>
      <c r="K55" s="120">
        <f ca="1">IF($J$7=1,HLOOKUP(K$11,index1970,Query!$O90)/K$9,IF($J$7=2,HLOOKUP(K$11,index1970,Query!$O90)/K$9 * HLOOKUP(K$11,comboutfac,Query!$O90),HLOOKUP(K$11,index1970,Query!$O90)/K$9 * HLOOKUP(K$11,comboutfac,Query!$O90) /K$8))</f>
        <v>7.6897921296539655</v>
      </c>
      <c r="L55" s="120">
        <f ca="1">IF($J$7=1,HLOOKUP(L$11,index1970,Query!$O90)/L$9,IF($J$7=2,HLOOKUP(L$11,index1970,Query!$O90)/L$9 * HLOOKUP(L$11,comboutfac,Query!$O90),HLOOKUP(L$11,index1970,Query!$O90)/L$9 * HLOOKUP(L$11,comboutfac,Query!$O90) /L$8))</f>
        <v>5.687982419839039</v>
      </c>
      <c r="M55" s="120">
        <f ca="1">IF($J$7=1,HLOOKUP(M$11,index1970,Query!$O90)/M$9,IF($J$7=2,HLOOKUP(M$11,index1970,Query!$O90)/M$9 * HLOOKUP(M$11,comboutfac,Query!$O90),HLOOKUP(M$11,index1970,Query!$O90)/M$9 * HLOOKUP(M$11,comboutfac,Query!$O90) /M$8))</f>
        <v>4.7429874518607109</v>
      </c>
      <c r="N55" s="120">
        <f ca="1">IF($J$7=1,HLOOKUP(N$11,index1970,Query!$O90)/N$9,IF($J$7=2,HLOOKUP(N$11,index1970,Query!$O90)/N$9 * HLOOKUP(N$11,comboutfac,Query!$O90),HLOOKUP(N$11,index1970,Query!$O90)/N$9 * HLOOKUP(N$11,comboutfac,Query!$O90) /N$8))</f>
        <v>5.4633794441014647</v>
      </c>
      <c r="O55" s="120">
        <f ca="1">IF($J$7=1,HLOOKUP(O$11,index1970,Query!$O90)/O$9,IF($J$7=2,HLOOKUP(O$11,index1970,Query!$O90)/O$9 * HLOOKUP(O$11,comboutfac,Query!$O90),HLOOKUP(O$11,index1970,Query!$O90)/O$9 * HLOOKUP(O$11,comboutfac,Query!$O90) /O$8))</f>
        <v>5.4620322816491536</v>
      </c>
      <c r="P55" s="120">
        <f ca="1">IF($J$7=1,HLOOKUP(P$11,index1970,Query!$O90)/P$9,IF($J$7=2,HLOOKUP(P$11,index1970,Query!$O90)/P$9 * HLOOKUP(P$11,comboutfac,Query!$O90),HLOOKUP(P$11,index1970,Query!$O90)/P$9 * HLOOKUP(P$11,comboutfac,Query!$O90) /P$8))</f>
        <v>7.4976589820725783</v>
      </c>
      <c r="Q55" s="120">
        <f ca="1">IF($J$7=1,HLOOKUP(Q$11,index1970,Query!$O90)/Q$9,IF($J$7=2,HLOOKUP(Q$11,index1970,Query!$O90)/Q$9 * HLOOKUP(Q$11,comboutfac,Query!$O90),HLOOKUP(Q$11,index1970,Query!$O90)/Q$9 * HLOOKUP(Q$11,comboutfac,Query!$O90) /Q$8))</f>
        <v>4.7455657296295968</v>
      </c>
      <c r="R55" s="120">
        <f ca="1">IF($J$7=1,HLOOKUP(R$11,index1970,Query!$O90)/R$9,IF($J$7=2,HLOOKUP(R$11,index1970,Query!$O90)/R$9 * HLOOKUP(R$11,comboutfac,Query!$O90),HLOOKUP(R$11,index1970,Query!$O90)/R$9 * HLOOKUP(R$11,comboutfac,Query!$O90) /R$8))</f>
        <v>7.348959604394274</v>
      </c>
      <c r="S55" s="120">
        <f ca="1">IF($J$7=1,HLOOKUP(S$11,index1970,Query!$O90)/S$9,IF($J$7=2,HLOOKUP(S$11,index1970,Query!$O90)/S$9 * HLOOKUP(S$11,comboutfac,Query!$O90),HLOOKUP(S$11,index1970,Query!$O90)/S$9 * HLOOKUP(S$11,comboutfac,Query!$O90) /S$8))</f>
        <v>4.7461212611941965</v>
      </c>
      <c r="T55" s="120">
        <f ca="1">IF($J$7=1,HLOOKUP(T$11,index1970,Query!$O90)/T$9,IF($J$7=2,HLOOKUP(T$11,index1970,Query!$O90)/T$9 * HLOOKUP(T$11,comboutfac,Query!$O90),HLOOKUP(T$11,index1970,Query!$O90)/T$9 * HLOOKUP(T$11,comboutfac,Query!$O90) /T$8))</f>
        <v>4.6457078387147401</v>
      </c>
      <c r="U55" s="120">
        <f ca="1">IF($J$7=1,HLOOKUP(U$11,index1970,Query!$O90)/U$9,IF($J$7=2,HLOOKUP(U$11,index1970,Query!$O90)/U$9 * HLOOKUP(U$11,comboutfac,Query!$O90),HLOOKUP(U$11,index1970,Query!$O90)/U$9 * HLOOKUP(U$11,comboutfac,Query!$O90) /U$8))</f>
        <v>6.0232208328770129</v>
      </c>
      <c r="V55" s="120">
        <f ca="1">IF($J$7=1,HLOOKUP(V$11,index1970,Query!$O90)/V$9,IF($J$7=2,HLOOKUP(V$11,index1970,Query!$O90)/V$9 * HLOOKUP(V$11,comboutfac,Query!$O90),HLOOKUP(V$11,index1970,Query!$O90)/V$9 * HLOOKUP(V$11,comboutfac,Query!$O90) /V$8))</f>
        <v>5.4115086539276245</v>
      </c>
      <c r="W55" s="120">
        <f ca="1">IF($J$7=1,HLOOKUP(W$11,index1970,Query!$O90)/W$9,IF($J$7=2,HLOOKUP(W$11,index1970,Query!$O90)/W$9 * HLOOKUP(W$11,comboutfac,Query!$O90),HLOOKUP(W$11,index1970,Query!$O90)/W$9 * HLOOKUP(W$11,comboutfac,Query!$O90) /W$8))</f>
        <v>5.7740567848642099</v>
      </c>
      <c r="X55" s="120">
        <f ca="1">IF($J$7=1,HLOOKUP(X$11,index1970,Query!$O90)/X$9,IF($J$7=2,HLOOKUP(X$11,index1970,Query!$O90)/X$9 * HLOOKUP(X$11,comboutfac,Query!$O90),HLOOKUP(X$11,index1970,Query!$O90)/X$9 * HLOOKUP(X$11,comboutfac,Query!$O90) /X$8))</f>
        <v>5.4136767883708581</v>
      </c>
      <c r="Y55" s="120">
        <f ca="1">IF($J$7=1,HLOOKUP(Y$11,index1970,Query!$O90)/Y$9,IF($J$7=2,HLOOKUP(Y$11,index1970,Query!$O90)/Y$9 * HLOOKUP(Y$11,comboutfac,Query!$O90),HLOOKUP(Y$11,index1970,Query!$O90)/Y$9 * HLOOKUP(Y$11,comboutfac,Query!$O90) /Y$8))</f>
        <v>5.5470069322471689</v>
      </c>
      <c r="Z55" s="120">
        <f ca="1">IF($J$7=1,HLOOKUP(Z$11,index1970,Query!$O90)/Z$9,IF($J$7=2,HLOOKUP(Z$11,index1970,Query!$O90)/Z$9 * HLOOKUP(Z$11,comboutfac,Query!$O90),HLOOKUP(Z$11,index1970,Query!$O90)/Z$9 * HLOOKUP(Z$11,comboutfac,Query!$O90) /Z$8))</f>
        <v>6.663995727374104</v>
      </c>
      <c r="AA55" s="120">
        <f ca="1">IF($J$7=1,HLOOKUP(AA$11,index1970,Query!$O90)/AA$9,IF($J$7=2,HLOOKUP(AA$11,index1970,Query!$O90)/AA$9 * HLOOKUP(AA$11,comboutfac,Query!$O90),HLOOKUP(AA$11,index1970,Query!$O90)/AA$9 * HLOOKUP(AA$11,comboutfac,Query!$O90) /AA$8))</f>
        <v>5.4024223382979732</v>
      </c>
      <c r="AB55" s="120">
        <f ca="1">IF($J$7=1,HLOOKUP(AB$11,index1970,Query!$O90)/AB$9,IF($J$7=2,HLOOKUP(AB$11,index1970,Query!$O90)/AB$9 * HLOOKUP(AB$11,comboutfac,Query!$O90),HLOOKUP(AB$11,index1970,Query!$O90)/AB$9 * HLOOKUP(AB$11,comboutfac,Query!$O90) /AB$8))</f>
        <v>5.5576882342611809</v>
      </c>
      <c r="AC55" s="120">
        <f ca="1">IF($J$7=1,HLOOKUP(AC$11,index1970,Query!$O90)/AC$9,IF($J$7=2,HLOOKUP(AC$11,index1970,Query!$O90)/AC$9 * HLOOKUP(AC$11,comboutfac,Query!$O90),HLOOKUP(AC$11,index1970,Query!$O90)/AC$9 * HLOOKUP(AC$11,comboutfac,Query!$O90) /AC$8))</f>
        <v>6.8792186532735613</v>
      </c>
      <c r="AD55" s="120">
        <f ca="1">IF($J$7=1,HLOOKUP(AD$11,index1970,Query!$O90)/AD$9,IF($J$7=2,HLOOKUP(AD$11,index1970,Query!$O90)/AD$9 * HLOOKUP(AD$11,comboutfac,Query!$O90),HLOOKUP(AD$11,index1970,Query!$O90)/AD$9 * HLOOKUP(AD$11,comboutfac,Query!$O90) /AD$8))</f>
        <v>5.3728148141330276</v>
      </c>
      <c r="AE55" s="120">
        <f ca="1">IF($J$7=1,HLOOKUP(AE$11,index1970,Query!$O90)/AE$9,IF($J$7=2,HLOOKUP(AE$11,index1970,Query!$O90)/AE$9 * HLOOKUP(AE$11,comboutfac,Query!$O90),HLOOKUP(AE$11,index1970,Query!$O90)/AE$9 * HLOOKUP(AE$11,comboutfac,Query!$O90) /AE$8))</f>
        <v>4.6574787802182627</v>
      </c>
      <c r="AF55" s="120">
        <f ca="1">IF($J$7=1,HLOOKUP(AF$11,index1970,Query!$O90)/AF$9,IF($J$7=2,HLOOKUP(AF$11,index1970,Query!$O90)/AF$9 * HLOOKUP(AF$11,comboutfac,Query!$O90),HLOOKUP(AF$11,index1970,Query!$O90)/AF$9 * HLOOKUP(AF$11,comboutfac,Query!$O90) /AF$8))</f>
        <v>7.6050762537412426</v>
      </c>
      <c r="AG55" s="120">
        <f ca="1">IF($J$7=1,HLOOKUP(AG$11,index1970,Query!$O90)/AG$9,IF($J$7=2,HLOOKUP(AG$11,index1970,Query!$O90)/AG$9 * HLOOKUP(AG$11,comboutfac,Query!$O90),HLOOKUP(AG$11,index1970,Query!$O90)/AG$9 * HLOOKUP(AG$11,comboutfac,Query!$O90) /AG$8))</f>
        <v>5.4677973830348048</v>
      </c>
      <c r="AH55" s="120">
        <f ca="1">IF($J$7=1,HLOOKUP(AH$11,index1970,Query!$O90)/AH$9,IF($J$7=2,HLOOKUP(AH$11,index1970,Query!$O90)/AH$9 * HLOOKUP(AH$11,comboutfac,Query!$O90),HLOOKUP(AH$11,index1970,Query!$O90)/AH$9 * HLOOKUP(AH$11,comboutfac,Query!$O90) /AH$8))</f>
        <v>4.6457898560145976</v>
      </c>
      <c r="AI55" s="120">
        <f ca="1">IF($J$7=1,HLOOKUP(AI$11,index1970,Query!$O90)/AI$9,IF($J$7=2,HLOOKUP(AI$11,index1970,Query!$O90)/AI$9 * HLOOKUP(AI$11,comboutfac,Query!$O90),HLOOKUP(AI$11,index1970,Query!$O90)/AI$9 * HLOOKUP(AI$11,comboutfac,Query!$O90) /AI$8))</f>
        <v>4.8229789418071567</v>
      </c>
      <c r="AJ55" s="120">
        <f ca="1">IF($J$7=1,HLOOKUP(AJ$11,index1970,Query!$O90)/AJ$9,IF($J$7=2,HLOOKUP(AJ$11,index1970,Query!$O90)/AJ$9 * HLOOKUP(AJ$11,comboutfac,Query!$O90),HLOOKUP(AJ$11,index1970,Query!$O90)/AJ$9 * HLOOKUP(AJ$11,comboutfac,Query!$O90) /AJ$8))</f>
        <v>4.6110948968610863</v>
      </c>
      <c r="AK55" s="120">
        <f ca="1">IF($J$7=1,HLOOKUP(AK$11,index1970,Query!$O90)/AK$9,IF($J$7=2,HLOOKUP(AK$11,index1970,Query!$O90)/AK$9 * HLOOKUP(AK$11,comboutfac,Query!$O90),HLOOKUP(AK$11,index1970,Query!$O90)/AK$9 * HLOOKUP(AK$11,comboutfac,Query!$O90) /AK$8))</f>
        <v>4.7941795596324415</v>
      </c>
      <c r="AL55" s="120">
        <f ca="1">IF($J$7=1,HLOOKUP(AL$11,index1970,Query!$O90)/AL$9,IF($J$7=2,HLOOKUP(AL$11,index1970,Query!$O90)/AL$9 * HLOOKUP(AL$11,comboutfac,Query!$O90),HLOOKUP(AL$11,index1970,Query!$O90)/AL$9 * HLOOKUP(AL$11,comboutfac,Query!$O90) /AL$8))</f>
        <v>7.2195768545487748</v>
      </c>
      <c r="AM55" s="120">
        <f ca="1">IF($J$7=1,HLOOKUP(AM$11,index1970,Query!$O90)/AM$9,IF($J$7=2,HLOOKUP(AM$11,index1970,Query!$O90)/AM$9 * HLOOKUP(AM$11,comboutfac,Query!$O90),HLOOKUP(AM$11,index1970,Query!$O90)/AM$9 * HLOOKUP(AM$11,comboutfac,Query!$O90) /AM$8))</f>
        <v>4.7456751422281602</v>
      </c>
      <c r="AN55" s="120">
        <f ca="1">IF($J$7=1,HLOOKUP(AN$11,index1970,Query!$O90)/AN$9,IF($J$7=2,HLOOKUP(AN$11,index1970,Query!$O90)/AN$9 * HLOOKUP(AN$11,comboutfac,Query!$O90),HLOOKUP(AN$11,index1970,Query!$O90)/AN$9 * HLOOKUP(AN$11,comboutfac,Query!$O90) /AN$8))</f>
        <v>7.1886175238633188</v>
      </c>
      <c r="AO55" s="120">
        <f ca="1">IF($J$7=1,HLOOKUP(AO$11,index1970,Query!$O90)/AO$9,IF($J$7=2,HLOOKUP(AO$11,index1970,Query!$O90)/AO$9 * HLOOKUP(AO$11,comboutfac,Query!$O90),HLOOKUP(AO$11,index1970,Query!$O90)/AO$9 * HLOOKUP(AO$11,comboutfac,Query!$O90) /AO$8))</f>
        <v>4.7501485418743661</v>
      </c>
      <c r="AP55" s="120">
        <f ca="1">IF($J$7=1,HLOOKUP(AP$11,index1970,Query!$O90)/AP$9,IF($J$7=2,HLOOKUP(AP$11,index1970,Query!$O90)/AP$9 * HLOOKUP(AP$11,comboutfac,Query!$O90),HLOOKUP(AP$11,index1970,Query!$O90)/AP$9 * HLOOKUP(AP$11,comboutfac,Query!$O90) /AP$8))</f>
        <v>7.6811722704435414</v>
      </c>
      <c r="AQ55" s="683">
        <f ca="1">IF($J$7=1,HLOOKUP(AQ$11,index1970,Query!$O90)/AQ$9,IF($J$7=2,HLOOKUP(AQ$11,index1970,Query!$O90)/AQ$9 * HLOOKUP(AQ$11,comboutfac,Query!$O90),HLOOKUP(AQ$11,index1970,Query!$O90)/AQ$9 * HLOOKUP(AQ$11,comboutfac,Query!$O90) /AQ$8))</f>
        <v>6.22054499489722</v>
      </c>
      <c r="AR55" s="120">
        <f ca="1">IF($J$7=1,HLOOKUP(AR$11,index1970,Query!$O90)/AR$9,IF($J$7=2,HLOOKUP(AR$11,index1970,Query!$O90)/AR$9 * HLOOKUP(AR$11,comboutfac,Query!$O90),HLOOKUP(AR$11,index1970,Query!$O90)/AR$9 * HLOOKUP(AR$11,comboutfac,Query!$O90) /AR$8))</f>
        <v>5.4789997249435665</v>
      </c>
      <c r="AS55" s="213"/>
    </row>
    <row r="56" spans="1:45" s="122" customFormat="1">
      <c r="A56" s="121">
        <f t="shared" si="7"/>
        <v>2012</v>
      </c>
      <c r="B56" s="120">
        <f ca="1">IF($J$7=1,HLOOKUP(B$11,index1970,Query!$O91)/B$9,IF($J$7=2,HLOOKUP(B$11,index1970,Query!$O91)/B$9 * HLOOKUP(B$11,comboutfac,Query!$O91),HLOOKUP(B$11,index1970,Query!$O91)/B$9 * HLOOKUP(B$11,comboutfac,Query!$O91) /B$8))</f>
        <v>5.579861623689669</v>
      </c>
      <c r="C56" s="120">
        <f ca="1">IF($J$7=1,HLOOKUP(C$11,index1970,Query!$O91)/C$9,IF($J$7=2,HLOOKUP(C$11,index1970,Query!$O91)/C$9 * HLOOKUP(C$11,comboutfac,Query!$O91),HLOOKUP(C$11,index1970,Query!$O91)/C$9 * HLOOKUP(C$11,comboutfac,Query!$O91) /C$8))</f>
        <v>5.4395221445063315</v>
      </c>
      <c r="D56" s="120">
        <f ca="1">IF($J$7=1,HLOOKUP(D$11,index1970,Query!$O91)/D$9,IF($J$7=2,HLOOKUP(D$11,index1970,Query!$O91)/D$9 * HLOOKUP(D$11,comboutfac,Query!$O91),HLOOKUP(D$11,index1970,Query!$O91)/D$9 * HLOOKUP(D$11,comboutfac,Query!$O91) /D$8))</f>
        <v>5.4057254161750157</v>
      </c>
      <c r="E56" s="120">
        <f ca="1">IF($J$7=1,HLOOKUP(E$11,index1970,Query!$O91)/E$9,IF($J$7=2,HLOOKUP(E$11,index1970,Query!$O91)/E$9 * HLOOKUP(E$11,comboutfac,Query!$O91),HLOOKUP(E$11,index1970,Query!$O91)/E$9 * HLOOKUP(E$11,comboutfac,Query!$O91) /E$8))</f>
        <v>5.8168293134535585</v>
      </c>
      <c r="F56" s="120">
        <f ca="1">IF($J$7=1,HLOOKUP(F$11,index1970,Query!$O91)/F$9,IF($J$7=2,HLOOKUP(F$11,index1970,Query!$O91)/F$9 * HLOOKUP(F$11,comboutfac,Query!$O91),HLOOKUP(F$11,index1970,Query!$O91)/F$9 * HLOOKUP(F$11,comboutfac,Query!$O91) /F$8))</f>
        <v>5.4057254161750157</v>
      </c>
      <c r="G56" s="120">
        <f ca="1">IF($J$7=1,HLOOKUP(G$11,index1970,Query!$O91)/G$9,IF($J$7=2,HLOOKUP(G$11,index1970,Query!$O91)/G$9 * HLOOKUP(G$11,comboutfac,Query!$O91),HLOOKUP(G$11,index1970,Query!$O91)/G$9 * HLOOKUP(G$11,comboutfac,Query!$O91) /G$8))</f>
        <v>5.6460176875917378</v>
      </c>
      <c r="H56" s="120">
        <f ca="1">IF($J$7=1,HLOOKUP(H$11,index1970,Query!$O91)/H$9,IF($J$7=2,HLOOKUP(H$11,index1970,Query!$O91)/H$9 * HLOOKUP(H$11,comboutfac,Query!$O91),HLOOKUP(H$11,index1970,Query!$O91)/H$9 * HLOOKUP(H$11,comboutfac,Query!$O91) /H$8))</f>
        <v>5.4668560259503574</v>
      </c>
      <c r="I56" s="120">
        <f ca="1">IF($J$7=1,HLOOKUP(I$11,index1970,Query!$O91)/I$9,IF($J$7=2,HLOOKUP(I$11,index1970,Query!$O91)/I$9 * HLOOKUP(I$11,comboutfac,Query!$O91),HLOOKUP(I$11,index1970,Query!$O91)/I$9 * HLOOKUP(I$11,comboutfac,Query!$O91) /I$8))</f>
        <v>5.5242276958759637</v>
      </c>
      <c r="J56" s="120">
        <f ca="1">IF($J$7=1,HLOOKUP(J$11,index1970,Query!$O91)/J$9,IF($J$7=2,HLOOKUP(J$11,index1970,Query!$O91)/J$9 * HLOOKUP(J$11,comboutfac,Query!$O91),HLOOKUP(J$11,index1970,Query!$O91)/J$9 * HLOOKUP(J$11,comboutfac,Query!$O91) /J$8))</f>
        <v>10.639965838986265</v>
      </c>
      <c r="K56" s="120">
        <f ca="1">IF($J$7=1,HLOOKUP(K$11,index1970,Query!$O91)/K$9,IF($J$7=2,HLOOKUP(K$11,index1970,Query!$O91)/K$9 * HLOOKUP(K$11,comboutfac,Query!$O91),HLOOKUP(K$11,index1970,Query!$O91)/K$9 * HLOOKUP(K$11,comboutfac,Query!$O91) /K$8))</f>
        <v>7.8090238595771897</v>
      </c>
      <c r="L56" s="120">
        <f ca="1">IF($J$7=1,HLOOKUP(L$11,index1970,Query!$O91)/L$9,IF($J$7=2,HLOOKUP(L$11,index1970,Query!$O91)/L$9 * HLOOKUP(L$11,comboutfac,Query!$O91),HLOOKUP(L$11,index1970,Query!$O91)/L$9 * HLOOKUP(L$11,comboutfac,Query!$O91) /L$8))</f>
        <v>5.7718359522558895</v>
      </c>
      <c r="M56" s="120">
        <f ca="1">IF($J$7=1,HLOOKUP(M$11,index1970,Query!$O91)/M$9,IF($J$7=2,HLOOKUP(M$11,index1970,Query!$O91)/M$9 * HLOOKUP(M$11,comboutfac,Query!$O91),HLOOKUP(M$11,index1970,Query!$O91)/M$9 * HLOOKUP(M$11,comboutfac,Query!$O91) /M$8))</f>
        <v>4.8100659440836964</v>
      </c>
      <c r="N56" s="120">
        <f ca="1">IF($J$7=1,HLOOKUP(N$11,index1970,Query!$O91)/N$9,IF($J$7=2,HLOOKUP(N$11,index1970,Query!$O91)/N$9 * HLOOKUP(N$11,comboutfac,Query!$O91),HLOOKUP(N$11,index1970,Query!$O91)/N$9 * HLOOKUP(N$11,comboutfac,Query!$O91) /N$8))</f>
        <v>5.5439218282909151</v>
      </c>
      <c r="O56" s="120">
        <f ca="1">IF($J$7=1,HLOOKUP(O$11,index1970,Query!$O91)/O$9,IF($J$7=2,HLOOKUP(O$11,index1970,Query!$O91)/O$9 * HLOOKUP(O$11,comboutfac,Query!$O91),HLOOKUP(O$11,index1970,Query!$O91)/O$9 * HLOOKUP(O$11,comboutfac,Query!$O91) /O$8))</f>
        <v>5.5437720779292121</v>
      </c>
      <c r="P56" s="120">
        <f ca="1">IF($J$7=1,HLOOKUP(P$11,index1970,Query!$O91)/P$9,IF($J$7=2,HLOOKUP(P$11,index1970,Query!$O91)/P$9 * HLOOKUP(P$11,comboutfac,Query!$O91),HLOOKUP(P$11,index1970,Query!$O91)/P$9 * HLOOKUP(P$11,comboutfac,Query!$O91) /P$8))</f>
        <v>7.6168840350809734</v>
      </c>
      <c r="Q56" s="120">
        <f ca="1">IF($J$7=1,HLOOKUP(Q$11,index1970,Query!$O91)/Q$9,IF($J$7=2,HLOOKUP(Q$11,index1970,Query!$O91)/Q$9 * HLOOKUP(Q$11,comboutfac,Query!$O91),HLOOKUP(Q$11,index1970,Query!$O91)/Q$9 * HLOOKUP(Q$11,comboutfac,Query!$O91) /Q$8))</f>
        <v>4.8284636422247482</v>
      </c>
      <c r="R56" s="120">
        <f ca="1">IF($J$7=1,HLOOKUP(R$11,index1970,Query!$O91)/R$9,IF($J$7=2,HLOOKUP(R$11,index1970,Query!$O91)/R$9 * HLOOKUP(R$11,comboutfac,Query!$O91),HLOOKUP(R$11,index1970,Query!$O91)/R$9 * HLOOKUP(R$11,comboutfac,Query!$O91) /R$8))</f>
        <v>7.4680384622433769</v>
      </c>
      <c r="S56" s="120">
        <f ca="1">IF($J$7=1,HLOOKUP(S$11,index1970,Query!$O91)/S$9,IF($J$7=2,HLOOKUP(S$11,index1970,Query!$O91)/S$9 * HLOOKUP(S$11,comboutfac,Query!$O91),HLOOKUP(S$11,index1970,Query!$O91)/S$9 * HLOOKUP(S$11,comboutfac,Query!$O91) /S$8))</f>
        <v>4.8337127376794076</v>
      </c>
      <c r="T56" s="120">
        <f ca="1">IF($J$7=1,HLOOKUP(T$11,index1970,Query!$O91)/T$9,IF($J$7=2,HLOOKUP(T$11,index1970,Query!$O91)/T$9 * HLOOKUP(T$11,comboutfac,Query!$O91),HLOOKUP(T$11,index1970,Query!$O91)/T$9 * HLOOKUP(T$11,comboutfac,Query!$O91) /T$8))</f>
        <v>4.7201711004951008</v>
      </c>
      <c r="U56" s="120">
        <f ca="1">IF($J$7=1,HLOOKUP(U$11,index1970,Query!$O91)/U$9,IF($J$7=2,HLOOKUP(U$11,index1970,Query!$O91)/U$9 * HLOOKUP(U$11,comboutfac,Query!$O91),HLOOKUP(U$11,index1970,Query!$O91)/U$9 * HLOOKUP(U$11,comboutfac,Query!$O91) /U$8))</f>
        <v>6.179109618327943</v>
      </c>
      <c r="V56" s="120">
        <f ca="1">IF($J$7=1,HLOOKUP(V$11,index1970,Query!$O91)/V$9,IF($J$7=2,HLOOKUP(V$11,index1970,Query!$O91)/V$9 * HLOOKUP(V$11,comboutfac,Query!$O91),HLOOKUP(V$11,index1970,Query!$O91)/V$9 * HLOOKUP(V$11,comboutfac,Query!$O91) /V$8))</f>
        <v>5.4789217151893048</v>
      </c>
      <c r="W56" s="120">
        <f ca="1">IF($J$7=1,HLOOKUP(W$11,index1970,Query!$O91)/W$9,IF($J$7=2,HLOOKUP(W$11,index1970,Query!$O91)/W$9 * HLOOKUP(W$11,comboutfac,Query!$O91),HLOOKUP(W$11,index1970,Query!$O91)/W$9 * HLOOKUP(W$11,comboutfac,Query!$O91) /W$8))</f>
        <v>5.855803538873027</v>
      </c>
      <c r="X56" s="120">
        <f ca="1">IF($J$7=1,HLOOKUP(X$11,index1970,Query!$O91)/X$9,IF($J$7=2,HLOOKUP(X$11,index1970,Query!$O91)/X$9 * HLOOKUP(X$11,comboutfac,Query!$O91),HLOOKUP(X$11,index1970,Query!$O91)/X$9 * HLOOKUP(X$11,comboutfac,Query!$O91) /X$8))</f>
        <v>5.5086457673538911</v>
      </c>
      <c r="Y56" s="120">
        <f ca="1">IF($J$7=1,HLOOKUP(Y$11,index1970,Query!$O91)/Y$9,IF($J$7=2,HLOOKUP(Y$11,index1970,Query!$O91)/Y$9 * HLOOKUP(Y$11,comboutfac,Query!$O91),HLOOKUP(Y$11,index1970,Query!$O91)/Y$9 * HLOOKUP(Y$11,comboutfac,Query!$O91) /Y$8))</f>
        <v>5.627776170209505</v>
      </c>
      <c r="Z56" s="120">
        <f ca="1">IF($J$7=1,HLOOKUP(Z$11,index1970,Query!$O91)/Z$9,IF($J$7=2,HLOOKUP(Z$11,index1970,Query!$O91)/Z$9 * HLOOKUP(Z$11,comboutfac,Query!$O91),HLOOKUP(Z$11,index1970,Query!$O91)/Z$9 * HLOOKUP(Z$11,comboutfac,Query!$O91) /Z$8))</f>
        <v>6.7101552259198405</v>
      </c>
      <c r="AA56" s="120">
        <f ca="1">IF($J$7=1,HLOOKUP(AA$11,index1970,Query!$O91)/AA$9,IF($J$7=2,HLOOKUP(AA$11,index1970,Query!$O91)/AA$9 * HLOOKUP(AA$11,comboutfac,Query!$O91),HLOOKUP(AA$11,index1970,Query!$O91)/AA$9 * HLOOKUP(AA$11,comboutfac,Query!$O91) /AA$8))</f>
        <v>5.4729021422416055</v>
      </c>
      <c r="AB56" s="120">
        <f ca="1">IF($J$7=1,HLOOKUP(AB$11,index1970,Query!$O91)/AB$9,IF($J$7=2,HLOOKUP(AB$11,index1970,Query!$O91)/AB$9 * HLOOKUP(AB$11,comboutfac,Query!$O91),HLOOKUP(AB$11,index1970,Query!$O91)/AB$9 * HLOOKUP(AB$11,comboutfac,Query!$O91) /AB$8))</f>
        <v>5.5836328910289987</v>
      </c>
      <c r="AC56" s="120">
        <f ca="1">IF($J$7=1,HLOOKUP(AC$11,index1970,Query!$O91)/AC$9,IF($J$7=2,HLOOKUP(AC$11,index1970,Query!$O91)/AC$9 * HLOOKUP(AC$11,comboutfac,Query!$O91),HLOOKUP(AC$11,index1970,Query!$O91)/AC$9 * HLOOKUP(AC$11,comboutfac,Query!$O91) /AC$8))</f>
        <v>6.9917863462723959</v>
      </c>
      <c r="AD56" s="120">
        <f ca="1">IF($J$7=1,HLOOKUP(AD$11,index1970,Query!$O91)/AD$9,IF($J$7=2,HLOOKUP(AD$11,index1970,Query!$O91)/AD$9 * HLOOKUP(AD$11,comboutfac,Query!$O91),HLOOKUP(AD$11,index1970,Query!$O91)/AD$9 * HLOOKUP(AD$11,comboutfac,Query!$O91) /AD$8))</f>
        <v>5.4626603363569997</v>
      </c>
      <c r="AE56" s="120">
        <f ca="1">IF($J$7=1,HLOOKUP(AE$11,index1970,Query!$O91)/AE$9,IF($J$7=2,HLOOKUP(AE$11,index1970,Query!$O91)/AE$9 * HLOOKUP(AE$11,comboutfac,Query!$O91),HLOOKUP(AE$11,index1970,Query!$O91)/AE$9 * HLOOKUP(AE$11,comboutfac,Query!$O91) /AE$8))</f>
        <v>4.7315837465874733</v>
      </c>
      <c r="AF56" s="120">
        <f ca="1">IF($J$7=1,HLOOKUP(AF$11,index1970,Query!$O91)/AF$9,IF($J$7=2,HLOOKUP(AF$11,index1970,Query!$O91)/AF$9 * HLOOKUP(AF$11,comboutfac,Query!$O91),HLOOKUP(AF$11,index1970,Query!$O91)/AF$9 * HLOOKUP(AF$11,comboutfac,Query!$O91) /AF$8))</f>
        <v>7.7145075770803047</v>
      </c>
      <c r="AG56" s="120">
        <f ca="1">IF($J$7=1,HLOOKUP(AG$11,index1970,Query!$O91)/AG$9,IF($J$7=2,HLOOKUP(AG$11,index1970,Query!$O91)/AG$9 * HLOOKUP(AG$11,comboutfac,Query!$O91),HLOOKUP(AG$11,index1970,Query!$O91)/AG$9 * HLOOKUP(AG$11,comboutfac,Query!$O91) /AG$8))</f>
        <v>5.5548006689402163</v>
      </c>
      <c r="AH56" s="120">
        <f ca="1">IF($J$7=1,HLOOKUP(AH$11,index1970,Query!$O91)/AH$9,IF($J$7=2,HLOOKUP(AH$11,index1970,Query!$O91)/AH$9 * HLOOKUP(AH$11,comboutfac,Query!$O91),HLOOKUP(AH$11,index1970,Query!$O91)/AH$9 * HLOOKUP(AH$11,comboutfac,Query!$O91) /AH$8))</f>
        <v>4.7251486369156792</v>
      </c>
      <c r="AI56" s="120">
        <f ca="1">IF($J$7=1,HLOOKUP(AI$11,index1970,Query!$O91)/AI$9,IF($J$7=2,HLOOKUP(AI$11,index1970,Query!$O91)/AI$9 * HLOOKUP(AI$11,comboutfac,Query!$O91),HLOOKUP(AI$11,index1970,Query!$O91)/AI$9 * HLOOKUP(AI$11,comboutfac,Query!$O91) /AI$8))</f>
        <v>4.9025353621353007</v>
      </c>
      <c r="AJ56" s="120">
        <f ca="1">IF($J$7=1,HLOOKUP(AJ$11,index1970,Query!$O91)/AJ$9,IF($J$7=2,HLOOKUP(AJ$11,index1970,Query!$O91)/AJ$9 * HLOOKUP(AJ$11,comboutfac,Query!$O91),HLOOKUP(AJ$11,index1970,Query!$O91)/AJ$9 * HLOOKUP(AJ$11,comboutfac,Query!$O91) /AJ$8))</f>
        <v>4.6883676783696977</v>
      </c>
      <c r="AK56" s="120">
        <f ca="1">IF($J$7=1,HLOOKUP(AK$11,index1970,Query!$O91)/AK$9,IF($J$7=2,HLOOKUP(AK$11,index1970,Query!$O91)/AK$9 * HLOOKUP(AK$11,comboutfac,Query!$O91),HLOOKUP(AK$11,index1970,Query!$O91)/AK$9 * HLOOKUP(AK$11,comboutfac,Query!$O91) /AK$8))</f>
        <v>4.8737220025096493</v>
      </c>
      <c r="AL56" s="120">
        <f ca="1">IF($J$7=1,HLOOKUP(AL$11,index1970,Query!$O91)/AL$9,IF($J$7=2,HLOOKUP(AL$11,index1970,Query!$O91)/AL$9 * HLOOKUP(AL$11,comboutfac,Query!$O91),HLOOKUP(AL$11,index1970,Query!$O91)/AL$9 * HLOOKUP(AL$11,comboutfac,Query!$O91) /AL$8))</f>
        <v>7.3386231952419214</v>
      </c>
      <c r="AM56" s="120">
        <f ca="1">IF($J$7=1,HLOOKUP(AM$11,index1970,Query!$O91)/AM$9,IF($J$7=2,HLOOKUP(AM$11,index1970,Query!$O91)/AM$9 * HLOOKUP(AM$11,comboutfac,Query!$O91),HLOOKUP(AM$11,index1970,Query!$O91)/AM$9 * HLOOKUP(AM$11,comboutfac,Query!$O91) /AM$8))</f>
        <v>4.8305676394207593</v>
      </c>
      <c r="AN56" s="120">
        <f ca="1">IF($J$7=1,HLOOKUP(AN$11,index1970,Query!$O91)/AN$9,IF($J$7=2,HLOOKUP(AN$11,index1970,Query!$O91)/AN$9 * HLOOKUP(AN$11,comboutfac,Query!$O91),HLOOKUP(AN$11,index1970,Query!$O91)/AN$9 * HLOOKUP(AN$11,comboutfac,Query!$O91) /AN$8))</f>
        <v>7.3032622285322057</v>
      </c>
      <c r="AO56" s="120">
        <f ca="1">IF($J$7=1,HLOOKUP(AO$11,index1970,Query!$O91)/AO$9,IF($J$7=2,HLOOKUP(AO$11,index1970,Query!$O91)/AO$9 * HLOOKUP(AO$11,comboutfac,Query!$O91),HLOOKUP(AO$11,index1970,Query!$O91)/AO$9 * HLOOKUP(AO$11,comboutfac,Query!$O91) /AO$8))</f>
        <v>4.831477076181371</v>
      </c>
      <c r="AP56" s="120">
        <f ca="1">IF($J$7=1,HLOOKUP(AP$11,index1970,Query!$O91)/AP$9,IF($J$7=2,HLOOKUP(AP$11,index1970,Query!$O91)/AP$9 * HLOOKUP(AP$11,comboutfac,Query!$O91),HLOOKUP(AP$11,index1970,Query!$O91)/AP$9 * HLOOKUP(AP$11,comboutfac,Query!$O91) /AP$8))</f>
        <v>7.796107547399858</v>
      </c>
      <c r="AQ56" s="683">
        <f ca="1">IF($J$7=1,HLOOKUP(AQ$11,index1970,Query!$O91)/AQ$9,IF($J$7=2,HLOOKUP(AQ$11,index1970,Query!$O91)/AQ$9 * HLOOKUP(AQ$11,comboutfac,Query!$O91),HLOOKUP(AQ$11,index1970,Query!$O91)/AQ$9 * HLOOKUP(AQ$11,comboutfac,Query!$O91) /AQ$8))</f>
        <v>6.3588915317902401</v>
      </c>
      <c r="AR56" s="120">
        <f ca="1">IF($J$7=1,HLOOKUP(AR$11,index1970,Query!$O91)/AR$9,IF($J$7=2,HLOOKUP(AR$11,index1970,Query!$O91)/AR$9 * HLOOKUP(AR$11,comboutfac,Query!$O91),HLOOKUP(AR$11,index1970,Query!$O91)/AR$9 * HLOOKUP(AR$11,comboutfac,Query!$O91) /AR$8))</f>
        <v>5.5615294706056568</v>
      </c>
      <c r="AS56" s="213"/>
    </row>
    <row r="57" spans="1:45" s="122" customFormat="1">
      <c r="A57" s="121">
        <f t="shared" si="7"/>
        <v>2013</v>
      </c>
      <c r="B57" s="120">
        <f ca="1">IF($J$7=1,HLOOKUP(B$11,index1970,Query!$O92)/B$9,IF($J$7=2,HLOOKUP(B$11,index1970,Query!$O92)/B$9 * HLOOKUP(B$11,comboutfac,Query!$O92),HLOOKUP(B$11,index1970,Query!$O92)/B$9 * HLOOKUP(B$11,comboutfac,Query!$O92) /B$8))</f>
        <v>5.6400667083760627</v>
      </c>
      <c r="C57" s="120">
        <f ca="1">IF($J$7=1,HLOOKUP(C$11,index1970,Query!$O92)/C$9,IF($J$7=2,HLOOKUP(C$11,index1970,Query!$O92)/C$9 * HLOOKUP(C$11,comboutfac,Query!$O92),HLOOKUP(C$11,index1970,Query!$O92)/C$9 * HLOOKUP(C$11,comboutfac,Query!$O92) /C$8))</f>
        <v>5.5197354683847415</v>
      </c>
      <c r="D57" s="120">
        <f ca="1">IF($J$7=1,HLOOKUP(D$11,index1970,Query!$O92)/D$9,IF($J$7=2,HLOOKUP(D$11,index1970,Query!$O92)/D$9 * HLOOKUP(D$11,comboutfac,Query!$O92),HLOOKUP(D$11,index1970,Query!$O92)/D$9 * HLOOKUP(D$11,comboutfac,Query!$O92) /D$8))</f>
        <v>5.4828235360571318</v>
      </c>
      <c r="E57" s="120">
        <f ca="1">IF($J$7=1,HLOOKUP(E$11,index1970,Query!$O92)/E$9,IF($J$7=2,HLOOKUP(E$11,index1970,Query!$O92)/E$9 * HLOOKUP(E$11,comboutfac,Query!$O92),HLOOKUP(E$11,index1970,Query!$O92)/E$9 * HLOOKUP(E$11,comboutfac,Query!$O92) /E$8))</f>
        <v>5.8168293134535585</v>
      </c>
      <c r="F57" s="120">
        <f ca="1">IF($J$7=1,HLOOKUP(F$11,index1970,Query!$O92)/F$9,IF($J$7=2,HLOOKUP(F$11,index1970,Query!$O92)/F$9 * HLOOKUP(F$11,comboutfac,Query!$O92),HLOOKUP(F$11,index1970,Query!$O92)/F$9 * HLOOKUP(F$11,comboutfac,Query!$O92) /F$8))</f>
        <v>5.4828235360571318</v>
      </c>
      <c r="G57" s="120">
        <f ca="1">IF($J$7=1,HLOOKUP(G$11,index1970,Query!$O92)/G$9,IF($J$7=2,HLOOKUP(G$11,index1970,Query!$O92)/G$9 * HLOOKUP(G$11,comboutfac,Query!$O92),HLOOKUP(G$11,index1970,Query!$O92)/G$9 * HLOOKUP(G$11,comboutfac,Query!$O92) /G$8))</f>
        <v>5.7266880207909479</v>
      </c>
      <c r="H57" s="120">
        <f ca="1">IF($J$7=1,HLOOKUP(H$11,index1970,Query!$O92)/H$9,IF($J$7=2,HLOOKUP(H$11,index1970,Query!$O92)/H$9 * HLOOKUP(H$11,comboutfac,Query!$O92),HLOOKUP(H$11,index1970,Query!$O92)/H$9 * HLOOKUP(H$11,comboutfac,Query!$O92) /H$8))</f>
        <v>5.5546007583363739</v>
      </c>
      <c r="I57" s="120">
        <f ca="1">IF($J$7=1,HLOOKUP(I$11,index1970,Query!$O92)/I$9,IF($J$7=2,HLOOKUP(I$11,index1970,Query!$O92)/I$9 * HLOOKUP(I$11,comboutfac,Query!$O92),HLOOKUP(I$11,index1970,Query!$O92)/I$9 * HLOOKUP(I$11,comboutfac,Query!$O92) /I$8))</f>
        <v>5.6004753921138599</v>
      </c>
      <c r="J57" s="120">
        <f ca="1">IF($J$7=1,HLOOKUP(J$11,index1970,Query!$O92)/J$9,IF($J$7=2,HLOOKUP(J$11,index1970,Query!$O92)/J$9 * HLOOKUP(J$11,comboutfac,Query!$O92),HLOOKUP(J$11,index1970,Query!$O92)/J$9 * HLOOKUP(J$11,comboutfac,Query!$O92) /J$8))</f>
        <v>11.533722969461113</v>
      </c>
      <c r="K57" s="120">
        <f ca="1">IF($J$7=1,HLOOKUP(K$11,index1970,Query!$O92)/K$9,IF($J$7=2,HLOOKUP(K$11,index1970,Query!$O92)/K$9 * HLOOKUP(K$11,comboutfac,Query!$O92),HLOOKUP(K$11,index1970,Query!$O92)/K$9 * HLOOKUP(K$11,comboutfac,Query!$O92) /K$8))</f>
        <v>7.9398481585053249</v>
      </c>
      <c r="L57" s="120">
        <f ca="1">IF($J$7=1,HLOOKUP(L$11,index1970,Query!$O92)/L$9,IF($J$7=2,HLOOKUP(L$11,index1970,Query!$O92)/L$9 * HLOOKUP(L$11,comboutfac,Query!$O92),HLOOKUP(L$11,index1970,Query!$O92)/L$9 * HLOOKUP(L$11,comboutfac,Query!$O92) /L$8))</f>
        <v>5.8522898315375764</v>
      </c>
      <c r="M57" s="120">
        <f ca="1">IF($J$7=1,HLOOKUP(M$11,index1970,Query!$O92)/M$9,IF($J$7=2,HLOOKUP(M$11,index1970,Query!$O92)/M$9 * HLOOKUP(M$11,comboutfac,Query!$O92),HLOOKUP(M$11,index1970,Query!$O92)/M$9 * HLOOKUP(M$11,comboutfac,Query!$O92) /M$8))</f>
        <v>4.8795941980198991</v>
      </c>
      <c r="N57" s="120">
        <f ca="1">IF($J$7=1,HLOOKUP(N$11,index1970,Query!$O92)/N$9,IF($J$7=2,HLOOKUP(N$11,index1970,Query!$O92)/N$9 * HLOOKUP(N$11,comboutfac,Query!$O92),HLOOKUP(N$11,index1970,Query!$O92)/N$9 * HLOOKUP(N$11,comboutfac,Query!$O92) /N$8))</f>
        <v>5.6211988024131774</v>
      </c>
      <c r="O57" s="120">
        <f ca="1">IF($J$7=1,HLOOKUP(O$11,index1970,Query!$O92)/O$9,IF($J$7=2,HLOOKUP(O$11,index1970,Query!$O92)/O$9 * HLOOKUP(O$11,comboutfac,Query!$O92),HLOOKUP(O$11,index1970,Query!$O92)/O$9 * HLOOKUP(O$11,comboutfac,Query!$O92) /O$8))</f>
        <v>5.587990589969297</v>
      </c>
      <c r="P57" s="120">
        <f ca="1">IF($J$7=1,HLOOKUP(P$11,index1970,Query!$O92)/P$9,IF($J$7=2,HLOOKUP(P$11,index1970,Query!$O92)/P$9 * HLOOKUP(P$11,comboutfac,Query!$O92),HLOOKUP(P$11,index1970,Query!$O92)/P$9 * HLOOKUP(P$11,comboutfac,Query!$O92) /P$8))</f>
        <v>7.7420641352986888</v>
      </c>
      <c r="Q57" s="120">
        <f ca="1">IF($J$7=1,HLOOKUP(Q$11,index1970,Query!$O92)/Q$9,IF($J$7=2,HLOOKUP(Q$11,index1970,Query!$O92)/Q$9 * HLOOKUP(Q$11,comboutfac,Query!$O92),HLOOKUP(Q$11,index1970,Query!$O92)/Q$9 * HLOOKUP(Q$11,comboutfac,Query!$O92) /Q$8))</f>
        <v>4.9022196535765001</v>
      </c>
      <c r="R57" s="120">
        <f ca="1">IF($J$7=1,HLOOKUP(R$11,index1970,Query!$O92)/R$9,IF($J$7=2,HLOOKUP(R$11,index1970,Query!$O92)/R$9 * HLOOKUP(R$11,comboutfac,Query!$O92),HLOOKUP(R$11,index1970,Query!$O92)/R$9 * HLOOKUP(R$11,comboutfac,Query!$O92) /R$8))</f>
        <v>7.5881525167800401</v>
      </c>
      <c r="S57" s="120">
        <f ca="1">IF($J$7=1,HLOOKUP(S$11,index1970,Query!$O92)/S$9,IF($J$7=2,HLOOKUP(S$11,index1970,Query!$O92)/S$9 * HLOOKUP(S$11,comboutfac,Query!$O92),HLOOKUP(S$11,index1970,Query!$O92)/S$9 * HLOOKUP(S$11,comboutfac,Query!$O92) /S$8))</f>
        <v>4.9010897661372566</v>
      </c>
      <c r="T57" s="120">
        <f ca="1">IF($J$7=1,HLOOKUP(T$11,index1970,Query!$O92)/T$9,IF($J$7=2,HLOOKUP(T$11,index1970,Query!$O92)/T$9 * HLOOKUP(T$11,comboutfac,Query!$O92),HLOOKUP(T$11,index1970,Query!$O92)/T$9 * HLOOKUP(T$11,comboutfac,Query!$O92) /T$8))</f>
        <v>4.7895506734269917</v>
      </c>
      <c r="U57" s="120">
        <f ca="1">IF($J$7=1,HLOOKUP(U$11,index1970,Query!$O92)/U$9,IF($J$7=2,HLOOKUP(U$11,index1970,Query!$O92)/U$9 * HLOOKUP(U$11,comboutfac,Query!$O92),HLOOKUP(U$11,index1970,Query!$O92)/U$9 * HLOOKUP(U$11,comboutfac,Query!$O92) /U$8))</f>
        <v>6.3209312176835768</v>
      </c>
      <c r="V57" s="120">
        <f ca="1">IF($J$7=1,HLOOKUP(V$11,index1970,Query!$O92)/V$9,IF($J$7=2,HLOOKUP(V$11,index1970,Query!$O92)/V$9 * HLOOKUP(V$11,comboutfac,Query!$O92),HLOOKUP(V$11,index1970,Query!$O92)/V$9 * HLOOKUP(V$11,comboutfac,Query!$O92) /V$8))</f>
        <v>5.5546138213850904</v>
      </c>
      <c r="W57" s="120">
        <f ca="1">IF($J$7=1,HLOOKUP(W$11,index1970,Query!$O92)/W$9,IF($J$7=2,HLOOKUP(W$11,index1970,Query!$O92)/W$9 * HLOOKUP(W$11,comboutfac,Query!$O92),HLOOKUP(W$11,index1970,Query!$O92)/W$9 * HLOOKUP(W$11,comboutfac,Query!$O92) /W$8))</f>
        <v>5.9109820059139428</v>
      </c>
      <c r="X57" s="120">
        <f ca="1">IF($J$7=1,HLOOKUP(X$11,index1970,Query!$O92)/X$9,IF($J$7=2,HLOOKUP(X$11,index1970,Query!$O92)/X$9 * HLOOKUP(X$11,comboutfac,Query!$O92),HLOOKUP(X$11,index1970,Query!$O92)/X$9 * HLOOKUP(X$11,comboutfac,Query!$O92) /X$8))</f>
        <v>5.5675076184629866</v>
      </c>
      <c r="Y57" s="120">
        <f ca="1">IF($J$7=1,HLOOKUP(Y$11,index1970,Query!$O92)/Y$9,IF($J$7=2,HLOOKUP(Y$11,index1970,Query!$O92)/Y$9 * HLOOKUP(Y$11,comboutfac,Query!$O92),HLOOKUP(Y$11,index1970,Query!$O92)/Y$9 * HLOOKUP(Y$11,comboutfac,Query!$O92) /Y$8))</f>
        <v>5.6834679119330636</v>
      </c>
      <c r="Z57" s="120">
        <f ca="1">IF($J$7=1,HLOOKUP(Z$11,index1970,Query!$O92)/Z$9,IF($J$7=2,HLOOKUP(Z$11,index1970,Query!$O92)/Z$9 * HLOOKUP(Z$11,comboutfac,Query!$O92),HLOOKUP(Z$11,index1970,Query!$O92)/Z$9 * HLOOKUP(Z$11,comboutfac,Query!$O92) /Z$8))</f>
        <v>6.7991438620916478</v>
      </c>
      <c r="AA57" s="120">
        <f ca="1">IF($J$7=1,HLOOKUP(AA$11,index1970,Query!$O92)/AA$9,IF($J$7=2,HLOOKUP(AA$11,index1970,Query!$O92)/AA$9 * HLOOKUP(AA$11,comboutfac,Query!$O92),HLOOKUP(AA$11,index1970,Query!$O92)/AA$9 * HLOOKUP(AA$11,comboutfac,Query!$O92) /AA$8))</f>
        <v>5.5577504842968795</v>
      </c>
      <c r="AB57" s="120">
        <f ca="1">IF($J$7=1,HLOOKUP(AB$11,index1970,Query!$O92)/AB$9,IF($J$7=2,HLOOKUP(AB$11,index1970,Query!$O92)/AB$9 * HLOOKUP(AB$11,comboutfac,Query!$O92),HLOOKUP(AB$11,index1970,Query!$O92)/AB$9 * HLOOKUP(AB$11,comboutfac,Query!$O92) /AB$8))</f>
        <v>5.623025472309549</v>
      </c>
      <c r="AC57" s="120">
        <f ca="1">IF($J$7=1,HLOOKUP(AC$11,index1970,Query!$O92)/AC$9,IF($J$7=2,HLOOKUP(AC$11,index1970,Query!$O92)/AC$9 * HLOOKUP(AC$11,comboutfac,Query!$O92),HLOOKUP(AC$11,index1970,Query!$O92)/AC$9 * HLOOKUP(AC$11,comboutfac,Query!$O92) /AC$8))</f>
        <v>7.1853027737186945</v>
      </c>
      <c r="AD57" s="120">
        <f ca="1">IF($J$7=1,HLOOKUP(AD$11,index1970,Query!$O92)/AD$9,IF($J$7=2,HLOOKUP(AD$11,index1970,Query!$O92)/AD$9 * HLOOKUP(AD$11,comboutfac,Query!$O92),HLOOKUP(AD$11,index1970,Query!$O92)/AD$9 * HLOOKUP(AD$11,comboutfac,Query!$O92) /AD$8))</f>
        <v>5.5472381956262611</v>
      </c>
      <c r="AE57" s="120">
        <f ca="1">IF($J$7=1,HLOOKUP(AE$11,index1970,Query!$O92)/AE$9,IF($J$7=2,HLOOKUP(AE$11,index1970,Query!$O92)/AE$9 * HLOOKUP(AE$11,comboutfac,Query!$O92),HLOOKUP(AE$11,index1970,Query!$O92)/AE$9 * HLOOKUP(AE$11,comboutfac,Query!$O92) /AE$8))</f>
        <v>4.7967681945482239</v>
      </c>
      <c r="AF57" s="120">
        <f ca="1">IF($J$7=1,HLOOKUP(AF$11,index1970,Query!$O92)/AF$9,IF($J$7=2,HLOOKUP(AF$11,index1970,Query!$O92)/AF$9 * HLOOKUP(AF$11,comboutfac,Query!$O92),HLOOKUP(AF$11,index1970,Query!$O92)/AF$9 * HLOOKUP(AF$11,comboutfac,Query!$O92) /AF$8))</f>
        <v>7.8263384575678661</v>
      </c>
      <c r="AG57" s="120">
        <f ca="1">IF($J$7=1,HLOOKUP(AG$11,index1970,Query!$O92)/AG$9,IF($J$7=2,HLOOKUP(AG$11,index1970,Query!$O92)/AG$9 * HLOOKUP(AG$11,comboutfac,Query!$O92),HLOOKUP(AG$11,index1970,Query!$O92)/AG$9 * HLOOKUP(AG$11,comboutfac,Query!$O92) /AG$8))</f>
        <v>5.6272551694863608</v>
      </c>
      <c r="AH57" s="120">
        <f ca="1">IF($J$7=1,HLOOKUP(AH$11,index1970,Query!$O92)/AH$9,IF($J$7=2,HLOOKUP(AH$11,index1970,Query!$O92)/AH$9 * HLOOKUP(AH$11,comboutfac,Query!$O92),HLOOKUP(AH$11,index1970,Query!$O92)/AH$9 * HLOOKUP(AH$11,comboutfac,Query!$O92) /AH$8))</f>
        <v>4.7825811062669912</v>
      </c>
      <c r="AI57" s="120">
        <f ca="1">IF($J$7=1,HLOOKUP(AI$11,index1970,Query!$O92)/AI$9,IF($J$7=2,HLOOKUP(AI$11,index1970,Query!$O92)/AI$9 * HLOOKUP(AI$11,comboutfac,Query!$O92),HLOOKUP(AI$11,index1970,Query!$O92)/AI$9 * HLOOKUP(AI$11,comboutfac,Query!$O92) /AI$8))</f>
        <v>4.9533836295928415</v>
      </c>
      <c r="AJ57" s="120">
        <f ca="1">IF($J$7=1,HLOOKUP(AJ$11,index1970,Query!$O92)/AJ$9,IF($J$7=2,HLOOKUP(AJ$11,index1970,Query!$O92)/AJ$9 * HLOOKUP(AJ$11,comboutfac,Query!$O92),HLOOKUP(AJ$11,index1970,Query!$O92)/AJ$9 * HLOOKUP(AJ$11,comboutfac,Query!$O92) /AJ$8))</f>
        <v>4.7532345253400416</v>
      </c>
      <c r="AK57" s="120">
        <f ca="1">IF($J$7=1,HLOOKUP(AK$11,index1970,Query!$O92)/AK$9,IF($J$7=2,HLOOKUP(AK$11,index1970,Query!$O92)/AK$9 * HLOOKUP(AK$11,comboutfac,Query!$O92),HLOOKUP(AK$11,index1970,Query!$O92)/AK$9 * HLOOKUP(AK$11,comboutfac,Query!$O92) /AK$8))</f>
        <v>4.9248733752765022</v>
      </c>
      <c r="AL57" s="120">
        <f ca="1">IF($J$7=1,HLOOKUP(AL$11,index1970,Query!$O92)/AL$9,IF($J$7=2,HLOOKUP(AL$11,index1970,Query!$O92)/AL$9 * HLOOKUP(AL$11,comboutfac,Query!$O92),HLOOKUP(AL$11,index1970,Query!$O92)/AL$9 * HLOOKUP(AL$11,comboutfac,Query!$O92) /AL$8))</f>
        <v>7.4584289407682105</v>
      </c>
      <c r="AM57" s="120">
        <f ca="1">IF($J$7=1,HLOOKUP(AM$11,index1970,Query!$O92)/AM$9,IF($J$7=2,HLOOKUP(AM$11,index1970,Query!$O92)/AM$9 * HLOOKUP(AM$11,comboutfac,Query!$O92),HLOOKUP(AM$11,index1970,Query!$O92)/AM$9 * HLOOKUP(AM$11,comboutfac,Query!$O92) /AM$8))</f>
        <v>4.9040437402655854</v>
      </c>
      <c r="AN57" s="120">
        <f ca="1">IF($J$7=1,HLOOKUP(AN$11,index1970,Query!$O92)/AN$9,IF($J$7=2,HLOOKUP(AN$11,index1970,Query!$O92)/AN$9 * HLOOKUP(AN$11,comboutfac,Query!$O92),HLOOKUP(AN$11,index1970,Query!$O92)/AN$9 * HLOOKUP(AN$11,comboutfac,Query!$O92) /AN$8))</f>
        <v>7.4230242901436325</v>
      </c>
      <c r="AO57" s="120">
        <f ca="1">IF($J$7=1,HLOOKUP(AO$11,index1970,Query!$O92)/AO$9,IF($J$7=2,HLOOKUP(AO$11,index1970,Query!$O92)/AO$9 * HLOOKUP(AO$11,comboutfac,Query!$O92),HLOOKUP(AO$11,index1970,Query!$O92)/AO$9 * HLOOKUP(AO$11,comboutfac,Query!$O92) /AO$8))</f>
        <v>4.9063566848276885</v>
      </c>
      <c r="AP57" s="120">
        <f ca="1">IF($J$7=1,HLOOKUP(AP$11,index1970,Query!$O92)/AP$9,IF($J$7=2,HLOOKUP(AP$11,index1970,Query!$O92)/AP$9 * HLOOKUP(AP$11,comboutfac,Query!$O92),HLOOKUP(AP$11,index1970,Query!$O92)/AP$9 * HLOOKUP(AP$11,comboutfac,Query!$O92) /AP$8))</f>
        <v>7.910356131251568</v>
      </c>
      <c r="AQ57" s="683">
        <f ca="1">IF($J$7=1,HLOOKUP(AQ$11,index1970,Query!$O92)/AQ$9,IF($J$7=2,HLOOKUP(AQ$11,index1970,Query!$O92)/AQ$9 * HLOOKUP(AQ$11,comboutfac,Query!$O92),HLOOKUP(AQ$11,index1970,Query!$O92)/AQ$9 * HLOOKUP(AQ$11,comboutfac,Query!$O92) /AQ$8))</f>
        <v>6.4836449304624999</v>
      </c>
      <c r="AR57" s="120">
        <f ca="1">IF($J$7=1,HLOOKUP(AR$11,index1970,Query!$O92)/AR$9,IF($J$7=2,HLOOKUP(AR$11,index1970,Query!$O92)/AR$9 * HLOOKUP(AR$11,comboutfac,Query!$O92),HLOOKUP(AR$11,index1970,Query!$O92)/AR$9 * HLOOKUP(AR$11,comboutfac,Query!$O92) /AR$8))</f>
        <v>5.641003017009254</v>
      </c>
      <c r="AS57" s="213"/>
    </row>
    <row r="58" spans="1:45" s="122" customFormat="1">
      <c r="A58" s="121">
        <f t="shared" si="7"/>
        <v>2014</v>
      </c>
      <c r="B58" s="120">
        <f ca="1">IF($J$7=1,HLOOKUP(B$11,index1970,Query!$O93)/B$9,IF($J$7=2,HLOOKUP(B$11,index1970,Query!$O93)/B$9 * HLOOKUP(B$11,comboutfac,Query!$O93),HLOOKUP(B$11,index1970,Query!$O93)/B$9 * HLOOKUP(B$11,comboutfac,Query!$O93) /B$8))</f>
        <v>5.7138674930983004</v>
      </c>
      <c r="C58" s="120">
        <f ca="1">IF($J$7=1,HLOOKUP(C$11,index1970,Query!$O93)/C$9,IF($J$7=2,HLOOKUP(C$11,index1970,Query!$O93)/C$9 * HLOOKUP(C$11,comboutfac,Query!$O93),HLOOKUP(C$11,index1970,Query!$O93)/C$9 * HLOOKUP(C$11,comboutfac,Query!$O93) /C$8))</f>
        <v>5.5930617304437753</v>
      </c>
      <c r="D58" s="120">
        <f ca="1">IF($J$7=1,HLOOKUP(D$11,index1970,Query!$O93)/D$9,IF($J$7=2,HLOOKUP(D$11,index1970,Query!$O93)/D$9 * HLOOKUP(D$11,comboutfac,Query!$O93),HLOOKUP(D$11,index1970,Query!$O93)/D$9 * HLOOKUP(D$11,comboutfac,Query!$O93) /D$8))</f>
        <v>5.5546656698064689</v>
      </c>
      <c r="E58" s="120">
        <f ca="1">IF($J$7=1,HLOOKUP(E$11,index1970,Query!$O93)/E$9,IF($J$7=2,HLOOKUP(E$11,index1970,Query!$O93)/E$9 * HLOOKUP(E$11,comboutfac,Query!$O93),HLOOKUP(E$11,index1970,Query!$O93)/E$9 * HLOOKUP(E$11,comboutfac,Query!$O93) /E$8))</f>
        <v>5.8604555333044601</v>
      </c>
      <c r="F58" s="120">
        <f ca="1">IF($J$7=1,HLOOKUP(F$11,index1970,Query!$O93)/F$9,IF($J$7=2,HLOOKUP(F$11,index1970,Query!$O93)/F$9 * HLOOKUP(F$11,comboutfac,Query!$O93),HLOOKUP(F$11,index1970,Query!$O93)/F$9 * HLOOKUP(F$11,comboutfac,Query!$O93) /F$8))</f>
        <v>5.5546656698064689</v>
      </c>
      <c r="G58" s="120">
        <f ca="1">IF($J$7=1,HLOOKUP(G$11,index1970,Query!$O93)/G$9,IF($J$7=2,HLOOKUP(G$11,index1970,Query!$O93)/G$9 * HLOOKUP(G$11,comboutfac,Query!$O93),HLOOKUP(G$11,index1970,Query!$O93)/G$9 * HLOOKUP(G$11,comboutfac,Query!$O93) /G$8))</f>
        <v>5.8138015636770772</v>
      </c>
      <c r="H58" s="120">
        <f ca="1">IF($J$7=1,HLOOKUP(H$11,index1970,Query!$O93)/H$9,IF($J$7=2,HLOOKUP(H$11,index1970,Query!$O93)/H$9 * HLOOKUP(H$11,comboutfac,Query!$O93),HLOOKUP(H$11,index1970,Query!$O93)/H$9 * HLOOKUP(H$11,comboutfac,Query!$O93) /H$8))</f>
        <v>5.6307280186224125</v>
      </c>
      <c r="I58" s="120">
        <f ca="1">IF($J$7=1,HLOOKUP(I$11,index1970,Query!$O93)/I$9,IF($J$7=2,HLOOKUP(I$11,index1970,Query!$O93)/I$9 * HLOOKUP(I$11,comboutfac,Query!$O93),HLOOKUP(I$11,index1970,Query!$O93)/I$9 * HLOOKUP(I$11,comboutfac,Query!$O93) /I$8))</f>
        <v>5.6723645442524626</v>
      </c>
      <c r="J58" s="120">
        <f ca="1">IF($J$7=1,HLOOKUP(J$11,index1970,Query!$O93)/J$9,IF($J$7=2,HLOOKUP(J$11,index1970,Query!$O93)/J$9 * HLOOKUP(J$11,comboutfac,Query!$O93),HLOOKUP(J$11,index1970,Query!$O93)/J$9 * HLOOKUP(J$11,comboutfac,Query!$O93) /J$8))</f>
        <v>11.199245003346741</v>
      </c>
      <c r="K58" s="120">
        <f ca="1">IF($J$7=1,HLOOKUP(K$11,index1970,Query!$O93)/K$9,IF($J$7=2,HLOOKUP(K$11,index1970,Query!$O93)/K$9 * HLOOKUP(K$11,comboutfac,Query!$O93),HLOOKUP(K$11,index1970,Query!$O93)/K$9 * HLOOKUP(K$11,comboutfac,Query!$O93) /K$8))</f>
        <v>8.0329664468318089</v>
      </c>
      <c r="L58" s="120">
        <f ca="1">IF($J$7=1,HLOOKUP(L$11,index1970,Query!$O93)/L$9,IF($J$7=2,HLOOKUP(L$11,index1970,Query!$O93)/L$9 * HLOOKUP(L$11,comboutfac,Query!$O93),HLOOKUP(L$11,index1970,Query!$O93)/L$9 * HLOOKUP(L$11,comboutfac,Query!$O93) /L$8))</f>
        <v>5.9366435925697516</v>
      </c>
      <c r="M58" s="120">
        <f ca="1">IF($J$7=1,HLOOKUP(M$11,index1970,Query!$O93)/M$9,IF($J$7=2,HLOOKUP(M$11,index1970,Query!$O93)/M$9 * HLOOKUP(M$11,comboutfac,Query!$O93),HLOOKUP(M$11,index1970,Query!$O93)/M$9 * HLOOKUP(M$11,comboutfac,Query!$O93) /M$8))</f>
        <v>4.9740461482200375</v>
      </c>
      <c r="N58" s="120">
        <f ca="1">IF($J$7=1,HLOOKUP(N$11,index1970,Query!$O93)/N$9,IF($J$7=2,HLOOKUP(N$11,index1970,Query!$O93)/N$9 * HLOOKUP(N$11,comboutfac,Query!$O93),HLOOKUP(N$11,index1970,Query!$O93)/N$9 * HLOOKUP(N$11,comboutfac,Query!$O93) /N$8))</f>
        <v>5.7022216625486823</v>
      </c>
      <c r="O58" s="120">
        <f ca="1">IF($J$7=1,HLOOKUP(O$11,index1970,Query!$O93)/O$9,IF($J$7=2,HLOOKUP(O$11,index1970,Query!$O93)/O$9 * HLOOKUP(O$11,comboutfac,Query!$O93),HLOOKUP(O$11,index1970,Query!$O93)/O$9 * HLOOKUP(O$11,comboutfac,Query!$O93) /O$8))</f>
        <v>5.6632991291925832</v>
      </c>
      <c r="P58" s="120">
        <f ca="1">IF($J$7=1,HLOOKUP(P$11,index1970,Query!$O93)/P$9,IF($J$7=2,HLOOKUP(P$11,index1970,Query!$O93)/P$9 * HLOOKUP(P$11,comboutfac,Query!$O93),HLOOKUP(P$11,index1970,Query!$O93)/P$9 * HLOOKUP(P$11,comboutfac,Query!$O93) /P$8))</f>
        <v>7.837306414682164</v>
      </c>
      <c r="Q58" s="120">
        <f ca="1">IF($J$7=1,HLOOKUP(Q$11,index1970,Query!$O93)/Q$9,IF($J$7=2,HLOOKUP(Q$11,index1970,Query!$O93)/Q$9 * HLOOKUP(Q$11,comboutfac,Query!$O93),HLOOKUP(Q$11,index1970,Query!$O93)/Q$9 * HLOOKUP(Q$11,comboutfac,Query!$O93) /Q$8))</f>
        <v>4.9745056347301579</v>
      </c>
      <c r="R58" s="120">
        <f ca="1">IF($J$7=1,HLOOKUP(R$11,index1970,Query!$O93)/R$9,IF($J$7=2,HLOOKUP(R$11,index1970,Query!$O93)/R$9 * HLOOKUP(R$11,comboutfac,Query!$O93),HLOOKUP(R$11,index1970,Query!$O93)/R$9 * HLOOKUP(R$11,comboutfac,Query!$O93) /R$8))</f>
        <v>7.681659750872698</v>
      </c>
      <c r="S58" s="120">
        <f ca="1">IF($J$7=1,HLOOKUP(S$11,index1970,Query!$O93)/S$9,IF($J$7=2,HLOOKUP(S$11,index1970,Query!$O93)/S$9 * HLOOKUP(S$11,comboutfac,Query!$O93),HLOOKUP(S$11,index1970,Query!$O93)/S$9 * HLOOKUP(S$11,comboutfac,Query!$O93) /S$8))</f>
        <v>4.971664268245874</v>
      </c>
      <c r="T58" s="120">
        <f ca="1">IF($J$7=1,HLOOKUP(T$11,index1970,Query!$O93)/T$9,IF($J$7=2,HLOOKUP(T$11,index1970,Query!$O93)/T$9 * HLOOKUP(T$11,comboutfac,Query!$O93),HLOOKUP(T$11,index1970,Query!$O93)/T$9 * HLOOKUP(T$11,comboutfac,Query!$O93) /T$8))</f>
        <v>4.858341206874444</v>
      </c>
      <c r="U58" s="120">
        <f ca="1">IF($J$7=1,HLOOKUP(U$11,index1970,Query!$O93)/U$9,IF($J$7=2,HLOOKUP(U$11,index1970,Query!$O93)/U$9 * HLOOKUP(U$11,comboutfac,Query!$O93),HLOOKUP(U$11,index1970,Query!$O93)/U$9 * HLOOKUP(U$11,comboutfac,Query!$O93) /U$8))</f>
        <v>6.4511656677449398</v>
      </c>
      <c r="V58" s="120">
        <f ca="1">IF($J$7=1,HLOOKUP(V$11,index1970,Query!$O93)/V$9,IF($J$7=2,HLOOKUP(V$11,index1970,Query!$O93)/V$9 * HLOOKUP(V$11,comboutfac,Query!$O93),HLOOKUP(V$11,index1970,Query!$O93)/V$9 * HLOOKUP(V$11,comboutfac,Query!$O93) /V$8))</f>
        <v>5.6332643705631664</v>
      </c>
      <c r="W58" s="120">
        <f ca="1">IF($J$7=1,HLOOKUP(W$11,index1970,Query!$O93)/W$9,IF($J$7=2,HLOOKUP(W$11,index1970,Query!$O93)/W$9 * HLOOKUP(W$11,comboutfac,Query!$O93),HLOOKUP(W$11,index1970,Query!$O93)/W$9 * HLOOKUP(W$11,comboutfac,Query!$O93) /W$8))</f>
        <v>5.972759659084339</v>
      </c>
      <c r="X58" s="120">
        <f ca="1">IF($J$7=1,HLOOKUP(X$11,index1970,Query!$O93)/X$9,IF($J$7=2,HLOOKUP(X$11,index1970,Query!$O93)/X$9 * HLOOKUP(X$11,comboutfac,Query!$O93),HLOOKUP(X$11,index1970,Query!$O93)/X$9 * HLOOKUP(X$11,comboutfac,Query!$O93) /X$8))</f>
        <v>5.641572703050814</v>
      </c>
      <c r="Y58" s="120">
        <f ca="1">IF($J$7=1,HLOOKUP(Y$11,index1970,Query!$O93)/Y$9,IF($J$7=2,HLOOKUP(Y$11,index1970,Query!$O93)/Y$9 * HLOOKUP(Y$11,comboutfac,Query!$O93),HLOOKUP(Y$11,index1970,Query!$O93)/Y$9 * HLOOKUP(Y$11,comboutfac,Query!$O93) /Y$8))</f>
        <v>5.7617081649092228</v>
      </c>
      <c r="Z58" s="120">
        <f ca="1">IF($J$7=1,HLOOKUP(Z$11,index1970,Query!$O93)/Z$9,IF($J$7=2,HLOOKUP(Z$11,index1970,Query!$O93)/Z$9 * HLOOKUP(Z$11,comboutfac,Query!$O93),HLOOKUP(Z$11,index1970,Query!$O93)/Z$9 * HLOOKUP(Z$11,comboutfac,Query!$O93) /Z$8))</f>
        <v>6.8440641403100964</v>
      </c>
      <c r="AA58" s="120">
        <f ca="1">IF($J$7=1,HLOOKUP(AA$11,index1970,Query!$O93)/AA$9,IF($J$7=2,HLOOKUP(AA$11,index1970,Query!$O93)/AA$9 * HLOOKUP(AA$11,comboutfac,Query!$O93),HLOOKUP(AA$11,index1970,Query!$O93)/AA$9 * HLOOKUP(AA$11,comboutfac,Query!$O93) /AA$8))</f>
        <v>5.6295997920037975</v>
      </c>
      <c r="AB58" s="120">
        <f ca="1">IF($J$7=1,HLOOKUP(AB$11,index1970,Query!$O93)/AB$9,IF($J$7=2,HLOOKUP(AB$11,index1970,Query!$O93)/AB$9 * HLOOKUP(AB$11,comboutfac,Query!$O93),HLOOKUP(AB$11,index1970,Query!$O93)/AB$9 * HLOOKUP(AB$11,comboutfac,Query!$O93) /AB$8))</f>
        <v>5.6793812051754085</v>
      </c>
      <c r="AC58" s="120">
        <f ca="1">IF($J$7=1,HLOOKUP(AC$11,index1970,Query!$O93)/AC$9,IF($J$7=2,HLOOKUP(AC$11,index1970,Query!$O93)/AC$9 * HLOOKUP(AC$11,comboutfac,Query!$O93),HLOOKUP(AC$11,index1970,Query!$O93)/AC$9 * HLOOKUP(AC$11,comboutfac,Query!$O93) /AC$8))</f>
        <v>7.2028331980758935</v>
      </c>
      <c r="AD58" s="120">
        <f ca="1">IF($J$7=1,HLOOKUP(AD$11,index1970,Query!$O93)/AD$9,IF($J$7=2,HLOOKUP(AD$11,index1970,Query!$O93)/AD$9 * HLOOKUP(AD$11,comboutfac,Query!$O93),HLOOKUP(AD$11,index1970,Query!$O93)/AD$9 * HLOOKUP(AD$11,comboutfac,Query!$O93) /AD$8))</f>
        <v>5.6189010862702045</v>
      </c>
      <c r="AE58" s="120">
        <f ca="1">IF($J$7=1,HLOOKUP(AE$11,index1970,Query!$O93)/AE$9,IF($J$7=2,HLOOKUP(AE$11,index1970,Query!$O93)/AE$9 * HLOOKUP(AE$11,comboutfac,Query!$O93),HLOOKUP(AE$11,index1970,Query!$O93)/AE$9 * HLOOKUP(AE$11,comboutfac,Query!$O93) /AE$8))</f>
        <v>4.8606134254041757</v>
      </c>
      <c r="AF58" s="120">
        <f ca="1">IF($J$7=1,HLOOKUP(AF$11,index1970,Query!$O93)/AF$9,IF($J$7=2,HLOOKUP(AF$11,index1970,Query!$O93)/AF$9 * HLOOKUP(AF$11,comboutfac,Query!$O93),HLOOKUP(AF$11,index1970,Query!$O93)/AF$9 * HLOOKUP(AF$11,comboutfac,Query!$O93) /AF$8))</f>
        <v>7.9354399741990864</v>
      </c>
      <c r="AG58" s="120">
        <f ca="1">IF($J$7=1,HLOOKUP(AG$11,index1970,Query!$O93)/AG$9,IF($J$7=2,HLOOKUP(AG$11,index1970,Query!$O93)/AG$9 * HLOOKUP(AG$11,comboutfac,Query!$O93),HLOOKUP(AG$11,index1970,Query!$O93)/AG$9 * HLOOKUP(AG$11,comboutfac,Query!$O93) /AG$8))</f>
        <v>5.7011735272881907</v>
      </c>
      <c r="AH58" s="120">
        <f ca="1">IF($J$7=1,HLOOKUP(AH$11,index1970,Query!$O93)/AH$9,IF($J$7=2,HLOOKUP(AH$11,index1970,Query!$O93)/AH$9 * HLOOKUP(AH$11,comboutfac,Query!$O93),HLOOKUP(AH$11,index1970,Query!$O93)/AH$9 * HLOOKUP(AH$11,comboutfac,Query!$O93) /AH$8))</f>
        <v>4.8426671384996913</v>
      </c>
      <c r="AI58" s="120">
        <f ca="1">IF($J$7=1,HLOOKUP(AI$11,index1970,Query!$O93)/AI$9,IF($J$7=2,HLOOKUP(AI$11,index1970,Query!$O93)/AI$9 * HLOOKUP(AI$11,comboutfac,Query!$O93),HLOOKUP(AI$11,index1970,Query!$O93)/AI$9 * HLOOKUP(AI$11,comboutfac,Query!$O93) /AI$8))</f>
        <v>5.0238257794170238</v>
      </c>
      <c r="AJ58" s="120">
        <f ca="1">IF($J$7=1,HLOOKUP(AJ$11,index1970,Query!$O93)/AJ$9,IF($J$7=2,HLOOKUP(AJ$11,index1970,Query!$O93)/AJ$9 * HLOOKUP(AJ$11,comboutfac,Query!$O93),HLOOKUP(AJ$11,index1970,Query!$O93)/AJ$9 * HLOOKUP(AJ$11,comboutfac,Query!$O93) /AJ$8))</f>
        <v>4.8154218839628671</v>
      </c>
      <c r="AK58" s="120">
        <f ca="1">IF($J$7=1,HLOOKUP(AK$11,index1970,Query!$O93)/AK$9,IF($J$7=2,HLOOKUP(AK$11,index1970,Query!$O93)/AK$9 * HLOOKUP(AK$11,comboutfac,Query!$O93),HLOOKUP(AK$11,index1970,Query!$O93)/AK$9 * HLOOKUP(AK$11,comboutfac,Query!$O93) /AK$8))</f>
        <v>4.9954093994364648</v>
      </c>
      <c r="AL58" s="120">
        <f ca="1">IF($J$7=1,HLOOKUP(AL$11,index1970,Query!$O93)/AL$9,IF($J$7=2,HLOOKUP(AL$11,index1970,Query!$O93)/AL$9 * HLOOKUP(AL$11,comboutfac,Query!$O93),HLOOKUP(AL$11,index1970,Query!$O93)/AL$9 * HLOOKUP(AL$11,comboutfac,Query!$O93) /AL$8))</f>
        <v>7.5501930644745725</v>
      </c>
      <c r="AM58" s="120">
        <f ca="1">IF($J$7=1,HLOOKUP(AM$11,index1970,Query!$O93)/AM$9,IF($J$7=2,HLOOKUP(AM$11,index1970,Query!$O93)/AM$9 * HLOOKUP(AM$11,comboutfac,Query!$O93),HLOOKUP(AM$11,index1970,Query!$O93)/AM$9 * HLOOKUP(AM$11,comboutfac,Query!$O93) /AM$8))</f>
        <v>4.9728959839801039</v>
      </c>
      <c r="AN58" s="120">
        <f ca="1">IF($J$7=1,HLOOKUP(AN$11,index1970,Query!$O93)/AN$9,IF($J$7=2,HLOOKUP(AN$11,index1970,Query!$O93)/AN$9 * HLOOKUP(AN$11,comboutfac,Query!$O93),HLOOKUP(AN$11,index1970,Query!$O93)/AN$9 * HLOOKUP(AN$11,comboutfac,Query!$O93) /AN$8))</f>
        <v>7.5162832766726648</v>
      </c>
      <c r="AO58" s="120">
        <f ca="1">IF($J$7=1,HLOOKUP(AO$11,index1970,Query!$O93)/AO$9,IF($J$7=2,HLOOKUP(AO$11,index1970,Query!$O93)/AO$9 * HLOOKUP(AO$11,comboutfac,Query!$O93),HLOOKUP(AO$11,index1970,Query!$O93)/AO$9 * HLOOKUP(AO$11,comboutfac,Query!$O93) /AO$8))</f>
        <v>4.9753861240276294</v>
      </c>
      <c r="AP58" s="120">
        <f ca="1">IF($J$7=1,HLOOKUP(AP$11,index1970,Query!$O93)/AP$9,IF($J$7=2,HLOOKUP(AP$11,index1970,Query!$O93)/AP$9 * HLOOKUP(AP$11,comboutfac,Query!$O93),HLOOKUP(AP$11,index1970,Query!$O93)/AP$9 * HLOOKUP(AP$11,comboutfac,Query!$O93) /AP$8))</f>
        <v>8.0320564677823079</v>
      </c>
      <c r="AQ58" s="683">
        <f ca="1">IF($J$7=1,HLOOKUP(AQ$11,index1970,Query!$O93)/AQ$9,IF($J$7=2,HLOOKUP(AQ$11,index1970,Query!$O93)/AQ$9 * HLOOKUP(AQ$11,comboutfac,Query!$O93),HLOOKUP(AQ$11,index1970,Query!$O93)/AQ$9 * HLOOKUP(AQ$11,comboutfac,Query!$O93) /AQ$8))</f>
        <v>6.6021587828866419</v>
      </c>
      <c r="AR58" s="120">
        <f ca="1">IF($J$7=1,HLOOKUP(AR$11,index1970,Query!$O93)/AR$9,IF($J$7=2,HLOOKUP(AR$11,index1970,Query!$O93)/AR$9 * HLOOKUP(AR$11,comboutfac,Query!$O93),HLOOKUP(AR$11,index1970,Query!$O93)/AR$9 * HLOOKUP(AR$11,comboutfac,Query!$O93) /AR$8))</f>
        <v>5.7197053071523349</v>
      </c>
      <c r="AS58" s="213"/>
    </row>
    <row r="59" spans="1:45" s="122" customFormat="1">
      <c r="A59" s="121">
        <f t="shared" si="7"/>
        <v>2015</v>
      </c>
      <c r="B59" s="120">
        <f ca="1">IF($J$7=1,HLOOKUP(B$11,index1970,Query!$O94)/B$9,IF($J$7=2,HLOOKUP(B$11,index1970,Query!$O94)/B$9 * HLOOKUP(B$11,comboutfac,Query!$O94),HLOOKUP(B$11,index1970,Query!$O94)/B$9 * HLOOKUP(B$11,comboutfac,Query!$O94) /B$8))</f>
        <v>5.8008698609667064</v>
      </c>
      <c r="C59" s="120">
        <f ca="1">IF($J$7=1,HLOOKUP(C$11,index1970,Query!$O94)/C$9,IF($J$7=2,HLOOKUP(C$11,index1970,Query!$O94)/C$9 * HLOOKUP(C$11,comboutfac,Query!$O94),HLOOKUP(C$11,index1970,Query!$O94)/C$9 * HLOOKUP(C$11,comboutfac,Query!$O94) /C$8))</f>
        <v>5.6677631856995303</v>
      </c>
      <c r="D59" s="120">
        <f ca="1">IF($J$7=1,HLOOKUP(D$11,index1970,Query!$O94)/D$9,IF($J$7=2,HLOOKUP(D$11,index1970,Query!$O94)/D$9 * HLOOKUP(D$11,comboutfac,Query!$O94),HLOOKUP(D$11,index1970,Query!$O94)/D$9 * HLOOKUP(D$11,comboutfac,Query!$O94) /D$8))</f>
        <v>5.626122274897142</v>
      </c>
      <c r="E59" s="120">
        <f ca="1">IF($J$7=1,HLOOKUP(E$11,index1970,Query!$O94)/E$9,IF($J$7=2,HLOOKUP(E$11,index1970,Query!$O94)/E$9 * HLOOKUP(E$11,comboutfac,Query!$O94),HLOOKUP(E$11,index1970,Query!$O94)/E$9 * HLOOKUP(E$11,comboutfac,Query!$O94) /E$8))</f>
        <v>5.9190600886375044</v>
      </c>
      <c r="F59" s="120">
        <f ca="1">IF($J$7=1,HLOOKUP(F$11,index1970,Query!$O94)/F$9,IF($J$7=2,HLOOKUP(F$11,index1970,Query!$O94)/F$9 * HLOOKUP(F$11,comboutfac,Query!$O94),HLOOKUP(F$11,index1970,Query!$O94)/F$9 * HLOOKUP(F$11,comboutfac,Query!$O94) /F$8))</f>
        <v>5.626122274897142</v>
      </c>
      <c r="G59" s="120">
        <f ca="1">IF($J$7=1,HLOOKUP(G$11,index1970,Query!$O94)/G$9,IF($J$7=2,HLOOKUP(G$11,index1970,Query!$O94)/G$9 * HLOOKUP(G$11,comboutfac,Query!$O94),HLOOKUP(G$11,index1970,Query!$O94)/G$9 * HLOOKUP(G$11,comboutfac,Query!$O94) /G$8))</f>
        <v>5.9155500155772547</v>
      </c>
      <c r="H59" s="120">
        <f ca="1">IF($J$7=1,HLOOKUP(H$11,index1970,Query!$O94)/H$9,IF($J$7=2,HLOOKUP(H$11,index1970,Query!$O94)/H$9 * HLOOKUP(H$11,comboutfac,Query!$O94),HLOOKUP(H$11,index1970,Query!$O94)/H$9 * HLOOKUP(H$11,comboutfac,Query!$O94) /H$8))</f>
        <v>5.7000546600963871</v>
      </c>
      <c r="I59" s="120">
        <f ca="1">IF($J$7=1,HLOOKUP(I$11,index1970,Query!$O94)/I$9,IF($J$7=2,HLOOKUP(I$11,index1970,Query!$O94)/I$9 * HLOOKUP(I$11,comboutfac,Query!$O94),HLOOKUP(I$11,index1970,Query!$O94)/I$9 * HLOOKUP(I$11,comboutfac,Query!$O94) /I$8))</f>
        <v>5.7403737733293596</v>
      </c>
      <c r="J59" s="120">
        <f ca="1">IF($J$7=1,HLOOKUP(J$11,index1970,Query!$O94)/J$9,IF($J$7=2,HLOOKUP(J$11,index1970,Query!$O94)/J$9 * HLOOKUP(J$11,comboutfac,Query!$O94),HLOOKUP(J$11,index1970,Query!$O94)/J$9 * HLOOKUP(J$11,comboutfac,Query!$O94) /J$8))</f>
        <v>10.538489548149283</v>
      </c>
      <c r="K59" s="120">
        <f ca="1">IF($J$7=1,HLOOKUP(K$11,index1970,Query!$O94)/K$9,IF($J$7=2,HLOOKUP(K$11,index1970,Query!$O94)/K$9 * HLOOKUP(K$11,comboutfac,Query!$O94),HLOOKUP(K$11,index1970,Query!$O94)/K$9 * HLOOKUP(K$11,comboutfac,Query!$O94) /K$8))</f>
        <v>8.1132961113001265</v>
      </c>
      <c r="L59" s="120">
        <f ca="1">IF($J$7=1,HLOOKUP(L$11,index1970,Query!$O94)/L$9,IF($J$7=2,HLOOKUP(L$11,index1970,Query!$O94)/L$9 * HLOOKUP(L$11,comboutfac,Query!$O94),HLOOKUP(L$11,index1970,Query!$O94)/L$9 * HLOOKUP(L$11,comboutfac,Query!$O94) /L$8))</f>
        <v>6.0953567244889246</v>
      </c>
      <c r="M59" s="120">
        <f ca="1">IF($J$7=1,HLOOKUP(M$11,index1970,Query!$O94)/M$9,IF($J$7=2,HLOOKUP(M$11,index1970,Query!$O94)/M$9 * HLOOKUP(M$11,comboutfac,Query!$O94),HLOOKUP(M$11,index1970,Query!$O94)/M$9 * HLOOKUP(M$11,comboutfac,Query!$O94) /M$8))</f>
        <v>5.0990223444459986</v>
      </c>
      <c r="N59" s="120">
        <f ca="1">IF($J$7=1,HLOOKUP(N$11,index1970,Query!$O94)/N$9,IF($J$7=2,HLOOKUP(N$11,index1970,Query!$O94)/N$9 * HLOOKUP(N$11,comboutfac,Query!$O94),HLOOKUP(N$11,index1970,Query!$O94)/N$9 * HLOOKUP(N$11,comboutfac,Query!$O94) /N$8))</f>
        <v>5.8546676439940173</v>
      </c>
      <c r="O59" s="120">
        <f ca="1">IF($J$7=1,HLOOKUP(O$11,index1970,Query!$O94)/O$9,IF($J$7=2,HLOOKUP(O$11,index1970,Query!$O94)/O$9 * HLOOKUP(O$11,comboutfac,Query!$O94),HLOOKUP(O$11,index1970,Query!$O94)/O$9 * HLOOKUP(O$11,comboutfac,Query!$O94) /O$8))</f>
        <v>5.7901070099099732</v>
      </c>
      <c r="P59" s="120">
        <f ca="1">IF($J$7=1,HLOOKUP(P$11,index1970,Query!$O94)/P$9,IF($J$7=2,HLOOKUP(P$11,index1970,Query!$O94)/P$9 * HLOOKUP(P$11,comboutfac,Query!$O94),HLOOKUP(P$11,index1970,Query!$O94)/P$9 * HLOOKUP(P$11,comboutfac,Query!$O94) /P$8))</f>
        <v>7.9174894835486205</v>
      </c>
      <c r="Q59" s="120">
        <f ca="1">IF($J$7=1,HLOOKUP(Q$11,index1970,Query!$O94)/Q$9,IF($J$7=2,HLOOKUP(Q$11,index1970,Query!$O94)/Q$9 * HLOOKUP(Q$11,comboutfac,Query!$O94),HLOOKUP(Q$11,index1970,Query!$O94)/Q$9 * HLOOKUP(Q$11,comboutfac,Query!$O94) /Q$8))</f>
        <v>5.02996304375535</v>
      </c>
      <c r="R59" s="120">
        <f ca="1">IF($J$7=1,HLOOKUP(R$11,index1970,Query!$O94)/R$9,IF($J$7=2,HLOOKUP(R$11,index1970,Query!$O94)/R$9 * HLOOKUP(R$11,comboutfac,Query!$O94),HLOOKUP(R$11,index1970,Query!$O94)/R$9 * HLOOKUP(R$11,comboutfac,Query!$O94) /R$8))</f>
        <v>7.7605659390394246</v>
      </c>
      <c r="S59" s="120">
        <f ca="1">IF($J$7=1,HLOOKUP(S$11,index1970,Query!$O94)/S$9,IF($J$7=2,HLOOKUP(S$11,index1970,Query!$O94)/S$9 * HLOOKUP(S$11,comboutfac,Query!$O94),HLOOKUP(S$11,index1970,Query!$O94)/S$9 * HLOOKUP(S$11,comboutfac,Query!$O94) /S$8))</f>
        <v>5.0271304098346459</v>
      </c>
      <c r="T59" s="120">
        <f ca="1">IF($J$7=1,HLOOKUP(T$11,index1970,Query!$O94)/T$9,IF($J$7=2,HLOOKUP(T$11,index1970,Query!$O94)/T$9 * HLOOKUP(T$11,comboutfac,Query!$O94),HLOOKUP(T$11,index1970,Query!$O94)/T$9 * HLOOKUP(T$11,comboutfac,Query!$O94) /T$8))</f>
        <v>4.9263767254898925</v>
      </c>
      <c r="U59" s="120">
        <f ca="1">IF($J$7=1,HLOOKUP(U$11,index1970,Query!$O94)/U$9,IF($J$7=2,HLOOKUP(U$11,index1970,Query!$O94)/U$9 * HLOOKUP(U$11,comboutfac,Query!$O94),HLOOKUP(U$11,index1970,Query!$O94)/U$9 * HLOOKUP(U$11,comboutfac,Query!$O94) /U$8))</f>
        <v>6.5607704752636851</v>
      </c>
      <c r="V59" s="120">
        <f ca="1">IF($J$7=1,HLOOKUP(V$11,index1970,Query!$O94)/V$9,IF($J$7=2,HLOOKUP(V$11,index1970,Query!$O94)/V$9 * HLOOKUP(V$11,comboutfac,Query!$O94),HLOOKUP(V$11,index1970,Query!$O94)/V$9 * HLOOKUP(V$11,comboutfac,Query!$O94) /V$8))</f>
        <v>5.7025134728129085</v>
      </c>
      <c r="W59" s="120">
        <f ca="1">IF($J$7=1,HLOOKUP(W$11,index1970,Query!$O94)/W$9,IF($J$7=2,HLOOKUP(W$11,index1970,Query!$O94)/W$9 * HLOOKUP(W$11,comboutfac,Query!$O94),HLOOKUP(W$11,index1970,Query!$O94)/W$9 * HLOOKUP(W$11,comboutfac,Query!$O94) /W$8))</f>
        <v>6.0290341428182295</v>
      </c>
      <c r="X59" s="120">
        <f ca="1">IF($J$7=1,HLOOKUP(X$11,index1970,Query!$O94)/X$9,IF($J$7=2,HLOOKUP(X$11,index1970,Query!$O94)/X$9 * HLOOKUP(X$11,comboutfac,Query!$O94),HLOOKUP(X$11,index1970,Query!$O94)/X$9 * HLOOKUP(X$11,comboutfac,Query!$O94) /X$8))</f>
        <v>5.7065673708365692</v>
      </c>
      <c r="Y59" s="120">
        <f ca="1">IF($J$7=1,HLOOKUP(Y$11,index1970,Query!$O94)/Y$9,IF($J$7=2,HLOOKUP(Y$11,index1970,Query!$O94)/Y$9 * HLOOKUP(Y$11,comboutfac,Query!$O94),HLOOKUP(Y$11,index1970,Query!$O94)/Y$9 * HLOOKUP(Y$11,comboutfac,Query!$O94) /Y$8))</f>
        <v>5.8184412643037708</v>
      </c>
      <c r="Z59" s="120">
        <f ca="1">IF($J$7=1,HLOOKUP(Z$11,index1970,Query!$O94)/Z$9,IF($J$7=2,HLOOKUP(Z$11,index1970,Query!$O94)/Z$9 * HLOOKUP(Z$11,comboutfac,Query!$O94),HLOOKUP(Z$11,index1970,Query!$O94)/Z$9 * HLOOKUP(Z$11,comboutfac,Query!$O94) /Z$8))</f>
        <v>6.8747175475201425</v>
      </c>
      <c r="AA59" s="120">
        <f ca="1">IF($J$7=1,HLOOKUP(AA$11,index1970,Query!$O94)/AA$9,IF($J$7=2,HLOOKUP(AA$11,index1970,Query!$O94)/AA$9 * HLOOKUP(AA$11,comboutfac,Query!$O94),HLOOKUP(AA$11,index1970,Query!$O94)/AA$9 * HLOOKUP(AA$11,comboutfac,Query!$O94) /AA$8))</f>
        <v>5.6960976532030498</v>
      </c>
      <c r="AB59" s="120">
        <f ca="1">IF($J$7=1,HLOOKUP(AB$11,index1970,Query!$O94)/AB$9,IF($J$7=2,HLOOKUP(AB$11,index1970,Query!$O94)/AB$9 * HLOOKUP(AB$11,comboutfac,Query!$O94),HLOOKUP(AB$11,index1970,Query!$O94)/AB$9 * HLOOKUP(AB$11,comboutfac,Query!$O94) /AB$8))</f>
        <v>5.7386265333018969</v>
      </c>
      <c r="AC59" s="120">
        <f ca="1">IF($J$7=1,HLOOKUP(AC$11,index1970,Query!$O94)/AC$9,IF($J$7=2,HLOOKUP(AC$11,index1970,Query!$O94)/AC$9 * HLOOKUP(AC$11,comboutfac,Query!$O94),HLOOKUP(AC$11,index1970,Query!$O94)/AC$9 * HLOOKUP(AC$11,comboutfac,Query!$O94) /AC$8))</f>
        <v>7.1816864672891079</v>
      </c>
      <c r="AD59" s="120">
        <f ca="1">IF($J$7=1,HLOOKUP(AD$11,index1970,Query!$O94)/AD$9,IF($J$7=2,HLOOKUP(AD$11,index1970,Query!$O94)/AD$9 * HLOOKUP(AD$11,comboutfac,Query!$O94),HLOOKUP(AD$11,index1970,Query!$O94)/AD$9 * HLOOKUP(AD$11,comboutfac,Query!$O94) /AD$8))</f>
        <v>5.6832311873072303</v>
      </c>
      <c r="AE59" s="120">
        <f ca="1">IF($J$7=1,HLOOKUP(AE$11,index1970,Query!$O94)/AE$9,IF($J$7=2,HLOOKUP(AE$11,index1970,Query!$O94)/AE$9 * HLOOKUP(AE$11,comboutfac,Query!$O94),HLOOKUP(AE$11,index1970,Query!$O94)/AE$9 * HLOOKUP(AE$11,comboutfac,Query!$O94) /AE$8))</f>
        <v>4.9291355908619181</v>
      </c>
      <c r="AF59" s="120">
        <f ca="1">IF($J$7=1,HLOOKUP(AF$11,index1970,Query!$O94)/AF$9,IF($J$7=2,HLOOKUP(AF$11,index1970,Query!$O94)/AF$9 * HLOOKUP(AF$11,comboutfac,Query!$O94),HLOOKUP(AF$11,index1970,Query!$O94)/AF$9 * HLOOKUP(AF$11,comboutfac,Query!$O94) /AF$8))</f>
        <v>8.0776040245012144</v>
      </c>
      <c r="AG59" s="120">
        <f ca="1">IF($J$7=1,HLOOKUP(AG$11,index1970,Query!$O94)/AG$9,IF($J$7=2,HLOOKUP(AG$11,index1970,Query!$O94)/AG$9 * HLOOKUP(AG$11,comboutfac,Query!$O94),HLOOKUP(AG$11,index1970,Query!$O94)/AG$9 * HLOOKUP(AG$11,comboutfac,Query!$O94) /AG$8))</f>
        <v>5.7858835224546317</v>
      </c>
      <c r="AH59" s="120">
        <f ca="1">IF($J$7=1,HLOOKUP(AH$11,index1970,Query!$O94)/AH$9,IF($J$7=2,HLOOKUP(AH$11,index1970,Query!$O94)/AH$9 * HLOOKUP(AH$11,comboutfac,Query!$O94),HLOOKUP(AH$11,index1970,Query!$O94)/AH$9 * HLOOKUP(AH$11,comboutfac,Query!$O94) /AH$8))</f>
        <v>4.9158746496337642</v>
      </c>
      <c r="AI59" s="120">
        <f ca="1">IF($J$7=1,HLOOKUP(AI$11,index1970,Query!$O94)/AI$9,IF($J$7=2,HLOOKUP(AI$11,index1970,Query!$O94)/AI$9 * HLOOKUP(AI$11,comboutfac,Query!$O94),HLOOKUP(AI$11,index1970,Query!$O94)/AI$9 * HLOOKUP(AI$11,comboutfac,Query!$O94) /AI$8))</f>
        <v>5.0863740228233487</v>
      </c>
      <c r="AJ59" s="120">
        <f ca="1">IF($J$7=1,HLOOKUP(AJ$11,index1970,Query!$O94)/AJ$9,IF($J$7=2,HLOOKUP(AJ$11,index1970,Query!$O94)/AJ$9 * HLOOKUP(AJ$11,comboutfac,Query!$O94),HLOOKUP(AJ$11,index1970,Query!$O94)/AJ$9 * HLOOKUP(AJ$11,comboutfac,Query!$O94) /AJ$8))</f>
        <v>4.8731282605578121</v>
      </c>
      <c r="AK59" s="120">
        <f ca="1">IF($J$7=1,HLOOKUP(AK$11,index1970,Query!$O94)/AK$9,IF($J$7=2,HLOOKUP(AK$11,index1970,Query!$O94)/AK$9 * HLOOKUP(AK$11,comboutfac,Query!$O94),HLOOKUP(AK$11,index1970,Query!$O94)/AK$9 * HLOOKUP(AK$11,comboutfac,Query!$O94) /AK$8))</f>
        <v>5.0576164462328466</v>
      </c>
      <c r="AL59" s="120">
        <f ca="1">IF($J$7=1,HLOOKUP(AL$11,index1970,Query!$O94)/AL$9,IF($J$7=2,HLOOKUP(AL$11,index1970,Query!$O94)/AL$9 * HLOOKUP(AL$11,comboutfac,Query!$O94),HLOOKUP(AL$11,index1970,Query!$O94)/AL$9 * HLOOKUP(AL$11,comboutfac,Query!$O94) /AL$8))</f>
        <v>7.6277153282256167</v>
      </c>
      <c r="AM59" s="120">
        <f ca="1">IF($J$7=1,HLOOKUP(AM$11,index1970,Query!$O94)/AM$9,IF($J$7=2,HLOOKUP(AM$11,index1970,Query!$O94)/AM$9 * HLOOKUP(AM$11,comboutfac,Query!$O94),HLOOKUP(AM$11,index1970,Query!$O94)/AM$9 * HLOOKUP(AM$11,comboutfac,Query!$O94) /AM$8))</f>
        <v>5.0296914488715148</v>
      </c>
      <c r="AN59" s="120">
        <f ca="1">IF($J$7=1,HLOOKUP(AN$11,index1970,Query!$O94)/AN$9,IF($J$7=2,HLOOKUP(AN$11,index1970,Query!$O94)/AN$9 * HLOOKUP(AN$11,comboutfac,Query!$O94),HLOOKUP(AN$11,index1970,Query!$O94)/AN$9 * HLOOKUP(AN$11,comboutfac,Query!$O94) /AN$8))</f>
        <v>7.593774592025528</v>
      </c>
      <c r="AO59" s="120">
        <f ca="1">IF($J$7=1,HLOOKUP(AO$11,index1970,Query!$O94)/AO$9,IF($J$7=2,HLOOKUP(AO$11,index1970,Query!$O94)/AO$9 * HLOOKUP(AO$11,comboutfac,Query!$O94),HLOOKUP(AO$11,index1970,Query!$O94)/AO$9 * HLOOKUP(AO$11,comboutfac,Query!$O94) /AO$8))</f>
        <v>5.0289381433472471</v>
      </c>
      <c r="AP59" s="120">
        <f ca="1">IF($J$7=1,HLOOKUP(AP$11,index1970,Query!$O94)/AP$9,IF($J$7=2,HLOOKUP(AP$11,index1970,Query!$O94)/AP$9 * HLOOKUP(AP$11,comboutfac,Query!$O94),HLOOKUP(AP$11,index1970,Query!$O94)/AP$9 * HLOOKUP(AP$11,comboutfac,Query!$O94) /AP$8))</f>
        <v>8.1793417348492508</v>
      </c>
      <c r="AQ59" s="683">
        <f ca="1">IF($J$7=1,HLOOKUP(AQ$11,index1970,Query!$O94)/AQ$9,IF($J$7=2,HLOOKUP(AQ$11,index1970,Query!$O94)/AQ$9 * HLOOKUP(AQ$11,comboutfac,Query!$O94),HLOOKUP(AQ$11,index1970,Query!$O94)/AQ$9 * HLOOKUP(AQ$11,comboutfac,Query!$O94) /AQ$8))</f>
        <v>6.7314099924816153</v>
      </c>
      <c r="AR59" s="120">
        <f ca="1">IF($J$7=1,HLOOKUP(AR$11,index1970,Query!$O94)/AR$9,IF($J$7=2,HLOOKUP(AR$11,index1970,Query!$O94)/AR$9 * HLOOKUP(AR$11,comboutfac,Query!$O94),HLOOKUP(AR$11,index1970,Query!$O94)/AR$9 * HLOOKUP(AR$11,comboutfac,Query!$O94) /AR$8))</f>
        <v>5.8115064559300968</v>
      </c>
      <c r="AS59" s="213"/>
    </row>
    <row r="60" spans="1:45" s="122" customFormat="1">
      <c r="A60" s="121">
        <f t="shared" si="7"/>
        <v>2016</v>
      </c>
      <c r="B60" s="120">
        <f ca="1">IF($J$7=1,HLOOKUP(B$11,index1970,Query!$O95)/B$9,IF($J$7=2,HLOOKUP(B$11,index1970,Query!$O95)/B$9 * HLOOKUP(B$11,comboutfac,Query!$O95),HLOOKUP(B$11,index1970,Query!$O95)/B$9 * HLOOKUP(B$11,comboutfac,Query!$O95) /B$8))</f>
        <v>5.9048453777678231</v>
      </c>
      <c r="C60" s="120">
        <f ca="1">IF($J$7=1,HLOOKUP(C$11,index1970,Query!$O95)/C$9,IF($J$7=2,HLOOKUP(C$11,index1970,Query!$O95)/C$9 * HLOOKUP(C$11,comboutfac,Query!$O95),HLOOKUP(C$11,index1970,Query!$O95)/C$9 * HLOOKUP(C$11,comboutfac,Query!$O95) /C$8))</f>
        <v>5.762353289567038</v>
      </c>
      <c r="D60" s="120">
        <f ca="1">IF($J$7=1,HLOOKUP(D$11,index1970,Query!$O95)/D$9,IF($J$7=2,HLOOKUP(D$11,index1970,Query!$O95)/D$9 * HLOOKUP(D$11,comboutfac,Query!$O95),HLOOKUP(D$11,index1970,Query!$O95)/D$9 * HLOOKUP(D$11,comboutfac,Query!$O95) /D$8))</f>
        <v>5.7158689441068429</v>
      </c>
      <c r="E60" s="120">
        <f ca="1">IF($J$7=1,HLOOKUP(E$11,index1970,Query!$O95)/E$9,IF($J$7=2,HLOOKUP(E$11,index1970,Query!$O95)/E$9 * HLOOKUP(E$11,comboutfac,Query!$O95),HLOOKUP(E$11,index1970,Query!$O95)/E$9 * HLOOKUP(E$11,comboutfac,Query!$O95) /E$8))</f>
        <v>5.9916016215848504</v>
      </c>
      <c r="F60" s="120">
        <f ca="1">IF($J$7=1,HLOOKUP(F$11,index1970,Query!$O95)/F$9,IF($J$7=2,HLOOKUP(F$11,index1970,Query!$O95)/F$9 * HLOOKUP(F$11,comboutfac,Query!$O95),HLOOKUP(F$11,index1970,Query!$O95)/F$9 * HLOOKUP(F$11,comboutfac,Query!$O95) /F$8))</f>
        <v>5.7158689441068429</v>
      </c>
      <c r="G60" s="120">
        <f ca="1">IF($J$7=1,HLOOKUP(G$11,index1970,Query!$O95)/G$9,IF($J$7=2,HLOOKUP(G$11,index1970,Query!$O95)/G$9 * HLOOKUP(G$11,comboutfac,Query!$O95),HLOOKUP(G$11,index1970,Query!$O95)/G$9 * HLOOKUP(G$11,comboutfac,Query!$O95) /G$8))</f>
        <v>6.0290271795152925</v>
      </c>
      <c r="H60" s="120">
        <f ca="1">IF($J$7=1,HLOOKUP(H$11,index1970,Query!$O95)/H$9,IF($J$7=2,HLOOKUP(H$11,index1970,Query!$O95)/H$9 * HLOOKUP(H$11,comboutfac,Query!$O95),HLOOKUP(H$11,index1970,Query!$O95)/H$9 * HLOOKUP(H$11,comboutfac,Query!$O95) /H$8))</f>
        <v>5.7848889661121756</v>
      </c>
      <c r="I60" s="120">
        <f ca="1">IF($J$7=1,HLOOKUP(I$11,index1970,Query!$O95)/I$9,IF($J$7=2,HLOOKUP(I$11,index1970,Query!$O95)/I$9 * HLOOKUP(I$11,comboutfac,Query!$O95),HLOOKUP(I$11,index1970,Query!$O95)/I$9 * HLOOKUP(I$11,comboutfac,Query!$O95) /I$8))</f>
        <v>5.8237152622523816</v>
      </c>
      <c r="J60" s="120">
        <f ca="1">IF($J$7=1,HLOOKUP(J$11,index1970,Query!$O95)/J$9,IF($J$7=2,HLOOKUP(J$11,index1970,Query!$O95)/J$9 * HLOOKUP(J$11,comboutfac,Query!$O95),HLOOKUP(J$11,index1970,Query!$O95)/J$9 * HLOOKUP(J$11,comboutfac,Query!$O95) /J$8))</f>
        <v>7.2926347673193028</v>
      </c>
      <c r="K60" s="120">
        <f ca="1">IF($J$7=1,HLOOKUP(K$11,index1970,Query!$O95)/K$9,IF($J$7=2,HLOOKUP(K$11,index1970,Query!$O95)/K$9 * HLOOKUP(K$11,comboutfac,Query!$O95),HLOOKUP(K$11,index1970,Query!$O95)/K$9 * HLOOKUP(K$11,comboutfac,Query!$O95) /K$8))</f>
        <v>8.2127292862224852</v>
      </c>
      <c r="L60" s="120">
        <f ca="1">IF($J$7=1,HLOOKUP(L$11,index1970,Query!$O95)/L$9,IF($J$7=2,HLOOKUP(L$11,index1970,Query!$O95)/L$9 * HLOOKUP(L$11,comboutfac,Query!$O95),HLOOKUP(L$11,index1970,Query!$O95)/L$9 * HLOOKUP(L$11,comboutfac,Query!$O95) /L$8))</f>
        <v>6.2143243343329271</v>
      </c>
      <c r="M60" s="120">
        <f ca="1">IF($J$7=1,HLOOKUP(M$11,index1970,Query!$O95)/M$9,IF($J$7=2,HLOOKUP(M$11,index1970,Query!$O95)/M$9 * HLOOKUP(M$11,comboutfac,Query!$O95),HLOOKUP(M$11,index1970,Query!$O95)/M$9 * HLOOKUP(M$11,comboutfac,Query!$O95) /M$8))</f>
        <v>5.1983149773073105</v>
      </c>
      <c r="N60" s="120">
        <f ca="1">IF($J$7=1,HLOOKUP(N$11,index1970,Query!$O95)/N$9,IF($J$7=2,HLOOKUP(N$11,index1970,Query!$O95)/N$9 * HLOOKUP(N$11,comboutfac,Query!$O95),HLOOKUP(N$11,index1970,Query!$O95)/N$9 * HLOOKUP(N$11,comboutfac,Query!$O95) /N$8))</f>
        <v>5.9689375460718797</v>
      </c>
      <c r="O60" s="120">
        <f ca="1">IF($J$7=1,HLOOKUP(O$11,index1970,Query!$O95)/O$9,IF($J$7=2,HLOOKUP(O$11,index1970,Query!$O95)/O$9 * HLOOKUP(O$11,comboutfac,Query!$O95),HLOOKUP(O$11,index1970,Query!$O95)/O$9 * HLOOKUP(O$11,comboutfac,Query!$O95) /O$8))</f>
        <v>5.901716789146735</v>
      </c>
      <c r="P60" s="120">
        <f ca="1">IF($J$7=1,HLOOKUP(P$11,index1970,Query!$O95)/P$9,IF($J$7=2,HLOOKUP(P$11,index1970,Query!$O95)/P$9 * HLOOKUP(P$11,comboutfac,Query!$O95),HLOOKUP(P$11,index1970,Query!$O95)/P$9 * HLOOKUP(P$11,comboutfac,Query!$O95) /P$8))</f>
        <v>8.0160723565196079</v>
      </c>
      <c r="Q60" s="120">
        <f ca="1">IF($J$7=1,HLOOKUP(Q$11,index1970,Query!$O95)/Q$9,IF($J$7=2,HLOOKUP(Q$11,index1970,Query!$O95)/Q$9 * HLOOKUP(Q$11,comboutfac,Query!$O95),HLOOKUP(Q$11,index1970,Query!$O95)/Q$9 * HLOOKUP(Q$11,comboutfac,Query!$O95) /Q$8))</f>
        <v>5.0960153243926856</v>
      </c>
      <c r="R60" s="120">
        <f ca="1">IF($J$7=1,HLOOKUP(R$11,index1970,Query!$O95)/R$9,IF($J$7=2,HLOOKUP(R$11,index1970,Query!$O95)/R$9 * HLOOKUP(R$11,comboutfac,Query!$O95),HLOOKUP(R$11,index1970,Query!$O95)/R$9 * HLOOKUP(R$11,comboutfac,Query!$O95) /R$8))</f>
        <v>7.8564994392180152</v>
      </c>
      <c r="S60" s="120">
        <f ca="1">IF($J$7=1,HLOOKUP(S$11,index1970,Query!$O95)/S$9,IF($J$7=2,HLOOKUP(S$11,index1970,Query!$O95)/S$9 * HLOOKUP(S$11,comboutfac,Query!$O95),HLOOKUP(S$11,index1970,Query!$O95)/S$9 * HLOOKUP(S$11,comboutfac,Query!$O95) /S$8))</f>
        <v>5.0918711020913436</v>
      </c>
      <c r="T60" s="120">
        <f ca="1">IF($J$7=1,HLOOKUP(T$11,index1970,Query!$O95)/T$9,IF($J$7=2,HLOOKUP(T$11,index1970,Query!$O95)/T$9 * HLOOKUP(T$11,comboutfac,Query!$O95),HLOOKUP(T$11,index1970,Query!$O95)/T$9 * HLOOKUP(T$11,comboutfac,Query!$O95) /T$8))</f>
        <v>5.0062441507641768</v>
      </c>
      <c r="U60" s="120">
        <f ca="1">IF($J$7=1,HLOOKUP(U$11,index1970,Query!$O95)/U$9,IF($J$7=2,HLOOKUP(U$11,index1970,Query!$O95)/U$9 * HLOOKUP(U$11,comboutfac,Query!$O95),HLOOKUP(U$11,index1970,Query!$O95)/U$9 * HLOOKUP(U$11,comboutfac,Query!$O95) /U$8))</f>
        <v>6.6741368623795374</v>
      </c>
      <c r="V60" s="120">
        <f ca="1">IF($J$7=1,HLOOKUP(V$11,index1970,Query!$O95)/V$9,IF($J$7=2,HLOOKUP(V$11,index1970,Query!$O95)/V$9 * HLOOKUP(V$11,comboutfac,Query!$O95),HLOOKUP(V$11,index1970,Query!$O95)/V$9 * HLOOKUP(V$11,comboutfac,Query!$O95) /V$8))</f>
        <v>5.7899635929209659</v>
      </c>
      <c r="W60" s="120">
        <f ca="1">IF($J$7=1,HLOOKUP(W$11,index1970,Query!$O95)/W$9,IF($J$7=2,HLOOKUP(W$11,index1970,Query!$O95)/W$9 * HLOOKUP(W$11,comboutfac,Query!$O95),HLOOKUP(W$11,index1970,Query!$O95)/W$9 * HLOOKUP(W$11,comboutfac,Query!$O95) /W$8))</f>
        <v>6.0972843379656947</v>
      </c>
      <c r="X60" s="120">
        <f ca="1">IF($J$7=1,HLOOKUP(X$11,index1970,Query!$O95)/X$9,IF($J$7=2,HLOOKUP(X$11,index1970,Query!$O95)/X$9 * HLOOKUP(X$11,comboutfac,Query!$O95),HLOOKUP(X$11,index1970,Query!$O95)/X$9 * HLOOKUP(X$11,comboutfac,Query!$O95) /X$8))</f>
        <v>5.7967272600615729</v>
      </c>
      <c r="Y60" s="120">
        <f ca="1">IF($J$7=1,HLOOKUP(Y$11,index1970,Query!$O95)/Y$9,IF($J$7=2,HLOOKUP(Y$11,index1970,Query!$O95)/Y$9 * HLOOKUP(Y$11,comboutfac,Query!$O95),HLOOKUP(Y$11,index1970,Query!$O95)/Y$9 * HLOOKUP(Y$11,comboutfac,Query!$O95) /Y$8))</f>
        <v>5.8790751205663847</v>
      </c>
      <c r="Z60" s="120">
        <f ca="1">IF($J$7=1,HLOOKUP(Z$11,index1970,Query!$O95)/Z$9,IF($J$7=2,HLOOKUP(Z$11,index1970,Query!$O95)/Z$9 * HLOOKUP(Z$11,comboutfac,Query!$O95),HLOOKUP(Z$11,index1970,Query!$O95)/Z$9 * HLOOKUP(Z$11,comboutfac,Query!$O95) /Z$8))</f>
        <v>6.8383446715580654</v>
      </c>
      <c r="AA60" s="120">
        <f ca="1">IF($J$7=1,HLOOKUP(AA$11,index1970,Query!$O95)/AA$9,IF($J$7=2,HLOOKUP(AA$11,index1970,Query!$O95)/AA$9 * HLOOKUP(AA$11,comboutfac,Query!$O95),HLOOKUP(AA$11,index1970,Query!$O95)/AA$9 * HLOOKUP(AA$11,comboutfac,Query!$O95) /AA$8))</f>
        <v>5.7810720258279202</v>
      </c>
      <c r="AB60" s="120">
        <f ca="1">IF($J$7=1,HLOOKUP(AB$11,index1970,Query!$O95)/AB$9,IF($J$7=2,HLOOKUP(AB$11,index1970,Query!$O95)/AB$9 * HLOOKUP(AB$11,comboutfac,Query!$O95),HLOOKUP(AB$11,index1970,Query!$O95)/AB$9 * HLOOKUP(AB$11,comboutfac,Query!$O95) /AB$8))</f>
        <v>5.8149737035489455</v>
      </c>
      <c r="AC60" s="120">
        <f ca="1">IF($J$7=1,HLOOKUP(AC$11,index1970,Query!$O95)/AC$9,IF($J$7=2,HLOOKUP(AC$11,index1970,Query!$O95)/AC$9 * HLOOKUP(AC$11,comboutfac,Query!$O95),HLOOKUP(AC$11,index1970,Query!$O95)/AC$9 * HLOOKUP(AC$11,comboutfac,Query!$O95) /AC$8))</f>
        <v>6.8676669654454718</v>
      </c>
      <c r="AD60" s="120">
        <f ca="1">IF($J$7=1,HLOOKUP(AD$11,index1970,Query!$O95)/AD$9,IF($J$7=2,HLOOKUP(AD$11,index1970,Query!$O95)/AD$9 * HLOOKUP(AD$11,comboutfac,Query!$O95),HLOOKUP(AD$11,index1970,Query!$O95)/AD$9 * HLOOKUP(AD$11,comboutfac,Query!$O95) /AD$8))</f>
        <v>5.7649660773903868</v>
      </c>
      <c r="AE60" s="120">
        <f ca="1">IF($J$7=1,HLOOKUP(AE$11,index1970,Query!$O95)/AE$9,IF($J$7=2,HLOOKUP(AE$11,index1970,Query!$O95)/AE$9 * HLOOKUP(AE$11,comboutfac,Query!$O95),HLOOKUP(AE$11,index1970,Query!$O95)/AE$9 * HLOOKUP(AE$11,comboutfac,Query!$O95) /AE$8))</f>
        <v>5.0150245838785548</v>
      </c>
      <c r="AF60" s="120">
        <f ca="1">IF($J$7=1,HLOOKUP(AF$11,index1970,Query!$O95)/AF$9,IF($J$7=2,HLOOKUP(AF$11,index1970,Query!$O95)/AF$9 * HLOOKUP(AF$11,comboutfac,Query!$O95),HLOOKUP(AF$11,index1970,Query!$O95)/AF$9 * HLOOKUP(AF$11,comboutfac,Query!$O95) /AF$8))</f>
        <v>8.2290419889206685</v>
      </c>
      <c r="AG60" s="120">
        <f ca="1">IF($J$7=1,HLOOKUP(AG$11,index1970,Query!$O95)/AG$9,IF($J$7=2,HLOOKUP(AG$11,index1970,Query!$O95)/AG$9 * HLOOKUP(AG$11,comboutfac,Query!$O95),HLOOKUP(AG$11,index1970,Query!$O95)/AG$9 * HLOOKUP(AG$11,comboutfac,Query!$O95) /AG$8))</f>
        <v>5.8904777813095732</v>
      </c>
      <c r="AH60" s="120">
        <f ca="1">IF($J$7=1,HLOOKUP(AH$11,index1970,Query!$O95)/AH$9,IF($J$7=2,HLOOKUP(AH$11,index1970,Query!$O95)/AH$9 * HLOOKUP(AH$11,comboutfac,Query!$O95),HLOOKUP(AH$11,index1970,Query!$O95)/AH$9 * HLOOKUP(AH$11,comboutfac,Query!$O95) /AH$8))</f>
        <v>5.001263156803625</v>
      </c>
      <c r="AI60" s="120">
        <f ca="1">IF($J$7=1,HLOOKUP(AI$11,index1970,Query!$O95)/AI$9,IF($J$7=2,HLOOKUP(AI$11,index1970,Query!$O95)/AI$9 * HLOOKUP(AI$11,comboutfac,Query!$O95),HLOOKUP(AI$11,index1970,Query!$O95)/AI$9 * HLOOKUP(AI$11,comboutfac,Query!$O95) /AI$8))</f>
        <v>5.1699754743716415</v>
      </c>
      <c r="AJ60" s="120">
        <f ca="1">IF($J$7=1,HLOOKUP(AJ$11,index1970,Query!$O95)/AJ$9,IF($J$7=2,HLOOKUP(AJ$11,index1970,Query!$O95)/AJ$9 * HLOOKUP(AJ$11,comboutfac,Query!$O95),HLOOKUP(AJ$11,index1970,Query!$O95)/AJ$9 * HLOOKUP(AJ$11,comboutfac,Query!$O95) /AJ$8))</f>
        <v>4.9493743617142218</v>
      </c>
      <c r="AK60" s="120">
        <f ca="1">IF($J$7=1,HLOOKUP(AK$11,index1970,Query!$O95)/AK$9,IF($J$7=2,HLOOKUP(AK$11,index1970,Query!$O95)/AK$9 * HLOOKUP(AK$11,comboutfac,Query!$O95),HLOOKUP(AK$11,index1970,Query!$O95)/AK$9 * HLOOKUP(AK$11,comboutfac,Query!$O95) /AK$8))</f>
        <v>5.1408499204503526</v>
      </c>
      <c r="AL60" s="120">
        <f ca="1">IF($J$7=1,HLOOKUP(AL$11,index1970,Query!$O95)/AL$9,IF($J$7=2,HLOOKUP(AL$11,index1970,Query!$O95)/AL$9 * HLOOKUP(AL$11,comboutfac,Query!$O95),HLOOKUP(AL$11,index1970,Query!$O95)/AL$9 * HLOOKUP(AL$11,comboutfac,Query!$O95) /AL$8))</f>
        <v>7.7231184260531753</v>
      </c>
      <c r="AM60" s="120">
        <f ca="1">IF($J$7=1,HLOOKUP(AM$11,index1970,Query!$O95)/AM$9,IF($J$7=2,HLOOKUP(AM$11,index1970,Query!$O95)/AM$9 * HLOOKUP(AM$11,comboutfac,Query!$O95),HLOOKUP(AM$11,index1970,Query!$O95)/AM$9 * HLOOKUP(AM$11,comboutfac,Query!$O95) /AM$8))</f>
        <v>5.0965322769323009</v>
      </c>
      <c r="AN60" s="120">
        <f ca="1">IF($J$7=1,HLOOKUP(AN$11,index1970,Query!$O95)/AN$9,IF($J$7=2,HLOOKUP(AN$11,index1970,Query!$O95)/AN$9 * HLOOKUP(AN$11,comboutfac,Query!$O95),HLOOKUP(AN$11,index1970,Query!$O95)/AN$9 * HLOOKUP(AN$11,comboutfac,Query!$O95) /AN$8))</f>
        <v>7.6891260298810415</v>
      </c>
      <c r="AO60" s="120">
        <f ca="1">IF($J$7=1,HLOOKUP(AO$11,index1970,Query!$O95)/AO$9,IF($J$7=2,HLOOKUP(AO$11,index1970,Query!$O95)/AO$9 * HLOOKUP(AO$11,comboutfac,Query!$O95),HLOOKUP(AO$11,index1970,Query!$O95)/AO$9 * HLOOKUP(AO$11,comboutfac,Query!$O95) /AO$8))</f>
        <v>5.0953926848212054</v>
      </c>
      <c r="AP60" s="120">
        <f ca="1">IF($J$7=1,HLOOKUP(AP$11,index1970,Query!$O95)/AP$9,IF($J$7=2,HLOOKUP(AP$11,index1970,Query!$O95)/AP$9 * HLOOKUP(AP$11,comboutfac,Query!$O95),HLOOKUP(AP$11,index1970,Query!$O95)/AP$9 * HLOOKUP(AP$11,comboutfac,Query!$O95) /AP$8))</f>
        <v>8.3350653173680502</v>
      </c>
      <c r="AQ60" s="683">
        <f ca="1">IF($J$7=1,HLOOKUP(AQ$11,index1970,Query!$O95)/AQ$9,IF($J$7=2,HLOOKUP(AQ$11,index1970,Query!$O95)/AQ$9 * HLOOKUP(AQ$11,comboutfac,Query!$O95),HLOOKUP(AQ$11,index1970,Query!$O95)/AQ$9 * HLOOKUP(AQ$11,comboutfac,Query!$O95) /AQ$8))</f>
        <v>6.8605638398370505</v>
      </c>
      <c r="AR60" s="120">
        <f ca="1">IF($J$7=1,HLOOKUP(AR$11,index1970,Query!$O95)/AR$9,IF($J$7=2,HLOOKUP(AR$11,index1970,Query!$O95)/AR$9 * HLOOKUP(AR$11,comboutfac,Query!$O95),HLOOKUP(AR$11,index1970,Query!$O95)/AR$9 * HLOOKUP(AR$11,comboutfac,Query!$O95) /AR$8))</f>
        <v>5.9159850690844689</v>
      </c>
      <c r="AS60" s="213"/>
    </row>
    <row r="61" spans="1:45" s="122" customFormat="1">
      <c r="A61" s="121">
        <f t="shared" si="7"/>
        <v>2017</v>
      </c>
      <c r="B61" s="120">
        <f ca="1">IF($J$7=1,HLOOKUP(B$11,index1970,Query!$O96)/B$9,IF($J$7=2,HLOOKUP(B$11,index1970,Query!$O96)/B$9 * HLOOKUP(B$11,comboutfac,Query!$O96),HLOOKUP(B$11,index1970,Query!$O96)/B$9 * HLOOKUP(B$11,comboutfac,Query!$O96) /B$8))</f>
        <v>6.0208033980611519</v>
      </c>
      <c r="C61" s="120">
        <f ca="1">IF($J$7=1,HLOOKUP(C$11,index1970,Query!$O96)/C$9,IF($J$7=2,HLOOKUP(C$11,index1970,Query!$O96)/C$9 * HLOOKUP(C$11,comboutfac,Query!$O96),HLOOKUP(C$11,index1970,Query!$O96)/C$9 * HLOOKUP(C$11,comboutfac,Query!$O96) /C$8))</f>
        <v>5.8741735678353741</v>
      </c>
      <c r="D61" s="120">
        <f ca="1">IF($J$7=1,HLOOKUP(D$11,index1970,Query!$O96)/D$9,IF($J$7=2,HLOOKUP(D$11,index1970,Query!$O96)/D$9 * HLOOKUP(D$11,comboutfac,Query!$O96),HLOOKUP(D$11,index1970,Query!$O96)/D$9 * HLOOKUP(D$11,comboutfac,Query!$O96) /D$8))</f>
        <v>5.825536668125757</v>
      </c>
      <c r="E61" s="120">
        <f ca="1">IF($J$7=1,HLOOKUP(E$11,index1970,Query!$O96)/E$9,IF($J$7=2,HLOOKUP(E$11,index1970,Query!$O96)/E$9 * HLOOKUP(E$11,comboutfac,Query!$O96),HLOOKUP(E$11,index1970,Query!$O96)/E$9 * HLOOKUP(E$11,comboutfac,Query!$O96) /E$8))</f>
        <v>6.1055577604728226</v>
      </c>
      <c r="F61" s="120">
        <f ca="1">IF($J$7=1,HLOOKUP(F$11,index1970,Query!$O96)/F$9,IF($J$7=2,HLOOKUP(F$11,index1970,Query!$O96)/F$9 * HLOOKUP(F$11,comboutfac,Query!$O96),HLOOKUP(F$11,index1970,Query!$O96)/F$9 * HLOOKUP(F$11,comboutfac,Query!$O96) /F$8))</f>
        <v>5.825536668125757</v>
      </c>
      <c r="G61" s="120">
        <f ca="1">IF($J$7=1,HLOOKUP(G$11,index1970,Query!$O96)/G$9,IF($J$7=2,HLOOKUP(G$11,index1970,Query!$O96)/G$9 * HLOOKUP(G$11,comboutfac,Query!$O96),HLOOKUP(G$11,index1970,Query!$O96)/G$9 * HLOOKUP(G$11,comboutfac,Query!$O96) /G$8))</f>
        <v>6.1488431963687677</v>
      </c>
      <c r="H61" s="120">
        <f ca="1">IF($J$7=1,HLOOKUP(H$11,index1970,Query!$O96)/H$9,IF($J$7=2,HLOOKUP(H$11,index1970,Query!$O96)/H$9 * HLOOKUP(H$11,comboutfac,Query!$O96),HLOOKUP(H$11,index1970,Query!$O96)/H$9 * HLOOKUP(H$11,comboutfac,Query!$O96) /H$8))</f>
        <v>5.8940858912978005</v>
      </c>
      <c r="I61" s="120">
        <f ca="1">IF($J$7=1,HLOOKUP(I$11,index1970,Query!$O96)/I$9,IF($J$7=2,HLOOKUP(I$11,index1970,Query!$O96)/I$9 * HLOOKUP(I$11,comboutfac,Query!$O96),HLOOKUP(I$11,index1970,Query!$O96)/I$9 * HLOOKUP(I$11,comboutfac,Query!$O96) /I$8))</f>
        <v>5.9337696948511924</v>
      </c>
      <c r="J61" s="120">
        <f ca="1">IF($J$7=1,HLOOKUP(J$11,index1970,Query!$O96)/J$9,IF($J$7=2,HLOOKUP(J$11,index1970,Query!$O96)/J$9 * HLOOKUP(J$11,comboutfac,Query!$O96),HLOOKUP(J$11,index1970,Query!$O96)/J$9 * HLOOKUP(J$11,comboutfac,Query!$O96) /J$8))</f>
        <v>7.730192853358461</v>
      </c>
      <c r="K61" s="120">
        <f ca="1">IF($J$7=1,HLOOKUP(K$11,index1970,Query!$O96)/K$9,IF($J$7=2,HLOOKUP(K$11,index1970,Query!$O96)/K$9 * HLOOKUP(K$11,comboutfac,Query!$O96),HLOOKUP(K$11,index1970,Query!$O96)/K$9 * HLOOKUP(K$11,comboutfac,Query!$O96) /K$8))</f>
        <v>8.368929744513725</v>
      </c>
      <c r="L61" s="120">
        <f ca="1">IF($J$7=1,HLOOKUP(L$11,index1970,Query!$O96)/L$9,IF($J$7=2,HLOOKUP(L$11,index1970,Query!$O96)/L$9 * HLOOKUP(L$11,comboutfac,Query!$O96),HLOOKUP(L$11,index1970,Query!$O96)/L$9 * HLOOKUP(L$11,comboutfac,Query!$O96) /L$8))</f>
        <v>6.3383466741047618</v>
      </c>
      <c r="M61" s="120">
        <f ca="1">IF($J$7=1,HLOOKUP(M$11,index1970,Query!$O96)/M$9,IF($J$7=2,HLOOKUP(M$11,index1970,Query!$O96)/M$9 * HLOOKUP(M$11,comboutfac,Query!$O96),HLOOKUP(M$11,index1970,Query!$O96)/M$9 * HLOOKUP(M$11,comboutfac,Query!$O96) /M$8))</f>
        <v>5.3020037937020872</v>
      </c>
      <c r="N61" s="120">
        <f ca="1">IF($J$7=1,HLOOKUP(N$11,index1970,Query!$O96)/N$9,IF($J$7=2,HLOOKUP(N$11,index1970,Query!$O96)/N$9 * HLOOKUP(N$11,comboutfac,Query!$O96),HLOOKUP(N$11,index1970,Query!$O96)/N$9 * HLOOKUP(N$11,comboutfac,Query!$O96) /N$8))</f>
        <v>6.0880625805226689</v>
      </c>
      <c r="O61" s="120">
        <f ca="1">IF($J$7=1,HLOOKUP(O$11,index1970,Query!$O96)/O$9,IF($J$7=2,HLOOKUP(O$11,index1970,Query!$O96)/O$9 * HLOOKUP(O$11,comboutfac,Query!$O96),HLOOKUP(O$11,index1970,Query!$O96)/O$9 * HLOOKUP(O$11,comboutfac,Query!$O96) /O$8))</f>
        <v>6.0195030907537035</v>
      </c>
      <c r="P61" s="120">
        <f ca="1">IF($J$7=1,HLOOKUP(P$11,index1970,Query!$O96)/P$9,IF($J$7=2,HLOOKUP(P$11,index1970,Query!$O96)/P$9 * HLOOKUP(P$11,comboutfac,Query!$O96),HLOOKUP(P$11,index1970,Query!$O96)/P$9 * HLOOKUP(P$11,comboutfac,Query!$O96) /P$8))</f>
        <v>8.1674400054731091</v>
      </c>
      <c r="Q61" s="120">
        <f ca="1">IF($J$7=1,HLOOKUP(Q$11,index1970,Query!$O96)/Q$9,IF($J$7=2,HLOOKUP(Q$11,index1970,Query!$O96)/Q$9 * HLOOKUP(Q$11,comboutfac,Query!$O96),HLOOKUP(Q$11,index1970,Query!$O96)/Q$9 * HLOOKUP(Q$11,comboutfac,Query!$O96) /Q$8))</f>
        <v>5.1895754553961178</v>
      </c>
      <c r="R61" s="120">
        <f ca="1">IF($J$7=1,HLOOKUP(R$11,index1970,Query!$O96)/R$9,IF($J$7=2,HLOOKUP(R$11,index1970,Query!$O96)/R$9 * HLOOKUP(R$11,comboutfac,Query!$O96),HLOOKUP(R$11,index1970,Query!$O96)/R$9 * HLOOKUP(R$11,comboutfac,Query!$O96) /R$8))</f>
        <v>8.0047642177142873</v>
      </c>
      <c r="S61" s="120">
        <f ca="1">IF($J$7=1,HLOOKUP(S$11,index1970,Query!$O96)/S$9,IF($J$7=2,HLOOKUP(S$11,index1970,Query!$O96)/S$9 * HLOOKUP(S$11,comboutfac,Query!$O96),HLOOKUP(S$11,index1970,Query!$O96)/S$9 * HLOOKUP(S$11,comboutfac,Query!$O96) /S$8))</f>
        <v>5.1849386235269828</v>
      </c>
      <c r="T61" s="120">
        <f ca="1">IF($J$7=1,HLOOKUP(T$11,index1970,Query!$O96)/T$9,IF($J$7=2,HLOOKUP(T$11,index1970,Query!$O96)/T$9 * HLOOKUP(T$11,comboutfac,Query!$O96),HLOOKUP(T$11,index1970,Query!$O96)/T$9 * HLOOKUP(T$11,comboutfac,Query!$O96) /T$8))</f>
        <v>5.1022544291236063</v>
      </c>
      <c r="U61" s="120">
        <f ca="1">IF($J$7=1,HLOOKUP(U$11,index1970,Query!$O96)/U$9,IF($J$7=2,HLOOKUP(U$11,index1970,Query!$O96)/U$9 * HLOOKUP(U$11,comboutfac,Query!$O96),HLOOKUP(U$11,index1970,Query!$O96)/U$9 * HLOOKUP(U$11,comboutfac,Query!$O96) /U$8))</f>
        <v>6.8021341630841317</v>
      </c>
      <c r="V61" s="120">
        <f ca="1">IF($J$7=1,HLOOKUP(V$11,index1970,Query!$O96)/V$9,IF($J$7=2,HLOOKUP(V$11,index1970,Query!$O96)/V$9 * HLOOKUP(V$11,comboutfac,Query!$O96),HLOOKUP(V$11,index1970,Query!$O96)/V$9 * HLOOKUP(V$11,comboutfac,Query!$O96) /V$8))</f>
        <v>5.90010212408776</v>
      </c>
      <c r="W61" s="120">
        <f ca="1">IF($J$7=1,HLOOKUP(W$11,index1970,Query!$O96)/W$9,IF($J$7=2,HLOOKUP(W$11,index1970,Query!$O96)/W$9 * HLOOKUP(W$11,comboutfac,Query!$O96),HLOOKUP(W$11,index1970,Query!$O96)/W$9 * HLOOKUP(W$11,comboutfac,Query!$O96) /W$8))</f>
        <v>6.2081538562535572</v>
      </c>
      <c r="X61" s="120">
        <f ca="1">IF($J$7=1,HLOOKUP(X$11,index1970,Query!$O96)/X$9,IF($J$7=2,HLOOKUP(X$11,index1970,Query!$O96)/X$9 * HLOOKUP(X$11,comboutfac,Query!$O96),HLOOKUP(X$11,index1970,Query!$O96)/X$9 * HLOOKUP(X$11,comboutfac,Query!$O96) /X$8))</f>
        <v>5.9079015742097036</v>
      </c>
      <c r="Y61" s="120">
        <f ca="1">IF($J$7=1,HLOOKUP(Y$11,index1970,Query!$O96)/Y$9,IF($J$7=2,HLOOKUP(Y$11,index1970,Query!$O96)/Y$9 * HLOOKUP(Y$11,comboutfac,Query!$O96),HLOOKUP(Y$11,index1970,Query!$O96)/Y$9 * HLOOKUP(Y$11,comboutfac,Query!$O96) /Y$8))</f>
        <v>5.9953719858824757</v>
      </c>
      <c r="Z61" s="120">
        <f ca="1">IF($J$7=1,HLOOKUP(Z$11,index1970,Query!$O96)/Z$9,IF($J$7=2,HLOOKUP(Z$11,index1970,Query!$O96)/Z$9 * HLOOKUP(Z$11,comboutfac,Query!$O96),HLOOKUP(Z$11,index1970,Query!$O96)/Z$9 * HLOOKUP(Z$11,comboutfac,Query!$O96) /Z$8))</f>
        <v>6.9764192964252807</v>
      </c>
      <c r="AA61" s="120">
        <f ca="1">IF($J$7=1,HLOOKUP(AA$11,index1970,Query!$O96)/AA$9,IF($J$7=2,HLOOKUP(AA$11,index1970,Query!$O96)/AA$9 * HLOOKUP(AA$11,comboutfac,Query!$O96),HLOOKUP(AA$11,index1970,Query!$O96)/AA$9 * HLOOKUP(AA$11,comboutfac,Query!$O96) /AA$8))</f>
        <v>5.8903601886016901</v>
      </c>
      <c r="AB61" s="120">
        <f ca="1">IF($J$7=1,HLOOKUP(AB$11,index1970,Query!$O96)/AB$9,IF($J$7=2,HLOOKUP(AB$11,index1970,Query!$O96)/AB$9 * HLOOKUP(AB$11,comboutfac,Query!$O96),HLOOKUP(AB$11,index1970,Query!$O96)/AB$9 * HLOOKUP(AB$11,comboutfac,Query!$O96) /AB$8))</f>
        <v>5.9154663511749312</v>
      </c>
      <c r="AC61" s="120">
        <f ca="1">IF($J$7=1,HLOOKUP(AC$11,index1970,Query!$O96)/AC$9,IF($J$7=2,HLOOKUP(AC$11,index1970,Query!$O96)/AC$9 * HLOOKUP(AC$11,comboutfac,Query!$O96),HLOOKUP(AC$11,index1970,Query!$O96)/AC$9 * HLOOKUP(AC$11,comboutfac,Query!$O96) /AC$8))</f>
        <v>7.0423246621077045</v>
      </c>
      <c r="AD61" s="120">
        <f ca="1">IF($J$7=1,HLOOKUP(AD$11,index1970,Query!$O96)/AD$9,IF($J$7=2,HLOOKUP(AD$11,index1970,Query!$O96)/AD$9 * HLOOKUP(AD$11,comboutfac,Query!$O96),HLOOKUP(AD$11,index1970,Query!$O96)/AD$9 * HLOOKUP(AD$11,comboutfac,Query!$O96) /AD$8))</f>
        <v>5.8731175390883603</v>
      </c>
      <c r="AE61" s="120">
        <f ca="1">IF($J$7=1,HLOOKUP(AE$11,index1970,Query!$O96)/AE$9,IF($J$7=2,HLOOKUP(AE$11,index1970,Query!$O96)/AE$9 * HLOOKUP(AE$11,comboutfac,Query!$O96),HLOOKUP(AE$11,index1970,Query!$O96)/AE$9 * HLOOKUP(AE$11,comboutfac,Query!$O96) /AE$8))</f>
        <v>5.1131564956432811</v>
      </c>
      <c r="AF61" s="120">
        <f ca="1">IF($J$7=1,HLOOKUP(AF$11,index1970,Query!$O96)/AF$9,IF($J$7=2,HLOOKUP(AF$11,index1970,Query!$O96)/AF$9 * HLOOKUP(AF$11,comboutfac,Query!$O96),HLOOKUP(AF$11,index1970,Query!$O96)/AF$9 * HLOOKUP(AF$11,comboutfac,Query!$O96) /AF$8))</f>
        <v>8.3921976649077408</v>
      </c>
      <c r="AG61" s="120">
        <f ca="1">IF($J$7=1,HLOOKUP(AG$11,index1970,Query!$O96)/AG$9,IF($J$7=2,HLOOKUP(AG$11,index1970,Query!$O96)/AG$9 * HLOOKUP(AG$11,comboutfac,Query!$O96),HLOOKUP(AG$11,index1970,Query!$O96)/AG$9 * HLOOKUP(AG$11,comboutfac,Query!$O96) /AG$8))</f>
        <v>6.0067060265558831</v>
      </c>
      <c r="AH61" s="120">
        <f ca="1">IF($J$7=1,HLOOKUP(AH$11,index1970,Query!$O96)/AH$9,IF($J$7=2,HLOOKUP(AH$11,index1970,Query!$O96)/AH$9 * HLOOKUP(AH$11,comboutfac,Query!$O96),HLOOKUP(AH$11,index1970,Query!$O96)/AH$9 * HLOOKUP(AH$11,comboutfac,Query!$O96) /AH$8))</f>
        <v>5.0990290681371455</v>
      </c>
      <c r="AI61" s="120">
        <f ca="1">IF($J$7=1,HLOOKUP(AI$11,index1970,Query!$O96)/AI$9,IF($J$7=2,HLOOKUP(AI$11,index1970,Query!$O96)/AI$9 * HLOOKUP(AI$11,comboutfac,Query!$O96),HLOOKUP(AI$11,index1970,Query!$O96)/AI$9 * HLOOKUP(AI$11,comboutfac,Query!$O96) /AI$8))</f>
        <v>5.2701029048865209</v>
      </c>
      <c r="AJ61" s="120">
        <f ca="1">IF($J$7=1,HLOOKUP(AJ$11,index1970,Query!$O96)/AJ$9,IF($J$7=2,HLOOKUP(AJ$11,index1970,Query!$O96)/AJ$9 * HLOOKUP(AJ$11,comboutfac,Query!$O96),HLOOKUP(AJ$11,index1970,Query!$O96)/AJ$9 * HLOOKUP(AJ$11,comboutfac,Query!$O96) /AJ$8))</f>
        <v>5.0440829884136464</v>
      </c>
      <c r="AK61" s="120">
        <f ca="1">IF($J$7=1,HLOOKUP(AK$11,index1970,Query!$O96)/AK$9,IF($J$7=2,HLOOKUP(AK$11,index1970,Query!$O96)/AK$9 * HLOOKUP(AK$11,comboutfac,Query!$O96),HLOOKUP(AK$11,index1970,Query!$O96)/AK$9 * HLOOKUP(AK$11,comboutfac,Query!$O96) /AK$8))</f>
        <v>5.2404630493796764</v>
      </c>
      <c r="AL61" s="120">
        <f ca="1">IF($J$7=1,HLOOKUP(AL$11,index1970,Query!$O96)/AL$9,IF($J$7=2,HLOOKUP(AL$11,index1970,Query!$O96)/AL$9 * HLOOKUP(AL$11,comboutfac,Query!$O96),HLOOKUP(AL$11,index1970,Query!$O96)/AL$9 * HLOOKUP(AL$11,comboutfac,Query!$O96) /AL$8))</f>
        <v>7.8687939801665117</v>
      </c>
      <c r="AM61" s="120">
        <f ca="1">IF($J$7=1,HLOOKUP(AM$11,index1970,Query!$O96)/AM$9,IF($J$7=2,HLOOKUP(AM$11,index1970,Query!$O96)/AM$9 * HLOOKUP(AM$11,comboutfac,Query!$O96),HLOOKUP(AM$11,index1970,Query!$O96)/AM$9 * HLOOKUP(AM$11,comboutfac,Query!$O96) /AM$8))</f>
        <v>5.1904567197899532</v>
      </c>
      <c r="AN61" s="120">
        <f ca="1">IF($J$7=1,HLOOKUP(AN$11,index1970,Query!$O96)/AN$9,IF($J$7=2,HLOOKUP(AN$11,index1970,Query!$O96)/AN$9 * HLOOKUP(AN$11,comboutfac,Query!$O96),HLOOKUP(AN$11,index1970,Query!$O96)/AN$9 * HLOOKUP(AN$11,comboutfac,Query!$O96) /AN$8))</f>
        <v>7.833728388591461</v>
      </c>
      <c r="AO61" s="120">
        <f ca="1">IF($J$7=1,HLOOKUP(AO$11,index1970,Query!$O96)/AO$9,IF($J$7=2,HLOOKUP(AO$11,index1970,Query!$O96)/AO$9 * HLOOKUP(AO$11,comboutfac,Query!$O96),HLOOKUP(AO$11,index1970,Query!$O96)/AO$9 * HLOOKUP(AO$11,comboutfac,Query!$O96) /AO$8))</f>
        <v>5.1891691887154643</v>
      </c>
      <c r="AP61" s="120">
        <f ca="1">IF($J$7=1,HLOOKUP(AP$11,index1970,Query!$O96)/AP$9,IF($J$7=2,HLOOKUP(AP$11,index1970,Query!$O96)/AP$9 * HLOOKUP(AP$11,comboutfac,Query!$O96),HLOOKUP(AP$11,index1970,Query!$O96)/AP$9 * HLOOKUP(AP$11,comboutfac,Query!$O96) /AP$8))</f>
        <v>8.5008153071644834</v>
      </c>
      <c r="AQ61" s="683">
        <f ca="1">IF($J$7=1,HLOOKUP(AQ$11,index1970,Query!$O96)/AQ$9,IF($J$7=2,HLOOKUP(AQ$11,index1970,Query!$O96)/AQ$9 * HLOOKUP(AQ$11,comboutfac,Query!$O96),HLOOKUP(AQ$11,index1970,Query!$O96)/AQ$9 * HLOOKUP(AQ$11,comboutfac,Query!$O96) /AQ$8))</f>
        <v>6.9969920912247474</v>
      </c>
      <c r="AR61" s="120">
        <f ca="1">IF($J$7=1,HLOOKUP(AR$11,index1970,Query!$O96)/AR$9,IF($J$7=2,HLOOKUP(AR$11,index1970,Query!$O96)/AR$9 * HLOOKUP(AR$11,comboutfac,Query!$O96),HLOOKUP(AR$11,index1970,Query!$O96)/AR$9 * HLOOKUP(AR$11,comboutfac,Query!$O96) /AR$8))</f>
        <v>6.0322191274788608</v>
      </c>
      <c r="AS61" s="213"/>
    </row>
    <row r="62" spans="1:45" s="122" customFormat="1">
      <c r="A62" s="121">
        <f t="shared" ref="A62:A68" si="8">+A61+1</f>
        <v>2018</v>
      </c>
      <c r="B62" s="120">
        <f ca="1">IF($J$7=1,HLOOKUP(B$11,index1970,Query!$O97)/B$9,IF($J$7=2,HLOOKUP(B$11,index1970,Query!$O97)/B$9 * HLOOKUP(B$11,comboutfac,Query!$O97),HLOOKUP(B$11,index1970,Query!$O97)/B$9 * HLOOKUP(B$11,comboutfac,Query!$O97) /B$8))</f>
        <v>6.1412194660223758</v>
      </c>
      <c r="C62" s="120">
        <f ca="1">IF($J$7=1,HLOOKUP(C$11,index1970,Query!$O97)/C$9,IF($J$7=2,HLOOKUP(C$11,index1970,Query!$O97)/C$9 * HLOOKUP(C$11,comboutfac,Query!$O97),HLOOKUP(C$11,index1970,Query!$O97)/C$9 * HLOOKUP(C$11,comboutfac,Query!$O97) /C$8))</f>
        <v>5.9916570391920807</v>
      </c>
      <c r="D62" s="120">
        <f ca="1">IF($J$7=1,HLOOKUP(D$11,index1970,Query!$O97)/D$9,IF($J$7=2,HLOOKUP(D$11,index1970,Query!$O97)/D$9 * HLOOKUP(D$11,comboutfac,Query!$O97),HLOOKUP(D$11,index1970,Query!$O97)/D$9 * HLOOKUP(D$11,comboutfac,Query!$O97) /D$8))</f>
        <v>5.9420474014882716</v>
      </c>
      <c r="E62" s="120">
        <f ca="1">IF($J$7=1,HLOOKUP(E$11,index1970,Query!$O97)/E$9,IF($J$7=2,HLOOKUP(E$11,index1970,Query!$O97)/E$9 * HLOOKUP(E$11,comboutfac,Query!$O97),HLOOKUP(E$11,index1970,Query!$O97)/E$9 * HLOOKUP(E$11,comboutfac,Query!$O97) /E$8))</f>
        <v>6.2245688010724196</v>
      </c>
      <c r="F62" s="120">
        <f ca="1">IF($J$7=1,HLOOKUP(F$11,index1970,Query!$O97)/F$9,IF($J$7=2,HLOOKUP(F$11,index1970,Query!$O97)/F$9 * HLOOKUP(F$11,comboutfac,Query!$O97),HLOOKUP(F$11,index1970,Query!$O97)/F$9 * HLOOKUP(F$11,comboutfac,Query!$O97) /F$8))</f>
        <v>5.9420474014882716</v>
      </c>
      <c r="G62" s="120">
        <f ca="1">IF($J$7=1,HLOOKUP(G$11,index1970,Query!$O97)/G$9,IF($J$7=2,HLOOKUP(G$11,index1970,Query!$O97)/G$9 * HLOOKUP(G$11,comboutfac,Query!$O97),HLOOKUP(G$11,index1970,Query!$O97)/G$9 * HLOOKUP(G$11,comboutfac,Query!$O97) /G$8))</f>
        <v>6.271820060296144</v>
      </c>
      <c r="H62" s="120">
        <f ca="1">IF($J$7=1,HLOOKUP(H$11,index1970,Query!$O97)/H$9,IF($J$7=2,HLOOKUP(H$11,index1970,Query!$O97)/H$9 * HLOOKUP(H$11,comboutfac,Query!$O97),HLOOKUP(H$11,index1970,Query!$O97)/H$9 * HLOOKUP(H$11,comboutfac,Query!$O97) /H$8))</f>
        <v>6.0119676091237562</v>
      </c>
      <c r="I62" s="120">
        <f ca="1">IF($J$7=1,HLOOKUP(I$11,index1970,Query!$O97)/I$9,IF($J$7=2,HLOOKUP(I$11,index1970,Query!$O97)/I$9 * HLOOKUP(I$11,comboutfac,Query!$O97),HLOOKUP(I$11,index1970,Query!$O97)/I$9 * HLOOKUP(I$11,comboutfac,Query!$O97) /I$8))</f>
        <v>6.0520232843270332</v>
      </c>
      <c r="J62" s="120">
        <f ca="1">IF($J$7=1,HLOOKUP(J$11,index1970,Query!$O97)/J$9,IF($J$7=2,HLOOKUP(J$11,index1970,Query!$O97)/J$9 * HLOOKUP(J$11,comboutfac,Query!$O97),HLOOKUP(J$11,index1970,Query!$O97)/J$9 * HLOOKUP(J$11,comboutfac,Query!$O97) /J$8))</f>
        <v>7.6992720819450273</v>
      </c>
      <c r="K62" s="120">
        <f ca="1">IF($J$7=1,HLOOKUP(K$11,index1970,Query!$O97)/K$9,IF($J$7=2,HLOOKUP(K$11,index1970,Query!$O97)/K$9 * HLOOKUP(K$11,comboutfac,Query!$O97),HLOOKUP(K$11,index1970,Query!$O97)/K$9 * HLOOKUP(K$11,comboutfac,Query!$O97) /K$8))</f>
        <v>8.5446772691485116</v>
      </c>
      <c r="L62" s="120">
        <f ca="1">IF($J$7=1,HLOOKUP(L$11,index1970,Query!$O97)/L$9,IF($J$7=2,HLOOKUP(L$11,index1970,Query!$O97)/L$9 * HLOOKUP(L$11,comboutfac,Query!$O97),HLOOKUP(L$11,index1970,Query!$O97)/L$9 * HLOOKUP(L$11,comboutfac,Query!$O97) /L$8))</f>
        <v>6.4651136075868587</v>
      </c>
      <c r="M62" s="120">
        <f ca="1">IF($J$7=1,HLOOKUP(M$11,index1970,Query!$O97)/M$9,IF($J$7=2,HLOOKUP(M$11,index1970,Query!$O97)/M$9 * HLOOKUP(M$11,comboutfac,Query!$O97),HLOOKUP(M$11,index1970,Query!$O97)/M$9 * HLOOKUP(M$11,comboutfac,Query!$O97) /M$8))</f>
        <v>5.4080438695761304</v>
      </c>
      <c r="N62" s="120">
        <f ca="1">IF($J$7=1,HLOOKUP(N$11,index1970,Query!$O97)/N$9,IF($J$7=2,HLOOKUP(N$11,index1970,Query!$O97)/N$9 * HLOOKUP(N$11,comboutfac,Query!$O97),HLOOKUP(N$11,index1970,Query!$O97)/N$9 * HLOOKUP(N$11,comboutfac,Query!$O97) /N$8))</f>
        <v>6.2098238321331243</v>
      </c>
      <c r="O62" s="120">
        <f ca="1">IF($J$7=1,HLOOKUP(O$11,index1970,Query!$O97)/O$9,IF($J$7=2,HLOOKUP(O$11,index1970,Query!$O97)/O$9 * HLOOKUP(O$11,comboutfac,Query!$O97),HLOOKUP(O$11,index1970,Query!$O97)/O$9 * HLOOKUP(O$11,comboutfac,Query!$O97) /O$8))</f>
        <v>6.1398931525687797</v>
      </c>
      <c r="P62" s="120">
        <f ca="1">IF($J$7=1,HLOOKUP(P$11,index1970,Query!$O97)/P$9,IF($J$7=2,HLOOKUP(P$11,index1970,Query!$O97)/P$9 * HLOOKUP(P$11,comboutfac,Query!$O97),HLOOKUP(P$11,index1970,Query!$O97)/P$9 * HLOOKUP(P$11,comboutfac,Query!$O97) /P$8))</f>
        <v>8.337893866308141</v>
      </c>
      <c r="Q62" s="120">
        <f ca="1">IF($J$7=1,HLOOKUP(Q$11,index1970,Query!$O97)/Q$9,IF($J$7=2,HLOOKUP(Q$11,index1970,Query!$O97)/Q$9 * HLOOKUP(Q$11,comboutfac,Query!$O97),HLOOKUP(Q$11,index1970,Query!$O97)/Q$9 * HLOOKUP(Q$11,comboutfac,Query!$O97) /Q$8))</f>
        <v>5.2933669645040418</v>
      </c>
      <c r="R62" s="120">
        <f ca="1">IF($J$7=1,HLOOKUP(R$11,index1970,Query!$O97)/R$9,IF($J$7=2,HLOOKUP(R$11,index1970,Query!$O97)/R$9 * HLOOKUP(R$11,comboutfac,Query!$O97),HLOOKUP(R$11,index1970,Query!$O97)/R$9 * HLOOKUP(R$11,comboutfac,Query!$O97) /R$8))</f>
        <v>8.1712910706244912</v>
      </c>
      <c r="S62" s="120">
        <f ca="1">IF($J$7=1,HLOOKUP(S$11,index1970,Query!$O97)/S$9,IF($J$7=2,HLOOKUP(S$11,index1970,Query!$O97)/S$9 * HLOOKUP(S$11,comboutfac,Query!$O97),HLOOKUP(S$11,index1970,Query!$O97)/S$9 * HLOOKUP(S$11,comboutfac,Query!$O97) /S$8))</f>
        <v>5.2886373959975224</v>
      </c>
      <c r="T62" s="120">
        <f ca="1">IF($J$7=1,HLOOKUP(T$11,index1970,Query!$O97)/T$9,IF($J$7=2,HLOOKUP(T$11,index1970,Query!$O97)/T$9 * HLOOKUP(T$11,comboutfac,Query!$O97),HLOOKUP(T$11,index1970,Query!$O97)/T$9 * HLOOKUP(T$11,comboutfac,Query!$O97) /T$8))</f>
        <v>5.2042995177060787</v>
      </c>
      <c r="U62" s="120">
        <f ca="1">IF($J$7=1,HLOOKUP(U$11,index1970,Query!$O97)/U$9,IF($J$7=2,HLOOKUP(U$11,index1970,Query!$O97)/U$9 * HLOOKUP(U$11,comboutfac,Query!$O97),HLOOKUP(U$11,index1970,Query!$O97)/U$9 * HLOOKUP(U$11,comboutfac,Query!$O97) /U$8))</f>
        <v>6.9381768463458133</v>
      </c>
      <c r="V62" s="120">
        <f ca="1">IF($J$7=1,HLOOKUP(V$11,index1970,Query!$O97)/V$9,IF($J$7=2,HLOOKUP(V$11,index1970,Query!$O97)/V$9 * HLOOKUP(V$11,comboutfac,Query!$O97),HLOOKUP(V$11,index1970,Query!$O97)/V$9 * HLOOKUP(V$11,comboutfac,Query!$O97) /V$8))</f>
        <v>6.0181041665695147</v>
      </c>
      <c r="W62" s="120">
        <f ca="1">IF($J$7=1,HLOOKUP(W$11,index1970,Query!$O97)/W$9,IF($J$7=2,HLOOKUP(W$11,index1970,Query!$O97)/W$9 * HLOOKUP(W$11,comboutfac,Query!$O97),HLOOKUP(W$11,index1970,Query!$O97)/W$9 * HLOOKUP(W$11,comboutfac,Query!$O97) /W$8))</f>
        <v>6.3346636978014859</v>
      </c>
      <c r="X62" s="120">
        <f ca="1">IF($J$7=1,HLOOKUP(X$11,index1970,Query!$O97)/X$9,IF($J$7=2,HLOOKUP(X$11,index1970,Query!$O97)/X$9 * HLOOKUP(X$11,comboutfac,Query!$O97),HLOOKUP(X$11,index1970,Query!$O97)/X$9 * HLOOKUP(X$11,comboutfac,Query!$O97) /X$8))</f>
        <v>6.0260596056938986</v>
      </c>
      <c r="Y62" s="120">
        <f ca="1">IF($J$7=1,HLOOKUP(Y$11,index1970,Query!$O97)/Y$9,IF($J$7=2,HLOOKUP(Y$11,index1970,Query!$O97)/Y$9 * HLOOKUP(Y$11,comboutfac,Query!$O97),HLOOKUP(Y$11,index1970,Query!$O97)/Y$9 * HLOOKUP(Y$11,comboutfac,Query!$O97) /Y$8))</f>
        <v>6.1135036318488263</v>
      </c>
      <c r="Z62" s="120">
        <f ca="1">IF($J$7=1,HLOOKUP(Z$11,index1970,Query!$O97)/Z$9,IF($J$7=2,HLOOKUP(Z$11,index1970,Query!$O97)/Z$9 * HLOOKUP(Z$11,comboutfac,Query!$O97),HLOOKUP(Z$11,index1970,Query!$O97)/Z$9 * HLOOKUP(Z$11,comboutfac,Query!$O97) /Z$8))</f>
        <v>7.105120404068197</v>
      </c>
      <c r="AA62" s="120">
        <f ca="1">IF($J$7=1,HLOOKUP(AA$11,index1970,Query!$O97)/AA$9,IF($J$7=2,HLOOKUP(AA$11,index1970,Query!$O97)/AA$9 * HLOOKUP(AA$11,comboutfac,Query!$O97),HLOOKUP(AA$11,index1970,Query!$O97)/AA$9 * HLOOKUP(AA$11,comboutfac,Query!$O97) /AA$8))</f>
        <v>6.008167392373724</v>
      </c>
      <c r="AB62" s="120">
        <f ca="1">IF($J$7=1,HLOOKUP(AB$11,index1970,Query!$O97)/AB$9,IF($J$7=2,HLOOKUP(AB$11,index1970,Query!$O97)/AB$9 * HLOOKUP(AB$11,comboutfac,Query!$O97),HLOOKUP(AB$11,index1970,Query!$O97)/AB$9 * HLOOKUP(AB$11,comboutfac,Query!$O97) /AB$8))</f>
        <v>6.0345148627205996</v>
      </c>
      <c r="AC62" s="120">
        <f ca="1">IF($J$7=1,HLOOKUP(AC$11,index1970,Query!$O97)/AC$9,IF($J$7=2,HLOOKUP(AC$11,index1970,Query!$O97)/AC$9 * HLOOKUP(AC$11,comboutfac,Query!$O97),HLOOKUP(AC$11,index1970,Query!$O97)/AC$9 * HLOOKUP(AC$11,comboutfac,Query!$O97) /AC$8))</f>
        <v>7.154265287322727</v>
      </c>
      <c r="AD62" s="120">
        <f ca="1">IF($J$7=1,HLOOKUP(AD$11,index1970,Query!$O97)/AD$9,IF($J$7=2,HLOOKUP(AD$11,index1970,Query!$O97)/AD$9 * HLOOKUP(AD$11,comboutfac,Query!$O97),HLOOKUP(AD$11,index1970,Query!$O97)/AD$9 * HLOOKUP(AD$11,comboutfac,Query!$O97) /AD$8))</f>
        <v>5.990579889870129</v>
      </c>
      <c r="AE62" s="120">
        <f ca="1">IF($J$7=1,HLOOKUP(AE$11,index1970,Query!$O97)/AE$9,IF($J$7=2,HLOOKUP(AE$11,index1970,Query!$O97)/AE$9 * HLOOKUP(AE$11,comboutfac,Query!$O97),HLOOKUP(AE$11,index1970,Query!$O97)/AE$9 * HLOOKUP(AE$11,comboutfac,Query!$O97) /AE$8))</f>
        <v>5.2154196255561454</v>
      </c>
      <c r="AF62" s="120">
        <f ca="1">IF($J$7=1,HLOOKUP(AF$11,index1970,Query!$O97)/AF$9,IF($J$7=2,HLOOKUP(AF$11,index1970,Query!$O97)/AF$9 * HLOOKUP(AF$11,comboutfac,Query!$O97),HLOOKUP(AF$11,index1970,Query!$O97)/AF$9 * HLOOKUP(AF$11,comboutfac,Query!$O97) /AF$8))</f>
        <v>8.5600416182058954</v>
      </c>
      <c r="AG62" s="120">
        <f ca="1">IF($J$7=1,HLOOKUP(AG$11,index1970,Query!$O97)/AG$9,IF($J$7=2,HLOOKUP(AG$11,index1970,Query!$O97)/AG$9 * HLOOKUP(AG$11,comboutfac,Query!$O97),HLOOKUP(AG$11,index1970,Query!$O97)/AG$9 * HLOOKUP(AG$11,comboutfac,Query!$O97) /AG$8))</f>
        <v>6.1268401470870009</v>
      </c>
      <c r="AH62" s="120">
        <f ca="1">IF($J$7=1,HLOOKUP(AH$11,index1970,Query!$O97)/AH$9,IF($J$7=2,HLOOKUP(AH$11,index1970,Query!$O97)/AH$9 * HLOOKUP(AH$11,comboutfac,Query!$O97),HLOOKUP(AH$11,index1970,Query!$O97)/AH$9 * HLOOKUP(AH$11,comboutfac,Query!$O97) /AH$8))</f>
        <v>5.2010096494998903</v>
      </c>
      <c r="AI62" s="120">
        <f ca="1">IF($J$7=1,HLOOKUP(AI$11,index1970,Query!$O97)/AI$9,IF($J$7=2,HLOOKUP(AI$11,index1970,Query!$O97)/AI$9 * HLOOKUP(AI$11,comboutfac,Query!$O97),HLOOKUP(AI$11,index1970,Query!$O97)/AI$9 * HLOOKUP(AI$11,comboutfac,Query!$O97) /AI$8))</f>
        <v>5.3754063748750278</v>
      </c>
      <c r="AJ62" s="120">
        <f ca="1">IF($J$7=1,HLOOKUP(AJ$11,index1970,Query!$O97)/AJ$9,IF($J$7=2,HLOOKUP(AJ$11,index1970,Query!$O97)/AJ$9 * HLOOKUP(AJ$11,comboutfac,Query!$O97),HLOOKUP(AJ$11,index1970,Query!$O97)/AJ$9 * HLOOKUP(AJ$11,comboutfac,Query!$O97) /AJ$8))</f>
        <v>5.1449646481819205</v>
      </c>
      <c r="AK62" s="120">
        <f ca="1">IF($J$7=1,HLOOKUP(AK$11,index1970,Query!$O97)/AK$9,IF($J$7=2,HLOOKUP(AK$11,index1970,Query!$O97)/AK$9 * HLOOKUP(AK$11,comboutfac,Query!$O97),HLOOKUP(AK$11,index1970,Query!$O97)/AK$9 * HLOOKUP(AK$11,comboutfac,Query!$O97) /AK$8))</f>
        <v>5.3452723103672701</v>
      </c>
      <c r="AL62" s="120">
        <f ca="1">IF($J$7=1,HLOOKUP(AL$11,index1970,Query!$O97)/AL$9,IF($J$7=2,HLOOKUP(AL$11,index1970,Query!$O97)/AL$9 * HLOOKUP(AL$11,comboutfac,Query!$O97),HLOOKUP(AL$11,index1970,Query!$O97)/AL$9 * HLOOKUP(AL$11,comboutfac,Query!$O97) /AL$8))</f>
        <v>8.0326066196781358</v>
      </c>
      <c r="AM62" s="120">
        <f ca="1">IF($J$7=1,HLOOKUP(AM$11,index1970,Query!$O97)/AM$9,IF($J$7=2,HLOOKUP(AM$11,index1970,Query!$O97)/AM$9 * HLOOKUP(AM$11,comboutfac,Query!$O97),HLOOKUP(AM$11,index1970,Query!$O97)/AM$9 * HLOOKUP(AM$11,comboutfac,Query!$O97) /AM$8))</f>
        <v>5.2942658541857535</v>
      </c>
      <c r="AN62" s="120">
        <f ca="1">IF($J$7=1,HLOOKUP(AN$11,index1970,Query!$O97)/AN$9,IF($J$7=2,HLOOKUP(AN$11,index1970,Query!$O97)/AN$9 * HLOOKUP(AN$11,comboutfac,Query!$O97),HLOOKUP(AN$11,index1970,Query!$O97)/AN$9 * HLOOKUP(AN$11,comboutfac,Query!$O97) /AN$8))</f>
        <v>7.9954686519672471</v>
      </c>
      <c r="AO62" s="120">
        <f ca="1">IF($J$7=1,HLOOKUP(AO$11,index1970,Query!$O97)/AO$9,IF($J$7=2,HLOOKUP(AO$11,index1970,Query!$O97)/AO$9 * HLOOKUP(AO$11,comboutfac,Query!$O97),HLOOKUP(AO$11,index1970,Query!$O97)/AO$9 * HLOOKUP(AO$11,comboutfac,Query!$O97) /AO$8))</f>
        <v>5.2929525724897761</v>
      </c>
      <c r="AP62" s="120">
        <f ca="1">IF($J$7=1,HLOOKUP(AP$11,index1970,Query!$O97)/AP$9,IF($J$7=2,HLOOKUP(AP$11,index1970,Query!$O97)/AP$9 * HLOOKUP(AP$11,comboutfac,Query!$O97),HLOOKUP(AP$11,index1970,Query!$O97)/AP$9 * HLOOKUP(AP$11,comboutfac,Query!$O97) /AP$8))</f>
        <v>8.6708316133077741</v>
      </c>
      <c r="AQ62" s="683">
        <f ca="1">IF($J$7=1,HLOOKUP(AQ$11,index1970,Query!$O97)/AQ$9,IF($J$7=2,HLOOKUP(AQ$11,index1970,Query!$O97)/AQ$9 * HLOOKUP(AQ$11,comboutfac,Query!$O97),HLOOKUP(AQ$11,index1970,Query!$O97)/AQ$9 * HLOOKUP(AQ$11,comboutfac,Query!$O97) /AQ$8))</f>
        <v>7.1369319330492429</v>
      </c>
      <c r="AR62" s="120">
        <f ca="1">IF($J$7=1,HLOOKUP(AR$11,index1970,Query!$O97)/AR$9,IF($J$7=2,HLOOKUP(AR$11,index1970,Query!$O97)/AR$9 * HLOOKUP(AR$11,comboutfac,Query!$O97),HLOOKUP(AR$11,index1970,Query!$O97)/AR$9 * HLOOKUP(AR$11,comboutfac,Query!$O97) /AR$8))</f>
        <v>6.1528635100284372</v>
      </c>
      <c r="AS62" s="213"/>
    </row>
    <row r="63" spans="1:45" s="122" customFormat="1">
      <c r="A63" s="121">
        <f t="shared" si="8"/>
        <v>2019</v>
      </c>
      <c r="B63" s="120">
        <f ca="1">IF($J$7=1,HLOOKUP(B$11,index1970,Query!$O98)/B$9,IF($J$7=2,HLOOKUP(B$11,index1970,Query!$O98)/B$9 * HLOOKUP(B$11,comboutfac,Query!$O98),HLOOKUP(B$11,index1970,Query!$O98)/B$9 * HLOOKUP(B$11,comboutfac,Query!$O98) /B$8))</f>
        <v>6.2640438553428242</v>
      </c>
      <c r="C63" s="120">
        <f ca="1">IF($J$7=1,HLOOKUP(C$11,index1970,Query!$O98)/C$9,IF($J$7=2,HLOOKUP(C$11,index1970,Query!$O98)/C$9 * HLOOKUP(C$11,comboutfac,Query!$O98),HLOOKUP(C$11,index1970,Query!$O98)/C$9 * HLOOKUP(C$11,comboutfac,Query!$O98) /C$8))</f>
        <v>6.1114901799759265</v>
      </c>
      <c r="D63" s="120">
        <f ca="1">IF($J$7=1,HLOOKUP(D$11,index1970,Query!$O98)/D$9,IF($J$7=2,HLOOKUP(D$11,index1970,Query!$O98)/D$9 * HLOOKUP(D$11,comboutfac,Query!$O98),HLOOKUP(D$11,index1970,Query!$O98)/D$9 * HLOOKUP(D$11,comboutfac,Query!$O98) /D$8))</f>
        <v>6.0608883495180388</v>
      </c>
      <c r="E63" s="120">
        <f ca="1">IF($J$7=1,HLOOKUP(E$11,index1970,Query!$O98)/E$9,IF($J$7=2,HLOOKUP(E$11,index1970,Query!$O98)/E$9 * HLOOKUP(E$11,comboutfac,Query!$O98),HLOOKUP(E$11,index1970,Query!$O98)/E$9 * HLOOKUP(E$11,comboutfac,Query!$O98) /E$8))</f>
        <v>6.3428356082927948</v>
      </c>
      <c r="F63" s="120">
        <f ca="1">IF($J$7=1,HLOOKUP(F$11,index1970,Query!$O98)/F$9,IF($J$7=2,HLOOKUP(F$11,index1970,Query!$O98)/F$9 * HLOOKUP(F$11,comboutfac,Query!$O98),HLOOKUP(F$11,index1970,Query!$O98)/F$9 * HLOOKUP(F$11,comboutfac,Query!$O98) /F$8))</f>
        <v>6.0608883495180388</v>
      </c>
      <c r="G63" s="120">
        <f ca="1">IF($J$7=1,HLOOKUP(G$11,index1970,Query!$O98)/G$9,IF($J$7=2,HLOOKUP(G$11,index1970,Query!$O98)/G$9 * HLOOKUP(G$11,comboutfac,Query!$O98),HLOOKUP(G$11,index1970,Query!$O98)/G$9 * HLOOKUP(G$11,comboutfac,Query!$O98) /G$8))</f>
        <v>6.3972564615020673</v>
      </c>
      <c r="H63" s="120">
        <f ca="1">IF($J$7=1,HLOOKUP(H$11,index1970,Query!$O98)/H$9,IF($J$7=2,HLOOKUP(H$11,index1970,Query!$O98)/H$9 * HLOOKUP(H$11,comboutfac,Query!$O98),HLOOKUP(H$11,index1970,Query!$O98)/H$9 * HLOOKUP(H$11,comboutfac,Query!$O98) /H$8))</f>
        <v>6.1322069613062347</v>
      </c>
      <c r="I63" s="120">
        <f ca="1">IF($J$7=1,HLOOKUP(I$11,index1970,Query!$O98)/I$9,IF($J$7=2,HLOOKUP(I$11,index1970,Query!$O98)/I$9 * HLOOKUP(I$11,comboutfac,Query!$O98),HLOOKUP(I$11,index1970,Query!$O98)/I$9 * HLOOKUP(I$11,comboutfac,Query!$O98) /I$8))</f>
        <v>6.1722164667537704</v>
      </c>
      <c r="J63" s="120">
        <f ca="1">IF($J$7=1,HLOOKUP(J$11,index1970,Query!$O98)/J$9,IF($J$7=2,HLOOKUP(J$11,index1970,Query!$O98)/J$9 * HLOOKUP(J$11,comboutfac,Query!$O98),HLOOKUP(J$11,index1970,Query!$O98)/J$9 * HLOOKUP(J$11,comboutfac,Query!$O98) /J$8))</f>
        <v>7.7300691702728077</v>
      </c>
      <c r="K63" s="120">
        <f ca="1">IF($J$7=1,HLOOKUP(K$11,index1970,Query!$O98)/K$9,IF($J$7=2,HLOOKUP(K$11,index1970,Query!$O98)/K$9 * HLOOKUP(K$11,comboutfac,Query!$O98),HLOOKUP(K$11,index1970,Query!$O98)/K$9 * HLOOKUP(K$11,comboutfac,Query!$O98) /K$8))</f>
        <v>8.7112322299372753</v>
      </c>
      <c r="L63" s="120">
        <f ca="1">IF($J$7=1,HLOOKUP(L$11,index1970,Query!$O98)/L$9,IF($J$7=2,HLOOKUP(L$11,index1970,Query!$O98)/L$9 * HLOOKUP(L$11,comboutfac,Query!$O98),HLOOKUP(L$11,index1970,Query!$O98)/L$9 * HLOOKUP(L$11,comboutfac,Query!$O98) /L$8))</f>
        <v>6.5944158797385946</v>
      </c>
      <c r="M63" s="120">
        <f ca="1">IF($J$7=1,HLOOKUP(M$11,index1970,Query!$O98)/M$9,IF($J$7=2,HLOOKUP(M$11,index1970,Query!$O98)/M$9 * HLOOKUP(M$11,comboutfac,Query!$O98),HLOOKUP(M$11,index1970,Query!$O98)/M$9 * HLOOKUP(M$11,comboutfac,Query!$O98) /M$8))</f>
        <v>5.5162047469676523</v>
      </c>
      <c r="N63" s="120">
        <f ca="1">IF($J$7=1,HLOOKUP(N$11,index1970,Query!$O98)/N$9,IF($J$7=2,HLOOKUP(N$11,index1970,Query!$O98)/N$9 * HLOOKUP(N$11,comboutfac,Query!$O98),HLOOKUP(N$11,index1970,Query!$O98)/N$9 * HLOOKUP(N$11,comboutfac,Query!$O98) /N$8))</f>
        <v>6.3340203087757851</v>
      </c>
      <c r="O63" s="120">
        <f ca="1">IF($J$7=1,HLOOKUP(O$11,index1970,Query!$O98)/O$9,IF($J$7=2,HLOOKUP(O$11,index1970,Query!$O98)/O$9 * HLOOKUP(O$11,comboutfac,Query!$O98),HLOOKUP(O$11,index1970,Query!$O98)/O$9 * HLOOKUP(O$11,comboutfac,Query!$O98) /O$8))</f>
        <v>6.2626910156201552</v>
      </c>
      <c r="P63" s="120">
        <f ca="1">IF($J$7=1,HLOOKUP(P$11,index1970,Query!$O98)/P$9,IF($J$7=2,HLOOKUP(P$11,index1970,Query!$O98)/P$9 * HLOOKUP(P$11,comboutfac,Query!$O98),HLOOKUP(P$11,index1970,Query!$O98)/P$9 * HLOOKUP(P$11,comboutfac,Query!$O98) /P$8))</f>
        <v>8.5019664102342212</v>
      </c>
      <c r="Q63" s="120">
        <f ca="1">IF($J$7=1,HLOOKUP(Q$11,index1970,Query!$O98)/Q$9,IF($J$7=2,HLOOKUP(Q$11,index1970,Query!$O98)/Q$9 * HLOOKUP(Q$11,comboutfac,Query!$O98),HLOOKUP(Q$11,index1970,Query!$O98)/Q$9 * HLOOKUP(Q$11,comboutfac,Query!$O98) /Q$8))</f>
        <v>5.3992343037941239</v>
      </c>
      <c r="R63" s="120">
        <f ca="1">IF($J$7=1,HLOOKUP(R$11,index1970,Query!$O98)/R$9,IF($J$7=2,HLOOKUP(R$11,index1970,Query!$O98)/R$9 * HLOOKUP(R$11,comboutfac,Query!$O98),HLOOKUP(R$11,index1970,Query!$O98)/R$9 * HLOOKUP(R$11,comboutfac,Query!$O98) /R$8))</f>
        <v>8.3315361219751836</v>
      </c>
      <c r="S63" s="120">
        <f ca="1">IF($J$7=1,HLOOKUP(S$11,index1970,Query!$O98)/S$9,IF($J$7=2,HLOOKUP(S$11,index1970,Query!$O98)/S$9 * HLOOKUP(S$11,comboutfac,Query!$O98),HLOOKUP(S$11,index1970,Query!$O98)/S$9 * HLOOKUP(S$11,comboutfac,Query!$O98) /S$8))</f>
        <v>5.3944101439174723</v>
      </c>
      <c r="T63" s="120">
        <f ca="1">IF($J$7=1,HLOOKUP(T$11,index1970,Query!$O98)/T$9,IF($J$7=2,HLOOKUP(T$11,index1970,Query!$O98)/T$9 * HLOOKUP(T$11,comboutfac,Query!$O98),HLOOKUP(T$11,index1970,Query!$O98)/T$9 * HLOOKUP(T$11,comboutfac,Query!$O98) /T$8))</f>
        <v>5.3083855080602005</v>
      </c>
      <c r="U63" s="120">
        <f ca="1">IF($J$7=1,HLOOKUP(U$11,index1970,Query!$O98)/U$9,IF($J$7=2,HLOOKUP(U$11,index1970,Query!$O98)/U$9 * HLOOKUP(U$11,comboutfac,Query!$O98),HLOOKUP(U$11,index1970,Query!$O98)/U$9 * HLOOKUP(U$11,comboutfac,Query!$O98) /U$8))</f>
        <v>7.0769403832727313</v>
      </c>
      <c r="V63" s="120">
        <f ca="1">IF($J$7=1,HLOOKUP(V$11,index1970,Query!$O98)/V$9,IF($J$7=2,HLOOKUP(V$11,index1970,Query!$O98)/V$9 * HLOOKUP(V$11,comboutfac,Query!$O98),HLOOKUP(V$11,index1970,Query!$O98)/V$9 * HLOOKUP(V$11,comboutfac,Query!$O98) /V$8))</f>
        <v>6.1384662499009055</v>
      </c>
      <c r="W63" s="120">
        <f ca="1">IF($J$7=1,HLOOKUP(W$11,index1970,Query!$O98)/W$9,IF($J$7=2,HLOOKUP(W$11,index1970,Query!$O98)/W$9 * HLOOKUP(W$11,comboutfac,Query!$O98),HLOOKUP(W$11,index1970,Query!$O98)/W$9 * HLOOKUP(W$11,comboutfac,Query!$O98) /W$8))</f>
        <v>6.4578681349180354</v>
      </c>
      <c r="X63" s="120">
        <f ca="1">IF($J$7=1,HLOOKUP(X$11,index1970,Query!$O98)/X$9,IF($J$7=2,HLOOKUP(X$11,index1970,Query!$O98)/X$9 * HLOOKUP(X$11,comboutfac,Query!$O98),HLOOKUP(X$11,index1970,Query!$O98)/X$9 * HLOOKUP(X$11,comboutfac,Query!$O98) /X$8))</f>
        <v>6.1465807978077773</v>
      </c>
      <c r="Y63" s="120">
        <f ca="1">IF($J$7=1,HLOOKUP(Y$11,index1970,Query!$O98)/Y$9,IF($J$7=2,HLOOKUP(Y$11,index1970,Query!$O98)/Y$9 * HLOOKUP(Y$11,comboutfac,Query!$O98),HLOOKUP(Y$11,index1970,Query!$O98)/Y$9 * HLOOKUP(Y$11,comboutfac,Query!$O98) /Y$8))</f>
        <v>6.2333210687950205</v>
      </c>
      <c r="Z63" s="120">
        <f ca="1">IF($J$7=1,HLOOKUP(Z$11,index1970,Query!$O98)/Z$9,IF($J$7=2,HLOOKUP(Z$11,index1970,Query!$O98)/Z$9 * HLOOKUP(Z$11,comboutfac,Query!$O98),HLOOKUP(Z$11,index1970,Query!$O98)/Z$9 * HLOOKUP(Z$11,comboutfac,Query!$O98) /Z$8))</f>
        <v>7.2344595527022335</v>
      </c>
      <c r="AA63" s="120">
        <f ca="1">IF($J$7=1,HLOOKUP(AA$11,index1970,Query!$O98)/AA$9,IF($J$7=2,HLOOKUP(AA$11,index1970,Query!$O98)/AA$9 * HLOOKUP(AA$11,comboutfac,Query!$O98),HLOOKUP(AA$11,index1970,Query!$O98)/AA$9 * HLOOKUP(AA$11,comboutfac,Query!$O98) /AA$8))</f>
        <v>6.1283307402211999</v>
      </c>
      <c r="AB63" s="120">
        <f ca="1">IF($J$7=1,HLOOKUP(AB$11,index1970,Query!$O98)/AB$9,IF($J$7=2,HLOOKUP(AB$11,index1970,Query!$O98)/AB$9 * HLOOKUP(AB$11,comboutfac,Query!$O98),HLOOKUP(AB$11,index1970,Query!$O98)/AB$9 * HLOOKUP(AB$11,comboutfac,Query!$O98) /AB$8))</f>
        <v>6.1507653526045214</v>
      </c>
      <c r="AC63" s="120">
        <f ca="1">IF($J$7=1,HLOOKUP(AC$11,index1970,Query!$O98)/AC$9,IF($J$7=2,HLOOKUP(AC$11,index1970,Query!$O98)/AC$9 * HLOOKUP(AC$11,comboutfac,Query!$O98),HLOOKUP(AC$11,index1970,Query!$O98)/AC$9 * HLOOKUP(AC$11,comboutfac,Query!$O98) /AC$8))</f>
        <v>7.2767325768949771</v>
      </c>
      <c r="AD63" s="120">
        <f ca="1">IF($J$7=1,HLOOKUP(AD$11,index1970,Query!$O98)/AD$9,IF($J$7=2,HLOOKUP(AD$11,index1970,Query!$O98)/AD$9 * HLOOKUP(AD$11,comboutfac,Query!$O98),HLOOKUP(AD$11,index1970,Query!$O98)/AD$9 * HLOOKUP(AD$11,comboutfac,Query!$O98) /AD$8))</f>
        <v>6.1103914876675329</v>
      </c>
      <c r="AE63" s="120">
        <f ca="1">IF($J$7=1,HLOOKUP(AE$11,index1970,Query!$O98)/AE$9,IF($J$7=2,HLOOKUP(AE$11,index1970,Query!$O98)/AE$9 * HLOOKUP(AE$11,comboutfac,Query!$O98),HLOOKUP(AE$11,index1970,Query!$O98)/AE$9 * HLOOKUP(AE$11,comboutfac,Query!$O98) /AE$8))</f>
        <v>5.3197280180672708</v>
      </c>
      <c r="AF63" s="120">
        <f ca="1">IF($J$7=1,HLOOKUP(AF$11,index1970,Query!$O98)/AF$9,IF($J$7=2,HLOOKUP(AF$11,index1970,Query!$O98)/AF$9 * HLOOKUP(AF$11,comboutfac,Query!$O98),HLOOKUP(AF$11,index1970,Query!$O98)/AF$9 * HLOOKUP(AF$11,comboutfac,Query!$O98) /AF$8))</f>
        <v>8.7312424505700132</v>
      </c>
      <c r="AG63" s="120">
        <f ca="1">IF($J$7=1,HLOOKUP(AG$11,index1970,Query!$O98)/AG$9,IF($J$7=2,HLOOKUP(AG$11,index1970,Query!$O98)/AG$9 * HLOOKUP(AG$11,comboutfac,Query!$O98),HLOOKUP(AG$11,index1970,Query!$O98)/AG$9 * HLOOKUP(AG$11,comboutfac,Query!$O98) /AG$8))</f>
        <v>6.2493769500287399</v>
      </c>
      <c r="AH63" s="120">
        <f ca="1">IF($J$7=1,HLOOKUP(AH$11,index1970,Query!$O98)/AH$9,IF($J$7=2,HLOOKUP(AH$11,index1970,Query!$O98)/AH$9 * HLOOKUP(AH$11,comboutfac,Query!$O98),HLOOKUP(AH$11,index1970,Query!$O98)/AH$9 * HLOOKUP(AH$11,comboutfac,Query!$O98) /AH$8))</f>
        <v>5.3050298424898887</v>
      </c>
      <c r="AI63" s="120">
        <f ca="1">IF($J$7=1,HLOOKUP(AI$11,index1970,Query!$O98)/AI$9,IF($J$7=2,HLOOKUP(AI$11,index1970,Query!$O98)/AI$9 * HLOOKUP(AI$11,comboutfac,Query!$O98),HLOOKUP(AI$11,index1970,Query!$O98)/AI$9 * HLOOKUP(AI$11,comboutfac,Query!$O98) /AI$8))</f>
        <v>5.4827613967271498</v>
      </c>
      <c r="AJ63" s="120">
        <f ca="1">IF($J$7=1,HLOOKUP(AJ$11,index1970,Query!$O98)/AJ$9,IF($J$7=2,HLOOKUP(AJ$11,index1970,Query!$O98)/AJ$9 * HLOOKUP(AJ$11,comboutfac,Query!$O98),HLOOKUP(AJ$11,index1970,Query!$O98)/AJ$9 * HLOOKUP(AJ$11,comboutfac,Query!$O98) /AJ$8))</f>
        <v>5.2478639411455568</v>
      </c>
      <c r="AK63" s="120">
        <f ca="1">IF($J$7=1,HLOOKUP(AK$11,index1970,Query!$O98)/AK$9,IF($J$7=2,HLOOKUP(AK$11,index1970,Query!$O98)/AK$9 * HLOOKUP(AK$11,comboutfac,Query!$O98),HLOOKUP(AK$11,index1970,Query!$O98)/AK$9 * HLOOKUP(AK$11,comboutfac,Query!$O98) /AK$8))</f>
        <v>5.4521777565746179</v>
      </c>
      <c r="AL63" s="120">
        <f ca="1">IF($J$7=1,HLOOKUP(AL$11,index1970,Query!$O98)/AL$9,IF($J$7=2,HLOOKUP(AL$11,index1970,Query!$O98)/AL$9 * HLOOKUP(AL$11,comboutfac,Query!$O98),HLOOKUP(AL$11,index1970,Query!$O98)/AL$9 * HLOOKUP(AL$11,comboutfac,Query!$O98) /AL$8))</f>
        <v>8.1908033552055617</v>
      </c>
      <c r="AM63" s="120">
        <f ca="1">IF($J$7=1,HLOOKUP(AM$11,index1970,Query!$O98)/AM$9,IF($J$7=2,HLOOKUP(AM$11,index1970,Query!$O98)/AM$9 * HLOOKUP(AM$11,comboutfac,Query!$O98),HLOOKUP(AM$11,index1970,Query!$O98)/AM$9 * HLOOKUP(AM$11,comboutfac,Query!$O98) /AM$8))</f>
        <v>5.4001511712694681</v>
      </c>
      <c r="AN63" s="120">
        <f ca="1">IF($J$7=1,HLOOKUP(AN$11,index1970,Query!$O98)/AN$9,IF($J$7=2,HLOOKUP(AN$11,index1970,Query!$O98)/AN$9 * HLOOKUP(AN$11,comboutfac,Query!$O98),HLOOKUP(AN$11,index1970,Query!$O98)/AN$9 * HLOOKUP(AN$11,comboutfac,Query!$O98) /AN$8))</f>
        <v>8.1528325065541871</v>
      </c>
      <c r="AO63" s="120">
        <f ca="1">IF($J$7=1,HLOOKUP(AO$11,index1970,Query!$O98)/AO$9,IF($J$7=2,HLOOKUP(AO$11,index1970,Query!$O98)/AO$9 * HLOOKUP(AO$11,comboutfac,Query!$O98),HLOOKUP(AO$11,index1970,Query!$O98)/AO$9 * HLOOKUP(AO$11,comboutfac,Query!$O98) /AO$8))</f>
        <v>5.3988116239395705</v>
      </c>
      <c r="AP63" s="120">
        <f ca="1">IF($J$7=1,HLOOKUP(AP$11,index1970,Query!$O98)/AP$9,IF($J$7=2,HLOOKUP(AP$11,index1970,Query!$O98)/AP$9 * HLOOKUP(AP$11,comboutfac,Query!$O98),HLOOKUP(AP$11,index1970,Query!$O98)/AP$9 * HLOOKUP(AP$11,comboutfac,Query!$O98) /AP$8))</f>
        <v>8.8442482455739295</v>
      </c>
      <c r="AQ63" s="683">
        <f ca="1">IF($J$7=1,HLOOKUP(AQ$11,index1970,Query!$O98)/AQ$9,IF($J$7=2,HLOOKUP(AQ$11,index1970,Query!$O98)/AQ$9 * HLOOKUP(AQ$11,comboutfac,Query!$O98),HLOOKUP(AQ$11,index1970,Query!$O98)/AQ$9 * HLOOKUP(AQ$11,comboutfac,Query!$O98) /AQ$8))</f>
        <v>7.2796705717102279</v>
      </c>
      <c r="AR63" s="120">
        <f ca="1">IF($J$7=1,HLOOKUP(AR$11,index1970,Query!$O98)/AR$9,IF($J$7=2,HLOOKUP(AR$11,index1970,Query!$O98)/AR$9 * HLOOKUP(AR$11,comboutfac,Query!$O98),HLOOKUP(AR$11,index1970,Query!$O98)/AR$9 * HLOOKUP(AR$11,comboutfac,Query!$O98) /AR$8))</f>
        <v>6.275920780229006</v>
      </c>
      <c r="AS63" s="213"/>
    </row>
    <row r="64" spans="1:45" s="122" customFormat="1">
      <c r="A64" s="121">
        <f t="shared" si="8"/>
        <v>2020</v>
      </c>
      <c r="B64" s="120">
        <f ca="1">IF($J$7=1,HLOOKUP(B$11,index1970,Query!$O99)/B$9,IF($J$7=2,HLOOKUP(B$11,index1970,Query!$O99)/B$9 * HLOOKUP(B$11,comboutfac,Query!$O99),HLOOKUP(B$11,index1970,Query!$O99)/B$9 * HLOOKUP(B$11,comboutfac,Query!$O99) /B$8))</f>
        <v>6.3893247324496825</v>
      </c>
      <c r="C64" s="120">
        <f ca="1">IF($J$7=1,HLOOKUP(C$11,index1970,Query!$O99)/C$9,IF($J$7=2,HLOOKUP(C$11,index1970,Query!$O99)/C$9 * HLOOKUP(C$11,comboutfac,Query!$O99),HLOOKUP(C$11,index1970,Query!$O99)/C$9 * HLOOKUP(C$11,comboutfac,Query!$O99) /C$8))</f>
        <v>6.2337199835754422</v>
      </c>
      <c r="D64" s="120">
        <f ca="1">IF($J$7=1,HLOOKUP(D$11,index1970,Query!$O99)/D$9,IF($J$7=2,HLOOKUP(D$11,index1970,Query!$O99)/D$9 * HLOOKUP(D$11,comboutfac,Query!$O99),HLOOKUP(D$11,index1970,Query!$O99)/D$9 * HLOOKUP(D$11,comboutfac,Query!$O99) /D$8))</f>
        <v>6.1821061165083977</v>
      </c>
      <c r="E64" s="120">
        <f ca="1">IF($J$7=1,HLOOKUP(E$11,index1970,Query!$O99)/E$9,IF($J$7=2,HLOOKUP(E$11,index1970,Query!$O99)/E$9 * HLOOKUP(E$11,comboutfac,Query!$O99),HLOOKUP(E$11,index1970,Query!$O99)/E$9 * HLOOKUP(E$11,comboutfac,Query!$O99) /E$8))</f>
        <v>6.4633494848503572</v>
      </c>
      <c r="F64" s="120">
        <f ca="1">IF($J$7=1,HLOOKUP(F$11,index1970,Query!$O99)/F$9,IF($J$7=2,HLOOKUP(F$11,index1970,Query!$O99)/F$9 * HLOOKUP(F$11,comboutfac,Query!$O99),HLOOKUP(F$11,index1970,Query!$O99)/F$9 * HLOOKUP(F$11,comboutfac,Query!$O99) /F$8))</f>
        <v>6.1821061165083977</v>
      </c>
      <c r="G64" s="120">
        <f ca="1">IF($J$7=1,HLOOKUP(G$11,index1970,Query!$O99)/G$9,IF($J$7=2,HLOOKUP(G$11,index1970,Query!$O99)/G$9 * HLOOKUP(G$11,comboutfac,Query!$O99),HLOOKUP(G$11,index1970,Query!$O99)/G$9 * HLOOKUP(G$11,comboutfac,Query!$O99) /G$8))</f>
        <v>6.5252015907321086</v>
      </c>
      <c r="H64" s="120">
        <f ca="1">IF($J$7=1,HLOOKUP(H$11,index1970,Query!$O99)/H$9,IF($J$7=2,HLOOKUP(H$11,index1970,Query!$O99)/H$9 * HLOOKUP(H$11,comboutfac,Query!$O99),HLOOKUP(H$11,index1970,Query!$O99)/H$9 * HLOOKUP(H$11,comboutfac,Query!$O99) /H$8))</f>
        <v>6.2548511005323579</v>
      </c>
      <c r="I64" s="120">
        <f ca="1">IF($J$7=1,HLOOKUP(I$11,index1970,Query!$O99)/I$9,IF($J$7=2,HLOOKUP(I$11,index1970,Query!$O99)/I$9 * HLOOKUP(I$11,comboutfac,Query!$O99),HLOOKUP(I$11,index1970,Query!$O99)/I$9 * HLOOKUP(I$11,comboutfac,Query!$O99) /I$8))</f>
        <v>6.2947966857834992</v>
      </c>
      <c r="J64" s="120">
        <f ca="1">IF($J$7=1,HLOOKUP(J$11,index1970,Query!$O99)/J$9,IF($J$7=2,HLOOKUP(J$11,index1970,Query!$O99)/J$9 * HLOOKUP(J$11,comboutfac,Query!$O99),HLOOKUP(J$11,index1970,Query!$O99)/J$9 * HLOOKUP(J$11,comboutfac,Query!$O99) /J$8))</f>
        <v>7.7919097236349906</v>
      </c>
      <c r="K64" s="120">
        <f ca="1">IF($J$7=1,HLOOKUP(K$11,index1970,Query!$O99)/K$9,IF($J$7=2,HLOOKUP(K$11,index1970,Query!$O99)/K$9 * HLOOKUP(K$11,comboutfac,Query!$O99),HLOOKUP(K$11,index1970,Query!$O99)/K$9 * HLOOKUP(K$11,comboutfac,Query!$O99) /K$8))</f>
        <v>8.8767456423060835</v>
      </c>
      <c r="L64" s="120">
        <f ca="1">IF($J$7=1,HLOOKUP(L$11,index1970,Query!$O99)/L$9,IF($J$7=2,HLOOKUP(L$11,index1970,Query!$O99)/L$9 * HLOOKUP(L$11,comboutfac,Query!$O99),HLOOKUP(L$11,index1970,Query!$O99)/L$9 * HLOOKUP(L$11,comboutfac,Query!$O99) /L$8))</f>
        <v>6.7263041973333673</v>
      </c>
      <c r="M64" s="120">
        <f ca="1">IF($J$7=1,HLOOKUP(M$11,index1970,Query!$O99)/M$9,IF($J$7=2,HLOOKUP(M$11,index1970,Query!$O99)/M$9 * HLOOKUP(M$11,comboutfac,Query!$O99),HLOOKUP(M$11,index1970,Query!$O99)/M$9 * HLOOKUP(M$11,comboutfac,Query!$O99) /M$8))</f>
        <v>5.6265288419070059</v>
      </c>
      <c r="N64" s="120">
        <f ca="1">IF($J$7=1,HLOOKUP(N$11,index1970,Query!$O99)/N$9,IF($J$7=2,HLOOKUP(N$11,index1970,Query!$O99)/N$9 * HLOOKUP(N$11,comboutfac,Query!$O99),HLOOKUP(N$11,index1970,Query!$O99)/N$9 * HLOOKUP(N$11,comboutfac,Query!$O99) /N$8))</f>
        <v>6.4607007149513027</v>
      </c>
      <c r="O64" s="120">
        <f ca="1">IF($J$7=1,HLOOKUP(O$11,index1970,Query!$O99)/O$9,IF($J$7=2,HLOOKUP(O$11,index1970,Query!$O99)/O$9 * HLOOKUP(O$11,comboutfac,Query!$O99),HLOOKUP(O$11,index1970,Query!$O99)/O$9 * HLOOKUP(O$11,comboutfac,Query!$O99) /O$8))</f>
        <v>6.387944835932557</v>
      </c>
      <c r="P64" s="120">
        <f ca="1">IF($J$7=1,HLOOKUP(P$11,index1970,Query!$O99)/P$9,IF($J$7=2,HLOOKUP(P$11,index1970,Query!$O99)/P$9 * HLOOKUP(P$11,comboutfac,Query!$O99),HLOOKUP(P$11,index1970,Query!$O99)/P$9 * HLOOKUP(P$11,comboutfac,Query!$O99) /P$8))</f>
        <v>8.6662783761306734</v>
      </c>
      <c r="Q64" s="120">
        <f ca="1">IF($J$7=1,HLOOKUP(Q$11,index1970,Query!$O99)/Q$9,IF($J$7=2,HLOOKUP(Q$11,index1970,Query!$O99)/Q$9 * HLOOKUP(Q$11,comboutfac,Query!$O99),HLOOKUP(Q$11,index1970,Query!$O99)/Q$9 * HLOOKUP(Q$11,comboutfac,Query!$O99) /Q$8))</f>
        <v>5.5072189898700046</v>
      </c>
      <c r="R64" s="120">
        <f ca="1">IF($J$7=1,HLOOKUP(R$11,index1970,Query!$O99)/R$9,IF($J$7=2,HLOOKUP(R$11,index1970,Query!$O99)/R$9 * HLOOKUP(R$11,comboutfac,Query!$O99),HLOOKUP(R$11,index1970,Query!$O99)/R$9 * HLOOKUP(R$11,comboutfac,Query!$O99) /R$8))</f>
        <v>8.4920053425541528</v>
      </c>
      <c r="S64" s="120">
        <f ca="1">IF($J$7=1,HLOOKUP(S$11,index1970,Query!$O99)/S$9,IF($J$7=2,HLOOKUP(S$11,index1970,Query!$O99)/S$9 * HLOOKUP(S$11,comboutfac,Query!$O99),HLOOKUP(S$11,index1970,Query!$O99)/S$9 * HLOOKUP(S$11,comboutfac,Query!$O99) /S$8))</f>
        <v>5.502298346795822</v>
      </c>
      <c r="T64" s="120">
        <f ca="1">IF($J$7=1,HLOOKUP(T$11,index1970,Query!$O99)/T$9,IF($J$7=2,HLOOKUP(T$11,index1970,Query!$O99)/T$9 * HLOOKUP(T$11,comboutfac,Query!$O99),HLOOKUP(T$11,index1970,Query!$O99)/T$9 * HLOOKUP(T$11,comboutfac,Query!$O99) /T$8))</f>
        <v>5.4145532182214042</v>
      </c>
      <c r="U64" s="120">
        <f ca="1">IF($J$7=1,HLOOKUP(U$11,index1970,Query!$O99)/U$9,IF($J$7=2,HLOOKUP(U$11,index1970,Query!$O99)/U$9 * HLOOKUP(U$11,comboutfac,Query!$O99),HLOOKUP(U$11,index1970,Query!$O99)/U$9 * HLOOKUP(U$11,comboutfac,Query!$O99) /U$8))</f>
        <v>7.2184791909381856</v>
      </c>
      <c r="V64" s="120">
        <f ca="1">IF($J$7=1,HLOOKUP(V$11,index1970,Query!$O99)/V$9,IF($J$7=2,HLOOKUP(V$11,index1970,Query!$O99)/V$9 * HLOOKUP(V$11,comboutfac,Query!$O99),HLOOKUP(V$11,index1970,Query!$O99)/V$9 * HLOOKUP(V$11,comboutfac,Query!$O99) /V$8))</f>
        <v>6.2612355748989241</v>
      </c>
      <c r="W64" s="120">
        <f ca="1">IF($J$7=1,HLOOKUP(W$11,index1970,Query!$O99)/W$9,IF($J$7=2,HLOOKUP(W$11,index1970,Query!$O99)/W$9 * HLOOKUP(W$11,comboutfac,Query!$O99),HLOOKUP(W$11,index1970,Query!$O99)/W$9 * HLOOKUP(W$11,comboutfac,Query!$O99) /W$8))</f>
        <v>6.5845114126949236</v>
      </c>
      <c r="X64" s="120">
        <f ca="1">IF($J$7=1,HLOOKUP(X$11,index1970,Query!$O99)/X$9,IF($J$7=2,HLOOKUP(X$11,index1970,Query!$O99)/X$9 * HLOOKUP(X$11,comboutfac,Query!$O99),HLOOKUP(X$11,index1970,Query!$O99)/X$9 * HLOOKUP(X$11,comboutfac,Query!$O99) /X$8))</f>
        <v>6.2695124137639322</v>
      </c>
      <c r="Y64" s="120">
        <f ca="1">IF($J$7=1,HLOOKUP(Y$11,index1970,Query!$O99)/Y$9,IF($J$7=2,HLOOKUP(Y$11,index1970,Query!$O99)/Y$9 * HLOOKUP(Y$11,comboutfac,Query!$O99),HLOOKUP(Y$11,index1970,Query!$O99)/Y$9 * HLOOKUP(Y$11,comboutfac,Query!$O99) /Y$8))</f>
        <v>6.3564712924635787</v>
      </c>
      <c r="Z64" s="120">
        <f ca="1">IF($J$7=1,HLOOKUP(Z$11,index1970,Query!$O99)/Z$9,IF($J$7=2,HLOOKUP(Z$11,index1970,Query!$O99)/Z$9 * HLOOKUP(Z$11,comboutfac,Query!$O99),HLOOKUP(Z$11,index1970,Query!$O99)/Z$9 * HLOOKUP(Z$11,comboutfac,Query!$O99) /Z$8))</f>
        <v>7.3694090423731708</v>
      </c>
      <c r="AA64" s="120">
        <f ca="1">IF($J$7=1,HLOOKUP(AA$11,index1970,Query!$O99)/AA$9,IF($J$7=2,HLOOKUP(AA$11,index1970,Query!$O99)/AA$9 * HLOOKUP(AA$11,comboutfac,Query!$O99),HLOOKUP(AA$11,index1970,Query!$O99)/AA$9 * HLOOKUP(AA$11,comboutfac,Query!$O99) /AA$8))</f>
        <v>6.2508973550256242</v>
      </c>
      <c r="AB64" s="120">
        <f ca="1">IF($J$7=1,HLOOKUP(AB$11,index1970,Query!$O99)/AB$9,IF($J$7=2,HLOOKUP(AB$11,index1970,Query!$O99)/AB$9 * HLOOKUP(AB$11,comboutfac,Query!$O99),HLOOKUP(AB$11,index1970,Query!$O99)/AB$9 * HLOOKUP(AB$11,comboutfac,Query!$O99) /AB$8))</f>
        <v>6.270393617486679</v>
      </c>
      <c r="AC64" s="120">
        <f ca="1">IF($J$7=1,HLOOKUP(AC$11,index1970,Query!$O99)/AC$9,IF($J$7=2,HLOOKUP(AC$11,index1970,Query!$O99)/AC$9 * HLOOKUP(AC$11,comboutfac,Query!$O99),HLOOKUP(AC$11,index1970,Query!$O99)/AC$9 * HLOOKUP(AC$11,comboutfac,Query!$O99) /AC$8))</f>
        <v>7.4065329632823751</v>
      </c>
      <c r="AD64" s="120">
        <f ca="1">IF($J$7=1,HLOOKUP(AD$11,index1970,Query!$O99)/AD$9,IF($J$7=2,HLOOKUP(AD$11,index1970,Query!$O99)/AD$9 * HLOOKUP(AD$11,comboutfac,Query!$O99),HLOOKUP(AD$11,index1970,Query!$O99)/AD$9 * HLOOKUP(AD$11,comboutfac,Query!$O99) /AD$8))</f>
        <v>6.232599317420882</v>
      </c>
      <c r="AE64" s="120">
        <f ca="1">IF($J$7=1,HLOOKUP(AE$11,index1970,Query!$O99)/AE$9,IF($J$7=2,HLOOKUP(AE$11,index1970,Query!$O99)/AE$9 * HLOOKUP(AE$11,comboutfac,Query!$O99),HLOOKUP(AE$11,index1970,Query!$O99)/AE$9 * HLOOKUP(AE$11,comboutfac,Query!$O99) /AE$8))</f>
        <v>5.4261225784286156</v>
      </c>
      <c r="AF64" s="120">
        <f ca="1">IF($J$7=1,HLOOKUP(AF$11,index1970,Query!$O99)/AF$9,IF($J$7=2,HLOOKUP(AF$11,index1970,Query!$O99)/AF$9 * HLOOKUP(AF$11,comboutfac,Query!$O99),HLOOKUP(AF$11,index1970,Query!$O99)/AF$9 * HLOOKUP(AF$11,comboutfac,Query!$O99) /AF$8))</f>
        <v>8.905867299581411</v>
      </c>
      <c r="AG64" s="120">
        <f ca="1">IF($J$7=1,HLOOKUP(AG$11,index1970,Query!$O99)/AG$9,IF($J$7=2,HLOOKUP(AG$11,index1970,Query!$O99)/AG$9 * HLOOKUP(AG$11,comboutfac,Query!$O99),HLOOKUP(AG$11,index1970,Query!$O99)/AG$9 * HLOOKUP(AG$11,comboutfac,Query!$O99) /AG$8))</f>
        <v>6.3743644890293165</v>
      </c>
      <c r="AH64" s="120">
        <f ca="1">IF($J$7=1,HLOOKUP(AH$11,index1970,Query!$O99)/AH$9,IF($J$7=2,HLOOKUP(AH$11,index1970,Query!$O99)/AH$9 * HLOOKUP(AH$11,comboutfac,Query!$O99),HLOOKUP(AH$11,index1970,Query!$O99)/AH$9 * HLOOKUP(AH$11,comboutfac,Query!$O99) /AH$8))</f>
        <v>5.4111304393396864</v>
      </c>
      <c r="AI64" s="120">
        <f ca="1">IF($J$7=1,HLOOKUP(AI$11,index1970,Query!$O99)/AI$9,IF($J$7=2,HLOOKUP(AI$11,index1970,Query!$O99)/AI$9 * HLOOKUP(AI$11,comboutfac,Query!$O99),HLOOKUP(AI$11,index1970,Query!$O99)/AI$9 * HLOOKUP(AI$11,comboutfac,Query!$O99) /AI$8))</f>
        <v>5.5922175099365843</v>
      </c>
      <c r="AJ64" s="120">
        <f ca="1">IF($J$7=1,HLOOKUP(AJ$11,index1970,Query!$O99)/AJ$9,IF($J$7=2,HLOOKUP(AJ$11,index1970,Query!$O99)/AJ$9 * HLOOKUP(AJ$11,comboutfac,Query!$O99),HLOOKUP(AJ$11,index1970,Query!$O99)/AJ$9 * HLOOKUP(AJ$11,comboutfac,Query!$O99) /AJ$8))</f>
        <v>5.3528212199684679</v>
      </c>
      <c r="AK64" s="120">
        <f ca="1">IF($J$7=1,HLOOKUP(AK$11,index1970,Query!$O99)/AK$9,IF($J$7=2,HLOOKUP(AK$11,index1970,Query!$O99)/AK$9 * HLOOKUP(AK$11,comboutfac,Query!$O99),HLOOKUP(AK$11,index1970,Query!$O99)/AK$9 * HLOOKUP(AK$11,comboutfac,Query!$O99) /AK$8))</f>
        <v>5.5612213117061078</v>
      </c>
      <c r="AL64" s="120">
        <f ca="1">IF($J$7=1,HLOOKUP(AL$11,index1970,Query!$O99)/AL$9,IF($J$7=2,HLOOKUP(AL$11,index1970,Query!$O99)/AL$9 * HLOOKUP(AL$11,comboutfac,Query!$O99),HLOOKUP(AL$11,index1970,Query!$O99)/AL$9 * HLOOKUP(AL$11,comboutfac,Query!$O99) /AL$8))</f>
        <v>8.3489865829834322</v>
      </c>
      <c r="AM64" s="120">
        <f ca="1">IF($J$7=1,HLOOKUP(AM$11,index1970,Query!$O99)/AM$9,IF($J$7=2,HLOOKUP(AM$11,index1970,Query!$O99)/AM$9 * HLOOKUP(AM$11,comboutfac,Query!$O99),HLOOKUP(AM$11,index1970,Query!$O99)/AM$9 * HLOOKUP(AM$11,comboutfac,Query!$O99) /AM$8))</f>
        <v>5.5081541946948569</v>
      </c>
      <c r="AN64" s="120">
        <f ca="1">IF($J$7=1,HLOOKUP(AN$11,index1970,Query!$O99)/AN$9,IF($J$7=2,HLOOKUP(AN$11,index1970,Query!$O99)/AN$9 * HLOOKUP(AN$11,comboutfac,Query!$O99),HLOOKUP(AN$11,index1970,Query!$O99)/AN$9 * HLOOKUP(AN$11,comboutfac,Query!$O99) /AN$8))</f>
        <v>8.3105668743595356</v>
      </c>
      <c r="AO64" s="120">
        <f ca="1">IF($J$7=1,HLOOKUP(AO$11,index1970,Query!$O99)/AO$9,IF($J$7=2,HLOOKUP(AO$11,index1970,Query!$O99)/AO$9 * HLOOKUP(AO$11,comboutfac,Query!$O99),HLOOKUP(AO$11,index1970,Query!$O99)/AO$9 * HLOOKUP(AO$11,comboutfac,Query!$O99) /AO$8))</f>
        <v>5.5067878564183612</v>
      </c>
      <c r="AP64" s="120">
        <f ca="1">IF($J$7=1,HLOOKUP(AP$11,index1970,Query!$O99)/AP$9,IF($J$7=2,HLOOKUP(AP$11,index1970,Query!$O99)/AP$9 * HLOOKUP(AP$11,comboutfac,Query!$O99),HLOOKUP(AP$11,index1970,Query!$O99)/AP$9 * HLOOKUP(AP$11,comboutfac,Query!$O99) /AP$8))</f>
        <v>9.0211332104854112</v>
      </c>
      <c r="AQ64" s="683">
        <f ca="1">IF($J$7=1,HLOOKUP(AQ$11,index1970,Query!$O99)/AQ$9,IF($J$7=2,HLOOKUP(AQ$11,index1970,Query!$O99)/AQ$9 * HLOOKUP(AQ$11,comboutfac,Query!$O99),HLOOKUP(AQ$11,index1970,Query!$O99)/AQ$9 * HLOOKUP(AQ$11,comboutfac,Query!$O99) /AQ$8))</f>
        <v>7.4252639831444336</v>
      </c>
      <c r="AR64" s="120">
        <f ca="1">IF($J$7=1,HLOOKUP(AR$11,index1970,Query!$O99)/AR$9,IF($J$7=2,HLOOKUP(AR$11,index1970,Query!$O99)/AR$9 * HLOOKUP(AR$11,comboutfac,Query!$O99),HLOOKUP(AR$11,index1970,Query!$O99)/AR$9 * HLOOKUP(AR$11,comboutfac,Query!$O99) /AR$8))</f>
        <v>6.4014391958335874</v>
      </c>
      <c r="AS64" s="213"/>
    </row>
    <row r="65" spans="1:45" s="122" customFormat="1">
      <c r="A65" s="121">
        <f t="shared" si="8"/>
        <v>2021</v>
      </c>
      <c r="B65" s="120">
        <f ca="1">IF($J$7=1,HLOOKUP(B$11,index1970,Query!$O100)/B$9,IF($J$7=2,HLOOKUP(B$11,index1970,Query!$O100)/B$9 * HLOOKUP(B$11,comboutfac,Query!$O100),HLOOKUP(B$11,index1970,Query!$O100)/B$9 * HLOOKUP(B$11,comboutfac,Query!$O100) /B$8))</f>
        <v>6.5171112270986757</v>
      </c>
      <c r="C65" s="120">
        <f ca="1">IF($J$7=1,HLOOKUP(C$11,index1970,Query!$O100)/C$9,IF($J$7=2,HLOOKUP(C$11,index1970,Query!$O100)/C$9 * HLOOKUP(C$11,comboutfac,Query!$O100),HLOOKUP(C$11,index1970,Query!$O100)/C$9 * HLOOKUP(C$11,comboutfac,Query!$O100) /C$8))</f>
        <v>6.3583943832469512</v>
      </c>
      <c r="D65" s="120">
        <f ca="1">IF($J$7=1,HLOOKUP(D$11,index1970,Query!$O100)/D$9,IF($J$7=2,HLOOKUP(D$11,index1970,Query!$O100)/D$9 * HLOOKUP(D$11,comboutfac,Query!$O100),HLOOKUP(D$11,index1970,Query!$O100)/D$9 * HLOOKUP(D$11,comboutfac,Query!$O100) /D$8))</f>
        <v>6.3057482388385679</v>
      </c>
      <c r="E65" s="120">
        <f ca="1">IF($J$7=1,HLOOKUP(E$11,index1970,Query!$O100)/E$9,IF($J$7=2,HLOOKUP(E$11,index1970,Query!$O100)/E$9 * HLOOKUP(E$11,comboutfac,Query!$O100),HLOOKUP(E$11,index1970,Query!$O100)/E$9 * HLOOKUP(E$11,comboutfac,Query!$O100) /E$8))</f>
        <v>6.5958935536428367</v>
      </c>
      <c r="F65" s="120">
        <f ca="1">IF($J$7=1,HLOOKUP(F$11,index1970,Query!$O100)/F$9,IF($J$7=2,HLOOKUP(F$11,index1970,Query!$O100)/F$9 * HLOOKUP(F$11,comboutfac,Query!$O100),HLOOKUP(F$11,index1970,Query!$O100)/F$9 * HLOOKUP(F$11,comboutfac,Query!$O100) /F$8))</f>
        <v>6.3057482388385679</v>
      </c>
      <c r="G65" s="120">
        <f ca="1">IF($J$7=1,HLOOKUP(G$11,index1970,Query!$O100)/G$9,IF($J$7=2,HLOOKUP(G$11,index1970,Query!$O100)/G$9 * HLOOKUP(G$11,comboutfac,Query!$O100),HLOOKUP(G$11,index1970,Query!$O100)/G$9 * HLOOKUP(G$11,comboutfac,Query!$O100) /G$8))</f>
        <v>6.6557056225467521</v>
      </c>
      <c r="H65" s="120">
        <f ca="1">IF($J$7=1,HLOOKUP(H$11,index1970,Query!$O100)/H$9,IF($J$7=2,HLOOKUP(H$11,index1970,Query!$O100)/H$9 * HLOOKUP(H$11,comboutfac,Query!$O100),HLOOKUP(H$11,index1970,Query!$O100)/H$9 * HLOOKUP(H$11,comboutfac,Query!$O100) /H$8))</f>
        <v>6.3799481225430048</v>
      </c>
      <c r="I65" s="120">
        <f ca="1">IF($J$7=1,HLOOKUP(I$11,index1970,Query!$O100)/I$9,IF($J$7=2,HLOOKUP(I$11,index1970,Query!$O100)/I$9 * HLOOKUP(I$11,comboutfac,Query!$O100),HLOOKUP(I$11,index1970,Query!$O100)/I$9 * HLOOKUP(I$11,comboutfac,Query!$O100) /I$8))</f>
        <v>6.4211394461073938</v>
      </c>
      <c r="J65" s="120">
        <f ca="1">IF($J$7=1,HLOOKUP(J$11,index1970,Query!$O100)/J$9,IF($J$7=2,HLOOKUP(J$11,index1970,Query!$O100)/J$9 * HLOOKUP(J$11,comboutfac,Query!$O100),HLOOKUP(J$11,index1970,Query!$O100)/J$9 * HLOOKUP(J$11,comboutfac,Query!$O100) /J$8))</f>
        <v>7.8854126403186102</v>
      </c>
      <c r="K65" s="120">
        <f ca="1">IF($J$7=1,HLOOKUP(K$11,index1970,Query!$O100)/K$9,IF($J$7=2,HLOOKUP(K$11,index1970,Query!$O100)/K$9 * HLOOKUP(K$11,comboutfac,Query!$O100),HLOOKUP(K$11,index1970,Query!$O100)/K$9 * HLOOKUP(K$11,comboutfac,Query!$O100) /K$8))</f>
        <v>9.0587812861815902</v>
      </c>
      <c r="L65" s="120">
        <f ca="1">IF($J$7=1,HLOOKUP(L$11,index1970,Query!$O100)/L$9,IF($J$7=2,HLOOKUP(L$11,index1970,Query!$O100)/L$9 * HLOOKUP(L$11,comboutfac,Query!$O100),HLOOKUP(L$11,index1970,Query!$O100)/L$9 * HLOOKUP(L$11,comboutfac,Query!$O100) /L$8))</f>
        <v>6.8608302812800384</v>
      </c>
      <c r="M65" s="120">
        <f ca="1">IF($J$7=1,HLOOKUP(M$11,index1970,Query!$O100)/M$9,IF($J$7=2,HLOOKUP(M$11,index1970,Query!$O100)/M$9 * HLOOKUP(M$11,comboutfac,Query!$O100),HLOOKUP(M$11,index1970,Query!$O100)/M$9 * HLOOKUP(M$11,comboutfac,Query!$O100) /M$8))</f>
        <v>5.7390594187451462</v>
      </c>
      <c r="N65" s="120">
        <f ca="1">IF($J$7=1,HLOOKUP(N$11,index1970,Query!$O100)/N$9,IF($J$7=2,HLOOKUP(N$11,index1970,Query!$O100)/N$9 * HLOOKUP(N$11,comboutfac,Query!$O100),HLOOKUP(N$11,index1970,Query!$O100)/N$9 * HLOOKUP(N$11,comboutfac,Query!$O100) /N$8))</f>
        <v>6.5899147292503315</v>
      </c>
      <c r="O65" s="120">
        <f ca="1">IF($J$7=1,HLOOKUP(O$11,index1970,Query!$O100)/O$9,IF($J$7=2,HLOOKUP(O$11,index1970,Query!$O100)/O$9 * HLOOKUP(O$11,comboutfac,Query!$O100),HLOOKUP(O$11,index1970,Query!$O100)/O$9 * HLOOKUP(O$11,comboutfac,Query!$O100) /O$8))</f>
        <v>6.5157037326512093</v>
      </c>
      <c r="P65" s="120">
        <f ca="1">IF($J$7=1,HLOOKUP(P$11,index1970,Query!$O100)/P$9,IF($J$7=2,HLOOKUP(P$11,index1970,Query!$O100)/P$9 * HLOOKUP(P$11,comboutfac,Query!$O100),HLOOKUP(P$11,index1970,Query!$O100)/P$9 * HLOOKUP(P$11,comboutfac,Query!$O100) /P$8))</f>
        <v>8.8433565133046077</v>
      </c>
      <c r="Q65" s="120">
        <f ca="1">IF($J$7=1,HLOOKUP(Q$11,index1970,Query!$O100)/Q$9,IF($J$7=2,HLOOKUP(Q$11,index1970,Query!$O100)/Q$9 * HLOOKUP(Q$11,comboutfac,Query!$O100),HLOOKUP(Q$11,index1970,Query!$O100)/Q$9 * HLOOKUP(Q$11,comboutfac,Query!$O100) /Q$8))</f>
        <v>5.6173633696674052</v>
      </c>
      <c r="R65" s="120">
        <f ca="1">IF($J$7=1,HLOOKUP(R$11,index1970,Query!$O100)/R$9,IF($J$7=2,HLOOKUP(R$11,index1970,Query!$O100)/R$9 * HLOOKUP(R$11,comboutfac,Query!$O100),HLOOKUP(R$11,index1970,Query!$O100)/R$9 * HLOOKUP(R$11,comboutfac,Query!$O100) /R$8))</f>
        <v>8.6652397427300603</v>
      </c>
      <c r="S65" s="120">
        <f ca="1">IF($J$7=1,HLOOKUP(S$11,index1970,Query!$O100)/S$9,IF($J$7=2,HLOOKUP(S$11,index1970,Query!$O100)/S$9 * HLOOKUP(S$11,comboutfac,Query!$O100),HLOOKUP(S$11,index1970,Query!$O100)/S$9 * HLOOKUP(S$11,comboutfac,Query!$O100) /S$8))</f>
        <v>5.6123443137317386</v>
      </c>
      <c r="T65" s="120">
        <f ca="1">IF($J$7=1,HLOOKUP(T$11,index1970,Query!$O100)/T$9,IF($J$7=2,HLOOKUP(T$11,index1970,Query!$O100)/T$9 * HLOOKUP(T$11,comboutfac,Query!$O100),HLOOKUP(T$11,index1970,Query!$O100)/T$9 * HLOOKUP(T$11,comboutfac,Query!$O100) /T$8))</f>
        <v>5.522844282585833</v>
      </c>
      <c r="U65" s="120">
        <f ca="1">IF($J$7=1,HLOOKUP(U$11,index1970,Query!$O100)/U$9,IF($J$7=2,HLOOKUP(U$11,index1970,Query!$O100)/U$9 * HLOOKUP(U$11,comboutfac,Query!$O100),HLOOKUP(U$11,index1970,Query!$O100)/U$9 * HLOOKUP(U$11,comboutfac,Query!$O100) /U$8))</f>
        <v>7.362848774756948</v>
      </c>
      <c r="V65" s="120">
        <f ca="1">IF($J$7=1,HLOOKUP(V$11,index1970,Query!$O100)/V$9,IF($J$7=2,HLOOKUP(V$11,index1970,Query!$O100)/V$9 * HLOOKUP(V$11,comboutfac,Query!$O100),HLOOKUP(V$11,index1970,Query!$O100)/V$9 * HLOOKUP(V$11,comboutfac,Query!$O100) /V$8))</f>
        <v>6.3864602863969022</v>
      </c>
      <c r="W65" s="120">
        <f ca="1">IF($J$7=1,HLOOKUP(W$11,index1970,Query!$O100)/W$9,IF($J$7=2,HLOOKUP(W$11,index1970,Query!$O100)/W$9 * HLOOKUP(W$11,comboutfac,Query!$O100),HLOOKUP(W$11,index1970,Query!$O100)/W$9 * HLOOKUP(W$11,comboutfac,Query!$O100) /W$8))</f>
        <v>6.717620794039723</v>
      </c>
      <c r="X65" s="120">
        <f ca="1">IF($J$7=1,HLOOKUP(X$11,index1970,Query!$O100)/X$9,IF($J$7=2,HLOOKUP(X$11,index1970,Query!$O100)/X$9 * HLOOKUP(X$11,comboutfac,Query!$O100),HLOOKUP(X$11,index1970,Query!$O100)/X$9 * HLOOKUP(X$11,comboutfac,Query!$O100) /X$8))</f>
        <v>6.3949026620392111</v>
      </c>
      <c r="Y65" s="120">
        <f ca="1">IF($J$7=1,HLOOKUP(Y$11,index1970,Query!$O100)/Y$9,IF($J$7=2,HLOOKUP(Y$11,index1970,Query!$O100)/Y$9 * HLOOKUP(Y$11,comboutfac,Query!$O100),HLOOKUP(Y$11,index1970,Query!$O100)/Y$9 * HLOOKUP(Y$11,comboutfac,Query!$O100) /Y$8))</f>
        <v>6.4833734795996421</v>
      </c>
      <c r="Z65" s="120">
        <f ca="1">IF($J$7=1,HLOOKUP(Z$11,index1970,Query!$O100)/Z$9,IF($J$7=2,HLOOKUP(Z$11,index1970,Query!$O100)/Z$9 * HLOOKUP(Z$11,comboutfac,Query!$O100),HLOOKUP(Z$11,index1970,Query!$O100)/Z$9 * HLOOKUP(Z$11,comboutfac,Query!$O100) /Z$8))</f>
        <v>7.5154745950038899</v>
      </c>
      <c r="AA65" s="120">
        <f ca="1">IF($J$7=1,HLOOKUP(AA$11,index1970,Query!$O100)/AA$9,IF($J$7=2,HLOOKUP(AA$11,index1970,Query!$O100)/AA$9 * HLOOKUP(AA$11,comboutfac,Query!$O100),HLOOKUP(AA$11,index1970,Query!$O100)/AA$9 * HLOOKUP(AA$11,comboutfac,Query!$O100) /AA$8))</f>
        <v>6.3759153021261339</v>
      </c>
      <c r="AB65" s="120">
        <f ca="1">IF($J$7=1,HLOOKUP(AB$11,index1970,Query!$O100)/AB$9,IF($J$7=2,HLOOKUP(AB$11,index1970,Query!$O100)/AB$9 * HLOOKUP(AB$11,comboutfac,Query!$O100),HLOOKUP(AB$11,index1970,Query!$O100)/AB$9 * HLOOKUP(AB$11,comboutfac,Query!$O100) /AB$8))</f>
        <v>6.3983380514673636</v>
      </c>
      <c r="AC65" s="120">
        <f ca="1">IF($J$7=1,HLOOKUP(AC$11,index1970,Query!$O100)/AC$9,IF($J$7=2,HLOOKUP(AC$11,index1970,Query!$O100)/AC$9 * HLOOKUP(AC$11,comboutfac,Query!$O100),HLOOKUP(AC$11,index1970,Query!$O100)/AC$9 * HLOOKUP(AC$11,comboutfac,Query!$O100) /AC$8))</f>
        <v>7.5454963818308443</v>
      </c>
      <c r="AD65" s="120">
        <f ca="1">IF($J$7=1,HLOOKUP(AD$11,index1970,Query!$O100)/AD$9,IF($J$7=2,HLOOKUP(AD$11,index1970,Query!$O100)/AD$9 * HLOOKUP(AD$11,comboutfac,Query!$O100),HLOOKUP(AD$11,index1970,Query!$O100)/AD$9 * HLOOKUP(AD$11,comboutfac,Query!$O100) /AD$8))</f>
        <v>6.3572513037693001</v>
      </c>
      <c r="AE65" s="120">
        <f ca="1">IF($J$7=1,HLOOKUP(AE$11,index1970,Query!$O100)/AE$9,IF($J$7=2,HLOOKUP(AE$11,index1970,Query!$O100)/AE$9 * HLOOKUP(AE$11,comboutfac,Query!$O100),HLOOKUP(AE$11,index1970,Query!$O100)/AE$9 * HLOOKUP(AE$11,comboutfac,Query!$O100) /AE$8))</f>
        <v>5.534645029997189</v>
      </c>
      <c r="AF65" s="120">
        <f ca="1">IF($J$7=1,HLOOKUP(AF$11,index1970,Query!$O100)/AF$9,IF($J$7=2,HLOOKUP(AF$11,index1970,Query!$O100)/AF$9 * HLOOKUP(AF$11,comboutfac,Query!$O100),HLOOKUP(AF$11,index1970,Query!$O100)/AF$9 * HLOOKUP(AF$11,comboutfac,Query!$O100) /AF$8))</f>
        <v>9.0839846455730413</v>
      </c>
      <c r="AG65" s="120">
        <f ca="1">IF($J$7=1,HLOOKUP(AG$11,index1970,Query!$O100)/AG$9,IF($J$7=2,HLOOKUP(AG$11,index1970,Query!$O100)/AG$9 * HLOOKUP(AG$11,comboutfac,Query!$O100),HLOOKUP(AG$11,index1970,Query!$O100)/AG$9 * HLOOKUP(AG$11,comboutfac,Query!$O100) /AG$8))</f>
        <v>6.5018517788099048</v>
      </c>
      <c r="AH65" s="120">
        <f ca="1">IF($J$7=1,HLOOKUP(AH$11,index1970,Query!$O100)/AH$9,IF($J$7=2,HLOOKUP(AH$11,index1970,Query!$O100)/AH$9 * HLOOKUP(AH$11,comboutfac,Query!$O100),HLOOKUP(AH$11,index1970,Query!$O100)/AH$9 * HLOOKUP(AH$11,comboutfac,Query!$O100) /AH$8))</f>
        <v>5.5193530481264812</v>
      </c>
      <c r="AI65" s="120">
        <f ca="1">IF($J$7=1,HLOOKUP(AI$11,index1970,Query!$O100)/AI$9,IF($J$7=2,HLOOKUP(AI$11,index1970,Query!$O100)/AI$9 * HLOOKUP(AI$11,comboutfac,Query!$O100),HLOOKUP(AI$11,index1970,Query!$O100)/AI$9 * HLOOKUP(AI$11,comboutfac,Query!$O100) /AI$8))</f>
        <v>5.703989161733114</v>
      </c>
      <c r="AJ65" s="120">
        <f ca="1">IF($J$7=1,HLOOKUP(AJ$11,index1970,Query!$O100)/AJ$9,IF($J$7=2,HLOOKUP(AJ$11,index1970,Query!$O100)/AJ$9 * HLOOKUP(AJ$11,comboutfac,Query!$O100),HLOOKUP(AJ$11,index1970,Query!$O100)/AJ$9 * HLOOKUP(AJ$11,comboutfac,Query!$O100) /AJ$8))</f>
        <v>5.4598776443678378</v>
      </c>
      <c r="AK65" s="120">
        <f ca="1">IF($J$7=1,HLOOKUP(AK$11,index1970,Query!$O100)/AK$9,IF($J$7=2,HLOOKUP(AK$11,index1970,Query!$O100)/AK$9 * HLOOKUP(AK$11,comboutfac,Query!$O100),HLOOKUP(AK$11,index1970,Query!$O100)/AK$9 * HLOOKUP(AK$11,comboutfac,Query!$O100) /AK$8))</f>
        <v>5.6724457379402313</v>
      </c>
      <c r="AL65" s="120">
        <f ca="1">IF($J$7=1,HLOOKUP(AL$11,index1970,Query!$O100)/AL$9,IF($J$7=2,HLOOKUP(AL$11,index1970,Query!$O100)/AL$9 * HLOOKUP(AL$11,comboutfac,Query!$O100),HLOOKUP(AL$11,index1970,Query!$O100)/AL$9 * HLOOKUP(AL$11,comboutfac,Query!$O100) /AL$8))</f>
        <v>8.5195000193124582</v>
      </c>
      <c r="AM65" s="120">
        <f ca="1">IF($J$7=1,HLOOKUP(AM$11,index1970,Query!$O100)/AM$9,IF($J$7=2,HLOOKUP(AM$11,index1970,Query!$O100)/AM$9 * HLOOKUP(AM$11,comboutfac,Query!$O100),HLOOKUP(AM$11,index1970,Query!$O100)/AM$9 * HLOOKUP(AM$11,comboutfac,Query!$O100) /AM$8))</f>
        <v>5.6183172785887558</v>
      </c>
      <c r="AN65" s="120">
        <f ca="1">IF($J$7=1,HLOOKUP(AN$11,index1970,Query!$O100)/AN$9,IF($J$7=2,HLOOKUP(AN$11,index1970,Query!$O100)/AN$9 * HLOOKUP(AN$11,comboutfac,Query!$O100),HLOOKUP(AN$11,index1970,Query!$O100)/AN$9 * HLOOKUP(AN$11,comboutfac,Query!$O100) /AN$8))</f>
        <v>8.4795799315875797</v>
      </c>
      <c r="AO65" s="120">
        <f ca="1">IF($J$7=1,HLOOKUP(AO$11,index1970,Query!$O100)/AO$9,IF($J$7=2,HLOOKUP(AO$11,index1970,Query!$O100)/AO$9 * HLOOKUP(AO$11,comboutfac,Query!$O100),HLOOKUP(AO$11,index1970,Query!$O100)/AO$9 * HLOOKUP(AO$11,comboutfac,Query!$O100) /AO$8))</f>
        <v>5.6169236135467289</v>
      </c>
      <c r="AP65" s="120">
        <f ca="1">IF($J$7=1,HLOOKUP(AP$11,index1970,Query!$O100)/AP$9,IF($J$7=2,HLOOKUP(AP$11,index1970,Query!$O100)/AP$9 * HLOOKUP(AP$11,comboutfac,Query!$O100),HLOOKUP(AP$11,index1970,Query!$O100)/AP$9 * HLOOKUP(AP$11,comboutfac,Query!$O100) /AP$8))</f>
        <v>9.2015558746951207</v>
      </c>
      <c r="AQ65" s="683">
        <f ca="1">IF($J$7=1,HLOOKUP(AQ$11,index1970,Query!$O100)/AQ$9,IF($J$7=2,HLOOKUP(AQ$11,index1970,Query!$O100)/AQ$9 * HLOOKUP(AQ$11,comboutfac,Query!$O100),HLOOKUP(AQ$11,index1970,Query!$O100)/AQ$9 * HLOOKUP(AQ$11,comboutfac,Query!$O100) /AQ$8))</f>
        <v>7.573769262807323</v>
      </c>
      <c r="AR65" s="120">
        <f ca="1">IF($J$7=1,HLOOKUP(AR$11,index1970,Query!$O100)/AR$9,IF($J$7=2,HLOOKUP(AR$11,index1970,Query!$O100)/AR$9 * HLOOKUP(AR$11,comboutfac,Query!$O100),HLOOKUP(AR$11,index1970,Query!$O100)/AR$9 * HLOOKUP(AR$11,comboutfac,Query!$O100) /AR$8))</f>
        <v>6.5294679797502599</v>
      </c>
      <c r="AS65" s="213"/>
    </row>
    <row r="66" spans="1:45" s="122" customFormat="1">
      <c r="A66" s="121">
        <f t="shared" si="8"/>
        <v>2022</v>
      </c>
      <c r="B66" s="120">
        <f ca="1">IF($J$7=1,HLOOKUP(B$11,index1970,Query!$O101)/B$9,IF($J$7=2,HLOOKUP(B$11,index1970,Query!$O101)/B$9 * HLOOKUP(B$11,comboutfac,Query!$O101),HLOOKUP(B$11,index1970,Query!$O101)/B$9 * HLOOKUP(B$11,comboutfac,Query!$O101) /B$8))</f>
        <v>6.6474534516406498</v>
      </c>
      <c r="C66" s="120">
        <f ca="1">IF($J$7=1,HLOOKUP(C$11,index1970,Query!$O101)/C$9,IF($J$7=2,HLOOKUP(C$11,index1970,Query!$O101)/C$9 * HLOOKUP(C$11,comboutfac,Query!$O101),HLOOKUP(C$11,index1970,Query!$O101)/C$9 * HLOOKUP(C$11,comboutfac,Query!$O101) /C$8))</f>
        <v>6.4855622709118919</v>
      </c>
      <c r="D66" s="120">
        <f ca="1">IF($J$7=1,HLOOKUP(D$11,index1970,Query!$O101)/D$9,IF($J$7=2,HLOOKUP(D$11,index1970,Query!$O101)/D$9 * HLOOKUP(D$11,comboutfac,Query!$O101),HLOOKUP(D$11,index1970,Query!$O101)/D$9 * HLOOKUP(D$11,comboutfac,Query!$O101) /D$8))</f>
        <v>6.4318632036153378</v>
      </c>
      <c r="E66" s="120">
        <f ca="1">IF($J$7=1,HLOOKUP(E$11,index1970,Query!$O101)/E$9,IF($J$7=2,HLOOKUP(E$11,index1970,Query!$O101)/E$9 * HLOOKUP(E$11,comboutfac,Query!$O101),HLOOKUP(E$11,index1970,Query!$O101)/E$9 * HLOOKUP(E$11,comboutfac,Query!$O101) /E$8))</f>
        <v>6.7344073182693354</v>
      </c>
      <c r="F66" s="120">
        <f ca="1">IF($J$7=1,HLOOKUP(F$11,index1970,Query!$O101)/F$9,IF($J$7=2,HLOOKUP(F$11,index1970,Query!$O101)/F$9 * HLOOKUP(F$11,comboutfac,Query!$O101),HLOOKUP(F$11,index1970,Query!$O101)/F$9 * HLOOKUP(F$11,comboutfac,Query!$O101) /F$8))</f>
        <v>6.4318632036153378</v>
      </c>
      <c r="G66" s="120">
        <f ca="1">IF($J$7=1,HLOOKUP(G$11,index1970,Query!$O101)/G$9,IF($J$7=2,HLOOKUP(G$11,index1970,Query!$O101)/G$9 * HLOOKUP(G$11,comboutfac,Query!$O101),HLOOKUP(G$11,index1970,Query!$O101)/G$9 * HLOOKUP(G$11,comboutfac,Query!$O101) /G$8))</f>
        <v>6.788819734997686</v>
      </c>
      <c r="H66" s="120">
        <f ca="1">IF($J$7=1,HLOOKUP(H$11,index1970,Query!$O101)/H$9,IF($J$7=2,HLOOKUP(H$11,index1970,Query!$O101)/H$9 * HLOOKUP(H$11,comboutfac,Query!$O101),HLOOKUP(H$11,index1970,Query!$O101)/H$9 * HLOOKUP(H$11,comboutfac,Query!$O101) /H$8))</f>
        <v>6.5075470849938668</v>
      </c>
      <c r="I66" s="120">
        <f ca="1">IF($J$7=1,HLOOKUP(I$11,index1970,Query!$O101)/I$9,IF($J$7=2,HLOOKUP(I$11,index1970,Query!$O101)/I$9 * HLOOKUP(I$11,comboutfac,Query!$O101),HLOOKUP(I$11,index1970,Query!$O101)/I$9 * HLOOKUP(I$11,comboutfac,Query!$O101) /I$8))</f>
        <v>6.5504611945519988</v>
      </c>
      <c r="J66" s="120">
        <f ca="1">IF($J$7=1,HLOOKUP(J$11,index1970,Query!$O101)/J$9,IF($J$7=2,HLOOKUP(J$11,index1970,Query!$O101)/J$9 * HLOOKUP(J$11,comboutfac,Query!$O101),HLOOKUP(J$11,index1970,Query!$O101)/J$9 * HLOOKUP(J$11,comboutfac,Query!$O101) /J$8))</f>
        <v>8.0746625436862569</v>
      </c>
      <c r="K66" s="120">
        <f ca="1">IF($J$7=1,HLOOKUP(K$11,index1970,Query!$O101)/K$9,IF($J$7=2,HLOOKUP(K$11,index1970,Query!$O101)/K$9 * HLOOKUP(K$11,comboutfac,Query!$O101),HLOOKUP(K$11,index1970,Query!$O101)/K$9 * HLOOKUP(K$11,comboutfac,Query!$O101) /K$8))</f>
        <v>9.2490156931914029</v>
      </c>
      <c r="L66" s="120">
        <f ca="1">IF($J$7=1,HLOOKUP(L$11,index1970,Query!$O101)/L$9,IF($J$7=2,HLOOKUP(L$11,index1970,Query!$O101)/L$9 * HLOOKUP(L$11,comboutfac,Query!$O101),HLOOKUP(L$11,index1970,Query!$O101)/L$9 * HLOOKUP(L$11,comboutfac,Query!$O101) /L$8))</f>
        <v>6.9980468869056356</v>
      </c>
      <c r="M66" s="120">
        <f ca="1">IF($J$7=1,HLOOKUP(M$11,index1970,Query!$O101)/M$9,IF($J$7=2,HLOOKUP(M$11,index1970,Query!$O101)/M$9 * HLOOKUP(M$11,comboutfac,Query!$O101),HLOOKUP(M$11,index1970,Query!$O101)/M$9 * HLOOKUP(M$11,comboutfac,Query!$O101) /M$8))</f>
        <v>5.8538406071200511</v>
      </c>
      <c r="N66" s="120">
        <f ca="1">IF($J$7=1,HLOOKUP(N$11,index1970,Query!$O101)/N$9,IF($J$7=2,HLOOKUP(N$11,index1970,Query!$O101)/N$9 * HLOOKUP(N$11,comboutfac,Query!$O101),HLOOKUP(N$11,index1970,Query!$O101)/N$9 * HLOOKUP(N$11,comboutfac,Query!$O101) /N$8))</f>
        <v>6.7217130238353349</v>
      </c>
      <c r="O66" s="120">
        <f ca="1">IF($J$7=1,HLOOKUP(O$11,index1970,Query!$O101)/O$9,IF($J$7=2,HLOOKUP(O$11,index1970,Query!$O101)/O$9 * HLOOKUP(O$11,comboutfac,Query!$O101),HLOOKUP(O$11,index1970,Query!$O101)/O$9 * HLOOKUP(O$11,comboutfac,Query!$O101) /O$8))</f>
        <v>6.6460178073042337</v>
      </c>
      <c r="P66" s="120">
        <f ca="1">IF($J$7=1,HLOOKUP(P$11,index1970,Query!$O101)/P$9,IF($J$7=2,HLOOKUP(P$11,index1970,Query!$O101)/P$9 * HLOOKUP(P$11,comboutfac,Query!$O101),HLOOKUP(P$11,index1970,Query!$O101)/P$9 * HLOOKUP(P$11,comboutfac,Query!$O101) /P$8))</f>
        <v>9.0271533796191505</v>
      </c>
      <c r="Q66" s="120">
        <f ca="1">IF($J$7=1,HLOOKUP(Q$11,index1970,Query!$O101)/Q$9,IF($J$7=2,HLOOKUP(Q$11,index1970,Query!$O101)/Q$9 * HLOOKUP(Q$11,comboutfac,Query!$O101),HLOOKUP(Q$11,index1970,Query!$O101)/Q$9 * HLOOKUP(Q$11,comboutfac,Query!$O101) /Q$8))</f>
        <v>5.7297106370607542</v>
      </c>
      <c r="R66" s="120">
        <f ca="1">IF($J$7=1,HLOOKUP(R$11,index1970,Query!$O101)/R$9,IF($J$7=2,HLOOKUP(R$11,index1970,Query!$O101)/R$9 * HLOOKUP(R$11,comboutfac,Query!$O101),HLOOKUP(R$11,index1970,Query!$O101)/R$9 * HLOOKUP(R$11,comboutfac,Query!$O101) /R$8))</f>
        <v>8.8452052814012525</v>
      </c>
      <c r="S66" s="120">
        <f ca="1">IF($J$7=1,HLOOKUP(S$11,index1970,Query!$O101)/S$9,IF($J$7=2,HLOOKUP(S$11,index1970,Query!$O101)/S$9 * HLOOKUP(S$11,comboutfac,Query!$O101),HLOOKUP(S$11,index1970,Query!$O101)/S$9 * HLOOKUP(S$11,comboutfac,Query!$O101) /S$8))</f>
        <v>5.7245912000063734</v>
      </c>
      <c r="T66" s="120">
        <f ca="1">IF($J$7=1,HLOOKUP(T$11,index1970,Query!$O101)/T$9,IF($J$7=2,HLOOKUP(T$11,index1970,Query!$O101)/T$9 * HLOOKUP(T$11,comboutfac,Query!$O101),HLOOKUP(T$11,index1970,Query!$O101)/T$9 * HLOOKUP(T$11,comboutfac,Query!$O101) /T$8))</f>
        <v>5.6333011682375504</v>
      </c>
      <c r="U66" s="120">
        <f ca="1">IF($J$7=1,HLOOKUP(U$11,index1970,Query!$O101)/U$9,IF($J$7=2,HLOOKUP(U$11,index1970,Query!$O101)/U$9 * HLOOKUP(U$11,comboutfac,Query!$O101),HLOOKUP(U$11,index1970,Query!$O101)/U$9 * HLOOKUP(U$11,comboutfac,Query!$O101) /U$8))</f>
        <v>7.5101057502520892</v>
      </c>
      <c r="V66" s="120">
        <f ca="1">IF($J$7=1,HLOOKUP(V$11,index1970,Query!$O101)/V$9,IF($J$7=2,HLOOKUP(V$11,index1970,Query!$O101)/V$9 * HLOOKUP(V$11,comboutfac,Query!$O101),HLOOKUP(V$11,index1970,Query!$O101)/V$9 * HLOOKUP(V$11,comboutfac,Query!$O101) /V$8))</f>
        <v>6.5141894921248387</v>
      </c>
      <c r="W66" s="120">
        <f ca="1">IF($J$7=1,HLOOKUP(W$11,index1970,Query!$O101)/W$9,IF($J$7=2,HLOOKUP(W$11,index1970,Query!$O101)/W$9 * HLOOKUP(W$11,comboutfac,Query!$O101),HLOOKUP(W$11,index1970,Query!$O101)/W$9 * HLOOKUP(W$11,comboutfac,Query!$O101) /W$8))</f>
        <v>6.8552849463925183</v>
      </c>
      <c r="X66" s="120">
        <f ca="1">IF($J$7=1,HLOOKUP(X$11,index1970,Query!$O101)/X$9,IF($J$7=2,HLOOKUP(X$11,index1970,Query!$O101)/X$9 * HLOOKUP(X$11,comboutfac,Query!$O101),HLOOKUP(X$11,index1970,Query!$O101)/X$9 * HLOOKUP(X$11,comboutfac,Query!$O101) /X$8))</f>
        <v>6.5228007152799963</v>
      </c>
      <c r="Y66" s="120">
        <f ca="1">IF($J$7=1,HLOOKUP(Y$11,index1970,Query!$O101)/Y$9,IF($J$7=2,HLOOKUP(Y$11,index1970,Query!$O101)/Y$9 * HLOOKUP(Y$11,comboutfac,Query!$O101),HLOOKUP(Y$11,index1970,Query!$O101)/Y$9 * HLOOKUP(Y$11,comboutfac,Query!$O101) /Y$8))</f>
        <v>6.6141556452159165</v>
      </c>
      <c r="Z66" s="120">
        <f ca="1">IF($J$7=1,HLOOKUP(Z$11,index1970,Query!$O101)/Z$9,IF($J$7=2,HLOOKUP(Z$11,index1970,Query!$O101)/Z$9 * HLOOKUP(Z$11,comboutfac,Query!$O101),HLOOKUP(Z$11,index1970,Query!$O101)/Z$9 * HLOOKUP(Z$11,comboutfac,Query!$O101) /Z$8))</f>
        <v>7.6723728236393498</v>
      </c>
      <c r="AA66" s="120">
        <f ca="1">IF($J$7=1,HLOOKUP(AA$11,index1970,Query!$O101)/AA$9,IF($J$7=2,HLOOKUP(AA$11,index1970,Query!$O101)/AA$9 * HLOOKUP(AA$11,comboutfac,Query!$O101),HLOOKUP(AA$11,index1970,Query!$O101)/AA$9 * HLOOKUP(AA$11,comboutfac,Query!$O101) /AA$8))</f>
        <v>6.5034336081686579</v>
      </c>
      <c r="AB66" s="120">
        <f ca="1">IF($J$7=1,HLOOKUP(AB$11,index1970,Query!$O101)/AB$9,IF($J$7=2,HLOOKUP(AB$11,index1970,Query!$O101)/AB$9 * HLOOKUP(AB$11,comboutfac,Query!$O101),HLOOKUP(AB$11,index1970,Query!$O101)/AB$9 * HLOOKUP(AB$11,comboutfac,Query!$O101) /AB$8))</f>
        <v>6.5304220251858665</v>
      </c>
      <c r="AC66" s="120">
        <f ca="1">IF($J$7=1,HLOOKUP(AC$11,index1970,Query!$O101)/AC$9,IF($J$7=2,HLOOKUP(AC$11,index1970,Query!$O101)/AC$9 * HLOOKUP(AC$11,comboutfac,Query!$O101),HLOOKUP(AC$11,index1970,Query!$O101)/AC$9 * HLOOKUP(AC$11,comboutfac,Query!$O101) /AC$8))</f>
        <v>7.703415559324192</v>
      </c>
      <c r="AD66" s="120">
        <f ca="1">IF($J$7=1,HLOOKUP(AD$11,index1970,Query!$O101)/AD$9,IF($J$7=2,HLOOKUP(AD$11,index1970,Query!$O101)/AD$9 * HLOOKUP(AD$11,comboutfac,Query!$O101),HLOOKUP(AD$11,index1970,Query!$O101)/AD$9 * HLOOKUP(AD$11,comboutfac,Query!$O101) /AD$8))</f>
        <v>6.4843963298446869</v>
      </c>
      <c r="AE66" s="120">
        <f ca="1">IF($J$7=1,HLOOKUP(AE$11,index1970,Query!$O101)/AE$9,IF($J$7=2,HLOOKUP(AE$11,index1970,Query!$O101)/AE$9 * HLOOKUP(AE$11,comboutfac,Query!$O101),HLOOKUP(AE$11,index1970,Query!$O101)/AE$9 * HLOOKUP(AE$11,comboutfac,Query!$O101) /AE$8))</f>
        <v>5.6453379305971332</v>
      </c>
      <c r="AF66" s="120">
        <f ca="1">IF($J$7=1,HLOOKUP(AF$11,index1970,Query!$O101)/AF$9,IF($J$7=2,HLOOKUP(AF$11,index1970,Query!$O101)/AF$9 * HLOOKUP(AF$11,comboutfac,Query!$O101),HLOOKUP(AF$11,index1970,Query!$O101)/AF$9 * HLOOKUP(AF$11,comboutfac,Query!$O101) /AF$8))</f>
        <v>9.2656643384845037</v>
      </c>
      <c r="AG66" s="120">
        <f ca="1">IF($J$7=1,HLOOKUP(AG$11,index1970,Query!$O101)/AG$9,IF($J$7=2,HLOOKUP(AG$11,index1970,Query!$O101)/AG$9 * HLOOKUP(AG$11,comboutfac,Query!$O101),HLOOKUP(AG$11,index1970,Query!$O101)/AG$9 * HLOOKUP(AG$11,comboutfac,Query!$O101) /AG$8))</f>
        <v>6.6318888143861026</v>
      </c>
      <c r="AH66" s="120">
        <f ca="1">IF($J$7=1,HLOOKUP(AH$11,index1970,Query!$O101)/AH$9,IF($J$7=2,HLOOKUP(AH$11,index1970,Query!$O101)/AH$9 * HLOOKUP(AH$11,comboutfac,Query!$O101),HLOOKUP(AH$11,index1970,Query!$O101)/AH$9 * HLOOKUP(AH$11,comboutfac,Query!$O101) /AH$8))</f>
        <v>5.6297401090890089</v>
      </c>
      <c r="AI66" s="120">
        <f ca="1">IF($J$7=1,HLOOKUP(AI$11,index1970,Query!$O101)/AI$9,IF($J$7=2,HLOOKUP(AI$11,index1970,Query!$O101)/AI$9 * HLOOKUP(AI$11,comboutfac,Query!$O101),HLOOKUP(AI$11,index1970,Query!$O101)/AI$9 * HLOOKUP(AI$11,comboutfac,Query!$O101) /AI$8))</f>
        <v>5.8181354841515791</v>
      </c>
      <c r="AJ66" s="120">
        <f ca="1">IF($J$7=1,HLOOKUP(AJ$11,index1970,Query!$O101)/AJ$9,IF($J$7=2,HLOOKUP(AJ$11,index1970,Query!$O101)/AJ$9 * HLOOKUP(AJ$11,comboutfac,Query!$O101),HLOOKUP(AJ$11,index1970,Query!$O101)/AJ$9 * HLOOKUP(AJ$11,comboutfac,Query!$O101) /AJ$8))</f>
        <v>5.5690751972551968</v>
      </c>
      <c r="AK66" s="120">
        <f ca="1">IF($J$7=1,HLOOKUP(AK$11,index1970,Query!$O101)/AK$9,IF($J$7=2,HLOOKUP(AK$11,index1970,Query!$O101)/AK$9 * HLOOKUP(AK$11,comboutfac,Query!$O101),HLOOKUP(AK$11,index1970,Query!$O101)/AK$9 * HLOOKUP(AK$11,comboutfac,Query!$O101) /AK$8))</f>
        <v>5.7858946526990369</v>
      </c>
      <c r="AL66" s="120">
        <f ca="1">IF($J$7=1,HLOOKUP(AL$11,index1970,Query!$O101)/AL$9,IF($J$7=2,HLOOKUP(AL$11,index1970,Query!$O101)/AL$9 * HLOOKUP(AL$11,comboutfac,Query!$O101),HLOOKUP(AL$11,index1970,Query!$O101)/AL$9 * HLOOKUP(AL$11,comboutfac,Query!$O101) /AL$8))</f>
        <v>8.6966490977033502</v>
      </c>
      <c r="AM66" s="120">
        <f ca="1">IF($J$7=1,HLOOKUP(AM$11,index1970,Query!$O101)/AM$9,IF($J$7=2,HLOOKUP(AM$11,index1970,Query!$O101)/AM$9 * HLOOKUP(AM$11,comboutfac,Query!$O101),HLOOKUP(AM$11,index1970,Query!$O101)/AM$9 * HLOOKUP(AM$11,comboutfac,Query!$O101) /AM$8))</f>
        <v>5.7306836241605295</v>
      </c>
      <c r="AN66" s="120">
        <f ca="1">IF($J$7=1,HLOOKUP(AN$11,index1970,Query!$O101)/AN$9,IF($J$7=2,HLOOKUP(AN$11,index1970,Query!$O101)/AN$9 * HLOOKUP(AN$11,comboutfac,Query!$O101),HLOOKUP(AN$11,index1970,Query!$O101)/AN$9 * HLOOKUP(AN$11,comboutfac,Query!$O101) /AN$8))</f>
        <v>8.6547876970179747</v>
      </c>
      <c r="AO66" s="120">
        <f ca="1">IF($J$7=1,HLOOKUP(AO$11,index1970,Query!$O101)/AO$9,IF($J$7=2,HLOOKUP(AO$11,index1970,Query!$O101)/AO$9 * HLOOKUP(AO$11,comboutfac,Query!$O101),HLOOKUP(AO$11,index1970,Query!$O101)/AO$9 * HLOOKUP(AO$11,comboutfac,Query!$O101) /AO$8))</f>
        <v>5.7292620858176626</v>
      </c>
      <c r="AP66" s="120">
        <f ca="1">IF($J$7=1,HLOOKUP(AP$11,index1970,Query!$O101)/AP$9,IF($J$7=2,HLOOKUP(AP$11,index1970,Query!$O101)/AP$9 * HLOOKUP(AP$11,comboutfac,Query!$O101),HLOOKUP(AP$11,index1970,Query!$O101)/AP$9 * HLOOKUP(AP$11,comboutfac,Query!$O101) /AP$8))</f>
        <v>9.3855869921890207</v>
      </c>
      <c r="AQ66" s="683">
        <f ca="1">IF($J$7=1,HLOOKUP(AQ$11,index1970,Query!$O101)/AQ$9,IF($J$7=2,HLOOKUP(AQ$11,index1970,Query!$O101)/AQ$9 * HLOOKUP(AQ$11,comboutfac,Query!$O101),HLOOKUP(AQ$11,index1970,Query!$O101)/AQ$9 * HLOOKUP(AQ$11,comboutfac,Query!$O101) /AQ$8))</f>
        <v>7.7252446480634678</v>
      </c>
      <c r="AR66" s="120">
        <f ca="1">IF($J$7=1,HLOOKUP(AR$11,index1970,Query!$O101)/AR$9,IF($J$7=2,HLOOKUP(AR$11,index1970,Query!$O101)/AR$9 * HLOOKUP(AR$11,comboutfac,Query!$O101),HLOOKUP(AR$11,index1970,Query!$O101)/AR$9 * HLOOKUP(AR$11,comboutfac,Query!$O101) /AR$8))</f>
        <v>6.6600573393452658</v>
      </c>
      <c r="AS66" s="213"/>
    </row>
    <row r="67" spans="1:45" s="122" customFormat="1">
      <c r="A67" s="121">
        <f t="shared" si="8"/>
        <v>2023</v>
      </c>
      <c r="B67" s="120">
        <f ca="1">IF($J$7=1,HLOOKUP(B$11,index1970,Query!$O102)/B$9,IF($J$7=2,HLOOKUP(B$11,index1970,Query!$O102)/B$9 * HLOOKUP(B$11,comboutfac,Query!$O102),HLOOKUP(B$11,index1970,Query!$O102)/B$9 * HLOOKUP(B$11,comboutfac,Query!$O102) /B$8))</f>
        <v>6.7804025206734631</v>
      </c>
      <c r="C67" s="120">
        <f ca="1">IF($J$7=1,HLOOKUP(C$11,index1970,Query!$O102)/C$9,IF($J$7=2,HLOOKUP(C$11,index1970,Query!$O102)/C$9 * HLOOKUP(C$11,comboutfac,Query!$O102),HLOOKUP(C$11,index1970,Query!$O102)/C$9 * HLOOKUP(C$11,comboutfac,Query!$O102) /C$8))</f>
        <v>6.6152735163301299</v>
      </c>
      <c r="D67" s="120">
        <f ca="1">IF($J$7=1,HLOOKUP(D$11,index1970,Query!$O102)/D$9,IF($J$7=2,HLOOKUP(D$11,index1970,Query!$O102)/D$9 * HLOOKUP(D$11,comboutfac,Query!$O102),HLOOKUP(D$11,index1970,Query!$O102)/D$9 * HLOOKUP(D$11,comboutfac,Query!$O102) /D$8))</f>
        <v>6.5605004676876444</v>
      </c>
      <c r="E67" s="120">
        <f ca="1">IF($J$7=1,HLOOKUP(E$11,index1970,Query!$O102)/E$9,IF($J$7=2,HLOOKUP(E$11,index1970,Query!$O102)/E$9 * HLOOKUP(E$11,comboutfac,Query!$O102),HLOOKUP(E$11,index1970,Query!$O102)/E$9 * HLOOKUP(E$11,comboutfac,Query!$O102) /E$8))</f>
        <v>6.8758298719529911</v>
      </c>
      <c r="F67" s="120">
        <f ca="1">IF($J$7=1,HLOOKUP(F$11,index1970,Query!$O102)/F$9,IF($J$7=2,HLOOKUP(F$11,index1970,Query!$O102)/F$9 * HLOOKUP(F$11,comboutfac,Query!$O102),HLOOKUP(F$11,index1970,Query!$O102)/F$9 * HLOOKUP(F$11,comboutfac,Query!$O102) /F$8))</f>
        <v>6.5605004676876444</v>
      </c>
      <c r="G67" s="120">
        <f ca="1">IF($J$7=1,HLOOKUP(G$11,index1970,Query!$O102)/G$9,IF($J$7=2,HLOOKUP(G$11,index1970,Query!$O102)/G$9 * HLOOKUP(G$11,comboutfac,Query!$O102),HLOOKUP(G$11,index1970,Query!$O102)/G$9 * HLOOKUP(G$11,comboutfac,Query!$O102) /G$8))</f>
        <v>6.9245961296976404</v>
      </c>
      <c r="H67" s="120">
        <f ca="1">IF($J$7=1,HLOOKUP(H$11,index1970,Query!$O102)/H$9,IF($J$7=2,HLOOKUP(H$11,index1970,Query!$O102)/H$9 * HLOOKUP(H$11,comboutfac,Query!$O102),HLOOKUP(H$11,index1970,Query!$O102)/H$9 * HLOOKUP(H$11,comboutfac,Query!$O102) /H$8))</f>
        <v>6.6376980266937444</v>
      </c>
      <c r="I67" s="120">
        <f ca="1">IF($J$7=1,HLOOKUP(I$11,index1970,Query!$O102)/I$9,IF($J$7=2,HLOOKUP(I$11,index1970,Query!$O102)/I$9 * HLOOKUP(I$11,comboutfac,Query!$O102),HLOOKUP(I$11,index1970,Query!$O102)/I$9 * HLOOKUP(I$11,comboutfac,Query!$O102) /I$8))</f>
        <v>6.6823874830102765</v>
      </c>
      <c r="J67" s="120">
        <f ca="1">IF($J$7=1,HLOOKUP(J$11,index1970,Query!$O102)/J$9,IF($J$7=2,HLOOKUP(J$11,index1970,Query!$O102)/J$9 * HLOOKUP(J$11,comboutfac,Query!$O102),HLOOKUP(J$11,index1970,Query!$O102)/J$9 * HLOOKUP(J$11,comboutfac,Query!$O102) /J$8))</f>
        <v>8.276529107278412</v>
      </c>
      <c r="K67" s="120">
        <f ca="1">IF($J$7=1,HLOOKUP(K$11,index1970,Query!$O102)/K$9,IF($J$7=2,HLOOKUP(K$11,index1970,Query!$O102)/K$9 * HLOOKUP(K$11,comboutfac,Query!$O102),HLOOKUP(K$11,index1970,Query!$O102)/K$9 * HLOOKUP(K$11,comboutfac,Query!$O102) /K$8))</f>
        <v>9.443245022748421</v>
      </c>
      <c r="L67" s="120">
        <f ca="1">IF($J$7=1,HLOOKUP(L$11,index1970,Query!$O102)/L$9,IF($J$7=2,HLOOKUP(L$11,index1970,Query!$O102)/L$9 * HLOOKUP(L$11,comboutfac,Query!$O102),HLOOKUP(L$11,index1970,Query!$O102)/L$9 * HLOOKUP(L$11,comboutfac,Query!$O102) /L$8))</f>
        <v>7.1380078246437479</v>
      </c>
      <c r="M67" s="120">
        <f ca="1">IF($J$7=1,HLOOKUP(M$11,index1970,Query!$O102)/M$9,IF($J$7=2,HLOOKUP(M$11,index1970,Query!$O102)/M$9 * HLOOKUP(M$11,comboutfac,Query!$O102),HLOOKUP(M$11,index1970,Query!$O102)/M$9 * HLOOKUP(M$11,comboutfac,Query!$O102) /M$8))</f>
        <v>5.9709174192624515</v>
      </c>
      <c r="N67" s="120">
        <f ca="1">IF($J$7=1,HLOOKUP(N$11,index1970,Query!$O102)/N$9,IF($J$7=2,HLOOKUP(N$11,index1970,Query!$O102)/N$9 * HLOOKUP(N$11,comboutfac,Query!$O102),HLOOKUP(N$11,index1970,Query!$O102)/N$9 * HLOOKUP(N$11,comboutfac,Query!$O102) /N$8))</f>
        <v>6.8561472843120415</v>
      </c>
      <c r="O67" s="120">
        <f ca="1">IF($J$7=1,HLOOKUP(O$11,index1970,Query!$O102)/O$9,IF($J$7=2,HLOOKUP(O$11,index1970,Query!$O102)/O$9 * HLOOKUP(O$11,comboutfac,Query!$O102),HLOOKUP(O$11,index1970,Query!$O102)/O$9 * HLOOKUP(O$11,comboutfac,Query!$O102) /O$8))</f>
        <v>6.7789381634503183</v>
      </c>
      <c r="P67" s="120">
        <f ca="1">IF($J$7=1,HLOOKUP(P$11,index1970,Query!$O102)/P$9,IF($J$7=2,HLOOKUP(P$11,index1970,Query!$O102)/P$9 * HLOOKUP(P$11,comboutfac,Query!$O102),HLOOKUP(P$11,index1970,Query!$O102)/P$9 * HLOOKUP(P$11,comboutfac,Query!$O102) /P$8))</f>
        <v>9.2140870898661102</v>
      </c>
      <c r="Q67" s="120">
        <f ca="1">IF($J$7=1,HLOOKUP(Q$11,index1970,Query!$O102)/Q$9,IF($J$7=2,HLOOKUP(Q$11,index1970,Query!$O102)/Q$9 * HLOOKUP(Q$11,comboutfac,Query!$O102),HLOOKUP(Q$11,index1970,Query!$O102)/Q$9 * HLOOKUP(Q$11,comboutfac,Query!$O102) /Q$8))</f>
        <v>5.8443048498019694</v>
      </c>
      <c r="R67" s="120">
        <f ca="1">IF($J$7=1,HLOOKUP(R$11,index1970,Query!$O102)/R$9,IF($J$7=2,HLOOKUP(R$11,index1970,Query!$O102)/R$9 * HLOOKUP(R$11,comboutfac,Query!$O102),HLOOKUP(R$11,index1970,Query!$O102)/R$9 * HLOOKUP(R$11,comboutfac,Query!$O102) /R$8))</f>
        <v>9.0287804303993902</v>
      </c>
      <c r="S67" s="120">
        <f ca="1">IF($J$7=1,HLOOKUP(S$11,index1970,Query!$O102)/S$9,IF($J$7=2,HLOOKUP(S$11,index1970,Query!$O102)/S$9 * HLOOKUP(S$11,comboutfac,Query!$O102),HLOOKUP(S$11,index1970,Query!$O102)/S$9 * HLOOKUP(S$11,comboutfac,Query!$O102) /S$8))</f>
        <v>5.8390830240065013</v>
      </c>
      <c r="T67" s="120">
        <f ca="1">IF($J$7=1,HLOOKUP(T$11,index1970,Query!$O102)/T$9,IF($J$7=2,HLOOKUP(T$11,index1970,Query!$O102)/T$9 * HLOOKUP(T$11,comboutfac,Query!$O102),HLOOKUP(T$11,index1970,Query!$O102)/T$9 * HLOOKUP(T$11,comboutfac,Query!$O102) /T$8))</f>
        <v>5.7459671916023005</v>
      </c>
      <c r="U67" s="120">
        <f ca="1">IF($J$7=1,HLOOKUP(U$11,index1970,Query!$O102)/U$9,IF($J$7=2,HLOOKUP(U$11,index1970,Query!$O102)/U$9 * HLOOKUP(U$11,comboutfac,Query!$O102),HLOOKUP(U$11,index1970,Query!$O102)/U$9 * HLOOKUP(U$11,comboutfac,Query!$O102) /U$8))</f>
        <v>7.6603078652571313</v>
      </c>
      <c r="V67" s="120">
        <f ca="1">IF($J$7=1,HLOOKUP(V$11,index1970,Query!$O102)/V$9,IF($J$7=2,HLOOKUP(V$11,index1970,Query!$O102)/V$9 * HLOOKUP(V$11,comboutfac,Query!$O102),HLOOKUP(V$11,index1970,Query!$O102)/V$9 * HLOOKUP(V$11,comboutfac,Query!$O102) /V$8))</f>
        <v>6.6444732819673362</v>
      </c>
      <c r="W67" s="120">
        <f ca="1">IF($J$7=1,HLOOKUP(W$11,index1970,Query!$O102)/W$9,IF($J$7=2,HLOOKUP(W$11,index1970,Query!$O102)/W$9 * HLOOKUP(W$11,comboutfac,Query!$O102),HLOOKUP(W$11,index1970,Query!$O102)/W$9 * HLOOKUP(W$11,comboutfac,Query!$O102) /W$8))</f>
        <v>7.0017223793972514</v>
      </c>
      <c r="X67" s="120">
        <f ca="1">IF($J$7=1,HLOOKUP(X$11,index1970,Query!$O102)/X$9,IF($J$7=2,HLOOKUP(X$11,index1970,Query!$O102)/X$9 * HLOOKUP(X$11,comboutfac,Query!$O102),HLOOKUP(X$11,index1970,Query!$O102)/X$9 * HLOOKUP(X$11,comboutfac,Query!$O102) /X$8))</f>
        <v>6.6532567295855962</v>
      </c>
      <c r="Y67" s="120">
        <f ca="1">IF($J$7=1,HLOOKUP(Y$11,index1970,Query!$O102)/Y$9,IF($J$7=2,HLOOKUP(Y$11,index1970,Query!$O102)/Y$9 * HLOOKUP(Y$11,comboutfac,Query!$O102),HLOOKUP(Y$11,index1970,Query!$O102)/Y$9 * HLOOKUP(Y$11,comboutfac,Query!$O102) /Y$8))</f>
        <v>6.7468867220849082</v>
      </c>
      <c r="Z67" s="120">
        <f ca="1">IF($J$7=1,HLOOKUP(Z$11,index1970,Query!$O102)/Z$9,IF($J$7=2,HLOOKUP(Z$11,index1970,Query!$O102)/Z$9 * HLOOKUP(Z$11,comboutfac,Query!$O102),HLOOKUP(Z$11,index1970,Query!$O102)/Z$9 * HLOOKUP(Z$11,comboutfac,Query!$O102) /Z$8))</f>
        <v>7.8333894560612416</v>
      </c>
      <c r="AA67" s="120">
        <f ca="1">IF($J$7=1,HLOOKUP(AA$11,index1970,Query!$O102)/AA$9,IF($J$7=2,HLOOKUP(AA$11,index1970,Query!$O102)/AA$9 * HLOOKUP(AA$11,comboutfac,Query!$O102),HLOOKUP(AA$11,index1970,Query!$O102)/AA$9 * HLOOKUP(AA$11,comboutfac,Query!$O102) /AA$8))</f>
        <v>6.6335022803320314</v>
      </c>
      <c r="AB67" s="120">
        <f ca="1">IF($J$7=1,HLOOKUP(AB$11,index1970,Query!$O102)/AB$9,IF($J$7=2,HLOOKUP(AB$11,index1970,Query!$O102)/AB$9 * HLOOKUP(AB$11,comboutfac,Query!$O102),HLOOKUP(AB$11,index1970,Query!$O102)/AB$9 * HLOOKUP(AB$11,comboutfac,Query!$O102) /AB$8))</f>
        <v>6.6655158873696223</v>
      </c>
      <c r="AC67" s="120">
        <f ca="1">IF($J$7=1,HLOOKUP(AC$11,index1970,Query!$O102)/AC$9,IF($J$7=2,HLOOKUP(AC$11,index1970,Query!$O102)/AC$9 * HLOOKUP(AC$11,comboutfac,Query!$O102),HLOOKUP(AC$11,index1970,Query!$O102)/AC$9 * HLOOKUP(AC$11,comboutfac,Query!$O102) /AC$8))</f>
        <v>7.8659104902028121</v>
      </c>
      <c r="AD67" s="120">
        <f ca="1">IF($J$7=1,HLOOKUP(AD$11,index1970,Query!$O102)/AD$9,IF($J$7=2,HLOOKUP(AD$11,index1970,Query!$O102)/AD$9 * HLOOKUP(AD$11,comboutfac,Query!$O102),HLOOKUP(AD$11,index1970,Query!$O102)/AD$9 * HLOOKUP(AD$11,comboutfac,Query!$O102) /AD$8))</f>
        <v>6.6140842564415818</v>
      </c>
      <c r="AE67" s="120">
        <f ca="1">IF($J$7=1,HLOOKUP(AE$11,index1970,Query!$O102)/AE$9,IF($J$7=2,HLOOKUP(AE$11,index1970,Query!$O102)/AE$9 * HLOOKUP(AE$11,comboutfac,Query!$O102),HLOOKUP(AE$11,index1970,Query!$O102)/AE$9 * HLOOKUP(AE$11,comboutfac,Query!$O102) /AE$8))</f>
        <v>5.7582446892090751</v>
      </c>
      <c r="AF67" s="120">
        <f ca="1">IF($J$7=1,HLOOKUP(AF$11,index1970,Query!$O102)/AF$9,IF($J$7=2,HLOOKUP(AF$11,index1970,Query!$O102)/AF$9 * HLOOKUP(AF$11,comboutfac,Query!$O102),HLOOKUP(AF$11,index1970,Query!$O102)/AF$9 * HLOOKUP(AF$11,comboutfac,Query!$O102) /AF$8))</f>
        <v>9.4509776252541933</v>
      </c>
      <c r="AG67" s="120">
        <f ca="1">IF($J$7=1,HLOOKUP(AG$11,index1970,Query!$O102)/AG$9,IF($J$7=2,HLOOKUP(AG$11,index1970,Query!$O102)/AG$9 * HLOOKUP(AG$11,comboutfac,Query!$O102),HLOOKUP(AG$11,index1970,Query!$O102)/AG$9 * HLOOKUP(AG$11,comboutfac,Query!$O102) /AG$8))</f>
        <v>6.7645265906738246</v>
      </c>
      <c r="AH67" s="120">
        <f ca="1">IF($J$7=1,HLOOKUP(AH$11,index1970,Query!$O102)/AH$9,IF($J$7=2,HLOOKUP(AH$11,index1970,Query!$O102)/AH$9 * HLOOKUP(AH$11,comboutfac,Query!$O102),HLOOKUP(AH$11,index1970,Query!$O102)/AH$9 * HLOOKUP(AH$11,comboutfac,Query!$O102) /AH$8))</f>
        <v>5.7423349112707891</v>
      </c>
      <c r="AI67" s="120">
        <f ca="1">IF($J$7=1,HLOOKUP(AI$11,index1970,Query!$O102)/AI$9,IF($J$7=2,HLOOKUP(AI$11,index1970,Query!$O102)/AI$9 * HLOOKUP(AI$11,comboutfac,Query!$O102),HLOOKUP(AI$11,index1970,Query!$O102)/AI$9 * HLOOKUP(AI$11,comboutfac,Query!$O102) /AI$8))</f>
        <v>5.9345706407080145</v>
      </c>
      <c r="AJ67" s="120">
        <f ca="1">IF($J$7=1,HLOOKUP(AJ$11,index1970,Query!$O102)/AJ$9,IF($J$7=2,HLOOKUP(AJ$11,index1970,Query!$O102)/AJ$9 * HLOOKUP(AJ$11,comboutfac,Query!$O102),HLOOKUP(AJ$11,index1970,Query!$O102)/AJ$9 * HLOOKUP(AJ$11,comboutfac,Query!$O102) /AJ$8))</f>
        <v>5.6804567012003</v>
      </c>
      <c r="AK67" s="120">
        <f ca="1">IF($J$7=1,HLOOKUP(AK$11,index1970,Query!$O102)/AK$9,IF($J$7=2,HLOOKUP(AK$11,index1970,Query!$O102)/AK$9 * HLOOKUP(AK$11,comboutfac,Query!$O102),HLOOKUP(AK$11,index1970,Query!$O102)/AK$9 * HLOOKUP(AK$11,comboutfac,Query!$O102) /AK$8))</f>
        <v>5.901612545753018</v>
      </c>
      <c r="AL67" s="120">
        <f ca="1">IF($J$7=1,HLOOKUP(AL$11,index1970,Query!$O102)/AL$9,IF($J$7=2,HLOOKUP(AL$11,index1970,Query!$O102)/AL$9 * HLOOKUP(AL$11,comboutfac,Query!$O102),HLOOKUP(AL$11,index1970,Query!$O102)/AL$9 * HLOOKUP(AL$11,comboutfac,Query!$O102) /AL$8))</f>
        <v>8.8769265021210053</v>
      </c>
      <c r="AM67" s="120">
        <f ca="1">IF($J$7=1,HLOOKUP(AM$11,index1970,Query!$O102)/AM$9,IF($J$7=2,HLOOKUP(AM$11,index1970,Query!$O102)/AM$9 * HLOOKUP(AM$11,comboutfac,Query!$O102),HLOOKUP(AM$11,index1970,Query!$O102)/AM$9 * HLOOKUP(AM$11,comboutfac,Query!$O102) /AM$8))</f>
        <v>5.8452972966437402</v>
      </c>
      <c r="AN67" s="120">
        <f ca="1">IF($J$7=1,HLOOKUP(AN$11,index1970,Query!$O102)/AN$9,IF($J$7=2,HLOOKUP(AN$11,index1970,Query!$O102)/AN$9 * HLOOKUP(AN$11,comboutfac,Query!$O102),HLOOKUP(AN$11,index1970,Query!$O102)/AN$9 * HLOOKUP(AN$11,comboutfac,Query!$O102) /AN$8))</f>
        <v>8.8335931657878355</v>
      </c>
      <c r="AO67" s="120">
        <f ca="1">IF($J$7=1,HLOOKUP(AO$11,index1970,Query!$O102)/AO$9,IF($J$7=2,HLOOKUP(AO$11,index1970,Query!$O102)/AO$9 * HLOOKUP(AO$11,comboutfac,Query!$O102),HLOOKUP(AO$11,index1970,Query!$O102)/AO$9 * HLOOKUP(AO$11,comboutfac,Query!$O102) /AO$8))</f>
        <v>5.8438473275340161</v>
      </c>
      <c r="AP67" s="120">
        <f ca="1">IF($J$7=1,HLOOKUP(AP$11,index1970,Query!$O102)/AP$9,IF($J$7=2,HLOOKUP(AP$11,index1970,Query!$O102)/AP$9 * HLOOKUP(AP$11,comboutfac,Query!$O102),HLOOKUP(AP$11,index1970,Query!$O102)/AP$9 * HLOOKUP(AP$11,comboutfac,Query!$O102) /AP$8))</f>
        <v>9.5732987320328018</v>
      </c>
      <c r="AQ67" s="683">
        <f ca="1">IF($J$7=1,HLOOKUP(AQ$11,index1970,Query!$O102)/AQ$9,IF($J$7=2,HLOOKUP(AQ$11,index1970,Query!$O102)/AQ$9 * HLOOKUP(AQ$11,comboutfac,Query!$O102),HLOOKUP(AQ$11,index1970,Query!$O102)/AQ$9 * HLOOKUP(AQ$11,comboutfac,Query!$O102) /AQ$8))</f>
        <v>7.8797495410247382</v>
      </c>
      <c r="AR67" s="120">
        <f ca="1">IF($J$7=1,HLOOKUP(AR$11,index1970,Query!$O102)/AR$9,IF($J$7=2,HLOOKUP(AR$11,index1970,Query!$O102)/AR$9 * HLOOKUP(AR$11,comboutfac,Query!$O102),HLOOKUP(AR$11,index1970,Query!$O102)/AR$9 * HLOOKUP(AR$11,comboutfac,Query!$O102) /AR$8))</f>
        <v>6.7932584861321708</v>
      </c>
      <c r="AS67" s="213"/>
    </row>
    <row r="68" spans="1:45" s="122" customFormat="1">
      <c r="A68" s="121">
        <f t="shared" si="8"/>
        <v>2024</v>
      </c>
      <c r="B68" s="120">
        <f ca="1">IF($J$7=1,HLOOKUP(B$11,index1970,Query!$O103)/B$9,IF($J$7=2,HLOOKUP(B$11,index1970,Query!$O103)/B$9 * HLOOKUP(B$11,comboutfac,Query!$O103),HLOOKUP(B$11,index1970,Query!$O103)/B$9 * HLOOKUP(B$11,comboutfac,Query!$O103) /B$8))</f>
        <v>6.9160105710869324</v>
      </c>
      <c r="C68" s="120">
        <f ca="1">IF($J$7=1,HLOOKUP(C$11,index1970,Query!$O103)/C$9,IF($J$7=2,HLOOKUP(C$11,index1970,Query!$O103)/C$9 * HLOOKUP(C$11,comboutfac,Query!$O103),HLOOKUP(C$11,index1970,Query!$O103)/C$9 * HLOOKUP(C$11,comboutfac,Query!$O103) /C$8))</f>
        <v>6.7475789866567322</v>
      </c>
      <c r="D68" s="120">
        <f ca="1">IF($J$7=1,HLOOKUP(D$11,index1970,Query!$O103)/D$9,IF($J$7=2,HLOOKUP(D$11,index1970,Query!$O103)/D$9 * HLOOKUP(D$11,comboutfac,Query!$O103),HLOOKUP(D$11,index1970,Query!$O103)/D$9 * HLOOKUP(D$11,comboutfac,Query!$O103) /D$8))</f>
        <v>6.6917104770413971</v>
      </c>
      <c r="E68" s="120">
        <f ca="1">IF($J$7=1,HLOOKUP(E$11,index1970,Query!$O103)/E$9,IF($J$7=2,HLOOKUP(E$11,index1970,Query!$O103)/E$9 * HLOOKUP(E$11,comboutfac,Query!$O103),HLOOKUP(E$11,index1970,Query!$O103)/E$9 * HLOOKUP(E$11,comboutfac,Query!$O103) /E$8))</f>
        <v>7.0202222992640033</v>
      </c>
      <c r="F68" s="120">
        <f ca="1">IF($J$7=1,HLOOKUP(F$11,index1970,Query!$O103)/F$9,IF($J$7=2,HLOOKUP(F$11,index1970,Query!$O103)/F$9 * HLOOKUP(F$11,comboutfac,Query!$O103),HLOOKUP(F$11,index1970,Query!$O103)/F$9 * HLOOKUP(F$11,comboutfac,Query!$O103) /F$8))</f>
        <v>6.6917104770413971</v>
      </c>
      <c r="G68" s="120">
        <f ca="1">IF($J$7=1,HLOOKUP(G$11,index1970,Query!$O103)/G$9,IF($J$7=2,HLOOKUP(G$11,index1970,Query!$O103)/G$9 * HLOOKUP(G$11,comboutfac,Query!$O103),HLOOKUP(G$11,index1970,Query!$O103)/G$9 * HLOOKUP(G$11,comboutfac,Query!$O103) /G$8))</f>
        <v>7.0630880522915929</v>
      </c>
      <c r="H68" s="120">
        <f ca="1">IF($J$7=1,HLOOKUP(H$11,index1970,Query!$O103)/H$9,IF($J$7=2,HLOOKUP(H$11,index1970,Query!$O103)/H$9 * HLOOKUP(H$11,comboutfac,Query!$O103),HLOOKUP(H$11,index1970,Query!$O103)/H$9 * HLOOKUP(H$11,comboutfac,Query!$O103) /H$8))</f>
        <v>6.7704519872276192</v>
      </c>
      <c r="I68" s="120">
        <f ca="1">IF($J$7=1,HLOOKUP(I$11,index1970,Query!$O103)/I$9,IF($J$7=2,HLOOKUP(I$11,index1970,Query!$O103)/I$9 * HLOOKUP(I$11,comboutfac,Query!$O103),HLOOKUP(I$11,index1970,Query!$O103)/I$9 * HLOOKUP(I$11,comboutfac,Query!$O103) /I$8))</f>
        <v>6.8169707669181037</v>
      </c>
      <c r="J68" s="120">
        <f ca="1">IF($J$7=1,HLOOKUP(J$11,index1970,Query!$O103)/J$9,IF($J$7=2,HLOOKUP(J$11,index1970,Query!$O103)/J$9 * HLOOKUP(J$11,comboutfac,Query!$O103),HLOOKUP(J$11,index1970,Query!$O103)/J$9 * HLOOKUP(J$11,comboutfac,Query!$O103) /J$8))</f>
        <v>8.4834423349603707</v>
      </c>
      <c r="K68" s="120">
        <f ca="1">IF($J$7=1,HLOOKUP(K$11,index1970,Query!$O103)/K$9,IF($J$7=2,HLOOKUP(K$11,index1970,Query!$O103)/K$9 * HLOOKUP(K$11,comboutfac,Query!$O103),HLOOKUP(K$11,index1970,Query!$O103)/K$9 * HLOOKUP(K$11,comboutfac,Query!$O103) /K$8))</f>
        <v>9.6415531682261371</v>
      </c>
      <c r="L68" s="120">
        <f ca="1">IF($J$7=1,HLOOKUP(L$11,index1970,Query!$O103)/L$9,IF($J$7=2,HLOOKUP(L$11,index1970,Query!$O103)/L$9 * HLOOKUP(L$11,comboutfac,Query!$O103),HLOOKUP(L$11,index1970,Query!$O103)/L$9 * HLOOKUP(L$11,comboutfac,Query!$O103) /L$8))</f>
        <v>7.2807679811366226</v>
      </c>
      <c r="M68" s="120">
        <f ca="1">IF($J$7=1,HLOOKUP(M$11,index1970,Query!$O103)/M$9,IF($J$7=2,HLOOKUP(M$11,index1970,Query!$O103)/M$9 * HLOOKUP(M$11,comboutfac,Query!$O103),HLOOKUP(M$11,index1970,Query!$O103)/M$9 * HLOOKUP(M$11,comboutfac,Query!$O103) /M$8))</f>
        <v>6.0903357676477015</v>
      </c>
      <c r="N68" s="120">
        <f ca="1">IF($J$7=1,HLOOKUP(N$11,index1970,Query!$O103)/N$9,IF($J$7=2,HLOOKUP(N$11,index1970,Query!$O103)/N$9 * HLOOKUP(N$11,comboutfac,Query!$O103),HLOOKUP(N$11,index1970,Query!$O103)/N$9 * HLOOKUP(N$11,comboutfac,Query!$O103) /N$8))</f>
        <v>6.9932702299982825</v>
      </c>
      <c r="O68" s="120">
        <f ca="1">IF($J$7=1,HLOOKUP(O$11,index1970,Query!$O103)/O$9,IF($J$7=2,HLOOKUP(O$11,index1970,Query!$O103)/O$9 * HLOOKUP(O$11,comboutfac,Query!$O103),HLOOKUP(O$11,index1970,Query!$O103)/O$9 * HLOOKUP(O$11,comboutfac,Query!$O103) /O$8))</f>
        <v>6.9145169267193243</v>
      </c>
      <c r="P68" s="120">
        <f ca="1">IF($J$7=1,HLOOKUP(P$11,index1970,Query!$O103)/P$9,IF($J$7=2,HLOOKUP(P$11,index1970,Query!$O103)/P$9 * HLOOKUP(P$11,comboutfac,Query!$O103),HLOOKUP(P$11,index1970,Query!$O103)/P$9 * HLOOKUP(P$11,comboutfac,Query!$O103) /P$8))</f>
        <v>9.4048918113341262</v>
      </c>
      <c r="Q68" s="120">
        <f ca="1">IF($J$7=1,HLOOKUP(Q$11,index1970,Query!$O103)/Q$9,IF($J$7=2,HLOOKUP(Q$11,index1970,Query!$O103)/Q$9 * HLOOKUP(Q$11,comboutfac,Query!$O103),HLOOKUP(Q$11,index1970,Query!$O103)/Q$9 * HLOOKUP(Q$11,comboutfac,Query!$O103) /Q$8))</f>
        <v>5.9611909467980091</v>
      </c>
      <c r="R68" s="120">
        <f ca="1">IF($J$7=1,HLOOKUP(R$11,index1970,Query!$O103)/R$9,IF($J$7=2,HLOOKUP(R$11,index1970,Query!$O103)/R$9 * HLOOKUP(R$11,comboutfac,Query!$O103),HLOOKUP(R$11,index1970,Query!$O103)/R$9 * HLOOKUP(R$11,comboutfac,Query!$O103) /R$8))</f>
        <v>9.2161655345379199</v>
      </c>
      <c r="S68" s="120">
        <f ca="1">IF($J$7=1,HLOOKUP(S$11,index1970,Query!$O103)/S$9,IF($J$7=2,HLOOKUP(S$11,index1970,Query!$O103)/S$9 * HLOOKUP(S$11,comboutfac,Query!$O103),HLOOKUP(S$11,index1970,Query!$O103)/S$9 * HLOOKUP(S$11,comboutfac,Query!$O103) /S$8))</f>
        <v>5.955864684486631</v>
      </c>
      <c r="T68" s="120">
        <f ca="1">IF($J$7=1,HLOOKUP(T$11,index1970,Query!$O103)/T$9,IF($J$7=2,HLOOKUP(T$11,index1970,Query!$O103)/T$9 * HLOOKUP(T$11,comboutfac,Query!$O103),HLOOKUP(T$11,index1970,Query!$O103)/T$9 * HLOOKUP(T$11,comboutfac,Query!$O103) /T$8))</f>
        <v>5.8608865354343473</v>
      </c>
      <c r="U68" s="120">
        <f ca="1">IF($J$7=1,HLOOKUP(U$11,index1970,Query!$O103)/U$9,IF($J$7=2,HLOOKUP(U$11,index1970,Query!$O103)/U$9 * HLOOKUP(U$11,comboutfac,Query!$O103),HLOOKUP(U$11,index1970,Query!$O103)/U$9 * HLOOKUP(U$11,comboutfac,Query!$O103) /U$8))</f>
        <v>7.8135140225622743</v>
      </c>
      <c r="V68" s="120">
        <f ca="1">IF($J$7=1,HLOOKUP(V$11,index1970,Query!$O103)/V$9,IF($J$7=2,HLOOKUP(V$11,index1970,Query!$O103)/V$9 * HLOOKUP(V$11,comboutfac,Query!$O103),HLOOKUP(V$11,index1970,Query!$O103)/V$9 * HLOOKUP(V$11,comboutfac,Query!$O103) /V$8))</f>
        <v>6.7773627476066824</v>
      </c>
      <c r="W68" s="120">
        <f ca="1">IF($J$7=1,HLOOKUP(W$11,index1970,Query!$O103)/W$9,IF($J$7=2,HLOOKUP(W$11,index1970,Query!$O103)/W$9 * HLOOKUP(W$11,comboutfac,Query!$O103),HLOOKUP(W$11,index1970,Query!$O103)/W$9 * HLOOKUP(W$11,comboutfac,Query!$O103) /W$8))</f>
        <v>7.144432588319459</v>
      </c>
      <c r="X68" s="120">
        <f ca="1">IF($J$7=1,HLOOKUP(X$11,index1970,Query!$O103)/X$9,IF($J$7=2,HLOOKUP(X$11,index1970,Query!$O103)/X$9 * HLOOKUP(X$11,comboutfac,Query!$O103),HLOOKUP(X$11,index1970,Query!$O103)/X$9 * HLOOKUP(X$11,comboutfac,Query!$O103) /X$8))</f>
        <v>6.7863218641773084</v>
      </c>
      <c r="Y68" s="120">
        <f ca="1">IF($J$7=1,HLOOKUP(Y$11,index1970,Query!$O103)/Y$9,IF($J$7=2,HLOOKUP(Y$11,index1970,Query!$O103)/Y$9 * HLOOKUP(Y$11,comboutfac,Query!$O103),HLOOKUP(Y$11,index1970,Query!$O103)/Y$9 * HLOOKUP(Y$11,comboutfac,Query!$O103) /Y$8))</f>
        <v>6.8830918579210225</v>
      </c>
      <c r="Z68" s="120">
        <f ca="1">IF($J$7=1,HLOOKUP(Z$11,index1970,Query!$O103)/Z$9,IF($J$7=2,HLOOKUP(Z$11,index1970,Query!$O103)/Z$9 * HLOOKUP(Z$11,comboutfac,Query!$O103),HLOOKUP(Z$11,index1970,Query!$O103)/Z$9 * HLOOKUP(Z$11,comboutfac,Query!$O103) /Z$8))</f>
        <v>7.9977852720176736</v>
      </c>
      <c r="AA68" s="120">
        <f ca="1">IF($J$7=1,HLOOKUP(AA$11,index1970,Query!$O103)/AA$9,IF($J$7=2,HLOOKUP(AA$11,index1970,Query!$O103)/AA$9 * HLOOKUP(AA$11,comboutfac,Query!$O103),HLOOKUP(AA$11,index1970,Query!$O103)/AA$9 * HLOOKUP(AA$11,comboutfac,Query!$O103) /AA$8))</f>
        <v>6.7661723259386726</v>
      </c>
      <c r="AB68" s="120">
        <f ca="1">IF($J$7=1,HLOOKUP(AB$11,index1970,Query!$O103)/AB$9,IF($J$7=2,HLOOKUP(AB$11,index1970,Query!$O103)/AB$9 * HLOOKUP(AB$11,comboutfac,Query!$O103),HLOOKUP(AB$11,index1970,Query!$O103)/AB$9 * HLOOKUP(AB$11,comboutfac,Query!$O103) /AB$8))</f>
        <v>6.8034044160434348</v>
      </c>
      <c r="AC68" s="120">
        <f ca="1">IF($J$7=1,HLOOKUP(AC$11,index1970,Query!$O103)/AC$9,IF($J$7=2,HLOOKUP(AC$11,index1970,Query!$O103)/AC$9 * HLOOKUP(AC$11,comboutfac,Query!$O103),HLOOKUP(AC$11,index1970,Query!$O103)/AC$9 * HLOOKUP(AC$11,comboutfac,Query!$O103) /AC$8))</f>
        <v>8.0318330698117784</v>
      </c>
      <c r="AD68" s="120">
        <f ca="1">IF($J$7=1,HLOOKUP(AD$11,index1970,Query!$O103)/AD$9,IF($J$7=2,HLOOKUP(AD$11,index1970,Query!$O103)/AD$9 * HLOOKUP(AD$11,comboutfac,Query!$O103),HLOOKUP(AD$11,index1970,Query!$O103)/AD$9 * HLOOKUP(AD$11,comboutfac,Query!$O103) /AD$8))</f>
        <v>6.7463659415704127</v>
      </c>
      <c r="AE68" s="120">
        <f ca="1">IF($J$7=1,HLOOKUP(AE$11,index1970,Query!$O103)/AE$9,IF($J$7=2,HLOOKUP(AE$11,index1970,Query!$O103)/AE$9 * HLOOKUP(AE$11,comboutfac,Query!$O103),HLOOKUP(AE$11,index1970,Query!$O103)/AE$9 * HLOOKUP(AE$11,comboutfac,Query!$O103) /AE$8))</f>
        <v>5.8734095829932569</v>
      </c>
      <c r="AF68" s="120">
        <f ca="1">IF($J$7=1,HLOOKUP(AF$11,index1970,Query!$O103)/AF$9,IF($J$7=2,HLOOKUP(AF$11,index1970,Query!$O103)/AF$9 * HLOOKUP(AF$11,comboutfac,Query!$O103),HLOOKUP(AF$11,index1970,Query!$O103)/AF$9 * HLOOKUP(AF$11,comboutfac,Query!$O103) /AF$8))</f>
        <v>9.6399971777592768</v>
      </c>
      <c r="AG68" s="120">
        <f ca="1">IF($J$7=1,HLOOKUP(AG$11,index1970,Query!$O103)/AG$9,IF($J$7=2,HLOOKUP(AG$11,index1970,Query!$O103)/AG$9 * HLOOKUP(AG$11,comboutfac,Query!$O103),HLOOKUP(AG$11,index1970,Query!$O103)/AG$9 * HLOOKUP(AG$11,comboutfac,Query!$O103) /AG$8))</f>
        <v>6.8998171224873017</v>
      </c>
      <c r="AH68" s="120">
        <f ca="1">IF($J$7=1,HLOOKUP(AH$11,index1970,Query!$O103)/AH$9,IF($J$7=2,HLOOKUP(AH$11,index1970,Query!$O103)/AH$9 * HLOOKUP(AH$11,comboutfac,Query!$O103),HLOOKUP(AH$11,index1970,Query!$O103)/AH$9 * HLOOKUP(AH$11,comboutfac,Query!$O103) /AH$8))</f>
        <v>5.8571816094962053</v>
      </c>
      <c r="AI68" s="120">
        <f ca="1">IF($J$7=1,HLOOKUP(AI$11,index1970,Query!$O103)/AI$9,IF($J$7=2,HLOOKUP(AI$11,index1970,Query!$O103)/AI$9 * HLOOKUP(AI$11,comboutfac,Query!$O103),HLOOKUP(AI$11,index1970,Query!$O103)/AI$9 * HLOOKUP(AI$11,comboutfac,Query!$O103) /AI$8))</f>
        <v>6.053335950235148</v>
      </c>
      <c r="AJ68" s="120">
        <f ca="1">IF($J$7=1,HLOOKUP(AJ$11,index1970,Query!$O103)/AJ$9,IF($J$7=2,HLOOKUP(AJ$11,index1970,Query!$O103)/AJ$9 * HLOOKUP(AJ$11,comboutfac,Query!$O103),HLOOKUP(AJ$11,index1970,Query!$O103)/AJ$9 * HLOOKUP(AJ$11,comboutfac,Query!$O103) /AJ$8))</f>
        <v>5.7940658352243064</v>
      </c>
      <c r="AK68" s="120">
        <f ca="1">IF($J$7=1,HLOOKUP(AK$11,index1970,Query!$O103)/AK$9,IF($J$7=2,HLOOKUP(AK$11,index1970,Query!$O103)/AK$9 * HLOOKUP(AK$11,comboutfac,Query!$O103),HLOOKUP(AK$11,index1970,Query!$O103)/AK$9 * HLOOKUP(AK$11,comboutfac,Query!$O103) /AK$8))</f>
        <v>6.0196447966680786</v>
      </c>
      <c r="AL68" s="120">
        <f ca="1">IF($J$7=1,HLOOKUP(AL$11,index1970,Query!$O103)/AL$9,IF($J$7=2,HLOOKUP(AL$11,index1970,Query!$O103)/AL$9 * HLOOKUP(AL$11,comboutfac,Query!$O103),HLOOKUP(AL$11,index1970,Query!$O103)/AL$9 * HLOOKUP(AL$11,comboutfac,Query!$O103) /AL$8))</f>
        <v>9.0609409714907407</v>
      </c>
      <c r="AM68" s="120">
        <f ca="1">IF($J$7=1,HLOOKUP(AM$11,index1970,Query!$O103)/AM$9,IF($J$7=2,HLOOKUP(AM$11,index1970,Query!$O103)/AM$9 * HLOOKUP(AM$11,comboutfac,Query!$O103),HLOOKUP(AM$11,index1970,Query!$O103)/AM$9 * HLOOKUP(AM$11,comboutfac,Query!$O103) /AM$8))</f>
        <v>5.9622032425766145</v>
      </c>
      <c r="AN68" s="120">
        <f ca="1">IF($J$7=1,HLOOKUP(AN$11,index1970,Query!$O103)/AN$9,IF($J$7=2,HLOOKUP(AN$11,index1970,Query!$O103)/AN$9 * HLOOKUP(AN$11,comboutfac,Query!$O103),HLOOKUP(AN$11,index1970,Query!$O103)/AN$9 * HLOOKUP(AN$11,comboutfac,Query!$O103) /AN$8))</f>
        <v>9.0160927050284272</v>
      </c>
      <c r="AO68" s="120">
        <f ca="1">IF($J$7=1,HLOOKUP(AO$11,index1970,Query!$O103)/AO$9,IF($J$7=2,HLOOKUP(AO$11,index1970,Query!$O103)/AO$9 * HLOOKUP(AO$11,comboutfac,Query!$O103),HLOOKUP(AO$11,index1970,Query!$O103)/AO$9 * HLOOKUP(AO$11,comboutfac,Query!$O103) /AO$8))</f>
        <v>5.9607242740846962</v>
      </c>
      <c r="AP68" s="120">
        <f ca="1">IF($J$7=1,HLOOKUP(AP$11,index1970,Query!$O103)/AP$9,IF($J$7=2,HLOOKUP(AP$11,index1970,Query!$O103)/AP$9 * HLOOKUP(AP$11,comboutfac,Query!$O103),HLOOKUP(AP$11,index1970,Query!$O103)/AP$9 * HLOOKUP(AP$11,comboutfac,Query!$O103) /AP$8))</f>
        <v>9.7647647066734571</v>
      </c>
      <c r="AQ68" s="683">
        <f ca="1">IF($J$7=1,HLOOKUP(AQ$11,index1970,Query!$O103)/AQ$9,IF($J$7=2,HLOOKUP(AQ$11,index1970,Query!$O103)/AQ$9 * HLOOKUP(AQ$11,comboutfac,Query!$O103),HLOOKUP(AQ$11,index1970,Query!$O103)/AQ$9 * HLOOKUP(AQ$11,comboutfac,Query!$O103) /AQ$8))</f>
        <v>8.0373445318452337</v>
      </c>
      <c r="AR68" s="120">
        <f ca="1">IF($J$7=1,HLOOKUP(AR$11,index1970,Query!$O103)/AR$9,IF($J$7=2,HLOOKUP(AR$11,index1970,Query!$O103)/AR$9 * HLOOKUP(AR$11,comboutfac,Query!$O103),HLOOKUP(AR$11,index1970,Query!$O103)/AR$9 * HLOOKUP(AR$11,comboutfac,Query!$O103) /AR$8))</f>
        <v>6.9291236558548146</v>
      </c>
      <c r="AS68" s="213"/>
    </row>
  </sheetData>
  <mergeCells count="7">
    <mergeCell ref="A2:A3"/>
    <mergeCell ref="AB2:AC4"/>
    <mergeCell ref="B1:C1"/>
    <mergeCell ref="AD2:AE4"/>
    <mergeCell ref="I4:J4"/>
    <mergeCell ref="B4:D4"/>
    <mergeCell ref="Q1:R1"/>
  </mergeCells>
  <phoneticPr fontId="0" type="noConversion"/>
  <conditionalFormatting sqref="A13:A68">
    <cfRule type="cellIs" dxfId="4" priority="1" stopIfTrue="1" operator="equal">
      <formula>$E$4</formula>
    </cfRule>
  </conditionalFormatting>
  <conditionalFormatting sqref="B13:AS68">
    <cfRule type="cellIs" dxfId="3" priority="2" stopIfTrue="1" operator="equal">
      <formula>1</formula>
    </cfRule>
  </conditionalFormatting>
  <hyperlinks>
    <hyperlink ref="Q1:R1" location="Main!A1" display="Return to Main"/>
  </hyperlinks>
  <pageMargins left="0.1" right="0.1" top="0.18" bottom="0.18" header="0.5" footer="0.5"/>
  <pageSetup scale="68" fitToWidth="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autoLine="0" autoPict="0">
                <anchor moveWithCells="1">
                  <from>
                    <xdr:col>10</xdr:col>
                    <xdr:colOff>304800</xdr:colOff>
                    <xdr:row>3</xdr:row>
                    <xdr:rowOff>9525</xdr:rowOff>
                  </from>
                  <to>
                    <xdr:col>13</xdr:col>
                    <xdr:colOff>285750</xdr:colOff>
                    <xdr:row>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CE122"/>
  <sheetViews>
    <sheetView workbookViewId="0">
      <pane xSplit="1" ySplit="6" topLeftCell="B7" activePane="bottomRight" state="frozen"/>
      <selection activeCell="A2" sqref="A2"/>
      <selection pane="topRight" activeCell="A2" sqref="A2"/>
      <selection pane="bottomLeft" activeCell="A2" sqref="A2"/>
      <selection pane="bottomRight" activeCell="A67" sqref="A67:A122"/>
    </sheetView>
  </sheetViews>
  <sheetFormatPr defaultRowHeight="12.75"/>
  <cols>
    <col min="1" max="1" width="7.85546875" style="114" customWidth="1"/>
    <col min="2" max="2" width="8.85546875" customWidth="1"/>
    <col min="3" max="3" width="7.7109375" customWidth="1"/>
    <col min="4" max="9" width="7.7109375" bestFit="1" customWidth="1"/>
    <col min="10" max="10" width="8.7109375" bestFit="1" customWidth="1"/>
    <col min="11" max="11" width="7.7109375" bestFit="1" customWidth="1"/>
    <col min="12" max="12" width="7.7109375" customWidth="1"/>
    <col min="13" max="13" width="8.7109375" bestFit="1" customWidth="1"/>
    <col min="14" max="17" width="7.7109375" bestFit="1" customWidth="1"/>
    <col min="18" max="19" width="8.7109375" bestFit="1" customWidth="1"/>
    <col min="20" max="20" width="7.7109375" bestFit="1" customWidth="1"/>
    <col min="21" max="21" width="7.7109375" style="112" bestFit="1" customWidth="1"/>
    <col min="22" max="30" width="7.7109375" bestFit="1" customWidth="1"/>
    <col min="31" max="32" width="8.7109375" bestFit="1" customWidth="1"/>
    <col min="33" max="34" width="7.7109375" bestFit="1" customWidth="1"/>
    <col min="35" max="36" width="8.7109375" bestFit="1" customWidth="1"/>
    <col min="37" max="41" width="7.7109375" bestFit="1" customWidth="1"/>
    <col min="42" max="42" width="7.5703125" customWidth="1"/>
    <col min="43" max="44" width="7.7109375" bestFit="1" customWidth="1"/>
    <col min="45" max="46" width="8.7109375" bestFit="1" customWidth="1"/>
    <col min="47" max="50" width="7.7109375" bestFit="1" customWidth="1"/>
    <col min="51" max="52" width="8.7109375" bestFit="1" customWidth="1"/>
    <col min="53" max="54" width="7.7109375" bestFit="1" customWidth="1"/>
    <col min="55" max="56" width="7.7109375" customWidth="1"/>
    <col min="58" max="58" width="8.28515625" customWidth="1"/>
    <col min="60" max="60" width="8.85546875" customWidth="1"/>
    <col min="62" max="62" width="7.7109375" customWidth="1"/>
    <col min="64" max="64" width="8.140625" customWidth="1"/>
    <col min="66" max="66" width="8" customWidth="1"/>
    <col min="68" max="68" width="8.5703125" customWidth="1"/>
    <col min="73" max="73" width="8.140625" customWidth="1"/>
    <col min="76" max="76" width="10.42578125" customWidth="1"/>
    <col min="78" max="78" width="10" customWidth="1"/>
    <col min="80" max="80" width="10" customWidth="1"/>
    <col min="81" max="81" width="8" customWidth="1"/>
    <col min="82" max="82" width="7.7109375" customWidth="1"/>
  </cols>
  <sheetData>
    <row r="1" spans="1:83">
      <c r="A1" s="776" t="s">
        <v>214</v>
      </c>
      <c r="B1" s="4" t="s">
        <v>215</v>
      </c>
      <c r="C1" s="3"/>
      <c r="D1" s="3"/>
      <c r="E1" s="3"/>
      <c r="F1" s="3"/>
      <c r="G1" s="3"/>
      <c r="H1" s="3"/>
      <c r="I1" s="3"/>
      <c r="J1" s="3"/>
      <c r="K1" s="3"/>
      <c r="L1" s="135" t="s">
        <v>739</v>
      </c>
      <c r="M1" s="3"/>
      <c r="N1" s="3"/>
      <c r="O1" s="3"/>
      <c r="P1" s="135"/>
      <c r="Q1" s="3"/>
      <c r="R1" s="3"/>
      <c r="S1" s="3"/>
      <c r="T1" s="3"/>
      <c r="U1" s="113"/>
      <c r="V1" s="3"/>
      <c r="W1" s="3"/>
      <c r="X1" s="3"/>
      <c r="Y1" s="3"/>
      <c r="Z1" s="3"/>
      <c r="AA1" s="3"/>
      <c r="AB1" s="3"/>
      <c r="AC1" s="3"/>
      <c r="AD1" s="3"/>
      <c r="AE1" s="3"/>
      <c r="AF1" s="3"/>
      <c r="AG1" s="3"/>
      <c r="AH1" s="3"/>
      <c r="AI1" s="3"/>
      <c r="AJ1" s="3"/>
      <c r="AK1" s="3"/>
      <c r="AL1" s="3"/>
      <c r="AM1" s="3"/>
      <c r="AN1" s="3"/>
      <c r="AO1" s="3"/>
      <c r="AR1" s="109"/>
      <c r="AS1" s="3"/>
      <c r="AT1" s="3"/>
      <c r="AU1" s="3"/>
      <c r="AV1" s="3"/>
      <c r="AW1" s="3"/>
      <c r="AX1" s="3"/>
      <c r="AY1" s="3"/>
      <c r="AZ1" s="3"/>
      <c r="BA1" s="3"/>
      <c r="BB1" s="3"/>
      <c r="BC1" s="3"/>
      <c r="BD1" s="3"/>
      <c r="BE1" s="3"/>
      <c r="BF1" s="3"/>
      <c r="BG1" s="3"/>
    </row>
    <row r="2" spans="1:83">
      <c r="A2" s="776"/>
      <c r="B2" s="3" t="s">
        <v>262</v>
      </c>
      <c r="C2" s="3"/>
      <c r="D2" s="3"/>
      <c r="E2" s="3"/>
      <c r="F2" s="3"/>
      <c r="G2" s="3"/>
      <c r="H2" s="3"/>
      <c r="I2" s="3"/>
      <c r="J2" s="3"/>
      <c r="K2" s="3"/>
      <c r="L2" s="3"/>
      <c r="M2" s="3"/>
      <c r="N2" s="3"/>
      <c r="O2" s="3"/>
      <c r="P2" s="3"/>
      <c r="Q2" s="3"/>
      <c r="R2" s="3"/>
      <c r="S2" s="3"/>
      <c r="T2" s="3"/>
      <c r="U2" s="113"/>
      <c r="V2" s="3"/>
      <c r="W2" s="3"/>
      <c r="X2" s="3"/>
      <c r="Y2" s="3"/>
      <c r="Z2" s="3"/>
      <c r="AA2" s="3"/>
      <c r="AB2" s="3"/>
      <c r="AC2" s="3"/>
      <c r="AD2" s="3"/>
      <c r="AE2" s="3"/>
      <c r="AF2" s="3"/>
      <c r="AG2" s="3"/>
      <c r="AH2" s="3"/>
      <c r="AI2" s="3"/>
      <c r="AJ2" s="3"/>
      <c r="AK2" s="3"/>
      <c r="AL2" s="3"/>
      <c r="AM2" s="3"/>
      <c r="AN2" s="3"/>
      <c r="AO2" s="3"/>
      <c r="AR2" s="109" t="s">
        <v>208</v>
      </c>
      <c r="AS2" s="109"/>
      <c r="AT2" s="109"/>
      <c r="AU2" s="109"/>
      <c r="AV2" s="3"/>
      <c r="AW2" s="3"/>
      <c r="AX2" s="3"/>
      <c r="AY2" s="3"/>
      <c r="AZ2" s="3"/>
      <c r="BA2" s="3"/>
      <c r="BB2" s="3"/>
      <c r="BC2" s="3"/>
      <c r="BD2" s="3"/>
      <c r="BE2" s="3"/>
      <c r="BF2" s="3"/>
      <c r="BG2" s="3"/>
    </row>
    <row r="3" spans="1:83">
      <c r="A3" s="776"/>
      <c r="B3" s="3" t="s">
        <v>261</v>
      </c>
      <c r="C3" s="3"/>
      <c r="D3" s="3"/>
      <c r="E3" s="3"/>
      <c r="F3" s="3"/>
      <c r="G3" s="3"/>
      <c r="H3" s="3"/>
      <c r="I3" s="3"/>
      <c r="J3" s="3"/>
      <c r="K3" s="3"/>
      <c r="L3" s="3"/>
      <c r="M3" s="3"/>
      <c r="N3" s="3"/>
      <c r="O3" s="3"/>
      <c r="P3" s="3"/>
      <c r="Q3" s="3"/>
      <c r="R3" s="3"/>
      <c r="S3" s="3"/>
      <c r="T3" s="3"/>
      <c r="U3" s="113"/>
      <c r="V3" s="3"/>
      <c r="W3" s="3"/>
      <c r="X3" s="3"/>
      <c r="Y3" s="3"/>
      <c r="Z3" s="3"/>
      <c r="AA3" s="3"/>
      <c r="AB3" s="3"/>
      <c r="AC3" s="3"/>
      <c r="AD3" s="3"/>
      <c r="AE3" s="3"/>
      <c r="AF3" s="3"/>
      <c r="AG3" s="3"/>
      <c r="AH3" s="3"/>
      <c r="AI3" s="3"/>
      <c r="AJ3" s="3"/>
      <c r="AK3" s="3"/>
      <c r="AL3" s="3"/>
      <c r="AM3" s="3"/>
      <c r="AN3" s="3"/>
      <c r="AO3" s="3"/>
      <c r="AR3" s="109"/>
      <c r="AS3" s="3"/>
      <c r="AT3" s="3"/>
      <c r="AU3" s="3"/>
      <c r="AV3" s="3"/>
      <c r="AW3" s="3"/>
      <c r="AX3" s="3"/>
      <c r="AY3" s="3"/>
      <c r="AZ3" s="3"/>
      <c r="BA3" s="3"/>
      <c r="BB3" s="3"/>
      <c r="BC3" s="3"/>
      <c r="BD3" s="3"/>
      <c r="BE3" s="266" t="s">
        <v>408</v>
      </c>
      <c r="BF3" s="181"/>
      <c r="BG3" s="181"/>
      <c r="BH3" s="11"/>
      <c r="BI3" s="265" t="s">
        <v>436</v>
      </c>
      <c r="BJ3" s="11"/>
      <c r="BK3" s="11"/>
      <c r="BL3" s="11"/>
      <c r="BM3" s="11"/>
      <c r="BN3" s="11"/>
      <c r="BO3" s="11"/>
      <c r="BP3" s="11"/>
      <c r="BQ3" s="11"/>
      <c r="BR3" s="11"/>
      <c r="BS3" s="11"/>
      <c r="BT3" s="11"/>
      <c r="BU3" s="11"/>
      <c r="BV3" s="11"/>
      <c r="BW3" s="11"/>
      <c r="BX3" s="11"/>
      <c r="BY3" s="11"/>
      <c r="BZ3" s="11"/>
      <c r="CA3" s="11"/>
      <c r="CB3" s="11"/>
      <c r="CC3" s="11"/>
      <c r="CD3" s="11"/>
    </row>
    <row r="4" spans="1:83" s="71" customFormat="1" ht="54" customHeight="1">
      <c r="A4" s="20"/>
      <c r="B4" s="22" t="s">
        <v>89</v>
      </c>
      <c r="C4" s="22" t="s">
        <v>3</v>
      </c>
      <c r="D4" s="22" t="s">
        <v>90</v>
      </c>
      <c r="E4" s="22" t="s">
        <v>4</v>
      </c>
      <c r="F4" s="22" t="s">
        <v>5</v>
      </c>
      <c r="G4" s="22" t="s">
        <v>6</v>
      </c>
      <c r="H4" s="22" t="s">
        <v>7</v>
      </c>
      <c r="I4" s="22" t="s">
        <v>8</v>
      </c>
      <c r="J4" s="22" t="s">
        <v>9</v>
      </c>
      <c r="K4" s="192" t="s">
        <v>254</v>
      </c>
      <c r="L4" s="22" t="s">
        <v>145</v>
      </c>
      <c r="M4" s="22" t="s">
        <v>146</v>
      </c>
      <c r="N4" s="22" t="s">
        <v>196</v>
      </c>
      <c r="O4" s="22" t="s">
        <v>11</v>
      </c>
      <c r="P4" s="22" t="s">
        <v>93</v>
      </c>
      <c r="Q4" s="22" t="s">
        <v>14</v>
      </c>
      <c r="R4" s="22" t="s">
        <v>16</v>
      </c>
      <c r="S4" s="22" t="s">
        <v>18</v>
      </c>
      <c r="T4" s="22" t="s">
        <v>147</v>
      </c>
      <c r="U4" s="22" t="s">
        <v>239</v>
      </c>
      <c r="V4" s="22" t="s">
        <v>13</v>
      </c>
      <c r="W4" s="22" t="s">
        <v>15</v>
      </c>
      <c r="X4" s="22" t="s">
        <v>17</v>
      </c>
      <c r="Y4" s="22" t="s">
        <v>19</v>
      </c>
      <c r="Z4" s="22" t="s">
        <v>20</v>
      </c>
      <c r="AA4" s="22" t="s">
        <v>21</v>
      </c>
      <c r="AB4" s="22" t="s">
        <v>207</v>
      </c>
      <c r="AC4" s="22" t="s">
        <v>22</v>
      </c>
      <c r="AD4" s="22" t="s">
        <v>91</v>
      </c>
      <c r="AE4" s="22" t="s">
        <v>25</v>
      </c>
      <c r="AF4" s="22" t="s">
        <v>26</v>
      </c>
      <c r="AG4" s="22" t="s">
        <v>149</v>
      </c>
      <c r="AH4" s="22" t="s">
        <v>241</v>
      </c>
      <c r="AI4" s="22" t="s">
        <v>23</v>
      </c>
      <c r="AJ4" s="22" t="s">
        <v>24</v>
      </c>
      <c r="AK4" s="22" t="s">
        <v>150</v>
      </c>
      <c r="AL4" s="22" t="s">
        <v>242</v>
      </c>
      <c r="AM4" s="22" t="s">
        <v>243</v>
      </c>
      <c r="AN4" s="22" t="s">
        <v>244</v>
      </c>
      <c r="AO4" s="22" t="s">
        <v>245</v>
      </c>
      <c r="AP4" s="193" t="s">
        <v>314</v>
      </c>
      <c r="AQ4" s="193" t="s">
        <v>315</v>
      </c>
      <c r="AR4" s="99" t="s">
        <v>109</v>
      </c>
      <c r="AS4" s="15" t="s">
        <v>118</v>
      </c>
      <c r="AT4" s="15" t="s">
        <v>119</v>
      </c>
      <c r="AU4" s="15" t="s">
        <v>110</v>
      </c>
      <c r="AV4" s="15" t="s">
        <v>111</v>
      </c>
      <c r="AW4" s="15" t="s">
        <v>112</v>
      </c>
      <c r="AX4" s="15" t="s">
        <v>101</v>
      </c>
      <c r="AY4" s="15" t="s">
        <v>102</v>
      </c>
      <c r="AZ4" s="15" t="s">
        <v>113</v>
      </c>
      <c r="BA4" s="15" t="s">
        <v>114</v>
      </c>
      <c r="BB4" s="15" t="s">
        <v>115</v>
      </c>
      <c r="BC4" s="15" t="s">
        <v>116</v>
      </c>
      <c r="BD4" s="15" t="s">
        <v>117</v>
      </c>
      <c r="BE4" s="256" t="s">
        <v>316</v>
      </c>
      <c r="BF4" s="256" t="s">
        <v>318</v>
      </c>
      <c r="BG4" s="256" t="s">
        <v>320</v>
      </c>
      <c r="BH4" s="256" t="s">
        <v>322</v>
      </c>
      <c r="BI4" s="256" t="s">
        <v>324</v>
      </c>
      <c r="BJ4" s="256" t="s">
        <v>325</v>
      </c>
      <c r="BK4" s="256" t="s">
        <v>327</v>
      </c>
      <c r="BL4" s="256" t="s">
        <v>328</v>
      </c>
      <c r="BM4" s="256" t="s">
        <v>330</v>
      </c>
      <c r="BN4" s="256" t="s">
        <v>331</v>
      </c>
      <c r="BO4" s="256" t="s">
        <v>333</v>
      </c>
      <c r="BP4" s="256" t="s">
        <v>335</v>
      </c>
      <c r="BQ4" s="256" t="s">
        <v>337</v>
      </c>
      <c r="BR4" s="256" t="s">
        <v>339</v>
      </c>
      <c r="BS4" s="256" t="s">
        <v>341</v>
      </c>
      <c r="BT4" s="256" t="s">
        <v>343</v>
      </c>
      <c r="BU4" s="256" t="s">
        <v>345</v>
      </c>
      <c r="BV4" s="256" t="s">
        <v>347</v>
      </c>
      <c r="BW4" s="256" t="s">
        <v>348</v>
      </c>
      <c r="BX4" s="257" t="s">
        <v>349</v>
      </c>
      <c r="BY4" s="256" t="s">
        <v>350</v>
      </c>
      <c r="BZ4" s="256" t="s">
        <v>351</v>
      </c>
      <c r="CA4" s="256" t="s">
        <v>352</v>
      </c>
      <c r="CB4" s="256" t="s">
        <v>353</v>
      </c>
      <c r="CC4" s="256" t="s">
        <v>354</v>
      </c>
      <c r="CD4" s="256" t="s">
        <v>356</v>
      </c>
    </row>
    <row r="5" spans="1:83">
      <c r="A5" s="21"/>
      <c r="B5" s="27" t="s">
        <v>28</v>
      </c>
      <c r="C5" s="29"/>
      <c r="D5" s="29"/>
      <c r="E5" s="29"/>
      <c r="F5" s="29"/>
      <c r="G5" s="29"/>
      <c r="H5" s="29"/>
      <c r="I5" s="1"/>
      <c r="J5" s="29"/>
      <c r="K5" s="29"/>
      <c r="L5" s="29"/>
      <c r="M5" s="29"/>
      <c r="N5" s="29"/>
      <c r="O5" s="29"/>
      <c r="P5" s="29"/>
      <c r="Q5" s="29"/>
      <c r="R5" s="29"/>
      <c r="S5" s="29"/>
      <c r="T5" s="29"/>
      <c r="U5" s="29"/>
      <c r="V5" s="29"/>
      <c r="W5" s="29"/>
      <c r="X5" s="29"/>
      <c r="Y5" s="29"/>
      <c r="Z5" s="29"/>
      <c r="AA5" s="29"/>
      <c r="AB5" s="1"/>
      <c r="AC5" s="29"/>
      <c r="AD5" s="29"/>
      <c r="AE5" s="29"/>
      <c r="AF5" s="29"/>
      <c r="AG5" s="1"/>
      <c r="AH5" s="1"/>
      <c r="AI5" s="1"/>
      <c r="AJ5" s="1"/>
      <c r="AK5" s="1"/>
      <c r="AL5" s="1"/>
      <c r="AM5" s="1"/>
      <c r="AN5" s="1"/>
      <c r="AO5" s="1"/>
      <c r="AP5" s="1"/>
      <c r="AQ5" s="1"/>
      <c r="AR5" s="100"/>
      <c r="AS5" s="1"/>
      <c r="BA5" s="1"/>
      <c r="BB5" s="1"/>
      <c r="BC5" s="1"/>
      <c r="BD5" s="1"/>
      <c r="BE5" s="3"/>
      <c r="BF5" s="3"/>
      <c r="BG5" s="3"/>
      <c r="CE5" s="4" t="s">
        <v>282</v>
      </c>
    </row>
    <row r="6" spans="1:83">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6">
        <v>41</v>
      </c>
      <c r="AQ6" s="6">
        <v>42</v>
      </c>
      <c r="AR6" s="97">
        <v>43</v>
      </c>
      <c r="AS6" s="4">
        <v>44</v>
      </c>
      <c r="AT6" s="4">
        <v>45</v>
      </c>
      <c r="AU6" s="4">
        <v>46</v>
      </c>
      <c r="AV6" s="4">
        <v>47</v>
      </c>
      <c r="AW6" s="4">
        <v>48</v>
      </c>
      <c r="AX6" s="4">
        <v>49</v>
      </c>
      <c r="AY6" s="4">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112" customFormat="1">
      <c r="A7">
        <v>1970</v>
      </c>
      <c r="B7" s="84">
        <v>1</v>
      </c>
      <c r="C7" s="84">
        <v>1</v>
      </c>
      <c r="D7" s="84">
        <v>1</v>
      </c>
      <c r="E7" s="84">
        <v>1</v>
      </c>
      <c r="F7" s="84">
        <v>1</v>
      </c>
      <c r="G7" s="84">
        <v>1</v>
      </c>
      <c r="H7" s="84">
        <v>1</v>
      </c>
      <c r="I7" s="84">
        <v>1</v>
      </c>
      <c r="J7" s="84">
        <v>1</v>
      </c>
      <c r="K7" s="84">
        <v>1</v>
      </c>
      <c r="L7" s="84">
        <v>1</v>
      </c>
      <c r="M7" s="84">
        <v>1</v>
      </c>
      <c r="N7" s="84">
        <v>1</v>
      </c>
      <c r="O7" s="84">
        <v>1</v>
      </c>
      <c r="P7" s="84">
        <v>1</v>
      </c>
      <c r="Q7" s="84">
        <v>1</v>
      </c>
      <c r="R7" s="84">
        <v>1</v>
      </c>
      <c r="S7" s="84">
        <v>1</v>
      </c>
      <c r="T7" s="84">
        <v>1</v>
      </c>
      <c r="U7" s="84">
        <v>1</v>
      </c>
      <c r="V7" s="84">
        <v>1</v>
      </c>
      <c r="W7" s="84">
        <v>1</v>
      </c>
      <c r="X7" s="84">
        <v>1</v>
      </c>
      <c r="Y7" s="84">
        <v>1</v>
      </c>
      <c r="Z7" s="84">
        <v>1</v>
      </c>
      <c r="AA7" s="84">
        <v>1</v>
      </c>
      <c r="AB7" s="84">
        <v>1</v>
      </c>
      <c r="AC7" s="84">
        <v>1</v>
      </c>
      <c r="AD7" s="84">
        <v>1</v>
      </c>
      <c r="AE7" s="84">
        <v>1</v>
      </c>
      <c r="AF7" s="84">
        <v>1</v>
      </c>
      <c r="AG7" s="84">
        <v>1</v>
      </c>
      <c r="AH7" s="84">
        <v>1</v>
      </c>
      <c r="AI7" s="84">
        <v>1</v>
      </c>
      <c r="AJ7" s="84">
        <v>1</v>
      </c>
      <c r="AK7" s="84">
        <v>1</v>
      </c>
      <c r="AL7" s="84">
        <v>1</v>
      </c>
      <c r="AM7" s="84">
        <v>1</v>
      </c>
      <c r="AN7" s="84">
        <v>1</v>
      </c>
      <c r="AO7" s="84">
        <v>1</v>
      </c>
      <c r="AP7" s="84">
        <v>1</v>
      </c>
      <c r="AQ7" s="84">
        <v>1</v>
      </c>
      <c r="AR7" s="195">
        <v>1</v>
      </c>
      <c r="AS7" s="84">
        <v>1</v>
      </c>
      <c r="AT7" s="196">
        <v>1</v>
      </c>
      <c r="AU7" s="84">
        <v>1</v>
      </c>
      <c r="AV7" s="84">
        <v>1</v>
      </c>
      <c r="AW7" s="84">
        <v>1</v>
      </c>
      <c r="AX7" s="84">
        <v>1</v>
      </c>
      <c r="AY7" s="84">
        <v>1</v>
      </c>
      <c r="AZ7" s="84">
        <v>1</v>
      </c>
      <c r="BA7" s="84">
        <v>1</v>
      </c>
      <c r="BB7" s="84">
        <v>1</v>
      </c>
      <c r="BC7" s="84">
        <v>1</v>
      </c>
      <c r="BD7" s="84">
        <v>1</v>
      </c>
      <c r="BE7" s="197">
        <v>1</v>
      </c>
      <c r="BF7" s="197">
        <v>1</v>
      </c>
      <c r="BG7" s="197">
        <v>1</v>
      </c>
      <c r="BH7" s="112">
        <v>1</v>
      </c>
      <c r="BI7" s="112">
        <v>1</v>
      </c>
      <c r="BJ7" s="112">
        <v>1</v>
      </c>
      <c r="BK7" s="112">
        <v>1</v>
      </c>
      <c r="BL7" s="112">
        <v>1</v>
      </c>
      <c r="BM7" s="112">
        <v>1</v>
      </c>
      <c r="BN7" s="112">
        <v>1</v>
      </c>
      <c r="BO7" s="112">
        <v>1</v>
      </c>
      <c r="BP7" s="112">
        <v>1</v>
      </c>
      <c r="BQ7" s="112">
        <v>1</v>
      </c>
      <c r="BR7" s="112">
        <v>1</v>
      </c>
      <c r="BS7" s="112">
        <v>1</v>
      </c>
      <c r="BT7" s="112">
        <v>1</v>
      </c>
      <c r="BU7" s="112">
        <v>1</v>
      </c>
      <c r="BV7" s="112">
        <v>1</v>
      </c>
      <c r="BW7" s="112">
        <v>1</v>
      </c>
      <c r="BX7" s="112">
        <v>1</v>
      </c>
      <c r="BY7" s="112">
        <v>1</v>
      </c>
      <c r="BZ7" s="112">
        <v>1</v>
      </c>
      <c r="CA7" s="112">
        <v>1</v>
      </c>
      <c r="CB7" s="112">
        <v>1</v>
      </c>
      <c r="CC7" s="112">
        <v>1</v>
      </c>
      <c r="CD7" s="112">
        <v>1</v>
      </c>
      <c r="CE7" s="38">
        <v>1985</v>
      </c>
    </row>
    <row r="8" spans="1:83" s="112" customFormat="1">
      <c r="A8">
        <v>1971</v>
      </c>
      <c r="B8" s="84">
        <v>1.0513999999999999</v>
      </c>
      <c r="C8" s="84">
        <v>1.0869</v>
      </c>
      <c r="D8" s="84">
        <v>1.0401</v>
      </c>
      <c r="E8" s="84">
        <v>1.0455000000000001</v>
      </c>
      <c r="F8" s="84">
        <v>1.0455000000000001</v>
      </c>
      <c r="G8" s="84">
        <v>1.0455000000000001</v>
      </c>
      <c r="H8" s="84">
        <v>1.0900000000000001</v>
      </c>
      <c r="I8" s="84">
        <v>1.0509999999999999</v>
      </c>
      <c r="J8" s="84">
        <v>1.0831999999999999</v>
      </c>
      <c r="K8" s="84">
        <v>1.0509999999999999</v>
      </c>
      <c r="L8" s="84">
        <v>1.0394000000000001</v>
      </c>
      <c r="M8" s="84">
        <v>1.0506</v>
      </c>
      <c r="N8" s="84">
        <v>1.0455000000000001</v>
      </c>
      <c r="O8" s="84">
        <v>1.0506</v>
      </c>
      <c r="P8" s="84">
        <v>1.0401</v>
      </c>
      <c r="Q8" s="84">
        <v>1.0455000000000001</v>
      </c>
      <c r="R8" s="84">
        <v>1.0506</v>
      </c>
      <c r="S8" s="84">
        <v>1.0506</v>
      </c>
      <c r="T8" s="84">
        <v>1.0394000000000001</v>
      </c>
      <c r="U8" s="84">
        <v>1.0869</v>
      </c>
      <c r="V8" s="84">
        <v>1.0900000000000001</v>
      </c>
      <c r="W8" s="84">
        <v>1.0401</v>
      </c>
      <c r="X8" s="84">
        <v>1.0401</v>
      </c>
      <c r="Y8" s="84">
        <v>1.0506</v>
      </c>
      <c r="Z8" s="84">
        <v>1.0506</v>
      </c>
      <c r="AA8" s="84">
        <v>1.0886</v>
      </c>
      <c r="AB8" s="84">
        <v>1.0455796879779751</v>
      </c>
      <c r="AC8" s="84">
        <v>1.0869</v>
      </c>
      <c r="AD8" s="84">
        <v>1.0401</v>
      </c>
      <c r="AE8" s="84">
        <v>1.0506</v>
      </c>
      <c r="AF8" s="84">
        <v>1.0506</v>
      </c>
      <c r="AG8" s="84">
        <v>1.0394000000000001</v>
      </c>
      <c r="AH8" s="84">
        <v>1.0869</v>
      </c>
      <c r="AI8" s="84">
        <v>1.0506</v>
      </c>
      <c r="AJ8" s="84">
        <v>1.0506</v>
      </c>
      <c r="AK8" s="84">
        <v>1.0394000000000001</v>
      </c>
      <c r="AL8" s="84">
        <v>1.0506</v>
      </c>
      <c r="AM8" s="84">
        <v>1.0869</v>
      </c>
      <c r="AN8" s="84">
        <v>1.0401</v>
      </c>
      <c r="AO8" s="84">
        <v>1.0455000000000001</v>
      </c>
      <c r="AP8" s="84">
        <v>1.0455000000000001</v>
      </c>
      <c r="AQ8" s="84">
        <v>1.0455000000000001</v>
      </c>
      <c r="AR8" s="195">
        <v>1.0556593999999999</v>
      </c>
      <c r="AS8" s="84">
        <v>1.0610211368002447</v>
      </c>
      <c r="AT8" s="196">
        <v>1.0641948000000001</v>
      </c>
      <c r="AU8" s="84">
        <v>1.07536418</v>
      </c>
      <c r="AV8" s="84">
        <v>1.0765480417754569</v>
      </c>
      <c r="AW8" s="84">
        <v>1.0451892798239919</v>
      </c>
      <c r="AX8" s="84">
        <v>1.0468900000000001</v>
      </c>
      <c r="AY8" s="84">
        <v>1.0506</v>
      </c>
      <c r="AZ8" s="84">
        <v>1.0870221174004193</v>
      </c>
      <c r="BA8" s="84">
        <v>1.0803092000000001</v>
      </c>
      <c r="BB8" s="84">
        <v>1.0738706</v>
      </c>
      <c r="BC8" s="84">
        <v>1.0526905328234935</v>
      </c>
      <c r="BD8" s="84">
        <v>1.0444987434505966</v>
      </c>
      <c r="BE8" s="197">
        <v>1.028</v>
      </c>
      <c r="BF8" s="197">
        <v>1.028</v>
      </c>
      <c r="BG8" s="197">
        <v>1.028</v>
      </c>
      <c r="BH8" s="112">
        <v>1.028</v>
      </c>
      <c r="BI8" s="112">
        <v>1.028</v>
      </c>
      <c r="BJ8" s="112">
        <v>1.028</v>
      </c>
      <c r="BK8" s="112">
        <v>1.0090356984150497</v>
      </c>
      <c r="BL8" s="112">
        <v>1.028</v>
      </c>
      <c r="BM8" s="112">
        <v>0.86649447809048796</v>
      </c>
      <c r="BN8" s="112">
        <v>1.028</v>
      </c>
      <c r="BO8" s="112">
        <v>1.028</v>
      </c>
      <c r="BP8" s="112">
        <v>1.028</v>
      </c>
      <c r="BQ8" s="112">
        <v>1.028</v>
      </c>
      <c r="BR8" s="112">
        <v>1.028</v>
      </c>
      <c r="BS8" s="112">
        <v>1.028</v>
      </c>
      <c r="BT8" s="112">
        <v>1.028</v>
      </c>
      <c r="BU8" s="112">
        <v>1.028</v>
      </c>
      <c r="BV8" s="112">
        <v>1.04</v>
      </c>
      <c r="BW8" s="112">
        <v>1.0249999999999999</v>
      </c>
      <c r="BX8" s="112">
        <v>1.0379156511841758</v>
      </c>
      <c r="BY8" s="112">
        <v>1.0249999999999999</v>
      </c>
      <c r="BZ8" s="112">
        <v>1.0379156511841758</v>
      </c>
      <c r="CA8" s="112">
        <v>1.0249999999999999</v>
      </c>
      <c r="CB8" s="112">
        <v>1.0379156511841758</v>
      </c>
      <c r="CC8" s="112">
        <v>1.028</v>
      </c>
      <c r="CD8" s="112">
        <v>1.028</v>
      </c>
      <c r="CE8" s="37">
        <v>1986</v>
      </c>
    </row>
    <row r="9" spans="1:83" s="112" customFormat="1">
      <c r="A9">
        <v>1972</v>
      </c>
      <c r="B9" s="84">
        <v>1.0998695399999998</v>
      </c>
      <c r="C9" s="84">
        <v>1.1514618599999999</v>
      </c>
      <c r="D9" s="84">
        <v>1.0826400899999999</v>
      </c>
      <c r="E9" s="84">
        <v>1.0855426500000001</v>
      </c>
      <c r="F9" s="84">
        <v>1.0855426500000001</v>
      </c>
      <c r="G9" s="84">
        <v>1.0855426500000001</v>
      </c>
      <c r="H9" s="84">
        <v>1.1696789999999999</v>
      </c>
      <c r="I9" s="84">
        <v>1.0972439999999999</v>
      </c>
      <c r="J9" s="84">
        <v>1.26387776</v>
      </c>
      <c r="K9" s="84">
        <v>1.0972439999999999</v>
      </c>
      <c r="L9" s="84">
        <v>1.07089382</v>
      </c>
      <c r="M9" s="84">
        <v>1.1008186799999999</v>
      </c>
      <c r="N9" s="84">
        <v>1.0855426500000001</v>
      </c>
      <c r="O9" s="84">
        <v>1.1008186799999999</v>
      </c>
      <c r="P9" s="84">
        <v>1.0826400899999999</v>
      </c>
      <c r="Q9" s="84">
        <v>1.0855426500000001</v>
      </c>
      <c r="R9" s="84">
        <v>1.1008186799999999</v>
      </c>
      <c r="S9" s="84">
        <v>1.1008186799999999</v>
      </c>
      <c r="T9" s="84">
        <v>1.07089382</v>
      </c>
      <c r="U9" s="84">
        <v>1.1514618599999999</v>
      </c>
      <c r="V9" s="84">
        <v>1.1696789999999999</v>
      </c>
      <c r="W9" s="84">
        <v>1.0826400899999999</v>
      </c>
      <c r="X9" s="84">
        <v>1.0826400899999999</v>
      </c>
      <c r="Y9" s="84">
        <v>1.1008186799999999</v>
      </c>
      <c r="Z9" s="84">
        <v>1.1008186799999999</v>
      </c>
      <c r="AA9" s="84">
        <v>1.18091328</v>
      </c>
      <c r="AB9" s="84">
        <v>1.0856531049250537</v>
      </c>
      <c r="AC9" s="84">
        <v>1.1514618599999999</v>
      </c>
      <c r="AD9" s="84">
        <v>1.0826400899999999</v>
      </c>
      <c r="AE9" s="84">
        <v>1.1008186799999999</v>
      </c>
      <c r="AF9" s="84">
        <v>1.1008186799999999</v>
      </c>
      <c r="AG9" s="84">
        <v>1.07089382</v>
      </c>
      <c r="AH9" s="84">
        <v>1.1514618599999999</v>
      </c>
      <c r="AI9" s="84">
        <v>1.1008186799999999</v>
      </c>
      <c r="AJ9" s="84">
        <v>1.1008186799999999</v>
      </c>
      <c r="AK9" s="84">
        <v>1.07089382</v>
      </c>
      <c r="AL9" s="84">
        <v>1.1008186799999999</v>
      </c>
      <c r="AM9" s="84">
        <v>1.1514618599999999</v>
      </c>
      <c r="AN9" s="84">
        <v>1.0826400899999999</v>
      </c>
      <c r="AO9" s="84">
        <v>1.0855426500000001</v>
      </c>
      <c r="AP9" s="84">
        <v>1.0855426500000001</v>
      </c>
      <c r="AQ9" s="84">
        <v>1.0855426500000001</v>
      </c>
      <c r="AR9" s="195">
        <v>1.10900308349031</v>
      </c>
      <c r="AS9" s="84">
        <v>1.1231464807813702</v>
      </c>
      <c r="AT9" s="196">
        <v>1.1309299450944963</v>
      </c>
      <c r="AU9" s="84">
        <v>1.2284746932530268</v>
      </c>
      <c r="AV9" s="84">
        <v>1.2337989645047345</v>
      </c>
      <c r="AW9" s="84">
        <v>1.0912679620767032</v>
      </c>
      <c r="AX9" s="84">
        <v>1.09614198694</v>
      </c>
      <c r="AY9" s="84">
        <v>1.1008186799999999</v>
      </c>
      <c r="AZ9" s="84">
        <v>1.1535745874125045</v>
      </c>
      <c r="BA9" s="84">
        <v>1.2507722689772001</v>
      </c>
      <c r="BB9" s="84">
        <v>1.2217699653203</v>
      </c>
      <c r="BC9" s="84">
        <v>1.1075600368983896</v>
      </c>
      <c r="BD9" s="84">
        <v>1.0911618567181247</v>
      </c>
      <c r="BE9" s="197">
        <v>1.0557560000000001</v>
      </c>
      <c r="BF9" s="197">
        <v>1.0557560000000001</v>
      </c>
      <c r="BG9" s="197">
        <v>1.0557560000000001</v>
      </c>
      <c r="BH9" s="112">
        <v>1.0557559999999999</v>
      </c>
      <c r="BI9" s="112">
        <v>1.0557560000000001</v>
      </c>
      <c r="BJ9" s="112">
        <v>1.0557559999999999</v>
      </c>
      <c r="BK9" s="112">
        <v>1.0316990075544363</v>
      </c>
      <c r="BL9" s="112">
        <v>1.0557559999999999</v>
      </c>
      <c r="BM9" s="112">
        <v>0.79560028500178115</v>
      </c>
      <c r="BN9" s="112">
        <v>1.0557559999999999</v>
      </c>
      <c r="BO9" s="112">
        <v>1.0557559999999999</v>
      </c>
      <c r="BP9" s="112">
        <v>1.0557559999999999</v>
      </c>
      <c r="BQ9" s="112">
        <v>1.0557560000000001</v>
      </c>
      <c r="BR9" s="112">
        <v>1.0557560000000001</v>
      </c>
      <c r="BS9" s="112">
        <v>1.0557560000000001</v>
      </c>
      <c r="BT9" s="112">
        <v>1.0557560000000001</v>
      </c>
      <c r="BU9" s="112">
        <v>1.0557560000000001</v>
      </c>
      <c r="BV9" s="112">
        <v>1.0633999999999999</v>
      </c>
      <c r="BW9" s="112">
        <v>1.0526749999999998</v>
      </c>
      <c r="BX9" s="112">
        <v>1.0619096905966856</v>
      </c>
      <c r="BY9" s="112">
        <v>1.0526749999999998</v>
      </c>
      <c r="BZ9" s="112">
        <v>1.0619096905966856</v>
      </c>
      <c r="CA9" s="112">
        <v>1.0526749999999998</v>
      </c>
      <c r="CB9" s="112">
        <v>1.0619096905966856</v>
      </c>
      <c r="CC9" s="112">
        <v>1.0557559999999999</v>
      </c>
      <c r="CD9" s="112">
        <v>1.0557559999999999</v>
      </c>
      <c r="CE9" s="37">
        <v>1987</v>
      </c>
    </row>
    <row r="10" spans="1:83" s="112" customFormat="1">
      <c r="A10">
        <v>1973</v>
      </c>
      <c r="B10" s="84">
        <v>1.1477138649899998</v>
      </c>
      <c r="C10" s="84">
        <v>1.2153679932300001</v>
      </c>
      <c r="D10" s="84">
        <v>1.108406924142</v>
      </c>
      <c r="E10" s="84">
        <v>1.1307012242400001</v>
      </c>
      <c r="F10" s="84">
        <v>1.1307012242400001</v>
      </c>
      <c r="G10" s="84">
        <v>1.1307012242400001</v>
      </c>
      <c r="H10" s="84">
        <v>1.2549485990999998</v>
      </c>
      <c r="I10" s="84">
        <v>1.1553979319999998</v>
      </c>
      <c r="J10" s="84">
        <v>1.4212305411200001</v>
      </c>
      <c r="K10" s="84">
        <v>1.1553979319999998</v>
      </c>
      <c r="L10" s="84">
        <v>1.1345049129079998</v>
      </c>
      <c r="M10" s="84">
        <v>1.1483740469759998</v>
      </c>
      <c r="N10" s="84">
        <v>1.1307012242400001</v>
      </c>
      <c r="O10" s="84">
        <v>1.1483740469759998</v>
      </c>
      <c r="P10" s="84">
        <v>1.108406924142</v>
      </c>
      <c r="Q10" s="84">
        <v>1.1307012242400001</v>
      </c>
      <c r="R10" s="84">
        <v>1.1483740469759998</v>
      </c>
      <c r="S10" s="84">
        <v>1.1483740469759998</v>
      </c>
      <c r="T10" s="84">
        <v>1.1345049129079998</v>
      </c>
      <c r="U10" s="84">
        <v>1.2153679932300001</v>
      </c>
      <c r="V10" s="84">
        <v>1.2549485990999998</v>
      </c>
      <c r="W10" s="84">
        <v>1.108406924142</v>
      </c>
      <c r="X10" s="84">
        <v>1.108406924142</v>
      </c>
      <c r="Y10" s="84">
        <v>1.1483740469759998</v>
      </c>
      <c r="Z10" s="84">
        <v>1.1483740469759998</v>
      </c>
      <c r="AA10" s="84">
        <v>1.251413802816</v>
      </c>
      <c r="AB10" s="84">
        <v>1.1306209850107067</v>
      </c>
      <c r="AC10" s="84">
        <v>1.2153679932300001</v>
      </c>
      <c r="AD10" s="84">
        <v>1.108406924142</v>
      </c>
      <c r="AE10" s="84">
        <v>1.1483740469759998</v>
      </c>
      <c r="AF10" s="84">
        <v>1.1483740469759998</v>
      </c>
      <c r="AG10" s="84">
        <v>1.1345049129079998</v>
      </c>
      <c r="AH10" s="84">
        <v>1.2153679932300001</v>
      </c>
      <c r="AI10" s="84">
        <v>1.1483740469759998</v>
      </c>
      <c r="AJ10" s="84">
        <v>1.1483740469759998</v>
      </c>
      <c r="AK10" s="84">
        <v>1.1345049129079998</v>
      </c>
      <c r="AL10" s="84">
        <v>1.1483740469759998</v>
      </c>
      <c r="AM10" s="84">
        <v>1.2153679932300001</v>
      </c>
      <c r="AN10" s="84">
        <v>1.108406924142</v>
      </c>
      <c r="AO10" s="84">
        <v>1.1307012242400001</v>
      </c>
      <c r="AP10" s="84">
        <v>1.1307012242400001</v>
      </c>
      <c r="AQ10" s="84">
        <v>1.1307012242400001</v>
      </c>
      <c r="AR10" s="195">
        <v>1.1593018074417045</v>
      </c>
      <c r="AS10" s="84">
        <v>1.1698678246391068</v>
      </c>
      <c r="AT10" s="196">
        <v>1.178016349070099</v>
      </c>
      <c r="AU10" s="84">
        <v>1.3671124971802735</v>
      </c>
      <c r="AV10" s="84">
        <v>1.3752085939434282</v>
      </c>
      <c r="AW10" s="84">
        <v>1.1241414052006602</v>
      </c>
      <c r="AX10" s="84">
        <v>1.1277393758555325</v>
      </c>
      <c r="AY10" s="84">
        <v>1.1483740469759998</v>
      </c>
      <c r="AZ10" s="84">
        <v>1.2179460125581214</v>
      </c>
      <c r="BA10" s="84">
        <v>1.4011193483339741</v>
      </c>
      <c r="BB10" s="84">
        <v>1.3569388971325564</v>
      </c>
      <c r="BC10" s="84">
        <v>1.1445874997402208</v>
      </c>
      <c r="BD10" s="84">
        <v>1.1210898417501842</v>
      </c>
      <c r="BE10" s="197">
        <v>1.0874286800000001</v>
      </c>
      <c r="BF10" s="197">
        <v>1.0874286800000001</v>
      </c>
      <c r="BG10" s="197">
        <v>1.0874286800000001</v>
      </c>
      <c r="BH10" s="112">
        <v>1.0874286799999999</v>
      </c>
      <c r="BI10" s="112">
        <v>1.0874286800000001</v>
      </c>
      <c r="BJ10" s="112">
        <v>1.0874286800000001</v>
      </c>
      <c r="BK10" s="112">
        <v>1.0548066953043995</v>
      </c>
      <c r="BL10" s="112">
        <v>1.0874286799999999</v>
      </c>
      <c r="BM10" s="112">
        <v>0.6669041681510508</v>
      </c>
      <c r="BN10" s="112">
        <v>1.0874286799999999</v>
      </c>
      <c r="BO10" s="112">
        <v>1.0874286799999999</v>
      </c>
      <c r="BP10" s="112">
        <v>1.0874286799999999</v>
      </c>
      <c r="BQ10" s="112">
        <v>1.0874286800000001</v>
      </c>
      <c r="BR10" s="112">
        <v>1.0874286800000001</v>
      </c>
      <c r="BS10" s="112">
        <v>1.0874286800000001</v>
      </c>
      <c r="BT10" s="112">
        <v>1.0874286800000001</v>
      </c>
      <c r="BU10" s="112">
        <v>1.0874286800000001</v>
      </c>
      <c r="BV10" s="112">
        <v>1.0872679999999999</v>
      </c>
      <c r="BW10" s="112">
        <v>1.0842552499999998</v>
      </c>
      <c r="BX10" s="112">
        <v>1.0868493585403414</v>
      </c>
      <c r="BY10" s="112">
        <v>1.0842552499999998</v>
      </c>
      <c r="BZ10" s="112">
        <v>1.0868493585403414</v>
      </c>
      <c r="CA10" s="112">
        <v>1.0842552499999998</v>
      </c>
      <c r="CB10" s="112">
        <v>1.0868493585403414</v>
      </c>
      <c r="CC10" s="112">
        <v>1.0874286799999999</v>
      </c>
      <c r="CD10" s="112">
        <v>1.0874286799999999</v>
      </c>
      <c r="CE10" s="37">
        <v>1988</v>
      </c>
    </row>
    <row r="11" spans="1:83" s="112" customFormat="1">
      <c r="A11">
        <v>1974</v>
      </c>
      <c r="B11" s="84">
        <v>1.2391866600297028</v>
      </c>
      <c r="C11" s="84">
        <v>1.3582952692338481</v>
      </c>
      <c r="D11" s="84">
        <v>1.247511993121821</v>
      </c>
      <c r="E11" s="84">
        <v>1.1959426848786481</v>
      </c>
      <c r="F11" s="84">
        <v>1.1959426848786481</v>
      </c>
      <c r="G11" s="84">
        <v>1.1959426848786481</v>
      </c>
      <c r="H11" s="84">
        <v>1.4493401371005898</v>
      </c>
      <c r="I11" s="84">
        <v>1.2593837458799999</v>
      </c>
      <c r="J11" s="84">
        <v>1.5177320948620483</v>
      </c>
      <c r="K11" s="84">
        <v>1.2593837458799999</v>
      </c>
      <c r="L11" s="84">
        <v>1.2304840285400167</v>
      </c>
      <c r="M11" s="84">
        <v>1.2299086043112957</v>
      </c>
      <c r="N11" s="84">
        <v>1.1959426848786481</v>
      </c>
      <c r="O11" s="84">
        <v>1.2299086043112957</v>
      </c>
      <c r="P11" s="84">
        <v>1.247511993121821</v>
      </c>
      <c r="Q11" s="84">
        <v>1.1959426848786481</v>
      </c>
      <c r="R11" s="84">
        <v>1.2299086043112957</v>
      </c>
      <c r="S11" s="84">
        <v>1.2299086043112957</v>
      </c>
      <c r="T11" s="84">
        <v>1.2304840285400167</v>
      </c>
      <c r="U11" s="84">
        <v>1.3582952692338481</v>
      </c>
      <c r="V11" s="84">
        <v>1.4493401371005898</v>
      </c>
      <c r="W11" s="84">
        <v>1.247511993121821</v>
      </c>
      <c r="X11" s="84">
        <v>1.247511993121821</v>
      </c>
      <c r="Y11" s="84">
        <v>1.2299086043112957</v>
      </c>
      <c r="Z11" s="84">
        <v>1.2299086043112957</v>
      </c>
      <c r="AA11" s="84">
        <v>1.3652924588722559</v>
      </c>
      <c r="AB11" s="84">
        <v>1.1973080452737841</v>
      </c>
      <c r="AC11" s="84">
        <v>1.3582952692338481</v>
      </c>
      <c r="AD11" s="84">
        <v>1.247511993121821</v>
      </c>
      <c r="AE11" s="84">
        <v>1.2299086043112957</v>
      </c>
      <c r="AF11" s="84">
        <v>1.2299086043112957</v>
      </c>
      <c r="AG11" s="84">
        <v>1.2304840285400167</v>
      </c>
      <c r="AH11" s="84">
        <v>1.3582952692338481</v>
      </c>
      <c r="AI11" s="84">
        <v>1.2299086043112957</v>
      </c>
      <c r="AJ11" s="84">
        <v>1.2299086043112957</v>
      </c>
      <c r="AK11" s="84">
        <v>1.2304840285400167</v>
      </c>
      <c r="AL11" s="84">
        <v>1.2299086043112957</v>
      </c>
      <c r="AM11" s="84">
        <v>1.3582952692338481</v>
      </c>
      <c r="AN11" s="84">
        <v>1.247511993121821</v>
      </c>
      <c r="AO11" s="84">
        <v>1.1959426848786481</v>
      </c>
      <c r="AP11" s="84">
        <v>1.1959426848786481</v>
      </c>
      <c r="AQ11" s="84">
        <v>1.1959426848786481</v>
      </c>
      <c r="AR11" s="195">
        <v>1.253198124138367</v>
      </c>
      <c r="AS11" s="84">
        <v>1.2867859915697029</v>
      </c>
      <c r="AT11" s="196">
        <v>1.3056666718618746</v>
      </c>
      <c r="AU11" s="84">
        <v>1.4640238620487649</v>
      </c>
      <c r="AV11" s="84">
        <v>1.4720731287724831</v>
      </c>
      <c r="AW11" s="84">
        <v>1.247881677703822</v>
      </c>
      <c r="AX11" s="84">
        <v>1.2638236863400196</v>
      </c>
      <c r="AY11" s="84">
        <v>1.2299086043112957</v>
      </c>
      <c r="AZ11" s="84">
        <v>1.358849239009037</v>
      </c>
      <c r="BA11" s="84">
        <v>1.4977996658315844</v>
      </c>
      <c r="BB11" s="84">
        <v>1.4539018155988472</v>
      </c>
      <c r="BC11" s="84">
        <v>1.2763336434572892</v>
      </c>
      <c r="BD11" s="84">
        <v>1.2563551894584175</v>
      </c>
      <c r="BE11" s="197">
        <v>1.1331006845600002</v>
      </c>
      <c r="BF11" s="197">
        <v>1.13310068456</v>
      </c>
      <c r="BG11" s="197">
        <v>1.13310068456</v>
      </c>
      <c r="BH11" s="112">
        <v>1.13310068456</v>
      </c>
      <c r="BI11" s="112">
        <v>1.13310068456</v>
      </c>
      <c r="BJ11" s="112">
        <v>1.1331006845600002</v>
      </c>
      <c r="BK11" s="112">
        <v>1.0925160346615317</v>
      </c>
      <c r="BL11" s="112">
        <v>1.13310068456</v>
      </c>
      <c r="BM11" s="112">
        <v>0.6674385464909155</v>
      </c>
      <c r="BN11" s="112">
        <v>1.13310068456</v>
      </c>
      <c r="BO11" s="112">
        <v>1.13310068456</v>
      </c>
      <c r="BP11" s="112">
        <v>1.13310068456</v>
      </c>
      <c r="BQ11" s="112">
        <v>1.1331006845600002</v>
      </c>
      <c r="BR11" s="112">
        <v>1.1331006845600002</v>
      </c>
      <c r="BS11" s="112">
        <v>1.1331006845600002</v>
      </c>
      <c r="BT11" s="112">
        <v>1.1331006845600002</v>
      </c>
      <c r="BU11" s="112">
        <v>1.1331006845600002</v>
      </c>
      <c r="BV11" s="112">
        <v>1.1261378309999999</v>
      </c>
      <c r="BW11" s="112">
        <v>1.1297939704999997</v>
      </c>
      <c r="BX11" s="112">
        <v>1.126645875669154</v>
      </c>
      <c r="BY11" s="112">
        <v>1.1297939704999997</v>
      </c>
      <c r="BZ11" s="112">
        <v>1.126645875669154</v>
      </c>
      <c r="CA11" s="112">
        <v>1.1297939704999997</v>
      </c>
      <c r="CB11" s="112">
        <v>1.126645875669154</v>
      </c>
      <c r="CC11" s="112">
        <v>1.13310068456</v>
      </c>
      <c r="CD11" s="112">
        <v>1.13310068456</v>
      </c>
      <c r="CE11" s="36">
        <v>1989</v>
      </c>
    </row>
    <row r="12" spans="1:83" s="112" customFormat="1">
      <c r="A12">
        <v>1975</v>
      </c>
      <c r="B12" s="84">
        <v>1.3747536806369522</v>
      </c>
      <c r="C12" s="84">
        <v>1.5772524666343444</v>
      </c>
      <c r="D12" s="84">
        <v>1.5088657556808425</v>
      </c>
      <c r="E12" s="84">
        <v>1.3013052354164572</v>
      </c>
      <c r="F12" s="84">
        <v>1.3013052354164572</v>
      </c>
      <c r="G12" s="84">
        <v>1.3013052354164572</v>
      </c>
      <c r="H12" s="84">
        <v>1.685582579447986</v>
      </c>
      <c r="I12" s="84">
        <v>1.4369568540490798</v>
      </c>
      <c r="J12" s="84">
        <v>1.618205959541916</v>
      </c>
      <c r="K12" s="84">
        <v>1.4369568540490798</v>
      </c>
      <c r="L12" s="84">
        <v>1.3035747798352935</v>
      </c>
      <c r="M12" s="84">
        <v>1.3567121814157903</v>
      </c>
      <c r="N12" s="84">
        <v>1.3013052354164572</v>
      </c>
      <c r="O12" s="84">
        <v>1.3567121814157903</v>
      </c>
      <c r="P12" s="84">
        <v>1.5088657556808425</v>
      </c>
      <c r="Q12" s="84">
        <v>1.3013052354164572</v>
      </c>
      <c r="R12" s="84">
        <v>1.3567121814157903</v>
      </c>
      <c r="S12" s="84">
        <v>1.3567121814157903</v>
      </c>
      <c r="T12" s="84">
        <v>1.3035747798352935</v>
      </c>
      <c r="U12" s="84">
        <v>1.5772524666343444</v>
      </c>
      <c r="V12" s="84">
        <v>1.685582579447986</v>
      </c>
      <c r="W12" s="84">
        <v>1.5088657556808425</v>
      </c>
      <c r="X12" s="84">
        <v>1.5088657556808425</v>
      </c>
      <c r="Y12" s="84">
        <v>1.3567121814157903</v>
      </c>
      <c r="Z12" s="84">
        <v>1.3567121814157903</v>
      </c>
      <c r="AA12" s="84">
        <v>1.4777925574833299</v>
      </c>
      <c r="AB12" s="84">
        <v>1.3777913735087182</v>
      </c>
      <c r="AC12" s="84">
        <v>1.5772524666343444</v>
      </c>
      <c r="AD12" s="84">
        <v>1.5088657556808425</v>
      </c>
      <c r="AE12" s="84">
        <v>1.3567121814157903</v>
      </c>
      <c r="AF12" s="84">
        <v>1.3567121814157903</v>
      </c>
      <c r="AG12" s="84">
        <v>1.3035747798352935</v>
      </c>
      <c r="AH12" s="84">
        <v>1.5772524666343444</v>
      </c>
      <c r="AI12" s="84">
        <v>1.3567121814157903</v>
      </c>
      <c r="AJ12" s="84">
        <v>1.3567121814157903</v>
      </c>
      <c r="AK12" s="84">
        <v>1.3035747798352935</v>
      </c>
      <c r="AL12" s="84">
        <v>1.3567121814157903</v>
      </c>
      <c r="AM12" s="84">
        <v>1.5772524666343444</v>
      </c>
      <c r="AN12" s="84">
        <v>1.5088657556808425</v>
      </c>
      <c r="AO12" s="84">
        <v>1.3013052354164572</v>
      </c>
      <c r="AP12" s="84">
        <v>1.3013052354164572</v>
      </c>
      <c r="AQ12" s="84">
        <v>1.3013052354164572</v>
      </c>
      <c r="AR12" s="195">
        <v>1.3864237369183305</v>
      </c>
      <c r="AS12" s="84">
        <v>1.4760769315865361</v>
      </c>
      <c r="AT12" s="196">
        <v>1.4967597633688947</v>
      </c>
      <c r="AU12" s="84">
        <v>1.5591612274077336</v>
      </c>
      <c r="AV12" s="84">
        <v>1.568004124488517</v>
      </c>
      <c r="AW12" s="84">
        <v>1.4822254581461678</v>
      </c>
      <c r="AX12" s="84">
        <v>1.5061062699535193</v>
      </c>
      <c r="AY12" s="84">
        <v>1.3567121814157903</v>
      </c>
      <c r="AZ12" s="84">
        <v>1.5702039692982319</v>
      </c>
      <c r="BA12" s="84">
        <v>1.5962817912196101</v>
      </c>
      <c r="BB12" s="84">
        <v>1.5480442844017774</v>
      </c>
      <c r="BC12" s="84">
        <v>1.5003095741063188</v>
      </c>
      <c r="BD12" s="84">
        <v>1.5035506632314479</v>
      </c>
      <c r="BE12" s="197">
        <v>1.1795578126269601</v>
      </c>
      <c r="BF12" s="197">
        <v>1.1795578126269601</v>
      </c>
      <c r="BG12" s="197">
        <v>1.1795578126269601</v>
      </c>
      <c r="BH12" s="112">
        <v>1.1795578126269599</v>
      </c>
      <c r="BI12" s="112">
        <v>1.1795578126269601</v>
      </c>
      <c r="BJ12" s="112">
        <v>1.1795578126269601</v>
      </c>
      <c r="BK12" s="112">
        <v>1.1332122569526737</v>
      </c>
      <c r="BL12" s="112">
        <v>1.1795578126269599</v>
      </c>
      <c r="BM12" s="112">
        <v>0.59547559672247952</v>
      </c>
      <c r="BN12" s="112">
        <v>1.1795578126269599</v>
      </c>
      <c r="BO12" s="112">
        <v>1.1795578126269599</v>
      </c>
      <c r="BP12" s="112">
        <v>1.1795578126269599</v>
      </c>
      <c r="BQ12" s="112">
        <v>1.1795578126269601</v>
      </c>
      <c r="BR12" s="112">
        <v>1.1795578126269601</v>
      </c>
      <c r="BS12" s="112">
        <v>1.1795578126269601</v>
      </c>
      <c r="BT12" s="112">
        <v>1.1795578126269601</v>
      </c>
      <c r="BU12" s="112">
        <v>1.1795578126269601</v>
      </c>
      <c r="BV12" s="112">
        <v>1.1680864652047498</v>
      </c>
      <c r="BW12" s="112">
        <v>1.1761155232904996</v>
      </c>
      <c r="BX12" s="112">
        <v>1.169202155718964</v>
      </c>
      <c r="BY12" s="112">
        <v>1.1761155232904996</v>
      </c>
      <c r="BZ12" s="112">
        <v>1.169202155718964</v>
      </c>
      <c r="CA12" s="112">
        <v>1.1761155232904996</v>
      </c>
      <c r="CB12" s="112">
        <v>1.169202155718964</v>
      </c>
      <c r="CC12" s="112">
        <v>1.1795578126269599</v>
      </c>
      <c r="CD12" s="112">
        <v>1.1795578126269599</v>
      </c>
      <c r="CE12" s="37">
        <v>1990</v>
      </c>
    </row>
    <row r="13" spans="1:83" s="112" customFormat="1">
      <c r="A13">
        <v>1976</v>
      </c>
      <c r="B13" s="84">
        <v>1.4656248989270548</v>
      </c>
      <c r="C13" s="84">
        <v>1.6248854911267017</v>
      </c>
      <c r="D13" s="84">
        <v>1.6108650807648677</v>
      </c>
      <c r="E13" s="84">
        <v>1.3870612504304018</v>
      </c>
      <c r="F13" s="84">
        <v>1.3870612504304018</v>
      </c>
      <c r="G13" s="84">
        <v>1.3870612504304018</v>
      </c>
      <c r="H13" s="84">
        <v>1.9503876026792646</v>
      </c>
      <c r="I13" s="84">
        <v>1.6022068922647239</v>
      </c>
      <c r="J13" s="84">
        <v>1.7007344634785537</v>
      </c>
      <c r="K13" s="84">
        <v>1.6022068922647239</v>
      </c>
      <c r="L13" s="84">
        <v>1.3785303296758229</v>
      </c>
      <c r="M13" s="84">
        <v>1.450868006806046</v>
      </c>
      <c r="N13" s="84">
        <v>1.3870612504304018</v>
      </c>
      <c r="O13" s="84">
        <v>1.450868006806046</v>
      </c>
      <c r="P13" s="84">
        <v>1.6108650807648677</v>
      </c>
      <c r="Q13" s="84">
        <v>1.3870612504304018</v>
      </c>
      <c r="R13" s="84">
        <v>1.450868006806046</v>
      </c>
      <c r="S13" s="84">
        <v>1.450868006806046</v>
      </c>
      <c r="T13" s="84">
        <v>1.3785303296758229</v>
      </c>
      <c r="U13" s="84">
        <v>1.6248854911267017</v>
      </c>
      <c r="V13" s="84">
        <v>1.9503876026792646</v>
      </c>
      <c r="W13" s="84">
        <v>1.6108650807648677</v>
      </c>
      <c r="X13" s="84">
        <v>1.6108650807648677</v>
      </c>
      <c r="Y13" s="84">
        <v>1.450868006806046</v>
      </c>
      <c r="Z13" s="84">
        <v>1.450868006806046</v>
      </c>
      <c r="AA13" s="84">
        <v>1.5997104434757048</v>
      </c>
      <c r="AB13" s="84">
        <v>1.4808810033649433</v>
      </c>
      <c r="AC13" s="84">
        <v>1.6248854911267017</v>
      </c>
      <c r="AD13" s="84">
        <v>1.6108650807648677</v>
      </c>
      <c r="AE13" s="84">
        <v>1.450868006806046</v>
      </c>
      <c r="AF13" s="84">
        <v>1.450868006806046</v>
      </c>
      <c r="AG13" s="84">
        <v>1.3785303296758229</v>
      </c>
      <c r="AH13" s="84">
        <v>1.6248854911267017</v>
      </c>
      <c r="AI13" s="84">
        <v>1.450868006806046</v>
      </c>
      <c r="AJ13" s="84">
        <v>1.450868006806046</v>
      </c>
      <c r="AK13" s="84">
        <v>1.3785303296758229</v>
      </c>
      <c r="AL13" s="84">
        <v>1.450868006806046</v>
      </c>
      <c r="AM13" s="84">
        <v>1.6248854911267017</v>
      </c>
      <c r="AN13" s="84">
        <v>1.6108650807648677</v>
      </c>
      <c r="AO13" s="84">
        <v>1.3870612504304018</v>
      </c>
      <c r="AP13" s="84">
        <v>1.3870612504304018</v>
      </c>
      <c r="AQ13" s="84">
        <v>1.3870612504304018</v>
      </c>
      <c r="AR13" s="195">
        <v>1.4806697724218174</v>
      </c>
      <c r="AS13" s="84">
        <v>1.5867409370516687</v>
      </c>
      <c r="AT13" s="196">
        <v>1.609020218104213</v>
      </c>
      <c r="AU13" s="84">
        <v>1.6404915206388191</v>
      </c>
      <c r="AV13" s="84">
        <v>1.6495202101013138</v>
      </c>
      <c r="AW13" s="84">
        <v>1.5862890368235589</v>
      </c>
      <c r="AX13" s="84">
        <v>1.6110607914815001</v>
      </c>
      <c r="AY13" s="84">
        <v>1.450868006806046</v>
      </c>
      <c r="AZ13" s="84">
        <v>1.6235232377385163</v>
      </c>
      <c r="BA13" s="84">
        <v>1.6783769674602433</v>
      </c>
      <c r="BB13" s="84">
        <v>1.6291378102180225</v>
      </c>
      <c r="BC13" s="84">
        <v>1.6077248603065308</v>
      </c>
      <c r="BD13" s="84">
        <v>1.6074507250081123</v>
      </c>
      <c r="BE13" s="197">
        <v>1.2302787985699193</v>
      </c>
      <c r="BF13" s="197">
        <v>1.2302787985699193</v>
      </c>
      <c r="BG13" s="197">
        <v>1.2302787985699193</v>
      </c>
      <c r="BH13" s="112">
        <v>1.2302787985699193</v>
      </c>
      <c r="BI13" s="112">
        <v>1.2302787985699193</v>
      </c>
      <c r="BJ13" s="112">
        <v>1.2302787985699193</v>
      </c>
      <c r="BK13" s="112">
        <v>1.1782574441665425</v>
      </c>
      <c r="BL13" s="112">
        <v>1.2302787985699193</v>
      </c>
      <c r="BM13" s="112">
        <v>1.1148022800142501</v>
      </c>
      <c r="BN13" s="112">
        <v>1.2302787985699193</v>
      </c>
      <c r="BO13" s="112">
        <v>1.2302787985699193</v>
      </c>
      <c r="BP13" s="112">
        <v>1.2302787985699193</v>
      </c>
      <c r="BQ13" s="112">
        <v>1.2302787985699193</v>
      </c>
      <c r="BR13" s="112">
        <v>1.2302787985699193</v>
      </c>
      <c r="BS13" s="112">
        <v>1.2302787985699193</v>
      </c>
      <c r="BT13" s="112">
        <v>1.2302787985699193</v>
      </c>
      <c r="BU13" s="112">
        <v>1.2302787985699193</v>
      </c>
      <c r="BV13" s="112">
        <v>1.2145179021966386</v>
      </c>
      <c r="BW13" s="112">
        <v>1.226688490791991</v>
      </c>
      <c r="BX13" s="112">
        <v>1.2162090856584122</v>
      </c>
      <c r="BY13" s="112">
        <v>1.226688490791991</v>
      </c>
      <c r="BZ13" s="112">
        <v>1.2162090856584122</v>
      </c>
      <c r="CA13" s="112">
        <v>1.226688490791991</v>
      </c>
      <c r="CB13" s="112">
        <v>1.2162090856584122</v>
      </c>
      <c r="CC13" s="112">
        <v>1.2302787985699193</v>
      </c>
      <c r="CD13" s="112">
        <v>1.2302787985699193</v>
      </c>
      <c r="CE13" s="37">
        <v>1991</v>
      </c>
    </row>
    <row r="14" spans="1:83" s="112" customFormat="1">
      <c r="A14" s="194" t="s">
        <v>1</v>
      </c>
      <c r="B14" s="84">
        <v>1.5078348960161538</v>
      </c>
      <c r="C14" s="84">
        <v>1.6502337047882782</v>
      </c>
      <c r="D14" s="84">
        <v>1.6574190815989722</v>
      </c>
      <c r="E14" s="84">
        <v>1.4364406309457243</v>
      </c>
      <c r="F14" s="84">
        <v>1.4364406309457243</v>
      </c>
      <c r="G14" s="84">
        <v>1.4364406309457243</v>
      </c>
      <c r="H14" s="84">
        <v>1.9915407810957968</v>
      </c>
      <c r="I14" s="84">
        <v>1.6342510301100184</v>
      </c>
      <c r="J14" s="84">
        <v>1.7218235708256877</v>
      </c>
      <c r="K14" s="84">
        <v>1.6342510301100184</v>
      </c>
      <c r="L14" s="84">
        <v>1.4542116447750255</v>
      </c>
      <c r="M14" s="84">
        <v>1.4943940470102275</v>
      </c>
      <c r="N14" s="84">
        <v>1.4364406309457243</v>
      </c>
      <c r="O14" s="84">
        <v>1.4943940470102275</v>
      </c>
      <c r="P14" s="84">
        <v>1.6574190815989722</v>
      </c>
      <c r="Q14" s="84">
        <v>1.4364406309457243</v>
      </c>
      <c r="R14" s="84">
        <v>1.4943940470102275</v>
      </c>
      <c r="S14" s="84">
        <v>1.4943940470102275</v>
      </c>
      <c r="T14" s="84">
        <v>1.4542116447750255</v>
      </c>
      <c r="U14" s="84">
        <v>1.6502337047882782</v>
      </c>
      <c r="V14" s="84">
        <v>1.9915407810957968</v>
      </c>
      <c r="W14" s="84">
        <v>1.6574190815989722</v>
      </c>
      <c r="X14" s="84">
        <v>1.6574190815989722</v>
      </c>
      <c r="Y14" s="84">
        <v>1.4943940470102275</v>
      </c>
      <c r="Z14" s="84">
        <v>1.4943940470102275</v>
      </c>
      <c r="AA14" s="84">
        <v>1.6467419305138906</v>
      </c>
      <c r="AB14" s="84">
        <v>1.4808810033649433</v>
      </c>
      <c r="AC14" s="84">
        <v>1.6502337047882782</v>
      </c>
      <c r="AD14" s="84">
        <v>1.6574190815989722</v>
      </c>
      <c r="AE14" s="84">
        <v>1.4943940470102275</v>
      </c>
      <c r="AF14" s="84">
        <v>1.4943940470102275</v>
      </c>
      <c r="AG14" s="84">
        <v>1.4542116447750255</v>
      </c>
      <c r="AH14" s="84">
        <v>1.6502337047882782</v>
      </c>
      <c r="AI14" s="84">
        <v>1.4943940470102275</v>
      </c>
      <c r="AJ14" s="84">
        <v>1.4943940470102275</v>
      </c>
      <c r="AK14" s="84">
        <v>1.4542116447750255</v>
      </c>
      <c r="AL14" s="84">
        <v>1.4943940470102275</v>
      </c>
      <c r="AM14" s="84">
        <v>1.6502337047882782</v>
      </c>
      <c r="AN14" s="84">
        <v>1.6574190815989722</v>
      </c>
      <c r="AO14" s="84">
        <v>1.4364406309457243</v>
      </c>
      <c r="AP14" s="84">
        <v>1.4364406309457243</v>
      </c>
      <c r="AQ14" s="84">
        <v>1.4364406309457243</v>
      </c>
      <c r="AR14" s="195">
        <v>1.5234147838809313</v>
      </c>
      <c r="AS14" s="84">
        <v>1.625106111472266</v>
      </c>
      <c r="AT14" s="196">
        <v>1.6559205830296018</v>
      </c>
      <c r="AU14" s="84">
        <v>1.6733066826490377</v>
      </c>
      <c r="AV14" s="84">
        <v>1.6806211312532751</v>
      </c>
      <c r="AW14" s="84">
        <v>1.6235570847872745</v>
      </c>
      <c r="AX14" s="84">
        <v>1.6577332226107191</v>
      </c>
      <c r="AY14" s="84">
        <v>1.4943940470102275</v>
      </c>
      <c r="AZ14" s="84">
        <v>1.6504596085030714</v>
      </c>
      <c r="BA14" s="84">
        <v>1.7038966892504761</v>
      </c>
      <c r="BB14" s="84">
        <v>1.6640868890917249</v>
      </c>
      <c r="BC14" s="84">
        <v>1.6533260466992932</v>
      </c>
      <c r="BD14" s="84">
        <v>1.6527035813714972</v>
      </c>
      <c r="BE14" s="197">
        <v>1.2671871625270168</v>
      </c>
      <c r="BF14" s="197">
        <v>1.2671871625270168</v>
      </c>
      <c r="BG14" s="197">
        <v>1.2671871625270168</v>
      </c>
      <c r="BH14" s="112">
        <v>1.2671871625270168</v>
      </c>
      <c r="BI14" s="112">
        <v>1.2671871625270168</v>
      </c>
      <c r="BJ14" s="112">
        <v>1.267187162527017</v>
      </c>
      <c r="BK14" s="112">
        <v>1.2274496924604956</v>
      </c>
      <c r="BL14" s="112">
        <v>1.267187162527017</v>
      </c>
      <c r="BM14" s="112">
        <v>0.74358745992162434</v>
      </c>
      <c r="BN14" s="112">
        <v>1.267187162527017</v>
      </c>
      <c r="BO14" s="112">
        <v>1.267187162527017</v>
      </c>
      <c r="BP14" s="112">
        <v>1.267187162527017</v>
      </c>
      <c r="BQ14" s="112">
        <v>1.2671871625270168</v>
      </c>
      <c r="BR14" s="112">
        <v>1.2671871625270168</v>
      </c>
      <c r="BS14" s="112">
        <v>1.2671871625270168</v>
      </c>
      <c r="BT14" s="112">
        <v>1.2671871625270168</v>
      </c>
      <c r="BU14" s="112">
        <v>1.2671871625270168</v>
      </c>
      <c r="BV14" s="112">
        <v>1.2652240246133479</v>
      </c>
      <c r="BW14" s="112">
        <v>1.2634891455157509</v>
      </c>
      <c r="BX14" s="112">
        <v>1.2649829517338362</v>
      </c>
      <c r="BY14" s="112">
        <v>1.2634891455157509</v>
      </c>
      <c r="BZ14" s="112">
        <v>1.2649829517338362</v>
      </c>
      <c r="CA14" s="112">
        <v>1.2634891455157509</v>
      </c>
      <c r="CB14" s="112">
        <v>1.2649829517338362</v>
      </c>
      <c r="CC14" s="112">
        <v>1.267187162527017</v>
      </c>
      <c r="CD14" s="112">
        <v>1.267187162527017</v>
      </c>
      <c r="CE14" s="37">
        <v>1992</v>
      </c>
    </row>
    <row r="15" spans="1:83" s="112" customFormat="1">
      <c r="A15">
        <v>1977</v>
      </c>
      <c r="B15" s="84">
        <v>1.5467370363333706</v>
      </c>
      <c r="C15" s="84">
        <v>1.69644024852235</v>
      </c>
      <c r="D15" s="84">
        <v>1.7354835203422836</v>
      </c>
      <c r="E15" s="84">
        <v>1.4907380867954727</v>
      </c>
      <c r="F15" s="84">
        <v>1.4907380867954727</v>
      </c>
      <c r="G15" s="84">
        <v>1.4907380867954727</v>
      </c>
      <c r="H15" s="84">
        <v>2.1084442249461199</v>
      </c>
      <c r="I15" s="84">
        <v>1.7355745939768397</v>
      </c>
      <c r="J15" s="84">
        <v>1.7975838079420181</v>
      </c>
      <c r="K15" s="84">
        <v>1.7355745939768397</v>
      </c>
      <c r="L15" s="84">
        <v>1.4505761156630881</v>
      </c>
      <c r="M15" s="84">
        <v>1.5553653241282448</v>
      </c>
      <c r="N15" s="84">
        <v>1.4907380867954727</v>
      </c>
      <c r="O15" s="84">
        <v>1.5553653241282448</v>
      </c>
      <c r="P15" s="84">
        <v>1.7354835203422836</v>
      </c>
      <c r="Q15" s="84">
        <v>1.4907380867954727</v>
      </c>
      <c r="R15" s="84">
        <v>1.5553653241282448</v>
      </c>
      <c r="S15" s="84">
        <v>1.5553653241282448</v>
      </c>
      <c r="T15" s="84">
        <v>1.4505761156630881</v>
      </c>
      <c r="U15" s="84">
        <v>1.69644024852235</v>
      </c>
      <c r="V15" s="84">
        <v>2.1084442249461199</v>
      </c>
      <c r="W15" s="84">
        <v>1.7354835203422836</v>
      </c>
      <c r="X15" s="84">
        <v>1.7354835203422836</v>
      </c>
      <c r="Y15" s="84">
        <v>1.5553653241282448</v>
      </c>
      <c r="Z15" s="84">
        <v>1.5553653241282448</v>
      </c>
      <c r="AA15" s="84">
        <v>1.742088288290645</v>
      </c>
      <c r="AB15" s="84">
        <v>1.6023248699908228</v>
      </c>
      <c r="AC15" s="84">
        <v>1.69644024852235</v>
      </c>
      <c r="AD15" s="84">
        <v>1.7354835203422836</v>
      </c>
      <c r="AE15" s="84">
        <v>1.5553653241282448</v>
      </c>
      <c r="AF15" s="84">
        <v>1.5553653241282448</v>
      </c>
      <c r="AG15" s="84">
        <v>1.4505761156630881</v>
      </c>
      <c r="AH15" s="84">
        <v>1.69644024852235</v>
      </c>
      <c r="AI15" s="84">
        <v>1.5553653241282448</v>
      </c>
      <c r="AJ15" s="84">
        <v>1.5553653241282448</v>
      </c>
      <c r="AK15" s="84">
        <v>1.4505761156630881</v>
      </c>
      <c r="AL15" s="84">
        <v>1.5553653241282448</v>
      </c>
      <c r="AM15" s="84">
        <v>1.69644024852235</v>
      </c>
      <c r="AN15" s="84">
        <v>1.7354835203422836</v>
      </c>
      <c r="AO15" s="84">
        <v>1.4907380867954727</v>
      </c>
      <c r="AP15" s="84">
        <v>1.4907380867954727</v>
      </c>
      <c r="AQ15" s="84">
        <v>1.4907380867954727</v>
      </c>
      <c r="AR15" s="195">
        <v>1.5683181201724745</v>
      </c>
      <c r="AS15" s="84">
        <v>1.7185537242285875</v>
      </c>
      <c r="AT15" s="196">
        <v>1.7427991850233062</v>
      </c>
      <c r="AU15" s="84">
        <v>1.7330121893886405</v>
      </c>
      <c r="AV15" s="84">
        <v>1.7426998970473295</v>
      </c>
      <c r="AW15" s="84">
        <v>1.7121769400936959</v>
      </c>
      <c r="AX15" s="84">
        <v>1.7383189500282716</v>
      </c>
      <c r="AY15" s="84">
        <v>1.5553653241282448</v>
      </c>
      <c r="AZ15" s="84">
        <v>1.7002173834958247</v>
      </c>
      <c r="BA15" s="84">
        <v>1.7736388846381874</v>
      </c>
      <c r="BB15" s="84">
        <v>1.7208247636187519</v>
      </c>
      <c r="BC15" s="84">
        <v>1.73711409858522</v>
      </c>
      <c r="BD15" s="84">
        <v>1.7336902796477889</v>
      </c>
      <c r="BE15" s="197">
        <v>1.2975996544276651</v>
      </c>
      <c r="BF15" s="197">
        <v>1.2975996544276653</v>
      </c>
      <c r="BG15" s="197">
        <v>1.2975996544276653</v>
      </c>
      <c r="BH15" s="112">
        <v>1.2975996544276651</v>
      </c>
      <c r="BI15" s="112">
        <v>1.2975996544276653</v>
      </c>
      <c r="BJ15" s="112">
        <v>1.2975996544276653</v>
      </c>
      <c r="BK15" s="112">
        <v>1.2743996431971094</v>
      </c>
      <c r="BL15" s="112">
        <v>1.2975996544276653</v>
      </c>
      <c r="BM15" s="112">
        <v>0.75391877449234035</v>
      </c>
      <c r="BN15" s="112">
        <v>1.2975996544276653</v>
      </c>
      <c r="BO15" s="112">
        <v>1.2975996544276653</v>
      </c>
      <c r="BP15" s="112">
        <v>1.2975996544276653</v>
      </c>
      <c r="BQ15" s="112">
        <v>1.2975996544276651</v>
      </c>
      <c r="BR15" s="112">
        <v>1.2975996544276651</v>
      </c>
      <c r="BS15" s="112">
        <v>1.2975996544276651</v>
      </c>
      <c r="BT15" s="112">
        <v>1.2975996544276651</v>
      </c>
      <c r="BU15" s="112">
        <v>1.2975996544276651</v>
      </c>
      <c r="BV15" s="112">
        <v>1.3136188435548084</v>
      </c>
      <c r="BW15" s="112">
        <v>1.293812885008129</v>
      </c>
      <c r="BX15" s="112">
        <v>1.310866675138606</v>
      </c>
      <c r="BY15" s="112">
        <v>1.293812885008129</v>
      </c>
      <c r="BZ15" s="112">
        <v>1.310866675138606</v>
      </c>
      <c r="CA15" s="112">
        <v>1.293812885008129</v>
      </c>
      <c r="CB15" s="112">
        <v>1.310866675138606</v>
      </c>
      <c r="CC15" s="112">
        <v>1.2975996544276653</v>
      </c>
      <c r="CD15" s="112">
        <v>1.2975996544276653</v>
      </c>
      <c r="CE15" s="37">
        <v>1993</v>
      </c>
    </row>
    <row r="16" spans="1:83" s="112" customFormat="1">
      <c r="A16">
        <v>1978</v>
      </c>
      <c r="B16" s="84">
        <v>1.6519151548040398</v>
      </c>
      <c r="C16" s="84">
        <v>1.8267268596088664</v>
      </c>
      <c r="D16" s="84">
        <v>1.8588763986386199</v>
      </c>
      <c r="E16" s="84">
        <v>1.5921082766975649</v>
      </c>
      <c r="F16" s="84">
        <v>1.5921082766975649</v>
      </c>
      <c r="G16" s="84">
        <v>1.5921082766975649</v>
      </c>
      <c r="H16" s="84">
        <v>2.2855535398415943</v>
      </c>
      <c r="I16" s="84">
        <v>1.8778917106829407</v>
      </c>
      <c r="J16" s="84">
        <v>1.923055157736371</v>
      </c>
      <c r="K16" s="84">
        <v>1.8778917106829407</v>
      </c>
      <c r="L16" s="84">
        <v>1.5325336661980526</v>
      </c>
      <c r="M16" s="84">
        <v>1.6601969469744884</v>
      </c>
      <c r="N16" s="84">
        <v>1.5921082766975649</v>
      </c>
      <c r="O16" s="84">
        <v>1.6601969469744884</v>
      </c>
      <c r="P16" s="84">
        <v>1.8588763986386199</v>
      </c>
      <c r="Q16" s="84">
        <v>1.5921082766975649</v>
      </c>
      <c r="R16" s="84">
        <v>1.6601969469744884</v>
      </c>
      <c r="S16" s="84">
        <v>1.6601969469744884</v>
      </c>
      <c r="T16" s="84">
        <v>1.5325336661980526</v>
      </c>
      <c r="U16" s="84">
        <v>1.8267268596088664</v>
      </c>
      <c r="V16" s="84">
        <v>2.2855535398415943</v>
      </c>
      <c r="W16" s="84">
        <v>1.8588763986386199</v>
      </c>
      <c r="X16" s="84">
        <v>1.8588763986386199</v>
      </c>
      <c r="Y16" s="84">
        <v>1.6601969469744884</v>
      </c>
      <c r="Z16" s="84">
        <v>1.6601969469744884</v>
      </c>
      <c r="AA16" s="84">
        <v>1.8769259218043408</v>
      </c>
      <c r="AB16" s="84">
        <v>1.7161211379626795</v>
      </c>
      <c r="AC16" s="84">
        <v>1.8267268596088664</v>
      </c>
      <c r="AD16" s="84">
        <v>1.8588763986386199</v>
      </c>
      <c r="AE16" s="84">
        <v>1.6601969469744884</v>
      </c>
      <c r="AF16" s="84">
        <v>1.6601969469744886</v>
      </c>
      <c r="AG16" s="84">
        <v>1.5325336661980526</v>
      </c>
      <c r="AH16" s="84">
        <v>1.8267268596088664</v>
      </c>
      <c r="AI16" s="84">
        <v>1.6601969469744886</v>
      </c>
      <c r="AJ16" s="84">
        <v>1.6601969469744884</v>
      </c>
      <c r="AK16" s="84">
        <v>1.5325336661980526</v>
      </c>
      <c r="AL16" s="84">
        <v>1.6601969469744884</v>
      </c>
      <c r="AM16" s="84">
        <v>1.8267268596088664</v>
      </c>
      <c r="AN16" s="84">
        <v>1.8588763986386199</v>
      </c>
      <c r="AO16" s="84">
        <v>1.5921082766975649</v>
      </c>
      <c r="AP16" s="84">
        <v>1.5921082766975649</v>
      </c>
      <c r="AQ16" s="84">
        <v>1.5921082766975649</v>
      </c>
      <c r="AR16" s="195">
        <v>1.6766517331369446</v>
      </c>
      <c r="AS16" s="84">
        <v>1.8451810592896589</v>
      </c>
      <c r="AT16" s="196">
        <v>1.8721668896797168</v>
      </c>
      <c r="AU16" s="84">
        <v>1.8498529629949019</v>
      </c>
      <c r="AV16" s="84">
        <v>1.8608202932415097</v>
      </c>
      <c r="AW16" s="84">
        <v>1.8347888767581435</v>
      </c>
      <c r="AX16" s="84">
        <v>1.8634466246892067</v>
      </c>
      <c r="AY16" s="84">
        <v>1.6601969469744884</v>
      </c>
      <c r="AZ16" s="84">
        <v>1.8308673583578408</v>
      </c>
      <c r="BA16" s="84">
        <v>1.8958819785729977</v>
      </c>
      <c r="BB16" s="84">
        <v>1.8360634076464852</v>
      </c>
      <c r="BC16" s="84">
        <v>1.8634322550893967</v>
      </c>
      <c r="BD16" s="84">
        <v>1.857908622242908</v>
      </c>
      <c r="BE16" s="197">
        <v>1.3235516475162186</v>
      </c>
      <c r="BF16" s="197">
        <v>1.3235516475162188</v>
      </c>
      <c r="BG16" s="197">
        <v>1.3235516475162188</v>
      </c>
      <c r="BH16" s="112">
        <v>1.3235516475162183</v>
      </c>
      <c r="BI16" s="112">
        <v>1.3235516475162188</v>
      </c>
      <c r="BJ16" s="112">
        <v>1.3235516475162186</v>
      </c>
      <c r="BK16" s="112">
        <v>1.3205966302630046</v>
      </c>
      <c r="BL16" s="112">
        <v>1.3235516475162186</v>
      </c>
      <c r="BM16" s="112">
        <v>0.86026006412540057</v>
      </c>
      <c r="BN16" s="112">
        <v>1.3235516475162186</v>
      </c>
      <c r="BO16" s="112">
        <v>1.3235516475162186</v>
      </c>
      <c r="BP16" s="112">
        <v>1.3235516475162186</v>
      </c>
      <c r="BQ16" s="112">
        <v>1.3235516475162186</v>
      </c>
      <c r="BR16" s="112">
        <v>1.3235516475162186</v>
      </c>
      <c r="BS16" s="112">
        <v>1.3235516475162186</v>
      </c>
      <c r="BT16" s="112">
        <v>1.3235516475162186</v>
      </c>
      <c r="BU16" s="112">
        <v>1.3235516475162186</v>
      </c>
      <c r="BV16" s="112">
        <v>1.3474445287763446</v>
      </c>
      <c r="BW16" s="112">
        <v>1.3196891427082915</v>
      </c>
      <c r="BX16" s="112">
        <v>1.3435877350374319</v>
      </c>
      <c r="BY16" s="112">
        <v>1.3196891427082915</v>
      </c>
      <c r="BZ16" s="112">
        <v>1.3435877350374319</v>
      </c>
      <c r="CA16" s="112">
        <v>1.3196891427082915</v>
      </c>
      <c r="CB16" s="112">
        <v>1.3435877350374319</v>
      </c>
      <c r="CC16" s="112">
        <v>1.3235516475162186</v>
      </c>
      <c r="CD16" s="112">
        <v>1.3235516475162186</v>
      </c>
      <c r="CE16" s="36">
        <v>1994</v>
      </c>
    </row>
    <row r="17" spans="1:83" s="112" customFormat="1">
      <c r="A17">
        <v>1979</v>
      </c>
      <c r="B17" s="84">
        <v>1.7906760278075793</v>
      </c>
      <c r="C17" s="84">
        <v>1.9967951302384517</v>
      </c>
      <c r="D17" s="84">
        <v>2.0280341509147344</v>
      </c>
      <c r="E17" s="84">
        <v>1.7309401184255926</v>
      </c>
      <c r="F17" s="84">
        <v>1.7309401184255926</v>
      </c>
      <c r="G17" s="84">
        <v>1.7309401184255926</v>
      </c>
      <c r="H17" s="84">
        <v>2.5095377867460709</v>
      </c>
      <c r="I17" s="84">
        <v>2.0619250983298691</v>
      </c>
      <c r="J17" s="84">
        <v>2.0374769396216852</v>
      </c>
      <c r="K17" s="84">
        <v>2.0619250983298691</v>
      </c>
      <c r="L17" s="84">
        <v>1.6537570791943186</v>
      </c>
      <c r="M17" s="84">
        <v>1.7933447421218425</v>
      </c>
      <c r="N17" s="84">
        <v>1.7309401184255926</v>
      </c>
      <c r="O17" s="84">
        <v>1.7933447421218425</v>
      </c>
      <c r="P17" s="84">
        <v>2.0280341509147344</v>
      </c>
      <c r="Q17" s="84">
        <v>1.7309401184255926</v>
      </c>
      <c r="R17" s="84">
        <v>1.7933447421218425</v>
      </c>
      <c r="S17" s="84">
        <v>1.7933447421218425</v>
      </c>
      <c r="T17" s="84">
        <v>1.6537570791943186</v>
      </c>
      <c r="U17" s="84">
        <v>1.9967951302384517</v>
      </c>
      <c r="V17" s="84">
        <v>2.5095377867460709</v>
      </c>
      <c r="W17" s="84">
        <v>2.0280341509147344</v>
      </c>
      <c r="X17" s="84">
        <v>2.0280341509147344</v>
      </c>
      <c r="Y17" s="84">
        <v>1.7933447421218425</v>
      </c>
      <c r="Z17" s="84">
        <v>1.7933447421218425</v>
      </c>
      <c r="AA17" s="84">
        <v>1.9902922474813229</v>
      </c>
      <c r="AB17" s="84">
        <v>1.9837870908534714</v>
      </c>
      <c r="AC17" s="84">
        <v>1.9967951302384517</v>
      </c>
      <c r="AD17" s="84">
        <v>2.0280341509147344</v>
      </c>
      <c r="AE17" s="84">
        <v>1.7933447421218425</v>
      </c>
      <c r="AF17" s="84">
        <v>1.7933447421218427</v>
      </c>
      <c r="AG17" s="84">
        <v>1.6537570791943186</v>
      </c>
      <c r="AH17" s="84">
        <v>1.9967951302384517</v>
      </c>
      <c r="AI17" s="84">
        <v>1.7933447421218427</v>
      </c>
      <c r="AJ17" s="84">
        <v>1.7933447421218425</v>
      </c>
      <c r="AK17" s="84">
        <v>1.6537570791943186</v>
      </c>
      <c r="AL17" s="84">
        <v>1.7933447421218425</v>
      </c>
      <c r="AM17" s="84">
        <v>1.9967951302384517</v>
      </c>
      <c r="AN17" s="84">
        <v>2.0280341509147344</v>
      </c>
      <c r="AO17" s="84">
        <v>1.7309401184255926</v>
      </c>
      <c r="AP17" s="84">
        <v>1.7309401184255926</v>
      </c>
      <c r="AQ17" s="84">
        <v>1.7309401184255926</v>
      </c>
      <c r="AR17" s="195">
        <v>1.8129598304071652</v>
      </c>
      <c r="AS17" s="84">
        <v>2.0102645692247263</v>
      </c>
      <c r="AT17" s="196">
        <v>2.0140732458103088</v>
      </c>
      <c r="AU17" s="84">
        <v>1.9664056127166625</v>
      </c>
      <c r="AV17" s="84">
        <v>1.9770781586240571</v>
      </c>
      <c r="AW17" s="84">
        <v>2.0195311804312408</v>
      </c>
      <c r="AX17" s="84">
        <v>2.025037262195756</v>
      </c>
      <c r="AY17" s="84">
        <v>1.7933447421218425</v>
      </c>
      <c r="AZ17" s="84">
        <v>1.9970204676987755</v>
      </c>
      <c r="BA17" s="84">
        <v>2.0111394692255731</v>
      </c>
      <c r="BB17" s="84">
        <v>1.9529743779156936</v>
      </c>
      <c r="BC17" s="84">
        <v>2.0211347952250032</v>
      </c>
      <c r="BD17" s="84">
        <v>2.025305554702403</v>
      </c>
      <c r="BE17" s="197">
        <v>1.3486991288190264</v>
      </c>
      <c r="BF17" s="197">
        <v>1.3486991288190266</v>
      </c>
      <c r="BG17" s="197">
        <v>1.3486991288190266</v>
      </c>
      <c r="BH17" s="112">
        <v>1.3486991288190266</v>
      </c>
      <c r="BI17" s="112">
        <v>1.3486991288190266</v>
      </c>
      <c r="BJ17" s="112">
        <v>1.3486991288190264</v>
      </c>
      <c r="BK17" s="112">
        <v>1.3582336342255001</v>
      </c>
      <c r="BL17" s="112">
        <v>1.3486991288190266</v>
      </c>
      <c r="BM17" s="112">
        <v>0.75356252226576392</v>
      </c>
      <c r="BN17" s="112">
        <v>1.3486991288190266</v>
      </c>
      <c r="BO17" s="112">
        <v>1.3486991288190266</v>
      </c>
      <c r="BP17" s="112">
        <v>1.3486991288190266</v>
      </c>
      <c r="BQ17" s="112">
        <v>1.3486991288190264</v>
      </c>
      <c r="BR17" s="112">
        <v>1.3486991288190264</v>
      </c>
      <c r="BS17" s="112">
        <v>1.3486991288190264</v>
      </c>
      <c r="BT17" s="112">
        <v>1.3486991288190264</v>
      </c>
      <c r="BU17" s="112">
        <v>1.3486991288190264</v>
      </c>
      <c r="BV17" s="112">
        <v>1.3811306419957532</v>
      </c>
      <c r="BW17" s="112">
        <v>1.3447632364197488</v>
      </c>
      <c r="BX17" s="112">
        <v>1.3760771514126235</v>
      </c>
      <c r="BY17" s="112">
        <v>1.3447632364197488</v>
      </c>
      <c r="BZ17" s="112">
        <v>1.3760771514126235</v>
      </c>
      <c r="CA17" s="112">
        <v>1.3447632364197488</v>
      </c>
      <c r="CB17" s="112">
        <v>1.3760771514126235</v>
      </c>
      <c r="CC17" s="112">
        <v>1.3486991288190266</v>
      </c>
      <c r="CD17" s="112">
        <v>1.3486991288190266</v>
      </c>
      <c r="CE17" s="37">
        <v>1995</v>
      </c>
    </row>
    <row r="18" spans="1:83" s="112" customFormat="1">
      <c r="A18">
        <v>1980</v>
      </c>
      <c r="B18" s="84">
        <v>1.9803086191524022</v>
      </c>
      <c r="C18" s="84">
        <v>2.2082557345307041</v>
      </c>
      <c r="D18" s="84">
        <v>2.2428029674966048</v>
      </c>
      <c r="E18" s="84">
        <v>1.9351910523998126</v>
      </c>
      <c r="F18" s="84">
        <v>1.9351910523998126</v>
      </c>
      <c r="G18" s="84">
        <v>1.9144197709787056</v>
      </c>
      <c r="H18" s="84">
        <v>2.8056632455821076</v>
      </c>
      <c r="I18" s="84">
        <v>2.266055683064526</v>
      </c>
      <c r="J18" s="84">
        <v>2.1831565408046356</v>
      </c>
      <c r="K18" s="84">
        <v>2.266055683064526</v>
      </c>
      <c r="L18" s="84">
        <v>1.7759697273467789</v>
      </c>
      <c r="M18" s="84">
        <v>1.9497244036348671</v>
      </c>
      <c r="N18" s="84">
        <v>1.9144197709787056</v>
      </c>
      <c r="O18" s="84">
        <v>1.9497244036348671</v>
      </c>
      <c r="P18" s="84">
        <v>2.2428029674966048</v>
      </c>
      <c r="Q18" s="84">
        <v>1.9351910523998126</v>
      </c>
      <c r="R18" s="84">
        <v>1.9497244036348671</v>
      </c>
      <c r="S18" s="84">
        <v>1.9497244036348671</v>
      </c>
      <c r="T18" s="84">
        <v>1.7759697273467789</v>
      </c>
      <c r="U18" s="84">
        <v>2.2082557345307041</v>
      </c>
      <c r="V18" s="84">
        <v>2.8056632455821076</v>
      </c>
      <c r="W18" s="84">
        <v>2.2428029674966048</v>
      </c>
      <c r="X18" s="84">
        <v>2.2428029674966048</v>
      </c>
      <c r="Y18" s="84">
        <v>1.9497244036348671</v>
      </c>
      <c r="Z18" s="84">
        <v>1.9497244036348671</v>
      </c>
      <c r="AA18" s="84">
        <v>2.1262292079842973</v>
      </c>
      <c r="AB18" s="84">
        <v>3.6999082288161507</v>
      </c>
      <c r="AC18" s="84">
        <v>2.2082557345307041</v>
      </c>
      <c r="AD18" s="84">
        <v>2.2428029674966048</v>
      </c>
      <c r="AE18" s="84">
        <v>1.9497244036348671</v>
      </c>
      <c r="AF18" s="84">
        <v>1.9497244036348673</v>
      </c>
      <c r="AG18" s="84">
        <v>1.7759697273467789</v>
      </c>
      <c r="AH18" s="84">
        <v>2.2082557345307041</v>
      </c>
      <c r="AI18" s="84">
        <v>1.9497244036348673</v>
      </c>
      <c r="AJ18" s="84">
        <v>1.9497244036348671</v>
      </c>
      <c r="AK18" s="84">
        <v>1.7759697273467789</v>
      </c>
      <c r="AL18" s="84">
        <v>1.9497244036348671</v>
      </c>
      <c r="AM18" s="84">
        <v>2.2082557345307041</v>
      </c>
      <c r="AN18" s="84">
        <v>2.2428029674966048</v>
      </c>
      <c r="AO18" s="84">
        <v>1.9144197709787056</v>
      </c>
      <c r="AP18" s="84">
        <v>1.9144197709787056</v>
      </c>
      <c r="AQ18" s="84">
        <v>1.9144197709787056</v>
      </c>
      <c r="AR18" s="195">
        <v>1.9971471217854151</v>
      </c>
      <c r="AS18" s="84">
        <v>2.4522093308561663</v>
      </c>
      <c r="AT18" s="196">
        <v>2.1897413588133223</v>
      </c>
      <c r="AU18" s="84">
        <v>2.1078479099397796</v>
      </c>
      <c r="AV18" s="84">
        <v>2.119159873887202</v>
      </c>
      <c r="AW18" s="84">
        <v>2.5160685322987093</v>
      </c>
      <c r="AX18" s="84">
        <v>2.2288289121140878</v>
      </c>
      <c r="AY18" s="84">
        <v>1.9497244036348671</v>
      </c>
      <c r="AZ18" s="84">
        <v>2.2031110836701107</v>
      </c>
      <c r="BA18" s="84">
        <v>2.1552545057671271</v>
      </c>
      <c r="BB18" s="84">
        <v>2.093610406438656</v>
      </c>
      <c r="BC18" s="84">
        <v>2.2509333439350643</v>
      </c>
      <c r="BD18" s="84">
        <v>2.2752436260225624</v>
      </c>
      <c r="BE18" s="197">
        <v>1.375673111395407</v>
      </c>
      <c r="BF18" s="197">
        <v>1.3756731113954073</v>
      </c>
      <c r="BG18" s="197">
        <v>1.3756731113954073</v>
      </c>
      <c r="BH18" s="112">
        <v>1.3756731113954073</v>
      </c>
      <c r="BI18" s="112">
        <v>1.3756731113954073</v>
      </c>
      <c r="BJ18" s="112">
        <v>1.375673111395407</v>
      </c>
      <c r="BK18" s="112">
        <v>1.3915103582640249</v>
      </c>
      <c r="BL18" s="112">
        <v>1.3756731113954073</v>
      </c>
      <c r="BM18" s="112">
        <v>0.7957620235126468</v>
      </c>
      <c r="BN18" s="112">
        <v>1.3756731113954073</v>
      </c>
      <c r="BO18" s="112">
        <v>1.3756731113954073</v>
      </c>
      <c r="BP18" s="112">
        <v>1.3756731113954073</v>
      </c>
      <c r="BQ18" s="112">
        <v>1.375673111395407</v>
      </c>
      <c r="BR18" s="112">
        <v>1.375673111395407</v>
      </c>
      <c r="BS18" s="112">
        <v>1.375673111395407</v>
      </c>
      <c r="BT18" s="112">
        <v>1.375673111395407</v>
      </c>
      <c r="BU18" s="112">
        <v>1.375673111395407</v>
      </c>
      <c r="BV18" s="112">
        <v>1.4149683427246493</v>
      </c>
      <c r="BW18" s="112">
        <v>1.3716585011481439</v>
      </c>
      <c r="BX18" s="112">
        <v>1.4135358613911437</v>
      </c>
      <c r="BY18" s="112">
        <v>1.3716585011481439</v>
      </c>
      <c r="BZ18" s="112">
        <v>1.4135358613911437</v>
      </c>
      <c r="CA18" s="112">
        <v>1.3716585011481439</v>
      </c>
      <c r="CB18" s="112">
        <v>1.4135358613911437</v>
      </c>
      <c r="CC18" s="112">
        <v>1.3756731113954073</v>
      </c>
      <c r="CD18" s="112">
        <v>1.3756731113954073</v>
      </c>
      <c r="CE18" s="37">
        <v>1996</v>
      </c>
    </row>
    <row r="19" spans="1:83" s="112" customFormat="1">
      <c r="A19">
        <v>1981</v>
      </c>
      <c r="B19" s="84">
        <v>2.1904193636444722</v>
      </c>
      <c r="C19" s="84">
        <v>2.4425516679644121</v>
      </c>
      <c r="D19" s="84">
        <v>2.4807643623479949</v>
      </c>
      <c r="E19" s="84">
        <v>2.1596732144781909</v>
      </c>
      <c r="F19" s="84">
        <v>2.1596732144781909</v>
      </c>
      <c r="G19" s="84">
        <v>2.1173482667024488</v>
      </c>
      <c r="H19" s="84">
        <v>3.1311201820696324</v>
      </c>
      <c r="I19" s="84">
        <v>2.4835970286387208</v>
      </c>
      <c r="J19" s="84">
        <v>2.5294051681762508</v>
      </c>
      <c r="K19" s="84">
        <v>2.4835970286387208</v>
      </c>
      <c r="L19" s="84">
        <v>2.2034456407191483</v>
      </c>
      <c r="M19" s="84">
        <v>2.1402124778699934</v>
      </c>
      <c r="N19" s="84">
        <v>2.1173482667024488</v>
      </c>
      <c r="O19" s="84">
        <v>2.1402124778699934</v>
      </c>
      <c r="P19" s="84">
        <v>2.4807643623479949</v>
      </c>
      <c r="Q19" s="84">
        <v>2.1596732144781909</v>
      </c>
      <c r="R19" s="84">
        <v>2.1402124778699934</v>
      </c>
      <c r="S19" s="84">
        <v>2.1402124778699934</v>
      </c>
      <c r="T19" s="84">
        <v>2.2034456407191483</v>
      </c>
      <c r="U19" s="84">
        <v>2.4425516679644121</v>
      </c>
      <c r="V19" s="84">
        <v>3.1311201820696324</v>
      </c>
      <c r="W19" s="84">
        <v>2.4807643623479949</v>
      </c>
      <c r="X19" s="84">
        <v>2.4807643623479949</v>
      </c>
      <c r="Y19" s="84">
        <v>2.1402124778699934</v>
      </c>
      <c r="Z19" s="84">
        <v>2.1402124778699938</v>
      </c>
      <c r="AA19" s="84">
        <v>2.3112111490789311</v>
      </c>
      <c r="AB19" s="84">
        <v>4.284796573875802</v>
      </c>
      <c r="AC19" s="84">
        <v>2.4425516679644121</v>
      </c>
      <c r="AD19" s="84">
        <v>2.4807643623479949</v>
      </c>
      <c r="AE19" s="84">
        <v>2.1402124778699934</v>
      </c>
      <c r="AF19" s="84">
        <v>2.1402124778699938</v>
      </c>
      <c r="AG19" s="84">
        <v>2.2034456407191483</v>
      </c>
      <c r="AH19" s="84">
        <v>2.4425516679644121</v>
      </c>
      <c r="AI19" s="84">
        <v>2.1402124778699938</v>
      </c>
      <c r="AJ19" s="84">
        <v>2.1402124778699934</v>
      </c>
      <c r="AK19" s="84">
        <v>2.2034456407191483</v>
      </c>
      <c r="AL19" s="84">
        <v>2.1402124778699934</v>
      </c>
      <c r="AM19" s="84">
        <v>2.4425516679644121</v>
      </c>
      <c r="AN19" s="84">
        <v>2.4807643623479949</v>
      </c>
      <c r="AO19" s="84">
        <v>2.1173482667024488</v>
      </c>
      <c r="AP19" s="84">
        <v>2.1173482667024488</v>
      </c>
      <c r="AQ19" s="84">
        <v>2.1173482667024488</v>
      </c>
      <c r="AR19" s="195">
        <v>2.204676770508859</v>
      </c>
      <c r="AS19" s="84">
        <v>2.7148208316937685</v>
      </c>
      <c r="AT19" s="196">
        <v>2.4012947239985993</v>
      </c>
      <c r="AU19" s="84">
        <v>2.4731120051245719</v>
      </c>
      <c r="AV19" s="84">
        <v>2.4816816394377148</v>
      </c>
      <c r="AW19" s="84">
        <v>2.8036594630898852</v>
      </c>
      <c r="AX19" s="84">
        <v>2.4593477711783995</v>
      </c>
      <c r="AY19" s="84">
        <v>2.1402124778699934</v>
      </c>
      <c r="AZ19" s="84">
        <v>2.4338384463599101</v>
      </c>
      <c r="BA19" s="84">
        <v>2.508756332446743</v>
      </c>
      <c r="BB19" s="84">
        <v>2.4622686101603417</v>
      </c>
      <c r="BC19" s="84">
        <v>2.4813993919522219</v>
      </c>
      <c r="BD19" s="84">
        <v>2.5160807638601823</v>
      </c>
      <c r="BE19" s="197">
        <v>1.4004352274005243</v>
      </c>
      <c r="BF19" s="197">
        <v>1.4004352274005247</v>
      </c>
      <c r="BG19" s="197">
        <v>1.4004352274005247</v>
      </c>
      <c r="BH19" s="112">
        <v>1.4004352274005245</v>
      </c>
      <c r="BI19" s="112">
        <v>1.4004352274005247</v>
      </c>
      <c r="BJ19" s="112">
        <v>1.4004352274005243</v>
      </c>
      <c r="BK19" s="112">
        <v>1.4311684034745495</v>
      </c>
      <c r="BL19" s="112">
        <v>1.4004352274005245</v>
      </c>
      <c r="BM19" s="112">
        <v>0.80610692981831111</v>
      </c>
      <c r="BN19" s="112">
        <v>1.4004352274005245</v>
      </c>
      <c r="BO19" s="112">
        <v>1.4004352274005245</v>
      </c>
      <c r="BP19" s="112">
        <v>1.4004352274005245</v>
      </c>
      <c r="BQ19" s="112">
        <v>1.4004352274005243</v>
      </c>
      <c r="BR19" s="112">
        <v>1.4004352274005243</v>
      </c>
      <c r="BS19" s="112">
        <v>1.4004352274005243</v>
      </c>
      <c r="BT19" s="112">
        <v>1.4004352274005243</v>
      </c>
      <c r="BU19" s="112">
        <v>1.4004352274005243</v>
      </c>
      <c r="BV19" s="112">
        <v>1.4552949404923017</v>
      </c>
      <c r="BW19" s="112">
        <v>1.3963483541688104</v>
      </c>
      <c r="BX19" s="112">
        <v>1.453006814230605</v>
      </c>
      <c r="BY19" s="112">
        <v>1.3963483541688104</v>
      </c>
      <c r="BZ19" s="112">
        <v>1.453006814230605</v>
      </c>
      <c r="CA19" s="112">
        <v>1.3963483541688104</v>
      </c>
      <c r="CB19" s="112">
        <v>1.453006814230605</v>
      </c>
      <c r="CC19" s="112">
        <v>1.4004352274005245</v>
      </c>
      <c r="CD19" s="112">
        <v>1.4004352274005245</v>
      </c>
      <c r="CE19" s="94">
        <v>1997</v>
      </c>
    </row>
    <row r="20" spans="1:83" s="112" customFormat="1">
      <c r="A20">
        <v>1982</v>
      </c>
      <c r="B20" s="84">
        <v>2.3568912352814522</v>
      </c>
      <c r="C20" s="84">
        <v>2.6281855947297075</v>
      </c>
      <c r="D20" s="84">
        <v>2.6693024538864427</v>
      </c>
      <c r="E20" s="84">
        <v>2.4685064841485724</v>
      </c>
      <c r="F20" s="84">
        <v>2.4685064841485724</v>
      </c>
      <c r="G20" s="84">
        <v>2.2782667349718349</v>
      </c>
      <c r="H20" s="84">
        <v>3.5788703681055898</v>
      </c>
      <c r="I20" s="84">
        <v>2.6698668057866248</v>
      </c>
      <c r="J20" s="84">
        <v>2.8761866167332149</v>
      </c>
      <c r="K20" s="84">
        <v>2.6698668057866248</v>
      </c>
      <c r="L20" s="84">
        <v>2.3709075094138039</v>
      </c>
      <c r="M20" s="84">
        <v>2.2893852875775322</v>
      </c>
      <c r="N20" s="84">
        <v>2.2782667349718349</v>
      </c>
      <c r="O20" s="84">
        <v>2.2893852875775322</v>
      </c>
      <c r="P20" s="84">
        <v>2.6693024538864427</v>
      </c>
      <c r="Q20" s="84">
        <v>2.4685064841485724</v>
      </c>
      <c r="R20" s="84">
        <v>2.2893852875775322</v>
      </c>
      <c r="S20" s="84">
        <v>2.2893852875775322</v>
      </c>
      <c r="T20" s="84">
        <v>2.3709075094138039</v>
      </c>
      <c r="U20" s="84">
        <v>2.6281855947297075</v>
      </c>
      <c r="V20" s="84">
        <v>3.5788703681055898</v>
      </c>
      <c r="W20" s="84">
        <v>2.6693024538864427</v>
      </c>
      <c r="X20" s="84">
        <v>2.6693024538864427</v>
      </c>
      <c r="Y20" s="84">
        <v>2.2893852875775322</v>
      </c>
      <c r="Z20" s="84">
        <v>2.2893852875775327</v>
      </c>
      <c r="AA20" s="84">
        <v>2.4380966411633644</v>
      </c>
      <c r="AB20" s="84">
        <v>4.7678189048638719</v>
      </c>
      <c r="AC20" s="84">
        <v>2.6281855947297075</v>
      </c>
      <c r="AD20" s="84">
        <v>2.6693024538864427</v>
      </c>
      <c r="AE20" s="84">
        <v>2.2893852875775322</v>
      </c>
      <c r="AF20" s="84">
        <v>2.2893852875775327</v>
      </c>
      <c r="AG20" s="84">
        <v>2.3709075094138039</v>
      </c>
      <c r="AH20" s="84">
        <v>2.6281855947297075</v>
      </c>
      <c r="AI20" s="84">
        <v>2.2893852875775327</v>
      </c>
      <c r="AJ20" s="84">
        <v>2.2893852875775322</v>
      </c>
      <c r="AK20" s="84">
        <v>2.3709075094138039</v>
      </c>
      <c r="AL20" s="84">
        <v>2.2893852875775322</v>
      </c>
      <c r="AM20" s="84">
        <v>2.6281855947297075</v>
      </c>
      <c r="AN20" s="84">
        <v>2.6693024538864427</v>
      </c>
      <c r="AO20" s="84">
        <v>2.2782667349718349</v>
      </c>
      <c r="AP20" s="84">
        <v>2.2782667349718349</v>
      </c>
      <c r="AQ20" s="84">
        <v>2.2782667349718349</v>
      </c>
      <c r="AR20" s="195">
        <v>2.3672872693986551</v>
      </c>
      <c r="AS20" s="84">
        <v>2.910746057641461</v>
      </c>
      <c r="AT20" s="196">
        <v>2.5597514803105552</v>
      </c>
      <c r="AU20" s="84">
        <v>2.7896758073580483</v>
      </c>
      <c r="AV20" s="84">
        <v>2.7988918496845185</v>
      </c>
      <c r="AW20" s="84">
        <v>3.0312021588767162</v>
      </c>
      <c r="AX20" s="84">
        <v>2.6389932884718967</v>
      </c>
      <c r="AY20" s="84">
        <v>2.2893852875775322</v>
      </c>
      <c r="AZ20" s="84">
        <v>2.615121217748722</v>
      </c>
      <c r="BA20" s="84">
        <v>2.8425900148389669</v>
      </c>
      <c r="BB20" s="84">
        <v>2.7678009342401149</v>
      </c>
      <c r="BC20" s="84">
        <v>2.6586260855310515</v>
      </c>
      <c r="BD20" s="84">
        <v>2.7051844227475552</v>
      </c>
      <c r="BE20" s="197">
        <v>1.4102382739923278</v>
      </c>
      <c r="BF20" s="197">
        <v>1.410238273992328</v>
      </c>
      <c r="BG20" s="197">
        <v>1.410238273992328</v>
      </c>
      <c r="BH20" s="112">
        <v>1.410238273992328</v>
      </c>
      <c r="BI20" s="112">
        <v>1.410238273992328</v>
      </c>
      <c r="BJ20" s="112">
        <v>1.4102382739923278</v>
      </c>
      <c r="BK20" s="112">
        <v>1.4719567029735743</v>
      </c>
      <c r="BL20" s="112">
        <v>1.4102382739923283</v>
      </c>
      <c r="BM20" s="112">
        <v>0.9649099949925185</v>
      </c>
      <c r="BN20" s="112">
        <v>1.4102382739923283</v>
      </c>
      <c r="BO20" s="112">
        <v>1.4102382739923283</v>
      </c>
      <c r="BP20" s="112">
        <v>1.4102382739923283</v>
      </c>
      <c r="BQ20" s="112">
        <v>1.4102382739923278</v>
      </c>
      <c r="BR20" s="112">
        <v>1.4102382739923278</v>
      </c>
      <c r="BS20" s="112">
        <v>1.4102382739923278</v>
      </c>
      <c r="BT20" s="112">
        <v>1.4102382739923278</v>
      </c>
      <c r="BU20" s="112">
        <v>1.4102382739923278</v>
      </c>
      <c r="BV20" s="112">
        <v>1.4967708462963321</v>
      </c>
      <c r="BW20" s="112">
        <v>1.406122792647992</v>
      </c>
      <c r="BX20" s="112">
        <v>1.492719037193001</v>
      </c>
      <c r="BY20" s="112">
        <v>1.406122792647992</v>
      </c>
      <c r="BZ20" s="112">
        <v>1.492719037193001</v>
      </c>
      <c r="CA20" s="112">
        <v>1.406122792647992</v>
      </c>
      <c r="CB20" s="112">
        <v>1.492719037193001</v>
      </c>
      <c r="CC20" s="112">
        <v>1.4102382739923283</v>
      </c>
      <c r="CD20" s="112">
        <v>1.4102382739923283</v>
      </c>
      <c r="CE20" s="94">
        <v>1998</v>
      </c>
    </row>
    <row r="21" spans="1:83" s="112" customFormat="1">
      <c r="A21">
        <v>1983</v>
      </c>
      <c r="B21" s="84">
        <v>2.4723789058102432</v>
      </c>
      <c r="C21" s="84">
        <v>2.7569666888714628</v>
      </c>
      <c r="D21" s="84">
        <v>2.8000982741268783</v>
      </c>
      <c r="E21" s="84">
        <v>2.6906720677219442</v>
      </c>
      <c r="F21" s="84">
        <v>2.6906720677219442</v>
      </c>
      <c r="G21" s="84">
        <v>2.3899018049854548</v>
      </c>
      <c r="H21" s="84">
        <v>3.9009687012350933</v>
      </c>
      <c r="I21" s="84">
        <v>2.7713217444065168</v>
      </c>
      <c r="J21" s="84">
        <v>2.9912340814025438</v>
      </c>
      <c r="K21" s="84">
        <v>2.7713217444065168</v>
      </c>
      <c r="L21" s="84">
        <v>2.4870819773750803</v>
      </c>
      <c r="M21" s="84">
        <v>2.4015651666688314</v>
      </c>
      <c r="N21" s="84">
        <v>2.3899018049854548</v>
      </c>
      <c r="O21" s="84">
        <v>2.4015651666688314</v>
      </c>
      <c r="P21" s="84">
        <v>2.8000982741268783</v>
      </c>
      <c r="Q21" s="84">
        <v>2.6906720677219442</v>
      </c>
      <c r="R21" s="84">
        <v>2.4015651666688314</v>
      </c>
      <c r="S21" s="84">
        <v>2.4015651666688314</v>
      </c>
      <c r="T21" s="84">
        <v>2.4870819773750803</v>
      </c>
      <c r="U21" s="84">
        <v>2.7569666888714628</v>
      </c>
      <c r="V21" s="84">
        <v>3.9009687012350933</v>
      </c>
      <c r="W21" s="84">
        <v>2.8000982741268783</v>
      </c>
      <c r="X21" s="84">
        <v>2.8000982741268783</v>
      </c>
      <c r="Y21" s="84">
        <v>2.4015651666688314</v>
      </c>
      <c r="Z21" s="84">
        <v>2.4015651666688318</v>
      </c>
      <c r="AA21" s="84">
        <v>2.5429347967333888</v>
      </c>
      <c r="AB21" s="84">
        <v>4.296420923829916</v>
      </c>
      <c r="AC21" s="84">
        <v>2.7569666888714628</v>
      </c>
      <c r="AD21" s="84">
        <v>2.8000982741268783</v>
      </c>
      <c r="AE21" s="84">
        <v>2.4015651666688314</v>
      </c>
      <c r="AF21" s="84">
        <v>2.4015651666688318</v>
      </c>
      <c r="AG21" s="84">
        <v>2.4870819773750803</v>
      </c>
      <c r="AH21" s="84">
        <v>2.7569666888714628</v>
      </c>
      <c r="AI21" s="84">
        <v>2.4015651666688318</v>
      </c>
      <c r="AJ21" s="84">
        <v>2.4015651666688314</v>
      </c>
      <c r="AK21" s="84">
        <v>2.4870819773750803</v>
      </c>
      <c r="AL21" s="84">
        <v>2.4015651666688314</v>
      </c>
      <c r="AM21" s="84">
        <v>2.7569666888714628</v>
      </c>
      <c r="AN21" s="84">
        <v>2.8000982741268783</v>
      </c>
      <c r="AO21" s="84">
        <v>2.3899018049854548</v>
      </c>
      <c r="AP21" s="84">
        <v>2.3899018049854548</v>
      </c>
      <c r="AQ21" s="84">
        <v>2.3899018049854548</v>
      </c>
      <c r="AR21" s="195">
        <v>2.4831096397987076</v>
      </c>
      <c r="AS21" s="84">
        <v>2.9850811242534339</v>
      </c>
      <c r="AT21" s="196">
        <v>2.677825648793136</v>
      </c>
      <c r="AU21" s="84">
        <v>2.9053527833535382</v>
      </c>
      <c r="AV21" s="84">
        <v>2.9146731630539096</v>
      </c>
      <c r="AW21" s="84">
        <v>3.0937145171110059</v>
      </c>
      <c r="AX21" s="84">
        <v>2.7660872052447032</v>
      </c>
      <c r="AY21" s="84">
        <v>2.4015651666688314</v>
      </c>
      <c r="AZ21" s="84">
        <v>2.7421350334011407</v>
      </c>
      <c r="BA21" s="84">
        <v>2.9579821139013398</v>
      </c>
      <c r="BB21" s="84">
        <v>2.8838188460006577</v>
      </c>
      <c r="BC21" s="84">
        <v>2.7757571006093587</v>
      </c>
      <c r="BD21" s="84">
        <v>2.8253561286011757</v>
      </c>
      <c r="BE21" s="197">
        <v>1.4215201801842665</v>
      </c>
      <c r="BF21" s="197">
        <v>1.4215201801842667</v>
      </c>
      <c r="BG21" s="197">
        <v>1.4215201801842667</v>
      </c>
      <c r="BH21" s="112">
        <v>1.4215201801842667</v>
      </c>
      <c r="BI21" s="112">
        <v>1.4215201801842667</v>
      </c>
      <c r="BJ21" s="112">
        <v>1.4215201801842665</v>
      </c>
      <c r="BK21" s="112">
        <v>1.522003230874676</v>
      </c>
      <c r="BL21" s="112">
        <v>1.421520180184267</v>
      </c>
      <c r="BM21" s="112">
        <v>0.87999791543317685</v>
      </c>
      <c r="BN21" s="112">
        <v>1.421520180184267</v>
      </c>
      <c r="BO21" s="112">
        <v>1.421520180184267</v>
      </c>
      <c r="BP21" s="112">
        <v>1.421520180184267</v>
      </c>
      <c r="BQ21" s="112">
        <v>1.4215201801842665</v>
      </c>
      <c r="BR21" s="112">
        <v>1.4215201801842665</v>
      </c>
      <c r="BS21" s="112">
        <v>1.4215201801842665</v>
      </c>
      <c r="BT21" s="112">
        <v>1.4215201801842665</v>
      </c>
      <c r="BU21" s="112">
        <v>1.4215201801842665</v>
      </c>
      <c r="BV21" s="112">
        <v>1.5476610550704075</v>
      </c>
      <c r="BW21" s="112">
        <v>1.4173717749891759</v>
      </c>
      <c r="BX21" s="112">
        <v>1.5414031414766876</v>
      </c>
      <c r="BY21" s="112">
        <v>1.4173717749891759</v>
      </c>
      <c r="BZ21" s="112">
        <v>1.5414031414766876</v>
      </c>
      <c r="CA21" s="112">
        <v>1.4173717749891759</v>
      </c>
      <c r="CB21" s="112">
        <v>1.5414031414766876</v>
      </c>
      <c r="CC21" s="112">
        <v>1.421520180184267</v>
      </c>
      <c r="CD21" s="112">
        <v>1.421520180184267</v>
      </c>
      <c r="CE21" s="95">
        <v>1999</v>
      </c>
    </row>
    <row r="22" spans="1:83" s="112" customFormat="1">
      <c r="A22">
        <v>1984</v>
      </c>
      <c r="B22" s="84">
        <v>2.5663293042310324</v>
      </c>
      <c r="C22" s="84">
        <v>2.8617314230485786</v>
      </c>
      <c r="D22" s="84">
        <v>2.9065020085436997</v>
      </c>
      <c r="E22" s="84">
        <v>2.9059258331396998</v>
      </c>
      <c r="F22" s="84">
        <v>2.9059258331396998</v>
      </c>
      <c r="G22" s="84">
        <v>2.4807180735749021</v>
      </c>
      <c r="H22" s="84">
        <v>4.0179977622721461</v>
      </c>
      <c r="I22" s="84">
        <v>2.8710893272051514</v>
      </c>
      <c r="J22" s="84">
        <v>3.0809711038446204</v>
      </c>
      <c r="K22" s="84">
        <v>2.8710893272051514</v>
      </c>
      <c r="L22" s="84">
        <v>2.5815910925153336</v>
      </c>
      <c r="M22" s="84">
        <v>2.4928246430022472</v>
      </c>
      <c r="N22" s="84">
        <v>2.4807180735749021</v>
      </c>
      <c r="O22" s="84">
        <v>2.4928246430022472</v>
      </c>
      <c r="P22" s="84">
        <v>2.9065020085436997</v>
      </c>
      <c r="Q22" s="84">
        <v>2.9059258331396998</v>
      </c>
      <c r="R22" s="84">
        <v>2.4928246430022472</v>
      </c>
      <c r="S22" s="84">
        <v>2.4928246430022472</v>
      </c>
      <c r="T22" s="84">
        <v>2.5815910925153336</v>
      </c>
      <c r="U22" s="84">
        <v>2.8617314230485786</v>
      </c>
      <c r="V22" s="84">
        <v>4.0179977622721461</v>
      </c>
      <c r="W22" s="84">
        <v>2.9065020085436997</v>
      </c>
      <c r="X22" s="84">
        <v>2.9065020085436997</v>
      </c>
      <c r="Y22" s="84">
        <v>2.4928246430022472</v>
      </c>
      <c r="Z22" s="84">
        <v>2.4928246430022476</v>
      </c>
      <c r="AA22" s="84">
        <v>2.6192228406353908</v>
      </c>
      <c r="AB22" s="84">
        <v>3.7029672682777597</v>
      </c>
      <c r="AC22" s="84">
        <v>2.8617314230485786</v>
      </c>
      <c r="AD22" s="84">
        <v>2.9065020085436997</v>
      </c>
      <c r="AE22" s="84">
        <v>2.4928246430022472</v>
      </c>
      <c r="AF22" s="84">
        <v>2.4928246430022476</v>
      </c>
      <c r="AG22" s="84">
        <v>2.5815910925153336</v>
      </c>
      <c r="AH22" s="84">
        <v>2.8617314230485786</v>
      </c>
      <c r="AI22" s="84">
        <v>2.4928246430022476</v>
      </c>
      <c r="AJ22" s="84">
        <v>2.4928246430022472</v>
      </c>
      <c r="AK22" s="84">
        <v>2.5815910925153336</v>
      </c>
      <c r="AL22" s="84">
        <v>2.4928246430022472</v>
      </c>
      <c r="AM22" s="84">
        <v>2.8617314230485786</v>
      </c>
      <c r="AN22" s="84">
        <v>2.9065020085436997</v>
      </c>
      <c r="AO22" s="84">
        <v>2.4807180735749021</v>
      </c>
      <c r="AP22" s="84">
        <v>2.4807180735749021</v>
      </c>
      <c r="AQ22" s="84">
        <v>2.4807180735749021</v>
      </c>
      <c r="AR22" s="195">
        <v>2.5772631978767393</v>
      </c>
      <c r="AS22" s="84">
        <v>3.034300135015179</v>
      </c>
      <c r="AT22" s="196">
        <v>2.7700885248269143</v>
      </c>
      <c r="AU22" s="84">
        <v>2.9962461641101967</v>
      </c>
      <c r="AV22" s="84">
        <v>3.0056545970539892</v>
      </c>
      <c r="AW22" s="84">
        <v>3.1064884766808269</v>
      </c>
      <c r="AX22" s="84">
        <v>2.8681005013741281</v>
      </c>
      <c r="AY22" s="84">
        <v>2.4928246430022472</v>
      </c>
      <c r="AZ22" s="84">
        <v>2.8447603416027243</v>
      </c>
      <c r="BA22" s="84">
        <v>3.04828339187452</v>
      </c>
      <c r="BB22" s="84">
        <v>2.9752474386942627</v>
      </c>
      <c r="BC22" s="84">
        <v>2.8642845125350491</v>
      </c>
      <c r="BD22" s="84">
        <v>2.9171047882019279</v>
      </c>
      <c r="BE22" s="197">
        <v>1.4414214627068462</v>
      </c>
      <c r="BF22" s="197">
        <v>1.4414214627068465</v>
      </c>
      <c r="BG22" s="197">
        <v>1.4414214627068465</v>
      </c>
      <c r="BH22" s="112">
        <v>1.4414214627068467</v>
      </c>
      <c r="BI22" s="112">
        <v>1.4414214627068465</v>
      </c>
      <c r="BJ22" s="112">
        <v>1.441421462706846</v>
      </c>
      <c r="BK22" s="112">
        <v>1.5904933762640363</v>
      </c>
      <c r="BL22" s="112">
        <v>1.4414214627068467</v>
      </c>
      <c r="BM22" s="112">
        <v>0.65735844282858313</v>
      </c>
      <c r="BN22" s="112">
        <v>1.4414214627068467</v>
      </c>
      <c r="BO22" s="112">
        <v>1.4414214627068467</v>
      </c>
      <c r="BP22" s="112">
        <v>1.4414214627068467</v>
      </c>
      <c r="BQ22" s="112">
        <v>1.4414214627068462</v>
      </c>
      <c r="BR22" s="112">
        <v>1.4414214627068462</v>
      </c>
      <c r="BS22" s="112">
        <v>1.4414214627068462</v>
      </c>
      <c r="BT22" s="112">
        <v>1.4414214627068462</v>
      </c>
      <c r="BU22" s="112">
        <v>1.4414214627068462</v>
      </c>
      <c r="BV22" s="112">
        <v>1.6126628193833648</v>
      </c>
      <c r="BW22" s="112">
        <v>1.4372149798390244</v>
      </c>
      <c r="BX22" s="112">
        <v>1.6038968075613147</v>
      </c>
      <c r="BY22" s="112">
        <v>1.4372149798390244</v>
      </c>
      <c r="BZ22" s="112">
        <v>1.6038968075613147</v>
      </c>
      <c r="CA22" s="112">
        <v>1.4372149798390244</v>
      </c>
      <c r="CB22" s="112">
        <v>1.6038968075613147</v>
      </c>
      <c r="CC22" s="112">
        <v>1.4414214627068467</v>
      </c>
      <c r="CD22" s="112">
        <v>1.4414214627068467</v>
      </c>
      <c r="CE22" s="94">
        <v>2000</v>
      </c>
    </row>
    <row r="23" spans="1:83" s="112" customFormat="1">
      <c r="A23">
        <v>1985</v>
      </c>
      <c r="B23" s="84">
        <v>2.6535845005748877</v>
      </c>
      <c r="C23" s="84">
        <v>2.9590302914322306</v>
      </c>
      <c r="D23" s="84">
        <v>3.0053230768341854</v>
      </c>
      <c r="E23" s="84">
        <v>3.0047273114664494</v>
      </c>
      <c r="F23" s="84">
        <v>3.0047273114664494</v>
      </c>
      <c r="G23" s="84">
        <v>2.5650624880764488</v>
      </c>
      <c r="H23" s="84">
        <v>4.1546096861893993</v>
      </c>
      <c r="I23" s="84">
        <v>2.9313822030764594</v>
      </c>
      <c r="J23" s="84">
        <v>3.2042099479984052</v>
      </c>
      <c r="K23" s="84">
        <v>2.9313822030764594</v>
      </c>
      <c r="L23" s="84">
        <v>2.669365189660855</v>
      </c>
      <c r="M23" s="84">
        <v>2.5775806808643238</v>
      </c>
      <c r="N23" s="84">
        <v>2.5650624880764488</v>
      </c>
      <c r="O23" s="84">
        <v>2.5775806808643238</v>
      </c>
      <c r="P23" s="84">
        <v>3.0053230768341854</v>
      </c>
      <c r="Q23" s="84">
        <v>3.0047273114664494</v>
      </c>
      <c r="R23" s="84">
        <v>2.5775806808643238</v>
      </c>
      <c r="S23" s="84">
        <v>2.5775806808643238</v>
      </c>
      <c r="T23" s="84">
        <v>2.669365189660855</v>
      </c>
      <c r="U23" s="84">
        <v>2.9590302914322306</v>
      </c>
      <c r="V23" s="84">
        <v>4.1546096861893993</v>
      </c>
      <c r="W23" s="84">
        <v>3.0053230768341854</v>
      </c>
      <c r="X23" s="84">
        <v>3.0053230768341854</v>
      </c>
      <c r="Y23" s="84">
        <v>2.5775806808643238</v>
      </c>
      <c r="Z23" s="84">
        <v>2.5775806808643242</v>
      </c>
      <c r="AA23" s="84">
        <v>2.7140387074663921</v>
      </c>
      <c r="AB23" s="84">
        <v>3.4346895074946455</v>
      </c>
      <c r="AC23" s="84">
        <v>2.9590302914322306</v>
      </c>
      <c r="AD23" s="84">
        <v>3.0053230768341854</v>
      </c>
      <c r="AE23" s="84">
        <v>2.5775806808643238</v>
      </c>
      <c r="AF23" s="84">
        <v>2.5775806808643242</v>
      </c>
      <c r="AG23" s="84">
        <v>2.669365189660855</v>
      </c>
      <c r="AH23" s="84">
        <v>2.9590302914322306</v>
      </c>
      <c r="AI23" s="84">
        <v>2.5775806808643242</v>
      </c>
      <c r="AJ23" s="84">
        <v>2.5775806808643238</v>
      </c>
      <c r="AK23" s="84">
        <v>2.669365189660855</v>
      </c>
      <c r="AL23" s="84">
        <v>2.5775806808643238</v>
      </c>
      <c r="AM23" s="84">
        <v>2.9590302914322306</v>
      </c>
      <c r="AN23" s="84">
        <v>3.0053230768341854</v>
      </c>
      <c r="AO23" s="84">
        <v>2.5650624880764488</v>
      </c>
      <c r="AP23" s="84">
        <v>2.5650624880764488</v>
      </c>
      <c r="AQ23" s="84">
        <v>2.5650624880764488</v>
      </c>
      <c r="AR23" s="195">
        <v>2.6649439862051993</v>
      </c>
      <c r="AS23" s="84">
        <v>3.1096919357028021</v>
      </c>
      <c r="AT23" s="196">
        <v>2.8668048913083632</v>
      </c>
      <c r="AU23" s="84">
        <v>3.1136604457759351</v>
      </c>
      <c r="AV23" s="84">
        <v>3.1231419468516268</v>
      </c>
      <c r="AW23" s="84">
        <v>3.1503432144692196</v>
      </c>
      <c r="AX23" s="84">
        <v>2.9664992933752719</v>
      </c>
      <c r="AY23" s="84">
        <v>2.5775806808643238</v>
      </c>
      <c r="AZ23" s="84">
        <v>2.9419317628778119</v>
      </c>
      <c r="BA23" s="84">
        <v>3.1690076073263183</v>
      </c>
      <c r="BB23" s="84">
        <v>3.0904549700153816</v>
      </c>
      <c r="BC23" s="84">
        <v>2.9562769208947399</v>
      </c>
      <c r="BD23" s="84">
        <v>3.0083401762580477</v>
      </c>
      <c r="BE23" s="197">
        <v>1.4673670490355695</v>
      </c>
      <c r="BF23" s="197">
        <v>1.4673670490355697</v>
      </c>
      <c r="BG23" s="197">
        <v>1.4673670490355697</v>
      </c>
      <c r="BH23" s="112">
        <v>1.4673670490355699</v>
      </c>
      <c r="BI23" s="112">
        <v>1.4673670490355697</v>
      </c>
      <c r="BJ23" s="112">
        <v>1.4673670490355695</v>
      </c>
      <c r="BK23" s="112">
        <v>1.6477511378095415</v>
      </c>
      <c r="BL23" s="112">
        <v>1.4673670490355699</v>
      </c>
      <c r="BM23" s="112">
        <v>1.0708369033677618</v>
      </c>
      <c r="BN23" s="112">
        <v>1.4673670490355699</v>
      </c>
      <c r="BO23" s="112">
        <v>1.4673670490355699</v>
      </c>
      <c r="BP23" s="112">
        <v>1.4673670490355699</v>
      </c>
      <c r="BQ23" s="112">
        <v>1.4673670490355695</v>
      </c>
      <c r="BR23" s="112">
        <v>1.4673670490355695</v>
      </c>
      <c r="BS23" s="112">
        <v>1.4673670490355695</v>
      </c>
      <c r="BT23" s="112">
        <v>1.4673670490355695</v>
      </c>
      <c r="BU23" s="112">
        <v>1.4673670490355695</v>
      </c>
      <c r="BV23" s="112">
        <v>1.67515350363447</v>
      </c>
      <c r="BW23" s="112">
        <v>1.4630848494761268</v>
      </c>
      <c r="BX23" s="112">
        <v>1.6643606118445837</v>
      </c>
      <c r="BY23" s="112">
        <v>1.4630848494761268</v>
      </c>
      <c r="BZ23" s="112">
        <v>1.6643606118445837</v>
      </c>
      <c r="CA23" s="112">
        <v>1.4630848494761268</v>
      </c>
      <c r="CB23" s="112">
        <v>1.6643606118445837</v>
      </c>
      <c r="CC23" s="112">
        <v>1.4673670490355699</v>
      </c>
      <c r="CD23" s="112">
        <v>1.4673670490355699</v>
      </c>
      <c r="CE23" s="94">
        <v>2001</v>
      </c>
    </row>
    <row r="24" spans="1:83" s="112" customFormat="1">
      <c r="A24">
        <v>1986</v>
      </c>
      <c r="B24" s="84">
        <v>2.7278848665909847</v>
      </c>
      <c r="C24" s="84">
        <v>3.0418831395923331</v>
      </c>
      <c r="D24" s="84">
        <v>3.0894721229855429</v>
      </c>
      <c r="E24" s="84">
        <v>3.0888596761875102</v>
      </c>
      <c r="F24" s="84">
        <v>3.0888596761875102</v>
      </c>
      <c r="G24" s="84">
        <v>2.6368842377425894</v>
      </c>
      <c r="H24" s="84">
        <v>4.2709387574027025</v>
      </c>
      <c r="I24" s="84">
        <v>2.97242155391953</v>
      </c>
      <c r="J24" s="84">
        <v>3.3003362464383574</v>
      </c>
      <c r="K24" s="84">
        <v>2.97242155391953</v>
      </c>
      <c r="L24" s="84">
        <v>2.7441074149713591</v>
      </c>
      <c r="M24" s="84">
        <v>2.6497529399285251</v>
      </c>
      <c r="N24" s="84">
        <v>2.6368842377425894</v>
      </c>
      <c r="O24" s="84">
        <v>2.6497529399285251</v>
      </c>
      <c r="P24" s="84">
        <v>3.0894721229855429</v>
      </c>
      <c r="Q24" s="84">
        <v>3.0888596761875102</v>
      </c>
      <c r="R24" s="84">
        <v>2.6497529399285251</v>
      </c>
      <c r="S24" s="84">
        <v>2.6497529399285251</v>
      </c>
      <c r="T24" s="84">
        <v>2.7441074149713591</v>
      </c>
      <c r="U24" s="84">
        <v>3.0418831395923331</v>
      </c>
      <c r="V24" s="84">
        <v>4.2709387574027025</v>
      </c>
      <c r="W24" s="84">
        <v>3.0894721229855429</v>
      </c>
      <c r="X24" s="84">
        <v>3.0894721229855429</v>
      </c>
      <c r="Y24" s="84">
        <v>2.6497529399285251</v>
      </c>
      <c r="Z24" s="84">
        <v>2.6497529399285256</v>
      </c>
      <c r="AA24" s="84">
        <v>2.7140387074663921</v>
      </c>
      <c r="AB24" s="84">
        <v>2.9761394921994482</v>
      </c>
      <c r="AC24" s="84">
        <v>3.0418831395923331</v>
      </c>
      <c r="AD24" s="84">
        <v>3.0894721229855429</v>
      </c>
      <c r="AE24" s="84">
        <v>2.6497529399285251</v>
      </c>
      <c r="AF24" s="84">
        <v>2.6497529399285256</v>
      </c>
      <c r="AG24" s="84">
        <v>2.7441074149713591</v>
      </c>
      <c r="AH24" s="84">
        <v>3.0418831395923331</v>
      </c>
      <c r="AI24" s="84">
        <v>2.6497529399285256</v>
      </c>
      <c r="AJ24" s="84">
        <v>2.6497529399285251</v>
      </c>
      <c r="AK24" s="84">
        <v>2.7441074149713591</v>
      </c>
      <c r="AL24" s="84">
        <v>2.6497529399285251</v>
      </c>
      <c r="AM24" s="84">
        <v>3.0418831395923331</v>
      </c>
      <c r="AN24" s="84">
        <v>3.0894721229855429</v>
      </c>
      <c r="AO24" s="84">
        <v>2.6368842377425894</v>
      </c>
      <c r="AP24" s="84">
        <v>2.6368842377425894</v>
      </c>
      <c r="AQ24" s="84">
        <v>2.6368842377425894</v>
      </c>
      <c r="AR24" s="195">
        <v>2.7388304112320965</v>
      </c>
      <c r="AS24" s="84">
        <v>3.1205923882678706</v>
      </c>
      <c r="AT24" s="196">
        <v>2.9115929014041226</v>
      </c>
      <c r="AU24" s="84">
        <v>3.2062517723256034</v>
      </c>
      <c r="AV24" s="84">
        <v>3.2157009444517</v>
      </c>
      <c r="AW24" s="84">
        <v>3.1549074481394404</v>
      </c>
      <c r="AX24" s="84">
        <v>3.0379325963597488</v>
      </c>
      <c r="AY24" s="84">
        <v>2.6497529399285251</v>
      </c>
      <c r="AZ24" s="84">
        <v>3.0183886112650851</v>
      </c>
      <c r="BA24" s="84">
        <v>3.2636785405875846</v>
      </c>
      <c r="BB24" s="84">
        <v>3.1818088189290363</v>
      </c>
      <c r="BC24" s="84">
        <v>3.0078547251991301</v>
      </c>
      <c r="BD24" s="84">
        <v>3.0709868745168487</v>
      </c>
      <c r="BE24" s="197">
        <v>1.4791059854278541</v>
      </c>
      <c r="BF24" s="197">
        <v>1.4791059854278543</v>
      </c>
      <c r="BG24" s="197">
        <v>1.4791059854278543</v>
      </c>
      <c r="BH24" s="112">
        <v>1.4791059854278545</v>
      </c>
      <c r="BI24" s="112">
        <v>1.4791059854278543</v>
      </c>
      <c r="BJ24" s="112">
        <v>1.4791059854278539</v>
      </c>
      <c r="BK24" s="112">
        <v>1.7177805611664472</v>
      </c>
      <c r="BL24" s="112">
        <v>1.4791059854278545</v>
      </c>
      <c r="BM24" s="112">
        <v>1.0601285343340843</v>
      </c>
      <c r="BN24" s="112">
        <v>1.4791059854278545</v>
      </c>
      <c r="BO24" s="112">
        <v>1.4791059854278545</v>
      </c>
      <c r="BP24" s="112">
        <v>1.4791059854278545</v>
      </c>
      <c r="BQ24" s="112">
        <v>1.4791059854278541</v>
      </c>
      <c r="BR24" s="112">
        <v>1.4791059854278541</v>
      </c>
      <c r="BS24" s="112">
        <v>1.4791059854278541</v>
      </c>
      <c r="BT24" s="112">
        <v>1.4791059854278541</v>
      </c>
      <c r="BU24" s="112">
        <v>1.4791059854278541</v>
      </c>
      <c r="BV24" s="112">
        <v>1.7773378673561728</v>
      </c>
      <c r="BW24" s="112">
        <v>1.4747895282719361</v>
      </c>
      <c r="BX24" s="112">
        <v>1.7614995716990034</v>
      </c>
      <c r="BY24" s="112">
        <v>1.4747895282719361</v>
      </c>
      <c r="BZ24" s="112">
        <v>1.7614995716990034</v>
      </c>
      <c r="CA24" s="112">
        <v>1.4747895282719361</v>
      </c>
      <c r="CB24" s="112">
        <v>1.7614995716990034</v>
      </c>
      <c r="CC24" s="112">
        <v>1.4791059854278545</v>
      </c>
      <c r="CD24" s="112">
        <v>1.4791059854278545</v>
      </c>
      <c r="CE24" s="94">
        <v>2002</v>
      </c>
    </row>
    <row r="25" spans="1:83" s="112" customFormat="1">
      <c r="A25">
        <v>1987</v>
      </c>
      <c r="B25" s="84">
        <v>2.8015377579889411</v>
      </c>
      <c r="C25" s="84">
        <v>3.1240139843613259</v>
      </c>
      <c r="D25" s="84">
        <v>3.1728878703061523</v>
      </c>
      <c r="E25" s="84">
        <v>3.1722588874445727</v>
      </c>
      <c r="F25" s="84">
        <v>3.1722588874445727</v>
      </c>
      <c r="G25" s="84">
        <v>2.7080801121616389</v>
      </c>
      <c r="H25" s="84">
        <v>4.3862541038525746</v>
      </c>
      <c r="I25" s="84">
        <v>3.0170078772283229</v>
      </c>
      <c r="J25" s="84">
        <v>3.3745938119832202</v>
      </c>
      <c r="K25" s="84">
        <v>3.0170078772283229</v>
      </c>
      <c r="L25" s="84">
        <v>2.8181983151755854</v>
      </c>
      <c r="M25" s="84">
        <v>2.721296269306595</v>
      </c>
      <c r="N25" s="84">
        <v>2.7080801121616389</v>
      </c>
      <c r="O25" s="84">
        <v>2.721296269306595</v>
      </c>
      <c r="P25" s="84">
        <v>3.1728878703061523</v>
      </c>
      <c r="Q25" s="84">
        <v>3.1722588874445727</v>
      </c>
      <c r="R25" s="84">
        <v>2.721296269306595</v>
      </c>
      <c r="S25" s="84">
        <v>2.721296269306595</v>
      </c>
      <c r="T25" s="84">
        <v>2.8181983151755854</v>
      </c>
      <c r="U25" s="84">
        <v>3.1240139843613259</v>
      </c>
      <c r="V25" s="84">
        <v>4.3862541038525746</v>
      </c>
      <c r="W25" s="84">
        <v>3.1728878703061523</v>
      </c>
      <c r="X25" s="84">
        <v>3.1728878703061523</v>
      </c>
      <c r="Y25" s="84">
        <v>2.721296269306595</v>
      </c>
      <c r="Z25" s="84">
        <v>2.7212962693065954</v>
      </c>
      <c r="AA25" s="84">
        <v>2.775104578384386</v>
      </c>
      <c r="AB25" s="84">
        <v>2.7326399510553672</v>
      </c>
      <c r="AC25" s="84">
        <v>3.1240139843613259</v>
      </c>
      <c r="AD25" s="84">
        <v>3.1728878703061523</v>
      </c>
      <c r="AE25" s="84">
        <v>2.721296269306595</v>
      </c>
      <c r="AF25" s="84">
        <v>2.7212962693065954</v>
      </c>
      <c r="AG25" s="84">
        <v>2.8181983151755854</v>
      </c>
      <c r="AH25" s="84">
        <v>3.1240139843613259</v>
      </c>
      <c r="AI25" s="84">
        <v>2.7212962693065954</v>
      </c>
      <c r="AJ25" s="84">
        <v>2.721296269306595</v>
      </c>
      <c r="AK25" s="84">
        <v>2.8181983151755854</v>
      </c>
      <c r="AL25" s="84">
        <v>2.721296269306595</v>
      </c>
      <c r="AM25" s="84">
        <v>3.1240139843613259</v>
      </c>
      <c r="AN25" s="84">
        <v>3.1728878703061523</v>
      </c>
      <c r="AO25" s="84">
        <v>2.7080801121616389</v>
      </c>
      <c r="AP25" s="84">
        <v>2.7080801121616389</v>
      </c>
      <c r="AQ25" s="84">
        <v>2.7080801121616389</v>
      </c>
      <c r="AR25" s="195">
        <v>2.8126515375442418</v>
      </c>
      <c r="AS25" s="84">
        <v>3.177384056959883</v>
      </c>
      <c r="AT25" s="196">
        <v>2.9842407018277135</v>
      </c>
      <c r="AU25" s="84">
        <v>3.2799559605803164</v>
      </c>
      <c r="AV25" s="84">
        <v>3.2907230860086658</v>
      </c>
      <c r="AW25" s="84">
        <v>3.1872000760187804</v>
      </c>
      <c r="AX25" s="84">
        <v>3.1180428789257553</v>
      </c>
      <c r="AY25" s="84">
        <v>2.721296269306595</v>
      </c>
      <c r="AZ25" s="84">
        <v>3.0987284555048822</v>
      </c>
      <c r="BA25" s="84">
        <v>3.3380953068307919</v>
      </c>
      <c r="BB25" s="84">
        <v>3.2565781443650494</v>
      </c>
      <c r="BC25" s="84">
        <v>3.0802811803484005</v>
      </c>
      <c r="BD25" s="84">
        <v>3.1440151537224628</v>
      </c>
      <c r="BE25" s="197">
        <v>1.4938970452821327</v>
      </c>
      <c r="BF25" s="197">
        <v>1.493897045282133</v>
      </c>
      <c r="BG25" s="197">
        <v>1.493897045282133</v>
      </c>
      <c r="BH25" s="112">
        <v>1.4938970452821332</v>
      </c>
      <c r="BI25" s="112">
        <v>1.493897045282133</v>
      </c>
      <c r="BJ25" s="112">
        <v>1.4938970452821323</v>
      </c>
      <c r="BK25" s="112">
        <v>1.7903567898757295</v>
      </c>
      <c r="BL25" s="112">
        <v>1.493897045282133</v>
      </c>
      <c r="BM25" s="112">
        <v>0.89050796884063077</v>
      </c>
      <c r="BN25" s="112">
        <v>1.493897045282133</v>
      </c>
      <c r="BO25" s="112">
        <v>1.493897045282133</v>
      </c>
      <c r="BP25" s="112">
        <v>1.493897045282133</v>
      </c>
      <c r="BQ25" s="112">
        <v>1.4938970452821327</v>
      </c>
      <c r="BR25" s="112">
        <v>1.4938970452821327</v>
      </c>
      <c r="BS25" s="112">
        <v>1.4938970452821327</v>
      </c>
      <c r="BT25" s="112">
        <v>1.4938970452821327</v>
      </c>
      <c r="BU25" s="112">
        <v>1.4938970452821327</v>
      </c>
      <c r="BV25" s="112">
        <v>1.8706481053923718</v>
      </c>
      <c r="BW25" s="112">
        <v>1.4895374235546552</v>
      </c>
      <c r="BX25" s="112">
        <v>1.8504322485503066</v>
      </c>
      <c r="BY25" s="112">
        <v>1.4895374235546552</v>
      </c>
      <c r="BZ25" s="112">
        <v>1.8504322485503066</v>
      </c>
      <c r="CA25" s="112">
        <v>1.4895374235546552</v>
      </c>
      <c r="CB25" s="112">
        <v>1.8504322485503066</v>
      </c>
      <c r="CC25" s="112">
        <v>1.493897045282133</v>
      </c>
      <c r="CD25" s="112">
        <v>1.493897045282133</v>
      </c>
      <c r="CE25" s="94">
        <v>2003</v>
      </c>
    </row>
    <row r="26" spans="1:83" s="112" customFormat="1">
      <c r="A26">
        <v>1988</v>
      </c>
      <c r="B26" s="84">
        <v>2.8855838907286095</v>
      </c>
      <c r="C26" s="84">
        <v>3.2177344038921656</v>
      </c>
      <c r="D26" s="84">
        <v>3.2680745064153371</v>
      </c>
      <c r="E26" s="84">
        <v>3.26742665406791</v>
      </c>
      <c r="F26" s="84">
        <v>3.26742665406791</v>
      </c>
      <c r="G26" s="84">
        <v>2.789322515526488</v>
      </c>
      <c r="H26" s="84">
        <v>4.5178417269681521</v>
      </c>
      <c r="I26" s="84">
        <v>3.0954500820362592</v>
      </c>
      <c r="J26" s="84">
        <v>3.4501847133716441</v>
      </c>
      <c r="K26" s="84">
        <v>3.0954500820362592</v>
      </c>
      <c r="L26" s="84">
        <v>2.902744264630853</v>
      </c>
      <c r="M26" s="84">
        <v>2.802935157385793</v>
      </c>
      <c r="N26" s="84">
        <v>2.789322515526488</v>
      </c>
      <c r="O26" s="84">
        <v>2.802935157385793</v>
      </c>
      <c r="P26" s="84">
        <v>3.2680745064153371</v>
      </c>
      <c r="Q26" s="84">
        <v>3.26742665406791</v>
      </c>
      <c r="R26" s="84">
        <v>2.802935157385793</v>
      </c>
      <c r="S26" s="84">
        <v>2.802935157385793</v>
      </c>
      <c r="T26" s="84">
        <v>2.902744264630853</v>
      </c>
      <c r="U26" s="84">
        <v>3.2177344038921656</v>
      </c>
      <c r="V26" s="84">
        <v>4.5178417269681521</v>
      </c>
      <c r="W26" s="84">
        <v>3.2680745064153371</v>
      </c>
      <c r="X26" s="84">
        <v>3.2680745064153371</v>
      </c>
      <c r="Y26" s="84">
        <v>2.802935157385793</v>
      </c>
      <c r="Z26" s="84">
        <v>2.8029351573857935</v>
      </c>
      <c r="AA26" s="84">
        <v>2.8372669209401962</v>
      </c>
      <c r="AB26" s="84">
        <v>2.290608748852859</v>
      </c>
      <c r="AC26" s="84">
        <v>3.2177344038921656</v>
      </c>
      <c r="AD26" s="84">
        <v>3.2680745064153371</v>
      </c>
      <c r="AE26" s="84">
        <v>2.802935157385793</v>
      </c>
      <c r="AF26" s="84">
        <v>2.8029351573857935</v>
      </c>
      <c r="AG26" s="84">
        <v>2.902744264630853</v>
      </c>
      <c r="AH26" s="84">
        <v>3.2177344038921656</v>
      </c>
      <c r="AI26" s="84">
        <v>2.8029351573857935</v>
      </c>
      <c r="AJ26" s="84">
        <v>2.802935157385793</v>
      </c>
      <c r="AK26" s="84">
        <v>2.902744264630853</v>
      </c>
      <c r="AL26" s="84">
        <v>2.802935157385793</v>
      </c>
      <c r="AM26" s="84">
        <v>3.2177344038921656</v>
      </c>
      <c r="AN26" s="84">
        <v>3.2680745064153371</v>
      </c>
      <c r="AO26" s="84">
        <v>2.789322515526488</v>
      </c>
      <c r="AP26" s="84">
        <v>2.789322515526488</v>
      </c>
      <c r="AQ26" s="84">
        <v>2.789322515526488</v>
      </c>
      <c r="AR26" s="195">
        <v>2.8968159351902423</v>
      </c>
      <c r="AS26" s="84">
        <v>3.2351459283113124</v>
      </c>
      <c r="AT26" s="196">
        <v>3.0647557286236156</v>
      </c>
      <c r="AU26" s="84">
        <v>3.3545774901382304</v>
      </c>
      <c r="AV26" s="84">
        <v>3.3668779014958945</v>
      </c>
      <c r="AW26" s="84">
        <v>3.2010178919181445</v>
      </c>
      <c r="AX26" s="84">
        <v>3.2082665676703512</v>
      </c>
      <c r="AY26" s="84">
        <v>2.802935157385793</v>
      </c>
      <c r="AZ26" s="84">
        <v>3.1894092424855973</v>
      </c>
      <c r="BA26" s="84">
        <v>3.4142864186006721</v>
      </c>
      <c r="BB26" s="84">
        <v>3.3327147106960551</v>
      </c>
      <c r="BC26" s="84">
        <v>3.1576258194328752</v>
      </c>
      <c r="BD26" s="84">
        <v>3.2262336761854282</v>
      </c>
      <c r="BE26" s="197">
        <v>1.5237749861877754</v>
      </c>
      <c r="BF26" s="197">
        <v>1.5237749861877756</v>
      </c>
      <c r="BG26" s="197">
        <v>1.5237749861877756</v>
      </c>
      <c r="BH26" s="112">
        <v>1.5237749861877758</v>
      </c>
      <c r="BI26" s="112">
        <v>1.5237749861877756</v>
      </c>
      <c r="BJ26" s="112">
        <v>1.5237749861877752</v>
      </c>
      <c r="BK26" s="112">
        <v>1.8637614182606341</v>
      </c>
      <c r="BL26" s="112">
        <v>1.5237749861877756</v>
      </c>
      <c r="BM26" s="112">
        <v>0.9644201302544031</v>
      </c>
      <c r="BN26" s="112">
        <v>1.5237749861877756</v>
      </c>
      <c r="BO26" s="112">
        <v>1.5237749861877756</v>
      </c>
      <c r="BP26" s="112">
        <v>1.5237749861877756</v>
      </c>
      <c r="BQ26" s="112">
        <v>1.5237749861877754</v>
      </c>
      <c r="BR26" s="112">
        <v>1.5237749861877754</v>
      </c>
      <c r="BS26" s="112">
        <v>1.5237749861877754</v>
      </c>
      <c r="BT26" s="112">
        <v>1.5237749861877754</v>
      </c>
      <c r="BU26" s="112">
        <v>1.5237749861877754</v>
      </c>
      <c r="BV26" s="112">
        <v>1.9501506498715477</v>
      </c>
      <c r="BW26" s="112">
        <v>1.5193281720257483</v>
      </c>
      <c r="BX26" s="112">
        <v>1.9271795249651233</v>
      </c>
      <c r="BY26" s="112">
        <v>1.5193281720257483</v>
      </c>
      <c r="BZ26" s="112">
        <v>1.9271795249651233</v>
      </c>
      <c r="CA26" s="112">
        <v>1.5193281720257483</v>
      </c>
      <c r="CB26" s="112">
        <v>1.9271795249651233</v>
      </c>
      <c r="CC26" s="112">
        <v>1.5237749861877756</v>
      </c>
      <c r="CD26" s="112">
        <v>1.5237749861877756</v>
      </c>
      <c r="CE26" s="95">
        <v>2004</v>
      </c>
    </row>
    <row r="27" spans="1:83" s="112" customFormat="1">
      <c r="A27">
        <v>1989</v>
      </c>
      <c r="B27" s="84">
        <v>3.0067784141392111</v>
      </c>
      <c r="C27" s="84">
        <v>3.3528792488556367</v>
      </c>
      <c r="D27" s="84">
        <v>3.4053336356847814</v>
      </c>
      <c r="E27" s="84">
        <v>3.4046585735387622</v>
      </c>
      <c r="F27" s="84">
        <v>3.4046585735387622</v>
      </c>
      <c r="G27" s="84">
        <v>2.9064740611786006</v>
      </c>
      <c r="H27" s="84">
        <v>4.7075910795008147</v>
      </c>
      <c r="I27" s="84">
        <v>3.1975999347434554</v>
      </c>
      <c r="J27" s="84">
        <v>3.5737013261103492</v>
      </c>
      <c r="K27" s="84">
        <v>3.1975999347434554</v>
      </c>
      <c r="L27" s="84">
        <v>3.0246595237453491</v>
      </c>
      <c r="M27" s="84">
        <v>2.9206584339959965</v>
      </c>
      <c r="N27" s="84">
        <v>2.9064740611786006</v>
      </c>
      <c r="O27" s="84">
        <v>2.9206584339959965</v>
      </c>
      <c r="P27" s="84">
        <v>3.4053336356847814</v>
      </c>
      <c r="Q27" s="84">
        <v>3.4046585735387622</v>
      </c>
      <c r="R27" s="84">
        <v>2.9206584339959965</v>
      </c>
      <c r="S27" s="84">
        <v>2.9206584339959965</v>
      </c>
      <c r="T27" s="84">
        <v>3.0246595237453491</v>
      </c>
      <c r="U27" s="84">
        <v>3.3528792488556367</v>
      </c>
      <c r="V27" s="84">
        <v>4.7075910795008147</v>
      </c>
      <c r="W27" s="84">
        <v>3.4053336356847814</v>
      </c>
      <c r="X27" s="84">
        <v>3.4053336356847814</v>
      </c>
      <c r="Y27" s="84">
        <v>2.9206584339959965</v>
      </c>
      <c r="Z27" s="84">
        <v>2.9206584339959969</v>
      </c>
      <c r="AA27" s="84">
        <v>2.9388410767098554</v>
      </c>
      <c r="AB27" s="84">
        <v>2.2924441725298248</v>
      </c>
      <c r="AC27" s="84">
        <v>3.3528792488556367</v>
      </c>
      <c r="AD27" s="84">
        <v>3.4053336356847814</v>
      </c>
      <c r="AE27" s="84">
        <v>2.9206584339959965</v>
      </c>
      <c r="AF27" s="84">
        <v>2.9206584339959969</v>
      </c>
      <c r="AG27" s="84">
        <v>3.0246595237453491</v>
      </c>
      <c r="AH27" s="84">
        <v>3.3528792488556367</v>
      </c>
      <c r="AI27" s="84">
        <v>2.9206584339959969</v>
      </c>
      <c r="AJ27" s="84">
        <v>2.9206584339959965</v>
      </c>
      <c r="AK27" s="84">
        <v>3.0246595237453491</v>
      </c>
      <c r="AL27" s="84">
        <v>2.9206584339959965</v>
      </c>
      <c r="AM27" s="84">
        <v>3.3528792488556367</v>
      </c>
      <c r="AN27" s="84">
        <v>3.4053336356847814</v>
      </c>
      <c r="AO27" s="84">
        <v>2.9064740611786006</v>
      </c>
      <c r="AP27" s="84">
        <v>2.9064740611786006</v>
      </c>
      <c r="AQ27" s="84">
        <v>2.9064740611786006</v>
      </c>
      <c r="AR27" s="195">
        <v>3.0182833666976752</v>
      </c>
      <c r="AS27" s="84">
        <v>3.356776055654012</v>
      </c>
      <c r="AT27" s="196">
        <v>3.185464463984867</v>
      </c>
      <c r="AU27" s="84">
        <v>3.4756384465156547</v>
      </c>
      <c r="AV27" s="84">
        <v>3.4894990689911407</v>
      </c>
      <c r="AW27" s="84">
        <v>3.316784816196733</v>
      </c>
      <c r="AX27" s="84">
        <v>3.3402289881317682</v>
      </c>
      <c r="AY27" s="84">
        <v>2.9206584339959965</v>
      </c>
      <c r="AZ27" s="84">
        <v>3.3215528954300466</v>
      </c>
      <c r="BA27" s="84">
        <v>3.5380490287605895</v>
      </c>
      <c r="BB27" s="84">
        <v>3.4550564459158997</v>
      </c>
      <c r="BC27" s="84">
        <v>3.2830340816195855</v>
      </c>
      <c r="BD27" s="84">
        <v>3.3575740329820207</v>
      </c>
      <c r="BE27" s="197">
        <v>1.5664406858010331</v>
      </c>
      <c r="BF27" s="197">
        <v>1.5664406858010331</v>
      </c>
      <c r="BG27" s="197">
        <v>1.5664406858010331</v>
      </c>
      <c r="BH27" s="112">
        <v>1.5664406858010336</v>
      </c>
      <c r="BI27" s="112">
        <v>1.5664406858010331</v>
      </c>
      <c r="BJ27" s="112">
        <v>1.5664406858010329</v>
      </c>
      <c r="BK27" s="112">
        <v>1.9317887100271469</v>
      </c>
      <c r="BL27" s="112">
        <v>1.5664406858010334</v>
      </c>
      <c r="BM27" s="112">
        <v>1.2826787732383562</v>
      </c>
      <c r="BN27" s="112">
        <v>1.5664406858010334</v>
      </c>
      <c r="BO27" s="112">
        <v>1.5664406858010334</v>
      </c>
      <c r="BP27" s="112">
        <v>1.5664406858010334</v>
      </c>
      <c r="BQ27" s="112">
        <v>1.5664406858010331</v>
      </c>
      <c r="BR27" s="112">
        <v>1.5664406858010331</v>
      </c>
      <c r="BS27" s="112">
        <v>1.5664406858010331</v>
      </c>
      <c r="BT27" s="112">
        <v>1.5664406858010331</v>
      </c>
      <c r="BU27" s="112">
        <v>1.5664406858010331</v>
      </c>
      <c r="BV27" s="112">
        <v>2.0213311485918593</v>
      </c>
      <c r="BW27" s="112">
        <v>1.5618693608424694</v>
      </c>
      <c r="BX27" s="112">
        <v>1.9967909493477676</v>
      </c>
      <c r="BY27" s="112">
        <v>1.5618693608424694</v>
      </c>
      <c r="BZ27" s="112">
        <v>1.9967909493477676</v>
      </c>
      <c r="CA27" s="112">
        <v>1.5618693608424694</v>
      </c>
      <c r="CB27" s="112">
        <v>1.9967909493477676</v>
      </c>
      <c r="CC27" s="112">
        <v>1.5664406858010334</v>
      </c>
      <c r="CD27" s="112">
        <v>1.5664406858010334</v>
      </c>
      <c r="CE27" s="94">
        <v>2005</v>
      </c>
    </row>
    <row r="28" spans="1:83" s="112" customFormat="1">
      <c r="A28">
        <v>1990</v>
      </c>
      <c r="B28" s="84">
        <v>3.1270495507047795</v>
      </c>
      <c r="C28" s="84">
        <v>3.4869944188098625</v>
      </c>
      <c r="D28" s="84">
        <v>3.5415469811121727</v>
      </c>
      <c r="E28" s="84">
        <v>3.5408449164803129</v>
      </c>
      <c r="F28" s="84">
        <v>3.5408449164803129</v>
      </c>
      <c r="G28" s="84">
        <v>3.0227330236257446</v>
      </c>
      <c r="H28" s="84">
        <v>4.8958947226808478</v>
      </c>
      <c r="I28" s="84">
        <v>3.2327735340256329</v>
      </c>
      <c r="J28" s="84">
        <v>3.7066430154416539</v>
      </c>
      <c r="K28" s="84">
        <v>3.2327735340256329</v>
      </c>
      <c r="L28" s="84">
        <v>3.1456459046951633</v>
      </c>
      <c r="M28" s="84">
        <v>3.0374847713558366</v>
      </c>
      <c r="N28" s="84">
        <v>3.0227330236257446</v>
      </c>
      <c r="O28" s="84">
        <v>3.0374847713558366</v>
      </c>
      <c r="P28" s="84">
        <v>3.5415469811121727</v>
      </c>
      <c r="Q28" s="84">
        <v>3.5408449164803129</v>
      </c>
      <c r="R28" s="84">
        <v>3.0374847713558366</v>
      </c>
      <c r="S28" s="84">
        <v>3.0374847713558366</v>
      </c>
      <c r="T28" s="84">
        <v>3.1456459046951633</v>
      </c>
      <c r="U28" s="84">
        <v>3.4869944188098625</v>
      </c>
      <c r="V28" s="84">
        <v>4.8958947226808478</v>
      </c>
      <c r="W28" s="84">
        <v>3.5415469811121727</v>
      </c>
      <c r="X28" s="84">
        <v>3.5415469811121727</v>
      </c>
      <c r="Y28" s="84">
        <v>3.0374847713558366</v>
      </c>
      <c r="Z28" s="84">
        <v>3.0374847713558371</v>
      </c>
      <c r="AA28" s="84">
        <v>3.0481659647634616</v>
      </c>
      <c r="AB28" s="84">
        <v>2.0452737840318131</v>
      </c>
      <c r="AC28" s="84">
        <v>3.4869944188098625</v>
      </c>
      <c r="AD28" s="84">
        <v>3.5415469811121727</v>
      </c>
      <c r="AE28" s="84">
        <v>3.0374847713558366</v>
      </c>
      <c r="AF28" s="84">
        <v>3.0374847713558371</v>
      </c>
      <c r="AG28" s="84">
        <v>3.1456459046951633</v>
      </c>
      <c r="AH28" s="84">
        <v>3.4869944188098625</v>
      </c>
      <c r="AI28" s="84">
        <v>3.0374847713558371</v>
      </c>
      <c r="AJ28" s="84">
        <v>3.0374847713558366</v>
      </c>
      <c r="AK28" s="84">
        <v>3.1456459046951633</v>
      </c>
      <c r="AL28" s="84">
        <v>3.0374847713558366</v>
      </c>
      <c r="AM28" s="84">
        <v>3.4869944188098625</v>
      </c>
      <c r="AN28" s="84">
        <v>3.5415469811121727</v>
      </c>
      <c r="AO28" s="84">
        <v>3.0227330236257446</v>
      </c>
      <c r="AP28" s="84">
        <v>3.0227330236257446</v>
      </c>
      <c r="AQ28" s="84">
        <v>3.0227330236257446</v>
      </c>
      <c r="AR28" s="195">
        <v>3.1389161620122836</v>
      </c>
      <c r="AS28" s="84">
        <v>3.4671085391444838</v>
      </c>
      <c r="AT28" s="196">
        <v>3.3090273406793638</v>
      </c>
      <c r="AU28" s="84">
        <v>3.605383913587104</v>
      </c>
      <c r="AV28" s="84">
        <v>3.6203680240125764</v>
      </c>
      <c r="AW28" s="84">
        <v>3.3880071524616073</v>
      </c>
      <c r="AX28" s="84">
        <v>3.4725287778936917</v>
      </c>
      <c r="AY28" s="84">
        <v>3.0374847713558366</v>
      </c>
      <c r="AZ28" s="84">
        <v>3.4532041247382619</v>
      </c>
      <c r="BA28" s="84">
        <v>3.6704170371724651</v>
      </c>
      <c r="BB28" s="84">
        <v>3.5854837557776693</v>
      </c>
      <c r="BC28" s="84">
        <v>3.4081848682322353</v>
      </c>
      <c r="BD28" s="84">
        <v>3.4822297002914446</v>
      </c>
      <c r="BE28" s="197">
        <v>1.6150003470608649</v>
      </c>
      <c r="BF28" s="197">
        <v>1.6150003470608649</v>
      </c>
      <c r="BG28" s="197">
        <v>1.6150003470608649</v>
      </c>
      <c r="BH28" s="112">
        <v>1.6150003470608654</v>
      </c>
      <c r="BI28" s="112">
        <v>1.6150003470608649</v>
      </c>
      <c r="BJ28" s="112">
        <v>1.6150003470608647</v>
      </c>
      <c r="BK28" s="112">
        <v>1.9936059487480156</v>
      </c>
      <c r="BL28" s="112">
        <v>1.6150003470608651</v>
      </c>
      <c r="BM28" s="112">
        <v>2.0484380008616547</v>
      </c>
      <c r="BN28" s="112">
        <v>1.6150003470608651</v>
      </c>
      <c r="BO28" s="112">
        <v>1.6150003470608651</v>
      </c>
      <c r="BP28" s="112">
        <v>1.6150003470608651</v>
      </c>
      <c r="BQ28" s="112">
        <v>1.6150003470608649</v>
      </c>
      <c r="BR28" s="112">
        <v>1.6150003470608649</v>
      </c>
      <c r="BS28" s="112">
        <v>1.6150003470608649</v>
      </c>
      <c r="BT28" s="112">
        <v>1.6150003470608649</v>
      </c>
      <c r="BU28" s="112">
        <v>1.6150003470608649</v>
      </c>
      <c r="BV28" s="112">
        <v>2.0860137453467988</v>
      </c>
      <c r="BW28" s="112">
        <v>1.6102873110285858</v>
      </c>
      <c r="BX28" s="112">
        <v>2.0605998966833221</v>
      </c>
      <c r="BY28" s="112">
        <v>1.6102873110285858</v>
      </c>
      <c r="BZ28" s="112">
        <v>2.0605998966833221</v>
      </c>
      <c r="CA28" s="112">
        <v>1.6102873110285858</v>
      </c>
      <c r="CB28" s="112">
        <v>2.0605998966833221</v>
      </c>
      <c r="CC28" s="112">
        <v>1.6150003470608651</v>
      </c>
      <c r="CD28" s="112">
        <v>1.6150003470608651</v>
      </c>
      <c r="CE28" s="94">
        <v>2006</v>
      </c>
    </row>
    <row r="29" spans="1:83" s="112" customFormat="1">
      <c r="A29">
        <v>1991</v>
      </c>
      <c r="B29" s="84">
        <v>3.261512681385085</v>
      </c>
      <c r="C29" s="84">
        <v>3.6369351788186863</v>
      </c>
      <c r="D29" s="84">
        <v>3.6938335012999959</v>
      </c>
      <c r="E29" s="84">
        <v>3.6931012478889662</v>
      </c>
      <c r="F29" s="84">
        <v>3.6931012478889662</v>
      </c>
      <c r="G29" s="84">
        <v>3.1527105436416516</v>
      </c>
      <c r="H29" s="84">
        <v>5.1064181957561239</v>
      </c>
      <c r="I29" s="84">
        <v>3.2844979105700429</v>
      </c>
      <c r="J29" s="84">
        <v>3.8541674074562318</v>
      </c>
      <c r="K29" s="84">
        <v>3.2844979105700429</v>
      </c>
      <c r="L29" s="84">
        <v>3.2809086785970552</v>
      </c>
      <c r="M29" s="84">
        <v>3.1680966165241373</v>
      </c>
      <c r="N29" s="84">
        <v>3.1527105436416516</v>
      </c>
      <c r="O29" s="84">
        <v>3.1680966165241373</v>
      </c>
      <c r="P29" s="84">
        <v>3.6938335012999959</v>
      </c>
      <c r="Q29" s="84">
        <v>3.6931012478889662</v>
      </c>
      <c r="R29" s="84">
        <v>3.1680966165241373</v>
      </c>
      <c r="S29" s="84">
        <v>3.1680966165241373</v>
      </c>
      <c r="T29" s="84">
        <v>3.2809086785970552</v>
      </c>
      <c r="U29" s="84">
        <v>3.6369351788186863</v>
      </c>
      <c r="V29" s="84">
        <v>5.1064181957561239</v>
      </c>
      <c r="W29" s="84">
        <v>3.6938335012999959</v>
      </c>
      <c r="X29" s="84">
        <v>3.6938335012999959</v>
      </c>
      <c r="Y29" s="84">
        <v>3.1680966165241373</v>
      </c>
      <c r="Z29" s="84">
        <v>3.1680966165241378</v>
      </c>
      <c r="AA29" s="84">
        <v>3.1694829701610474</v>
      </c>
      <c r="AB29" s="84">
        <v>3.8289996940960522</v>
      </c>
      <c r="AC29" s="84">
        <v>3.6369351788186863</v>
      </c>
      <c r="AD29" s="84">
        <v>3.6938335012999959</v>
      </c>
      <c r="AE29" s="84">
        <v>3.1680966165241373</v>
      </c>
      <c r="AF29" s="84">
        <v>3.1680966165241378</v>
      </c>
      <c r="AG29" s="84">
        <v>3.2809086785970552</v>
      </c>
      <c r="AH29" s="84">
        <v>3.6369351788186863</v>
      </c>
      <c r="AI29" s="84">
        <v>3.1680966165241378</v>
      </c>
      <c r="AJ29" s="84">
        <v>3.1680966165241373</v>
      </c>
      <c r="AK29" s="84">
        <v>3.2809086785970552</v>
      </c>
      <c r="AL29" s="84">
        <v>3.1680966165241373</v>
      </c>
      <c r="AM29" s="84">
        <v>3.6369351788186863</v>
      </c>
      <c r="AN29" s="84">
        <v>3.6938335012999959</v>
      </c>
      <c r="AO29" s="84">
        <v>3.1527105436416516</v>
      </c>
      <c r="AP29" s="84">
        <v>3.1527105436416516</v>
      </c>
      <c r="AQ29" s="84">
        <v>3.1527105436416516</v>
      </c>
      <c r="AR29" s="195">
        <v>3.2737494544657473</v>
      </c>
      <c r="AS29" s="84">
        <v>3.7610844523313709</v>
      </c>
      <c r="AT29" s="196">
        <v>3.446407015526352</v>
      </c>
      <c r="AU29" s="84">
        <v>3.7493034715703142</v>
      </c>
      <c r="AV29" s="84">
        <v>3.7657087250955645</v>
      </c>
      <c r="AW29" s="84">
        <v>3.8818893428187442</v>
      </c>
      <c r="AX29" s="84">
        <v>3.620291822450624</v>
      </c>
      <c r="AY29" s="84">
        <v>3.1680966165241373</v>
      </c>
      <c r="AZ29" s="84">
        <v>3.6003326932779935</v>
      </c>
      <c r="BA29" s="84">
        <v>3.8195729964598364</v>
      </c>
      <c r="BB29" s="84">
        <v>3.7304227050115268</v>
      </c>
      <c r="BC29" s="84">
        <v>3.5938855075835892</v>
      </c>
      <c r="BD29" s="84">
        <v>3.6861872378613407</v>
      </c>
      <c r="BE29" s="197">
        <v>1.6586053564315082</v>
      </c>
      <c r="BF29" s="197">
        <v>1.6586053564315082</v>
      </c>
      <c r="BG29" s="197">
        <v>1.6586053564315082</v>
      </c>
      <c r="BH29" s="112">
        <v>1.6586053564315086</v>
      </c>
      <c r="BI29" s="112">
        <v>1.6586053564315082</v>
      </c>
      <c r="BJ29" s="112">
        <v>1.6586053564315077</v>
      </c>
      <c r="BK29" s="112">
        <v>2.0419508930051551</v>
      </c>
      <c r="BL29" s="112">
        <v>1.6586053564315084</v>
      </c>
      <c r="BM29" s="112">
        <v>2.077116132873718</v>
      </c>
      <c r="BN29" s="112">
        <v>1.6586053564315084</v>
      </c>
      <c r="BO29" s="112">
        <v>1.6586053564315084</v>
      </c>
      <c r="BP29" s="112">
        <v>1.6586053564315084</v>
      </c>
      <c r="BQ29" s="112">
        <v>1.6586053564315082</v>
      </c>
      <c r="BR29" s="112">
        <v>1.6586053564315082</v>
      </c>
      <c r="BS29" s="112">
        <v>1.6586053564315082</v>
      </c>
      <c r="BT29" s="112">
        <v>1.6586053564315082</v>
      </c>
      <c r="BU29" s="112">
        <v>1.6586053564315082</v>
      </c>
      <c r="BV29" s="112">
        <v>2.1365995786714587</v>
      </c>
      <c r="BW29" s="112">
        <v>1.6537650684263576</v>
      </c>
      <c r="BX29" s="112">
        <v>2.1108199754971873</v>
      </c>
      <c r="BY29" s="112">
        <v>1.6537650684263576</v>
      </c>
      <c r="BZ29" s="112">
        <v>2.1108199754971873</v>
      </c>
      <c r="CA29" s="112">
        <v>1.6537650684263576</v>
      </c>
      <c r="CB29" s="112">
        <v>2.1108199754971873</v>
      </c>
      <c r="CC29" s="112">
        <v>1.6586053564315084</v>
      </c>
      <c r="CD29" s="112">
        <v>1.6586053564315084</v>
      </c>
      <c r="CE29" s="94">
        <v>2007</v>
      </c>
    </row>
    <row r="30" spans="1:83" s="112" customFormat="1">
      <c r="A30">
        <v>1992</v>
      </c>
      <c r="B30" s="84">
        <v>3.3528350364638673</v>
      </c>
      <c r="C30" s="84">
        <v>3.7387693638256096</v>
      </c>
      <c r="D30" s="84">
        <v>3.797260839336396</v>
      </c>
      <c r="E30" s="84">
        <v>3.7965080828298574</v>
      </c>
      <c r="F30" s="84">
        <v>3.7965080828298574</v>
      </c>
      <c r="G30" s="84">
        <v>3.2409864388636178</v>
      </c>
      <c r="H30" s="84">
        <v>5.2493979052372959</v>
      </c>
      <c r="I30" s="84">
        <v>3.3666103583342939</v>
      </c>
      <c r="J30" s="84">
        <v>4.0152716050879027</v>
      </c>
      <c r="K30" s="84">
        <v>3.3666103583342939</v>
      </c>
      <c r="L30" s="84">
        <v>3.3727741215977729</v>
      </c>
      <c r="M30" s="84">
        <v>3.2568033217868133</v>
      </c>
      <c r="N30" s="84">
        <v>3.2409864388636178</v>
      </c>
      <c r="O30" s="84">
        <v>3.2568033217868133</v>
      </c>
      <c r="P30" s="84">
        <v>3.797260839336396</v>
      </c>
      <c r="Q30" s="84">
        <v>3.7965080828298574</v>
      </c>
      <c r="R30" s="84">
        <v>3.2568033217868133</v>
      </c>
      <c r="S30" s="84">
        <v>3.2568033217868133</v>
      </c>
      <c r="T30" s="84">
        <v>3.3727741215977729</v>
      </c>
      <c r="U30" s="84">
        <v>3.7387693638256096</v>
      </c>
      <c r="V30" s="84">
        <v>5.2493979052372959</v>
      </c>
      <c r="W30" s="84">
        <v>3.797260839336396</v>
      </c>
      <c r="X30" s="84">
        <v>3.797260839336396</v>
      </c>
      <c r="Y30" s="84">
        <v>3.2568033217868133</v>
      </c>
      <c r="Z30" s="84">
        <v>3.2568033217868138</v>
      </c>
      <c r="AA30" s="84">
        <v>3.3019673583137794</v>
      </c>
      <c r="AB30" s="84">
        <v>2.5539920464973984</v>
      </c>
      <c r="AC30" s="84">
        <v>3.7387693638256096</v>
      </c>
      <c r="AD30" s="84">
        <v>3.797260839336396</v>
      </c>
      <c r="AE30" s="84">
        <v>3.2568033217868133</v>
      </c>
      <c r="AF30" s="84">
        <v>3.2568033217868138</v>
      </c>
      <c r="AG30" s="84">
        <v>3.3727741215977729</v>
      </c>
      <c r="AH30" s="84">
        <v>3.7387693638256096</v>
      </c>
      <c r="AI30" s="84">
        <v>3.2568033217868138</v>
      </c>
      <c r="AJ30" s="84">
        <v>3.2568033217868133</v>
      </c>
      <c r="AK30" s="84">
        <v>3.3727741215977729</v>
      </c>
      <c r="AL30" s="84">
        <v>3.2568033217868133</v>
      </c>
      <c r="AM30" s="84">
        <v>3.7387693638256096</v>
      </c>
      <c r="AN30" s="84">
        <v>3.797260839336396</v>
      </c>
      <c r="AO30" s="84">
        <v>3.2409864388636178</v>
      </c>
      <c r="AP30" s="84">
        <v>3.2409864388636178</v>
      </c>
      <c r="AQ30" s="84">
        <v>3.2409864388636178</v>
      </c>
      <c r="AR30" s="195">
        <v>3.3660641740470543</v>
      </c>
      <c r="AS30" s="84">
        <v>3.82057676602731</v>
      </c>
      <c r="AT30" s="196">
        <v>3.5646579606943249</v>
      </c>
      <c r="AU30" s="84">
        <v>3.9040893010036539</v>
      </c>
      <c r="AV30" s="84">
        <v>3.9176307452425245</v>
      </c>
      <c r="AW30" s="84">
        <v>3.826797408436168</v>
      </c>
      <c r="AX30" s="84">
        <v>3.7286543972802164</v>
      </c>
      <c r="AY30" s="84">
        <v>3.2568033217868133</v>
      </c>
      <c r="AZ30" s="84">
        <v>3.7094850628260456</v>
      </c>
      <c r="BA30" s="84">
        <v>3.9758237489335229</v>
      </c>
      <c r="BB30" s="84">
        <v>3.8751683920679674</v>
      </c>
      <c r="BC30" s="84">
        <v>3.6942785646588705</v>
      </c>
      <c r="BD30" s="84">
        <v>3.7709354337566574</v>
      </c>
      <c r="BE30" s="197">
        <v>1.6984118849858645</v>
      </c>
      <c r="BF30" s="197">
        <v>1.6984118849858643</v>
      </c>
      <c r="BG30" s="197">
        <v>1.6984118849858643</v>
      </c>
      <c r="BH30" s="112">
        <v>1.6984118849858649</v>
      </c>
      <c r="BI30" s="112">
        <v>1.6984118849858643</v>
      </c>
      <c r="BJ30" s="112">
        <v>1.698411884985864</v>
      </c>
      <c r="BK30" s="112">
        <v>2.1067828338580687</v>
      </c>
      <c r="BL30" s="112">
        <v>1.6984118849858647</v>
      </c>
      <c r="BM30" s="112">
        <v>2.8061838955123934</v>
      </c>
      <c r="BN30" s="112">
        <v>1.6984118849858647</v>
      </c>
      <c r="BO30" s="112">
        <v>1.6984118849858647</v>
      </c>
      <c r="BP30" s="112">
        <v>1.6984118849858647</v>
      </c>
      <c r="BQ30" s="112">
        <v>1.6984118849858645</v>
      </c>
      <c r="BR30" s="112">
        <v>1.6984118849858645</v>
      </c>
      <c r="BS30" s="112">
        <v>1.6984118849858645</v>
      </c>
      <c r="BT30" s="112">
        <v>1.6984118849858645</v>
      </c>
      <c r="BU30" s="112">
        <v>1.6984118849858645</v>
      </c>
      <c r="BV30" s="112">
        <v>2.2044366152942776</v>
      </c>
      <c r="BW30" s="112">
        <v>1.6934554300685902</v>
      </c>
      <c r="BX30" s="112">
        <v>2.1771134037544608</v>
      </c>
      <c r="BY30" s="112">
        <v>1.6934554300685902</v>
      </c>
      <c r="BZ30" s="112">
        <v>2.1771134037544608</v>
      </c>
      <c r="CA30" s="112">
        <v>1.6934554300685902</v>
      </c>
      <c r="CB30" s="112">
        <v>2.1771134037544608</v>
      </c>
      <c r="CC30" s="112">
        <v>1.6984118849858647</v>
      </c>
      <c r="CD30" s="112">
        <v>1.6984118849858647</v>
      </c>
      <c r="CE30" s="37">
        <v>2008</v>
      </c>
    </row>
    <row r="31" spans="1:83" s="112" customFormat="1">
      <c r="A31">
        <v>1993</v>
      </c>
      <c r="B31" s="84">
        <v>3.4433615824483912</v>
      </c>
      <c r="C31" s="84">
        <v>3.8397161366489008</v>
      </c>
      <c r="D31" s="84">
        <v>3.8997868819984784</v>
      </c>
      <c r="E31" s="84">
        <v>3.8990138010662632</v>
      </c>
      <c r="F31" s="84">
        <v>3.8990138010662632</v>
      </c>
      <c r="G31" s="84">
        <v>3.3284930727129352</v>
      </c>
      <c r="H31" s="84">
        <v>5.3911316486787024</v>
      </c>
      <c r="I31" s="84">
        <v>3.4743418898009915</v>
      </c>
      <c r="J31" s="84">
        <v>4.1686549804022608</v>
      </c>
      <c r="K31" s="84">
        <v>3.4743418898009915</v>
      </c>
      <c r="L31" s="84">
        <v>3.4638390228809124</v>
      </c>
      <c r="M31" s="84">
        <v>3.3447370114750572</v>
      </c>
      <c r="N31" s="84">
        <v>3.3284930727129352</v>
      </c>
      <c r="O31" s="84">
        <v>3.3447370114750572</v>
      </c>
      <c r="P31" s="84">
        <v>3.8997868819984784</v>
      </c>
      <c r="Q31" s="84">
        <v>3.8990138010662632</v>
      </c>
      <c r="R31" s="84">
        <v>3.3447370114750572</v>
      </c>
      <c r="S31" s="84">
        <v>3.3447370114750572</v>
      </c>
      <c r="T31" s="84">
        <v>3.4638390228809124</v>
      </c>
      <c r="U31" s="84">
        <v>3.8397161366489008</v>
      </c>
      <c r="V31" s="84">
        <v>5.3911316486787024</v>
      </c>
      <c r="W31" s="84">
        <v>3.8997868819984784</v>
      </c>
      <c r="X31" s="84">
        <v>3.8997868819984784</v>
      </c>
      <c r="Y31" s="84">
        <v>3.3447370114750572</v>
      </c>
      <c r="Z31" s="84">
        <v>3.3447370114750576</v>
      </c>
      <c r="AA31" s="84">
        <v>3.4281025114013657</v>
      </c>
      <c r="AB31" s="84">
        <v>2.5894769042520633</v>
      </c>
      <c r="AC31" s="84">
        <v>3.8397161366489008</v>
      </c>
      <c r="AD31" s="84">
        <v>3.8997868819984784</v>
      </c>
      <c r="AE31" s="84">
        <v>3.3447370114750572</v>
      </c>
      <c r="AF31" s="84">
        <v>3.3447370114750576</v>
      </c>
      <c r="AG31" s="84">
        <v>3.4638390228809124</v>
      </c>
      <c r="AH31" s="84">
        <v>3.8397161366489008</v>
      </c>
      <c r="AI31" s="84">
        <v>3.3447370114750576</v>
      </c>
      <c r="AJ31" s="84">
        <v>3.3447370114750572</v>
      </c>
      <c r="AK31" s="84">
        <v>3.4638390228809124</v>
      </c>
      <c r="AL31" s="84">
        <v>3.3447370114750572</v>
      </c>
      <c r="AM31" s="84">
        <v>3.8397161366489008</v>
      </c>
      <c r="AN31" s="84">
        <v>3.8997868819984784</v>
      </c>
      <c r="AO31" s="84">
        <v>3.3284930727129352</v>
      </c>
      <c r="AP31" s="84">
        <v>3.3284930727129352</v>
      </c>
      <c r="AQ31" s="84">
        <v>3.3284930727129352</v>
      </c>
      <c r="AR31" s="195">
        <v>3.4573614727660744</v>
      </c>
      <c r="AS31" s="84">
        <v>3.9404399205153946</v>
      </c>
      <c r="AT31" s="196">
        <v>3.680346732789614</v>
      </c>
      <c r="AU31" s="84">
        <v>4.0513846561147844</v>
      </c>
      <c r="AV31" s="84">
        <v>4.0621193748657181</v>
      </c>
      <c r="AW31" s="84">
        <v>3.9280468532583637</v>
      </c>
      <c r="AX31" s="84">
        <v>3.8351745961017172</v>
      </c>
      <c r="AY31" s="84">
        <v>3.3447370114750572</v>
      </c>
      <c r="AZ31" s="84">
        <v>3.828816343847111</v>
      </c>
      <c r="BA31" s="84">
        <v>4.1247773817883253</v>
      </c>
      <c r="BB31" s="84">
        <v>4.0137120399125603</v>
      </c>
      <c r="BC31" s="84">
        <v>3.8043440625029721</v>
      </c>
      <c r="BD31" s="84">
        <v>3.8753082595853861</v>
      </c>
      <c r="BE31" s="197">
        <v>1.7238880632606521</v>
      </c>
      <c r="BF31" s="197">
        <v>1.7238880632606519</v>
      </c>
      <c r="BG31" s="197">
        <v>1.7238880632606519</v>
      </c>
      <c r="BH31" s="112">
        <v>1.7238880632606526</v>
      </c>
      <c r="BI31" s="112">
        <v>1.7238880632606519</v>
      </c>
      <c r="BJ31" s="112">
        <v>1.7238880632606519</v>
      </c>
      <c r="BK31" s="112">
        <v>2.1868405815446756</v>
      </c>
      <c r="BL31" s="112">
        <v>1.7238880632606526</v>
      </c>
      <c r="BM31" s="112">
        <v>1.9306545201125265</v>
      </c>
      <c r="BN31" s="112">
        <v>1.7238880632606526</v>
      </c>
      <c r="BO31" s="112">
        <v>1.7238880632606526</v>
      </c>
      <c r="BP31" s="112">
        <v>1.7238880632606526</v>
      </c>
      <c r="BQ31" s="112">
        <v>1.7238880632606521</v>
      </c>
      <c r="BR31" s="112">
        <v>1.7238880632606521</v>
      </c>
      <c r="BS31" s="112">
        <v>1.7238880632606521</v>
      </c>
      <c r="BT31" s="112">
        <v>1.7238880632606521</v>
      </c>
      <c r="BU31" s="112">
        <v>1.7238880632606521</v>
      </c>
      <c r="BV31" s="112">
        <v>2.2882052066754603</v>
      </c>
      <c r="BW31" s="112">
        <v>1.7188572615196189</v>
      </c>
      <c r="BX31" s="112">
        <v>2.2576401394607339</v>
      </c>
      <c r="BY31" s="112">
        <v>1.7188572615196189</v>
      </c>
      <c r="BZ31" s="112">
        <v>2.2576401394607339</v>
      </c>
      <c r="CA31" s="112">
        <v>1.7188572615196189</v>
      </c>
      <c r="CB31" s="112">
        <v>2.2576401394607339</v>
      </c>
      <c r="CC31" s="112">
        <v>1.7238880632606526</v>
      </c>
      <c r="CD31" s="112">
        <v>1.7238880632606526</v>
      </c>
      <c r="CE31" s="36">
        <v>2009</v>
      </c>
    </row>
    <row r="32" spans="1:83" s="112" customFormat="1">
      <c r="A32">
        <v>1994</v>
      </c>
      <c r="B32" s="84">
        <v>3.5122288140973592</v>
      </c>
      <c r="C32" s="84">
        <v>3.9165104593818789</v>
      </c>
      <c r="D32" s="84">
        <v>3.977782619638448</v>
      </c>
      <c r="E32" s="84">
        <v>3.9769940770875887</v>
      </c>
      <c r="F32" s="84">
        <v>3.9769940770875887</v>
      </c>
      <c r="G32" s="84">
        <v>3.3950629341671941</v>
      </c>
      <c r="H32" s="84">
        <v>5.498954281652277</v>
      </c>
      <c r="I32" s="84">
        <v>3.6202642491726333</v>
      </c>
      <c r="J32" s="84">
        <v>4.2753725479005587</v>
      </c>
      <c r="K32" s="84">
        <v>3.6202642491726333</v>
      </c>
      <c r="L32" s="84">
        <v>3.5331158033385308</v>
      </c>
      <c r="M32" s="84">
        <v>3.4116317517045585</v>
      </c>
      <c r="N32" s="84">
        <v>3.3950629341671941</v>
      </c>
      <c r="O32" s="84">
        <v>3.4116317517045585</v>
      </c>
      <c r="P32" s="84">
        <v>3.977782619638448</v>
      </c>
      <c r="Q32" s="84">
        <v>3.9769940770875887</v>
      </c>
      <c r="R32" s="84">
        <v>3.4116317517045585</v>
      </c>
      <c r="S32" s="84">
        <v>3.4116317517045585</v>
      </c>
      <c r="T32" s="84">
        <v>3.5331158033385308</v>
      </c>
      <c r="U32" s="84">
        <v>3.9165104593818789</v>
      </c>
      <c r="V32" s="84">
        <v>5.498954281652277</v>
      </c>
      <c r="W32" s="84">
        <v>3.977782619638448</v>
      </c>
      <c r="X32" s="84">
        <v>3.977782619638448</v>
      </c>
      <c r="Y32" s="84">
        <v>3.4116317517045585</v>
      </c>
      <c r="Z32" s="84">
        <v>3.4116317517045589</v>
      </c>
      <c r="AA32" s="84">
        <v>3.4589554340039776</v>
      </c>
      <c r="AB32" s="84">
        <v>2.9547262159681842</v>
      </c>
      <c r="AC32" s="84">
        <v>3.9165104593818789</v>
      </c>
      <c r="AD32" s="84">
        <v>3.977782619638448</v>
      </c>
      <c r="AE32" s="84">
        <v>3.4116317517045585</v>
      </c>
      <c r="AF32" s="84">
        <v>3.4116317517045589</v>
      </c>
      <c r="AG32" s="84">
        <v>3.5331158033385308</v>
      </c>
      <c r="AH32" s="84">
        <v>3.9165104593818789</v>
      </c>
      <c r="AI32" s="84">
        <v>3.4116317517045589</v>
      </c>
      <c r="AJ32" s="84">
        <v>3.4116317517045585</v>
      </c>
      <c r="AK32" s="84">
        <v>3.5331158033385308</v>
      </c>
      <c r="AL32" s="84">
        <v>3.4116317517045585</v>
      </c>
      <c r="AM32" s="84">
        <v>3.9165104593818789</v>
      </c>
      <c r="AN32" s="84">
        <v>3.977782619638448</v>
      </c>
      <c r="AO32" s="84">
        <v>3.3950629341671941</v>
      </c>
      <c r="AP32" s="84">
        <v>3.3950629341671941</v>
      </c>
      <c r="AQ32" s="84">
        <v>3.3950629341671941</v>
      </c>
      <c r="AR32" s="195">
        <v>3.5260447243117508</v>
      </c>
      <c r="AS32" s="84">
        <v>4.0287881248088011</v>
      </c>
      <c r="AT32" s="196">
        <v>3.7348493555901685</v>
      </c>
      <c r="AU32" s="84">
        <v>4.1541358737631677</v>
      </c>
      <c r="AV32" s="84">
        <v>4.1633366656922215</v>
      </c>
      <c r="AW32" s="84">
        <v>4.0794951558171038</v>
      </c>
      <c r="AX32" s="84">
        <v>3.9059719191457547</v>
      </c>
      <c r="AY32" s="84">
        <v>3.4116317517045585</v>
      </c>
      <c r="AZ32" s="84">
        <v>3.8959289853669663</v>
      </c>
      <c r="BA32" s="84">
        <v>4.2289187711771454</v>
      </c>
      <c r="BB32" s="84">
        <v>4.1123588067507892</v>
      </c>
      <c r="BC32" s="84">
        <v>3.8736912206188037</v>
      </c>
      <c r="BD32" s="84">
        <v>3.9599932238827864</v>
      </c>
      <c r="BE32" s="197">
        <v>1.7376791677667374</v>
      </c>
      <c r="BF32" s="197">
        <v>1.7376791677667371</v>
      </c>
      <c r="BG32" s="197">
        <v>1.7376791677667371</v>
      </c>
      <c r="BH32" s="112">
        <v>1.7376791677667378</v>
      </c>
      <c r="BI32" s="112">
        <v>1.7376791677667371</v>
      </c>
      <c r="BJ32" s="112">
        <v>1.7376791677667369</v>
      </c>
      <c r="BK32" s="112">
        <v>2.2409648859379061</v>
      </c>
      <c r="BL32" s="112">
        <v>1.7376791677667378</v>
      </c>
      <c r="BM32" s="112">
        <v>2.419110113700996</v>
      </c>
      <c r="BN32" s="112">
        <v>1.7376791677667378</v>
      </c>
      <c r="BO32" s="112">
        <v>1.7376791677667378</v>
      </c>
      <c r="BP32" s="112">
        <v>1.7376791677667378</v>
      </c>
      <c r="BQ32" s="112">
        <v>1.7376791677667374</v>
      </c>
      <c r="BR32" s="112">
        <v>1.7376791677667374</v>
      </c>
      <c r="BS32" s="112">
        <v>1.7376791677667374</v>
      </c>
      <c r="BT32" s="112">
        <v>1.7376791677667374</v>
      </c>
      <c r="BU32" s="112">
        <v>1.7376791677667374</v>
      </c>
      <c r="BV32" s="112">
        <v>2.3688644402107704</v>
      </c>
      <c r="BW32" s="112">
        <v>1.7326081196117757</v>
      </c>
      <c r="BX32" s="112">
        <v>2.3345720373195222</v>
      </c>
      <c r="BY32" s="112">
        <v>1.7326081196117757</v>
      </c>
      <c r="BZ32" s="112">
        <v>2.3345720373195222</v>
      </c>
      <c r="CA32" s="112">
        <v>1.7326081196117757</v>
      </c>
      <c r="CB32" s="112">
        <v>2.3345720373195222</v>
      </c>
      <c r="CC32" s="112">
        <v>1.7376791677667378</v>
      </c>
      <c r="CD32" s="112">
        <v>1.7376791677667378</v>
      </c>
      <c r="CE32" s="34">
        <v>2010</v>
      </c>
    </row>
    <row r="33" spans="1:83" s="112" customFormat="1">
      <c r="A33">
        <v>1995</v>
      </c>
      <c r="B33" s="84">
        <v>3.5789611615652088</v>
      </c>
      <c r="C33" s="84">
        <v>3.9909241581101345</v>
      </c>
      <c r="D33" s="84">
        <v>4.0533604894115784</v>
      </c>
      <c r="E33" s="84">
        <v>4.0525569645522523</v>
      </c>
      <c r="F33" s="84">
        <v>4.0525569645522523</v>
      </c>
      <c r="G33" s="84">
        <v>3.4595691299163702</v>
      </c>
      <c r="H33" s="84">
        <v>5.6034344130036695</v>
      </c>
      <c r="I33" s="84">
        <v>3.7614545548903657</v>
      </c>
      <c r="J33" s="84">
        <v>4.3822568615980719</v>
      </c>
      <c r="K33" s="84">
        <v>3.7614545548903657</v>
      </c>
      <c r="L33" s="84">
        <v>3.6002450036019624</v>
      </c>
      <c r="M33" s="84">
        <v>3.4764527549869446</v>
      </c>
      <c r="N33" s="84">
        <v>3.4595691299163702</v>
      </c>
      <c r="O33" s="84">
        <v>3.4764527549869446</v>
      </c>
      <c r="P33" s="84">
        <v>4.0533604894115784</v>
      </c>
      <c r="Q33" s="84">
        <v>4.0525569645522523</v>
      </c>
      <c r="R33" s="84">
        <v>3.4764527549869446</v>
      </c>
      <c r="S33" s="84">
        <v>3.4764527549869446</v>
      </c>
      <c r="T33" s="84">
        <v>3.6002450036019624</v>
      </c>
      <c r="U33" s="84">
        <v>3.9909241581101345</v>
      </c>
      <c r="V33" s="84">
        <v>5.6034344130036695</v>
      </c>
      <c r="W33" s="84">
        <v>4.0533604894115784</v>
      </c>
      <c r="X33" s="84">
        <v>4.0533604894115784</v>
      </c>
      <c r="Y33" s="84">
        <v>3.4764527549869446</v>
      </c>
      <c r="Z33" s="84">
        <v>3.4764527549869451</v>
      </c>
      <c r="AA33" s="84">
        <v>3.5108397655140369</v>
      </c>
      <c r="AB33" s="84">
        <v>2.5882532884674196</v>
      </c>
      <c r="AC33" s="84">
        <v>3.9909241581101345</v>
      </c>
      <c r="AD33" s="84">
        <v>4.0533604894115784</v>
      </c>
      <c r="AE33" s="84">
        <v>3.4764527549869446</v>
      </c>
      <c r="AF33" s="84">
        <v>3.4764527549869451</v>
      </c>
      <c r="AG33" s="84">
        <v>3.6002450036019624</v>
      </c>
      <c r="AH33" s="84">
        <v>3.9909241581101345</v>
      </c>
      <c r="AI33" s="84">
        <v>3.4764527549869451</v>
      </c>
      <c r="AJ33" s="84">
        <v>3.4764527549869446</v>
      </c>
      <c r="AK33" s="84">
        <v>3.6002450036019624</v>
      </c>
      <c r="AL33" s="84">
        <v>3.4764527549869446</v>
      </c>
      <c r="AM33" s="84">
        <v>3.9909241581101345</v>
      </c>
      <c r="AN33" s="84">
        <v>4.0533604894115784</v>
      </c>
      <c r="AO33" s="84">
        <v>3.4595691299163702</v>
      </c>
      <c r="AP33" s="84">
        <v>3.4595691299163702</v>
      </c>
      <c r="AQ33" s="84">
        <v>3.4595691299163702</v>
      </c>
      <c r="AR33" s="195">
        <v>3.5928703239269075</v>
      </c>
      <c r="AS33" s="84">
        <v>4.0715191833845665</v>
      </c>
      <c r="AT33" s="196">
        <v>3.7990409584345679</v>
      </c>
      <c r="AU33" s="84">
        <v>4.2570271727388826</v>
      </c>
      <c r="AV33" s="84">
        <v>4.264554874041198</v>
      </c>
      <c r="AW33" s="84">
        <v>4.0883901991892264</v>
      </c>
      <c r="AX33" s="84">
        <v>3.9779980413348026</v>
      </c>
      <c r="AY33" s="84">
        <v>3.4764527549869446</v>
      </c>
      <c r="AZ33" s="84">
        <v>3.9643430567216047</v>
      </c>
      <c r="BA33" s="84">
        <v>4.3330482838635946</v>
      </c>
      <c r="BB33" s="84">
        <v>4.2108769417405956</v>
      </c>
      <c r="BC33" s="84">
        <v>3.9393544456022247</v>
      </c>
      <c r="BD33" s="84">
        <v>4.0236083493480779</v>
      </c>
      <c r="BE33" s="197">
        <v>1.7724327511220721</v>
      </c>
      <c r="BF33" s="197">
        <v>1.7724327511220719</v>
      </c>
      <c r="BG33" s="197">
        <v>1.7724327511220719</v>
      </c>
      <c r="BH33" s="112">
        <v>1.7724327511220728</v>
      </c>
      <c r="BI33" s="112">
        <v>1.7724327511220719</v>
      </c>
      <c r="BJ33" s="112">
        <v>1.7724327511220719</v>
      </c>
      <c r="BK33" s="112">
        <v>2.2521697103675957</v>
      </c>
      <c r="BL33" s="112">
        <v>1.7724327511220728</v>
      </c>
      <c r="BM33" s="112">
        <v>3.0045347612166369</v>
      </c>
      <c r="BN33" s="112">
        <v>1.7724327511220728</v>
      </c>
      <c r="BO33" s="112">
        <v>1.7724327511220728</v>
      </c>
      <c r="BP33" s="112">
        <v>1.7724327511220728</v>
      </c>
      <c r="BQ33" s="112">
        <v>1.7724327511220721</v>
      </c>
      <c r="BR33" s="112">
        <v>1.7724327511220721</v>
      </c>
      <c r="BS33" s="112">
        <v>1.7724327511220721</v>
      </c>
      <c r="BT33" s="112">
        <v>1.7724327511220721</v>
      </c>
      <c r="BU33" s="112">
        <v>1.7724327511220721</v>
      </c>
      <c r="BV33" s="112">
        <v>2.4138728645747749</v>
      </c>
      <c r="BW33" s="112">
        <v>1.7672602820040115</v>
      </c>
      <c r="BX33" s="112">
        <v>2.3790269286485435</v>
      </c>
      <c r="BY33" s="112">
        <v>1.7672602820040115</v>
      </c>
      <c r="BZ33" s="112">
        <v>2.3790269286485435</v>
      </c>
      <c r="CA33" s="112">
        <v>1.7672602820040115</v>
      </c>
      <c r="CB33" s="112">
        <v>2.3790269286485435</v>
      </c>
      <c r="CC33" s="112">
        <v>1.7724327511220728</v>
      </c>
      <c r="CD33" s="112">
        <v>1.7724327511220728</v>
      </c>
      <c r="CE33" s="35">
        <v>2011</v>
      </c>
    </row>
    <row r="34" spans="1:83" s="112" customFormat="1">
      <c r="A34">
        <v>1996</v>
      </c>
      <c r="B34" s="84">
        <v>3.6505403847965132</v>
      </c>
      <c r="C34" s="84">
        <v>4.0707426412723375</v>
      </c>
      <c r="D34" s="84">
        <v>4.1344276991998097</v>
      </c>
      <c r="E34" s="84">
        <v>4.1336081038432972</v>
      </c>
      <c r="F34" s="84">
        <v>4.1336081038432972</v>
      </c>
      <c r="G34" s="84">
        <v>3.5287605125146975</v>
      </c>
      <c r="H34" s="84">
        <v>5.7155031012637432</v>
      </c>
      <c r="I34" s="84">
        <v>3.8178763732137209</v>
      </c>
      <c r="J34" s="84">
        <v>4.4896221547072246</v>
      </c>
      <c r="K34" s="84">
        <v>3.8178763732137209</v>
      </c>
      <c r="L34" s="84">
        <v>3.6722499036740017</v>
      </c>
      <c r="M34" s="84">
        <v>3.5459818100866838</v>
      </c>
      <c r="N34" s="84">
        <v>3.5287605125146975</v>
      </c>
      <c r="O34" s="84">
        <v>3.5459818100866838</v>
      </c>
      <c r="P34" s="84">
        <v>4.1344276991998097</v>
      </c>
      <c r="Q34" s="84">
        <v>4.1336081038432972</v>
      </c>
      <c r="R34" s="84">
        <v>3.5459818100866838</v>
      </c>
      <c r="S34" s="84">
        <v>3.5459818100866838</v>
      </c>
      <c r="T34" s="84">
        <v>3.6722499036740017</v>
      </c>
      <c r="U34" s="84">
        <v>4.0707426412723375</v>
      </c>
      <c r="V34" s="84">
        <v>5.7155031012637432</v>
      </c>
      <c r="W34" s="84">
        <v>4.1344276991998097</v>
      </c>
      <c r="X34" s="84">
        <v>4.1344276991998097</v>
      </c>
      <c r="Y34" s="84">
        <v>3.5459818100866838</v>
      </c>
      <c r="Z34" s="84">
        <v>3.5459818100866842</v>
      </c>
      <c r="AA34" s="84">
        <v>3.5810565608243179</v>
      </c>
      <c r="AB34" s="84">
        <v>2.7332517589476888</v>
      </c>
      <c r="AC34" s="84">
        <v>4.0707426412723375</v>
      </c>
      <c r="AD34" s="84">
        <v>4.1344276991998097</v>
      </c>
      <c r="AE34" s="84">
        <v>3.5459818100866838</v>
      </c>
      <c r="AF34" s="84">
        <v>3.5459818100866842</v>
      </c>
      <c r="AG34" s="84">
        <v>3.6722499036740017</v>
      </c>
      <c r="AH34" s="84">
        <v>4.0707426412723375</v>
      </c>
      <c r="AI34" s="84">
        <v>3.5459818100866842</v>
      </c>
      <c r="AJ34" s="84">
        <v>3.5459818100866838</v>
      </c>
      <c r="AK34" s="84">
        <v>3.6722499036740017</v>
      </c>
      <c r="AL34" s="84">
        <v>3.5459818100866838</v>
      </c>
      <c r="AM34" s="84">
        <v>4.0707426412723375</v>
      </c>
      <c r="AN34" s="84">
        <v>4.1344276991998097</v>
      </c>
      <c r="AO34" s="84">
        <v>3.5287605125146975</v>
      </c>
      <c r="AP34" s="84">
        <v>3.5287605125146975</v>
      </c>
      <c r="AQ34" s="84">
        <v>3.5287605125146975</v>
      </c>
      <c r="AR34" s="195">
        <v>3.6647277304054455</v>
      </c>
      <c r="AS34" s="84">
        <v>4.1601213991592445</v>
      </c>
      <c r="AT34" s="196">
        <v>3.8750217776032594</v>
      </c>
      <c r="AU34" s="84">
        <v>4.3606155434467242</v>
      </c>
      <c r="AV34" s="84">
        <v>4.3669485423888776</v>
      </c>
      <c r="AW34" s="84">
        <v>4.1904224868193252</v>
      </c>
      <c r="AX34" s="84">
        <v>4.0575580021614988</v>
      </c>
      <c r="AY34" s="84">
        <v>3.5459818100866838</v>
      </c>
      <c r="AZ34" s="84">
        <v>4.0436299178560366</v>
      </c>
      <c r="BA34" s="84">
        <v>4.4379658985276826</v>
      </c>
      <c r="BB34" s="84">
        <v>4.311005910731315</v>
      </c>
      <c r="BC34" s="84">
        <v>4.0191206612712396</v>
      </c>
      <c r="BD34" s="84">
        <v>4.106544452157773</v>
      </c>
      <c r="BE34" s="197">
        <v>1.8043365406422693</v>
      </c>
      <c r="BF34" s="197">
        <v>1.8043365406422693</v>
      </c>
      <c r="BG34" s="197">
        <v>1.8043365406422693</v>
      </c>
      <c r="BH34" s="112">
        <v>1.80433654064227</v>
      </c>
      <c r="BI34" s="112">
        <v>1.8043365406422693</v>
      </c>
      <c r="BJ34" s="112">
        <v>1.8043365406422691</v>
      </c>
      <c r="BK34" s="112">
        <v>2.2521697103675957</v>
      </c>
      <c r="BL34" s="112">
        <v>1.80433654064227</v>
      </c>
      <c r="BM34" s="112">
        <v>3.0976753388143528</v>
      </c>
      <c r="BN34" s="112">
        <v>1.80433654064227</v>
      </c>
      <c r="BO34" s="112">
        <v>1.80433654064227</v>
      </c>
      <c r="BP34" s="112">
        <v>1.80433654064227</v>
      </c>
      <c r="BQ34" s="112">
        <v>1.8043365406422693</v>
      </c>
      <c r="BR34" s="112">
        <v>1.8043365406422693</v>
      </c>
      <c r="BS34" s="112">
        <v>1.8043365406422693</v>
      </c>
      <c r="BT34" s="112">
        <v>1.8043365406422693</v>
      </c>
      <c r="BU34" s="112">
        <v>1.8043365406422693</v>
      </c>
      <c r="BV34" s="112">
        <v>2.4512878939756844</v>
      </c>
      <c r="BW34" s="112">
        <v>1.7990709670800835</v>
      </c>
      <c r="BX34" s="112">
        <v>2.416151803723471</v>
      </c>
      <c r="BY34" s="112">
        <v>1.7990709670800835</v>
      </c>
      <c r="BZ34" s="112">
        <v>2.416151803723471</v>
      </c>
      <c r="CA34" s="112">
        <v>1.7990709670800835</v>
      </c>
      <c r="CB34" s="112">
        <v>2.416151803723471</v>
      </c>
      <c r="CC34" s="112">
        <v>1.80433654064227</v>
      </c>
      <c r="CD34" s="112">
        <v>1.80433654064227</v>
      </c>
      <c r="CE34" s="35">
        <v>2012</v>
      </c>
    </row>
    <row r="35" spans="1:83" s="112" customFormat="1">
      <c r="A35">
        <v>1997</v>
      </c>
      <c r="B35" s="84">
        <v>3.7162501117228506</v>
      </c>
      <c r="C35" s="84">
        <v>4.1440160088152398</v>
      </c>
      <c r="D35" s="84">
        <v>4.208847397785406</v>
      </c>
      <c r="E35" s="84">
        <v>4.208013049712477</v>
      </c>
      <c r="F35" s="84">
        <v>4.208013049712477</v>
      </c>
      <c r="G35" s="84">
        <v>3.5922782017399619</v>
      </c>
      <c r="H35" s="84">
        <v>5.8183821570864902</v>
      </c>
      <c r="I35" s="84">
        <v>3.852237260572644</v>
      </c>
      <c r="J35" s="84">
        <v>4.6175763861163803</v>
      </c>
      <c r="K35" s="84">
        <v>3.852237260572644</v>
      </c>
      <c r="L35" s="84">
        <v>3.7383504019401337</v>
      </c>
      <c r="M35" s="84">
        <v>3.6098094826682443</v>
      </c>
      <c r="N35" s="84">
        <v>3.5922782017399619</v>
      </c>
      <c r="O35" s="84">
        <v>3.6098094826682443</v>
      </c>
      <c r="P35" s="84">
        <v>4.208847397785406</v>
      </c>
      <c r="Q35" s="84">
        <v>4.208013049712477</v>
      </c>
      <c r="R35" s="84">
        <v>3.6098094826682443</v>
      </c>
      <c r="S35" s="84">
        <v>3.6098094826682443</v>
      </c>
      <c r="T35" s="84">
        <v>3.7383504019401337</v>
      </c>
      <c r="U35" s="84">
        <v>4.1440160088152398</v>
      </c>
      <c r="V35" s="84">
        <v>5.8183821570864902</v>
      </c>
      <c r="W35" s="84">
        <v>4.208847397785406</v>
      </c>
      <c r="X35" s="84">
        <v>4.208847397785406</v>
      </c>
      <c r="Y35" s="84">
        <v>3.6098094826682443</v>
      </c>
      <c r="Z35" s="84">
        <v>3.6098094826682448</v>
      </c>
      <c r="AA35" s="84">
        <v>3.6795356162469868</v>
      </c>
      <c r="AB35" s="84">
        <v>2.7687366167023542</v>
      </c>
      <c r="AC35" s="84">
        <v>4.1440160088152398</v>
      </c>
      <c r="AD35" s="84">
        <v>4.208847397785406</v>
      </c>
      <c r="AE35" s="84">
        <v>3.6098094826682443</v>
      </c>
      <c r="AF35" s="84">
        <v>3.6098094826682448</v>
      </c>
      <c r="AG35" s="84">
        <v>3.7383504019401337</v>
      </c>
      <c r="AH35" s="84">
        <v>4.1440160088152398</v>
      </c>
      <c r="AI35" s="84">
        <v>3.6098094826682448</v>
      </c>
      <c r="AJ35" s="84">
        <v>3.6098094826682443</v>
      </c>
      <c r="AK35" s="84">
        <v>3.7383504019401337</v>
      </c>
      <c r="AL35" s="84">
        <v>3.6098094826682443</v>
      </c>
      <c r="AM35" s="84">
        <v>4.1440160088152398</v>
      </c>
      <c r="AN35" s="84">
        <v>4.208847397785406</v>
      </c>
      <c r="AO35" s="84">
        <v>3.5922782017399619</v>
      </c>
      <c r="AP35" s="84">
        <v>3.5922782017399619</v>
      </c>
      <c r="AQ35" s="84">
        <v>3.5922782017399619</v>
      </c>
      <c r="AR35" s="195">
        <v>3.731162830884168</v>
      </c>
      <c r="AS35" s="84">
        <v>4.2519753814735388</v>
      </c>
      <c r="AT35" s="196">
        <v>3.9623097431611947</v>
      </c>
      <c r="AU35" s="84">
        <v>4.4832447737595329</v>
      </c>
      <c r="AV35" s="84">
        <v>4.4862297766973862</v>
      </c>
      <c r="AW35" s="84">
        <v>4.2713130270755011</v>
      </c>
      <c r="AX35" s="84">
        <v>4.1359905983432812</v>
      </c>
      <c r="AY35" s="84">
        <v>3.6098094826682443</v>
      </c>
      <c r="AZ35" s="84">
        <v>4.1260265603291977</v>
      </c>
      <c r="BA35" s="84">
        <v>4.5606687767748308</v>
      </c>
      <c r="BB35" s="84">
        <v>4.4260476900627266</v>
      </c>
      <c r="BC35" s="84">
        <v>4.100612840638501</v>
      </c>
      <c r="BD35" s="84">
        <v>4.1824923862014227</v>
      </c>
      <c r="BE35" s="197">
        <v>1.8314015887519033</v>
      </c>
      <c r="BF35" s="197">
        <v>1.8314015887519033</v>
      </c>
      <c r="BG35" s="197">
        <v>1.8314015887519033</v>
      </c>
      <c r="BH35" s="112">
        <v>1.831401588751904</v>
      </c>
      <c r="BI35" s="112">
        <v>1.8314015887519033</v>
      </c>
      <c r="BJ35" s="112">
        <v>1.8314015887519028</v>
      </c>
      <c r="BK35" s="112">
        <v>2.2521697103675957</v>
      </c>
      <c r="BL35" s="112">
        <v>1.8314015887519037</v>
      </c>
      <c r="BM35" s="112">
        <v>3.3578800672747589</v>
      </c>
      <c r="BN35" s="112">
        <v>1.8314015887519037</v>
      </c>
      <c r="BO35" s="112">
        <v>1.8314015887519037</v>
      </c>
      <c r="BP35" s="112">
        <v>1.8314015887519037</v>
      </c>
      <c r="BQ35" s="112">
        <v>1.8314015887519033</v>
      </c>
      <c r="BR35" s="112">
        <v>1.8314015887519033</v>
      </c>
      <c r="BS35" s="112">
        <v>1.8314015887519033</v>
      </c>
      <c r="BT35" s="112">
        <v>1.8314015887519033</v>
      </c>
      <c r="BU35" s="112">
        <v>1.8314015887519033</v>
      </c>
      <c r="BV35" s="112">
        <v>2.492346966199777</v>
      </c>
      <c r="BW35" s="112">
        <v>1.8260570315862845</v>
      </c>
      <c r="BX35" s="112">
        <v>2.4564442265924482</v>
      </c>
      <c r="BY35" s="112">
        <v>1.8260570315862845</v>
      </c>
      <c r="BZ35" s="112">
        <v>2.4564442265924482</v>
      </c>
      <c r="CA35" s="112">
        <v>1.8260570315862845</v>
      </c>
      <c r="CB35" s="112">
        <v>2.4564442265924482</v>
      </c>
      <c r="CC35" s="112">
        <v>1.8314015887519037</v>
      </c>
      <c r="CD35" s="112">
        <v>1.8314015887519037</v>
      </c>
      <c r="CE35" s="35">
        <v>2013</v>
      </c>
    </row>
    <row r="36" spans="1:83" s="112" customFormat="1">
      <c r="A36">
        <v>1998</v>
      </c>
      <c r="B36" s="84">
        <v>3.7422638625049101</v>
      </c>
      <c r="C36" s="84">
        <v>4.1730241208769456</v>
      </c>
      <c r="D36" s="84">
        <v>4.238309329569903</v>
      </c>
      <c r="E36" s="84">
        <v>4.2374691410604637</v>
      </c>
      <c r="F36" s="84">
        <v>4.2374691410604637</v>
      </c>
      <c r="G36" s="84">
        <v>3.6174241491521415</v>
      </c>
      <c r="H36" s="84">
        <v>5.8591108321860954</v>
      </c>
      <c r="I36" s="84">
        <v>3.8830551586572253</v>
      </c>
      <c r="J36" s="84">
        <v>4.7491773131206969</v>
      </c>
      <c r="K36" s="84">
        <v>3.8830551586572253</v>
      </c>
      <c r="L36" s="84">
        <v>3.7645188547537143</v>
      </c>
      <c r="M36" s="84">
        <v>3.6350781490469215</v>
      </c>
      <c r="N36" s="84">
        <v>3.6174241491521415</v>
      </c>
      <c r="O36" s="84">
        <v>3.6350781490469215</v>
      </c>
      <c r="P36" s="84">
        <v>4.238309329569903</v>
      </c>
      <c r="Q36" s="84">
        <v>4.2374691410604637</v>
      </c>
      <c r="R36" s="84">
        <v>3.6350781490469215</v>
      </c>
      <c r="S36" s="84">
        <v>3.6350781490469215</v>
      </c>
      <c r="T36" s="84">
        <v>3.7645188547537143</v>
      </c>
      <c r="U36" s="84">
        <v>4.1730241208769456</v>
      </c>
      <c r="V36" s="84">
        <v>5.8591108321860954</v>
      </c>
      <c r="W36" s="84">
        <v>4.238309329569903</v>
      </c>
      <c r="X36" s="84">
        <v>4.238309329569903</v>
      </c>
      <c r="Y36" s="84">
        <v>3.6350781490469215</v>
      </c>
      <c r="Z36" s="84">
        <v>3.6350781490469219</v>
      </c>
      <c r="AA36" s="84">
        <v>3.7844023813100258</v>
      </c>
      <c r="AB36" s="84">
        <v>3.314163352707248</v>
      </c>
      <c r="AC36" s="84">
        <v>4.1730241208769456</v>
      </c>
      <c r="AD36" s="84">
        <v>4.238309329569903</v>
      </c>
      <c r="AE36" s="84">
        <v>3.6350781490469215</v>
      </c>
      <c r="AF36" s="84">
        <v>3.6350781490469219</v>
      </c>
      <c r="AG36" s="84">
        <v>3.7645188547537143</v>
      </c>
      <c r="AH36" s="84">
        <v>4.1730241208769456</v>
      </c>
      <c r="AI36" s="84">
        <v>3.6350781490469219</v>
      </c>
      <c r="AJ36" s="84">
        <v>3.6350781490469215</v>
      </c>
      <c r="AK36" s="84">
        <v>3.7645188547537143</v>
      </c>
      <c r="AL36" s="84">
        <v>3.6350781490469215</v>
      </c>
      <c r="AM36" s="84">
        <v>4.1730241208769456</v>
      </c>
      <c r="AN36" s="84">
        <v>4.238309329569903</v>
      </c>
      <c r="AO36" s="84">
        <v>3.6174241491521415</v>
      </c>
      <c r="AP36" s="84">
        <v>3.6174241491521415</v>
      </c>
      <c r="AQ36" s="84">
        <v>3.6174241491521415</v>
      </c>
      <c r="AR36" s="195">
        <v>3.7583719627121082</v>
      </c>
      <c r="AS36" s="84">
        <v>4.3659003728629378</v>
      </c>
      <c r="AT36" s="196">
        <v>4.0310306565381717</v>
      </c>
      <c r="AU36" s="84">
        <v>4.6068724900183389</v>
      </c>
      <c r="AV36" s="84">
        <v>4.6027250511778206</v>
      </c>
      <c r="AW36" s="84">
        <v>4.4249970609435296</v>
      </c>
      <c r="AX36" s="84">
        <v>4.1773918642326979</v>
      </c>
      <c r="AY36" s="84">
        <v>3.6350781490469215</v>
      </c>
      <c r="AZ36" s="84">
        <v>4.1774587192116686</v>
      </c>
      <c r="BA36" s="84">
        <v>4.6844998273683816</v>
      </c>
      <c r="BB36" s="84">
        <v>4.5353847887551151</v>
      </c>
      <c r="BC36" s="84">
        <v>4.1573733447119796</v>
      </c>
      <c r="BD36" s="84">
        <v>4.2307552604980039</v>
      </c>
      <c r="BE36" s="197">
        <v>1.8588726125831816</v>
      </c>
      <c r="BF36" s="197">
        <v>1.8588726125831816</v>
      </c>
      <c r="BG36" s="197">
        <v>1.8588726125831816</v>
      </c>
      <c r="BH36" s="112">
        <v>1.8588726125831823</v>
      </c>
      <c r="BI36" s="112">
        <v>1.8588726125831816</v>
      </c>
      <c r="BJ36" s="112">
        <v>1.8588726125831814</v>
      </c>
      <c r="BK36" s="112">
        <v>2.2690609831953528</v>
      </c>
      <c r="BL36" s="112">
        <v>1.8588726125831823</v>
      </c>
      <c r="BM36" s="112">
        <v>3.2605015453237907</v>
      </c>
      <c r="BN36" s="112">
        <v>1.8588726125831823</v>
      </c>
      <c r="BO36" s="112">
        <v>1.8588726125831823</v>
      </c>
      <c r="BP36" s="112">
        <v>1.8588726125831823</v>
      </c>
      <c r="BQ36" s="112">
        <v>1.8588726125831816</v>
      </c>
      <c r="BR36" s="112">
        <v>1.8588726125831816</v>
      </c>
      <c r="BS36" s="112">
        <v>1.8588726125831816</v>
      </c>
      <c r="BT36" s="112">
        <v>1.8588726125831816</v>
      </c>
      <c r="BU36" s="112">
        <v>1.8588726125831816</v>
      </c>
      <c r="BV36" s="112">
        <v>2.5216320430526245</v>
      </c>
      <c r="BW36" s="112">
        <v>1.8534478870600786</v>
      </c>
      <c r="BX36" s="112">
        <v>2.4856432021597019</v>
      </c>
      <c r="BY36" s="112">
        <v>1.8534478870600786</v>
      </c>
      <c r="BZ36" s="112">
        <v>2.4856432021597019</v>
      </c>
      <c r="CA36" s="112">
        <v>1.8534478870600786</v>
      </c>
      <c r="CB36" s="112">
        <v>2.4856432021597019</v>
      </c>
      <c r="CC36" s="112">
        <v>1.8588726125831823</v>
      </c>
      <c r="CD36" s="112">
        <v>1.8588726125831823</v>
      </c>
      <c r="CE36" s="36">
        <v>2014</v>
      </c>
    </row>
    <row r="37" spans="1:83" s="112" customFormat="1">
      <c r="A37">
        <v>1999</v>
      </c>
      <c r="B37" s="84">
        <v>3.7722019734049494</v>
      </c>
      <c r="C37" s="84">
        <v>4.2064083138439612</v>
      </c>
      <c r="D37" s="84">
        <v>4.2722158042064624</v>
      </c>
      <c r="E37" s="84">
        <v>4.2713688941889476</v>
      </c>
      <c r="F37" s="84">
        <v>4.2713688941889476</v>
      </c>
      <c r="G37" s="84">
        <v>3.6463635423453589</v>
      </c>
      <c r="H37" s="84">
        <v>5.9059837188435846</v>
      </c>
      <c r="I37" s="84">
        <v>3.8481076622293102</v>
      </c>
      <c r="J37" s="84">
        <v>4.9106493417668009</v>
      </c>
      <c r="K37" s="84">
        <v>3.8481076622293102</v>
      </c>
      <c r="L37" s="84">
        <v>3.7946350055917439</v>
      </c>
      <c r="M37" s="84">
        <v>3.6641587742392967</v>
      </c>
      <c r="N37" s="84">
        <v>3.6463635423453589</v>
      </c>
      <c r="O37" s="84">
        <v>3.6641587742392967</v>
      </c>
      <c r="P37" s="84">
        <v>4.2722158042064624</v>
      </c>
      <c r="Q37" s="84">
        <v>4.2713688941889476</v>
      </c>
      <c r="R37" s="84">
        <v>3.6641587742392967</v>
      </c>
      <c r="S37" s="84">
        <v>3.6641587742392967</v>
      </c>
      <c r="T37" s="84">
        <v>3.7946350055917439</v>
      </c>
      <c r="U37" s="84">
        <v>4.2064083138439612</v>
      </c>
      <c r="V37" s="84">
        <v>5.9059837188435846</v>
      </c>
      <c r="W37" s="84">
        <v>4.2722158042064624</v>
      </c>
      <c r="X37" s="84">
        <v>4.2722158042064624</v>
      </c>
      <c r="Y37" s="84">
        <v>3.6641587742392967</v>
      </c>
      <c r="Z37" s="84">
        <v>3.6641587742392971</v>
      </c>
      <c r="AA37" s="84">
        <v>3.9130720622745669</v>
      </c>
      <c r="AB37" s="84">
        <v>3.022636892015905</v>
      </c>
      <c r="AC37" s="84">
        <v>4.2064083138439612</v>
      </c>
      <c r="AD37" s="84">
        <v>4.2722158042064624</v>
      </c>
      <c r="AE37" s="84">
        <v>3.6641587742392967</v>
      </c>
      <c r="AF37" s="84">
        <v>3.6641587742392971</v>
      </c>
      <c r="AG37" s="84">
        <v>3.7946350055917439</v>
      </c>
      <c r="AH37" s="84">
        <v>4.2064083138439612</v>
      </c>
      <c r="AI37" s="84">
        <v>3.6641587742392971</v>
      </c>
      <c r="AJ37" s="84">
        <v>3.6641587742392967</v>
      </c>
      <c r="AK37" s="84">
        <v>3.7946350055917439</v>
      </c>
      <c r="AL37" s="84">
        <v>3.6641587742392967</v>
      </c>
      <c r="AM37" s="84">
        <v>4.2064083138439612</v>
      </c>
      <c r="AN37" s="84">
        <v>4.2722158042064624</v>
      </c>
      <c r="AO37" s="84">
        <v>3.6463635423453589</v>
      </c>
      <c r="AP37" s="84">
        <v>3.6463635423453589</v>
      </c>
      <c r="AQ37" s="84">
        <v>3.6463635423453589</v>
      </c>
      <c r="AR37" s="195">
        <v>3.7899144752463663</v>
      </c>
      <c r="AS37" s="84">
        <v>4.4300198868438052</v>
      </c>
      <c r="AT37" s="196">
        <v>4.1098131196895542</v>
      </c>
      <c r="AU37" s="84">
        <v>4.7585113835252848</v>
      </c>
      <c r="AV37" s="84">
        <v>4.7440434389691433</v>
      </c>
      <c r="AW37" s="84">
        <v>4.4366324486611939</v>
      </c>
      <c r="AX37" s="84">
        <v>4.2260167055323672</v>
      </c>
      <c r="AY37" s="84">
        <v>3.6641587742392967</v>
      </c>
      <c r="AZ37" s="84">
        <v>4.2425284872055977</v>
      </c>
      <c r="BA37" s="84">
        <v>4.8365259002659675</v>
      </c>
      <c r="BB37" s="84">
        <v>4.6677844627393279</v>
      </c>
      <c r="BC37" s="84">
        <v>4.2130857250057572</v>
      </c>
      <c r="BD37" s="84">
        <v>4.2636672922468675</v>
      </c>
      <c r="BE37" s="197">
        <v>1.8793202113215963</v>
      </c>
      <c r="BF37" s="197">
        <v>1.8793202113215965</v>
      </c>
      <c r="BG37" s="197">
        <v>1.8793202113215965</v>
      </c>
      <c r="BH37" s="112">
        <v>1.8793202113215972</v>
      </c>
      <c r="BI37" s="112">
        <v>1.8793202113215965</v>
      </c>
      <c r="BJ37" s="112">
        <v>1.8793202113215961</v>
      </c>
      <c r="BK37" s="112">
        <v>2.2917515930273065</v>
      </c>
      <c r="BL37" s="112">
        <v>1.879320211321597</v>
      </c>
      <c r="BM37" s="112">
        <v>3.0681319541496865</v>
      </c>
      <c r="BN37" s="112">
        <v>1.879320211321597</v>
      </c>
      <c r="BO37" s="112">
        <v>1.879320211321597</v>
      </c>
      <c r="BP37" s="112">
        <v>1.879320211321597</v>
      </c>
      <c r="BQ37" s="112">
        <v>1.8793202113215963</v>
      </c>
      <c r="BR37" s="112">
        <v>1.8793202113215963</v>
      </c>
      <c r="BS37" s="112">
        <v>1.8793202113215963</v>
      </c>
      <c r="BT37" s="112">
        <v>1.8793202113215963</v>
      </c>
      <c r="BU37" s="112">
        <v>1.8793202113215963</v>
      </c>
      <c r="BV37" s="112">
        <v>2.5468483634831505</v>
      </c>
      <c r="BW37" s="112">
        <v>1.8738358138177393</v>
      </c>
      <c r="BX37" s="112">
        <v>2.5106044933331031</v>
      </c>
      <c r="BY37" s="112">
        <v>1.8738358138177393</v>
      </c>
      <c r="BZ37" s="112">
        <v>2.5106044933331031</v>
      </c>
      <c r="CA37" s="112">
        <v>1.8738358138177393</v>
      </c>
      <c r="CB37" s="112">
        <v>2.5106044933331031</v>
      </c>
      <c r="CC37" s="112">
        <v>1.879320211321597</v>
      </c>
      <c r="CD37" s="112">
        <v>1.879320211321597</v>
      </c>
      <c r="CE37" s="34">
        <v>2015</v>
      </c>
    </row>
    <row r="38" spans="1:83" s="112" customFormat="1">
      <c r="A38" s="11">
        <v>2000</v>
      </c>
      <c r="B38" s="84">
        <v>3.825012801032619</v>
      </c>
      <c r="C38" s="84">
        <v>4.2652980302377763</v>
      </c>
      <c r="D38" s="84">
        <v>4.3320268254653529</v>
      </c>
      <c r="E38" s="84">
        <v>4.3311680587075934</v>
      </c>
      <c r="F38" s="84">
        <v>4.3311680587075934</v>
      </c>
      <c r="G38" s="84">
        <v>3.6974126319381941</v>
      </c>
      <c r="H38" s="84">
        <v>5.9886674909073951</v>
      </c>
      <c r="I38" s="84">
        <v>3.9750952150828773</v>
      </c>
      <c r="J38" s="84">
        <v>5.1320158674984819</v>
      </c>
      <c r="K38" s="84">
        <v>3.9750952150828773</v>
      </c>
      <c r="L38" s="84">
        <v>3.8477598956700283</v>
      </c>
      <c r="M38" s="84">
        <v>3.7154569970786469</v>
      </c>
      <c r="N38" s="84">
        <v>3.6974126319381941</v>
      </c>
      <c r="O38" s="84">
        <v>3.7154569970786469</v>
      </c>
      <c r="P38" s="84">
        <v>4.3320268254653529</v>
      </c>
      <c r="Q38" s="84">
        <v>4.3311680587075934</v>
      </c>
      <c r="R38" s="84">
        <v>3.7154569970786469</v>
      </c>
      <c r="S38" s="84">
        <v>3.7154569970786469</v>
      </c>
      <c r="T38" s="84">
        <v>3.8477598956700283</v>
      </c>
      <c r="U38" s="84">
        <v>4.2652980302377763</v>
      </c>
      <c r="V38" s="84">
        <v>5.9886674909073951</v>
      </c>
      <c r="W38" s="84">
        <v>4.3320268254653529</v>
      </c>
      <c r="X38" s="84">
        <v>4.3320268254653529</v>
      </c>
      <c r="Y38" s="84">
        <v>3.7154569970786469</v>
      </c>
      <c r="Z38" s="84">
        <v>3.7154569970786473</v>
      </c>
      <c r="AA38" s="84">
        <v>4.0894689310136743</v>
      </c>
      <c r="AB38" s="84">
        <v>2.2579097583358809</v>
      </c>
      <c r="AC38" s="84">
        <v>4.2652980302377763</v>
      </c>
      <c r="AD38" s="84">
        <v>4.3320268254653529</v>
      </c>
      <c r="AE38" s="84">
        <v>3.7154569970786469</v>
      </c>
      <c r="AF38" s="84">
        <v>3.7154569970786473</v>
      </c>
      <c r="AG38" s="84">
        <v>3.8477598956700283</v>
      </c>
      <c r="AH38" s="84">
        <v>4.2652980302377763</v>
      </c>
      <c r="AI38" s="84">
        <v>3.7154569970786473</v>
      </c>
      <c r="AJ38" s="84">
        <v>3.7154569970786469</v>
      </c>
      <c r="AK38" s="84">
        <v>3.8477598956700283</v>
      </c>
      <c r="AL38" s="84">
        <v>3.7154569970786469</v>
      </c>
      <c r="AM38" s="84">
        <v>4.2652980302377763</v>
      </c>
      <c r="AN38" s="84">
        <v>4.3320268254653529</v>
      </c>
      <c r="AO38" s="84">
        <v>3.6974126319381941</v>
      </c>
      <c r="AP38" s="84">
        <v>3.6974126319381941</v>
      </c>
      <c r="AQ38" s="84">
        <v>3.6974126319381941</v>
      </c>
      <c r="AR38" s="195">
        <v>3.8441746977637425</v>
      </c>
      <c r="AS38" s="84">
        <v>4.5124362011234522</v>
      </c>
      <c r="AT38" s="196">
        <v>4.2250837174350444</v>
      </c>
      <c r="AU38" s="84">
        <v>4.9671632912415928</v>
      </c>
      <c r="AV38" s="84">
        <v>4.9381426642208703</v>
      </c>
      <c r="AW38" s="84">
        <v>4.29694244168358</v>
      </c>
      <c r="AX38" s="84">
        <v>4.3035685150368952</v>
      </c>
      <c r="AY38" s="84">
        <v>3.7154569970786469</v>
      </c>
      <c r="AZ38" s="84">
        <v>4.3291515291701774</v>
      </c>
      <c r="BA38" s="84">
        <v>5.0458328267752188</v>
      </c>
      <c r="BB38" s="84">
        <v>4.8514230900963451</v>
      </c>
      <c r="BC38" s="84">
        <v>4.2957804965201527</v>
      </c>
      <c r="BD38" s="84">
        <v>4.3185904892678062</v>
      </c>
      <c r="BE38" s="197">
        <v>1.9018720538574556</v>
      </c>
      <c r="BF38" s="197">
        <v>1.9018720538574558</v>
      </c>
      <c r="BG38" s="197">
        <v>1.9018720538574558</v>
      </c>
      <c r="BH38" s="112">
        <v>1.9018720538574565</v>
      </c>
      <c r="BI38" s="112">
        <v>1.9018720538574558</v>
      </c>
      <c r="BJ38" s="112">
        <v>1.9018720538574552</v>
      </c>
      <c r="BK38" s="112">
        <v>2.3198255500418909</v>
      </c>
      <c r="BL38" s="112">
        <v>1.9018720538574563</v>
      </c>
      <c r="BM38" s="112">
        <v>2.1231473122715832</v>
      </c>
      <c r="BN38" s="112">
        <v>1.9018720538574563</v>
      </c>
      <c r="BO38" s="112">
        <v>1.9018720538574563</v>
      </c>
      <c r="BP38" s="112">
        <v>1.9018720538574563</v>
      </c>
      <c r="BQ38" s="112">
        <v>1.9018720538574556</v>
      </c>
      <c r="BR38" s="112">
        <v>1.9018720538574556</v>
      </c>
      <c r="BS38" s="112">
        <v>1.9018720538574556</v>
      </c>
      <c r="BT38" s="112">
        <v>1.9018720538574556</v>
      </c>
      <c r="BU38" s="112">
        <v>1.9018720538574556</v>
      </c>
      <c r="BV38" s="112">
        <v>2.5780472559358194</v>
      </c>
      <c r="BW38" s="112">
        <v>1.8963218435835523</v>
      </c>
      <c r="BX38" s="112">
        <v>2.5413328952258158</v>
      </c>
      <c r="BY38" s="112">
        <v>1.8963218435835523</v>
      </c>
      <c r="BZ38" s="112">
        <v>2.5413328952258158</v>
      </c>
      <c r="CA38" s="112">
        <v>1.8963218435835523</v>
      </c>
      <c r="CB38" s="112">
        <v>2.5413328952258158</v>
      </c>
      <c r="CC38" s="112">
        <v>1.9018720538574563</v>
      </c>
      <c r="CD38" s="112">
        <v>1.9018720538574563</v>
      </c>
      <c r="CE38" s="35">
        <v>2016</v>
      </c>
    </row>
    <row r="39" spans="1:83" s="112" customFormat="1">
      <c r="A39" s="11">
        <v>2001</v>
      </c>
      <c r="B39" s="84">
        <v>3.8938630314512062</v>
      </c>
      <c r="C39" s="84">
        <v>4.342073394782056</v>
      </c>
      <c r="D39" s="84">
        <v>4.4100033083237289</v>
      </c>
      <c r="E39" s="84">
        <v>4.4091290837643298</v>
      </c>
      <c r="F39" s="84">
        <v>4.4091290837643298</v>
      </c>
      <c r="G39" s="84">
        <v>3.7639660593130815</v>
      </c>
      <c r="H39" s="84">
        <v>6.0964635057437286</v>
      </c>
      <c r="I39" s="84">
        <v>4.026771452878954</v>
      </c>
      <c r="J39" s="84">
        <v>5.3355230835878373</v>
      </c>
      <c r="K39" s="84">
        <v>4.026771452878954</v>
      </c>
      <c r="L39" s="84">
        <v>3.9170195737920888</v>
      </c>
      <c r="M39" s="84">
        <v>3.7823352230260627</v>
      </c>
      <c r="N39" s="84">
        <v>3.7639660593130815</v>
      </c>
      <c r="O39" s="84">
        <v>3.7823352230260627</v>
      </c>
      <c r="P39" s="84">
        <v>4.4100033083237289</v>
      </c>
      <c r="Q39" s="84">
        <v>4.4091290837643298</v>
      </c>
      <c r="R39" s="84">
        <v>3.7823352230260627</v>
      </c>
      <c r="S39" s="84">
        <v>3.7823352230260627</v>
      </c>
      <c r="T39" s="84">
        <v>3.9170195737920888</v>
      </c>
      <c r="U39" s="84">
        <v>4.342073394782056</v>
      </c>
      <c r="V39" s="84">
        <v>6.0964635057437286</v>
      </c>
      <c r="W39" s="84">
        <v>4.4100033083237289</v>
      </c>
      <c r="X39" s="84">
        <v>4.4100033083237289</v>
      </c>
      <c r="Y39" s="84">
        <v>3.7823352230260627</v>
      </c>
      <c r="Z39" s="84">
        <v>3.7823352230260632</v>
      </c>
      <c r="AA39" s="84">
        <v>4.2516345320019981</v>
      </c>
      <c r="AB39" s="84">
        <v>3.6781349963291499</v>
      </c>
      <c r="AC39" s="84">
        <v>4.342073394782056</v>
      </c>
      <c r="AD39" s="84">
        <v>4.4100033083237289</v>
      </c>
      <c r="AE39" s="84">
        <v>3.7823352230260627</v>
      </c>
      <c r="AF39" s="84">
        <v>3.7823352230260632</v>
      </c>
      <c r="AG39" s="84">
        <v>3.9170195737920888</v>
      </c>
      <c r="AH39" s="84">
        <v>4.342073394782056</v>
      </c>
      <c r="AI39" s="84">
        <v>3.7823352230260632</v>
      </c>
      <c r="AJ39" s="84">
        <v>3.7823352230260627</v>
      </c>
      <c r="AK39" s="84">
        <v>3.9170195737920888</v>
      </c>
      <c r="AL39" s="84">
        <v>3.7823352230260627</v>
      </c>
      <c r="AM39" s="84">
        <v>4.342073394782056</v>
      </c>
      <c r="AN39" s="84">
        <v>4.4100033083237289</v>
      </c>
      <c r="AO39" s="84">
        <v>3.7639660593130815</v>
      </c>
      <c r="AP39" s="84">
        <v>3.7639660593130815</v>
      </c>
      <c r="AQ39" s="84">
        <v>3.7639660593130815</v>
      </c>
      <c r="AR39" s="195">
        <v>3.9142462398400126</v>
      </c>
      <c r="AS39" s="84">
        <v>4.7730976452585034</v>
      </c>
      <c r="AT39" s="196">
        <v>4.3415841021426242</v>
      </c>
      <c r="AU39" s="84">
        <v>5.1599838943421705</v>
      </c>
      <c r="AV39" s="84">
        <v>5.1195285006840665</v>
      </c>
      <c r="AW39" s="84">
        <v>4.6792173800842649</v>
      </c>
      <c r="AX39" s="84">
        <v>4.3940795396678745</v>
      </c>
      <c r="AY39" s="84">
        <v>3.7823352230260627</v>
      </c>
      <c r="AZ39" s="84">
        <v>4.4250282484780126</v>
      </c>
      <c r="BA39" s="84">
        <v>5.2417392906177929</v>
      </c>
      <c r="BB39" s="84">
        <v>5.0438035566864396</v>
      </c>
      <c r="BC39" s="84">
        <v>4.4120239092994211</v>
      </c>
      <c r="BD39" s="84">
        <v>4.4247632734376667</v>
      </c>
      <c r="BE39" s="197">
        <v>1.93610575082689</v>
      </c>
      <c r="BF39" s="197">
        <v>1.93610575082689</v>
      </c>
      <c r="BG39" s="197">
        <v>1.93610575082689</v>
      </c>
      <c r="BH39" s="112">
        <v>1.9361057508268908</v>
      </c>
      <c r="BI39" s="112">
        <v>1.93610575082689</v>
      </c>
      <c r="BJ39" s="112">
        <v>1.9361057508268893</v>
      </c>
      <c r="BK39" s="112">
        <v>2.3639022354926866</v>
      </c>
      <c r="BL39" s="112">
        <v>1.9361057508268904</v>
      </c>
      <c r="BM39" s="112">
        <v>2.2505361510078781</v>
      </c>
      <c r="BN39" s="112">
        <v>1.9361057508268904</v>
      </c>
      <c r="BO39" s="112">
        <v>1.9361057508268904</v>
      </c>
      <c r="BP39" s="112">
        <v>1.9361057508268904</v>
      </c>
      <c r="BQ39" s="112">
        <v>1.93610575082689</v>
      </c>
      <c r="BR39" s="112">
        <v>1.93610575082689</v>
      </c>
      <c r="BS39" s="112">
        <v>1.93610575082689</v>
      </c>
      <c r="BT39" s="112">
        <v>1.93610575082689</v>
      </c>
      <c r="BU39" s="112">
        <v>1.93610575082689</v>
      </c>
      <c r="BV39" s="112">
        <v>2.6270301537986001</v>
      </c>
      <c r="BW39" s="112">
        <v>1.9304556367680563</v>
      </c>
      <c r="BX39" s="112">
        <v>2.5895109354814019</v>
      </c>
      <c r="BY39" s="112">
        <v>1.9304556367680563</v>
      </c>
      <c r="BZ39" s="112">
        <v>2.5895109354814019</v>
      </c>
      <c r="CA39" s="112">
        <v>1.9304556367680563</v>
      </c>
      <c r="CB39" s="112">
        <v>2.5895109354814019</v>
      </c>
      <c r="CC39" s="112">
        <v>1.9361057508268904</v>
      </c>
      <c r="CD39" s="112">
        <v>1.9361057508268904</v>
      </c>
      <c r="CE39" s="35">
        <v>2017</v>
      </c>
    </row>
    <row r="40" spans="1:83" s="112" customFormat="1">
      <c r="A40" s="11">
        <v>2002</v>
      </c>
      <c r="B40" s="84">
        <v>3.925013935702816</v>
      </c>
      <c r="C40" s="84">
        <v>4.3768099819403128</v>
      </c>
      <c r="D40" s="84">
        <v>4.4452833347903189</v>
      </c>
      <c r="E40" s="84">
        <v>4.4444021164344445</v>
      </c>
      <c r="F40" s="84">
        <v>4.4444021164344445</v>
      </c>
      <c r="G40" s="84">
        <v>3.794077787787586</v>
      </c>
      <c r="H40" s="84">
        <v>6.1452352137896789</v>
      </c>
      <c r="I40" s="84">
        <v>4.095226567577896</v>
      </c>
      <c r="J40" s="84">
        <v>5.6621424958215103</v>
      </c>
      <c r="K40" s="84">
        <v>4.095226567577896</v>
      </c>
      <c r="L40" s="84">
        <v>3.9483557303824255</v>
      </c>
      <c r="M40" s="84">
        <v>3.8125939048102713</v>
      </c>
      <c r="N40" s="84">
        <v>3.794077787787586</v>
      </c>
      <c r="O40" s="84">
        <v>3.8125939048102713</v>
      </c>
      <c r="P40" s="84">
        <v>4.4452833347903189</v>
      </c>
      <c r="Q40" s="84">
        <v>4.4444021164344445</v>
      </c>
      <c r="R40" s="84">
        <v>3.8125939048102713</v>
      </c>
      <c r="S40" s="84">
        <v>3.8125939048102713</v>
      </c>
      <c r="T40" s="84">
        <v>3.9483557303824255</v>
      </c>
      <c r="U40" s="84">
        <v>4.3768099819403128</v>
      </c>
      <c r="V40" s="84">
        <v>6.1452352137896789</v>
      </c>
      <c r="W40" s="84">
        <v>4.4452833347903189</v>
      </c>
      <c r="X40" s="84">
        <v>4.4452833347903189</v>
      </c>
      <c r="Y40" s="84">
        <v>3.8125939048102713</v>
      </c>
      <c r="Z40" s="84">
        <v>3.8125939048102717</v>
      </c>
      <c r="AA40" s="84">
        <v>4.4379018365558167</v>
      </c>
      <c r="AB40" s="84">
        <v>3.6413536463658582</v>
      </c>
      <c r="AC40" s="84">
        <v>4.3768099819403128</v>
      </c>
      <c r="AD40" s="84">
        <v>4.4452833347903189</v>
      </c>
      <c r="AE40" s="84">
        <v>3.8125939048102713</v>
      </c>
      <c r="AF40" s="84">
        <v>3.8125939048102717</v>
      </c>
      <c r="AG40" s="84">
        <v>3.9483557303824255</v>
      </c>
      <c r="AH40" s="84">
        <v>4.3768099819403128</v>
      </c>
      <c r="AI40" s="84">
        <v>3.8125939048102717</v>
      </c>
      <c r="AJ40" s="84">
        <v>3.8125939048102713</v>
      </c>
      <c r="AK40" s="84">
        <v>3.9483557303824255</v>
      </c>
      <c r="AL40" s="84">
        <v>3.8125939048102713</v>
      </c>
      <c r="AM40" s="84">
        <v>4.3768099819403128</v>
      </c>
      <c r="AN40" s="84">
        <v>4.4452833347903189</v>
      </c>
      <c r="AO40" s="84">
        <v>3.794077787787586</v>
      </c>
      <c r="AP40" s="84">
        <v>3.794077787787586</v>
      </c>
      <c r="AQ40" s="84">
        <v>3.794077787787586</v>
      </c>
      <c r="AR40" s="195">
        <v>3.9467752394581197</v>
      </c>
      <c r="AS40" s="84">
        <v>4.8726373905419749</v>
      </c>
      <c r="AT40" s="196">
        <v>4.4385276987941129</v>
      </c>
      <c r="AU40" s="84">
        <v>5.4663794878716416</v>
      </c>
      <c r="AV40" s="84">
        <v>5.3943016323043418</v>
      </c>
      <c r="AW40" s="84">
        <v>4.7349399570646851</v>
      </c>
      <c r="AX40" s="84">
        <v>4.4512619167378116</v>
      </c>
      <c r="AY40" s="84">
        <v>3.8125939048102713</v>
      </c>
      <c r="AZ40" s="84">
        <v>4.4865495200012422</v>
      </c>
      <c r="BA40" s="84">
        <v>5.5510766579494231</v>
      </c>
      <c r="BB40" s="84">
        <v>5.3496642799566612</v>
      </c>
      <c r="BC40" s="84">
        <v>4.4831542060348379</v>
      </c>
      <c r="BD40" s="84">
        <v>4.4689849859045383</v>
      </c>
      <c r="BE40" s="197">
        <v>1.974827865843428</v>
      </c>
      <c r="BF40" s="197">
        <v>1.9748278658434277</v>
      </c>
      <c r="BG40" s="197">
        <v>1.9748278658434277</v>
      </c>
      <c r="BH40" s="112">
        <v>1.9748278658434286</v>
      </c>
      <c r="BI40" s="112">
        <v>1.9748278658434277</v>
      </c>
      <c r="BJ40" s="112">
        <v>1.9748278658434271</v>
      </c>
      <c r="BK40" s="112">
        <v>2.4099983290847939</v>
      </c>
      <c r="BL40" s="112">
        <v>1.9748278658434282</v>
      </c>
      <c r="BM40" s="112">
        <v>2.2415340064038465</v>
      </c>
      <c r="BN40" s="112">
        <v>1.9748278658434282</v>
      </c>
      <c r="BO40" s="112">
        <v>1.9748278658434282</v>
      </c>
      <c r="BP40" s="112">
        <v>1.9748278658434282</v>
      </c>
      <c r="BQ40" s="112">
        <v>1.974827865843428</v>
      </c>
      <c r="BR40" s="112">
        <v>1.974827865843428</v>
      </c>
      <c r="BS40" s="112">
        <v>1.974827865843428</v>
      </c>
      <c r="BT40" s="112">
        <v>1.974827865843428</v>
      </c>
      <c r="BU40" s="112">
        <v>1.974827865843428</v>
      </c>
      <c r="BV40" s="112">
        <v>2.6821977870283704</v>
      </c>
      <c r="BW40" s="112">
        <v>1.9690647495034175</v>
      </c>
      <c r="BX40" s="112">
        <v>2.6437814492472409</v>
      </c>
      <c r="BY40" s="112">
        <v>1.9690647495034175</v>
      </c>
      <c r="BZ40" s="112">
        <v>2.6437814492472409</v>
      </c>
      <c r="CA40" s="112">
        <v>1.9690647495034175</v>
      </c>
      <c r="CB40" s="112">
        <v>2.6437814492472409</v>
      </c>
      <c r="CC40" s="112">
        <v>1.9748278658434282</v>
      </c>
      <c r="CD40" s="112">
        <v>1.9748278658434282</v>
      </c>
      <c r="CE40" s="35">
        <v>2018</v>
      </c>
    </row>
    <row r="41" spans="1:83" s="112" customFormat="1">
      <c r="A41" s="11">
        <v>2003</v>
      </c>
      <c r="B41" s="84">
        <v>3.9642640750598441</v>
      </c>
      <c r="C41" s="84">
        <v>4.4205780817597162</v>
      </c>
      <c r="D41" s="84">
        <v>4.4897361681382222</v>
      </c>
      <c r="E41" s="84">
        <v>4.4888461375987889</v>
      </c>
      <c r="F41" s="84">
        <v>4.4888461375987889</v>
      </c>
      <c r="G41" s="84">
        <v>3.8320185656654617</v>
      </c>
      <c r="H41" s="84">
        <v>6.2066875659275755</v>
      </c>
      <c r="I41" s="84">
        <v>4.2221785911728107</v>
      </c>
      <c r="J41" s="84">
        <v>5.95787268561575</v>
      </c>
      <c r="K41" s="84">
        <v>4.2221785911728107</v>
      </c>
      <c r="L41" s="84">
        <v>3.9878392876862496</v>
      </c>
      <c r="M41" s="84">
        <v>3.8507198438583741</v>
      </c>
      <c r="N41" s="84">
        <v>3.8320185656654617</v>
      </c>
      <c r="O41" s="84">
        <v>3.8507198438583741</v>
      </c>
      <c r="P41" s="84">
        <v>4.4897361681382222</v>
      </c>
      <c r="Q41" s="84">
        <v>4.4888461375987889</v>
      </c>
      <c r="R41" s="84">
        <v>3.8507198438583741</v>
      </c>
      <c r="S41" s="84">
        <v>3.8507198438583741</v>
      </c>
      <c r="T41" s="84">
        <v>3.9878392876862496</v>
      </c>
      <c r="U41" s="84">
        <v>4.4205780817597162</v>
      </c>
      <c r="V41" s="84">
        <v>6.2066875659275755</v>
      </c>
      <c r="W41" s="84">
        <v>4.4897361681382222</v>
      </c>
      <c r="X41" s="84">
        <v>4.4897361681382222</v>
      </c>
      <c r="Y41" s="84">
        <v>3.8507198438583741</v>
      </c>
      <c r="Z41" s="84">
        <v>3.8507198438583745</v>
      </c>
      <c r="AA41" s="84">
        <v>4.6252181872008533</v>
      </c>
      <c r="AB41" s="84">
        <v>3.058737062947321</v>
      </c>
      <c r="AC41" s="84">
        <v>4.4205780817597162</v>
      </c>
      <c r="AD41" s="84">
        <v>4.4897361681382222</v>
      </c>
      <c r="AE41" s="84">
        <v>3.8507198438583741</v>
      </c>
      <c r="AF41" s="84">
        <v>3.8507198438583745</v>
      </c>
      <c r="AG41" s="84">
        <v>3.9878392876862496</v>
      </c>
      <c r="AH41" s="84">
        <v>4.4205780817597162</v>
      </c>
      <c r="AI41" s="84">
        <v>3.8507198438583745</v>
      </c>
      <c r="AJ41" s="84">
        <v>3.8507198438583741</v>
      </c>
      <c r="AK41" s="84">
        <v>3.9878392876862496</v>
      </c>
      <c r="AL41" s="84">
        <v>3.8507198438583741</v>
      </c>
      <c r="AM41" s="84">
        <v>4.4205780817597162</v>
      </c>
      <c r="AN41" s="84">
        <v>4.4897361681382222</v>
      </c>
      <c r="AO41" s="84">
        <v>3.8320185656654617</v>
      </c>
      <c r="AP41" s="84">
        <v>3.8320185656654617</v>
      </c>
      <c r="AQ41" s="84">
        <v>3.8320185656654617</v>
      </c>
      <c r="AR41" s="195">
        <v>3.9872065168393407</v>
      </c>
      <c r="AS41" s="84">
        <v>4.9506596015960467</v>
      </c>
      <c r="AT41" s="196">
        <v>4.5368282678683816</v>
      </c>
      <c r="AU41" s="84">
        <v>5.7204640677363106</v>
      </c>
      <c r="AV41" s="84">
        <v>5.6324561093143064</v>
      </c>
      <c r="AW41" s="84">
        <v>4.7455958815638191</v>
      </c>
      <c r="AX41" s="84">
        <v>4.5158460052148701</v>
      </c>
      <c r="AY41" s="84">
        <v>3.8507198438583741</v>
      </c>
      <c r="AZ41" s="84">
        <v>4.5520500892682509</v>
      </c>
      <c r="BA41" s="84">
        <v>5.8321918280919496</v>
      </c>
      <c r="BB41" s="84">
        <v>5.627396263176732</v>
      </c>
      <c r="BC41" s="84">
        <v>4.5288125043917855</v>
      </c>
      <c r="BD41" s="84">
        <v>4.5001524448181289</v>
      </c>
      <c r="BE41" s="197">
        <v>2.0143244231602964</v>
      </c>
      <c r="BF41" s="197">
        <v>2.0143244231602964</v>
      </c>
      <c r="BG41" s="197">
        <v>2.0143244231602964</v>
      </c>
      <c r="BH41" s="112">
        <v>2.0143244231602973</v>
      </c>
      <c r="BI41" s="112">
        <v>2.0143244231602964</v>
      </c>
      <c r="BJ41" s="112">
        <v>2.0143244231602959</v>
      </c>
      <c r="BK41" s="112">
        <v>2.455788297337405</v>
      </c>
      <c r="BL41" s="112">
        <v>2.0143244231602968</v>
      </c>
      <c r="BM41" s="112">
        <v>2.2505001424294622</v>
      </c>
      <c r="BN41" s="112">
        <v>2.0143244231602968</v>
      </c>
      <c r="BO41" s="112">
        <v>2.0143244231602968</v>
      </c>
      <c r="BP41" s="112">
        <v>2.0143244231602968</v>
      </c>
      <c r="BQ41" s="112">
        <v>2.0143244231602964</v>
      </c>
      <c r="BR41" s="112">
        <v>2.0143244231602964</v>
      </c>
      <c r="BS41" s="112">
        <v>2.0143244231602964</v>
      </c>
      <c r="BT41" s="112">
        <v>2.0143244231602964</v>
      </c>
      <c r="BU41" s="112">
        <v>2.0143244231602964</v>
      </c>
      <c r="BV41" s="112">
        <v>2.7345006438754238</v>
      </c>
      <c r="BW41" s="112">
        <v>2.008446044493486</v>
      </c>
      <c r="BX41" s="112">
        <v>2.6953908876059898</v>
      </c>
      <c r="BY41" s="112">
        <v>2.008446044493486</v>
      </c>
      <c r="BZ41" s="112">
        <v>2.6953908876059898</v>
      </c>
      <c r="CA41" s="112">
        <v>2.008446044493486</v>
      </c>
      <c r="CB41" s="112">
        <v>2.6953908876059898</v>
      </c>
      <c r="CC41" s="112">
        <v>2.0143244231602968</v>
      </c>
      <c r="CD41" s="112">
        <v>2.0143244231602968</v>
      </c>
      <c r="CE41" s="36">
        <v>2019</v>
      </c>
    </row>
    <row r="42" spans="1:83" s="137" customFormat="1">
      <c r="A42" s="11">
        <v>2004</v>
      </c>
      <c r="B42" s="84">
        <v>4.0435493565610408</v>
      </c>
      <c r="C42" s="84">
        <v>4.5089896433949104</v>
      </c>
      <c r="D42" s="84">
        <v>4.5795308915009869</v>
      </c>
      <c r="E42" s="84">
        <v>4.5786230603507647</v>
      </c>
      <c r="F42" s="84">
        <v>4.5786230603507647</v>
      </c>
      <c r="G42" s="84">
        <v>3.908658936978771</v>
      </c>
      <c r="H42" s="84">
        <v>6.3308213172461274</v>
      </c>
      <c r="I42" s="84">
        <v>4.3783991990462043</v>
      </c>
      <c r="J42" s="84">
        <v>6.2130375389369243</v>
      </c>
      <c r="K42" s="84">
        <v>4.3783991990462043</v>
      </c>
      <c r="L42" s="84">
        <v>4.067596073439975</v>
      </c>
      <c r="M42" s="84">
        <v>3.9277342407355418</v>
      </c>
      <c r="N42" s="84">
        <v>3.908658936978771</v>
      </c>
      <c r="O42" s="84">
        <v>3.9277342407355418</v>
      </c>
      <c r="P42" s="84">
        <v>4.5795308915009869</v>
      </c>
      <c r="Q42" s="84">
        <v>4.5786230603507647</v>
      </c>
      <c r="R42" s="84">
        <v>3.9277342407355418</v>
      </c>
      <c r="S42" s="84">
        <v>3.9277342407355418</v>
      </c>
      <c r="T42" s="84">
        <v>4.067596073439975</v>
      </c>
      <c r="U42" s="84">
        <v>4.5089896433949104</v>
      </c>
      <c r="V42" s="84">
        <v>6.3308213172461274</v>
      </c>
      <c r="W42" s="84">
        <v>4.5795308915009869</v>
      </c>
      <c r="X42" s="84">
        <v>4.5795308915009869</v>
      </c>
      <c r="Y42" s="84">
        <v>3.9277342407355418</v>
      </c>
      <c r="Z42" s="84">
        <v>3.9277342407355422</v>
      </c>
      <c r="AA42" s="84">
        <v>4.8148521328760872</v>
      </c>
      <c r="AB42" s="84">
        <v>3.3126122391719486</v>
      </c>
      <c r="AC42" s="84">
        <v>4.5089896433949104</v>
      </c>
      <c r="AD42" s="84">
        <v>4.5795308915009869</v>
      </c>
      <c r="AE42" s="84">
        <v>3.9277342407355418</v>
      </c>
      <c r="AF42" s="84">
        <v>3.9277342407355422</v>
      </c>
      <c r="AG42" s="84">
        <v>4.067596073439975</v>
      </c>
      <c r="AH42" s="84">
        <v>4.5089896433949104</v>
      </c>
      <c r="AI42" s="84">
        <v>3.9277342407355422</v>
      </c>
      <c r="AJ42" s="84">
        <v>3.9277342407355418</v>
      </c>
      <c r="AK42" s="84">
        <v>4.067596073439975</v>
      </c>
      <c r="AL42" s="84">
        <v>3.9277342407355418</v>
      </c>
      <c r="AM42" s="84">
        <v>4.5089896433949104</v>
      </c>
      <c r="AN42" s="84">
        <v>4.5795308915009869</v>
      </c>
      <c r="AO42" s="84">
        <v>3.908658936978771</v>
      </c>
      <c r="AP42" s="84">
        <v>3.908658936978771</v>
      </c>
      <c r="AQ42" s="84">
        <v>3.908658936978771</v>
      </c>
      <c r="AR42" s="195">
        <v>4.0675672639176215</v>
      </c>
      <c r="AS42" s="84">
        <v>5.1004458350542183</v>
      </c>
      <c r="AT42" s="196">
        <v>4.6652952704921207</v>
      </c>
      <c r="AU42" s="84">
        <v>5.9521131672815546</v>
      </c>
      <c r="AV42" s="84">
        <v>5.8499874429630898</v>
      </c>
      <c r="AW42" s="84">
        <v>4.8862364975060224</v>
      </c>
      <c r="AX42" s="84">
        <v>4.6194395125744991</v>
      </c>
      <c r="AY42" s="84">
        <v>3.9277342407355418</v>
      </c>
      <c r="AZ42" s="84">
        <v>4.6593901967791558</v>
      </c>
      <c r="BA42" s="84">
        <v>6.0763264708111659</v>
      </c>
      <c r="BB42" s="84">
        <v>5.8679589651401765</v>
      </c>
      <c r="BC42" s="84">
        <v>4.6416312380548783</v>
      </c>
      <c r="BD42" s="84">
        <v>4.597680286146864</v>
      </c>
      <c r="BE42" s="198">
        <v>2.0546109116235027</v>
      </c>
      <c r="BF42" s="198">
        <v>2.0546109116235023</v>
      </c>
      <c r="BG42" s="198">
        <v>2.0546109116235023</v>
      </c>
      <c r="BH42" s="112">
        <v>2.0546109116235032</v>
      </c>
      <c r="BI42" s="137">
        <v>2.0546109116235023</v>
      </c>
      <c r="BJ42" s="137">
        <v>2.0546109116235018</v>
      </c>
      <c r="BK42" s="137">
        <v>2.5024482749868153</v>
      </c>
      <c r="BL42" s="137">
        <v>2.0546109116235027</v>
      </c>
      <c r="BM42" s="137">
        <v>2.2685041435688977</v>
      </c>
      <c r="BN42" s="137">
        <v>2.0546109116235027</v>
      </c>
      <c r="BO42" s="137">
        <v>2.0546109116235027</v>
      </c>
      <c r="BP42" s="137">
        <v>2.0546109116235027</v>
      </c>
      <c r="BQ42" s="137">
        <v>2.0546109116235027</v>
      </c>
      <c r="BR42" s="137">
        <v>2.0546109116235027</v>
      </c>
      <c r="BS42" s="137">
        <v>2.0546109116235027</v>
      </c>
      <c r="BT42" s="137">
        <v>2.0546109116235027</v>
      </c>
      <c r="BU42" s="137">
        <v>2.0546109116235027</v>
      </c>
      <c r="BV42" s="137">
        <v>2.7864561561090566</v>
      </c>
      <c r="BW42" s="137">
        <v>2.0486149653833556</v>
      </c>
      <c r="BX42" s="137">
        <v>2.7467169426712967</v>
      </c>
      <c r="BY42" s="137">
        <v>2.0486149653833556</v>
      </c>
      <c r="BZ42" s="137">
        <v>2.7467169426712967</v>
      </c>
      <c r="CA42" s="137">
        <v>2.0486149653833556</v>
      </c>
      <c r="CB42" s="137">
        <v>2.7467169426712967</v>
      </c>
      <c r="CC42" s="137">
        <v>2.0546109116235027</v>
      </c>
      <c r="CD42" s="137">
        <v>2.0546109116235027</v>
      </c>
      <c r="CE42" s="34">
        <v>2020</v>
      </c>
    </row>
    <row r="43" spans="1:83" s="112" customFormat="1">
      <c r="A43" s="11">
        <v>2005</v>
      </c>
      <c r="B43" s="84">
        <v>4.1567687385447503</v>
      </c>
      <c r="C43" s="84">
        <v>4.6352413534099677</v>
      </c>
      <c r="D43" s="84">
        <v>4.7077577564630149</v>
      </c>
      <c r="E43" s="84">
        <v>4.7068245060405864</v>
      </c>
      <c r="F43" s="84">
        <v>4.7068245060405864</v>
      </c>
      <c r="G43" s="84">
        <v>4.0181013872141769</v>
      </c>
      <c r="H43" s="84">
        <v>6.508084314129019</v>
      </c>
      <c r="I43" s="84">
        <v>4.5666703646051907</v>
      </c>
      <c r="J43" s="84">
        <v>6.4402852806098974</v>
      </c>
      <c r="K43" s="84">
        <v>4.5666703646051907</v>
      </c>
      <c r="L43" s="84">
        <v>4.1814887634962945</v>
      </c>
      <c r="M43" s="84">
        <v>4.0377107994761374</v>
      </c>
      <c r="N43" s="84">
        <v>4.0181013872141769</v>
      </c>
      <c r="O43" s="84">
        <v>4.0377107994761374</v>
      </c>
      <c r="P43" s="84">
        <v>4.7077577564630149</v>
      </c>
      <c r="Q43" s="84">
        <v>4.7068245060405864</v>
      </c>
      <c r="R43" s="84">
        <v>4.0377055386331273</v>
      </c>
      <c r="S43" s="84">
        <v>4.0377107994761374</v>
      </c>
      <c r="T43" s="84">
        <v>4.1814887634962945</v>
      </c>
      <c r="U43" s="84">
        <v>4.6352413534099677</v>
      </c>
      <c r="V43" s="84">
        <v>6.508084314129019</v>
      </c>
      <c r="W43" s="84">
        <v>4.7077577564630149</v>
      </c>
      <c r="X43" s="84">
        <v>4.7077577564630149</v>
      </c>
      <c r="Y43" s="84">
        <v>4.0377107994761374</v>
      </c>
      <c r="Z43" s="84">
        <v>4.0377107994761374</v>
      </c>
      <c r="AA43" s="84">
        <v>4.9903787760562812</v>
      </c>
      <c r="AB43" s="84">
        <v>4.4057742780986917</v>
      </c>
      <c r="AC43" s="84">
        <v>4.6352413534099677</v>
      </c>
      <c r="AD43" s="84">
        <v>4.7077577564630149</v>
      </c>
      <c r="AE43" s="84">
        <v>4.0377107994761374</v>
      </c>
      <c r="AF43" s="84">
        <v>4.0377107994761374</v>
      </c>
      <c r="AG43" s="84">
        <v>4.1814887634962945</v>
      </c>
      <c r="AH43" s="84">
        <v>4.6352413534099677</v>
      </c>
      <c r="AI43" s="84">
        <v>4.0377107994761374</v>
      </c>
      <c r="AJ43" s="84">
        <v>4.0377107994761374</v>
      </c>
      <c r="AK43" s="84">
        <v>4.1814887634962945</v>
      </c>
      <c r="AL43" s="84">
        <v>4.0377107994761374</v>
      </c>
      <c r="AM43" s="84">
        <v>4.6352413534099677</v>
      </c>
      <c r="AN43" s="84">
        <v>4.7077577564630149</v>
      </c>
      <c r="AO43" s="84">
        <v>4.0181013872141769</v>
      </c>
      <c r="AP43" s="84">
        <v>4.0181013872141769</v>
      </c>
      <c r="AQ43" s="84">
        <v>4.0181013872141769</v>
      </c>
      <c r="AR43" s="195">
        <v>4.1816883924668442</v>
      </c>
      <c r="AS43" s="84">
        <v>5.3085251815353001</v>
      </c>
      <c r="AT43" s="196">
        <v>4.8104639797177926</v>
      </c>
      <c r="AU43" s="84">
        <v>6.1624360380478249</v>
      </c>
      <c r="AV43" s="84">
        <v>6.053394321492287</v>
      </c>
      <c r="AW43" s="84">
        <v>5.1323723363200315</v>
      </c>
      <c r="AX43" s="84">
        <v>4.7542520118246445</v>
      </c>
      <c r="AY43" s="84">
        <v>4.0377107994761374</v>
      </c>
      <c r="AZ43" s="84">
        <v>4.7960230338035164</v>
      </c>
      <c r="BA43" s="84">
        <v>6.2903552307417732</v>
      </c>
      <c r="BB43" s="84">
        <v>6.071207287168308</v>
      </c>
      <c r="BC43" s="84">
        <v>4.7948980653336584</v>
      </c>
      <c r="BD43" s="84">
        <v>4.7494336372394264</v>
      </c>
      <c r="BE43" s="197">
        <v>2.0957031298559725</v>
      </c>
      <c r="BF43" s="197">
        <v>2.0957031298559725</v>
      </c>
      <c r="BG43" s="197">
        <v>2.0957031298559725</v>
      </c>
      <c r="BH43" s="112">
        <v>2.095703129855973</v>
      </c>
      <c r="BI43" s="112">
        <v>2.0957031298559725</v>
      </c>
      <c r="BJ43" s="112">
        <v>2.0957031298559721</v>
      </c>
      <c r="BK43" s="112">
        <v>2.5537484646240451</v>
      </c>
      <c r="BL43" s="112">
        <v>2.095703129855973</v>
      </c>
      <c r="BM43" s="112">
        <v>2.2957261932917246</v>
      </c>
      <c r="BN43" s="112">
        <v>2.095703129855973</v>
      </c>
      <c r="BO43" s="112">
        <v>2.095703129855973</v>
      </c>
      <c r="BP43" s="112">
        <v>2.095703129855973</v>
      </c>
      <c r="BQ43" s="112">
        <v>2.0957031298559725</v>
      </c>
      <c r="BR43" s="112">
        <v>2.0957031298559725</v>
      </c>
      <c r="BS43" s="112">
        <v>2.0957031298559725</v>
      </c>
      <c r="BT43" s="112">
        <v>2.0957031298559725</v>
      </c>
      <c r="BU43" s="112">
        <v>2.0957031298559725</v>
      </c>
      <c r="BV43" s="112">
        <v>2.8435785073092918</v>
      </c>
      <c r="BW43" s="112">
        <v>2.0895872646910227</v>
      </c>
      <c r="BX43" s="112">
        <v>2.8029666896136534</v>
      </c>
      <c r="BY43" s="112">
        <v>2.0895872646910227</v>
      </c>
      <c r="BZ43" s="112">
        <v>2.8029666896136534</v>
      </c>
      <c r="CA43" s="112">
        <v>2.0895872646910227</v>
      </c>
      <c r="CB43" s="112">
        <v>2.8029666896136534</v>
      </c>
      <c r="CC43" s="112">
        <v>2.095703129855973</v>
      </c>
      <c r="CD43" s="112">
        <v>2.095703129855973</v>
      </c>
      <c r="CE43" s="35">
        <v>2021</v>
      </c>
    </row>
    <row r="44" spans="1:83" s="112" customFormat="1">
      <c r="A44" s="11">
        <v>2006</v>
      </c>
      <c r="B44" s="84">
        <v>4.2856285694396368</v>
      </c>
      <c r="C44" s="84">
        <v>4.7789338353656765</v>
      </c>
      <c r="D44" s="84">
        <v>4.8536982469133676</v>
      </c>
      <c r="E44" s="84">
        <v>4.8527360657278447</v>
      </c>
      <c r="F44" s="84">
        <v>4.8527360657278447</v>
      </c>
      <c r="G44" s="84">
        <v>4.1426625302178159</v>
      </c>
      <c r="H44" s="84">
        <v>6.7098349278670177</v>
      </c>
      <c r="I44" s="84">
        <v>4.7904372124708443</v>
      </c>
      <c r="J44" s="84">
        <v>6.6462096763483762</v>
      </c>
      <c r="K44" s="84">
        <v>4.7904372124708443</v>
      </c>
      <c r="L44" s="84">
        <v>4.311114915164679</v>
      </c>
      <c r="M44" s="84">
        <v>4.1628798342598969</v>
      </c>
      <c r="N44" s="84">
        <v>4.1426625302178159</v>
      </c>
      <c r="O44" s="84">
        <v>4.1628798342598969</v>
      </c>
      <c r="P44" s="84">
        <v>4.8536982469133676</v>
      </c>
      <c r="Q44" s="84">
        <v>4.8527360657278447</v>
      </c>
      <c r="R44" s="84">
        <v>4.1628724053185033</v>
      </c>
      <c r="S44" s="84">
        <v>4.1628798342598969</v>
      </c>
      <c r="T44" s="84">
        <v>4.311114915164679</v>
      </c>
      <c r="U44" s="84">
        <v>4.7789338353656765</v>
      </c>
      <c r="V44" s="84">
        <v>6.7098349278670177</v>
      </c>
      <c r="W44" s="84">
        <v>4.8536982469133676</v>
      </c>
      <c r="X44" s="84">
        <v>4.8536982469133676</v>
      </c>
      <c r="Y44" s="84">
        <v>4.1628798342598969</v>
      </c>
      <c r="Z44" s="84">
        <v>4.1628798342598969</v>
      </c>
      <c r="AA44" s="84">
        <v>5.1499432501735205</v>
      </c>
      <c r="AB44" s="84">
        <v>7.0360215221236109</v>
      </c>
      <c r="AC44" s="84">
        <v>4.7789338353656765</v>
      </c>
      <c r="AD44" s="84">
        <v>4.8536982469133676</v>
      </c>
      <c r="AE44" s="84">
        <v>4.1628798342598969</v>
      </c>
      <c r="AF44" s="84">
        <v>4.1628798342598969</v>
      </c>
      <c r="AG44" s="84">
        <v>4.311114915164679</v>
      </c>
      <c r="AH44" s="84">
        <v>4.7789338353656765</v>
      </c>
      <c r="AI44" s="84">
        <v>4.1628798342598969</v>
      </c>
      <c r="AJ44" s="84">
        <v>4.1628798342598969</v>
      </c>
      <c r="AK44" s="84">
        <v>4.311114915164679</v>
      </c>
      <c r="AL44" s="84">
        <v>4.1628798342598969</v>
      </c>
      <c r="AM44" s="84">
        <v>4.7789338353656765</v>
      </c>
      <c r="AN44" s="84">
        <v>4.8536982469133676</v>
      </c>
      <c r="AO44" s="84">
        <v>4.1426625302178159</v>
      </c>
      <c r="AP44" s="84">
        <v>4.1426625302178159</v>
      </c>
      <c r="AQ44" s="84">
        <v>4.1426625302178159</v>
      </c>
      <c r="AR44" s="195">
        <v>4.3113466995253598</v>
      </c>
      <c r="AS44" s="84">
        <v>5.7173262948676964</v>
      </c>
      <c r="AT44" s="196">
        <v>4.9616928404891825</v>
      </c>
      <c r="AU44" s="84">
        <v>6.359011769026468</v>
      </c>
      <c r="AV44" s="84">
        <v>6.2465298312746578</v>
      </c>
      <c r="AW44" s="84">
        <v>5.6479365276795219</v>
      </c>
      <c r="AX44" s="84">
        <v>4.9022823945022003</v>
      </c>
      <c r="AY44" s="84">
        <v>4.1628798342598969</v>
      </c>
      <c r="AZ44" s="84">
        <v>4.9453944679750199</v>
      </c>
      <c r="BA44" s="84">
        <v>6.4912186334457385</v>
      </c>
      <c r="BB44" s="84">
        <v>6.2655236080258945</v>
      </c>
      <c r="BC44" s="84">
        <v>5.1279339738822811</v>
      </c>
      <c r="BD44" s="84">
        <v>4.9322064103629897</v>
      </c>
      <c r="BE44" s="197">
        <v>2.1376171924530922</v>
      </c>
      <c r="BF44" s="197">
        <v>2.1376171924530918</v>
      </c>
      <c r="BG44" s="197">
        <v>2.1376171924530918</v>
      </c>
      <c r="BH44" s="112">
        <v>2.1376171924530927</v>
      </c>
      <c r="BI44" s="112">
        <v>2.1376171924530918</v>
      </c>
      <c r="BJ44" s="112">
        <v>2.1376171924530918</v>
      </c>
      <c r="BK44" s="112">
        <v>2.6073771823811498</v>
      </c>
      <c r="BL44" s="112">
        <v>2.1376171924530927</v>
      </c>
      <c r="BM44" s="112">
        <v>2.3508236219307257</v>
      </c>
      <c r="BN44" s="112">
        <v>2.1376171924530927</v>
      </c>
      <c r="BO44" s="112">
        <v>2.1376171924530927</v>
      </c>
      <c r="BP44" s="112">
        <v>2.1376171924530927</v>
      </c>
      <c r="BQ44" s="112">
        <v>2.1376171924530922</v>
      </c>
      <c r="BR44" s="112">
        <v>2.1376171924530922</v>
      </c>
      <c r="BS44" s="112">
        <v>2.1376171924530922</v>
      </c>
      <c r="BT44" s="112">
        <v>2.1376171924530922</v>
      </c>
      <c r="BU44" s="112">
        <v>2.1376171924530922</v>
      </c>
      <c r="BV44" s="112">
        <v>2.9032936559627869</v>
      </c>
      <c r="BW44" s="112">
        <v>2.1313790099848431</v>
      </c>
      <c r="BX44" s="112">
        <v>2.8617107713154351</v>
      </c>
      <c r="BY44" s="112">
        <v>2.1313790099848431</v>
      </c>
      <c r="BZ44" s="112">
        <v>2.8617107713154351</v>
      </c>
      <c r="CA44" s="112">
        <v>2.1313790099848431</v>
      </c>
      <c r="CB44" s="112">
        <v>2.8617107713154351</v>
      </c>
      <c r="CC44" s="112">
        <v>2.1376171924530927</v>
      </c>
      <c r="CD44" s="112">
        <v>2.1376171924530927</v>
      </c>
      <c r="CE44" s="35">
        <v>2022</v>
      </c>
    </row>
    <row r="45" spans="1:83" s="112" customFormat="1">
      <c r="A45" s="11">
        <v>2007</v>
      </c>
      <c r="B45" s="84">
        <v>4.4013405408145063</v>
      </c>
      <c r="C45" s="84">
        <v>4.9079650489205493</v>
      </c>
      <c r="D45" s="84">
        <v>4.9847480995800284</v>
      </c>
      <c r="E45" s="84">
        <v>4.9837599395024963</v>
      </c>
      <c r="F45" s="84">
        <v>4.9837599395024963</v>
      </c>
      <c r="G45" s="84">
        <v>4.2545144185336969</v>
      </c>
      <c r="H45" s="84">
        <v>6.891000470919427</v>
      </c>
      <c r="I45" s="84">
        <v>5.0299590730943864</v>
      </c>
      <c r="J45" s="84">
        <v>6.8070404810401905</v>
      </c>
      <c r="K45" s="84">
        <v>5.0299590730943864</v>
      </c>
      <c r="L45" s="84">
        <v>4.4275150178741249</v>
      </c>
      <c r="M45" s="84">
        <v>4.2752775897849142</v>
      </c>
      <c r="N45" s="84">
        <v>4.2545144185336969</v>
      </c>
      <c r="O45" s="84">
        <v>4.2752775897849142</v>
      </c>
      <c r="P45" s="84">
        <v>4.9847480995800284</v>
      </c>
      <c r="Q45" s="84">
        <v>4.9837599395024963</v>
      </c>
      <c r="R45" s="84">
        <v>4.2752661921328095</v>
      </c>
      <c r="S45" s="84">
        <v>4.2752775897849142</v>
      </c>
      <c r="T45" s="84">
        <v>4.4275150178741249</v>
      </c>
      <c r="U45" s="84">
        <v>4.9079650489205493</v>
      </c>
      <c r="V45" s="84">
        <v>6.891000470919427</v>
      </c>
      <c r="W45" s="84">
        <v>4.9847480995800284</v>
      </c>
      <c r="X45" s="84">
        <v>4.9847480995800284</v>
      </c>
      <c r="Y45" s="84">
        <v>4.2752775897849142</v>
      </c>
      <c r="Z45" s="84">
        <v>4.2752775897849142</v>
      </c>
      <c r="AA45" s="84">
        <v>5.274566088960885</v>
      </c>
      <c r="AB45" s="84">
        <v>7.1345258234333411</v>
      </c>
      <c r="AC45" s="84">
        <v>4.9079650489205493</v>
      </c>
      <c r="AD45" s="84">
        <v>4.9847480995800284</v>
      </c>
      <c r="AE45" s="84">
        <v>4.2752775897849142</v>
      </c>
      <c r="AF45" s="84">
        <v>4.2752775897849142</v>
      </c>
      <c r="AG45" s="84">
        <v>4.4275150178741249</v>
      </c>
      <c r="AH45" s="84">
        <v>4.9079650489205493</v>
      </c>
      <c r="AI45" s="84">
        <v>4.2752775897849142</v>
      </c>
      <c r="AJ45" s="84">
        <v>4.2752775897849142</v>
      </c>
      <c r="AK45" s="84">
        <v>4.4275150178741249</v>
      </c>
      <c r="AL45" s="84">
        <v>4.2752775897849142</v>
      </c>
      <c r="AM45" s="84">
        <v>4.9079650489205493</v>
      </c>
      <c r="AN45" s="84">
        <v>4.9847480995800284</v>
      </c>
      <c r="AO45" s="84">
        <v>4.2545144185336969</v>
      </c>
      <c r="AP45" s="84">
        <v>4.2545144185336969</v>
      </c>
      <c r="AQ45" s="84">
        <v>4.2545144185336969</v>
      </c>
      <c r="AR45" s="195">
        <v>4.4276762482251915</v>
      </c>
      <c r="AS45" s="84">
        <v>5.863283775832369</v>
      </c>
      <c r="AT45" s="196">
        <v>5.0906236448706483</v>
      </c>
      <c r="AU45" s="84">
        <v>6.5136342223502988</v>
      </c>
      <c r="AV45" s="84">
        <v>6.3995092084232326</v>
      </c>
      <c r="AW45" s="84">
        <v>5.7866187213957696</v>
      </c>
      <c r="AX45" s="84">
        <v>5.0327215531211635</v>
      </c>
      <c r="AY45" s="84">
        <v>4.2752775897849142</v>
      </c>
      <c r="AZ45" s="84">
        <v>5.0769123994294683</v>
      </c>
      <c r="BA45" s="84">
        <v>6.6494702889253965</v>
      </c>
      <c r="BB45" s="84">
        <v>6.4192771291538762</v>
      </c>
      <c r="BC45" s="84">
        <v>5.2608624181530939</v>
      </c>
      <c r="BD45" s="84">
        <v>5.0625764880099426</v>
      </c>
      <c r="BE45" s="197">
        <v>2.1803695363021545</v>
      </c>
      <c r="BF45" s="197">
        <v>2.1803695363021536</v>
      </c>
      <c r="BG45" s="197">
        <v>2.1803695363021536</v>
      </c>
      <c r="BH45" s="112">
        <v>2.1803695363021545</v>
      </c>
      <c r="BI45" s="112">
        <v>2.1803695363021536</v>
      </c>
      <c r="BJ45" s="112">
        <v>2.1803695363021536</v>
      </c>
      <c r="BK45" s="112">
        <v>2.6621321032111536</v>
      </c>
      <c r="BL45" s="112">
        <v>2.1803695363021545</v>
      </c>
      <c r="BM45" s="112">
        <v>2.4095942124789937</v>
      </c>
      <c r="BN45" s="112">
        <v>2.1803695363021545</v>
      </c>
      <c r="BO45" s="112">
        <v>2.1803695363021545</v>
      </c>
      <c r="BP45" s="112">
        <v>2.1803695363021545</v>
      </c>
      <c r="BQ45" s="112">
        <v>2.1803695363021545</v>
      </c>
      <c r="BR45" s="112">
        <v>2.1803695363021545</v>
      </c>
      <c r="BS45" s="112">
        <v>2.1803695363021545</v>
      </c>
      <c r="BT45" s="112">
        <v>2.1803695363021545</v>
      </c>
      <c r="BU45" s="112">
        <v>2.1803695363021545</v>
      </c>
      <c r="BV45" s="112">
        <v>2.964262822738005</v>
      </c>
      <c r="BW45" s="112">
        <v>2.1740065901845398</v>
      </c>
      <c r="BX45" s="112">
        <v>2.9216861143573509</v>
      </c>
      <c r="BY45" s="112">
        <v>2.1740065901845398</v>
      </c>
      <c r="BZ45" s="112">
        <v>2.9216861143573509</v>
      </c>
      <c r="CA45" s="112">
        <v>2.1740065901845398</v>
      </c>
      <c r="CB45" s="112">
        <v>2.9216861143573509</v>
      </c>
      <c r="CC45" s="112">
        <v>2.1803695363021545</v>
      </c>
      <c r="CD45" s="112">
        <v>2.1803695363021545</v>
      </c>
      <c r="CE45" s="35">
        <v>2023</v>
      </c>
    </row>
    <row r="46" spans="1:83" s="112" customFormat="1">
      <c r="A46" s="11">
        <v>2008</v>
      </c>
      <c r="B46" s="84">
        <v>4.5069727137940543</v>
      </c>
      <c r="C46" s="84">
        <v>5.0257562100946425</v>
      </c>
      <c r="D46" s="84">
        <v>5.1043820539699496</v>
      </c>
      <c r="E46" s="84">
        <v>5.1033701780505565</v>
      </c>
      <c r="F46" s="84">
        <v>5.1033701780505565</v>
      </c>
      <c r="G46" s="84">
        <v>4.3566227645785061</v>
      </c>
      <c r="H46" s="84">
        <v>7.0563844822214934</v>
      </c>
      <c r="I46" s="84">
        <v>5.2713971086029172</v>
      </c>
      <c r="J46" s="84">
        <v>7.0235231186701235</v>
      </c>
      <c r="K46" s="84">
        <v>5.2713971086029172</v>
      </c>
      <c r="L46" s="84">
        <v>4.5337753783031038</v>
      </c>
      <c r="M46" s="84">
        <v>4.3778842519397525</v>
      </c>
      <c r="N46" s="84">
        <v>4.3566227645785061</v>
      </c>
      <c r="O46" s="84">
        <v>4.3778842519397525</v>
      </c>
      <c r="P46" s="84">
        <v>5.1043820539699496</v>
      </c>
      <c r="Q46" s="84">
        <v>5.1033701780505565</v>
      </c>
      <c r="R46" s="84">
        <v>4.3778725807439969</v>
      </c>
      <c r="S46" s="84">
        <v>4.3778842519397525</v>
      </c>
      <c r="T46" s="84">
        <v>4.5337753783031038</v>
      </c>
      <c r="U46" s="84">
        <v>5.0257562100946425</v>
      </c>
      <c r="V46" s="84">
        <v>7.0563844822214934</v>
      </c>
      <c r="W46" s="84">
        <v>5.1043820539699496</v>
      </c>
      <c r="X46" s="84">
        <v>5.1043820539699496</v>
      </c>
      <c r="Y46" s="84">
        <v>4.3778842519397525</v>
      </c>
      <c r="Z46" s="84">
        <v>4.3778842519397525</v>
      </c>
      <c r="AA46" s="84">
        <v>5.4423118196454725</v>
      </c>
      <c r="AB46" s="84">
        <v>9.6387443874584431</v>
      </c>
      <c r="AC46" s="84">
        <v>5.0257562100946425</v>
      </c>
      <c r="AD46" s="84">
        <v>5.1043820539699496</v>
      </c>
      <c r="AE46" s="84">
        <v>4.3778842519397525</v>
      </c>
      <c r="AF46" s="84">
        <v>4.3778842519397525</v>
      </c>
      <c r="AG46" s="84">
        <v>4.5337753783031038</v>
      </c>
      <c r="AH46" s="84">
        <v>5.0257562100946425</v>
      </c>
      <c r="AI46" s="84">
        <v>4.3778842519397525</v>
      </c>
      <c r="AJ46" s="84">
        <v>4.3778842519397525</v>
      </c>
      <c r="AK46" s="84">
        <v>4.5337753783031038</v>
      </c>
      <c r="AL46" s="84">
        <v>4.3778842519397525</v>
      </c>
      <c r="AM46" s="84">
        <v>5.0257562100946425</v>
      </c>
      <c r="AN46" s="84">
        <v>5.1043820539699496</v>
      </c>
      <c r="AO46" s="84">
        <v>4.3566227645785061</v>
      </c>
      <c r="AP46" s="84">
        <v>4.3566227645785061</v>
      </c>
      <c r="AQ46" s="84">
        <v>4.3566227645785061</v>
      </c>
      <c r="AR46" s="195">
        <v>4.5341643162504814</v>
      </c>
      <c r="AS46" s="84">
        <v>6.1955218244517916</v>
      </c>
      <c r="AT46" s="196">
        <v>5.2311416299197528</v>
      </c>
      <c r="AU46" s="84">
        <v>6.7195582564495906</v>
      </c>
      <c r="AV46" s="84">
        <v>6.5985427015319367</v>
      </c>
      <c r="AW46" s="84">
        <v>6.3204875358494501</v>
      </c>
      <c r="AX46" s="84">
        <v>5.1590045431356693</v>
      </c>
      <c r="AY46" s="84">
        <v>4.3778842519397525</v>
      </c>
      <c r="AZ46" s="84">
        <v>5.2060476951705272</v>
      </c>
      <c r="BA46" s="84">
        <v>6.8584429270751777</v>
      </c>
      <c r="BB46" s="84">
        <v>6.6188250301237517</v>
      </c>
      <c r="BC46" s="84">
        <v>5.4227598714561918</v>
      </c>
      <c r="BD46" s="84">
        <v>5.2140280681875177</v>
      </c>
      <c r="BE46" s="261">
        <v>2.2239769270281977</v>
      </c>
      <c r="BF46" s="261">
        <v>2.2239769270281964</v>
      </c>
      <c r="BG46" s="261">
        <v>2.2239769270281964</v>
      </c>
      <c r="BH46" s="112">
        <v>2.2239769270281973</v>
      </c>
      <c r="BI46" s="112">
        <v>2.2239769270281964</v>
      </c>
      <c r="BJ46" s="112">
        <v>2.2239769270281964</v>
      </c>
      <c r="BK46" s="112">
        <v>2.7180368773785877</v>
      </c>
      <c r="BL46" s="112">
        <v>2.2239769270281973</v>
      </c>
      <c r="BM46" s="112">
        <v>2.4698340677909685</v>
      </c>
      <c r="BN46" s="112">
        <v>2.2239769270281973</v>
      </c>
      <c r="BO46" s="112">
        <v>2.2239769270281973</v>
      </c>
      <c r="BP46" s="112">
        <v>2.2239769270281973</v>
      </c>
      <c r="BQ46" s="112">
        <v>2.2239769270281977</v>
      </c>
      <c r="BR46" s="112">
        <v>2.2239769270281977</v>
      </c>
      <c r="BS46" s="112">
        <v>2.2239769270281977</v>
      </c>
      <c r="BT46" s="112">
        <v>2.2239769270281977</v>
      </c>
      <c r="BU46" s="112">
        <v>2.2239769270281977</v>
      </c>
      <c r="BV46" s="112">
        <v>3.0265123420155029</v>
      </c>
      <c r="BW46" s="112">
        <v>2.217486721988231</v>
      </c>
      <c r="BX46" s="112">
        <v>2.9829185279400336</v>
      </c>
      <c r="BY46" s="112">
        <v>2.217486721988231</v>
      </c>
      <c r="BZ46" s="112">
        <v>2.9829185279400336</v>
      </c>
      <c r="CA46" s="112">
        <v>2.217486721988231</v>
      </c>
      <c r="CB46" s="112">
        <v>2.9829185279400336</v>
      </c>
      <c r="CC46" s="112">
        <v>2.2239769270281973</v>
      </c>
      <c r="CD46" s="112">
        <v>2.2239769270281973</v>
      </c>
      <c r="CE46" s="36">
        <v>2024</v>
      </c>
    </row>
    <row r="47" spans="1:83" s="112" customFormat="1">
      <c r="A47" s="11">
        <v>2009</v>
      </c>
      <c r="B47" s="84">
        <v>4.5745773045009646</v>
      </c>
      <c r="C47" s="84">
        <v>5.1011425532460617</v>
      </c>
      <c r="D47" s="84">
        <v>5.180947784779498</v>
      </c>
      <c r="E47" s="84">
        <v>5.1799207307213146</v>
      </c>
      <c r="F47" s="84">
        <v>5.1799207307213146</v>
      </c>
      <c r="G47" s="84">
        <v>4.4219721060471828</v>
      </c>
      <c r="H47" s="84">
        <v>7.1622302494548151</v>
      </c>
      <c r="I47" s="84">
        <v>5.4400818160782105</v>
      </c>
      <c r="J47" s="84">
        <v>7.290596648806253</v>
      </c>
      <c r="K47" s="84">
        <v>5.4400818160782105</v>
      </c>
      <c r="L47" s="84">
        <v>4.6017820089776498</v>
      </c>
      <c r="M47" s="84">
        <v>4.4435525157188485</v>
      </c>
      <c r="N47" s="84">
        <v>4.4219721060471828</v>
      </c>
      <c r="O47" s="84">
        <v>4.4435525157188485</v>
      </c>
      <c r="P47" s="84">
        <v>5.180947784779498</v>
      </c>
      <c r="Q47" s="84">
        <v>5.1799207307213146</v>
      </c>
      <c r="R47" s="84">
        <v>4.4435406694551567</v>
      </c>
      <c r="S47" s="84">
        <v>4.4435525157188485</v>
      </c>
      <c r="T47" s="84">
        <v>4.6017820089776498</v>
      </c>
      <c r="U47" s="84">
        <v>5.1011425532460617</v>
      </c>
      <c r="V47" s="84">
        <v>7.1622302494548151</v>
      </c>
      <c r="W47" s="84">
        <v>5.180947784779498</v>
      </c>
      <c r="X47" s="84">
        <v>5.180947784779498</v>
      </c>
      <c r="Y47" s="84">
        <v>4.4435525157188485</v>
      </c>
      <c r="Z47" s="84">
        <v>4.4435525157188485</v>
      </c>
      <c r="AA47" s="84">
        <v>5.6492588753062662</v>
      </c>
      <c r="AB47" s="84">
        <v>6.6314561385714086</v>
      </c>
      <c r="AC47" s="84">
        <v>5.1011425532460617</v>
      </c>
      <c r="AD47" s="84">
        <v>5.180947784779498</v>
      </c>
      <c r="AE47" s="84">
        <v>4.4435525157188485</v>
      </c>
      <c r="AF47" s="84">
        <v>4.4435525157188485</v>
      </c>
      <c r="AG47" s="84">
        <v>4.6017820089776498</v>
      </c>
      <c r="AH47" s="84">
        <v>5.1011425532460617</v>
      </c>
      <c r="AI47" s="84">
        <v>4.4435525157188485</v>
      </c>
      <c r="AJ47" s="84">
        <v>4.4435525157188485</v>
      </c>
      <c r="AK47" s="84">
        <v>4.6017820089776498</v>
      </c>
      <c r="AL47" s="84">
        <v>4.4435525157188485</v>
      </c>
      <c r="AM47" s="84">
        <v>5.1011425532460617</v>
      </c>
      <c r="AN47" s="84">
        <v>5.180947784779498</v>
      </c>
      <c r="AO47" s="84">
        <v>4.4219721060471828</v>
      </c>
      <c r="AP47" s="84">
        <v>4.4219721060471828</v>
      </c>
      <c r="AQ47" s="84">
        <v>4.4219721060471828</v>
      </c>
      <c r="AR47" s="195">
        <v>4.6027705568020716</v>
      </c>
      <c r="AS47" s="84">
        <v>6.2306102017955691</v>
      </c>
      <c r="AT47" s="196">
        <v>5.3598545970853975</v>
      </c>
      <c r="AU47" s="84">
        <v>6.9691318490655441</v>
      </c>
      <c r="AV47" s="84">
        <v>6.8332879708389456</v>
      </c>
      <c r="AW47" s="84">
        <v>6.1528454616665087</v>
      </c>
      <c r="AX47" s="84">
        <v>5.2530200803005869</v>
      </c>
      <c r="AY47" s="84">
        <v>4.4435525157188485</v>
      </c>
      <c r="AZ47" s="84">
        <v>5.3108537418689981</v>
      </c>
      <c r="BA47" s="84">
        <v>7.1118185805912528</v>
      </c>
      <c r="BB47" s="84">
        <v>6.8563321022698869</v>
      </c>
      <c r="BC47" s="84">
        <v>5.5091594208998469</v>
      </c>
      <c r="BD47" s="84">
        <v>5.2962885123694088</v>
      </c>
      <c r="BE47" s="197"/>
      <c r="BF47" s="197"/>
      <c r="BG47" s="197"/>
    </row>
    <row r="48" spans="1:83" s="112" customFormat="1">
      <c r="A48">
        <v>2010</v>
      </c>
      <c r="B48" s="84">
        <v>4.6111739229369721</v>
      </c>
      <c r="C48" s="84">
        <v>5.1419516936720306</v>
      </c>
      <c r="D48" s="84">
        <v>5.2223953670577341</v>
      </c>
      <c r="E48" s="84">
        <v>5.2213600965670848</v>
      </c>
      <c r="F48" s="84">
        <v>5.2213600965670848</v>
      </c>
      <c r="G48" s="84">
        <v>4.4573478828955606</v>
      </c>
      <c r="H48" s="84">
        <v>7.2195280914504538</v>
      </c>
      <c r="I48" s="84">
        <v>5.5978441887444781</v>
      </c>
      <c r="J48" s="84">
        <v>7.5473311936084473</v>
      </c>
      <c r="K48" s="84">
        <v>5.5978441887444781</v>
      </c>
      <c r="L48" s="84">
        <v>4.638596265049471</v>
      </c>
      <c r="M48" s="84">
        <v>4.479100935844599</v>
      </c>
      <c r="N48" s="84">
        <v>4.4573478828955606</v>
      </c>
      <c r="O48" s="84">
        <v>4.479100935844599</v>
      </c>
      <c r="P48" s="84">
        <v>5.2223953670577341</v>
      </c>
      <c r="Q48" s="84">
        <v>5.2213600965670848</v>
      </c>
      <c r="R48" s="84">
        <v>4.4790889948107981</v>
      </c>
      <c r="S48" s="84">
        <v>4.479100935844599</v>
      </c>
      <c r="T48" s="84">
        <v>4.638596265049471</v>
      </c>
      <c r="U48" s="84">
        <v>5.1419516936720306</v>
      </c>
      <c r="V48" s="84">
        <v>7.2195280914504538</v>
      </c>
      <c r="W48" s="84">
        <v>5.2223953670577341</v>
      </c>
      <c r="X48" s="84">
        <v>5.2223953670577341</v>
      </c>
      <c r="Y48" s="84">
        <v>4.479100935844599</v>
      </c>
      <c r="Z48" s="84">
        <v>4.479100935844599</v>
      </c>
      <c r="AA48" s="84">
        <v>5.7883154442699629</v>
      </c>
      <c r="AB48" s="84">
        <v>8.3092145416299754</v>
      </c>
      <c r="AC48" s="84">
        <v>5.1419516936720306</v>
      </c>
      <c r="AD48" s="84">
        <v>5.2223953670577341</v>
      </c>
      <c r="AE48" s="84">
        <v>4.479100935844599</v>
      </c>
      <c r="AF48" s="84">
        <v>4.479100935844599</v>
      </c>
      <c r="AG48" s="84">
        <v>4.638596265049471</v>
      </c>
      <c r="AH48" s="84">
        <v>5.1419516936720306</v>
      </c>
      <c r="AI48" s="84">
        <v>4.479100935844599</v>
      </c>
      <c r="AJ48" s="84">
        <v>4.479100935844599</v>
      </c>
      <c r="AK48" s="84">
        <v>4.638596265049471</v>
      </c>
      <c r="AL48" s="84">
        <v>4.479100935844599</v>
      </c>
      <c r="AM48" s="84">
        <v>5.1419516936720306</v>
      </c>
      <c r="AN48" s="84">
        <v>5.2223953670577341</v>
      </c>
      <c r="AO48" s="84">
        <v>4.4573478828955606</v>
      </c>
      <c r="AP48" s="84">
        <v>4.4573478828955606</v>
      </c>
      <c r="AQ48" s="84">
        <v>4.4573478828955606</v>
      </c>
      <c r="AR48" s="195">
        <v>4.6400628533458335</v>
      </c>
      <c r="AS48" s="84">
        <v>6.4151612524547339</v>
      </c>
      <c r="AT48" s="196">
        <v>5.438062540178568</v>
      </c>
      <c r="AU48" s="84">
        <v>7.2057547840384624</v>
      </c>
      <c r="AV48" s="84">
        <v>7.0441309526447862</v>
      </c>
      <c r="AW48" s="84">
        <v>6.4694879055860586</v>
      </c>
      <c r="AX48" s="84">
        <v>5.3072632989901631</v>
      </c>
      <c r="AY48" s="84">
        <v>4.479100935844599</v>
      </c>
      <c r="AZ48" s="84">
        <v>5.3533405718039502</v>
      </c>
      <c r="BA48" s="84">
        <v>7.352175326778549</v>
      </c>
      <c r="BB48" s="84">
        <v>7.0831586083429841</v>
      </c>
      <c r="BC48" s="84">
        <v>5.5910072655680239</v>
      </c>
      <c r="BD48" s="84">
        <v>5.3639984858474659</v>
      </c>
      <c r="BE48" s="197"/>
      <c r="BF48" s="197"/>
      <c r="BG48" s="197"/>
    </row>
    <row r="49" spans="1:83" s="112" customFormat="1">
      <c r="A49">
        <v>2011</v>
      </c>
      <c r="B49" s="84">
        <v>4.7033974013957121</v>
      </c>
      <c r="C49" s="84">
        <v>5.244790727545471</v>
      </c>
      <c r="D49" s="84">
        <v>5.3268432743988887</v>
      </c>
      <c r="E49" s="84">
        <v>5.3257872984984269</v>
      </c>
      <c r="F49" s="84">
        <v>5.3257872984984269</v>
      </c>
      <c r="G49" s="84">
        <v>4.5464948405534722</v>
      </c>
      <c r="H49" s="84">
        <v>7.3639186532794634</v>
      </c>
      <c r="I49" s="84">
        <v>5.8161601121055124</v>
      </c>
      <c r="J49" s="84">
        <v>7.6897921296539655</v>
      </c>
      <c r="K49" s="84">
        <v>5.8161601121055124</v>
      </c>
      <c r="L49" s="84">
        <v>4.7313681903504605</v>
      </c>
      <c r="M49" s="84">
        <v>4.5686829545614911</v>
      </c>
      <c r="N49" s="84">
        <v>4.5464948405534722</v>
      </c>
      <c r="O49" s="84">
        <v>4.5686829545614911</v>
      </c>
      <c r="P49" s="84">
        <v>5.3268432743988887</v>
      </c>
      <c r="Q49" s="84">
        <v>5.3257872984984269</v>
      </c>
      <c r="R49" s="84">
        <v>4.5686707747070141</v>
      </c>
      <c r="S49" s="84">
        <v>4.5686829545614911</v>
      </c>
      <c r="T49" s="84">
        <v>4.7313681903504605</v>
      </c>
      <c r="U49" s="84">
        <v>5.244790727545471</v>
      </c>
      <c r="V49" s="84">
        <v>7.3639186532794634</v>
      </c>
      <c r="W49" s="84">
        <v>5.3268432743988887</v>
      </c>
      <c r="X49" s="84">
        <v>5.3268432743988887</v>
      </c>
      <c r="Y49" s="84">
        <v>4.5686829545614911</v>
      </c>
      <c r="Z49" s="84">
        <v>4.5686829545614911</v>
      </c>
      <c r="AA49" s="84">
        <v>5.8168293134535585</v>
      </c>
      <c r="AB49" s="84">
        <v>10.320044460704429</v>
      </c>
      <c r="AC49" s="84">
        <v>5.244790727545471</v>
      </c>
      <c r="AD49" s="84">
        <v>5.3268432743988887</v>
      </c>
      <c r="AE49" s="84">
        <v>4.5686829545614911</v>
      </c>
      <c r="AF49" s="84">
        <v>4.5686829545614911</v>
      </c>
      <c r="AG49" s="84">
        <v>4.7313681903504605</v>
      </c>
      <c r="AH49" s="84">
        <v>5.244790727545471</v>
      </c>
      <c r="AI49" s="84">
        <v>4.5686829545614911</v>
      </c>
      <c r="AJ49" s="84">
        <v>4.5686829545614911</v>
      </c>
      <c r="AK49" s="84">
        <v>4.7313681903504605</v>
      </c>
      <c r="AL49" s="84">
        <v>4.5686829545614911</v>
      </c>
      <c r="AM49" s="84">
        <v>5.244790727545471</v>
      </c>
      <c r="AN49" s="84">
        <v>5.3268432743988887</v>
      </c>
      <c r="AO49" s="84">
        <v>4.5464948405534722</v>
      </c>
      <c r="AP49" s="84">
        <v>4.5464948405534722</v>
      </c>
      <c r="AQ49" s="84">
        <v>4.5464948405534722</v>
      </c>
      <c r="AR49" s="195">
        <v>4.732332514414975</v>
      </c>
      <c r="AS49" s="84">
        <v>6.6137287196312391</v>
      </c>
      <c r="AT49" s="196">
        <v>5.5123596580491254</v>
      </c>
      <c r="AU49" s="84">
        <v>7.3436476422373209</v>
      </c>
      <c r="AV49" s="84">
        <v>7.1795997691725342</v>
      </c>
      <c r="AW49" s="84">
        <v>6.8416588674039733</v>
      </c>
      <c r="AX49" s="84">
        <v>5.4022084093183036</v>
      </c>
      <c r="AY49" s="84">
        <v>4.5686829545614911</v>
      </c>
      <c r="AZ49" s="84">
        <v>5.4604073832400291</v>
      </c>
      <c r="BA49" s="84">
        <v>7.4927553972019529</v>
      </c>
      <c r="BB49" s="84">
        <v>7.2175848491754326</v>
      </c>
      <c r="BC49" s="84">
        <v>5.7010804300647244</v>
      </c>
      <c r="BD49" s="84">
        <v>5.4754201989818858</v>
      </c>
      <c r="BE49" s="672"/>
      <c r="BF49" s="672"/>
      <c r="BG49" s="672"/>
      <c r="BH49" s="673"/>
      <c r="BI49" s="673"/>
      <c r="BJ49" s="673"/>
      <c r="BK49" s="673"/>
      <c r="BL49" s="673"/>
      <c r="BM49" s="673"/>
      <c r="BN49" s="673"/>
      <c r="BO49" s="673"/>
      <c r="BP49" s="673"/>
      <c r="BQ49" s="673"/>
      <c r="BR49" s="673"/>
      <c r="BS49" s="673"/>
      <c r="BT49" s="673"/>
      <c r="BU49" s="673"/>
      <c r="BV49" s="673"/>
      <c r="BW49" s="673"/>
      <c r="BX49" s="673"/>
      <c r="BY49" s="673"/>
      <c r="BZ49" s="673"/>
      <c r="CA49" s="673"/>
      <c r="CB49" s="673"/>
      <c r="CC49" s="673"/>
      <c r="CD49" s="673"/>
      <c r="CE49" s="674"/>
    </row>
    <row r="50" spans="1:83" s="112" customFormat="1">
      <c r="A50">
        <v>2012</v>
      </c>
      <c r="B50" s="84">
        <v>4.788058554620835</v>
      </c>
      <c r="C50" s="84">
        <v>5.3391969606412895</v>
      </c>
      <c r="D50" s="84">
        <v>5.4227264533380692</v>
      </c>
      <c r="E50" s="84">
        <v>5.4216514698713985</v>
      </c>
      <c r="F50" s="84">
        <v>5.4216514698713985</v>
      </c>
      <c r="G50" s="84">
        <v>4.6283317476834345</v>
      </c>
      <c r="H50" s="84">
        <v>7.4964691890384936</v>
      </c>
      <c r="I50" s="84">
        <v>5.9906449154686783</v>
      </c>
      <c r="J50" s="84">
        <v>7.8090238595771897</v>
      </c>
      <c r="K50" s="84">
        <v>5.9906449154686783</v>
      </c>
      <c r="L50" s="84">
        <v>4.8165328177767686</v>
      </c>
      <c r="M50" s="84">
        <v>4.6509192477435981</v>
      </c>
      <c r="N50" s="84">
        <v>4.6283317476834345</v>
      </c>
      <c r="O50" s="84">
        <v>4.6509192477435981</v>
      </c>
      <c r="P50" s="84">
        <v>5.4227264533380692</v>
      </c>
      <c r="Q50" s="84">
        <v>5.4216514698713985</v>
      </c>
      <c r="R50" s="84">
        <v>4.6509068486517409</v>
      </c>
      <c r="S50" s="84">
        <v>4.6509192477435981</v>
      </c>
      <c r="T50" s="84">
        <v>4.8165328177767686</v>
      </c>
      <c r="U50" s="84">
        <v>5.3391969606412895</v>
      </c>
      <c r="V50" s="84">
        <v>7.4964691890384936</v>
      </c>
      <c r="W50" s="84">
        <v>5.4227264533380692</v>
      </c>
      <c r="X50" s="84">
        <v>5.4227264533380692</v>
      </c>
      <c r="Y50" s="84">
        <v>4.6509192477435981</v>
      </c>
      <c r="Z50" s="84">
        <v>4.6509192477435981</v>
      </c>
      <c r="AA50" s="84">
        <v>5.8168293134535585</v>
      </c>
      <c r="AB50" s="84">
        <v>10.639965838986265</v>
      </c>
      <c r="AC50" s="84">
        <v>5.3391969606412895</v>
      </c>
      <c r="AD50" s="84">
        <v>5.4227264533380692</v>
      </c>
      <c r="AE50" s="84">
        <v>4.6509192477435981</v>
      </c>
      <c r="AF50" s="84">
        <v>4.6509192477435981</v>
      </c>
      <c r="AG50" s="84">
        <v>4.8165328177767686</v>
      </c>
      <c r="AH50" s="84">
        <v>5.3391969606412895</v>
      </c>
      <c r="AI50" s="84">
        <v>4.6509192477435981</v>
      </c>
      <c r="AJ50" s="84">
        <v>4.6509192477435981</v>
      </c>
      <c r="AK50" s="84">
        <v>4.8165328177767686</v>
      </c>
      <c r="AL50" s="84">
        <v>4.6509192477435981</v>
      </c>
      <c r="AM50" s="84">
        <v>5.3391969606412895</v>
      </c>
      <c r="AN50" s="84">
        <v>5.4227264533380692</v>
      </c>
      <c r="AO50" s="84">
        <v>4.6283317476834345</v>
      </c>
      <c r="AP50" s="84">
        <v>4.6283317476834345</v>
      </c>
      <c r="AQ50" s="84">
        <v>4.6283317476834345</v>
      </c>
      <c r="AR50" s="195">
        <v>4.8169382391322104</v>
      </c>
      <c r="AS50" s="84">
        <v>6.6835580037202158</v>
      </c>
      <c r="AT50" s="196">
        <v>5.5592985928034722</v>
      </c>
      <c r="AU50" s="84">
        <v>7.4618039474425881</v>
      </c>
      <c r="AV50" s="84">
        <v>7.2963722576691037</v>
      </c>
      <c r="AW50" s="84">
        <v>6.9604751314041238</v>
      </c>
      <c r="AX50" s="84">
        <v>5.4858345954945502</v>
      </c>
      <c r="AY50" s="84">
        <v>4.6509192477435981</v>
      </c>
      <c r="AZ50" s="84">
        <v>5.5586947161383495</v>
      </c>
      <c r="BA50" s="84">
        <v>7.6128906059926322</v>
      </c>
      <c r="BB50" s="84">
        <v>7.3336692417549791</v>
      </c>
      <c r="BC50" s="84">
        <v>5.7838425525957842</v>
      </c>
      <c r="BD50" s="84">
        <v>5.5571568725435814</v>
      </c>
      <c r="BE50" s="197"/>
      <c r="BF50" s="197"/>
      <c r="BG50" s="197"/>
    </row>
    <row r="51" spans="1:83" s="112" customFormat="1">
      <c r="A51">
        <v>2013</v>
      </c>
      <c r="B51" s="84">
        <v>4.8598794329401471</v>
      </c>
      <c r="C51" s="84">
        <v>5.4192849150509081</v>
      </c>
      <c r="D51" s="84">
        <v>5.5040673501381399</v>
      </c>
      <c r="E51" s="84">
        <v>5.5029762419194688</v>
      </c>
      <c r="F51" s="84">
        <v>5.5029762419194688</v>
      </c>
      <c r="G51" s="84">
        <v>4.6977567238986859</v>
      </c>
      <c r="H51" s="84">
        <v>7.6089162268740704</v>
      </c>
      <c r="I51" s="84">
        <v>6.1464016832708639</v>
      </c>
      <c r="J51" s="84">
        <v>7.9398481585053249</v>
      </c>
      <c r="K51" s="84">
        <v>6.1464016832708639</v>
      </c>
      <c r="L51" s="84">
        <v>4.8887808100434196</v>
      </c>
      <c r="M51" s="84">
        <v>4.7206830364597518</v>
      </c>
      <c r="N51" s="84">
        <v>4.6977567238986859</v>
      </c>
      <c r="O51" s="84">
        <v>4.7206830364597518</v>
      </c>
      <c r="P51" s="84">
        <v>5.5040673501381399</v>
      </c>
      <c r="Q51" s="84">
        <v>5.5029762419194688</v>
      </c>
      <c r="R51" s="84">
        <v>4.7206704513815163</v>
      </c>
      <c r="S51" s="84">
        <v>4.7206830364597518</v>
      </c>
      <c r="T51" s="84">
        <v>4.8887808100434196</v>
      </c>
      <c r="U51" s="84">
        <v>5.4192849150509081</v>
      </c>
      <c r="V51" s="84">
        <v>7.6089162268740704</v>
      </c>
      <c r="W51" s="84">
        <v>5.5040673501381399</v>
      </c>
      <c r="X51" s="84">
        <v>5.5040673501381399</v>
      </c>
      <c r="Y51" s="84">
        <v>4.7206830364597518</v>
      </c>
      <c r="Z51" s="84">
        <v>4.7206830364597518</v>
      </c>
      <c r="AA51" s="84">
        <v>5.8168293134535585</v>
      </c>
      <c r="AB51" s="84">
        <v>11.533722969461113</v>
      </c>
      <c r="AC51" s="84">
        <v>5.4192849150509081</v>
      </c>
      <c r="AD51" s="84">
        <v>5.5040673501381399</v>
      </c>
      <c r="AE51" s="84">
        <v>4.7206830364597518</v>
      </c>
      <c r="AF51" s="84">
        <v>4.7206830364597518</v>
      </c>
      <c r="AG51" s="84">
        <v>4.8887808100434196</v>
      </c>
      <c r="AH51" s="84">
        <v>5.4192849150509081</v>
      </c>
      <c r="AI51" s="84">
        <v>4.7206830364597518</v>
      </c>
      <c r="AJ51" s="84">
        <v>4.7206830364597518</v>
      </c>
      <c r="AK51" s="84">
        <v>4.8887808100434196</v>
      </c>
      <c r="AL51" s="84">
        <v>4.7206830364597518</v>
      </c>
      <c r="AM51" s="84">
        <v>5.4192849150509081</v>
      </c>
      <c r="AN51" s="84">
        <v>5.5040673501381399</v>
      </c>
      <c r="AO51" s="84">
        <v>4.6977567238986859</v>
      </c>
      <c r="AP51" s="84">
        <v>4.6977567238986859</v>
      </c>
      <c r="AQ51" s="84">
        <v>4.6977567238986859</v>
      </c>
      <c r="AR51" s="195">
        <v>4.8885695198369188</v>
      </c>
      <c r="AS51" s="84">
        <v>6.7710850615919576</v>
      </c>
      <c r="AT51" s="196">
        <v>5.5978105844351882</v>
      </c>
      <c r="AU51" s="84">
        <v>7.5838943470025013</v>
      </c>
      <c r="AV51" s="84">
        <v>7.4145345725358052</v>
      </c>
      <c r="AW51" s="84">
        <v>7.1530579930557812</v>
      </c>
      <c r="AX51" s="84">
        <v>5.5566018617764295</v>
      </c>
      <c r="AY51" s="84">
        <v>4.7206830364597518</v>
      </c>
      <c r="AZ51" s="84">
        <v>5.6420751368804245</v>
      </c>
      <c r="BA51" s="84">
        <v>7.7376758265608876</v>
      </c>
      <c r="BB51" s="84">
        <v>7.4541862773900682</v>
      </c>
      <c r="BC51" s="84">
        <v>5.8579625334072549</v>
      </c>
      <c r="BD51" s="84">
        <v>5.6314088943900753</v>
      </c>
      <c r="BE51" s="197"/>
      <c r="BF51" s="197"/>
      <c r="BG51" s="197"/>
    </row>
    <row r="52" spans="1:83" s="112" customFormat="1">
      <c r="A52">
        <v>2014</v>
      </c>
      <c r="B52" s="84">
        <v>4.9327776244342489</v>
      </c>
      <c r="C52" s="84">
        <v>5.500574188776671</v>
      </c>
      <c r="D52" s="84">
        <v>5.5866283603902112</v>
      </c>
      <c r="E52" s="84">
        <v>5.5855208855482603</v>
      </c>
      <c r="F52" s="84">
        <v>5.5855208855482603</v>
      </c>
      <c r="G52" s="84">
        <v>4.7682230747571657</v>
      </c>
      <c r="H52" s="84">
        <v>7.7230499702771809</v>
      </c>
      <c r="I52" s="84">
        <v>6.3049788466992522</v>
      </c>
      <c r="J52" s="84">
        <v>8.0329664468318089</v>
      </c>
      <c r="K52" s="84">
        <v>6.3049788466992522</v>
      </c>
      <c r="L52" s="84">
        <v>4.9621125221940705</v>
      </c>
      <c r="M52" s="84">
        <v>4.7914932820066474</v>
      </c>
      <c r="N52" s="84">
        <v>4.7682230747571657</v>
      </c>
      <c r="O52" s="84">
        <v>4.7914932820066474</v>
      </c>
      <c r="P52" s="84">
        <v>5.5866283603902112</v>
      </c>
      <c r="Q52" s="84">
        <v>5.5855208855482603</v>
      </c>
      <c r="R52" s="84">
        <v>4.7914805081522385</v>
      </c>
      <c r="S52" s="84">
        <v>4.7914932820066474</v>
      </c>
      <c r="T52" s="84">
        <v>4.9621125221940705</v>
      </c>
      <c r="U52" s="84">
        <v>5.500574188776671</v>
      </c>
      <c r="V52" s="84">
        <v>7.7230499702771809</v>
      </c>
      <c r="W52" s="84">
        <v>5.5866283603902112</v>
      </c>
      <c r="X52" s="84">
        <v>5.5866283603902112</v>
      </c>
      <c r="Y52" s="84">
        <v>4.7914932820066474</v>
      </c>
      <c r="Z52" s="84">
        <v>4.7914932820066474</v>
      </c>
      <c r="AA52" s="84">
        <v>5.8604555333044601</v>
      </c>
      <c r="AB52" s="84">
        <v>11.199245003346741</v>
      </c>
      <c r="AC52" s="84">
        <v>5.500574188776671</v>
      </c>
      <c r="AD52" s="84">
        <v>5.5866283603902112</v>
      </c>
      <c r="AE52" s="84">
        <v>4.7914932820066474</v>
      </c>
      <c r="AF52" s="84">
        <v>4.7914932820066474</v>
      </c>
      <c r="AG52" s="84">
        <v>4.9621125221940705</v>
      </c>
      <c r="AH52" s="84">
        <v>5.500574188776671</v>
      </c>
      <c r="AI52" s="84">
        <v>4.7914932820066474</v>
      </c>
      <c r="AJ52" s="84">
        <v>4.7914932820066474</v>
      </c>
      <c r="AK52" s="84">
        <v>4.9621125221940705</v>
      </c>
      <c r="AL52" s="84">
        <v>4.7914932820066474</v>
      </c>
      <c r="AM52" s="84">
        <v>5.500574188776671</v>
      </c>
      <c r="AN52" s="84">
        <v>5.5866283603902112</v>
      </c>
      <c r="AO52" s="84">
        <v>4.7682230747571657</v>
      </c>
      <c r="AP52" s="84">
        <v>4.7682230747571657</v>
      </c>
      <c r="AQ52" s="84">
        <v>4.7682230747571657</v>
      </c>
      <c r="AR52" s="195">
        <v>4.9615048576102589</v>
      </c>
      <c r="AS52" s="84">
        <v>6.8218815028746329</v>
      </c>
      <c r="AT52" s="196">
        <v>5.659229769675008</v>
      </c>
      <c r="AU52" s="84">
        <v>7.6783667083728613</v>
      </c>
      <c r="AV52" s="84">
        <v>7.5095834546878786</v>
      </c>
      <c r="AW52" s="84">
        <v>7.1786118694917489</v>
      </c>
      <c r="AX52" s="84">
        <v>5.6341164577482097</v>
      </c>
      <c r="AY52" s="84">
        <v>4.7914932820066474</v>
      </c>
      <c r="AZ52" s="84">
        <v>5.7267062639336306</v>
      </c>
      <c r="BA52" s="84">
        <v>7.8334341173046891</v>
      </c>
      <c r="BB52" s="84">
        <v>7.546741649968955</v>
      </c>
      <c r="BC52" s="84">
        <v>5.929930027211971</v>
      </c>
      <c r="BD52" s="84">
        <v>5.710396021861893</v>
      </c>
      <c r="BE52" s="197"/>
      <c r="BF52" s="197"/>
      <c r="BG52" s="197"/>
    </row>
    <row r="53" spans="1:83" s="112" customFormat="1">
      <c r="A53">
        <v>2015</v>
      </c>
      <c r="B53" s="84">
        <v>4.9870381783030249</v>
      </c>
      <c r="C53" s="84">
        <v>5.5610805048532139</v>
      </c>
      <c r="D53" s="84">
        <v>5.6480812723545029</v>
      </c>
      <c r="E53" s="84">
        <v>5.6469616152892907</v>
      </c>
      <c r="F53" s="84">
        <v>5.6469616152892907</v>
      </c>
      <c r="G53" s="84">
        <v>4.8206735285794942</v>
      </c>
      <c r="H53" s="84">
        <v>7.8080035199502289</v>
      </c>
      <c r="I53" s="84">
        <v>6.410271993439129</v>
      </c>
      <c r="J53" s="84">
        <v>8.1132961113001265</v>
      </c>
      <c r="K53" s="84">
        <v>6.410271993439129</v>
      </c>
      <c r="L53" s="84">
        <v>5.0166957599382052</v>
      </c>
      <c r="M53" s="84">
        <v>4.8441997081087198</v>
      </c>
      <c r="N53" s="84">
        <v>4.8206735285794942</v>
      </c>
      <c r="O53" s="84">
        <v>4.8441997081087198</v>
      </c>
      <c r="P53" s="84">
        <v>5.6480812723545029</v>
      </c>
      <c r="Q53" s="84">
        <v>5.6469616152892907</v>
      </c>
      <c r="R53" s="84">
        <v>4.8441867937419127</v>
      </c>
      <c r="S53" s="84">
        <v>4.8441997081087198</v>
      </c>
      <c r="T53" s="84">
        <v>5.0166957599382052</v>
      </c>
      <c r="U53" s="84">
        <v>5.5610805048532139</v>
      </c>
      <c r="V53" s="84">
        <v>7.8080035199502289</v>
      </c>
      <c r="W53" s="84">
        <v>5.6480812723545029</v>
      </c>
      <c r="X53" s="84">
        <v>5.6480812723545029</v>
      </c>
      <c r="Y53" s="84">
        <v>4.8441997081087198</v>
      </c>
      <c r="Z53" s="84">
        <v>4.8441997081087198</v>
      </c>
      <c r="AA53" s="84">
        <v>5.9190600886375044</v>
      </c>
      <c r="AB53" s="84">
        <v>10.538489548149283</v>
      </c>
      <c r="AC53" s="84">
        <v>5.5610805048532139</v>
      </c>
      <c r="AD53" s="84">
        <v>5.6480812723545029</v>
      </c>
      <c r="AE53" s="84">
        <v>4.8441997081087198</v>
      </c>
      <c r="AF53" s="84">
        <v>4.8441997081087198</v>
      </c>
      <c r="AG53" s="84">
        <v>5.0166957599382052</v>
      </c>
      <c r="AH53" s="84">
        <v>5.5610805048532139</v>
      </c>
      <c r="AI53" s="84">
        <v>4.8441997081087198</v>
      </c>
      <c r="AJ53" s="84">
        <v>4.8441997081087198</v>
      </c>
      <c r="AK53" s="84">
        <v>5.0166957599382052</v>
      </c>
      <c r="AL53" s="84">
        <v>4.8441997081087198</v>
      </c>
      <c r="AM53" s="84">
        <v>5.5610805048532139</v>
      </c>
      <c r="AN53" s="84">
        <v>5.6480812723545029</v>
      </c>
      <c r="AO53" s="84">
        <v>4.8206735285794942</v>
      </c>
      <c r="AP53" s="84">
        <v>4.8206735285794942</v>
      </c>
      <c r="AQ53" s="84">
        <v>4.8206735285794942</v>
      </c>
      <c r="AR53" s="195">
        <v>5.0160359415176465</v>
      </c>
      <c r="AS53" s="84">
        <v>6.8523395832518892</v>
      </c>
      <c r="AT53" s="196">
        <v>5.7182000226541492</v>
      </c>
      <c r="AU53" s="84">
        <v>7.7568966231055736</v>
      </c>
      <c r="AV53" s="84">
        <v>7.5873037537695174</v>
      </c>
      <c r="AW53" s="84">
        <v>7.155741604187968</v>
      </c>
      <c r="AX53" s="84">
        <v>5.6953029624793556</v>
      </c>
      <c r="AY53" s="84">
        <v>4.8441997081087198</v>
      </c>
      <c r="AZ53" s="84">
        <v>5.7897000328369002</v>
      </c>
      <c r="BA53" s="84">
        <v>7.9133266423123976</v>
      </c>
      <c r="BB53" s="84">
        <v>7.6237314305432129</v>
      </c>
      <c r="BC53" s="84">
        <v>5.9872258262325788</v>
      </c>
      <c r="BD53" s="84">
        <v>5.7651014170301158</v>
      </c>
      <c r="BE53" s="197"/>
      <c r="BF53" s="197"/>
      <c r="BG53" s="197"/>
    </row>
    <row r="54" spans="1:83" s="112" customFormat="1">
      <c r="A54">
        <v>2016</v>
      </c>
      <c r="B54" s="84">
        <v>5.0468826364426613</v>
      </c>
      <c r="C54" s="84">
        <v>5.6278134709114527</v>
      </c>
      <c r="D54" s="84">
        <v>5.7158582476227568</v>
      </c>
      <c r="E54" s="84">
        <v>5.7147251546727622</v>
      </c>
      <c r="F54" s="84">
        <v>5.7147251546727622</v>
      </c>
      <c r="G54" s="84">
        <v>4.8785216109224478</v>
      </c>
      <c r="H54" s="84">
        <v>7.9016995621896315</v>
      </c>
      <c r="I54" s="84">
        <v>6.50386196454334</v>
      </c>
      <c r="J54" s="84">
        <v>8.2127292862224852</v>
      </c>
      <c r="K54" s="84">
        <v>6.50386196454334</v>
      </c>
      <c r="L54" s="84">
        <v>5.076896109057464</v>
      </c>
      <c r="M54" s="84">
        <v>4.9023301046060244</v>
      </c>
      <c r="N54" s="84">
        <v>4.8785216109224478</v>
      </c>
      <c r="O54" s="84">
        <v>4.9023301046060244</v>
      </c>
      <c r="P54" s="84">
        <v>5.7158582476227568</v>
      </c>
      <c r="Q54" s="84">
        <v>5.7147251546727622</v>
      </c>
      <c r="R54" s="84">
        <v>4.9023170352668162</v>
      </c>
      <c r="S54" s="84">
        <v>4.9023301046060244</v>
      </c>
      <c r="T54" s="84">
        <v>5.076896109057464</v>
      </c>
      <c r="U54" s="84">
        <v>5.6278134709114527</v>
      </c>
      <c r="V54" s="84">
        <v>7.9016995621896315</v>
      </c>
      <c r="W54" s="84">
        <v>5.7158582476227568</v>
      </c>
      <c r="X54" s="84">
        <v>5.7158582476227568</v>
      </c>
      <c r="Y54" s="84">
        <v>4.9023301046060244</v>
      </c>
      <c r="Z54" s="84">
        <v>4.9023301046060244</v>
      </c>
      <c r="AA54" s="84">
        <v>5.9916016215848504</v>
      </c>
      <c r="AB54" s="84">
        <v>7.2926347673193028</v>
      </c>
      <c r="AC54" s="84">
        <v>5.6278134709114527</v>
      </c>
      <c r="AD54" s="84">
        <v>5.7158582476227568</v>
      </c>
      <c r="AE54" s="84">
        <v>4.9023301046060244</v>
      </c>
      <c r="AF54" s="84">
        <v>4.9023301046060244</v>
      </c>
      <c r="AG54" s="84">
        <v>5.076896109057464</v>
      </c>
      <c r="AH54" s="84">
        <v>5.6278134709114527</v>
      </c>
      <c r="AI54" s="84">
        <v>4.9023301046060244</v>
      </c>
      <c r="AJ54" s="84">
        <v>4.9023301046060244</v>
      </c>
      <c r="AK54" s="84">
        <v>5.076896109057464</v>
      </c>
      <c r="AL54" s="84">
        <v>4.9023301046060244</v>
      </c>
      <c r="AM54" s="84">
        <v>5.6278134709114527</v>
      </c>
      <c r="AN54" s="84">
        <v>5.7158582476227568</v>
      </c>
      <c r="AO54" s="84">
        <v>4.8785216109224478</v>
      </c>
      <c r="AP54" s="84">
        <v>4.8785216109224478</v>
      </c>
      <c r="AQ54" s="84">
        <v>4.8785216109224478</v>
      </c>
      <c r="AR54" s="195">
        <v>5.0762389164393085</v>
      </c>
      <c r="AS54" s="84">
        <v>6.8080999716363646</v>
      </c>
      <c r="AT54" s="196">
        <v>5.7876757273747863</v>
      </c>
      <c r="AU54" s="84">
        <v>7.8515371168111905</v>
      </c>
      <c r="AV54" s="84">
        <v>7.679632611583961</v>
      </c>
      <c r="AW54" s="84">
        <v>6.8337957892596473</v>
      </c>
      <c r="AX54" s="84">
        <v>5.7638503852963998</v>
      </c>
      <c r="AY54" s="84">
        <v>4.9023301046060244</v>
      </c>
      <c r="AZ54" s="84">
        <v>5.8591764332309433</v>
      </c>
      <c r="BA54" s="84">
        <v>8.0098948808756507</v>
      </c>
      <c r="BB54" s="84">
        <v>7.7167488748693858</v>
      </c>
      <c r="BC54" s="84">
        <v>6.0405413332794176</v>
      </c>
      <c r="BD54" s="84">
        <v>5.8055171788356974</v>
      </c>
      <c r="BE54" s="197"/>
      <c r="BF54" s="197"/>
      <c r="BG54" s="197"/>
    </row>
    <row r="55" spans="1:83" s="112" customFormat="1">
      <c r="A55">
        <v>2017</v>
      </c>
      <c r="B55" s="84">
        <v>5.1377265238986292</v>
      </c>
      <c r="C55" s="84">
        <v>5.7291141133878591</v>
      </c>
      <c r="D55" s="84">
        <v>5.8187436960799666</v>
      </c>
      <c r="E55" s="84">
        <v>5.8175902074568722</v>
      </c>
      <c r="F55" s="84">
        <v>5.8175902074568722</v>
      </c>
      <c r="G55" s="84">
        <v>4.9663349999190523</v>
      </c>
      <c r="H55" s="84">
        <v>8.0439301543090451</v>
      </c>
      <c r="I55" s="84">
        <v>6.6209314799051198</v>
      </c>
      <c r="J55" s="84">
        <v>8.368929744513725</v>
      </c>
      <c r="K55" s="84">
        <v>6.6209314799051198</v>
      </c>
      <c r="L55" s="84">
        <v>5.1682802390204987</v>
      </c>
      <c r="M55" s="84">
        <v>4.9905720464889329</v>
      </c>
      <c r="N55" s="84">
        <v>4.9663349999190523</v>
      </c>
      <c r="O55" s="84">
        <v>4.9905720464889329</v>
      </c>
      <c r="P55" s="84">
        <v>5.8187436960799666</v>
      </c>
      <c r="Q55" s="84">
        <v>5.8175902074568722</v>
      </c>
      <c r="R55" s="84">
        <v>4.9905587419016193</v>
      </c>
      <c r="S55" s="84">
        <v>4.9905720464889329</v>
      </c>
      <c r="T55" s="84">
        <v>5.1682802390204987</v>
      </c>
      <c r="U55" s="84">
        <v>5.7291141133878591</v>
      </c>
      <c r="V55" s="84">
        <v>8.0439301543090451</v>
      </c>
      <c r="W55" s="84">
        <v>5.8187436960799666</v>
      </c>
      <c r="X55" s="84">
        <v>5.8187436960799666</v>
      </c>
      <c r="Y55" s="84">
        <v>4.9905720464889329</v>
      </c>
      <c r="Z55" s="84">
        <v>4.9905720464889329</v>
      </c>
      <c r="AA55" s="84">
        <v>6.1055577604728226</v>
      </c>
      <c r="AB55" s="84">
        <v>7.730192853358461</v>
      </c>
      <c r="AC55" s="84">
        <v>5.7291141133878591</v>
      </c>
      <c r="AD55" s="84">
        <v>5.8187436960799666</v>
      </c>
      <c r="AE55" s="84">
        <v>4.9905720464889329</v>
      </c>
      <c r="AF55" s="84">
        <v>4.9905720464889329</v>
      </c>
      <c r="AG55" s="84">
        <v>5.1682802390204987</v>
      </c>
      <c r="AH55" s="84">
        <v>5.7291141133878591</v>
      </c>
      <c r="AI55" s="84">
        <v>4.9905720464889329</v>
      </c>
      <c r="AJ55" s="84">
        <v>4.9905720464889329</v>
      </c>
      <c r="AK55" s="84">
        <v>5.1682802390204987</v>
      </c>
      <c r="AL55" s="84">
        <v>4.9905720464889329</v>
      </c>
      <c r="AM55" s="84">
        <v>5.7291141133878591</v>
      </c>
      <c r="AN55" s="84">
        <v>5.8187436960799666</v>
      </c>
      <c r="AO55" s="84">
        <v>4.9663349999190523</v>
      </c>
      <c r="AP55" s="84">
        <v>4.9663349999190523</v>
      </c>
      <c r="AQ55" s="84">
        <v>4.9663349999190523</v>
      </c>
      <c r="AR55" s="195">
        <v>5.167655669967238</v>
      </c>
      <c r="AS55" s="84">
        <v>6.9552561101290591</v>
      </c>
      <c r="AT55" s="196">
        <v>5.8961859646008046</v>
      </c>
      <c r="AU55" s="84">
        <v>7.9991141095670795</v>
      </c>
      <c r="AV55" s="84">
        <v>7.8230503622273719</v>
      </c>
      <c r="AW55" s="84">
        <v>7.0052861248155622</v>
      </c>
      <c r="AX55" s="84">
        <v>5.8684222146593354</v>
      </c>
      <c r="AY55" s="84">
        <v>4.9905720464889329</v>
      </c>
      <c r="AZ55" s="84">
        <v>5.9646416090291003</v>
      </c>
      <c r="BA55" s="84">
        <v>8.1605692351337229</v>
      </c>
      <c r="BB55" s="84">
        <v>7.8619113192671808</v>
      </c>
      <c r="BC55" s="84">
        <v>6.1533512855776777</v>
      </c>
      <c r="BD55" s="84">
        <v>5.914441024786167</v>
      </c>
      <c r="BE55" s="197"/>
      <c r="BF55" s="197"/>
      <c r="BG55" s="197"/>
    </row>
    <row r="56" spans="1:83" s="112" customFormat="1">
      <c r="A56">
        <v>2018</v>
      </c>
      <c r="B56" s="84">
        <v>5.2404810543766018</v>
      </c>
      <c r="C56" s="84">
        <v>5.8436963956556163</v>
      </c>
      <c r="D56" s="84">
        <v>5.9351185700015661</v>
      </c>
      <c r="E56" s="84">
        <v>5.9339420116060095</v>
      </c>
      <c r="F56" s="84">
        <v>5.9339420116060095</v>
      </c>
      <c r="G56" s="84">
        <v>5.0656616999174338</v>
      </c>
      <c r="H56" s="84">
        <v>8.2048087573952255</v>
      </c>
      <c r="I56" s="84">
        <v>6.7533501095032227</v>
      </c>
      <c r="J56" s="84">
        <v>8.5446772691485116</v>
      </c>
      <c r="K56" s="84">
        <v>6.7533501095032227</v>
      </c>
      <c r="L56" s="84">
        <v>5.2716458438009086</v>
      </c>
      <c r="M56" s="84">
        <v>5.0903834874187117</v>
      </c>
      <c r="N56" s="84">
        <v>5.0656616999174338</v>
      </c>
      <c r="O56" s="84">
        <v>5.0903834874187117</v>
      </c>
      <c r="P56" s="84">
        <v>5.9351185700015661</v>
      </c>
      <c r="Q56" s="84">
        <v>5.9339420116060095</v>
      </c>
      <c r="R56" s="84">
        <v>5.0903699167396521</v>
      </c>
      <c r="S56" s="84">
        <v>5.0903834874187117</v>
      </c>
      <c r="T56" s="84">
        <v>5.2716458438009086</v>
      </c>
      <c r="U56" s="84">
        <v>5.8436963956556163</v>
      </c>
      <c r="V56" s="84">
        <v>8.2048087573952255</v>
      </c>
      <c r="W56" s="84">
        <v>5.9351185700015661</v>
      </c>
      <c r="X56" s="84">
        <v>5.9351185700015661</v>
      </c>
      <c r="Y56" s="84">
        <v>5.0903834874187117</v>
      </c>
      <c r="Z56" s="84">
        <v>5.0903834874187117</v>
      </c>
      <c r="AA56" s="84">
        <v>6.2245688010724196</v>
      </c>
      <c r="AB56" s="84">
        <v>7.6992720819450273</v>
      </c>
      <c r="AC56" s="84">
        <v>5.8436963956556163</v>
      </c>
      <c r="AD56" s="84">
        <v>5.9351185700015661</v>
      </c>
      <c r="AE56" s="84">
        <v>5.0903834874187117</v>
      </c>
      <c r="AF56" s="84">
        <v>5.0903834874187117</v>
      </c>
      <c r="AG56" s="84">
        <v>5.2716458438009086</v>
      </c>
      <c r="AH56" s="84">
        <v>5.8436963956556163</v>
      </c>
      <c r="AI56" s="84">
        <v>5.0903834874187117</v>
      </c>
      <c r="AJ56" s="84">
        <v>5.0903834874187117</v>
      </c>
      <c r="AK56" s="84">
        <v>5.2716458438009086</v>
      </c>
      <c r="AL56" s="84">
        <v>5.0903834874187117</v>
      </c>
      <c r="AM56" s="84">
        <v>5.8436963956556163</v>
      </c>
      <c r="AN56" s="84">
        <v>5.9351185700015661</v>
      </c>
      <c r="AO56" s="84">
        <v>5.0656616999174338</v>
      </c>
      <c r="AP56" s="84">
        <v>5.0656616999174338</v>
      </c>
      <c r="AQ56" s="84">
        <v>5.0656616999174338</v>
      </c>
      <c r="AR56" s="195">
        <v>5.2709844056756898</v>
      </c>
      <c r="AS56" s="84">
        <v>7.0804749508672149</v>
      </c>
      <c r="AT56" s="196">
        <v>6.0120257724425272</v>
      </c>
      <c r="AU56" s="84">
        <v>8.1652634981375734</v>
      </c>
      <c r="AV56" s="84">
        <v>7.984731709201645</v>
      </c>
      <c r="AW56" s="84">
        <v>7.1171095634713444</v>
      </c>
      <c r="AX56" s="84">
        <v>5.9853734997834254</v>
      </c>
      <c r="AY56" s="84">
        <v>5.0903834874187117</v>
      </c>
      <c r="AZ56" s="84">
        <v>6.0839344412096823</v>
      </c>
      <c r="BA56" s="84">
        <v>8.33008443459806</v>
      </c>
      <c r="BB56" s="84">
        <v>8.0253561260454962</v>
      </c>
      <c r="BC56" s="84">
        <v>6.2744671850302671</v>
      </c>
      <c r="BD56" s="84">
        <v>6.030356068074072</v>
      </c>
      <c r="BE56" s="197"/>
      <c r="BF56" s="197"/>
      <c r="BG56" s="197"/>
    </row>
    <row r="57" spans="1:83" s="112" customFormat="1">
      <c r="A57">
        <v>2019</v>
      </c>
      <c r="B57" s="84">
        <v>5.3452906754641338</v>
      </c>
      <c r="C57" s="84">
        <v>5.9605703235687288</v>
      </c>
      <c r="D57" s="84">
        <v>6.0538209414015975</v>
      </c>
      <c r="E57" s="84">
        <v>6.0526208518381299</v>
      </c>
      <c r="F57" s="84">
        <v>6.0526208518381299</v>
      </c>
      <c r="G57" s="84">
        <v>5.1669749339157827</v>
      </c>
      <c r="H57" s="84">
        <v>8.3689049325431295</v>
      </c>
      <c r="I57" s="84">
        <v>6.8884171116932871</v>
      </c>
      <c r="J57" s="84">
        <v>8.7112322299372753</v>
      </c>
      <c r="K57" s="84">
        <v>6.8884171116932871</v>
      </c>
      <c r="L57" s="84">
        <v>5.3770787606769268</v>
      </c>
      <c r="M57" s="84">
        <v>5.1921911571670858</v>
      </c>
      <c r="N57" s="84">
        <v>5.1669749339157827</v>
      </c>
      <c r="O57" s="84">
        <v>5.1921911571670858</v>
      </c>
      <c r="P57" s="84">
        <v>6.0538209414015975</v>
      </c>
      <c r="Q57" s="84">
        <v>6.0526208518381299</v>
      </c>
      <c r="R57" s="84">
        <v>5.1921773150744457</v>
      </c>
      <c r="S57" s="84">
        <v>5.1921911571670858</v>
      </c>
      <c r="T57" s="84">
        <v>5.3770787606769268</v>
      </c>
      <c r="U57" s="84">
        <v>5.9605703235687288</v>
      </c>
      <c r="V57" s="84">
        <v>8.3689049325431295</v>
      </c>
      <c r="W57" s="84">
        <v>6.0538209414015975</v>
      </c>
      <c r="X57" s="84">
        <v>6.0538209414015975</v>
      </c>
      <c r="Y57" s="84">
        <v>5.1921911571670858</v>
      </c>
      <c r="Z57" s="84">
        <v>5.1921911571670858</v>
      </c>
      <c r="AA57" s="84">
        <v>6.3428356082927948</v>
      </c>
      <c r="AB57" s="84">
        <v>7.7300691702728077</v>
      </c>
      <c r="AC57" s="84">
        <v>5.9605703235687288</v>
      </c>
      <c r="AD57" s="84">
        <v>6.0538209414015975</v>
      </c>
      <c r="AE57" s="84">
        <v>5.1921911571670858</v>
      </c>
      <c r="AF57" s="84">
        <v>5.1921911571670858</v>
      </c>
      <c r="AG57" s="84">
        <v>5.3770787606769268</v>
      </c>
      <c r="AH57" s="84">
        <v>5.9605703235687288</v>
      </c>
      <c r="AI57" s="84">
        <v>5.1921911571670858</v>
      </c>
      <c r="AJ57" s="84">
        <v>5.1921911571670858</v>
      </c>
      <c r="AK57" s="84">
        <v>5.3770787606769268</v>
      </c>
      <c r="AL57" s="84">
        <v>5.1921911571670858</v>
      </c>
      <c r="AM57" s="84">
        <v>5.9605703235687288</v>
      </c>
      <c r="AN57" s="84">
        <v>6.0538209414015975</v>
      </c>
      <c r="AO57" s="84">
        <v>5.1669749339157827</v>
      </c>
      <c r="AP57" s="84">
        <v>5.1669749339157827</v>
      </c>
      <c r="AQ57" s="84">
        <v>5.1669749339157827</v>
      </c>
      <c r="AR57" s="195">
        <v>5.3763503056969562</v>
      </c>
      <c r="AS57" s="84">
        <v>7.209607221574406</v>
      </c>
      <c r="AT57" s="196">
        <v>6.1280638062400614</v>
      </c>
      <c r="AU57" s="84">
        <v>8.3253747687094961</v>
      </c>
      <c r="AV57" s="84">
        <v>8.1417388555953352</v>
      </c>
      <c r="AW57" s="84">
        <v>7.2389784049726202</v>
      </c>
      <c r="AX57" s="84">
        <v>6.1042430174891242</v>
      </c>
      <c r="AY57" s="84">
        <v>5.1921911571670858</v>
      </c>
      <c r="AZ57" s="84">
        <v>6.2056131300338757</v>
      </c>
      <c r="BA57" s="84">
        <v>8.4934819274008699</v>
      </c>
      <c r="BB57" s="84">
        <v>8.1827258083769241</v>
      </c>
      <c r="BC57" s="84">
        <v>6.3970571254702886</v>
      </c>
      <c r="BD57" s="84">
        <v>6.1489289046687592</v>
      </c>
      <c r="BE57" s="197"/>
      <c r="BF57" s="197"/>
      <c r="BG57" s="197"/>
    </row>
    <row r="58" spans="1:83" s="112" customFormat="1">
      <c r="A58">
        <v>2020</v>
      </c>
      <c r="B58" s="84">
        <v>5.4521964889734162</v>
      </c>
      <c r="C58" s="84">
        <v>6.0797817300401036</v>
      </c>
      <c r="D58" s="84">
        <v>6.1748973602296298</v>
      </c>
      <c r="E58" s="84">
        <v>6.173673268874893</v>
      </c>
      <c r="F58" s="84">
        <v>6.173673268874893</v>
      </c>
      <c r="G58" s="84">
        <v>5.2703144325940983</v>
      </c>
      <c r="H58" s="84">
        <v>8.5362830311939923</v>
      </c>
      <c r="I58" s="84">
        <v>7.0261854539271527</v>
      </c>
      <c r="J58" s="84">
        <v>8.8767456423060835</v>
      </c>
      <c r="K58" s="84">
        <v>7.0261854539271527</v>
      </c>
      <c r="L58" s="84">
        <v>5.4846203358904653</v>
      </c>
      <c r="M58" s="84">
        <v>5.2960349803104272</v>
      </c>
      <c r="N58" s="84">
        <v>5.2703144325940983</v>
      </c>
      <c r="O58" s="84">
        <v>5.2960349803104272</v>
      </c>
      <c r="P58" s="84">
        <v>6.1748973602296298</v>
      </c>
      <c r="Q58" s="84">
        <v>6.173673268874893</v>
      </c>
      <c r="R58" s="84">
        <v>5.2960208613759345</v>
      </c>
      <c r="S58" s="84">
        <v>5.2960349803104272</v>
      </c>
      <c r="T58" s="84">
        <v>5.4846203358904653</v>
      </c>
      <c r="U58" s="84">
        <v>6.0797817300401036</v>
      </c>
      <c r="V58" s="84">
        <v>8.5362830311939923</v>
      </c>
      <c r="W58" s="84">
        <v>6.1748973602296298</v>
      </c>
      <c r="X58" s="84">
        <v>6.1748973602296298</v>
      </c>
      <c r="Y58" s="84">
        <v>5.2960349803104272</v>
      </c>
      <c r="Z58" s="84">
        <v>5.2960349803104272</v>
      </c>
      <c r="AA58" s="84">
        <v>6.4633494848503572</v>
      </c>
      <c r="AB58" s="84">
        <v>7.7919097236349906</v>
      </c>
      <c r="AC58" s="84">
        <v>6.0797817300401036</v>
      </c>
      <c r="AD58" s="84">
        <v>6.1748973602296298</v>
      </c>
      <c r="AE58" s="84">
        <v>5.2960349803104272</v>
      </c>
      <c r="AF58" s="84">
        <v>5.2960349803104272</v>
      </c>
      <c r="AG58" s="84">
        <v>5.4846203358904653</v>
      </c>
      <c r="AH58" s="84">
        <v>6.0797817300401036</v>
      </c>
      <c r="AI58" s="84">
        <v>5.2960349803104272</v>
      </c>
      <c r="AJ58" s="84">
        <v>5.2960349803104272</v>
      </c>
      <c r="AK58" s="84">
        <v>5.4846203358904653</v>
      </c>
      <c r="AL58" s="84">
        <v>5.2960349803104272</v>
      </c>
      <c r="AM58" s="84">
        <v>6.0797817300401036</v>
      </c>
      <c r="AN58" s="84">
        <v>6.1748973602296298</v>
      </c>
      <c r="AO58" s="84">
        <v>5.2703144325940983</v>
      </c>
      <c r="AP58" s="84">
        <v>5.2703144325940983</v>
      </c>
      <c r="AQ58" s="84">
        <v>5.2703144325940983</v>
      </c>
      <c r="AR58" s="195">
        <v>5.4838157635217968</v>
      </c>
      <c r="AS58" s="84">
        <v>7.3431721404557848</v>
      </c>
      <c r="AT58" s="196">
        <v>6.2464088294784608</v>
      </c>
      <c r="AU58" s="84">
        <v>8.485528431258583</v>
      </c>
      <c r="AV58" s="84">
        <v>8.299192673090344</v>
      </c>
      <c r="AW58" s="84">
        <v>7.3676791389138607</v>
      </c>
      <c r="AX58" s="84">
        <v>6.2254732838164584</v>
      </c>
      <c r="AY58" s="84">
        <v>5.2960349803104272</v>
      </c>
      <c r="AZ58" s="84">
        <v>6.3297253926345531</v>
      </c>
      <c r="BA58" s="84">
        <v>8.6570544121160644</v>
      </c>
      <c r="BB58" s="84">
        <v>8.3402054262679979</v>
      </c>
      <c r="BC58" s="84">
        <v>6.5222055886822634</v>
      </c>
      <c r="BD58" s="84">
        <v>6.2702440708151546</v>
      </c>
      <c r="BE58" s="197"/>
      <c r="BF58" s="197"/>
      <c r="BG58" s="197"/>
    </row>
    <row r="59" spans="1:83" s="112" customFormat="1">
      <c r="A59">
        <v>2021</v>
      </c>
      <c r="B59" s="84">
        <v>5.5612404187528846</v>
      </c>
      <c r="C59" s="84">
        <v>6.2013773646409058</v>
      </c>
      <c r="D59" s="84">
        <v>6.2983953074342223</v>
      </c>
      <c r="E59" s="84">
        <v>6.297146734252391</v>
      </c>
      <c r="F59" s="84">
        <v>6.297146734252391</v>
      </c>
      <c r="G59" s="84">
        <v>5.3757207212459805</v>
      </c>
      <c r="H59" s="84">
        <v>8.7070086918178724</v>
      </c>
      <c r="I59" s="84">
        <v>7.166709163005696</v>
      </c>
      <c r="J59" s="84">
        <v>9.0587812861815902</v>
      </c>
      <c r="K59" s="84">
        <v>7.166709163005696</v>
      </c>
      <c r="L59" s="84">
        <v>5.5943127426082748</v>
      </c>
      <c r="M59" s="84">
        <v>5.4019556799166359</v>
      </c>
      <c r="N59" s="84">
        <v>5.3757207212459805</v>
      </c>
      <c r="O59" s="84">
        <v>5.4019556799166359</v>
      </c>
      <c r="P59" s="84">
        <v>6.2983953074342223</v>
      </c>
      <c r="Q59" s="84">
        <v>6.297146734252391</v>
      </c>
      <c r="R59" s="84">
        <v>5.4019412786034531</v>
      </c>
      <c r="S59" s="84">
        <v>5.4019556799166359</v>
      </c>
      <c r="T59" s="84">
        <v>5.5943127426082748</v>
      </c>
      <c r="U59" s="84">
        <v>6.2013773646409058</v>
      </c>
      <c r="V59" s="84">
        <v>8.7070086918178724</v>
      </c>
      <c r="W59" s="84">
        <v>6.2983953074342223</v>
      </c>
      <c r="X59" s="84">
        <v>6.2983953074342223</v>
      </c>
      <c r="Y59" s="84">
        <v>5.4019556799166359</v>
      </c>
      <c r="Z59" s="84">
        <v>5.4019556799166359</v>
      </c>
      <c r="AA59" s="84">
        <v>6.5958935536428367</v>
      </c>
      <c r="AB59" s="84">
        <v>7.8854126403186102</v>
      </c>
      <c r="AC59" s="84">
        <v>6.2013773646409058</v>
      </c>
      <c r="AD59" s="84">
        <v>6.2983953074342223</v>
      </c>
      <c r="AE59" s="84">
        <v>5.4019556799166359</v>
      </c>
      <c r="AF59" s="84">
        <v>5.4019556799166359</v>
      </c>
      <c r="AG59" s="84">
        <v>5.5943127426082748</v>
      </c>
      <c r="AH59" s="84">
        <v>6.2013773646409058</v>
      </c>
      <c r="AI59" s="84">
        <v>5.4019556799166359</v>
      </c>
      <c r="AJ59" s="84">
        <v>5.4019556799166359</v>
      </c>
      <c r="AK59" s="84">
        <v>5.5943127426082748</v>
      </c>
      <c r="AL59" s="84">
        <v>5.4019556799166359</v>
      </c>
      <c r="AM59" s="84">
        <v>6.2013773646409058</v>
      </c>
      <c r="AN59" s="84">
        <v>6.2983953074342223</v>
      </c>
      <c r="AO59" s="84">
        <v>5.3757207212459805</v>
      </c>
      <c r="AP59" s="84">
        <v>5.3757207212459805</v>
      </c>
      <c r="AQ59" s="84">
        <v>5.3757207212459805</v>
      </c>
      <c r="AR59" s="195">
        <v>5.5935265911225178</v>
      </c>
      <c r="AS59" s="84">
        <v>7.4883212216378912</v>
      </c>
      <c r="AT59" s="196">
        <v>6.373501342787347</v>
      </c>
      <c r="AU59" s="84">
        <v>8.6585027888681765</v>
      </c>
      <c r="AV59" s="84">
        <v>8.4679552048429194</v>
      </c>
      <c r="AW59" s="84">
        <v>7.506519020801961</v>
      </c>
      <c r="AX59" s="84">
        <v>6.3504246552843258</v>
      </c>
      <c r="AY59" s="84">
        <v>5.4019556799166359</v>
      </c>
      <c r="AZ59" s="84">
        <v>6.4563199004872445</v>
      </c>
      <c r="BA59" s="84">
        <v>8.8333819389575297</v>
      </c>
      <c r="BB59" s="84">
        <v>8.5101561762415319</v>
      </c>
      <c r="BC59" s="84">
        <v>6.6535804462164263</v>
      </c>
      <c r="BD59" s="84">
        <v>6.3951725782516053</v>
      </c>
      <c r="BE59" s="197"/>
      <c r="BF59" s="197"/>
      <c r="BG59" s="197"/>
    </row>
    <row r="60" spans="1:83" s="112" customFormat="1">
      <c r="A60">
        <v>2022</v>
      </c>
      <c r="B60" s="84">
        <v>5.6724652271279421</v>
      </c>
      <c r="C60" s="84">
        <v>6.3254049119337239</v>
      </c>
      <c r="D60" s="84">
        <v>6.4243632135829065</v>
      </c>
      <c r="E60" s="84">
        <v>6.4230896689374388</v>
      </c>
      <c r="F60" s="84">
        <v>6.4230896689374388</v>
      </c>
      <c r="G60" s="84">
        <v>5.4832351356708999</v>
      </c>
      <c r="H60" s="84">
        <v>8.8811488656542306</v>
      </c>
      <c r="I60" s="84">
        <v>7.3100433462658101</v>
      </c>
      <c r="J60" s="84">
        <v>9.2490156931914029</v>
      </c>
      <c r="K60" s="84">
        <v>7.3100433462658101</v>
      </c>
      <c r="L60" s="84">
        <v>5.7061989974604401</v>
      </c>
      <c r="M60" s="84">
        <v>5.5099947935149691</v>
      </c>
      <c r="N60" s="84">
        <v>5.4832351356708999</v>
      </c>
      <c r="O60" s="84">
        <v>5.5099947935149691</v>
      </c>
      <c r="P60" s="84">
        <v>6.4243632135829065</v>
      </c>
      <c r="Q60" s="84">
        <v>6.4230896689374388</v>
      </c>
      <c r="R60" s="84">
        <v>5.5099801041755221</v>
      </c>
      <c r="S60" s="84">
        <v>5.5099947935149691</v>
      </c>
      <c r="T60" s="84">
        <v>5.7061989974604401</v>
      </c>
      <c r="U60" s="84">
        <v>6.3254049119337239</v>
      </c>
      <c r="V60" s="84">
        <v>8.8811488656542306</v>
      </c>
      <c r="W60" s="84">
        <v>6.4243632135829065</v>
      </c>
      <c r="X60" s="84">
        <v>6.4243632135829065</v>
      </c>
      <c r="Y60" s="84">
        <v>5.5099947935149691</v>
      </c>
      <c r="Z60" s="84">
        <v>5.5099947935149691</v>
      </c>
      <c r="AA60" s="84">
        <v>6.7344073182693354</v>
      </c>
      <c r="AB60" s="84">
        <v>8.0746625436862569</v>
      </c>
      <c r="AC60" s="84">
        <v>6.3254049119337239</v>
      </c>
      <c r="AD60" s="84">
        <v>6.4243632135829065</v>
      </c>
      <c r="AE60" s="84">
        <v>5.5099947935149691</v>
      </c>
      <c r="AF60" s="84">
        <v>5.5099947935149691</v>
      </c>
      <c r="AG60" s="84">
        <v>5.7061989974604401</v>
      </c>
      <c r="AH60" s="84">
        <v>6.3254049119337239</v>
      </c>
      <c r="AI60" s="84">
        <v>5.5099947935149691</v>
      </c>
      <c r="AJ60" s="84">
        <v>5.5099947935149691</v>
      </c>
      <c r="AK60" s="84">
        <v>5.7061989974604401</v>
      </c>
      <c r="AL60" s="84">
        <v>5.5099947935149691</v>
      </c>
      <c r="AM60" s="84">
        <v>6.3254049119337239</v>
      </c>
      <c r="AN60" s="84">
        <v>6.4243632135829065</v>
      </c>
      <c r="AO60" s="84">
        <v>5.4832351356708999</v>
      </c>
      <c r="AP60" s="84">
        <v>5.4832351356708999</v>
      </c>
      <c r="AQ60" s="84">
        <v>5.4832351356708999</v>
      </c>
      <c r="AR60" s="195">
        <v>5.705466773009654</v>
      </c>
      <c r="AS60" s="84">
        <v>7.6449549197615125</v>
      </c>
      <c r="AT60" s="196">
        <v>6.5053490103208995</v>
      </c>
      <c r="AU60" s="84">
        <v>8.8382030772164271</v>
      </c>
      <c r="AV60" s="84">
        <v>8.6429007671061981</v>
      </c>
      <c r="AW60" s="84">
        <v>7.6636422027093749</v>
      </c>
      <c r="AX60" s="84">
        <v>6.4783222078417522</v>
      </c>
      <c r="AY60" s="84">
        <v>5.5099947935149691</v>
      </c>
      <c r="AZ60" s="84">
        <v>6.585446298496989</v>
      </c>
      <c r="BA60" s="84">
        <v>9.0163030427028037</v>
      </c>
      <c r="BB60" s="84">
        <v>8.6865676709914865</v>
      </c>
      <c r="BC60" s="84">
        <v>6.7891832110836337</v>
      </c>
      <c r="BD60" s="84">
        <v>6.5239823566279691</v>
      </c>
      <c r="BE60" s="197"/>
      <c r="BF60" s="197"/>
      <c r="BG60" s="197"/>
    </row>
    <row r="61" spans="1:83" s="112" customFormat="1">
      <c r="A61">
        <v>2023</v>
      </c>
      <c r="B61" s="84">
        <v>5.7859145316705014</v>
      </c>
      <c r="C61" s="84">
        <v>6.4519130101723983</v>
      </c>
      <c r="D61" s="84">
        <v>6.5528504778545651</v>
      </c>
      <c r="E61" s="84">
        <v>6.5515514623161879</v>
      </c>
      <c r="F61" s="84">
        <v>6.5515514623161879</v>
      </c>
      <c r="G61" s="84">
        <v>5.5928998383843176</v>
      </c>
      <c r="H61" s="84">
        <v>9.0587718429673156</v>
      </c>
      <c r="I61" s="84">
        <v>7.4562442131911268</v>
      </c>
      <c r="J61" s="84">
        <v>9.443245022748421</v>
      </c>
      <c r="K61" s="84">
        <v>7.4562442131911268</v>
      </c>
      <c r="L61" s="84">
        <v>5.8203229774096492</v>
      </c>
      <c r="M61" s="84">
        <v>5.6201946893852686</v>
      </c>
      <c r="N61" s="84">
        <v>5.5928998383843176</v>
      </c>
      <c r="O61" s="84">
        <v>5.6201946893852686</v>
      </c>
      <c r="P61" s="84">
        <v>6.5528504778545651</v>
      </c>
      <c r="Q61" s="84">
        <v>6.5515514623161879</v>
      </c>
      <c r="R61" s="84">
        <v>5.6201797062590328</v>
      </c>
      <c r="S61" s="84">
        <v>5.6201946893852686</v>
      </c>
      <c r="T61" s="84">
        <v>5.8203229774096492</v>
      </c>
      <c r="U61" s="84">
        <v>6.4519130101723983</v>
      </c>
      <c r="V61" s="84">
        <v>9.0587718429673156</v>
      </c>
      <c r="W61" s="84">
        <v>6.5528504778545651</v>
      </c>
      <c r="X61" s="84">
        <v>6.5528504778545651</v>
      </c>
      <c r="Y61" s="84">
        <v>5.6201946893852686</v>
      </c>
      <c r="Z61" s="84">
        <v>5.6201946893852686</v>
      </c>
      <c r="AA61" s="84">
        <v>6.8758298719529911</v>
      </c>
      <c r="AB61" s="84">
        <v>8.276529107278412</v>
      </c>
      <c r="AC61" s="84">
        <v>6.4519130101723983</v>
      </c>
      <c r="AD61" s="84">
        <v>6.5528504778545651</v>
      </c>
      <c r="AE61" s="84">
        <v>5.6201946893852686</v>
      </c>
      <c r="AF61" s="84">
        <v>5.6201946893852686</v>
      </c>
      <c r="AG61" s="84">
        <v>5.8203229774096492</v>
      </c>
      <c r="AH61" s="84">
        <v>6.4519130101723983</v>
      </c>
      <c r="AI61" s="84">
        <v>5.6201946893852686</v>
      </c>
      <c r="AJ61" s="84">
        <v>5.6201946893852686</v>
      </c>
      <c r="AK61" s="84">
        <v>5.8203229774096492</v>
      </c>
      <c r="AL61" s="84">
        <v>5.6201946893852686</v>
      </c>
      <c r="AM61" s="84">
        <v>6.4519130101723983</v>
      </c>
      <c r="AN61" s="84">
        <v>6.5528504778545651</v>
      </c>
      <c r="AO61" s="84">
        <v>5.5928998383843176</v>
      </c>
      <c r="AP61" s="84">
        <v>5.5928998383843176</v>
      </c>
      <c r="AQ61" s="84">
        <v>5.5928998383843176</v>
      </c>
      <c r="AR61" s="195">
        <v>5.8196471524031033</v>
      </c>
      <c r="AS61" s="84">
        <v>7.8053961449851421</v>
      </c>
      <c r="AT61" s="196">
        <v>6.6399241908020583</v>
      </c>
      <c r="AU61" s="84">
        <v>9.0216329010767478</v>
      </c>
      <c r="AV61" s="84">
        <v>8.8214606552622392</v>
      </c>
      <c r="AW61" s="84">
        <v>7.8252981591377448</v>
      </c>
      <c r="AX61" s="84">
        <v>6.6087956171076856</v>
      </c>
      <c r="AY61" s="84">
        <v>5.6201946893852686</v>
      </c>
      <c r="AZ61" s="84">
        <v>6.7171552244669286</v>
      </c>
      <c r="BA61" s="84">
        <v>9.2030120648723699</v>
      </c>
      <c r="BB61" s="84">
        <v>8.8666360922226257</v>
      </c>
      <c r="BC61" s="84">
        <v>6.9275568265558913</v>
      </c>
      <c r="BD61" s="84">
        <v>6.6556515698535641</v>
      </c>
      <c r="BE61" s="197"/>
      <c r="BF61" s="197"/>
      <c r="BG61" s="197"/>
    </row>
    <row r="62" spans="1:83" s="112" customFormat="1">
      <c r="A62">
        <v>2024</v>
      </c>
      <c r="B62" s="84">
        <v>5.9016328223039114</v>
      </c>
      <c r="C62" s="84">
        <v>6.5809512703758459</v>
      </c>
      <c r="D62" s="84">
        <v>6.6839074874116564</v>
      </c>
      <c r="E62" s="84">
        <v>6.6825824915625116</v>
      </c>
      <c r="F62" s="84">
        <v>6.6825824915625116</v>
      </c>
      <c r="G62" s="84">
        <v>5.7047578351520043</v>
      </c>
      <c r="H62" s="84">
        <v>9.2399472798266622</v>
      </c>
      <c r="I62" s="84">
        <v>7.6053690974549495</v>
      </c>
      <c r="J62" s="84">
        <v>9.6415531682261371</v>
      </c>
      <c r="K62" s="84">
        <v>7.6053690974549495</v>
      </c>
      <c r="L62" s="84">
        <v>5.9367294369578421</v>
      </c>
      <c r="M62" s="84">
        <v>5.7325985831729742</v>
      </c>
      <c r="N62" s="84">
        <v>5.7047578351520043</v>
      </c>
      <c r="O62" s="84">
        <v>5.7325985831729742</v>
      </c>
      <c r="P62" s="84">
        <v>6.6839074874116564</v>
      </c>
      <c r="Q62" s="84">
        <v>6.6825824915625116</v>
      </c>
      <c r="R62" s="84">
        <v>5.7325833003842135</v>
      </c>
      <c r="S62" s="84">
        <v>5.7325985831729742</v>
      </c>
      <c r="T62" s="84">
        <v>5.9367294369578421</v>
      </c>
      <c r="U62" s="84">
        <v>6.5809512703758459</v>
      </c>
      <c r="V62" s="84">
        <v>9.2399472798266622</v>
      </c>
      <c r="W62" s="84">
        <v>6.6839074874116564</v>
      </c>
      <c r="X62" s="84">
        <v>6.6839074874116564</v>
      </c>
      <c r="Y62" s="84">
        <v>5.7325985831729742</v>
      </c>
      <c r="Z62" s="84">
        <v>5.7325985831729742</v>
      </c>
      <c r="AA62" s="84">
        <v>7.0202222992640033</v>
      </c>
      <c r="AB62" s="84">
        <v>8.4834423349603707</v>
      </c>
      <c r="AC62" s="84">
        <v>6.5809512703758459</v>
      </c>
      <c r="AD62" s="84">
        <v>6.6839074874116564</v>
      </c>
      <c r="AE62" s="84">
        <v>5.7325985831729742</v>
      </c>
      <c r="AF62" s="84">
        <v>5.7325985831729742</v>
      </c>
      <c r="AG62" s="84">
        <v>5.9367294369578421</v>
      </c>
      <c r="AH62" s="84">
        <v>6.5809512703758459</v>
      </c>
      <c r="AI62" s="84">
        <v>5.7325985831729742</v>
      </c>
      <c r="AJ62" s="84">
        <v>5.7325985831729742</v>
      </c>
      <c r="AK62" s="84">
        <v>5.9367294369578421</v>
      </c>
      <c r="AL62" s="84">
        <v>5.7325985831729742</v>
      </c>
      <c r="AM62" s="84">
        <v>6.5809512703758459</v>
      </c>
      <c r="AN62" s="84">
        <v>6.6839074874116564</v>
      </c>
      <c r="AO62" s="84">
        <v>5.7047578351520043</v>
      </c>
      <c r="AP62" s="84">
        <v>5.7047578351520043</v>
      </c>
      <c r="AQ62" s="84">
        <v>5.7047578351520043</v>
      </c>
      <c r="AR62" s="195">
        <v>5.936112561147719</v>
      </c>
      <c r="AS62" s="84">
        <v>7.9692044779316342</v>
      </c>
      <c r="AT62" s="196">
        <v>6.7772833078825911</v>
      </c>
      <c r="AU62" s="84">
        <v>9.2088696639706562</v>
      </c>
      <c r="AV62" s="84">
        <v>9.0037095402629088</v>
      </c>
      <c r="AW62" s="84">
        <v>7.9903640670692697</v>
      </c>
      <c r="AX62" s="84">
        <v>6.7418967608362346</v>
      </c>
      <c r="AY62" s="84">
        <v>5.7325985831729742</v>
      </c>
      <c r="AZ62" s="84">
        <v>6.851498328956267</v>
      </c>
      <c r="BA62" s="84">
        <v>9.3935874454367703</v>
      </c>
      <c r="BB62" s="84">
        <v>9.0504372462836677</v>
      </c>
      <c r="BC62" s="84">
        <v>7.0687502841766277</v>
      </c>
      <c r="BD62" s="84">
        <v>6.7899735382596038</v>
      </c>
      <c r="BE62" s="197"/>
      <c r="BF62" s="197"/>
      <c r="BG62" s="197"/>
    </row>
    <row r="66" spans="1:44" ht="38.25">
      <c r="A66"/>
      <c r="B66" s="119" t="s">
        <v>67</v>
      </c>
      <c r="C66" s="119" t="s">
        <v>126</v>
      </c>
      <c r="D66" s="119" t="s">
        <v>127</v>
      </c>
      <c r="E66" s="119" t="s">
        <v>747</v>
      </c>
      <c r="F66" s="119" t="s">
        <v>385</v>
      </c>
      <c r="G66" s="119" t="s">
        <v>246</v>
      </c>
      <c r="H66" s="119" t="s">
        <v>247</v>
      </c>
      <c r="I66" s="119" t="s">
        <v>248</v>
      </c>
      <c r="J66" s="119" t="s">
        <v>748</v>
      </c>
      <c r="K66" s="119" t="s">
        <v>749</v>
      </c>
      <c r="L66" s="119" t="s">
        <v>221</v>
      </c>
      <c r="M66" s="119" t="s">
        <v>312</v>
      </c>
      <c r="N66" s="119" t="s">
        <v>231</v>
      </c>
      <c r="O66" s="119" t="s">
        <v>222</v>
      </c>
      <c r="P66" s="119" t="s">
        <v>223</v>
      </c>
      <c r="Q66" s="119" t="s">
        <v>249</v>
      </c>
      <c r="R66" s="119" t="s">
        <v>224</v>
      </c>
      <c r="S66" s="119" t="s">
        <v>250</v>
      </c>
      <c r="T66" s="119" t="s">
        <v>195</v>
      </c>
      <c r="U66" s="119" t="s">
        <v>383</v>
      </c>
      <c r="V66" s="119" t="s">
        <v>235</v>
      </c>
      <c r="W66" s="119" t="s">
        <v>389</v>
      </c>
      <c r="X66" s="119" t="s">
        <v>388</v>
      </c>
      <c r="Y66" s="119" t="s">
        <v>387</v>
      </c>
      <c r="Z66" s="119" t="s">
        <v>225</v>
      </c>
      <c r="AA66" s="119" t="s">
        <v>124</v>
      </c>
      <c r="AB66" s="119" t="s">
        <v>226</v>
      </c>
      <c r="AC66" s="119" t="s">
        <v>227</v>
      </c>
      <c r="AD66" s="119" t="s">
        <v>125</v>
      </c>
      <c r="AE66" s="119" t="s">
        <v>70</v>
      </c>
      <c r="AF66" s="119" t="s">
        <v>384</v>
      </c>
      <c r="AG66" s="119" t="s">
        <v>71</v>
      </c>
      <c r="AH66" s="119" t="s">
        <v>237</v>
      </c>
      <c r="AI66" s="119" t="s">
        <v>228</v>
      </c>
      <c r="AJ66" s="119" t="s">
        <v>310</v>
      </c>
      <c r="AK66" s="119" t="s">
        <v>106</v>
      </c>
      <c r="AL66" s="119" t="s">
        <v>229</v>
      </c>
      <c r="AM66" s="119" t="s">
        <v>251</v>
      </c>
      <c r="AN66" s="119" t="s">
        <v>230</v>
      </c>
      <c r="AO66" s="119" t="s">
        <v>252</v>
      </c>
      <c r="AP66" s="119" t="s">
        <v>69</v>
      </c>
      <c r="AQ66" s="210" t="s">
        <v>103</v>
      </c>
      <c r="AR66" s="119" t="s">
        <v>68</v>
      </c>
    </row>
    <row r="67" spans="1:44">
      <c r="A67" t="b">
        <f>B67=E7</f>
        <v>1</v>
      </c>
      <c r="B67" s="120">
        <v>1</v>
      </c>
      <c r="C67" s="120">
        <v>1</v>
      </c>
      <c r="D67" s="120">
        <v>1</v>
      </c>
      <c r="E67" s="120">
        <v>1</v>
      </c>
      <c r="F67" s="120">
        <v>1</v>
      </c>
      <c r="G67" s="120">
        <v>1</v>
      </c>
      <c r="H67" s="120">
        <v>1</v>
      </c>
      <c r="I67" s="120">
        <v>1</v>
      </c>
      <c r="J67" s="120">
        <v>1</v>
      </c>
      <c r="K67" s="120">
        <v>1</v>
      </c>
      <c r="L67" s="120">
        <v>1</v>
      </c>
      <c r="M67" s="120">
        <v>1</v>
      </c>
      <c r="N67" s="120">
        <v>1</v>
      </c>
      <c r="O67" s="120">
        <v>1</v>
      </c>
      <c r="P67" s="120">
        <v>1</v>
      </c>
      <c r="Q67" s="120">
        <v>1</v>
      </c>
      <c r="R67" s="120">
        <v>1</v>
      </c>
      <c r="S67" s="120">
        <v>1</v>
      </c>
      <c r="T67" s="120">
        <v>1</v>
      </c>
      <c r="U67" s="120">
        <v>1</v>
      </c>
      <c r="V67" s="120">
        <v>1</v>
      </c>
      <c r="W67" s="120">
        <v>1</v>
      </c>
      <c r="X67" s="120">
        <v>1</v>
      </c>
      <c r="Y67" s="120">
        <v>1</v>
      </c>
      <c r="Z67" s="120">
        <v>1</v>
      </c>
      <c r="AA67" s="120">
        <v>1</v>
      </c>
      <c r="AB67" s="120">
        <v>1</v>
      </c>
      <c r="AC67" s="120">
        <v>1</v>
      </c>
      <c r="AD67" s="120">
        <v>1</v>
      </c>
      <c r="AE67" s="120">
        <v>1</v>
      </c>
      <c r="AF67" s="120">
        <v>1</v>
      </c>
      <c r="AG67" s="120">
        <v>1</v>
      </c>
      <c r="AH67" s="120">
        <v>1</v>
      </c>
      <c r="AI67" s="120">
        <v>1</v>
      </c>
      <c r="AJ67" s="120">
        <v>1</v>
      </c>
      <c r="AK67" s="120">
        <v>1</v>
      </c>
      <c r="AL67" s="120">
        <v>1</v>
      </c>
      <c r="AM67" s="120">
        <v>1</v>
      </c>
      <c r="AN67" s="120">
        <v>1</v>
      </c>
      <c r="AO67" s="120">
        <v>1</v>
      </c>
      <c r="AP67" s="120">
        <v>1</v>
      </c>
      <c r="AQ67" s="683">
        <v>1</v>
      </c>
      <c r="AR67" s="120">
        <v>1</v>
      </c>
    </row>
    <row r="68" spans="1:44">
      <c r="A68" t="b">
        <f t="shared" ref="A68:A122" si="0">B68=E8</f>
        <v>1</v>
      </c>
      <c r="B68" s="120">
        <v>1.0455000000000001</v>
      </c>
      <c r="C68" s="120">
        <v>1.0869</v>
      </c>
      <c r="D68" s="120">
        <v>1.0869</v>
      </c>
      <c r="E68" s="120">
        <v>1.0886</v>
      </c>
      <c r="F68" s="120">
        <v>1.0869</v>
      </c>
      <c r="G68" s="120">
        <v>1.0401</v>
      </c>
      <c r="H68" s="120">
        <v>1.0401</v>
      </c>
      <c r="I68" s="120">
        <v>1.0468900000000001</v>
      </c>
      <c r="J68" s="120">
        <v>1.0455796879779751</v>
      </c>
      <c r="K68" s="120">
        <v>1.0831999999999999</v>
      </c>
      <c r="L68" s="120">
        <v>1.0870221174004193</v>
      </c>
      <c r="M68" s="120">
        <v>1.0455000000000001</v>
      </c>
      <c r="N68" s="120">
        <v>1.0869</v>
      </c>
      <c r="O68" s="120">
        <v>1.0869</v>
      </c>
      <c r="P68" s="120">
        <v>1.0803092000000001</v>
      </c>
      <c r="Q68" s="120">
        <v>1.0394000000000001</v>
      </c>
      <c r="R68" s="120">
        <v>1.07536418</v>
      </c>
      <c r="S68" s="120">
        <v>1.0394000000000001</v>
      </c>
      <c r="T68" s="120">
        <v>1.0455000000000001</v>
      </c>
      <c r="U68" s="120">
        <v>1.0509999999999999</v>
      </c>
      <c r="V68" s="120">
        <v>1.0401</v>
      </c>
      <c r="W68" s="120">
        <v>1.0526905328234935</v>
      </c>
      <c r="X68" s="120">
        <v>1.0401</v>
      </c>
      <c r="Y68" s="120">
        <v>1.0444987434505966</v>
      </c>
      <c r="Z68" s="120">
        <v>1.0610211368002447</v>
      </c>
      <c r="AA68" s="120">
        <v>1.0401</v>
      </c>
      <c r="AB68" s="120">
        <v>1.0641948000000001</v>
      </c>
      <c r="AC68" s="120">
        <v>1.0451892798239919</v>
      </c>
      <c r="AD68" s="120">
        <v>1.0401</v>
      </c>
      <c r="AE68" s="120">
        <v>1.0455000000000001</v>
      </c>
      <c r="AF68" s="120">
        <v>1.0900000000000001</v>
      </c>
      <c r="AG68" s="120">
        <v>1.0455000000000001</v>
      </c>
      <c r="AH68" s="120">
        <v>1.0455000000000001</v>
      </c>
      <c r="AI68" s="120">
        <v>1.0556593999999999</v>
      </c>
      <c r="AJ68" s="120">
        <v>1.0455000000000001</v>
      </c>
      <c r="AK68" s="120">
        <v>1.0513999999999999</v>
      </c>
      <c r="AL68" s="120">
        <v>1.0738706</v>
      </c>
      <c r="AM68" s="120">
        <v>1.0394000000000001</v>
      </c>
      <c r="AN68" s="120">
        <v>1.0765480417754569</v>
      </c>
      <c r="AO68" s="120">
        <v>1.0394000000000001</v>
      </c>
      <c r="AP68" s="120">
        <v>1.0900000000000001</v>
      </c>
      <c r="AQ68" s="683">
        <v>1.0509999999999999</v>
      </c>
      <c r="AR68" s="120">
        <v>1.0455000000000001</v>
      </c>
    </row>
    <row r="69" spans="1:44">
      <c r="A69" t="b">
        <f t="shared" si="0"/>
        <v>1</v>
      </c>
      <c r="B69" s="120">
        <v>1.0855426500000001</v>
      </c>
      <c r="C69" s="120">
        <v>1.1514618599999999</v>
      </c>
      <c r="D69" s="120">
        <v>1.1514618599999999</v>
      </c>
      <c r="E69" s="120">
        <v>1.18091328</v>
      </c>
      <c r="F69" s="120">
        <v>1.1514618599999999</v>
      </c>
      <c r="G69" s="120">
        <v>1.0826400899999999</v>
      </c>
      <c r="H69" s="120">
        <v>1.0826400899999999</v>
      </c>
      <c r="I69" s="120">
        <v>1.09614198694</v>
      </c>
      <c r="J69" s="120">
        <v>1.0856531049250537</v>
      </c>
      <c r="K69" s="120">
        <v>1.26387776</v>
      </c>
      <c r="L69" s="120">
        <v>1.1535745874125045</v>
      </c>
      <c r="M69" s="120">
        <v>1.0855426500000001</v>
      </c>
      <c r="N69" s="120">
        <v>1.1514618599999999</v>
      </c>
      <c r="O69" s="120">
        <v>1.1514618599999999</v>
      </c>
      <c r="P69" s="120">
        <v>1.2507722689772001</v>
      </c>
      <c r="Q69" s="120">
        <v>1.07089382</v>
      </c>
      <c r="R69" s="120">
        <v>1.2284746932530268</v>
      </c>
      <c r="S69" s="120">
        <v>1.07089382</v>
      </c>
      <c r="T69" s="120">
        <v>1.0855426500000001</v>
      </c>
      <c r="U69" s="120">
        <v>1.0972439999999999</v>
      </c>
      <c r="V69" s="120">
        <v>1.0826400899999999</v>
      </c>
      <c r="W69" s="120">
        <v>1.1075600368983896</v>
      </c>
      <c r="X69" s="120">
        <v>1.0826400899999999</v>
      </c>
      <c r="Y69" s="120">
        <v>1.0911618567181247</v>
      </c>
      <c r="Z69" s="120">
        <v>1.1231464807813702</v>
      </c>
      <c r="AA69" s="120">
        <v>1.0826400899999999</v>
      </c>
      <c r="AB69" s="120">
        <v>1.1309299450944963</v>
      </c>
      <c r="AC69" s="120">
        <v>1.0912679620767032</v>
      </c>
      <c r="AD69" s="120">
        <v>1.0826400899999999</v>
      </c>
      <c r="AE69" s="120">
        <v>1.0855426500000001</v>
      </c>
      <c r="AF69" s="120">
        <v>1.1696789999999999</v>
      </c>
      <c r="AG69" s="120">
        <v>1.0855426500000001</v>
      </c>
      <c r="AH69" s="120">
        <v>1.0855426500000001</v>
      </c>
      <c r="AI69" s="120">
        <v>1.10900308349031</v>
      </c>
      <c r="AJ69" s="120">
        <v>1.0855426500000001</v>
      </c>
      <c r="AK69" s="120">
        <v>1.0998695399999998</v>
      </c>
      <c r="AL69" s="120">
        <v>1.2217699653203</v>
      </c>
      <c r="AM69" s="120">
        <v>1.07089382</v>
      </c>
      <c r="AN69" s="120">
        <v>1.2337989645047345</v>
      </c>
      <c r="AO69" s="120">
        <v>1.07089382</v>
      </c>
      <c r="AP69" s="120">
        <v>1.1696789999999999</v>
      </c>
      <c r="AQ69" s="683">
        <v>1.0972439999999999</v>
      </c>
      <c r="AR69" s="120">
        <v>1.0855426500000001</v>
      </c>
    </row>
    <row r="70" spans="1:44">
      <c r="A70" t="b">
        <f t="shared" si="0"/>
        <v>1</v>
      </c>
      <c r="B70" s="120">
        <v>1.1307012242400001</v>
      </c>
      <c r="C70" s="120">
        <v>1.2153679932300001</v>
      </c>
      <c r="D70" s="120">
        <v>1.2153679932300001</v>
      </c>
      <c r="E70" s="120">
        <v>1.251413802816</v>
      </c>
      <c r="F70" s="120">
        <v>1.2153679932300001</v>
      </c>
      <c r="G70" s="120">
        <v>1.108406924142</v>
      </c>
      <c r="H70" s="120">
        <v>1.108406924142</v>
      </c>
      <c r="I70" s="120">
        <v>1.1277393758555325</v>
      </c>
      <c r="J70" s="120">
        <v>1.1306209850107067</v>
      </c>
      <c r="K70" s="120">
        <v>1.4212305411200001</v>
      </c>
      <c r="L70" s="120">
        <v>1.2179460125581214</v>
      </c>
      <c r="M70" s="120">
        <v>1.1307012242400001</v>
      </c>
      <c r="N70" s="120">
        <v>1.2153679932300001</v>
      </c>
      <c r="O70" s="120">
        <v>1.2153679932300001</v>
      </c>
      <c r="P70" s="120">
        <v>1.4011193483339741</v>
      </c>
      <c r="Q70" s="120">
        <v>1.1345049129079998</v>
      </c>
      <c r="R70" s="120">
        <v>1.3671124971802735</v>
      </c>
      <c r="S70" s="120">
        <v>1.1345049129079998</v>
      </c>
      <c r="T70" s="120">
        <v>1.1307012242400001</v>
      </c>
      <c r="U70" s="120">
        <v>1.1553979319999998</v>
      </c>
      <c r="V70" s="120">
        <v>1.108406924142</v>
      </c>
      <c r="W70" s="120">
        <v>1.1445874997402208</v>
      </c>
      <c r="X70" s="120">
        <v>1.108406924142</v>
      </c>
      <c r="Y70" s="120">
        <v>1.1210898417501842</v>
      </c>
      <c r="Z70" s="120">
        <v>1.1698678246391068</v>
      </c>
      <c r="AA70" s="120">
        <v>1.108406924142</v>
      </c>
      <c r="AB70" s="120">
        <v>1.178016349070099</v>
      </c>
      <c r="AC70" s="120">
        <v>1.1241414052006602</v>
      </c>
      <c r="AD70" s="120">
        <v>1.108406924142</v>
      </c>
      <c r="AE70" s="120">
        <v>1.1307012242400001</v>
      </c>
      <c r="AF70" s="120">
        <v>1.2549485990999998</v>
      </c>
      <c r="AG70" s="120">
        <v>1.1307012242400001</v>
      </c>
      <c r="AH70" s="120">
        <v>1.1307012242400001</v>
      </c>
      <c r="AI70" s="120">
        <v>1.1593018074417045</v>
      </c>
      <c r="AJ70" s="120">
        <v>1.1307012242400001</v>
      </c>
      <c r="AK70" s="120">
        <v>1.1477138649899998</v>
      </c>
      <c r="AL70" s="120">
        <v>1.3569388971325564</v>
      </c>
      <c r="AM70" s="120">
        <v>1.1345049129079998</v>
      </c>
      <c r="AN70" s="120">
        <v>1.3752085939434282</v>
      </c>
      <c r="AO70" s="120">
        <v>1.1345049129079998</v>
      </c>
      <c r="AP70" s="120">
        <v>1.2549485990999998</v>
      </c>
      <c r="AQ70" s="683">
        <v>1.1553979319999998</v>
      </c>
      <c r="AR70" s="120">
        <v>1.1307012242400001</v>
      </c>
    </row>
    <row r="71" spans="1:44">
      <c r="A71" t="b">
        <f t="shared" si="0"/>
        <v>1</v>
      </c>
      <c r="B71" s="120">
        <v>1.1959426848786481</v>
      </c>
      <c r="C71" s="120">
        <v>1.3582952692338481</v>
      </c>
      <c r="D71" s="120">
        <v>1.3582952692338481</v>
      </c>
      <c r="E71" s="120">
        <v>1.3652924588722559</v>
      </c>
      <c r="F71" s="120">
        <v>1.3582952692338481</v>
      </c>
      <c r="G71" s="120">
        <v>1.247511993121821</v>
      </c>
      <c r="H71" s="120">
        <v>1.247511993121821</v>
      </c>
      <c r="I71" s="120">
        <v>1.2638236863400196</v>
      </c>
      <c r="J71" s="120">
        <v>1.1973080452737841</v>
      </c>
      <c r="K71" s="120">
        <v>1.5177320948620483</v>
      </c>
      <c r="L71" s="120">
        <v>1.358849239009037</v>
      </c>
      <c r="M71" s="120">
        <v>1.1959426848786481</v>
      </c>
      <c r="N71" s="120">
        <v>1.3582952692338481</v>
      </c>
      <c r="O71" s="120">
        <v>1.3582952692338481</v>
      </c>
      <c r="P71" s="120">
        <v>1.4977996658315844</v>
      </c>
      <c r="Q71" s="120">
        <v>1.2304840285400167</v>
      </c>
      <c r="R71" s="120">
        <v>1.4640238620487649</v>
      </c>
      <c r="S71" s="120">
        <v>1.2304840285400167</v>
      </c>
      <c r="T71" s="120">
        <v>1.1959426848786481</v>
      </c>
      <c r="U71" s="120">
        <v>1.2593837458799999</v>
      </c>
      <c r="V71" s="120">
        <v>1.247511993121821</v>
      </c>
      <c r="W71" s="120">
        <v>1.2763336434572892</v>
      </c>
      <c r="X71" s="120">
        <v>1.247511993121821</v>
      </c>
      <c r="Y71" s="120">
        <v>1.2563551894584175</v>
      </c>
      <c r="Z71" s="120">
        <v>1.2867859915697029</v>
      </c>
      <c r="AA71" s="120">
        <v>1.247511993121821</v>
      </c>
      <c r="AB71" s="120">
        <v>1.3056666718618746</v>
      </c>
      <c r="AC71" s="120">
        <v>1.247881677703822</v>
      </c>
      <c r="AD71" s="120">
        <v>1.247511993121821</v>
      </c>
      <c r="AE71" s="120">
        <v>1.1959426848786481</v>
      </c>
      <c r="AF71" s="120">
        <v>1.4493401371005898</v>
      </c>
      <c r="AG71" s="120">
        <v>1.1959426848786481</v>
      </c>
      <c r="AH71" s="120">
        <v>1.1959426848786481</v>
      </c>
      <c r="AI71" s="120">
        <v>1.253198124138367</v>
      </c>
      <c r="AJ71" s="120">
        <v>1.1959426848786481</v>
      </c>
      <c r="AK71" s="120">
        <v>1.2391866600297028</v>
      </c>
      <c r="AL71" s="120">
        <v>1.4539018155988472</v>
      </c>
      <c r="AM71" s="120">
        <v>1.2304840285400167</v>
      </c>
      <c r="AN71" s="120">
        <v>1.4720731287724831</v>
      </c>
      <c r="AO71" s="120">
        <v>1.2304840285400167</v>
      </c>
      <c r="AP71" s="120">
        <v>1.4493401371005898</v>
      </c>
      <c r="AQ71" s="683">
        <v>1.2593837458799999</v>
      </c>
      <c r="AR71" s="120">
        <v>1.1959426848786481</v>
      </c>
    </row>
    <row r="72" spans="1:44">
      <c r="A72" t="b">
        <f t="shared" si="0"/>
        <v>1</v>
      </c>
      <c r="B72" s="120">
        <v>1.3013052354164572</v>
      </c>
      <c r="C72" s="120">
        <v>1.5772524666343444</v>
      </c>
      <c r="D72" s="120">
        <v>1.5772524666343444</v>
      </c>
      <c r="E72" s="120">
        <v>1.4777925574833299</v>
      </c>
      <c r="F72" s="120">
        <v>1.5772524666343444</v>
      </c>
      <c r="G72" s="120">
        <v>1.5088657556808425</v>
      </c>
      <c r="H72" s="120">
        <v>1.5088657556808425</v>
      </c>
      <c r="I72" s="120">
        <v>1.5061062699535193</v>
      </c>
      <c r="J72" s="120">
        <v>1.3777913735087182</v>
      </c>
      <c r="K72" s="120">
        <v>1.618205959541916</v>
      </c>
      <c r="L72" s="120">
        <v>1.5702039692982319</v>
      </c>
      <c r="M72" s="120">
        <v>1.3013052354164572</v>
      </c>
      <c r="N72" s="120">
        <v>1.5772524666343444</v>
      </c>
      <c r="O72" s="120">
        <v>1.5772524666343444</v>
      </c>
      <c r="P72" s="120">
        <v>1.5962817912196101</v>
      </c>
      <c r="Q72" s="120">
        <v>1.3035747798352935</v>
      </c>
      <c r="R72" s="120">
        <v>1.5591612274077336</v>
      </c>
      <c r="S72" s="120">
        <v>1.3035747798352935</v>
      </c>
      <c r="T72" s="120">
        <v>1.3013052354164572</v>
      </c>
      <c r="U72" s="120">
        <v>1.4369568540490798</v>
      </c>
      <c r="V72" s="120">
        <v>1.5088657556808425</v>
      </c>
      <c r="W72" s="120">
        <v>1.5003095741063188</v>
      </c>
      <c r="X72" s="120">
        <v>1.5088657556808425</v>
      </c>
      <c r="Y72" s="120">
        <v>1.5035506632314479</v>
      </c>
      <c r="Z72" s="120">
        <v>1.4760769315865361</v>
      </c>
      <c r="AA72" s="120">
        <v>1.5088657556808425</v>
      </c>
      <c r="AB72" s="120">
        <v>1.4967597633688947</v>
      </c>
      <c r="AC72" s="120">
        <v>1.4822254581461678</v>
      </c>
      <c r="AD72" s="120">
        <v>1.5088657556808425</v>
      </c>
      <c r="AE72" s="120">
        <v>1.3013052354164572</v>
      </c>
      <c r="AF72" s="120">
        <v>1.685582579447986</v>
      </c>
      <c r="AG72" s="120">
        <v>1.3013052354164572</v>
      </c>
      <c r="AH72" s="120">
        <v>1.3013052354164572</v>
      </c>
      <c r="AI72" s="120">
        <v>1.3864237369183305</v>
      </c>
      <c r="AJ72" s="120">
        <v>1.3013052354164572</v>
      </c>
      <c r="AK72" s="120">
        <v>1.3747536806369522</v>
      </c>
      <c r="AL72" s="120">
        <v>1.5480442844017774</v>
      </c>
      <c r="AM72" s="120">
        <v>1.3035747798352935</v>
      </c>
      <c r="AN72" s="120">
        <v>1.568004124488517</v>
      </c>
      <c r="AO72" s="120">
        <v>1.3035747798352935</v>
      </c>
      <c r="AP72" s="120">
        <v>1.685582579447986</v>
      </c>
      <c r="AQ72" s="683">
        <v>1.4369568540490798</v>
      </c>
      <c r="AR72" s="120">
        <v>1.3013052354164572</v>
      </c>
    </row>
    <row r="73" spans="1:44">
      <c r="A73" t="b">
        <f t="shared" si="0"/>
        <v>1</v>
      </c>
      <c r="B73" s="120">
        <v>1.3870612504304018</v>
      </c>
      <c r="C73" s="120">
        <v>1.6248854911267017</v>
      </c>
      <c r="D73" s="120">
        <v>1.6248854911267017</v>
      </c>
      <c r="E73" s="120">
        <v>1.5997104434757048</v>
      </c>
      <c r="F73" s="120">
        <v>1.6248854911267017</v>
      </c>
      <c r="G73" s="120">
        <v>1.6108650807648677</v>
      </c>
      <c r="H73" s="120">
        <v>1.6108650807648677</v>
      </c>
      <c r="I73" s="120">
        <v>1.6110607914815001</v>
      </c>
      <c r="J73" s="120">
        <v>1.4808810033649433</v>
      </c>
      <c r="K73" s="120">
        <v>1.7007344634785537</v>
      </c>
      <c r="L73" s="120">
        <v>1.6235232377385163</v>
      </c>
      <c r="M73" s="120">
        <v>1.3870612504304018</v>
      </c>
      <c r="N73" s="120">
        <v>1.6248854911267017</v>
      </c>
      <c r="O73" s="120">
        <v>1.6248854911267017</v>
      </c>
      <c r="P73" s="120">
        <v>1.6783769674602433</v>
      </c>
      <c r="Q73" s="120">
        <v>1.3785303296758229</v>
      </c>
      <c r="R73" s="120">
        <v>1.6404915206388191</v>
      </c>
      <c r="S73" s="120">
        <v>1.3785303296758229</v>
      </c>
      <c r="T73" s="120">
        <v>1.3870612504304018</v>
      </c>
      <c r="U73" s="120">
        <v>1.6022068922647239</v>
      </c>
      <c r="V73" s="120">
        <v>1.6108650807648677</v>
      </c>
      <c r="W73" s="120">
        <v>1.6077248603065308</v>
      </c>
      <c r="X73" s="120">
        <v>1.6108650807648677</v>
      </c>
      <c r="Y73" s="120">
        <v>1.6074507250081123</v>
      </c>
      <c r="Z73" s="120">
        <v>1.5867409370516687</v>
      </c>
      <c r="AA73" s="120">
        <v>1.6108650807648677</v>
      </c>
      <c r="AB73" s="120">
        <v>1.609020218104213</v>
      </c>
      <c r="AC73" s="120">
        <v>1.5862890368235589</v>
      </c>
      <c r="AD73" s="120">
        <v>1.6108650807648677</v>
      </c>
      <c r="AE73" s="120">
        <v>1.3870612504304018</v>
      </c>
      <c r="AF73" s="120">
        <v>1.9503876026792646</v>
      </c>
      <c r="AG73" s="120">
        <v>1.3870612504304018</v>
      </c>
      <c r="AH73" s="120">
        <v>1.3870612504304018</v>
      </c>
      <c r="AI73" s="120">
        <v>1.4806697724218174</v>
      </c>
      <c r="AJ73" s="120">
        <v>1.3870612504304018</v>
      </c>
      <c r="AK73" s="120">
        <v>1.4656248989270548</v>
      </c>
      <c r="AL73" s="120">
        <v>1.6291378102180225</v>
      </c>
      <c r="AM73" s="120">
        <v>1.3785303296758229</v>
      </c>
      <c r="AN73" s="120">
        <v>1.6495202101013138</v>
      </c>
      <c r="AO73" s="120">
        <v>1.3785303296758229</v>
      </c>
      <c r="AP73" s="120">
        <v>1.9503876026792646</v>
      </c>
      <c r="AQ73" s="683">
        <v>1.6022068922647239</v>
      </c>
      <c r="AR73" s="120">
        <v>1.3870612504304018</v>
      </c>
    </row>
    <row r="74" spans="1:44">
      <c r="A74" t="b">
        <f t="shared" si="0"/>
        <v>1</v>
      </c>
      <c r="B74" s="120">
        <v>1.4364406309457243</v>
      </c>
      <c r="C74" s="120">
        <v>1.6502337047882782</v>
      </c>
      <c r="D74" s="120">
        <v>1.6502337047882782</v>
      </c>
      <c r="E74" s="120">
        <v>1.6467419305138906</v>
      </c>
      <c r="F74" s="120">
        <v>1.6502337047882782</v>
      </c>
      <c r="G74" s="120">
        <v>1.6574190815989722</v>
      </c>
      <c r="H74" s="120">
        <v>1.6574190815989722</v>
      </c>
      <c r="I74" s="120">
        <v>1.6577332226107191</v>
      </c>
      <c r="J74" s="120">
        <v>1.4808810033649433</v>
      </c>
      <c r="K74" s="120">
        <v>1.7218235708256877</v>
      </c>
      <c r="L74" s="120">
        <v>1.6504596085030714</v>
      </c>
      <c r="M74" s="120">
        <v>1.4364406309457243</v>
      </c>
      <c r="N74" s="120">
        <v>1.6502337047882782</v>
      </c>
      <c r="O74" s="120">
        <v>1.6502337047882782</v>
      </c>
      <c r="P74" s="120">
        <v>1.7038966892504761</v>
      </c>
      <c r="Q74" s="120">
        <v>1.4542116447750255</v>
      </c>
      <c r="R74" s="120">
        <v>1.6733066826490377</v>
      </c>
      <c r="S74" s="120">
        <v>1.4542116447750255</v>
      </c>
      <c r="T74" s="120">
        <v>1.4364406309457243</v>
      </c>
      <c r="U74" s="120">
        <v>1.6342510301100184</v>
      </c>
      <c r="V74" s="120">
        <v>1.6574190815989722</v>
      </c>
      <c r="W74" s="120">
        <v>1.6533260466992932</v>
      </c>
      <c r="X74" s="120">
        <v>1.6574190815989722</v>
      </c>
      <c r="Y74" s="120">
        <v>1.6527035813714972</v>
      </c>
      <c r="Z74" s="120">
        <v>1.625106111472266</v>
      </c>
      <c r="AA74" s="120">
        <v>1.6574190815989722</v>
      </c>
      <c r="AB74" s="120">
        <v>1.6559205830296018</v>
      </c>
      <c r="AC74" s="120">
        <v>1.6235570847872745</v>
      </c>
      <c r="AD74" s="120">
        <v>1.6574190815989722</v>
      </c>
      <c r="AE74" s="120">
        <v>1.4364406309457243</v>
      </c>
      <c r="AF74" s="120">
        <v>1.9915407810957968</v>
      </c>
      <c r="AG74" s="120">
        <v>1.4364406309457243</v>
      </c>
      <c r="AH74" s="120">
        <v>1.4364406309457243</v>
      </c>
      <c r="AI74" s="120">
        <v>1.5234147838809313</v>
      </c>
      <c r="AJ74" s="120">
        <v>1.4364406309457243</v>
      </c>
      <c r="AK74" s="120">
        <v>1.5078348960161538</v>
      </c>
      <c r="AL74" s="120">
        <v>1.6640868890917249</v>
      </c>
      <c r="AM74" s="120">
        <v>1.4542116447750255</v>
      </c>
      <c r="AN74" s="120">
        <v>1.6806211312532751</v>
      </c>
      <c r="AO74" s="120">
        <v>1.4542116447750255</v>
      </c>
      <c r="AP74" s="120">
        <v>1.9915407810957968</v>
      </c>
      <c r="AQ74" s="683">
        <v>1.6342510301100184</v>
      </c>
      <c r="AR74" s="120">
        <v>1.4364406309457243</v>
      </c>
    </row>
    <row r="75" spans="1:44">
      <c r="A75" t="b">
        <f t="shared" si="0"/>
        <v>1</v>
      </c>
      <c r="B75" s="120">
        <v>1.4907380867954727</v>
      </c>
      <c r="C75" s="120">
        <v>1.69644024852235</v>
      </c>
      <c r="D75" s="120">
        <v>1.69644024852235</v>
      </c>
      <c r="E75" s="120">
        <v>1.742088288290645</v>
      </c>
      <c r="F75" s="120">
        <v>1.69644024852235</v>
      </c>
      <c r="G75" s="120">
        <v>1.7354835203422836</v>
      </c>
      <c r="H75" s="120">
        <v>1.7354835203422836</v>
      </c>
      <c r="I75" s="120">
        <v>1.7383189500282716</v>
      </c>
      <c r="J75" s="120">
        <v>1.6023248699908228</v>
      </c>
      <c r="K75" s="120">
        <v>1.7975838079420181</v>
      </c>
      <c r="L75" s="120">
        <v>1.7002173834958247</v>
      </c>
      <c r="M75" s="120">
        <v>1.4907380867954727</v>
      </c>
      <c r="N75" s="120">
        <v>1.69644024852235</v>
      </c>
      <c r="O75" s="120">
        <v>1.69644024852235</v>
      </c>
      <c r="P75" s="120">
        <v>1.7736388846381874</v>
      </c>
      <c r="Q75" s="120">
        <v>1.4505761156630881</v>
      </c>
      <c r="R75" s="120">
        <v>1.7330121893886405</v>
      </c>
      <c r="S75" s="120">
        <v>1.4505761156630881</v>
      </c>
      <c r="T75" s="120">
        <v>1.4907380867954727</v>
      </c>
      <c r="U75" s="120">
        <v>1.7355745939768397</v>
      </c>
      <c r="V75" s="120">
        <v>1.7354835203422836</v>
      </c>
      <c r="W75" s="120">
        <v>1.73711409858522</v>
      </c>
      <c r="X75" s="120">
        <v>1.7354835203422836</v>
      </c>
      <c r="Y75" s="120">
        <v>1.7336902796477889</v>
      </c>
      <c r="Z75" s="120">
        <v>1.7185537242285875</v>
      </c>
      <c r="AA75" s="120">
        <v>1.7354835203422836</v>
      </c>
      <c r="AB75" s="120">
        <v>1.7427991850233062</v>
      </c>
      <c r="AC75" s="120">
        <v>1.7121769400936959</v>
      </c>
      <c r="AD75" s="120">
        <v>1.7354835203422836</v>
      </c>
      <c r="AE75" s="120">
        <v>1.4907380867954727</v>
      </c>
      <c r="AF75" s="120">
        <v>2.1084442249461199</v>
      </c>
      <c r="AG75" s="120">
        <v>1.4907380867954727</v>
      </c>
      <c r="AH75" s="120">
        <v>1.4907380867954727</v>
      </c>
      <c r="AI75" s="120">
        <v>1.5683181201724745</v>
      </c>
      <c r="AJ75" s="120">
        <v>1.4907380867954727</v>
      </c>
      <c r="AK75" s="120">
        <v>1.5467370363333706</v>
      </c>
      <c r="AL75" s="120">
        <v>1.7208247636187519</v>
      </c>
      <c r="AM75" s="120">
        <v>1.4505761156630881</v>
      </c>
      <c r="AN75" s="120">
        <v>1.7426998970473295</v>
      </c>
      <c r="AO75" s="120">
        <v>1.4505761156630881</v>
      </c>
      <c r="AP75" s="120">
        <v>2.1084442249461199</v>
      </c>
      <c r="AQ75" s="683">
        <v>1.7355745939768397</v>
      </c>
      <c r="AR75" s="120">
        <v>1.4907380867954727</v>
      </c>
    </row>
    <row r="76" spans="1:44">
      <c r="A76" t="b">
        <f t="shared" si="0"/>
        <v>1</v>
      </c>
      <c r="B76" s="120">
        <v>1.5921082766975649</v>
      </c>
      <c r="C76" s="120">
        <v>1.8267268596088664</v>
      </c>
      <c r="D76" s="120">
        <v>1.8267268596088664</v>
      </c>
      <c r="E76" s="120">
        <v>1.8769259218043408</v>
      </c>
      <c r="F76" s="120">
        <v>1.8267268596088664</v>
      </c>
      <c r="G76" s="120">
        <v>1.8588763986386199</v>
      </c>
      <c r="H76" s="120">
        <v>1.8588763986386199</v>
      </c>
      <c r="I76" s="120">
        <v>1.8634466246892067</v>
      </c>
      <c r="J76" s="120">
        <v>1.7161211379626795</v>
      </c>
      <c r="K76" s="120">
        <v>1.923055157736371</v>
      </c>
      <c r="L76" s="120">
        <v>1.8308673583578408</v>
      </c>
      <c r="M76" s="120">
        <v>1.5921082766975649</v>
      </c>
      <c r="N76" s="120">
        <v>1.8267268596088664</v>
      </c>
      <c r="O76" s="120">
        <v>1.8267268596088664</v>
      </c>
      <c r="P76" s="120">
        <v>1.8958819785729977</v>
      </c>
      <c r="Q76" s="120">
        <v>1.5325336661980526</v>
      </c>
      <c r="R76" s="120">
        <v>1.8498529629949019</v>
      </c>
      <c r="S76" s="120">
        <v>1.5325336661980526</v>
      </c>
      <c r="T76" s="120">
        <v>1.5921082766975649</v>
      </c>
      <c r="U76" s="120">
        <v>1.8778917106829407</v>
      </c>
      <c r="V76" s="120">
        <v>1.8588763986386199</v>
      </c>
      <c r="W76" s="120">
        <v>1.8634322550893967</v>
      </c>
      <c r="X76" s="120">
        <v>1.8588763986386199</v>
      </c>
      <c r="Y76" s="120">
        <v>1.857908622242908</v>
      </c>
      <c r="Z76" s="120">
        <v>1.8451810592896589</v>
      </c>
      <c r="AA76" s="120">
        <v>1.8588763986386199</v>
      </c>
      <c r="AB76" s="120">
        <v>1.8721668896797168</v>
      </c>
      <c r="AC76" s="120">
        <v>1.8347888767581435</v>
      </c>
      <c r="AD76" s="120">
        <v>1.8588763986386199</v>
      </c>
      <c r="AE76" s="120">
        <v>1.5921082766975649</v>
      </c>
      <c r="AF76" s="120">
        <v>2.2855535398415943</v>
      </c>
      <c r="AG76" s="120">
        <v>1.5921082766975649</v>
      </c>
      <c r="AH76" s="120">
        <v>1.5921082766975649</v>
      </c>
      <c r="AI76" s="120">
        <v>1.6766517331369446</v>
      </c>
      <c r="AJ76" s="120">
        <v>1.5921082766975649</v>
      </c>
      <c r="AK76" s="120">
        <v>1.6519151548040398</v>
      </c>
      <c r="AL76" s="120">
        <v>1.8360634076464852</v>
      </c>
      <c r="AM76" s="120">
        <v>1.5325336661980526</v>
      </c>
      <c r="AN76" s="120">
        <v>1.8608202932415097</v>
      </c>
      <c r="AO76" s="120">
        <v>1.5325336661980526</v>
      </c>
      <c r="AP76" s="120">
        <v>2.2855535398415943</v>
      </c>
      <c r="AQ76" s="683">
        <v>1.8778917106829407</v>
      </c>
      <c r="AR76" s="120">
        <v>1.5921082766975649</v>
      </c>
    </row>
    <row r="77" spans="1:44">
      <c r="A77" t="b">
        <f t="shared" si="0"/>
        <v>1</v>
      </c>
      <c r="B77" s="120">
        <v>1.7309401184255926</v>
      </c>
      <c r="C77" s="120">
        <v>1.9967951302384517</v>
      </c>
      <c r="D77" s="120">
        <v>1.9967951302384517</v>
      </c>
      <c r="E77" s="120">
        <v>1.9902922474813229</v>
      </c>
      <c r="F77" s="120">
        <v>1.9967951302384517</v>
      </c>
      <c r="G77" s="120">
        <v>2.0280341509147344</v>
      </c>
      <c r="H77" s="120">
        <v>2.0280341509147344</v>
      </c>
      <c r="I77" s="120">
        <v>2.025037262195756</v>
      </c>
      <c r="J77" s="120">
        <v>1.9837870908534714</v>
      </c>
      <c r="K77" s="120">
        <v>2.0374769396216852</v>
      </c>
      <c r="L77" s="120">
        <v>1.9970204676987755</v>
      </c>
      <c r="M77" s="120">
        <v>1.7309401184255926</v>
      </c>
      <c r="N77" s="120">
        <v>1.9967951302384517</v>
      </c>
      <c r="O77" s="120">
        <v>1.9967951302384517</v>
      </c>
      <c r="P77" s="120">
        <v>2.0111394692255731</v>
      </c>
      <c r="Q77" s="120">
        <v>1.6537570791943186</v>
      </c>
      <c r="R77" s="120">
        <v>1.9664056127166625</v>
      </c>
      <c r="S77" s="120">
        <v>1.6537570791943186</v>
      </c>
      <c r="T77" s="120">
        <v>1.7309401184255926</v>
      </c>
      <c r="U77" s="120">
        <v>2.0619250983298691</v>
      </c>
      <c r="V77" s="120">
        <v>2.0280341509147344</v>
      </c>
      <c r="W77" s="120">
        <v>2.0211347952250032</v>
      </c>
      <c r="X77" s="120">
        <v>2.0280341509147344</v>
      </c>
      <c r="Y77" s="120">
        <v>2.025305554702403</v>
      </c>
      <c r="Z77" s="120">
        <v>2.0102645692247263</v>
      </c>
      <c r="AA77" s="120">
        <v>2.0280341509147344</v>
      </c>
      <c r="AB77" s="120">
        <v>2.0140732458103088</v>
      </c>
      <c r="AC77" s="120">
        <v>2.0195311804312408</v>
      </c>
      <c r="AD77" s="120">
        <v>2.0280341509147344</v>
      </c>
      <c r="AE77" s="120">
        <v>1.7309401184255926</v>
      </c>
      <c r="AF77" s="120">
        <v>2.5095377867460709</v>
      </c>
      <c r="AG77" s="120">
        <v>1.7309401184255926</v>
      </c>
      <c r="AH77" s="120">
        <v>1.7309401184255926</v>
      </c>
      <c r="AI77" s="120">
        <v>1.8129598304071652</v>
      </c>
      <c r="AJ77" s="120">
        <v>1.7309401184255926</v>
      </c>
      <c r="AK77" s="120">
        <v>1.7906760278075793</v>
      </c>
      <c r="AL77" s="120">
        <v>1.9529743779156936</v>
      </c>
      <c r="AM77" s="120">
        <v>1.6537570791943186</v>
      </c>
      <c r="AN77" s="120">
        <v>1.9770781586240571</v>
      </c>
      <c r="AO77" s="120">
        <v>1.6537570791943186</v>
      </c>
      <c r="AP77" s="120">
        <v>2.5095377867460709</v>
      </c>
      <c r="AQ77" s="683">
        <v>2.0619250983298691</v>
      </c>
      <c r="AR77" s="120">
        <v>1.7309401184255926</v>
      </c>
    </row>
    <row r="78" spans="1:44">
      <c r="A78" t="b">
        <f t="shared" si="0"/>
        <v>1</v>
      </c>
      <c r="B78" s="120">
        <v>1.9351910523998126</v>
      </c>
      <c r="C78" s="120">
        <v>2.2082557345307041</v>
      </c>
      <c r="D78" s="120">
        <v>2.2082557345307041</v>
      </c>
      <c r="E78" s="120">
        <v>2.1262292079842973</v>
      </c>
      <c r="F78" s="120">
        <v>2.2082557345307041</v>
      </c>
      <c r="G78" s="120">
        <v>2.2428029674966048</v>
      </c>
      <c r="H78" s="120">
        <v>2.2428029674966048</v>
      </c>
      <c r="I78" s="120">
        <v>2.2288289121140878</v>
      </c>
      <c r="J78" s="120">
        <v>3.6999082288161507</v>
      </c>
      <c r="K78" s="120">
        <v>2.1831565408046356</v>
      </c>
      <c r="L78" s="120">
        <v>2.2031110836701107</v>
      </c>
      <c r="M78" s="120">
        <v>1.9144197709787056</v>
      </c>
      <c r="N78" s="120">
        <v>2.2082557345307041</v>
      </c>
      <c r="O78" s="120">
        <v>2.2082557345307041</v>
      </c>
      <c r="P78" s="120">
        <v>2.1552545057671271</v>
      </c>
      <c r="Q78" s="120">
        <v>1.7759697273467789</v>
      </c>
      <c r="R78" s="120">
        <v>2.1078479099397796</v>
      </c>
      <c r="S78" s="120">
        <v>1.7759697273467789</v>
      </c>
      <c r="T78" s="120">
        <v>1.9144197709787056</v>
      </c>
      <c r="U78" s="120">
        <v>2.266055683064526</v>
      </c>
      <c r="V78" s="120">
        <v>2.2428029674966048</v>
      </c>
      <c r="W78" s="120">
        <v>2.2509333439350643</v>
      </c>
      <c r="X78" s="120">
        <v>2.2428029674966048</v>
      </c>
      <c r="Y78" s="120">
        <v>2.2752436260225624</v>
      </c>
      <c r="Z78" s="120">
        <v>2.4522093308561663</v>
      </c>
      <c r="AA78" s="120">
        <v>2.2428029674966048</v>
      </c>
      <c r="AB78" s="120">
        <v>2.1897413588133223</v>
      </c>
      <c r="AC78" s="120">
        <v>2.5160685322987093</v>
      </c>
      <c r="AD78" s="120">
        <v>2.2428029674966048</v>
      </c>
      <c r="AE78" s="120">
        <v>1.9144197709787056</v>
      </c>
      <c r="AF78" s="120">
        <v>2.8056632455821076</v>
      </c>
      <c r="AG78" s="120">
        <v>1.9351910523998126</v>
      </c>
      <c r="AH78" s="120">
        <v>1.9144197709787056</v>
      </c>
      <c r="AI78" s="120">
        <v>1.9971471217854151</v>
      </c>
      <c r="AJ78" s="120">
        <v>1.9144197709787056</v>
      </c>
      <c r="AK78" s="120">
        <v>1.9803086191524022</v>
      </c>
      <c r="AL78" s="120">
        <v>2.093610406438656</v>
      </c>
      <c r="AM78" s="120">
        <v>1.7759697273467789</v>
      </c>
      <c r="AN78" s="120">
        <v>2.119159873887202</v>
      </c>
      <c r="AO78" s="120">
        <v>1.7759697273467789</v>
      </c>
      <c r="AP78" s="120">
        <v>2.8056632455821076</v>
      </c>
      <c r="AQ78" s="683">
        <v>2.266055683064526</v>
      </c>
      <c r="AR78" s="120">
        <v>1.9351910523998126</v>
      </c>
    </row>
    <row r="79" spans="1:44">
      <c r="A79" t="b">
        <f t="shared" si="0"/>
        <v>1</v>
      </c>
      <c r="B79" s="120">
        <v>2.1596732144781909</v>
      </c>
      <c r="C79" s="120">
        <v>2.4425516679644121</v>
      </c>
      <c r="D79" s="120">
        <v>2.4425516679644121</v>
      </c>
      <c r="E79" s="120">
        <v>2.3112111490789311</v>
      </c>
      <c r="F79" s="120">
        <v>2.4425516679644121</v>
      </c>
      <c r="G79" s="120">
        <v>2.4807643623479949</v>
      </c>
      <c r="H79" s="120">
        <v>2.4807643623479949</v>
      </c>
      <c r="I79" s="120">
        <v>2.4593477711783995</v>
      </c>
      <c r="J79" s="120">
        <v>4.284796573875802</v>
      </c>
      <c r="K79" s="120">
        <v>2.5294051681762508</v>
      </c>
      <c r="L79" s="120">
        <v>2.4338384463599101</v>
      </c>
      <c r="M79" s="120">
        <v>2.1173482667024488</v>
      </c>
      <c r="N79" s="120">
        <v>2.4425516679644121</v>
      </c>
      <c r="O79" s="120">
        <v>2.4425516679644121</v>
      </c>
      <c r="P79" s="120">
        <v>2.508756332446743</v>
      </c>
      <c r="Q79" s="120">
        <v>2.2034456407191483</v>
      </c>
      <c r="R79" s="120">
        <v>2.4731120051245719</v>
      </c>
      <c r="S79" s="120">
        <v>2.2034456407191483</v>
      </c>
      <c r="T79" s="120">
        <v>2.1173482667024488</v>
      </c>
      <c r="U79" s="120">
        <v>2.4835970286387208</v>
      </c>
      <c r="V79" s="120">
        <v>2.4807643623479949</v>
      </c>
      <c r="W79" s="120">
        <v>2.4813993919522219</v>
      </c>
      <c r="X79" s="120">
        <v>2.4807643623479949</v>
      </c>
      <c r="Y79" s="120">
        <v>2.5160807638601823</v>
      </c>
      <c r="Z79" s="120">
        <v>2.7148208316937685</v>
      </c>
      <c r="AA79" s="120">
        <v>2.4807643623479949</v>
      </c>
      <c r="AB79" s="120">
        <v>2.4012947239985993</v>
      </c>
      <c r="AC79" s="120">
        <v>2.8036594630898852</v>
      </c>
      <c r="AD79" s="120">
        <v>2.4807643623479949</v>
      </c>
      <c r="AE79" s="120">
        <v>2.1173482667024488</v>
      </c>
      <c r="AF79" s="120">
        <v>3.1311201820696324</v>
      </c>
      <c r="AG79" s="120">
        <v>2.1596732144781909</v>
      </c>
      <c r="AH79" s="120">
        <v>2.1173482667024488</v>
      </c>
      <c r="AI79" s="120">
        <v>2.204676770508859</v>
      </c>
      <c r="AJ79" s="120">
        <v>2.1173482667024488</v>
      </c>
      <c r="AK79" s="120">
        <v>2.1904193636444722</v>
      </c>
      <c r="AL79" s="120">
        <v>2.4622686101603417</v>
      </c>
      <c r="AM79" s="120">
        <v>2.2034456407191483</v>
      </c>
      <c r="AN79" s="120">
        <v>2.4816816394377148</v>
      </c>
      <c r="AO79" s="120">
        <v>2.2034456407191483</v>
      </c>
      <c r="AP79" s="120">
        <v>3.1311201820696324</v>
      </c>
      <c r="AQ79" s="683">
        <v>2.4835970286387208</v>
      </c>
      <c r="AR79" s="120">
        <v>2.1596732144781909</v>
      </c>
    </row>
    <row r="80" spans="1:44">
      <c r="A80" t="b">
        <f t="shared" si="0"/>
        <v>1</v>
      </c>
      <c r="B80" s="120">
        <v>2.4685064841485724</v>
      </c>
      <c r="C80" s="120">
        <v>2.6281855947297075</v>
      </c>
      <c r="D80" s="120">
        <v>2.6281855947297075</v>
      </c>
      <c r="E80" s="120">
        <v>2.4380966411633644</v>
      </c>
      <c r="F80" s="120">
        <v>2.6281855947297075</v>
      </c>
      <c r="G80" s="120">
        <v>2.6693024538864427</v>
      </c>
      <c r="H80" s="120">
        <v>2.6693024538864427</v>
      </c>
      <c r="I80" s="120">
        <v>2.6389932884718967</v>
      </c>
      <c r="J80" s="120">
        <v>4.7678189048638719</v>
      </c>
      <c r="K80" s="120">
        <v>2.8761866167332149</v>
      </c>
      <c r="L80" s="120">
        <v>2.615121217748722</v>
      </c>
      <c r="M80" s="120">
        <v>2.2782667349718349</v>
      </c>
      <c r="N80" s="120">
        <v>2.6281855947297075</v>
      </c>
      <c r="O80" s="120">
        <v>2.6281855947297075</v>
      </c>
      <c r="P80" s="120">
        <v>2.8425900148389669</v>
      </c>
      <c r="Q80" s="120">
        <v>2.3709075094138039</v>
      </c>
      <c r="R80" s="120">
        <v>2.7896758073580483</v>
      </c>
      <c r="S80" s="120">
        <v>2.3709075094138039</v>
      </c>
      <c r="T80" s="120">
        <v>2.2782667349718349</v>
      </c>
      <c r="U80" s="120">
        <v>2.6698668057866248</v>
      </c>
      <c r="V80" s="120">
        <v>2.6693024538864427</v>
      </c>
      <c r="W80" s="120">
        <v>2.6586260855310515</v>
      </c>
      <c r="X80" s="120">
        <v>2.6693024538864427</v>
      </c>
      <c r="Y80" s="120">
        <v>2.7051844227475552</v>
      </c>
      <c r="Z80" s="120">
        <v>2.910746057641461</v>
      </c>
      <c r="AA80" s="120">
        <v>2.6693024538864427</v>
      </c>
      <c r="AB80" s="120">
        <v>2.5597514803105552</v>
      </c>
      <c r="AC80" s="120">
        <v>3.0312021588767162</v>
      </c>
      <c r="AD80" s="120">
        <v>2.6693024538864427</v>
      </c>
      <c r="AE80" s="120">
        <v>2.2782667349718349</v>
      </c>
      <c r="AF80" s="120">
        <v>3.5788703681055898</v>
      </c>
      <c r="AG80" s="120">
        <v>2.4685064841485724</v>
      </c>
      <c r="AH80" s="120">
        <v>2.2782667349718349</v>
      </c>
      <c r="AI80" s="120">
        <v>2.3672872693986551</v>
      </c>
      <c r="AJ80" s="120">
        <v>2.2782667349718349</v>
      </c>
      <c r="AK80" s="120">
        <v>2.3568912352814522</v>
      </c>
      <c r="AL80" s="120">
        <v>2.7678009342401149</v>
      </c>
      <c r="AM80" s="120">
        <v>2.3709075094138039</v>
      </c>
      <c r="AN80" s="120">
        <v>2.7988918496845185</v>
      </c>
      <c r="AO80" s="120">
        <v>2.3709075094138039</v>
      </c>
      <c r="AP80" s="120">
        <v>3.5788703681055898</v>
      </c>
      <c r="AQ80" s="683">
        <v>2.6698668057866248</v>
      </c>
      <c r="AR80" s="120">
        <v>2.4685064841485724</v>
      </c>
    </row>
    <row r="81" spans="1:44">
      <c r="A81" t="b">
        <f t="shared" si="0"/>
        <v>1</v>
      </c>
      <c r="B81" s="120">
        <v>2.6906720677219442</v>
      </c>
      <c r="C81" s="120">
        <v>2.7569666888714628</v>
      </c>
      <c r="D81" s="120">
        <v>2.7569666888714628</v>
      </c>
      <c r="E81" s="120">
        <v>2.5429347967333888</v>
      </c>
      <c r="F81" s="120">
        <v>2.7569666888714628</v>
      </c>
      <c r="G81" s="120">
        <v>2.8000982741268783</v>
      </c>
      <c r="H81" s="120">
        <v>2.8000982741268783</v>
      </c>
      <c r="I81" s="120">
        <v>2.7660872052447032</v>
      </c>
      <c r="J81" s="120">
        <v>4.296420923829916</v>
      </c>
      <c r="K81" s="120">
        <v>2.9912340814025438</v>
      </c>
      <c r="L81" s="120">
        <v>2.7421350334011407</v>
      </c>
      <c r="M81" s="120">
        <v>2.3899018049854548</v>
      </c>
      <c r="N81" s="120">
        <v>2.7569666888714628</v>
      </c>
      <c r="O81" s="120">
        <v>2.7569666888714628</v>
      </c>
      <c r="P81" s="120">
        <v>2.9579821139013398</v>
      </c>
      <c r="Q81" s="120">
        <v>2.4870819773750803</v>
      </c>
      <c r="R81" s="120">
        <v>2.9053527833535382</v>
      </c>
      <c r="S81" s="120">
        <v>2.4870819773750803</v>
      </c>
      <c r="T81" s="120">
        <v>2.3899018049854548</v>
      </c>
      <c r="U81" s="120">
        <v>2.7713217444065168</v>
      </c>
      <c r="V81" s="120">
        <v>2.8000982741268783</v>
      </c>
      <c r="W81" s="120">
        <v>2.7757571006093587</v>
      </c>
      <c r="X81" s="120">
        <v>2.8000982741268783</v>
      </c>
      <c r="Y81" s="120">
        <v>2.8253561286011757</v>
      </c>
      <c r="Z81" s="120">
        <v>2.9850811242534339</v>
      </c>
      <c r="AA81" s="120">
        <v>2.8000982741268783</v>
      </c>
      <c r="AB81" s="120">
        <v>2.677825648793136</v>
      </c>
      <c r="AC81" s="120">
        <v>3.0937145171110059</v>
      </c>
      <c r="AD81" s="120">
        <v>2.8000982741268783</v>
      </c>
      <c r="AE81" s="120">
        <v>2.3899018049854548</v>
      </c>
      <c r="AF81" s="120">
        <v>3.9009687012350933</v>
      </c>
      <c r="AG81" s="120">
        <v>2.6906720677219442</v>
      </c>
      <c r="AH81" s="120">
        <v>2.3899018049854548</v>
      </c>
      <c r="AI81" s="120">
        <v>2.4831096397987076</v>
      </c>
      <c r="AJ81" s="120">
        <v>2.3899018049854548</v>
      </c>
      <c r="AK81" s="120">
        <v>2.4723789058102432</v>
      </c>
      <c r="AL81" s="120">
        <v>2.8838188460006577</v>
      </c>
      <c r="AM81" s="120">
        <v>2.4870819773750803</v>
      </c>
      <c r="AN81" s="120">
        <v>2.9146731630539096</v>
      </c>
      <c r="AO81" s="120">
        <v>2.4870819773750803</v>
      </c>
      <c r="AP81" s="120">
        <v>3.9009687012350933</v>
      </c>
      <c r="AQ81" s="683">
        <v>2.7713217444065168</v>
      </c>
      <c r="AR81" s="120">
        <v>2.6906720677219442</v>
      </c>
    </row>
    <row r="82" spans="1:44">
      <c r="A82" t="b">
        <f t="shared" si="0"/>
        <v>1</v>
      </c>
      <c r="B82" s="120">
        <v>2.9059258331396998</v>
      </c>
      <c r="C82" s="120">
        <v>2.8617314230485786</v>
      </c>
      <c r="D82" s="120">
        <v>2.8617314230485786</v>
      </c>
      <c r="E82" s="120">
        <v>2.6192228406353908</v>
      </c>
      <c r="F82" s="120">
        <v>2.8617314230485786</v>
      </c>
      <c r="G82" s="120">
        <v>2.9065020085436997</v>
      </c>
      <c r="H82" s="120">
        <v>2.9065020085436997</v>
      </c>
      <c r="I82" s="120">
        <v>2.8681005013741281</v>
      </c>
      <c r="J82" s="120">
        <v>3.7029672682777597</v>
      </c>
      <c r="K82" s="120">
        <v>3.0809711038446204</v>
      </c>
      <c r="L82" s="120">
        <v>2.8447603416027243</v>
      </c>
      <c r="M82" s="120">
        <v>2.4807180735749021</v>
      </c>
      <c r="N82" s="120">
        <v>2.8617314230485786</v>
      </c>
      <c r="O82" s="120">
        <v>2.8617314230485786</v>
      </c>
      <c r="P82" s="120">
        <v>3.04828339187452</v>
      </c>
      <c r="Q82" s="120">
        <v>2.5815910925153336</v>
      </c>
      <c r="R82" s="120">
        <v>2.9962461641101967</v>
      </c>
      <c r="S82" s="120">
        <v>2.5815910925153336</v>
      </c>
      <c r="T82" s="120">
        <v>2.4807180735749021</v>
      </c>
      <c r="U82" s="120">
        <v>2.8710893272051514</v>
      </c>
      <c r="V82" s="120">
        <v>2.9065020085436997</v>
      </c>
      <c r="W82" s="120">
        <v>2.8642845125350491</v>
      </c>
      <c r="X82" s="120">
        <v>2.9065020085436997</v>
      </c>
      <c r="Y82" s="120">
        <v>2.9171047882019279</v>
      </c>
      <c r="Z82" s="120">
        <v>3.034300135015179</v>
      </c>
      <c r="AA82" s="120">
        <v>2.9065020085436997</v>
      </c>
      <c r="AB82" s="120">
        <v>2.7700885248269143</v>
      </c>
      <c r="AC82" s="120">
        <v>3.1064884766808269</v>
      </c>
      <c r="AD82" s="120">
        <v>2.9065020085436997</v>
      </c>
      <c r="AE82" s="120">
        <v>2.4807180735749021</v>
      </c>
      <c r="AF82" s="120">
        <v>4.0179977622721461</v>
      </c>
      <c r="AG82" s="120">
        <v>2.9059258331396998</v>
      </c>
      <c r="AH82" s="120">
        <v>2.4807180735749021</v>
      </c>
      <c r="AI82" s="120">
        <v>2.5772631978767393</v>
      </c>
      <c r="AJ82" s="120">
        <v>2.4807180735749021</v>
      </c>
      <c r="AK82" s="120">
        <v>2.5663293042310324</v>
      </c>
      <c r="AL82" s="120">
        <v>2.9752474386942627</v>
      </c>
      <c r="AM82" s="120">
        <v>2.5815910925153336</v>
      </c>
      <c r="AN82" s="120">
        <v>3.0056545970539892</v>
      </c>
      <c r="AO82" s="120">
        <v>2.5815910925153336</v>
      </c>
      <c r="AP82" s="120">
        <v>4.0179977622721461</v>
      </c>
      <c r="AQ82" s="683">
        <v>2.8710893272051514</v>
      </c>
      <c r="AR82" s="120">
        <v>2.9059258331396998</v>
      </c>
    </row>
    <row r="83" spans="1:44">
      <c r="A83" t="b">
        <f t="shared" si="0"/>
        <v>1</v>
      </c>
      <c r="B83" s="120">
        <v>3.0047273114664494</v>
      </c>
      <c r="C83" s="120">
        <v>2.9590302914322306</v>
      </c>
      <c r="D83" s="120">
        <v>2.9590302914322306</v>
      </c>
      <c r="E83" s="120">
        <v>2.7140387074663921</v>
      </c>
      <c r="F83" s="120">
        <v>2.9590302914322306</v>
      </c>
      <c r="G83" s="120">
        <v>3.0053230768341854</v>
      </c>
      <c r="H83" s="120">
        <v>3.0053230768341854</v>
      </c>
      <c r="I83" s="120">
        <v>2.9664992933752719</v>
      </c>
      <c r="J83" s="120">
        <v>3.4346895074946455</v>
      </c>
      <c r="K83" s="120">
        <v>3.2042099479984052</v>
      </c>
      <c r="L83" s="120">
        <v>2.9419317628778119</v>
      </c>
      <c r="M83" s="120">
        <v>2.5650624880764488</v>
      </c>
      <c r="N83" s="120">
        <v>2.9590302914322306</v>
      </c>
      <c r="O83" s="120">
        <v>2.9590302914322306</v>
      </c>
      <c r="P83" s="120">
        <v>3.1690076073263183</v>
      </c>
      <c r="Q83" s="120">
        <v>2.669365189660855</v>
      </c>
      <c r="R83" s="120">
        <v>3.1136604457759351</v>
      </c>
      <c r="S83" s="120">
        <v>2.669365189660855</v>
      </c>
      <c r="T83" s="120">
        <v>2.5650624880764488</v>
      </c>
      <c r="U83" s="120">
        <v>2.9313822030764594</v>
      </c>
      <c r="V83" s="120">
        <v>3.0053230768341854</v>
      </c>
      <c r="W83" s="120">
        <v>2.9562769208947399</v>
      </c>
      <c r="X83" s="120">
        <v>3.0053230768341854</v>
      </c>
      <c r="Y83" s="120">
        <v>3.0083401762580477</v>
      </c>
      <c r="Z83" s="120">
        <v>3.1096919357028021</v>
      </c>
      <c r="AA83" s="120">
        <v>3.0053230768341854</v>
      </c>
      <c r="AB83" s="120">
        <v>2.8668048913083632</v>
      </c>
      <c r="AC83" s="120">
        <v>3.1503432144692196</v>
      </c>
      <c r="AD83" s="120">
        <v>3.0053230768341854</v>
      </c>
      <c r="AE83" s="120">
        <v>2.5650624880764488</v>
      </c>
      <c r="AF83" s="120">
        <v>4.1546096861893993</v>
      </c>
      <c r="AG83" s="120">
        <v>3.0047273114664494</v>
      </c>
      <c r="AH83" s="120">
        <v>2.5650624880764488</v>
      </c>
      <c r="AI83" s="120">
        <v>2.6649439862051993</v>
      </c>
      <c r="AJ83" s="120">
        <v>2.5650624880764488</v>
      </c>
      <c r="AK83" s="120">
        <v>2.6535845005748877</v>
      </c>
      <c r="AL83" s="120">
        <v>3.0904549700153816</v>
      </c>
      <c r="AM83" s="120">
        <v>2.669365189660855</v>
      </c>
      <c r="AN83" s="120">
        <v>3.1231419468516268</v>
      </c>
      <c r="AO83" s="120">
        <v>2.669365189660855</v>
      </c>
      <c r="AP83" s="120">
        <v>4.1546096861893993</v>
      </c>
      <c r="AQ83" s="683">
        <v>2.9313822030764594</v>
      </c>
      <c r="AR83" s="120">
        <v>3.0047273114664494</v>
      </c>
    </row>
    <row r="84" spans="1:44">
      <c r="A84" t="b">
        <f t="shared" si="0"/>
        <v>1</v>
      </c>
      <c r="B84" s="120">
        <v>3.0888596761875102</v>
      </c>
      <c r="C84" s="120">
        <v>3.0418831395923331</v>
      </c>
      <c r="D84" s="120">
        <v>3.0418831395923331</v>
      </c>
      <c r="E84" s="120">
        <v>2.7140387074663921</v>
      </c>
      <c r="F84" s="120">
        <v>3.0418831395923331</v>
      </c>
      <c r="G84" s="120">
        <v>3.0894721229855429</v>
      </c>
      <c r="H84" s="120">
        <v>3.0894721229855429</v>
      </c>
      <c r="I84" s="120">
        <v>3.0379325963597488</v>
      </c>
      <c r="J84" s="120">
        <v>2.9761394921994482</v>
      </c>
      <c r="K84" s="120">
        <v>3.3003362464383574</v>
      </c>
      <c r="L84" s="120">
        <v>3.0183886112650851</v>
      </c>
      <c r="M84" s="120">
        <v>2.6368842377425894</v>
      </c>
      <c r="N84" s="120">
        <v>3.0418831395923331</v>
      </c>
      <c r="O84" s="120">
        <v>3.0418831395923331</v>
      </c>
      <c r="P84" s="120">
        <v>3.2636785405875846</v>
      </c>
      <c r="Q84" s="120">
        <v>2.7441074149713591</v>
      </c>
      <c r="R84" s="120">
        <v>3.2062517723256034</v>
      </c>
      <c r="S84" s="120">
        <v>2.7441074149713591</v>
      </c>
      <c r="T84" s="120">
        <v>2.6368842377425894</v>
      </c>
      <c r="U84" s="120">
        <v>2.97242155391953</v>
      </c>
      <c r="V84" s="120">
        <v>3.0894721229855429</v>
      </c>
      <c r="W84" s="120">
        <v>3.0078547251991301</v>
      </c>
      <c r="X84" s="120">
        <v>3.0894721229855429</v>
      </c>
      <c r="Y84" s="120">
        <v>3.0709868745168487</v>
      </c>
      <c r="Z84" s="120">
        <v>3.1205923882678706</v>
      </c>
      <c r="AA84" s="120">
        <v>3.0894721229855429</v>
      </c>
      <c r="AB84" s="120">
        <v>2.9115929014041226</v>
      </c>
      <c r="AC84" s="120">
        <v>3.1549074481394404</v>
      </c>
      <c r="AD84" s="120">
        <v>3.0894721229855429</v>
      </c>
      <c r="AE84" s="120">
        <v>2.6368842377425894</v>
      </c>
      <c r="AF84" s="120">
        <v>4.2709387574027025</v>
      </c>
      <c r="AG84" s="120">
        <v>3.0888596761875102</v>
      </c>
      <c r="AH84" s="120">
        <v>2.6368842377425894</v>
      </c>
      <c r="AI84" s="120">
        <v>2.7388304112320965</v>
      </c>
      <c r="AJ84" s="120">
        <v>2.6368842377425894</v>
      </c>
      <c r="AK84" s="120">
        <v>2.7278848665909847</v>
      </c>
      <c r="AL84" s="120">
        <v>3.1818088189290363</v>
      </c>
      <c r="AM84" s="120">
        <v>2.7441074149713591</v>
      </c>
      <c r="AN84" s="120">
        <v>3.2157009444517</v>
      </c>
      <c r="AO84" s="120">
        <v>2.7441074149713591</v>
      </c>
      <c r="AP84" s="120">
        <v>4.2709387574027025</v>
      </c>
      <c r="AQ84" s="683">
        <v>2.97242155391953</v>
      </c>
      <c r="AR84" s="120">
        <v>3.0888596761875102</v>
      </c>
    </row>
    <row r="85" spans="1:44">
      <c r="A85" t="b">
        <f t="shared" si="0"/>
        <v>1</v>
      </c>
      <c r="B85" s="120">
        <v>3.1722588874445727</v>
      </c>
      <c r="C85" s="120">
        <v>3.1240139843613259</v>
      </c>
      <c r="D85" s="120">
        <v>3.1240139843613259</v>
      </c>
      <c r="E85" s="120">
        <v>2.775104578384386</v>
      </c>
      <c r="F85" s="120">
        <v>3.1240139843613259</v>
      </c>
      <c r="G85" s="120">
        <v>3.1728878703061523</v>
      </c>
      <c r="H85" s="120">
        <v>3.1728878703061523</v>
      </c>
      <c r="I85" s="120">
        <v>3.1180428789257553</v>
      </c>
      <c r="J85" s="120">
        <v>2.7326399510553672</v>
      </c>
      <c r="K85" s="120">
        <v>3.3745938119832202</v>
      </c>
      <c r="L85" s="120">
        <v>3.0987284555048822</v>
      </c>
      <c r="M85" s="120">
        <v>2.7080801121616389</v>
      </c>
      <c r="N85" s="120">
        <v>3.1240139843613259</v>
      </c>
      <c r="O85" s="120">
        <v>3.1240139843613259</v>
      </c>
      <c r="P85" s="120">
        <v>3.3380953068307919</v>
      </c>
      <c r="Q85" s="120">
        <v>2.8181983151755854</v>
      </c>
      <c r="R85" s="120">
        <v>3.2799559605803164</v>
      </c>
      <c r="S85" s="120">
        <v>2.8181983151755854</v>
      </c>
      <c r="T85" s="120">
        <v>2.7080801121616389</v>
      </c>
      <c r="U85" s="120">
        <v>3.0170078772283229</v>
      </c>
      <c r="V85" s="120">
        <v>3.1728878703061523</v>
      </c>
      <c r="W85" s="120">
        <v>3.0802811803484005</v>
      </c>
      <c r="X85" s="120">
        <v>3.1728878703061523</v>
      </c>
      <c r="Y85" s="120">
        <v>3.1440151537224628</v>
      </c>
      <c r="Z85" s="120">
        <v>3.177384056959883</v>
      </c>
      <c r="AA85" s="120">
        <v>3.1728878703061523</v>
      </c>
      <c r="AB85" s="120">
        <v>2.9842407018277135</v>
      </c>
      <c r="AC85" s="120">
        <v>3.1872000760187804</v>
      </c>
      <c r="AD85" s="120">
        <v>3.1728878703061523</v>
      </c>
      <c r="AE85" s="120">
        <v>2.7080801121616389</v>
      </c>
      <c r="AF85" s="120">
        <v>4.3862541038525746</v>
      </c>
      <c r="AG85" s="120">
        <v>3.1722588874445727</v>
      </c>
      <c r="AH85" s="120">
        <v>2.7080801121616389</v>
      </c>
      <c r="AI85" s="120">
        <v>2.8126515375442418</v>
      </c>
      <c r="AJ85" s="120">
        <v>2.7080801121616389</v>
      </c>
      <c r="AK85" s="120">
        <v>2.8015377579889411</v>
      </c>
      <c r="AL85" s="120">
        <v>3.2565781443650494</v>
      </c>
      <c r="AM85" s="120">
        <v>2.8181983151755854</v>
      </c>
      <c r="AN85" s="120">
        <v>3.2907230860086658</v>
      </c>
      <c r="AO85" s="120">
        <v>2.8181983151755854</v>
      </c>
      <c r="AP85" s="120">
        <v>4.3862541038525746</v>
      </c>
      <c r="AQ85" s="683">
        <v>3.0170078772283229</v>
      </c>
      <c r="AR85" s="120">
        <v>3.1722588874445727</v>
      </c>
    </row>
    <row r="86" spans="1:44">
      <c r="A86" t="b">
        <f t="shared" si="0"/>
        <v>1</v>
      </c>
      <c r="B86" s="120">
        <v>3.26742665406791</v>
      </c>
      <c r="C86" s="120">
        <v>3.2177344038921656</v>
      </c>
      <c r="D86" s="120">
        <v>3.2177344038921656</v>
      </c>
      <c r="E86" s="120">
        <v>2.8372669209401962</v>
      </c>
      <c r="F86" s="120">
        <v>3.2177344038921656</v>
      </c>
      <c r="G86" s="120">
        <v>3.2680745064153371</v>
      </c>
      <c r="H86" s="120">
        <v>3.2680745064153371</v>
      </c>
      <c r="I86" s="120">
        <v>3.2082665676703512</v>
      </c>
      <c r="J86" s="120">
        <v>2.290608748852859</v>
      </c>
      <c r="K86" s="120">
        <v>3.4501847133716441</v>
      </c>
      <c r="L86" s="120">
        <v>3.1894092424855973</v>
      </c>
      <c r="M86" s="120">
        <v>2.789322515526488</v>
      </c>
      <c r="N86" s="120">
        <v>3.2177344038921656</v>
      </c>
      <c r="O86" s="120">
        <v>3.2177344038921656</v>
      </c>
      <c r="P86" s="120">
        <v>3.4142864186006721</v>
      </c>
      <c r="Q86" s="120">
        <v>2.902744264630853</v>
      </c>
      <c r="R86" s="120">
        <v>3.3545774901382304</v>
      </c>
      <c r="S86" s="120">
        <v>2.902744264630853</v>
      </c>
      <c r="T86" s="120">
        <v>2.789322515526488</v>
      </c>
      <c r="U86" s="120">
        <v>3.0954500820362592</v>
      </c>
      <c r="V86" s="120">
        <v>3.2680745064153371</v>
      </c>
      <c r="W86" s="120">
        <v>3.1576258194328752</v>
      </c>
      <c r="X86" s="120">
        <v>3.2680745064153371</v>
      </c>
      <c r="Y86" s="120">
        <v>3.2262336761854282</v>
      </c>
      <c r="Z86" s="120">
        <v>3.2351459283113124</v>
      </c>
      <c r="AA86" s="120">
        <v>3.2680745064153371</v>
      </c>
      <c r="AB86" s="120">
        <v>3.0647557286236156</v>
      </c>
      <c r="AC86" s="120">
        <v>3.2010178919181445</v>
      </c>
      <c r="AD86" s="120">
        <v>3.2680745064153371</v>
      </c>
      <c r="AE86" s="120">
        <v>2.789322515526488</v>
      </c>
      <c r="AF86" s="120">
        <v>4.5178417269681521</v>
      </c>
      <c r="AG86" s="120">
        <v>3.26742665406791</v>
      </c>
      <c r="AH86" s="120">
        <v>2.789322515526488</v>
      </c>
      <c r="AI86" s="120">
        <v>2.8968159351902423</v>
      </c>
      <c r="AJ86" s="120">
        <v>2.789322515526488</v>
      </c>
      <c r="AK86" s="120">
        <v>2.8855838907286095</v>
      </c>
      <c r="AL86" s="120">
        <v>3.3327147106960551</v>
      </c>
      <c r="AM86" s="120">
        <v>2.902744264630853</v>
      </c>
      <c r="AN86" s="120">
        <v>3.3668779014958945</v>
      </c>
      <c r="AO86" s="120">
        <v>2.902744264630853</v>
      </c>
      <c r="AP86" s="120">
        <v>4.5178417269681521</v>
      </c>
      <c r="AQ86" s="683">
        <v>3.0954500820362592</v>
      </c>
      <c r="AR86" s="120">
        <v>3.26742665406791</v>
      </c>
    </row>
    <row r="87" spans="1:44">
      <c r="A87" t="b">
        <f t="shared" si="0"/>
        <v>1</v>
      </c>
      <c r="B87" s="120">
        <v>3.4046585735387622</v>
      </c>
      <c r="C87" s="120">
        <v>3.3528792488556367</v>
      </c>
      <c r="D87" s="120">
        <v>3.3528792488556367</v>
      </c>
      <c r="E87" s="120">
        <v>2.9388410767098554</v>
      </c>
      <c r="F87" s="120">
        <v>3.3528792488556367</v>
      </c>
      <c r="G87" s="120">
        <v>3.4053336356847814</v>
      </c>
      <c r="H87" s="120">
        <v>3.4053336356847814</v>
      </c>
      <c r="I87" s="120">
        <v>3.3402289881317682</v>
      </c>
      <c r="J87" s="120">
        <v>2.2924441725298248</v>
      </c>
      <c r="K87" s="120">
        <v>3.5737013261103492</v>
      </c>
      <c r="L87" s="120">
        <v>3.3215528954300466</v>
      </c>
      <c r="M87" s="120">
        <v>2.9064740611786006</v>
      </c>
      <c r="N87" s="120">
        <v>3.3528792488556367</v>
      </c>
      <c r="O87" s="120">
        <v>3.3528792488556367</v>
      </c>
      <c r="P87" s="120">
        <v>3.5380490287605895</v>
      </c>
      <c r="Q87" s="120">
        <v>3.0246595237453491</v>
      </c>
      <c r="R87" s="120">
        <v>3.4756384465156547</v>
      </c>
      <c r="S87" s="120">
        <v>3.0246595237453491</v>
      </c>
      <c r="T87" s="120">
        <v>2.9064740611786006</v>
      </c>
      <c r="U87" s="120">
        <v>3.1975999347434554</v>
      </c>
      <c r="V87" s="120">
        <v>3.4053336356847814</v>
      </c>
      <c r="W87" s="120">
        <v>3.2830340816195855</v>
      </c>
      <c r="X87" s="120">
        <v>3.4053336356847814</v>
      </c>
      <c r="Y87" s="120">
        <v>3.3575740329820207</v>
      </c>
      <c r="Z87" s="120">
        <v>3.356776055654012</v>
      </c>
      <c r="AA87" s="120">
        <v>3.4053336356847814</v>
      </c>
      <c r="AB87" s="120">
        <v>3.185464463984867</v>
      </c>
      <c r="AC87" s="120">
        <v>3.316784816196733</v>
      </c>
      <c r="AD87" s="120">
        <v>3.4053336356847814</v>
      </c>
      <c r="AE87" s="120">
        <v>2.9064740611786006</v>
      </c>
      <c r="AF87" s="120">
        <v>4.7075910795008147</v>
      </c>
      <c r="AG87" s="120">
        <v>3.4046585735387622</v>
      </c>
      <c r="AH87" s="120">
        <v>2.9064740611786006</v>
      </c>
      <c r="AI87" s="120">
        <v>3.0182833666976752</v>
      </c>
      <c r="AJ87" s="120">
        <v>2.9064740611786006</v>
      </c>
      <c r="AK87" s="120">
        <v>3.0067784141392111</v>
      </c>
      <c r="AL87" s="120">
        <v>3.4550564459158997</v>
      </c>
      <c r="AM87" s="120">
        <v>3.0246595237453491</v>
      </c>
      <c r="AN87" s="120">
        <v>3.4894990689911407</v>
      </c>
      <c r="AO87" s="120">
        <v>3.0246595237453491</v>
      </c>
      <c r="AP87" s="120">
        <v>4.7075910795008147</v>
      </c>
      <c r="AQ87" s="683">
        <v>3.1975999347434554</v>
      </c>
      <c r="AR87" s="120">
        <v>3.4046585735387622</v>
      </c>
    </row>
    <row r="88" spans="1:44">
      <c r="A88" t="b">
        <f t="shared" si="0"/>
        <v>1</v>
      </c>
      <c r="B88" s="120">
        <v>3.5408449164803129</v>
      </c>
      <c r="C88" s="120">
        <v>3.4869944188098625</v>
      </c>
      <c r="D88" s="120">
        <v>3.4869944188098625</v>
      </c>
      <c r="E88" s="120">
        <v>3.0481659647634616</v>
      </c>
      <c r="F88" s="120">
        <v>3.4869944188098625</v>
      </c>
      <c r="G88" s="120">
        <v>3.5415469811121727</v>
      </c>
      <c r="H88" s="120">
        <v>3.5415469811121727</v>
      </c>
      <c r="I88" s="120">
        <v>3.4725287778936917</v>
      </c>
      <c r="J88" s="120">
        <v>2.0452737840318131</v>
      </c>
      <c r="K88" s="120">
        <v>3.7066430154416539</v>
      </c>
      <c r="L88" s="120">
        <v>3.4532041247382619</v>
      </c>
      <c r="M88" s="120">
        <v>3.0227330236257446</v>
      </c>
      <c r="N88" s="120">
        <v>3.4869944188098625</v>
      </c>
      <c r="O88" s="120">
        <v>3.4869944188098625</v>
      </c>
      <c r="P88" s="120">
        <v>3.6704170371724651</v>
      </c>
      <c r="Q88" s="120">
        <v>3.1456459046951633</v>
      </c>
      <c r="R88" s="120">
        <v>3.605383913587104</v>
      </c>
      <c r="S88" s="120">
        <v>3.1456459046951633</v>
      </c>
      <c r="T88" s="120">
        <v>3.0227330236257446</v>
      </c>
      <c r="U88" s="120">
        <v>3.2327735340256329</v>
      </c>
      <c r="V88" s="120">
        <v>3.5415469811121727</v>
      </c>
      <c r="W88" s="120">
        <v>3.4081848682322353</v>
      </c>
      <c r="X88" s="120">
        <v>3.5415469811121727</v>
      </c>
      <c r="Y88" s="120">
        <v>3.4822297002914446</v>
      </c>
      <c r="Z88" s="120">
        <v>3.4671085391444838</v>
      </c>
      <c r="AA88" s="120">
        <v>3.5415469811121727</v>
      </c>
      <c r="AB88" s="120">
        <v>3.3090273406793638</v>
      </c>
      <c r="AC88" s="120">
        <v>3.3880071524616073</v>
      </c>
      <c r="AD88" s="120">
        <v>3.5415469811121727</v>
      </c>
      <c r="AE88" s="120">
        <v>3.0227330236257446</v>
      </c>
      <c r="AF88" s="120">
        <v>4.8958947226808478</v>
      </c>
      <c r="AG88" s="120">
        <v>3.5408449164803129</v>
      </c>
      <c r="AH88" s="120">
        <v>3.0227330236257446</v>
      </c>
      <c r="AI88" s="120">
        <v>3.1389161620122836</v>
      </c>
      <c r="AJ88" s="120">
        <v>3.0227330236257446</v>
      </c>
      <c r="AK88" s="120">
        <v>3.1270495507047795</v>
      </c>
      <c r="AL88" s="120">
        <v>3.5854837557776693</v>
      </c>
      <c r="AM88" s="120">
        <v>3.1456459046951633</v>
      </c>
      <c r="AN88" s="120">
        <v>3.6203680240125764</v>
      </c>
      <c r="AO88" s="120">
        <v>3.1456459046951633</v>
      </c>
      <c r="AP88" s="120">
        <v>4.8958947226808478</v>
      </c>
      <c r="AQ88" s="683">
        <v>3.2327735340256329</v>
      </c>
      <c r="AR88" s="120">
        <v>3.5408449164803129</v>
      </c>
    </row>
    <row r="89" spans="1:44">
      <c r="A89" t="b">
        <f t="shared" si="0"/>
        <v>1</v>
      </c>
      <c r="B89" s="120">
        <v>3.6931012478889662</v>
      </c>
      <c r="C89" s="120">
        <v>3.6369351788186863</v>
      </c>
      <c r="D89" s="120">
        <v>3.6369351788186863</v>
      </c>
      <c r="E89" s="120">
        <v>3.1694829701610474</v>
      </c>
      <c r="F89" s="120">
        <v>3.6369351788186863</v>
      </c>
      <c r="G89" s="120">
        <v>3.6938335012999959</v>
      </c>
      <c r="H89" s="120">
        <v>3.6938335012999959</v>
      </c>
      <c r="I89" s="120">
        <v>3.620291822450624</v>
      </c>
      <c r="J89" s="120">
        <v>3.8289996940960522</v>
      </c>
      <c r="K89" s="120">
        <v>3.8541674074562318</v>
      </c>
      <c r="L89" s="120">
        <v>3.6003326932779935</v>
      </c>
      <c r="M89" s="120">
        <v>3.1527105436416516</v>
      </c>
      <c r="N89" s="120">
        <v>3.6369351788186863</v>
      </c>
      <c r="O89" s="120">
        <v>3.6369351788186863</v>
      </c>
      <c r="P89" s="120">
        <v>3.8195729964598364</v>
      </c>
      <c r="Q89" s="120">
        <v>3.2809086785970552</v>
      </c>
      <c r="R89" s="120">
        <v>3.7493034715703142</v>
      </c>
      <c r="S89" s="120">
        <v>3.2809086785970552</v>
      </c>
      <c r="T89" s="120">
        <v>3.1527105436416516</v>
      </c>
      <c r="U89" s="120">
        <v>3.2844979105700429</v>
      </c>
      <c r="V89" s="120">
        <v>3.6938335012999959</v>
      </c>
      <c r="W89" s="120">
        <v>3.5938855075835892</v>
      </c>
      <c r="X89" s="120">
        <v>3.6938335012999959</v>
      </c>
      <c r="Y89" s="120">
        <v>3.6861872378613407</v>
      </c>
      <c r="Z89" s="120">
        <v>3.7610844523313709</v>
      </c>
      <c r="AA89" s="120">
        <v>3.6938335012999959</v>
      </c>
      <c r="AB89" s="120">
        <v>3.446407015526352</v>
      </c>
      <c r="AC89" s="120">
        <v>3.8818893428187442</v>
      </c>
      <c r="AD89" s="120">
        <v>3.6938335012999959</v>
      </c>
      <c r="AE89" s="120">
        <v>3.1527105436416516</v>
      </c>
      <c r="AF89" s="120">
        <v>5.1064181957561239</v>
      </c>
      <c r="AG89" s="120">
        <v>3.6931012478889662</v>
      </c>
      <c r="AH89" s="120">
        <v>3.1527105436416516</v>
      </c>
      <c r="AI89" s="120">
        <v>3.2737494544657473</v>
      </c>
      <c r="AJ89" s="120">
        <v>3.1527105436416516</v>
      </c>
      <c r="AK89" s="120">
        <v>3.261512681385085</v>
      </c>
      <c r="AL89" s="120">
        <v>3.7304227050115268</v>
      </c>
      <c r="AM89" s="120">
        <v>3.2809086785970552</v>
      </c>
      <c r="AN89" s="120">
        <v>3.7657087250955645</v>
      </c>
      <c r="AO89" s="120">
        <v>3.2809086785970552</v>
      </c>
      <c r="AP89" s="120">
        <v>5.1064181957561239</v>
      </c>
      <c r="AQ89" s="683">
        <v>3.2844979105700429</v>
      </c>
      <c r="AR89" s="120">
        <v>3.6931012478889662</v>
      </c>
    </row>
    <row r="90" spans="1:44">
      <c r="A90" t="b">
        <f t="shared" si="0"/>
        <v>1</v>
      </c>
      <c r="B90" s="120">
        <v>3.7965080828298574</v>
      </c>
      <c r="C90" s="120">
        <v>3.7387693638256096</v>
      </c>
      <c r="D90" s="120">
        <v>3.7387693638256096</v>
      </c>
      <c r="E90" s="120">
        <v>3.3019673583137794</v>
      </c>
      <c r="F90" s="120">
        <v>3.7387693638256096</v>
      </c>
      <c r="G90" s="120">
        <v>3.797260839336396</v>
      </c>
      <c r="H90" s="120">
        <v>3.797260839336396</v>
      </c>
      <c r="I90" s="120">
        <v>3.7286543972802164</v>
      </c>
      <c r="J90" s="120">
        <v>2.5539920464973984</v>
      </c>
      <c r="K90" s="120">
        <v>4.0152716050879027</v>
      </c>
      <c r="L90" s="120">
        <v>3.7094850628260456</v>
      </c>
      <c r="M90" s="120">
        <v>3.2409864388636178</v>
      </c>
      <c r="N90" s="120">
        <v>3.7387693638256096</v>
      </c>
      <c r="O90" s="120">
        <v>3.7387693638256096</v>
      </c>
      <c r="P90" s="120">
        <v>3.9758237489335229</v>
      </c>
      <c r="Q90" s="120">
        <v>3.3727741215977729</v>
      </c>
      <c r="R90" s="120">
        <v>3.9040893010036539</v>
      </c>
      <c r="S90" s="120">
        <v>3.3727741215977729</v>
      </c>
      <c r="T90" s="120">
        <v>3.2409864388636178</v>
      </c>
      <c r="U90" s="120">
        <v>3.3666103583342939</v>
      </c>
      <c r="V90" s="120">
        <v>3.797260839336396</v>
      </c>
      <c r="W90" s="120">
        <v>3.6942785646588705</v>
      </c>
      <c r="X90" s="120">
        <v>3.797260839336396</v>
      </c>
      <c r="Y90" s="120">
        <v>3.7709354337566574</v>
      </c>
      <c r="Z90" s="120">
        <v>3.82057676602731</v>
      </c>
      <c r="AA90" s="120">
        <v>3.797260839336396</v>
      </c>
      <c r="AB90" s="120">
        <v>3.5646579606943249</v>
      </c>
      <c r="AC90" s="120">
        <v>3.826797408436168</v>
      </c>
      <c r="AD90" s="120">
        <v>3.797260839336396</v>
      </c>
      <c r="AE90" s="120">
        <v>3.2409864388636178</v>
      </c>
      <c r="AF90" s="120">
        <v>5.2493979052372959</v>
      </c>
      <c r="AG90" s="120">
        <v>3.7965080828298574</v>
      </c>
      <c r="AH90" s="120">
        <v>3.2409864388636178</v>
      </c>
      <c r="AI90" s="120">
        <v>3.3660641740470543</v>
      </c>
      <c r="AJ90" s="120">
        <v>3.2409864388636178</v>
      </c>
      <c r="AK90" s="120">
        <v>3.3528350364638673</v>
      </c>
      <c r="AL90" s="120">
        <v>3.8751683920679674</v>
      </c>
      <c r="AM90" s="120">
        <v>3.3727741215977729</v>
      </c>
      <c r="AN90" s="120">
        <v>3.9176307452425245</v>
      </c>
      <c r="AO90" s="120">
        <v>3.3727741215977729</v>
      </c>
      <c r="AP90" s="120">
        <v>5.2493979052372959</v>
      </c>
      <c r="AQ90" s="683">
        <v>3.3666103583342939</v>
      </c>
      <c r="AR90" s="120">
        <v>3.7965080828298574</v>
      </c>
    </row>
    <row r="91" spans="1:44">
      <c r="A91" t="b">
        <f t="shared" si="0"/>
        <v>1</v>
      </c>
      <c r="B91" s="120">
        <v>3.8990138010662632</v>
      </c>
      <c r="C91" s="120">
        <v>3.8397161366489008</v>
      </c>
      <c r="D91" s="120">
        <v>3.8397161366489008</v>
      </c>
      <c r="E91" s="120">
        <v>3.4281025114013657</v>
      </c>
      <c r="F91" s="120">
        <v>3.8397161366489008</v>
      </c>
      <c r="G91" s="120">
        <v>3.8997868819984784</v>
      </c>
      <c r="H91" s="120">
        <v>3.8997868819984784</v>
      </c>
      <c r="I91" s="120">
        <v>3.8351745961017172</v>
      </c>
      <c r="J91" s="120">
        <v>2.5894769042520633</v>
      </c>
      <c r="K91" s="120">
        <v>4.1686549804022608</v>
      </c>
      <c r="L91" s="120">
        <v>3.828816343847111</v>
      </c>
      <c r="M91" s="120">
        <v>3.3284930727129352</v>
      </c>
      <c r="N91" s="120">
        <v>3.8397161366489008</v>
      </c>
      <c r="O91" s="120">
        <v>3.8397161366489008</v>
      </c>
      <c r="P91" s="120">
        <v>4.1247773817883253</v>
      </c>
      <c r="Q91" s="120">
        <v>3.4638390228809124</v>
      </c>
      <c r="R91" s="120">
        <v>4.0513846561147844</v>
      </c>
      <c r="S91" s="120">
        <v>3.4638390228809124</v>
      </c>
      <c r="T91" s="120">
        <v>3.3284930727129352</v>
      </c>
      <c r="U91" s="120">
        <v>3.4743418898009915</v>
      </c>
      <c r="V91" s="120">
        <v>3.8997868819984784</v>
      </c>
      <c r="W91" s="120">
        <v>3.8043440625029721</v>
      </c>
      <c r="X91" s="120">
        <v>3.8997868819984784</v>
      </c>
      <c r="Y91" s="120">
        <v>3.8753082595853861</v>
      </c>
      <c r="Z91" s="120">
        <v>3.9404399205153946</v>
      </c>
      <c r="AA91" s="120">
        <v>3.8997868819984784</v>
      </c>
      <c r="AB91" s="120">
        <v>3.680346732789614</v>
      </c>
      <c r="AC91" s="120">
        <v>3.9280468532583637</v>
      </c>
      <c r="AD91" s="120">
        <v>3.8997868819984784</v>
      </c>
      <c r="AE91" s="120">
        <v>3.3284930727129352</v>
      </c>
      <c r="AF91" s="120">
        <v>5.3911316486787024</v>
      </c>
      <c r="AG91" s="120">
        <v>3.8990138010662632</v>
      </c>
      <c r="AH91" s="120">
        <v>3.3284930727129352</v>
      </c>
      <c r="AI91" s="120">
        <v>3.4573614727660744</v>
      </c>
      <c r="AJ91" s="120">
        <v>3.3284930727129352</v>
      </c>
      <c r="AK91" s="120">
        <v>3.4433615824483912</v>
      </c>
      <c r="AL91" s="120">
        <v>4.0137120399125603</v>
      </c>
      <c r="AM91" s="120">
        <v>3.4638390228809124</v>
      </c>
      <c r="AN91" s="120">
        <v>4.0621193748657181</v>
      </c>
      <c r="AO91" s="120">
        <v>3.4638390228809124</v>
      </c>
      <c r="AP91" s="120">
        <v>5.3911316486787024</v>
      </c>
      <c r="AQ91" s="683">
        <v>3.4743418898009915</v>
      </c>
      <c r="AR91" s="120">
        <v>3.8990138010662632</v>
      </c>
    </row>
    <row r="92" spans="1:44">
      <c r="A92" t="b">
        <f t="shared" si="0"/>
        <v>1</v>
      </c>
      <c r="B92" s="120">
        <v>3.9769940770875887</v>
      </c>
      <c r="C92" s="120">
        <v>3.9165104593818789</v>
      </c>
      <c r="D92" s="120">
        <v>3.9165104593818789</v>
      </c>
      <c r="E92" s="120">
        <v>3.4589554340039776</v>
      </c>
      <c r="F92" s="120">
        <v>3.9165104593818789</v>
      </c>
      <c r="G92" s="120">
        <v>3.977782619638448</v>
      </c>
      <c r="H92" s="120">
        <v>3.977782619638448</v>
      </c>
      <c r="I92" s="120">
        <v>3.9059719191457547</v>
      </c>
      <c r="J92" s="120">
        <v>2.9547262159681842</v>
      </c>
      <c r="K92" s="120">
        <v>4.2753725479005587</v>
      </c>
      <c r="L92" s="120">
        <v>3.8959289853669663</v>
      </c>
      <c r="M92" s="120">
        <v>3.3950629341671941</v>
      </c>
      <c r="N92" s="120">
        <v>3.9165104593818789</v>
      </c>
      <c r="O92" s="120">
        <v>3.9165104593818789</v>
      </c>
      <c r="P92" s="120">
        <v>4.2289187711771454</v>
      </c>
      <c r="Q92" s="120">
        <v>3.5331158033385308</v>
      </c>
      <c r="R92" s="120">
        <v>4.1541358737631677</v>
      </c>
      <c r="S92" s="120">
        <v>3.5331158033385308</v>
      </c>
      <c r="T92" s="120">
        <v>3.3950629341671941</v>
      </c>
      <c r="U92" s="120">
        <v>3.6202642491726333</v>
      </c>
      <c r="V92" s="120">
        <v>3.977782619638448</v>
      </c>
      <c r="W92" s="120">
        <v>3.8736912206188037</v>
      </c>
      <c r="X92" s="120">
        <v>3.977782619638448</v>
      </c>
      <c r="Y92" s="120">
        <v>3.9599932238827864</v>
      </c>
      <c r="Z92" s="120">
        <v>4.0287881248088011</v>
      </c>
      <c r="AA92" s="120">
        <v>3.977782619638448</v>
      </c>
      <c r="AB92" s="120">
        <v>3.7348493555901685</v>
      </c>
      <c r="AC92" s="120">
        <v>4.0794951558171038</v>
      </c>
      <c r="AD92" s="120">
        <v>3.977782619638448</v>
      </c>
      <c r="AE92" s="120">
        <v>3.3950629341671941</v>
      </c>
      <c r="AF92" s="120">
        <v>5.498954281652277</v>
      </c>
      <c r="AG92" s="120">
        <v>3.9769940770875887</v>
      </c>
      <c r="AH92" s="120">
        <v>3.3950629341671941</v>
      </c>
      <c r="AI92" s="120">
        <v>3.5260447243117508</v>
      </c>
      <c r="AJ92" s="120">
        <v>3.3950629341671941</v>
      </c>
      <c r="AK92" s="120">
        <v>3.5122288140973592</v>
      </c>
      <c r="AL92" s="120">
        <v>4.1123588067507892</v>
      </c>
      <c r="AM92" s="120">
        <v>3.5331158033385308</v>
      </c>
      <c r="AN92" s="120">
        <v>4.1633366656922215</v>
      </c>
      <c r="AO92" s="120">
        <v>3.5331158033385308</v>
      </c>
      <c r="AP92" s="120">
        <v>5.498954281652277</v>
      </c>
      <c r="AQ92" s="683">
        <v>3.6202642491726333</v>
      </c>
      <c r="AR92" s="120">
        <v>3.9769940770875887</v>
      </c>
    </row>
    <row r="93" spans="1:44">
      <c r="A93" t="b">
        <f t="shared" si="0"/>
        <v>1</v>
      </c>
      <c r="B93" s="120">
        <v>4.0525569645522523</v>
      </c>
      <c r="C93" s="120">
        <v>3.9909241581101345</v>
      </c>
      <c r="D93" s="120">
        <v>3.9909241581101345</v>
      </c>
      <c r="E93" s="120">
        <v>3.5108397655140369</v>
      </c>
      <c r="F93" s="120">
        <v>3.9909241581101345</v>
      </c>
      <c r="G93" s="120">
        <v>4.0533604894115784</v>
      </c>
      <c r="H93" s="120">
        <v>4.0533604894115784</v>
      </c>
      <c r="I93" s="120">
        <v>3.9779980413348026</v>
      </c>
      <c r="J93" s="120">
        <v>2.5882532884674196</v>
      </c>
      <c r="K93" s="120">
        <v>4.3822568615980719</v>
      </c>
      <c r="L93" s="120">
        <v>3.9643430567216047</v>
      </c>
      <c r="M93" s="120">
        <v>3.4595691299163702</v>
      </c>
      <c r="N93" s="120">
        <v>3.9909241581101345</v>
      </c>
      <c r="O93" s="120">
        <v>3.9909241581101345</v>
      </c>
      <c r="P93" s="120">
        <v>4.3330482838635946</v>
      </c>
      <c r="Q93" s="120">
        <v>3.6002450036019624</v>
      </c>
      <c r="R93" s="120">
        <v>4.2570271727388826</v>
      </c>
      <c r="S93" s="120">
        <v>3.6002450036019624</v>
      </c>
      <c r="T93" s="120">
        <v>3.4595691299163702</v>
      </c>
      <c r="U93" s="120">
        <v>3.7614545548903657</v>
      </c>
      <c r="V93" s="120">
        <v>4.0533604894115784</v>
      </c>
      <c r="W93" s="120">
        <v>3.9393544456022247</v>
      </c>
      <c r="X93" s="120">
        <v>4.0533604894115784</v>
      </c>
      <c r="Y93" s="120">
        <v>4.0236083493480779</v>
      </c>
      <c r="Z93" s="120">
        <v>4.0715191833845665</v>
      </c>
      <c r="AA93" s="120">
        <v>4.0533604894115784</v>
      </c>
      <c r="AB93" s="120">
        <v>3.7990409584345679</v>
      </c>
      <c r="AC93" s="120">
        <v>4.0883901991892264</v>
      </c>
      <c r="AD93" s="120">
        <v>4.0533604894115784</v>
      </c>
      <c r="AE93" s="120">
        <v>3.4595691299163702</v>
      </c>
      <c r="AF93" s="120">
        <v>5.6034344130036695</v>
      </c>
      <c r="AG93" s="120">
        <v>4.0525569645522523</v>
      </c>
      <c r="AH93" s="120">
        <v>3.4595691299163702</v>
      </c>
      <c r="AI93" s="120">
        <v>3.5928703239269075</v>
      </c>
      <c r="AJ93" s="120">
        <v>3.4595691299163702</v>
      </c>
      <c r="AK93" s="120">
        <v>3.5789611615652088</v>
      </c>
      <c r="AL93" s="120">
        <v>4.2108769417405956</v>
      </c>
      <c r="AM93" s="120">
        <v>3.6002450036019624</v>
      </c>
      <c r="AN93" s="120">
        <v>4.264554874041198</v>
      </c>
      <c r="AO93" s="120">
        <v>3.6002450036019624</v>
      </c>
      <c r="AP93" s="120">
        <v>5.6034344130036695</v>
      </c>
      <c r="AQ93" s="683">
        <v>3.7614545548903657</v>
      </c>
      <c r="AR93" s="120">
        <v>4.0525569645522523</v>
      </c>
    </row>
    <row r="94" spans="1:44">
      <c r="A94" t="b">
        <f t="shared" si="0"/>
        <v>1</v>
      </c>
      <c r="B94" s="120">
        <v>4.1336081038432972</v>
      </c>
      <c r="C94" s="120">
        <v>4.0707426412723375</v>
      </c>
      <c r="D94" s="120">
        <v>4.0707426412723375</v>
      </c>
      <c r="E94" s="120">
        <v>3.5810565608243179</v>
      </c>
      <c r="F94" s="120">
        <v>4.0707426412723375</v>
      </c>
      <c r="G94" s="120">
        <v>4.1344276991998097</v>
      </c>
      <c r="H94" s="120">
        <v>4.1344276991998097</v>
      </c>
      <c r="I94" s="120">
        <v>4.0575580021614988</v>
      </c>
      <c r="J94" s="120">
        <v>2.7332517589476888</v>
      </c>
      <c r="K94" s="120">
        <v>4.4896221547072246</v>
      </c>
      <c r="L94" s="120">
        <v>4.0436299178560366</v>
      </c>
      <c r="M94" s="120">
        <v>3.5287605125146975</v>
      </c>
      <c r="N94" s="120">
        <v>4.0707426412723375</v>
      </c>
      <c r="O94" s="120">
        <v>4.0707426412723375</v>
      </c>
      <c r="P94" s="120">
        <v>4.4379658985276826</v>
      </c>
      <c r="Q94" s="120">
        <v>3.6722499036740017</v>
      </c>
      <c r="R94" s="120">
        <v>4.3606155434467242</v>
      </c>
      <c r="S94" s="120">
        <v>3.6722499036740017</v>
      </c>
      <c r="T94" s="120">
        <v>3.5287605125146975</v>
      </c>
      <c r="U94" s="120">
        <v>3.8178763732137209</v>
      </c>
      <c r="V94" s="120">
        <v>4.1344276991998097</v>
      </c>
      <c r="W94" s="120">
        <v>4.0191206612712396</v>
      </c>
      <c r="X94" s="120">
        <v>4.1344276991998097</v>
      </c>
      <c r="Y94" s="120">
        <v>4.106544452157773</v>
      </c>
      <c r="Z94" s="120">
        <v>4.1601213991592445</v>
      </c>
      <c r="AA94" s="120">
        <v>4.1344276991998097</v>
      </c>
      <c r="AB94" s="120">
        <v>3.8750217776032594</v>
      </c>
      <c r="AC94" s="120">
        <v>4.1904224868193252</v>
      </c>
      <c r="AD94" s="120">
        <v>4.1344276991998097</v>
      </c>
      <c r="AE94" s="120">
        <v>3.5287605125146975</v>
      </c>
      <c r="AF94" s="120">
        <v>5.7155031012637432</v>
      </c>
      <c r="AG94" s="120">
        <v>4.1336081038432972</v>
      </c>
      <c r="AH94" s="120">
        <v>3.5287605125146975</v>
      </c>
      <c r="AI94" s="120">
        <v>3.6647277304054455</v>
      </c>
      <c r="AJ94" s="120">
        <v>3.5287605125146975</v>
      </c>
      <c r="AK94" s="120">
        <v>3.6505403847965132</v>
      </c>
      <c r="AL94" s="120">
        <v>4.311005910731315</v>
      </c>
      <c r="AM94" s="120">
        <v>3.6722499036740017</v>
      </c>
      <c r="AN94" s="120">
        <v>4.3669485423888776</v>
      </c>
      <c r="AO94" s="120">
        <v>3.6722499036740017</v>
      </c>
      <c r="AP94" s="120">
        <v>5.7155031012637432</v>
      </c>
      <c r="AQ94" s="683">
        <v>3.8178763732137209</v>
      </c>
      <c r="AR94" s="120">
        <v>4.1336081038432972</v>
      </c>
    </row>
    <row r="95" spans="1:44">
      <c r="A95" t="b">
        <f t="shared" si="0"/>
        <v>1</v>
      </c>
      <c r="B95" s="120">
        <v>4.208013049712477</v>
      </c>
      <c r="C95" s="120">
        <v>4.1440160088152398</v>
      </c>
      <c r="D95" s="120">
        <v>4.1440160088152398</v>
      </c>
      <c r="E95" s="120">
        <v>3.6795356162469868</v>
      </c>
      <c r="F95" s="120">
        <v>4.1440160088152398</v>
      </c>
      <c r="G95" s="120">
        <v>4.208847397785406</v>
      </c>
      <c r="H95" s="120">
        <v>4.208847397785406</v>
      </c>
      <c r="I95" s="120">
        <v>4.1359905983432812</v>
      </c>
      <c r="J95" s="120">
        <v>2.7687366167023542</v>
      </c>
      <c r="K95" s="120">
        <v>4.6175763861163803</v>
      </c>
      <c r="L95" s="120">
        <v>4.1260265603291977</v>
      </c>
      <c r="M95" s="120">
        <v>3.5922782017399619</v>
      </c>
      <c r="N95" s="120">
        <v>4.1440160088152398</v>
      </c>
      <c r="O95" s="120">
        <v>4.1440160088152398</v>
      </c>
      <c r="P95" s="120">
        <v>4.5606687767748308</v>
      </c>
      <c r="Q95" s="120">
        <v>3.7383504019401337</v>
      </c>
      <c r="R95" s="120">
        <v>4.4832447737595329</v>
      </c>
      <c r="S95" s="120">
        <v>3.7383504019401337</v>
      </c>
      <c r="T95" s="120">
        <v>3.5922782017399619</v>
      </c>
      <c r="U95" s="120">
        <v>3.852237260572644</v>
      </c>
      <c r="V95" s="120">
        <v>4.208847397785406</v>
      </c>
      <c r="W95" s="120">
        <v>4.100612840638501</v>
      </c>
      <c r="X95" s="120">
        <v>4.208847397785406</v>
      </c>
      <c r="Y95" s="120">
        <v>4.1824923862014227</v>
      </c>
      <c r="Z95" s="120">
        <v>4.2519753814735388</v>
      </c>
      <c r="AA95" s="120">
        <v>4.208847397785406</v>
      </c>
      <c r="AB95" s="120">
        <v>3.9623097431611947</v>
      </c>
      <c r="AC95" s="120">
        <v>4.2713130270755011</v>
      </c>
      <c r="AD95" s="120">
        <v>4.208847397785406</v>
      </c>
      <c r="AE95" s="120">
        <v>3.5922782017399619</v>
      </c>
      <c r="AF95" s="120">
        <v>5.8183821570864902</v>
      </c>
      <c r="AG95" s="120">
        <v>4.208013049712477</v>
      </c>
      <c r="AH95" s="120">
        <v>3.5922782017399619</v>
      </c>
      <c r="AI95" s="120">
        <v>3.731162830884168</v>
      </c>
      <c r="AJ95" s="120">
        <v>3.5922782017399619</v>
      </c>
      <c r="AK95" s="120">
        <v>3.7162501117228506</v>
      </c>
      <c r="AL95" s="120">
        <v>4.4260476900627266</v>
      </c>
      <c r="AM95" s="120">
        <v>3.7383504019401337</v>
      </c>
      <c r="AN95" s="120">
        <v>4.4862297766973862</v>
      </c>
      <c r="AO95" s="120">
        <v>3.7383504019401337</v>
      </c>
      <c r="AP95" s="120">
        <v>5.8183821570864902</v>
      </c>
      <c r="AQ95" s="683">
        <v>3.852237260572644</v>
      </c>
      <c r="AR95" s="120">
        <v>4.208013049712477</v>
      </c>
    </row>
    <row r="96" spans="1:44">
      <c r="A96" t="b">
        <f t="shared" si="0"/>
        <v>1</v>
      </c>
      <c r="B96" s="120">
        <v>4.2374691410604637</v>
      </c>
      <c r="C96" s="120">
        <v>4.1730241208769456</v>
      </c>
      <c r="D96" s="120">
        <v>4.1730241208769456</v>
      </c>
      <c r="E96" s="120">
        <v>3.7844023813100258</v>
      </c>
      <c r="F96" s="120">
        <v>4.1730241208769456</v>
      </c>
      <c r="G96" s="120">
        <v>4.238309329569903</v>
      </c>
      <c r="H96" s="120">
        <v>4.238309329569903</v>
      </c>
      <c r="I96" s="120">
        <v>4.1773918642326979</v>
      </c>
      <c r="J96" s="120">
        <v>3.314163352707248</v>
      </c>
      <c r="K96" s="120">
        <v>4.7491773131206969</v>
      </c>
      <c r="L96" s="120">
        <v>4.1774587192116686</v>
      </c>
      <c r="M96" s="120">
        <v>3.6174241491521415</v>
      </c>
      <c r="N96" s="120">
        <v>4.1730241208769456</v>
      </c>
      <c r="O96" s="120">
        <v>4.1730241208769456</v>
      </c>
      <c r="P96" s="120">
        <v>4.6844998273683816</v>
      </c>
      <c r="Q96" s="120">
        <v>3.7645188547537143</v>
      </c>
      <c r="R96" s="120">
        <v>4.6068724900183389</v>
      </c>
      <c r="S96" s="120">
        <v>3.7645188547537143</v>
      </c>
      <c r="T96" s="120">
        <v>3.6174241491521415</v>
      </c>
      <c r="U96" s="120">
        <v>3.8830551586572253</v>
      </c>
      <c r="V96" s="120">
        <v>4.238309329569903</v>
      </c>
      <c r="W96" s="120">
        <v>4.1573733447119796</v>
      </c>
      <c r="X96" s="120">
        <v>4.238309329569903</v>
      </c>
      <c r="Y96" s="120">
        <v>4.2307552604980039</v>
      </c>
      <c r="Z96" s="120">
        <v>4.3659003728629378</v>
      </c>
      <c r="AA96" s="120">
        <v>4.238309329569903</v>
      </c>
      <c r="AB96" s="120">
        <v>4.0310306565381717</v>
      </c>
      <c r="AC96" s="120">
        <v>4.4249970609435296</v>
      </c>
      <c r="AD96" s="120">
        <v>4.238309329569903</v>
      </c>
      <c r="AE96" s="120">
        <v>3.6174241491521415</v>
      </c>
      <c r="AF96" s="120">
        <v>5.8591108321860954</v>
      </c>
      <c r="AG96" s="120">
        <v>4.2374691410604637</v>
      </c>
      <c r="AH96" s="120">
        <v>3.6174241491521415</v>
      </c>
      <c r="AI96" s="120">
        <v>3.7583719627121082</v>
      </c>
      <c r="AJ96" s="120">
        <v>3.6174241491521415</v>
      </c>
      <c r="AK96" s="120">
        <v>3.7422638625049101</v>
      </c>
      <c r="AL96" s="120">
        <v>4.5353847887551151</v>
      </c>
      <c r="AM96" s="120">
        <v>3.7645188547537143</v>
      </c>
      <c r="AN96" s="120">
        <v>4.6027250511778206</v>
      </c>
      <c r="AO96" s="120">
        <v>3.7645188547537143</v>
      </c>
      <c r="AP96" s="120">
        <v>5.8591108321860954</v>
      </c>
      <c r="AQ96" s="683">
        <v>3.8830551586572253</v>
      </c>
      <c r="AR96" s="120">
        <v>4.2374691410604637</v>
      </c>
    </row>
    <row r="97" spans="1:44">
      <c r="A97" t="b">
        <f t="shared" si="0"/>
        <v>1</v>
      </c>
      <c r="B97" s="120">
        <v>4.2713688941889476</v>
      </c>
      <c r="C97" s="120">
        <v>4.2064083138439612</v>
      </c>
      <c r="D97" s="120">
        <v>4.2064083138439612</v>
      </c>
      <c r="E97" s="120">
        <v>3.9130720622745669</v>
      </c>
      <c r="F97" s="120">
        <v>4.2064083138439612</v>
      </c>
      <c r="G97" s="120">
        <v>4.2722158042064624</v>
      </c>
      <c r="H97" s="120">
        <v>4.2722158042064624</v>
      </c>
      <c r="I97" s="120">
        <v>4.2260167055323672</v>
      </c>
      <c r="J97" s="120">
        <v>3.022636892015905</v>
      </c>
      <c r="K97" s="120">
        <v>4.9106493417668009</v>
      </c>
      <c r="L97" s="120">
        <v>4.2425284872055977</v>
      </c>
      <c r="M97" s="120">
        <v>3.6463635423453589</v>
      </c>
      <c r="N97" s="120">
        <v>4.2064083138439612</v>
      </c>
      <c r="O97" s="120">
        <v>4.2064083138439612</v>
      </c>
      <c r="P97" s="120">
        <v>4.8365259002659675</v>
      </c>
      <c r="Q97" s="120">
        <v>3.7946350055917439</v>
      </c>
      <c r="R97" s="120">
        <v>4.7585113835252848</v>
      </c>
      <c r="S97" s="120">
        <v>3.7946350055917439</v>
      </c>
      <c r="T97" s="120">
        <v>3.6463635423453589</v>
      </c>
      <c r="U97" s="120">
        <v>3.8481076622293102</v>
      </c>
      <c r="V97" s="120">
        <v>4.2722158042064624</v>
      </c>
      <c r="W97" s="120">
        <v>4.2130857250057572</v>
      </c>
      <c r="X97" s="120">
        <v>4.2722158042064624</v>
      </c>
      <c r="Y97" s="120">
        <v>4.2636672922468675</v>
      </c>
      <c r="Z97" s="120">
        <v>4.4300198868438052</v>
      </c>
      <c r="AA97" s="120">
        <v>4.2722158042064624</v>
      </c>
      <c r="AB97" s="120">
        <v>4.1098131196895542</v>
      </c>
      <c r="AC97" s="120">
        <v>4.4366324486611939</v>
      </c>
      <c r="AD97" s="120">
        <v>4.2722158042064624</v>
      </c>
      <c r="AE97" s="120">
        <v>3.6463635423453589</v>
      </c>
      <c r="AF97" s="120">
        <v>5.9059837188435846</v>
      </c>
      <c r="AG97" s="120">
        <v>4.2713688941889476</v>
      </c>
      <c r="AH97" s="120">
        <v>3.6463635423453589</v>
      </c>
      <c r="AI97" s="120">
        <v>3.7899144752463663</v>
      </c>
      <c r="AJ97" s="120">
        <v>3.6463635423453589</v>
      </c>
      <c r="AK97" s="120">
        <v>3.7722019734049494</v>
      </c>
      <c r="AL97" s="120">
        <v>4.6677844627393279</v>
      </c>
      <c r="AM97" s="120">
        <v>3.7946350055917439</v>
      </c>
      <c r="AN97" s="120">
        <v>4.7440434389691433</v>
      </c>
      <c r="AO97" s="120">
        <v>3.7946350055917439</v>
      </c>
      <c r="AP97" s="120">
        <v>5.9059837188435846</v>
      </c>
      <c r="AQ97" s="683">
        <v>3.8481076622293102</v>
      </c>
      <c r="AR97" s="120">
        <v>4.2713688941889476</v>
      </c>
    </row>
    <row r="98" spans="1:44">
      <c r="A98" t="b">
        <f t="shared" si="0"/>
        <v>1</v>
      </c>
      <c r="B98" s="120">
        <v>4.3311680587075934</v>
      </c>
      <c r="C98" s="120">
        <v>4.2652980302377763</v>
      </c>
      <c r="D98" s="120">
        <v>4.2652980302377763</v>
      </c>
      <c r="E98" s="120">
        <v>4.0894689310136743</v>
      </c>
      <c r="F98" s="120">
        <v>4.2652980302377763</v>
      </c>
      <c r="G98" s="120">
        <v>4.3320268254653529</v>
      </c>
      <c r="H98" s="120">
        <v>4.3320268254653529</v>
      </c>
      <c r="I98" s="120">
        <v>4.3035685150368952</v>
      </c>
      <c r="J98" s="120">
        <v>2.2579097583358809</v>
      </c>
      <c r="K98" s="120">
        <v>5.1320158674984819</v>
      </c>
      <c r="L98" s="120">
        <v>4.3291515291701774</v>
      </c>
      <c r="M98" s="120">
        <v>3.6974126319381941</v>
      </c>
      <c r="N98" s="120">
        <v>4.2652980302377763</v>
      </c>
      <c r="O98" s="120">
        <v>4.2652980302377763</v>
      </c>
      <c r="P98" s="120">
        <v>5.0458328267752188</v>
      </c>
      <c r="Q98" s="120">
        <v>3.8477598956700283</v>
      </c>
      <c r="R98" s="120">
        <v>4.9671632912415928</v>
      </c>
      <c r="S98" s="120">
        <v>3.8477598956700283</v>
      </c>
      <c r="T98" s="120">
        <v>3.6974126319381941</v>
      </c>
      <c r="U98" s="120">
        <v>3.9750952150828773</v>
      </c>
      <c r="V98" s="120">
        <v>4.3320268254653529</v>
      </c>
      <c r="W98" s="120">
        <v>4.2957804965201527</v>
      </c>
      <c r="X98" s="120">
        <v>4.3320268254653529</v>
      </c>
      <c r="Y98" s="120">
        <v>4.3185904892678062</v>
      </c>
      <c r="Z98" s="120">
        <v>4.5124362011234522</v>
      </c>
      <c r="AA98" s="120">
        <v>4.3320268254653529</v>
      </c>
      <c r="AB98" s="120">
        <v>4.2250837174350444</v>
      </c>
      <c r="AC98" s="120">
        <v>4.29694244168358</v>
      </c>
      <c r="AD98" s="120">
        <v>4.3320268254653529</v>
      </c>
      <c r="AE98" s="120">
        <v>3.6974126319381941</v>
      </c>
      <c r="AF98" s="120">
        <v>5.9886674909073951</v>
      </c>
      <c r="AG98" s="120">
        <v>4.3311680587075934</v>
      </c>
      <c r="AH98" s="120">
        <v>3.6974126319381941</v>
      </c>
      <c r="AI98" s="120">
        <v>3.8441746977637425</v>
      </c>
      <c r="AJ98" s="120">
        <v>3.6974126319381941</v>
      </c>
      <c r="AK98" s="120">
        <v>3.825012801032619</v>
      </c>
      <c r="AL98" s="120">
        <v>4.8514230900963451</v>
      </c>
      <c r="AM98" s="120">
        <v>3.8477598956700283</v>
      </c>
      <c r="AN98" s="120">
        <v>4.9381426642208703</v>
      </c>
      <c r="AO98" s="120">
        <v>3.8477598956700283</v>
      </c>
      <c r="AP98" s="120">
        <v>5.9886674909073951</v>
      </c>
      <c r="AQ98" s="683">
        <v>3.9750952150828773</v>
      </c>
      <c r="AR98" s="120">
        <v>4.3311680587075934</v>
      </c>
    </row>
    <row r="99" spans="1:44">
      <c r="A99" t="b">
        <f t="shared" si="0"/>
        <v>1</v>
      </c>
      <c r="B99" s="120">
        <v>4.4091290837643298</v>
      </c>
      <c r="C99" s="120">
        <v>4.342073394782056</v>
      </c>
      <c r="D99" s="120">
        <v>4.342073394782056</v>
      </c>
      <c r="E99" s="120">
        <v>4.2516345320019981</v>
      </c>
      <c r="F99" s="120">
        <v>4.342073394782056</v>
      </c>
      <c r="G99" s="120">
        <v>4.4100033083237289</v>
      </c>
      <c r="H99" s="120">
        <v>4.4100033083237289</v>
      </c>
      <c r="I99" s="120">
        <v>4.3940795396678745</v>
      </c>
      <c r="J99" s="120">
        <v>3.6781349963291499</v>
      </c>
      <c r="K99" s="120">
        <v>5.3355230835878373</v>
      </c>
      <c r="L99" s="120">
        <v>4.4250282484780126</v>
      </c>
      <c r="M99" s="120">
        <v>3.7639660593130815</v>
      </c>
      <c r="N99" s="120">
        <v>4.342073394782056</v>
      </c>
      <c r="O99" s="120">
        <v>4.342073394782056</v>
      </c>
      <c r="P99" s="120">
        <v>5.2417392906177929</v>
      </c>
      <c r="Q99" s="120">
        <v>3.9170195737920888</v>
      </c>
      <c r="R99" s="120">
        <v>5.1599838943421705</v>
      </c>
      <c r="S99" s="120">
        <v>3.9170195737920888</v>
      </c>
      <c r="T99" s="120">
        <v>3.7639660593130815</v>
      </c>
      <c r="U99" s="120">
        <v>4.026771452878954</v>
      </c>
      <c r="V99" s="120">
        <v>4.4100033083237289</v>
      </c>
      <c r="W99" s="120">
        <v>4.4120239092994211</v>
      </c>
      <c r="X99" s="120">
        <v>4.4100033083237289</v>
      </c>
      <c r="Y99" s="120">
        <v>4.4247632734376667</v>
      </c>
      <c r="Z99" s="120">
        <v>4.7730976452585034</v>
      </c>
      <c r="AA99" s="120">
        <v>4.4100033083237289</v>
      </c>
      <c r="AB99" s="120">
        <v>4.3415841021426242</v>
      </c>
      <c r="AC99" s="120">
        <v>4.6792173800842649</v>
      </c>
      <c r="AD99" s="120">
        <v>4.4100033083237289</v>
      </c>
      <c r="AE99" s="120">
        <v>3.7639660593130815</v>
      </c>
      <c r="AF99" s="120">
        <v>6.0964635057437286</v>
      </c>
      <c r="AG99" s="120">
        <v>4.4091290837643298</v>
      </c>
      <c r="AH99" s="120">
        <v>3.7639660593130815</v>
      </c>
      <c r="AI99" s="120">
        <v>3.9142462398400126</v>
      </c>
      <c r="AJ99" s="120">
        <v>3.7639660593130815</v>
      </c>
      <c r="AK99" s="120">
        <v>3.8938630314512062</v>
      </c>
      <c r="AL99" s="120">
        <v>5.0438035566864396</v>
      </c>
      <c r="AM99" s="120">
        <v>3.9170195737920888</v>
      </c>
      <c r="AN99" s="120">
        <v>5.1195285006840665</v>
      </c>
      <c r="AO99" s="120">
        <v>3.9170195737920888</v>
      </c>
      <c r="AP99" s="120">
        <v>6.0964635057437286</v>
      </c>
      <c r="AQ99" s="683">
        <v>4.026771452878954</v>
      </c>
      <c r="AR99" s="120">
        <v>4.4091290837643298</v>
      </c>
    </row>
    <row r="100" spans="1:44">
      <c r="A100" t="b">
        <f t="shared" si="0"/>
        <v>1</v>
      </c>
      <c r="B100" s="120">
        <v>4.4444021164344445</v>
      </c>
      <c r="C100" s="120">
        <v>4.3768099819403128</v>
      </c>
      <c r="D100" s="120">
        <v>4.3768099819403128</v>
      </c>
      <c r="E100" s="120">
        <v>4.4379018365558167</v>
      </c>
      <c r="F100" s="120">
        <v>4.3768099819403128</v>
      </c>
      <c r="G100" s="120">
        <v>4.4452833347903189</v>
      </c>
      <c r="H100" s="120">
        <v>4.4452833347903189</v>
      </c>
      <c r="I100" s="120">
        <v>4.4512619167378116</v>
      </c>
      <c r="J100" s="120">
        <v>3.6413536463658582</v>
      </c>
      <c r="K100" s="120">
        <v>5.6621424958215103</v>
      </c>
      <c r="L100" s="120">
        <v>4.4865495200012422</v>
      </c>
      <c r="M100" s="120">
        <v>3.794077787787586</v>
      </c>
      <c r="N100" s="120">
        <v>4.3768099819403128</v>
      </c>
      <c r="O100" s="120">
        <v>4.3768099819403128</v>
      </c>
      <c r="P100" s="120">
        <v>5.5510766579494231</v>
      </c>
      <c r="Q100" s="120">
        <v>3.9483557303824255</v>
      </c>
      <c r="R100" s="120">
        <v>5.4663794878716416</v>
      </c>
      <c r="S100" s="120">
        <v>3.9483557303824255</v>
      </c>
      <c r="T100" s="120">
        <v>3.794077787787586</v>
      </c>
      <c r="U100" s="120">
        <v>4.095226567577896</v>
      </c>
      <c r="V100" s="120">
        <v>4.4452833347903189</v>
      </c>
      <c r="W100" s="120">
        <v>4.4831542060348379</v>
      </c>
      <c r="X100" s="120">
        <v>4.4452833347903189</v>
      </c>
      <c r="Y100" s="120">
        <v>4.4689849859045383</v>
      </c>
      <c r="Z100" s="120">
        <v>4.8726373905419749</v>
      </c>
      <c r="AA100" s="120">
        <v>4.4452833347903189</v>
      </c>
      <c r="AB100" s="120">
        <v>4.4385276987941129</v>
      </c>
      <c r="AC100" s="120">
        <v>4.7349399570646851</v>
      </c>
      <c r="AD100" s="120">
        <v>4.4452833347903189</v>
      </c>
      <c r="AE100" s="120">
        <v>3.794077787787586</v>
      </c>
      <c r="AF100" s="120">
        <v>6.1452352137896789</v>
      </c>
      <c r="AG100" s="120">
        <v>4.4444021164344445</v>
      </c>
      <c r="AH100" s="120">
        <v>3.794077787787586</v>
      </c>
      <c r="AI100" s="120">
        <v>3.9467752394581197</v>
      </c>
      <c r="AJ100" s="120">
        <v>3.794077787787586</v>
      </c>
      <c r="AK100" s="120">
        <v>3.925013935702816</v>
      </c>
      <c r="AL100" s="120">
        <v>5.3496642799566612</v>
      </c>
      <c r="AM100" s="120">
        <v>3.9483557303824255</v>
      </c>
      <c r="AN100" s="120">
        <v>5.3943016323043418</v>
      </c>
      <c r="AO100" s="120">
        <v>3.9483557303824255</v>
      </c>
      <c r="AP100" s="120">
        <v>6.1452352137896789</v>
      </c>
      <c r="AQ100" s="683">
        <v>4.095226567577896</v>
      </c>
      <c r="AR100" s="120">
        <v>4.4444021164344445</v>
      </c>
    </row>
    <row r="101" spans="1:44">
      <c r="A101" t="b">
        <f t="shared" si="0"/>
        <v>1</v>
      </c>
      <c r="B101" s="120">
        <v>4.4888461375987889</v>
      </c>
      <c r="C101" s="120">
        <v>4.4205780817597162</v>
      </c>
      <c r="D101" s="120">
        <v>4.4205780817597162</v>
      </c>
      <c r="E101" s="120">
        <v>4.6252181872008533</v>
      </c>
      <c r="F101" s="120">
        <v>4.4205780817597162</v>
      </c>
      <c r="G101" s="120">
        <v>4.4897361681382222</v>
      </c>
      <c r="H101" s="120">
        <v>4.4897361681382222</v>
      </c>
      <c r="I101" s="120">
        <v>4.5158460052148701</v>
      </c>
      <c r="J101" s="120">
        <v>3.058737062947321</v>
      </c>
      <c r="K101" s="120">
        <v>5.95787268561575</v>
      </c>
      <c r="L101" s="120">
        <v>4.5520500892682509</v>
      </c>
      <c r="M101" s="120">
        <v>3.8320185656654617</v>
      </c>
      <c r="N101" s="120">
        <v>4.4205780817597162</v>
      </c>
      <c r="O101" s="120">
        <v>4.4205780817597162</v>
      </c>
      <c r="P101" s="120">
        <v>5.8321918280919496</v>
      </c>
      <c r="Q101" s="120">
        <v>3.9878392876862496</v>
      </c>
      <c r="R101" s="120">
        <v>5.7204640677363106</v>
      </c>
      <c r="S101" s="120">
        <v>3.9878392876862496</v>
      </c>
      <c r="T101" s="120">
        <v>3.8320185656654617</v>
      </c>
      <c r="U101" s="120">
        <v>4.2221785911728107</v>
      </c>
      <c r="V101" s="120">
        <v>4.4897361681382222</v>
      </c>
      <c r="W101" s="120">
        <v>4.5288125043917855</v>
      </c>
      <c r="X101" s="120">
        <v>4.4897361681382222</v>
      </c>
      <c r="Y101" s="120">
        <v>4.5001524448181289</v>
      </c>
      <c r="Z101" s="120">
        <v>4.9506596015960467</v>
      </c>
      <c r="AA101" s="120">
        <v>4.4897361681382222</v>
      </c>
      <c r="AB101" s="120">
        <v>4.5368282678683816</v>
      </c>
      <c r="AC101" s="120">
        <v>4.7455958815638191</v>
      </c>
      <c r="AD101" s="120">
        <v>4.4897361681382222</v>
      </c>
      <c r="AE101" s="120">
        <v>3.8320185656654617</v>
      </c>
      <c r="AF101" s="120">
        <v>6.2066875659275755</v>
      </c>
      <c r="AG101" s="120">
        <v>4.4888461375987889</v>
      </c>
      <c r="AH101" s="120">
        <v>3.8320185656654617</v>
      </c>
      <c r="AI101" s="120">
        <v>3.9872065168393407</v>
      </c>
      <c r="AJ101" s="120">
        <v>3.8320185656654617</v>
      </c>
      <c r="AK101" s="120">
        <v>3.9642640750598441</v>
      </c>
      <c r="AL101" s="120">
        <v>5.627396263176732</v>
      </c>
      <c r="AM101" s="120">
        <v>3.9878392876862496</v>
      </c>
      <c r="AN101" s="120">
        <v>5.6324561093143064</v>
      </c>
      <c r="AO101" s="120">
        <v>3.9878392876862496</v>
      </c>
      <c r="AP101" s="120">
        <v>6.2066875659275755</v>
      </c>
      <c r="AQ101" s="683">
        <v>4.2221785911728107</v>
      </c>
      <c r="AR101" s="120">
        <v>4.4888461375987889</v>
      </c>
    </row>
    <row r="102" spans="1:44">
      <c r="A102" t="b">
        <f t="shared" si="0"/>
        <v>1</v>
      </c>
      <c r="B102" s="120">
        <v>4.5786230603507647</v>
      </c>
      <c r="C102" s="120">
        <v>4.5089896433949104</v>
      </c>
      <c r="D102" s="120">
        <v>4.5089896433949104</v>
      </c>
      <c r="E102" s="120">
        <v>4.8148521328760872</v>
      </c>
      <c r="F102" s="120">
        <v>4.5089896433949104</v>
      </c>
      <c r="G102" s="120">
        <v>4.5795308915009869</v>
      </c>
      <c r="H102" s="120">
        <v>4.5795308915009869</v>
      </c>
      <c r="I102" s="120">
        <v>4.6194395125744991</v>
      </c>
      <c r="J102" s="120">
        <v>3.3126122391719486</v>
      </c>
      <c r="K102" s="120">
        <v>6.2130375389369243</v>
      </c>
      <c r="L102" s="120">
        <v>4.6593901967791558</v>
      </c>
      <c r="M102" s="120">
        <v>3.908658936978771</v>
      </c>
      <c r="N102" s="120">
        <v>4.5089896433949104</v>
      </c>
      <c r="O102" s="120">
        <v>4.5089896433949104</v>
      </c>
      <c r="P102" s="120">
        <v>6.0763264708111659</v>
      </c>
      <c r="Q102" s="120">
        <v>4.067596073439975</v>
      </c>
      <c r="R102" s="120">
        <v>5.9521131672815546</v>
      </c>
      <c r="S102" s="120">
        <v>4.067596073439975</v>
      </c>
      <c r="T102" s="120">
        <v>3.908658936978771</v>
      </c>
      <c r="U102" s="120">
        <v>4.3783991990462043</v>
      </c>
      <c r="V102" s="120">
        <v>4.5795308915009869</v>
      </c>
      <c r="W102" s="120">
        <v>4.6416312380548783</v>
      </c>
      <c r="X102" s="120">
        <v>4.5795308915009869</v>
      </c>
      <c r="Y102" s="120">
        <v>4.597680286146864</v>
      </c>
      <c r="Z102" s="120">
        <v>5.1004458350542183</v>
      </c>
      <c r="AA102" s="120">
        <v>4.5795308915009869</v>
      </c>
      <c r="AB102" s="120">
        <v>4.6652952704921207</v>
      </c>
      <c r="AC102" s="120">
        <v>4.8862364975060224</v>
      </c>
      <c r="AD102" s="120">
        <v>4.5795308915009869</v>
      </c>
      <c r="AE102" s="120">
        <v>3.908658936978771</v>
      </c>
      <c r="AF102" s="120">
        <v>6.3308213172461274</v>
      </c>
      <c r="AG102" s="120">
        <v>4.5786230603507647</v>
      </c>
      <c r="AH102" s="120">
        <v>3.908658936978771</v>
      </c>
      <c r="AI102" s="120">
        <v>4.0675672639176215</v>
      </c>
      <c r="AJ102" s="120">
        <v>3.908658936978771</v>
      </c>
      <c r="AK102" s="120">
        <v>4.0435493565610408</v>
      </c>
      <c r="AL102" s="120">
        <v>5.8679589651401765</v>
      </c>
      <c r="AM102" s="120">
        <v>4.067596073439975</v>
      </c>
      <c r="AN102" s="120">
        <v>5.8499874429630898</v>
      </c>
      <c r="AO102" s="120">
        <v>4.067596073439975</v>
      </c>
      <c r="AP102" s="120">
        <v>6.3308213172461274</v>
      </c>
      <c r="AQ102" s="683">
        <v>4.3783991990462043</v>
      </c>
      <c r="AR102" s="120">
        <v>4.5786230603507647</v>
      </c>
    </row>
    <row r="103" spans="1:44">
      <c r="A103" t="b">
        <f t="shared" si="0"/>
        <v>1</v>
      </c>
      <c r="B103" s="120">
        <v>4.7068245060405864</v>
      </c>
      <c r="C103" s="120">
        <v>4.6352413534099677</v>
      </c>
      <c r="D103" s="120">
        <v>4.6352413534099677</v>
      </c>
      <c r="E103" s="120">
        <v>4.9903787760562812</v>
      </c>
      <c r="F103" s="120">
        <v>4.6352413534099677</v>
      </c>
      <c r="G103" s="120">
        <v>4.7077577564630149</v>
      </c>
      <c r="H103" s="120">
        <v>4.7077577564630149</v>
      </c>
      <c r="I103" s="120">
        <v>4.7542520118246445</v>
      </c>
      <c r="J103" s="120">
        <v>4.4057742780986917</v>
      </c>
      <c r="K103" s="120">
        <v>6.4402852806098974</v>
      </c>
      <c r="L103" s="120">
        <v>4.7960230338035164</v>
      </c>
      <c r="M103" s="120">
        <v>4.0181013872141769</v>
      </c>
      <c r="N103" s="120">
        <v>4.6352413534099677</v>
      </c>
      <c r="O103" s="120">
        <v>4.6352413534099677</v>
      </c>
      <c r="P103" s="120">
        <v>6.2903552307417732</v>
      </c>
      <c r="Q103" s="120">
        <v>4.1814887634962945</v>
      </c>
      <c r="R103" s="120">
        <v>6.1624360380478249</v>
      </c>
      <c r="S103" s="120">
        <v>4.1814887634962945</v>
      </c>
      <c r="T103" s="120">
        <v>4.0181013872141769</v>
      </c>
      <c r="U103" s="120">
        <v>4.5666703646051907</v>
      </c>
      <c r="V103" s="120">
        <v>4.7077577564630149</v>
      </c>
      <c r="W103" s="120">
        <v>4.7948980653336584</v>
      </c>
      <c r="X103" s="120">
        <v>4.7077577564630149</v>
      </c>
      <c r="Y103" s="120">
        <v>4.7494336372394264</v>
      </c>
      <c r="Z103" s="120">
        <v>5.3085251815353001</v>
      </c>
      <c r="AA103" s="120">
        <v>4.7077577564630149</v>
      </c>
      <c r="AB103" s="120">
        <v>4.8104639797177926</v>
      </c>
      <c r="AC103" s="120">
        <v>5.1323723363200315</v>
      </c>
      <c r="AD103" s="120">
        <v>4.7077577564630149</v>
      </c>
      <c r="AE103" s="120">
        <v>4.0181013872141769</v>
      </c>
      <c r="AF103" s="120">
        <v>6.508084314129019</v>
      </c>
      <c r="AG103" s="120">
        <v>4.7068245060405864</v>
      </c>
      <c r="AH103" s="120">
        <v>4.0181013872141769</v>
      </c>
      <c r="AI103" s="120">
        <v>4.1816883924668442</v>
      </c>
      <c r="AJ103" s="120">
        <v>4.0181013872141769</v>
      </c>
      <c r="AK103" s="120">
        <v>4.1567687385447503</v>
      </c>
      <c r="AL103" s="120">
        <v>6.071207287168308</v>
      </c>
      <c r="AM103" s="120">
        <v>4.1814887634962945</v>
      </c>
      <c r="AN103" s="120">
        <v>6.053394321492287</v>
      </c>
      <c r="AO103" s="120">
        <v>4.1814887634962945</v>
      </c>
      <c r="AP103" s="120">
        <v>6.508084314129019</v>
      </c>
      <c r="AQ103" s="683">
        <v>4.5666703646051907</v>
      </c>
      <c r="AR103" s="120">
        <v>4.7068245060405864</v>
      </c>
    </row>
    <row r="104" spans="1:44">
      <c r="A104" t="b">
        <f t="shared" si="0"/>
        <v>1</v>
      </c>
      <c r="B104" s="120">
        <v>4.8527360657278447</v>
      </c>
      <c r="C104" s="120">
        <v>4.7789338353656765</v>
      </c>
      <c r="D104" s="120">
        <v>4.7789338353656765</v>
      </c>
      <c r="E104" s="120">
        <v>5.1499432501735205</v>
      </c>
      <c r="F104" s="120">
        <v>4.7789338353656765</v>
      </c>
      <c r="G104" s="120">
        <v>4.8536982469133676</v>
      </c>
      <c r="H104" s="120">
        <v>4.8536982469133676</v>
      </c>
      <c r="I104" s="120">
        <v>4.9022823945022003</v>
      </c>
      <c r="J104" s="120">
        <v>7.0360215221236109</v>
      </c>
      <c r="K104" s="120">
        <v>6.6462096763483762</v>
      </c>
      <c r="L104" s="120">
        <v>4.9453944679750199</v>
      </c>
      <c r="M104" s="120">
        <v>4.1426625302178159</v>
      </c>
      <c r="N104" s="120">
        <v>4.7789338353656765</v>
      </c>
      <c r="O104" s="120">
        <v>4.7789338353656765</v>
      </c>
      <c r="P104" s="120">
        <v>6.4912186334457385</v>
      </c>
      <c r="Q104" s="120">
        <v>4.311114915164679</v>
      </c>
      <c r="R104" s="120">
        <v>6.359011769026468</v>
      </c>
      <c r="S104" s="120">
        <v>4.311114915164679</v>
      </c>
      <c r="T104" s="120">
        <v>4.1426625302178159</v>
      </c>
      <c r="U104" s="120">
        <v>4.7904372124708443</v>
      </c>
      <c r="V104" s="120">
        <v>4.8536982469133676</v>
      </c>
      <c r="W104" s="120">
        <v>5.1279339738822811</v>
      </c>
      <c r="X104" s="120">
        <v>4.8536982469133676</v>
      </c>
      <c r="Y104" s="120">
        <v>4.9322064103629897</v>
      </c>
      <c r="Z104" s="120">
        <v>5.7173262948676964</v>
      </c>
      <c r="AA104" s="120">
        <v>4.8536982469133676</v>
      </c>
      <c r="AB104" s="120">
        <v>4.9616928404891825</v>
      </c>
      <c r="AC104" s="120">
        <v>5.6479365276795219</v>
      </c>
      <c r="AD104" s="120">
        <v>4.8536982469133676</v>
      </c>
      <c r="AE104" s="120">
        <v>4.1426625302178159</v>
      </c>
      <c r="AF104" s="120">
        <v>6.7098349278670177</v>
      </c>
      <c r="AG104" s="120">
        <v>4.8527360657278447</v>
      </c>
      <c r="AH104" s="120">
        <v>4.1426625302178159</v>
      </c>
      <c r="AI104" s="120">
        <v>4.3113466995253598</v>
      </c>
      <c r="AJ104" s="120">
        <v>4.1426625302178159</v>
      </c>
      <c r="AK104" s="120">
        <v>4.2856285694396368</v>
      </c>
      <c r="AL104" s="120">
        <v>6.2655236080258945</v>
      </c>
      <c r="AM104" s="120">
        <v>4.311114915164679</v>
      </c>
      <c r="AN104" s="120">
        <v>6.2465298312746578</v>
      </c>
      <c r="AO104" s="120">
        <v>4.311114915164679</v>
      </c>
      <c r="AP104" s="120">
        <v>6.7098349278670177</v>
      </c>
      <c r="AQ104" s="683">
        <v>4.7904372124708443</v>
      </c>
      <c r="AR104" s="120">
        <v>4.8527360657278447</v>
      </c>
    </row>
    <row r="105" spans="1:44">
      <c r="A105" t="b">
        <f t="shared" si="0"/>
        <v>1</v>
      </c>
      <c r="B105" s="120">
        <v>4.9837599395024963</v>
      </c>
      <c r="C105" s="120">
        <v>4.9079650489205493</v>
      </c>
      <c r="D105" s="120">
        <v>4.9079650489205493</v>
      </c>
      <c r="E105" s="120">
        <v>5.274566088960885</v>
      </c>
      <c r="F105" s="120">
        <v>4.9079650489205493</v>
      </c>
      <c r="G105" s="120">
        <v>4.9847480995800284</v>
      </c>
      <c r="H105" s="120">
        <v>4.9847480995800284</v>
      </c>
      <c r="I105" s="120">
        <v>5.0327215531211635</v>
      </c>
      <c r="J105" s="120">
        <v>7.1345258234333411</v>
      </c>
      <c r="K105" s="120">
        <v>6.8070404810401905</v>
      </c>
      <c r="L105" s="120">
        <v>5.0769123994294683</v>
      </c>
      <c r="M105" s="120">
        <v>4.2545144185336969</v>
      </c>
      <c r="N105" s="120">
        <v>4.9079650489205493</v>
      </c>
      <c r="O105" s="120">
        <v>4.9079650489205493</v>
      </c>
      <c r="P105" s="120">
        <v>6.6494702889253965</v>
      </c>
      <c r="Q105" s="120">
        <v>4.4275150178741249</v>
      </c>
      <c r="R105" s="120">
        <v>6.5136342223502988</v>
      </c>
      <c r="S105" s="120">
        <v>4.4275150178741249</v>
      </c>
      <c r="T105" s="120">
        <v>4.2545144185336969</v>
      </c>
      <c r="U105" s="120">
        <v>5.0299590730943864</v>
      </c>
      <c r="V105" s="120">
        <v>4.9847480995800284</v>
      </c>
      <c r="W105" s="120">
        <v>5.2608624181530939</v>
      </c>
      <c r="X105" s="120">
        <v>4.9847480995800284</v>
      </c>
      <c r="Y105" s="120">
        <v>5.0625764880099426</v>
      </c>
      <c r="Z105" s="120">
        <v>5.863283775832369</v>
      </c>
      <c r="AA105" s="120">
        <v>4.9847480995800284</v>
      </c>
      <c r="AB105" s="120">
        <v>5.0906236448706483</v>
      </c>
      <c r="AC105" s="120">
        <v>5.7866187213957696</v>
      </c>
      <c r="AD105" s="120">
        <v>4.9847480995800284</v>
      </c>
      <c r="AE105" s="120">
        <v>4.2545144185336969</v>
      </c>
      <c r="AF105" s="120">
        <v>6.891000470919427</v>
      </c>
      <c r="AG105" s="120">
        <v>4.9837599395024963</v>
      </c>
      <c r="AH105" s="120">
        <v>4.2545144185336969</v>
      </c>
      <c r="AI105" s="120">
        <v>4.4276762482251915</v>
      </c>
      <c r="AJ105" s="120">
        <v>4.2545144185336969</v>
      </c>
      <c r="AK105" s="120">
        <v>4.4013405408145063</v>
      </c>
      <c r="AL105" s="120">
        <v>6.4192771291538762</v>
      </c>
      <c r="AM105" s="120">
        <v>4.4275150178741249</v>
      </c>
      <c r="AN105" s="120">
        <v>6.3995092084232326</v>
      </c>
      <c r="AO105" s="120">
        <v>4.4275150178741249</v>
      </c>
      <c r="AP105" s="120">
        <v>6.891000470919427</v>
      </c>
      <c r="AQ105" s="683">
        <v>5.0299590730943864</v>
      </c>
      <c r="AR105" s="120">
        <v>4.9837599395024963</v>
      </c>
    </row>
    <row r="106" spans="1:44">
      <c r="A106" t="b">
        <f t="shared" si="0"/>
        <v>1</v>
      </c>
      <c r="B106" s="120">
        <v>5.1033701780505565</v>
      </c>
      <c r="C106" s="120">
        <v>5.0257562100946425</v>
      </c>
      <c r="D106" s="120">
        <v>5.0257562100946425</v>
      </c>
      <c r="E106" s="120">
        <v>5.4423118196454725</v>
      </c>
      <c r="F106" s="120">
        <v>5.0257562100946425</v>
      </c>
      <c r="G106" s="120">
        <v>5.1043820539699496</v>
      </c>
      <c r="H106" s="120">
        <v>5.1043820539699496</v>
      </c>
      <c r="I106" s="120">
        <v>5.1590045431356693</v>
      </c>
      <c r="J106" s="120">
        <v>9.6387443874584431</v>
      </c>
      <c r="K106" s="120">
        <v>7.0235231186701235</v>
      </c>
      <c r="L106" s="120">
        <v>5.2060476951705272</v>
      </c>
      <c r="M106" s="120">
        <v>4.3566227645785061</v>
      </c>
      <c r="N106" s="120">
        <v>5.0257562100946425</v>
      </c>
      <c r="O106" s="120">
        <v>5.0257562100946425</v>
      </c>
      <c r="P106" s="120">
        <v>6.8584429270751777</v>
      </c>
      <c r="Q106" s="120">
        <v>4.5337753783031038</v>
      </c>
      <c r="R106" s="120">
        <v>6.7195582564495906</v>
      </c>
      <c r="S106" s="120">
        <v>4.5337753783031038</v>
      </c>
      <c r="T106" s="120">
        <v>4.3566227645785061</v>
      </c>
      <c r="U106" s="120">
        <v>5.2713971086029172</v>
      </c>
      <c r="V106" s="120">
        <v>5.1043820539699496</v>
      </c>
      <c r="W106" s="120">
        <v>5.4227598714561918</v>
      </c>
      <c r="X106" s="120">
        <v>5.1043820539699496</v>
      </c>
      <c r="Y106" s="120">
        <v>5.2140280681875177</v>
      </c>
      <c r="Z106" s="120">
        <v>6.1955218244517916</v>
      </c>
      <c r="AA106" s="120">
        <v>5.1043820539699496</v>
      </c>
      <c r="AB106" s="120">
        <v>5.2311416299197528</v>
      </c>
      <c r="AC106" s="120">
        <v>6.3204875358494501</v>
      </c>
      <c r="AD106" s="120">
        <v>5.1043820539699496</v>
      </c>
      <c r="AE106" s="120">
        <v>4.3566227645785061</v>
      </c>
      <c r="AF106" s="120">
        <v>7.0563844822214934</v>
      </c>
      <c r="AG106" s="120">
        <v>5.1033701780505565</v>
      </c>
      <c r="AH106" s="120">
        <v>4.3566227645785061</v>
      </c>
      <c r="AI106" s="120">
        <v>4.5341643162504814</v>
      </c>
      <c r="AJ106" s="120">
        <v>4.3566227645785061</v>
      </c>
      <c r="AK106" s="120">
        <v>4.5069727137940543</v>
      </c>
      <c r="AL106" s="120">
        <v>6.6188250301237517</v>
      </c>
      <c r="AM106" s="120">
        <v>4.5337753783031038</v>
      </c>
      <c r="AN106" s="120">
        <v>6.5985427015319367</v>
      </c>
      <c r="AO106" s="120">
        <v>4.5337753783031038</v>
      </c>
      <c r="AP106" s="120">
        <v>7.0563844822214934</v>
      </c>
      <c r="AQ106" s="683">
        <v>5.2713971086029172</v>
      </c>
      <c r="AR106" s="120">
        <v>5.1033701780505565</v>
      </c>
    </row>
    <row r="107" spans="1:44">
      <c r="A107" t="b">
        <f t="shared" si="0"/>
        <v>1</v>
      </c>
      <c r="B107" s="120">
        <v>5.1799207307213146</v>
      </c>
      <c r="C107" s="120">
        <v>5.1011425532460617</v>
      </c>
      <c r="D107" s="120">
        <v>5.1011425532460617</v>
      </c>
      <c r="E107" s="120">
        <v>5.6492588753062662</v>
      </c>
      <c r="F107" s="120">
        <v>5.1011425532460617</v>
      </c>
      <c r="G107" s="120">
        <v>5.180947784779498</v>
      </c>
      <c r="H107" s="120">
        <v>5.180947784779498</v>
      </c>
      <c r="I107" s="120">
        <v>5.2530200803005869</v>
      </c>
      <c r="J107" s="120">
        <v>6.6314561385714086</v>
      </c>
      <c r="K107" s="120">
        <v>7.290596648806253</v>
      </c>
      <c r="L107" s="120">
        <v>5.3108537418689981</v>
      </c>
      <c r="M107" s="120">
        <v>4.4219721060471828</v>
      </c>
      <c r="N107" s="120">
        <v>5.1011425532460617</v>
      </c>
      <c r="O107" s="120">
        <v>5.1011425532460617</v>
      </c>
      <c r="P107" s="120">
        <v>7.1118185805912528</v>
      </c>
      <c r="Q107" s="120">
        <v>4.6017820089776498</v>
      </c>
      <c r="R107" s="120">
        <v>6.9691318490655441</v>
      </c>
      <c r="S107" s="120">
        <v>4.6017820089776498</v>
      </c>
      <c r="T107" s="120">
        <v>4.4219721060471828</v>
      </c>
      <c r="U107" s="120">
        <v>5.4400818160782105</v>
      </c>
      <c r="V107" s="120">
        <v>5.180947784779498</v>
      </c>
      <c r="W107" s="120">
        <v>5.5091594208998469</v>
      </c>
      <c r="X107" s="120">
        <v>5.180947784779498</v>
      </c>
      <c r="Y107" s="120">
        <v>5.2962885123694088</v>
      </c>
      <c r="Z107" s="120">
        <v>6.2306102017955691</v>
      </c>
      <c r="AA107" s="120">
        <v>5.180947784779498</v>
      </c>
      <c r="AB107" s="120">
        <v>5.3598545970853975</v>
      </c>
      <c r="AC107" s="120">
        <v>6.1528454616665087</v>
      </c>
      <c r="AD107" s="120">
        <v>5.180947784779498</v>
      </c>
      <c r="AE107" s="120">
        <v>4.4219721060471828</v>
      </c>
      <c r="AF107" s="120">
        <v>7.1622302494548151</v>
      </c>
      <c r="AG107" s="120">
        <v>5.1799207307213146</v>
      </c>
      <c r="AH107" s="120">
        <v>4.4219721060471828</v>
      </c>
      <c r="AI107" s="120">
        <v>4.6027705568020716</v>
      </c>
      <c r="AJ107" s="120">
        <v>4.4219721060471828</v>
      </c>
      <c r="AK107" s="120">
        <v>4.5745773045009646</v>
      </c>
      <c r="AL107" s="120">
        <v>6.8563321022698869</v>
      </c>
      <c r="AM107" s="120">
        <v>4.6017820089776498</v>
      </c>
      <c r="AN107" s="120">
        <v>6.8332879708389456</v>
      </c>
      <c r="AO107" s="120">
        <v>4.6017820089776498</v>
      </c>
      <c r="AP107" s="120">
        <v>7.1622302494548151</v>
      </c>
      <c r="AQ107" s="683">
        <v>5.4400818160782105</v>
      </c>
      <c r="AR107" s="120">
        <v>5.1799207307213146</v>
      </c>
    </row>
    <row r="108" spans="1:44">
      <c r="A108" t="b">
        <f t="shared" si="0"/>
        <v>1</v>
      </c>
      <c r="B108" s="120">
        <v>5.2213600965670848</v>
      </c>
      <c r="C108" s="120">
        <v>5.1419516936720306</v>
      </c>
      <c r="D108" s="120">
        <v>5.1419516936720306</v>
      </c>
      <c r="E108" s="120">
        <v>5.7883154442699629</v>
      </c>
      <c r="F108" s="120">
        <v>5.1419516936720306</v>
      </c>
      <c r="G108" s="120">
        <v>5.2223953670577341</v>
      </c>
      <c r="H108" s="120">
        <v>5.2223953670577341</v>
      </c>
      <c r="I108" s="120">
        <v>5.3072632989901631</v>
      </c>
      <c r="J108" s="120">
        <v>8.3092145416299754</v>
      </c>
      <c r="K108" s="120">
        <v>7.5473311936084473</v>
      </c>
      <c r="L108" s="120">
        <v>5.3533405718039502</v>
      </c>
      <c r="M108" s="120">
        <v>4.4573478828955606</v>
      </c>
      <c r="N108" s="120">
        <v>5.1419516936720306</v>
      </c>
      <c r="O108" s="120">
        <v>5.1419516936720306</v>
      </c>
      <c r="P108" s="120">
        <v>7.352175326778549</v>
      </c>
      <c r="Q108" s="120">
        <v>4.638596265049471</v>
      </c>
      <c r="R108" s="120">
        <v>7.2057547840384624</v>
      </c>
      <c r="S108" s="120">
        <v>4.638596265049471</v>
      </c>
      <c r="T108" s="120">
        <v>4.4573478828955606</v>
      </c>
      <c r="U108" s="120">
        <v>5.5978441887444781</v>
      </c>
      <c r="V108" s="120">
        <v>5.2223953670577341</v>
      </c>
      <c r="W108" s="120">
        <v>5.5910072655680239</v>
      </c>
      <c r="X108" s="120">
        <v>5.2223953670577341</v>
      </c>
      <c r="Y108" s="120">
        <v>5.3639984858474659</v>
      </c>
      <c r="Z108" s="120">
        <v>6.4151612524547339</v>
      </c>
      <c r="AA108" s="120">
        <v>5.2223953670577341</v>
      </c>
      <c r="AB108" s="120">
        <v>5.438062540178568</v>
      </c>
      <c r="AC108" s="120">
        <v>6.4694879055860586</v>
      </c>
      <c r="AD108" s="120">
        <v>5.2223953670577341</v>
      </c>
      <c r="AE108" s="120">
        <v>4.4573478828955606</v>
      </c>
      <c r="AF108" s="120">
        <v>7.2195280914504538</v>
      </c>
      <c r="AG108" s="120">
        <v>5.2213600965670848</v>
      </c>
      <c r="AH108" s="120">
        <v>4.4573478828955606</v>
      </c>
      <c r="AI108" s="120">
        <v>4.6400628533458335</v>
      </c>
      <c r="AJ108" s="120">
        <v>4.4573478828955606</v>
      </c>
      <c r="AK108" s="120">
        <v>4.6111739229369721</v>
      </c>
      <c r="AL108" s="120">
        <v>7.0831586083429841</v>
      </c>
      <c r="AM108" s="120">
        <v>4.638596265049471</v>
      </c>
      <c r="AN108" s="120">
        <v>7.0441309526447862</v>
      </c>
      <c r="AO108" s="120">
        <v>4.638596265049471</v>
      </c>
      <c r="AP108" s="120">
        <v>7.2195280914504538</v>
      </c>
      <c r="AQ108" s="683">
        <v>5.5978441887444781</v>
      </c>
      <c r="AR108" s="120">
        <v>5.2213600965670848</v>
      </c>
    </row>
    <row r="109" spans="1:44">
      <c r="A109" t="b">
        <f t="shared" si="0"/>
        <v>1</v>
      </c>
      <c r="B109" s="120">
        <v>5.3257872984984269</v>
      </c>
      <c r="C109" s="120">
        <v>5.244790727545471</v>
      </c>
      <c r="D109" s="120">
        <v>5.244790727545471</v>
      </c>
      <c r="E109" s="120">
        <v>5.8168293134535585</v>
      </c>
      <c r="F109" s="120">
        <v>5.244790727545471</v>
      </c>
      <c r="G109" s="120">
        <v>5.3268432743988887</v>
      </c>
      <c r="H109" s="120">
        <v>5.3268432743988887</v>
      </c>
      <c r="I109" s="120">
        <v>5.4022084093183036</v>
      </c>
      <c r="J109" s="120">
        <v>10.320044460704429</v>
      </c>
      <c r="K109" s="120">
        <v>7.6897921296539655</v>
      </c>
      <c r="L109" s="120">
        <v>5.4604073832400291</v>
      </c>
      <c r="M109" s="120">
        <v>4.5464948405534722</v>
      </c>
      <c r="N109" s="120">
        <v>5.244790727545471</v>
      </c>
      <c r="O109" s="120">
        <v>5.244790727545471</v>
      </c>
      <c r="P109" s="120">
        <v>7.4927553972019529</v>
      </c>
      <c r="Q109" s="120">
        <v>4.7313681903504605</v>
      </c>
      <c r="R109" s="120">
        <v>7.3436476422373209</v>
      </c>
      <c r="S109" s="120">
        <v>4.7313681903504605</v>
      </c>
      <c r="T109" s="120">
        <v>4.5464948405534722</v>
      </c>
      <c r="U109" s="120">
        <v>5.8161601121055124</v>
      </c>
      <c r="V109" s="120">
        <v>5.3268432743988887</v>
      </c>
      <c r="W109" s="120">
        <v>5.7010804300647244</v>
      </c>
      <c r="X109" s="120">
        <v>5.3268432743988887</v>
      </c>
      <c r="Y109" s="120">
        <v>5.4754201989818858</v>
      </c>
      <c r="Z109" s="120">
        <v>6.6137287196312391</v>
      </c>
      <c r="AA109" s="120">
        <v>5.3268432743988887</v>
      </c>
      <c r="AB109" s="120">
        <v>5.5123596580491254</v>
      </c>
      <c r="AC109" s="120">
        <v>6.8416588674039733</v>
      </c>
      <c r="AD109" s="120">
        <v>5.3268432743988887</v>
      </c>
      <c r="AE109" s="120">
        <v>4.5464948405534722</v>
      </c>
      <c r="AF109" s="120">
        <v>7.3639186532794634</v>
      </c>
      <c r="AG109" s="120">
        <v>5.3257872984984269</v>
      </c>
      <c r="AH109" s="120">
        <v>4.5464948405534722</v>
      </c>
      <c r="AI109" s="120">
        <v>4.732332514414975</v>
      </c>
      <c r="AJ109" s="120">
        <v>4.5464948405534722</v>
      </c>
      <c r="AK109" s="120">
        <v>4.7033974013957121</v>
      </c>
      <c r="AL109" s="120">
        <v>7.2175848491754326</v>
      </c>
      <c r="AM109" s="120">
        <v>4.7313681903504605</v>
      </c>
      <c r="AN109" s="120">
        <v>7.1795997691725342</v>
      </c>
      <c r="AO109" s="120">
        <v>4.7313681903504605</v>
      </c>
      <c r="AP109" s="120">
        <v>7.3639186532794634</v>
      </c>
      <c r="AQ109" s="683">
        <v>5.8161601121055124</v>
      </c>
      <c r="AR109" s="120">
        <v>5.3257872984984269</v>
      </c>
    </row>
    <row r="110" spans="1:44">
      <c r="A110" t="b">
        <f t="shared" si="0"/>
        <v>1</v>
      </c>
      <c r="B110" s="120">
        <v>5.4216514698713985</v>
      </c>
      <c r="C110" s="120">
        <v>5.3391969606412895</v>
      </c>
      <c r="D110" s="120">
        <v>5.3391969606412895</v>
      </c>
      <c r="E110" s="120">
        <v>5.8168293134535585</v>
      </c>
      <c r="F110" s="120">
        <v>5.3391969606412895</v>
      </c>
      <c r="G110" s="120">
        <v>5.4227264533380692</v>
      </c>
      <c r="H110" s="120">
        <v>5.4227264533380692</v>
      </c>
      <c r="I110" s="120">
        <v>5.4858345954945502</v>
      </c>
      <c r="J110" s="120">
        <v>10.639965838986265</v>
      </c>
      <c r="K110" s="120">
        <v>7.8090238595771897</v>
      </c>
      <c r="L110" s="120">
        <v>5.5586947161383495</v>
      </c>
      <c r="M110" s="120">
        <v>4.6283317476834345</v>
      </c>
      <c r="N110" s="120">
        <v>5.3391969606412895</v>
      </c>
      <c r="O110" s="120">
        <v>5.3391969606412895</v>
      </c>
      <c r="P110" s="120">
        <v>7.6128906059926322</v>
      </c>
      <c r="Q110" s="120">
        <v>4.8165328177767686</v>
      </c>
      <c r="R110" s="120">
        <v>7.4618039474425881</v>
      </c>
      <c r="S110" s="120">
        <v>4.8165328177767686</v>
      </c>
      <c r="T110" s="120">
        <v>4.6283317476834345</v>
      </c>
      <c r="U110" s="120">
        <v>5.9906449154686783</v>
      </c>
      <c r="V110" s="120">
        <v>5.4227264533380692</v>
      </c>
      <c r="W110" s="120">
        <v>5.7838425525957842</v>
      </c>
      <c r="X110" s="120">
        <v>5.4227264533380692</v>
      </c>
      <c r="Y110" s="120">
        <v>5.5571568725435814</v>
      </c>
      <c r="Z110" s="120">
        <v>6.6835580037202158</v>
      </c>
      <c r="AA110" s="120">
        <v>5.4227264533380692</v>
      </c>
      <c r="AB110" s="120">
        <v>5.5592985928034722</v>
      </c>
      <c r="AC110" s="120">
        <v>6.9604751314041238</v>
      </c>
      <c r="AD110" s="120">
        <v>5.4227264533380692</v>
      </c>
      <c r="AE110" s="120">
        <v>4.6283317476834345</v>
      </c>
      <c r="AF110" s="120">
        <v>7.4964691890384936</v>
      </c>
      <c r="AG110" s="120">
        <v>5.4216514698713985</v>
      </c>
      <c r="AH110" s="120">
        <v>4.6283317476834345</v>
      </c>
      <c r="AI110" s="120">
        <v>4.8169382391322104</v>
      </c>
      <c r="AJ110" s="120">
        <v>4.6283317476834345</v>
      </c>
      <c r="AK110" s="120">
        <v>4.788058554620835</v>
      </c>
      <c r="AL110" s="120">
        <v>7.3336692417549791</v>
      </c>
      <c r="AM110" s="120">
        <v>4.8165328177767686</v>
      </c>
      <c r="AN110" s="120">
        <v>7.2963722576691037</v>
      </c>
      <c r="AO110" s="120">
        <v>4.8165328177767686</v>
      </c>
      <c r="AP110" s="120">
        <v>7.4964691890384936</v>
      </c>
      <c r="AQ110" s="683">
        <v>5.9906449154686783</v>
      </c>
      <c r="AR110" s="120">
        <v>5.4216514698713985</v>
      </c>
    </row>
    <row r="111" spans="1:44">
      <c r="A111" t="b">
        <f t="shared" si="0"/>
        <v>1</v>
      </c>
      <c r="B111" s="120">
        <v>5.5029762419194688</v>
      </c>
      <c r="C111" s="120">
        <v>5.4192849150509081</v>
      </c>
      <c r="D111" s="120">
        <v>5.4192849150509081</v>
      </c>
      <c r="E111" s="120">
        <v>5.8168293134535585</v>
      </c>
      <c r="F111" s="120">
        <v>5.4192849150509081</v>
      </c>
      <c r="G111" s="120">
        <v>5.5040673501381399</v>
      </c>
      <c r="H111" s="120">
        <v>5.5040673501381399</v>
      </c>
      <c r="I111" s="120">
        <v>5.5566018617764295</v>
      </c>
      <c r="J111" s="120">
        <v>11.533722969461113</v>
      </c>
      <c r="K111" s="120">
        <v>7.9398481585053249</v>
      </c>
      <c r="L111" s="120">
        <v>5.6420751368804245</v>
      </c>
      <c r="M111" s="120">
        <v>4.6977567238986859</v>
      </c>
      <c r="N111" s="120">
        <v>5.4192849150509081</v>
      </c>
      <c r="O111" s="120">
        <v>5.4192849150509081</v>
      </c>
      <c r="P111" s="120">
        <v>7.7376758265608876</v>
      </c>
      <c r="Q111" s="120">
        <v>4.8887808100434196</v>
      </c>
      <c r="R111" s="120">
        <v>7.5838943470025013</v>
      </c>
      <c r="S111" s="120">
        <v>4.8887808100434196</v>
      </c>
      <c r="T111" s="120">
        <v>4.6977567238986859</v>
      </c>
      <c r="U111" s="120">
        <v>6.1464016832708639</v>
      </c>
      <c r="V111" s="120">
        <v>5.5040673501381399</v>
      </c>
      <c r="W111" s="120">
        <v>5.8579625334072549</v>
      </c>
      <c r="X111" s="120">
        <v>5.5040673501381399</v>
      </c>
      <c r="Y111" s="120">
        <v>5.6314088943900753</v>
      </c>
      <c r="Z111" s="120">
        <v>6.7710850615919576</v>
      </c>
      <c r="AA111" s="120">
        <v>5.5040673501381399</v>
      </c>
      <c r="AB111" s="120">
        <v>5.5978105844351882</v>
      </c>
      <c r="AC111" s="120">
        <v>7.1530579930557812</v>
      </c>
      <c r="AD111" s="120">
        <v>5.5040673501381399</v>
      </c>
      <c r="AE111" s="120">
        <v>4.6977567238986859</v>
      </c>
      <c r="AF111" s="120">
        <v>7.6089162268740704</v>
      </c>
      <c r="AG111" s="120">
        <v>5.5029762419194688</v>
      </c>
      <c r="AH111" s="120">
        <v>4.6977567238986859</v>
      </c>
      <c r="AI111" s="120">
        <v>4.8885695198369188</v>
      </c>
      <c r="AJ111" s="120">
        <v>4.6977567238986859</v>
      </c>
      <c r="AK111" s="120">
        <v>4.8598794329401471</v>
      </c>
      <c r="AL111" s="120">
        <v>7.4541862773900682</v>
      </c>
      <c r="AM111" s="120">
        <v>4.8887808100434196</v>
      </c>
      <c r="AN111" s="120">
        <v>7.4145345725358052</v>
      </c>
      <c r="AO111" s="120">
        <v>4.8887808100434196</v>
      </c>
      <c r="AP111" s="120">
        <v>7.6089162268740704</v>
      </c>
      <c r="AQ111" s="683">
        <v>6.1464016832708639</v>
      </c>
      <c r="AR111" s="120">
        <v>5.5029762419194688</v>
      </c>
    </row>
    <row r="112" spans="1:44">
      <c r="A112" t="b">
        <f t="shared" si="0"/>
        <v>1</v>
      </c>
      <c r="B112" s="120">
        <v>5.5855208855482603</v>
      </c>
      <c r="C112" s="120">
        <v>5.500574188776671</v>
      </c>
      <c r="D112" s="120">
        <v>5.500574188776671</v>
      </c>
      <c r="E112" s="120">
        <v>5.8604555333044601</v>
      </c>
      <c r="F112" s="120">
        <v>5.500574188776671</v>
      </c>
      <c r="G112" s="120">
        <v>5.5866283603902112</v>
      </c>
      <c r="H112" s="120">
        <v>5.5866283603902112</v>
      </c>
      <c r="I112" s="120">
        <v>5.6341164577482097</v>
      </c>
      <c r="J112" s="120">
        <v>11.199245003346741</v>
      </c>
      <c r="K112" s="120">
        <v>8.0329664468318089</v>
      </c>
      <c r="L112" s="120">
        <v>5.7267062639336306</v>
      </c>
      <c r="M112" s="120">
        <v>4.7682230747571657</v>
      </c>
      <c r="N112" s="120">
        <v>5.500574188776671</v>
      </c>
      <c r="O112" s="120">
        <v>5.500574188776671</v>
      </c>
      <c r="P112" s="120">
        <v>7.8334341173046891</v>
      </c>
      <c r="Q112" s="120">
        <v>4.9621125221940705</v>
      </c>
      <c r="R112" s="120">
        <v>7.6783667083728613</v>
      </c>
      <c r="S112" s="120">
        <v>4.9621125221940705</v>
      </c>
      <c r="T112" s="120">
        <v>4.7682230747571657</v>
      </c>
      <c r="U112" s="120">
        <v>6.3049788466992522</v>
      </c>
      <c r="V112" s="120">
        <v>5.5866283603902112</v>
      </c>
      <c r="W112" s="120">
        <v>5.929930027211971</v>
      </c>
      <c r="X112" s="120">
        <v>5.5866283603902112</v>
      </c>
      <c r="Y112" s="120">
        <v>5.710396021861893</v>
      </c>
      <c r="Z112" s="120">
        <v>6.8218815028746329</v>
      </c>
      <c r="AA112" s="120">
        <v>5.5866283603902112</v>
      </c>
      <c r="AB112" s="120">
        <v>5.659229769675008</v>
      </c>
      <c r="AC112" s="120">
        <v>7.1786118694917489</v>
      </c>
      <c r="AD112" s="120">
        <v>5.5866283603902112</v>
      </c>
      <c r="AE112" s="120">
        <v>4.7682230747571657</v>
      </c>
      <c r="AF112" s="120">
        <v>7.7230499702771809</v>
      </c>
      <c r="AG112" s="120">
        <v>5.5855208855482603</v>
      </c>
      <c r="AH112" s="120">
        <v>4.7682230747571657</v>
      </c>
      <c r="AI112" s="120">
        <v>4.9615048576102589</v>
      </c>
      <c r="AJ112" s="120">
        <v>4.7682230747571657</v>
      </c>
      <c r="AK112" s="120">
        <v>4.9327776244342489</v>
      </c>
      <c r="AL112" s="120">
        <v>7.546741649968955</v>
      </c>
      <c r="AM112" s="120">
        <v>4.9621125221940705</v>
      </c>
      <c r="AN112" s="120">
        <v>7.5095834546878786</v>
      </c>
      <c r="AO112" s="120">
        <v>4.9621125221940705</v>
      </c>
      <c r="AP112" s="120">
        <v>7.7230499702771809</v>
      </c>
      <c r="AQ112" s="683">
        <v>6.3049788466992522</v>
      </c>
      <c r="AR112" s="120">
        <v>5.5855208855482603</v>
      </c>
    </row>
    <row r="113" spans="1:44">
      <c r="A113" t="b">
        <f t="shared" si="0"/>
        <v>1</v>
      </c>
      <c r="B113" s="120">
        <v>5.6469616152892907</v>
      </c>
      <c r="C113" s="120">
        <v>5.5610805048532139</v>
      </c>
      <c r="D113" s="120">
        <v>5.5610805048532139</v>
      </c>
      <c r="E113" s="120">
        <v>5.9190600886375044</v>
      </c>
      <c r="F113" s="120">
        <v>5.5610805048532139</v>
      </c>
      <c r="G113" s="120">
        <v>5.6480812723545029</v>
      </c>
      <c r="H113" s="120">
        <v>5.6480812723545029</v>
      </c>
      <c r="I113" s="120">
        <v>5.6953029624793556</v>
      </c>
      <c r="J113" s="120">
        <v>10.538489548149283</v>
      </c>
      <c r="K113" s="120">
        <v>8.1132961113001265</v>
      </c>
      <c r="L113" s="120">
        <v>5.7897000328369002</v>
      </c>
      <c r="M113" s="120">
        <v>4.8206735285794942</v>
      </c>
      <c r="N113" s="120">
        <v>5.5610805048532139</v>
      </c>
      <c r="O113" s="120">
        <v>5.5610805048532139</v>
      </c>
      <c r="P113" s="120">
        <v>7.9133266423123976</v>
      </c>
      <c r="Q113" s="120">
        <v>5.0166957599382052</v>
      </c>
      <c r="R113" s="120">
        <v>7.7568966231055736</v>
      </c>
      <c r="S113" s="120">
        <v>5.0166957599382052</v>
      </c>
      <c r="T113" s="120">
        <v>4.8206735285794942</v>
      </c>
      <c r="U113" s="120">
        <v>6.410271993439129</v>
      </c>
      <c r="V113" s="120">
        <v>5.6480812723545029</v>
      </c>
      <c r="W113" s="120">
        <v>5.9872258262325788</v>
      </c>
      <c r="X113" s="120">
        <v>5.6480812723545029</v>
      </c>
      <c r="Y113" s="120">
        <v>5.7651014170301158</v>
      </c>
      <c r="Z113" s="120">
        <v>6.8523395832518892</v>
      </c>
      <c r="AA113" s="120">
        <v>5.6480812723545029</v>
      </c>
      <c r="AB113" s="120">
        <v>5.7182000226541492</v>
      </c>
      <c r="AC113" s="120">
        <v>7.155741604187968</v>
      </c>
      <c r="AD113" s="120">
        <v>5.6480812723545029</v>
      </c>
      <c r="AE113" s="120">
        <v>4.8206735285794942</v>
      </c>
      <c r="AF113" s="120">
        <v>7.8080035199502289</v>
      </c>
      <c r="AG113" s="120">
        <v>5.6469616152892907</v>
      </c>
      <c r="AH113" s="120">
        <v>4.8206735285794942</v>
      </c>
      <c r="AI113" s="120">
        <v>5.0160359415176465</v>
      </c>
      <c r="AJ113" s="120">
        <v>4.8206735285794942</v>
      </c>
      <c r="AK113" s="120">
        <v>4.9870381783030249</v>
      </c>
      <c r="AL113" s="120">
        <v>7.6237314305432129</v>
      </c>
      <c r="AM113" s="120">
        <v>5.0166957599382052</v>
      </c>
      <c r="AN113" s="120">
        <v>7.5873037537695174</v>
      </c>
      <c r="AO113" s="120">
        <v>5.0166957599382052</v>
      </c>
      <c r="AP113" s="120">
        <v>7.8080035199502289</v>
      </c>
      <c r="AQ113" s="683">
        <v>6.410271993439129</v>
      </c>
      <c r="AR113" s="120">
        <v>5.6469616152892907</v>
      </c>
    </row>
    <row r="114" spans="1:44">
      <c r="A114" t="b">
        <f t="shared" si="0"/>
        <v>1</v>
      </c>
      <c r="B114" s="120">
        <v>5.7147251546727622</v>
      </c>
      <c r="C114" s="120">
        <v>5.6278134709114527</v>
      </c>
      <c r="D114" s="120">
        <v>5.6278134709114527</v>
      </c>
      <c r="E114" s="120">
        <v>5.9916016215848504</v>
      </c>
      <c r="F114" s="120">
        <v>5.6278134709114527</v>
      </c>
      <c r="G114" s="120">
        <v>5.7158582476227568</v>
      </c>
      <c r="H114" s="120">
        <v>5.7158582476227568</v>
      </c>
      <c r="I114" s="120">
        <v>5.7638503852963998</v>
      </c>
      <c r="J114" s="120">
        <v>7.2926347673193028</v>
      </c>
      <c r="K114" s="120">
        <v>8.2127292862224852</v>
      </c>
      <c r="L114" s="120">
        <v>5.8591764332309433</v>
      </c>
      <c r="M114" s="120">
        <v>4.8785216109224478</v>
      </c>
      <c r="N114" s="120">
        <v>5.6278134709114527</v>
      </c>
      <c r="O114" s="120">
        <v>5.6278134709114527</v>
      </c>
      <c r="P114" s="120">
        <v>8.0098948808756507</v>
      </c>
      <c r="Q114" s="120">
        <v>5.076896109057464</v>
      </c>
      <c r="R114" s="120">
        <v>7.8515371168111905</v>
      </c>
      <c r="S114" s="120">
        <v>5.076896109057464</v>
      </c>
      <c r="T114" s="120">
        <v>4.8785216109224478</v>
      </c>
      <c r="U114" s="120">
        <v>6.50386196454334</v>
      </c>
      <c r="V114" s="120">
        <v>5.7158582476227568</v>
      </c>
      <c r="W114" s="120">
        <v>6.0405413332794176</v>
      </c>
      <c r="X114" s="120">
        <v>5.7158582476227568</v>
      </c>
      <c r="Y114" s="120">
        <v>5.8055171788356974</v>
      </c>
      <c r="Z114" s="120">
        <v>6.8080999716363646</v>
      </c>
      <c r="AA114" s="120">
        <v>5.7158582476227568</v>
      </c>
      <c r="AB114" s="120">
        <v>5.7876757273747863</v>
      </c>
      <c r="AC114" s="120">
        <v>6.8337957892596473</v>
      </c>
      <c r="AD114" s="120">
        <v>5.7158582476227568</v>
      </c>
      <c r="AE114" s="120">
        <v>4.8785216109224478</v>
      </c>
      <c r="AF114" s="120">
        <v>7.9016995621896315</v>
      </c>
      <c r="AG114" s="120">
        <v>5.7147251546727622</v>
      </c>
      <c r="AH114" s="120">
        <v>4.8785216109224478</v>
      </c>
      <c r="AI114" s="120">
        <v>5.0762389164393085</v>
      </c>
      <c r="AJ114" s="120">
        <v>4.8785216109224478</v>
      </c>
      <c r="AK114" s="120">
        <v>5.0468826364426613</v>
      </c>
      <c r="AL114" s="120">
        <v>7.7167488748693858</v>
      </c>
      <c r="AM114" s="120">
        <v>5.076896109057464</v>
      </c>
      <c r="AN114" s="120">
        <v>7.679632611583961</v>
      </c>
      <c r="AO114" s="120">
        <v>5.076896109057464</v>
      </c>
      <c r="AP114" s="120">
        <v>7.9016995621896315</v>
      </c>
      <c r="AQ114" s="683">
        <v>6.50386196454334</v>
      </c>
      <c r="AR114" s="120">
        <v>5.7147251546727622</v>
      </c>
    </row>
    <row r="115" spans="1:44">
      <c r="A115" t="b">
        <f t="shared" si="0"/>
        <v>1</v>
      </c>
      <c r="B115" s="120">
        <v>5.8175902074568722</v>
      </c>
      <c r="C115" s="120">
        <v>5.7291141133878591</v>
      </c>
      <c r="D115" s="120">
        <v>5.7291141133878591</v>
      </c>
      <c r="E115" s="120">
        <v>6.1055577604728226</v>
      </c>
      <c r="F115" s="120">
        <v>5.7291141133878591</v>
      </c>
      <c r="G115" s="120">
        <v>5.8187436960799666</v>
      </c>
      <c r="H115" s="120">
        <v>5.8187436960799666</v>
      </c>
      <c r="I115" s="120">
        <v>5.8684222146593354</v>
      </c>
      <c r="J115" s="120">
        <v>7.730192853358461</v>
      </c>
      <c r="K115" s="120">
        <v>8.368929744513725</v>
      </c>
      <c r="L115" s="120">
        <v>5.9646416090291003</v>
      </c>
      <c r="M115" s="120">
        <v>4.9663349999190523</v>
      </c>
      <c r="N115" s="120">
        <v>5.7291141133878591</v>
      </c>
      <c r="O115" s="120">
        <v>5.7291141133878591</v>
      </c>
      <c r="P115" s="120">
        <v>8.1605692351337229</v>
      </c>
      <c r="Q115" s="120">
        <v>5.1682802390204987</v>
      </c>
      <c r="R115" s="120">
        <v>7.9991141095670795</v>
      </c>
      <c r="S115" s="120">
        <v>5.1682802390204987</v>
      </c>
      <c r="T115" s="120">
        <v>4.9663349999190523</v>
      </c>
      <c r="U115" s="120">
        <v>6.6209314799051198</v>
      </c>
      <c r="V115" s="120">
        <v>5.8187436960799666</v>
      </c>
      <c r="W115" s="120">
        <v>6.1533512855776777</v>
      </c>
      <c r="X115" s="120">
        <v>5.8187436960799666</v>
      </c>
      <c r="Y115" s="120">
        <v>5.914441024786167</v>
      </c>
      <c r="Z115" s="120">
        <v>6.9552561101290591</v>
      </c>
      <c r="AA115" s="120">
        <v>5.8187436960799666</v>
      </c>
      <c r="AB115" s="120">
        <v>5.8961859646008046</v>
      </c>
      <c r="AC115" s="120">
        <v>7.0052861248155622</v>
      </c>
      <c r="AD115" s="120">
        <v>5.8187436960799666</v>
      </c>
      <c r="AE115" s="120">
        <v>4.9663349999190523</v>
      </c>
      <c r="AF115" s="120">
        <v>8.0439301543090451</v>
      </c>
      <c r="AG115" s="120">
        <v>5.8175902074568722</v>
      </c>
      <c r="AH115" s="120">
        <v>4.9663349999190523</v>
      </c>
      <c r="AI115" s="120">
        <v>5.167655669967238</v>
      </c>
      <c r="AJ115" s="120">
        <v>4.9663349999190523</v>
      </c>
      <c r="AK115" s="120">
        <v>5.1377265238986292</v>
      </c>
      <c r="AL115" s="120">
        <v>7.8619113192671808</v>
      </c>
      <c r="AM115" s="120">
        <v>5.1682802390204987</v>
      </c>
      <c r="AN115" s="120">
        <v>7.8230503622273719</v>
      </c>
      <c r="AO115" s="120">
        <v>5.1682802390204987</v>
      </c>
      <c r="AP115" s="120">
        <v>8.0439301543090451</v>
      </c>
      <c r="AQ115" s="683">
        <v>6.6209314799051198</v>
      </c>
      <c r="AR115" s="120">
        <v>5.8175902074568722</v>
      </c>
    </row>
    <row r="116" spans="1:44">
      <c r="A116" t="b">
        <f t="shared" si="0"/>
        <v>1</v>
      </c>
      <c r="B116" s="120">
        <v>5.9339420116060095</v>
      </c>
      <c r="C116" s="120">
        <v>5.8436963956556163</v>
      </c>
      <c r="D116" s="120">
        <v>5.8436963956556163</v>
      </c>
      <c r="E116" s="120">
        <v>6.2245688010724196</v>
      </c>
      <c r="F116" s="120">
        <v>5.8436963956556163</v>
      </c>
      <c r="G116" s="120">
        <v>5.9351185700015661</v>
      </c>
      <c r="H116" s="120">
        <v>5.9351185700015661</v>
      </c>
      <c r="I116" s="120">
        <v>5.9853734997834254</v>
      </c>
      <c r="J116" s="120">
        <v>7.6992720819450273</v>
      </c>
      <c r="K116" s="120">
        <v>8.5446772691485116</v>
      </c>
      <c r="L116" s="120">
        <v>6.0839344412096823</v>
      </c>
      <c r="M116" s="120">
        <v>5.0656616999174338</v>
      </c>
      <c r="N116" s="120">
        <v>5.8436963956556163</v>
      </c>
      <c r="O116" s="120">
        <v>5.8436963956556163</v>
      </c>
      <c r="P116" s="120">
        <v>8.33008443459806</v>
      </c>
      <c r="Q116" s="120">
        <v>5.2716458438009086</v>
      </c>
      <c r="R116" s="120">
        <v>8.1652634981375734</v>
      </c>
      <c r="S116" s="120">
        <v>5.2716458438009086</v>
      </c>
      <c r="T116" s="120">
        <v>5.0656616999174338</v>
      </c>
      <c r="U116" s="120">
        <v>6.7533501095032227</v>
      </c>
      <c r="V116" s="120">
        <v>5.9351185700015661</v>
      </c>
      <c r="W116" s="120">
        <v>6.2744671850302671</v>
      </c>
      <c r="X116" s="120">
        <v>5.9351185700015661</v>
      </c>
      <c r="Y116" s="120">
        <v>6.030356068074072</v>
      </c>
      <c r="Z116" s="120">
        <v>7.0804749508672149</v>
      </c>
      <c r="AA116" s="120">
        <v>5.9351185700015661</v>
      </c>
      <c r="AB116" s="120">
        <v>6.0120257724425272</v>
      </c>
      <c r="AC116" s="120">
        <v>7.1171095634713444</v>
      </c>
      <c r="AD116" s="120">
        <v>5.9351185700015661</v>
      </c>
      <c r="AE116" s="120">
        <v>5.0656616999174338</v>
      </c>
      <c r="AF116" s="120">
        <v>8.2048087573952255</v>
      </c>
      <c r="AG116" s="120">
        <v>5.9339420116060095</v>
      </c>
      <c r="AH116" s="120">
        <v>5.0656616999174338</v>
      </c>
      <c r="AI116" s="120">
        <v>5.2709844056756898</v>
      </c>
      <c r="AJ116" s="120">
        <v>5.0656616999174338</v>
      </c>
      <c r="AK116" s="120">
        <v>5.2404810543766018</v>
      </c>
      <c r="AL116" s="120">
        <v>8.0253561260454962</v>
      </c>
      <c r="AM116" s="120">
        <v>5.2716458438009086</v>
      </c>
      <c r="AN116" s="120">
        <v>7.984731709201645</v>
      </c>
      <c r="AO116" s="120">
        <v>5.2716458438009086</v>
      </c>
      <c r="AP116" s="120">
        <v>8.2048087573952255</v>
      </c>
      <c r="AQ116" s="683">
        <v>6.7533501095032227</v>
      </c>
      <c r="AR116" s="120">
        <v>5.9339420116060095</v>
      </c>
    </row>
    <row r="117" spans="1:44">
      <c r="A117" t="b">
        <f t="shared" si="0"/>
        <v>1</v>
      </c>
      <c r="B117" s="120">
        <v>6.0526208518381299</v>
      </c>
      <c r="C117" s="120">
        <v>5.9605703235687288</v>
      </c>
      <c r="D117" s="120">
        <v>5.9605703235687288</v>
      </c>
      <c r="E117" s="120">
        <v>6.3428356082927948</v>
      </c>
      <c r="F117" s="120">
        <v>5.9605703235687288</v>
      </c>
      <c r="G117" s="120">
        <v>6.0538209414015975</v>
      </c>
      <c r="H117" s="120">
        <v>6.0538209414015975</v>
      </c>
      <c r="I117" s="120">
        <v>6.1042430174891242</v>
      </c>
      <c r="J117" s="120">
        <v>7.7300691702728077</v>
      </c>
      <c r="K117" s="120">
        <v>8.7112322299372753</v>
      </c>
      <c r="L117" s="120">
        <v>6.2056131300338757</v>
      </c>
      <c r="M117" s="120">
        <v>5.1669749339157827</v>
      </c>
      <c r="N117" s="120">
        <v>5.9605703235687288</v>
      </c>
      <c r="O117" s="120">
        <v>5.9605703235687288</v>
      </c>
      <c r="P117" s="120">
        <v>8.4934819274008699</v>
      </c>
      <c r="Q117" s="120">
        <v>5.3770787606769268</v>
      </c>
      <c r="R117" s="120">
        <v>8.3253747687094961</v>
      </c>
      <c r="S117" s="120">
        <v>5.3770787606769268</v>
      </c>
      <c r="T117" s="120">
        <v>5.1669749339157827</v>
      </c>
      <c r="U117" s="120">
        <v>6.8884171116932871</v>
      </c>
      <c r="V117" s="120">
        <v>6.0538209414015975</v>
      </c>
      <c r="W117" s="120">
        <v>6.3970571254702886</v>
      </c>
      <c r="X117" s="120">
        <v>6.0538209414015975</v>
      </c>
      <c r="Y117" s="120">
        <v>6.1489289046687592</v>
      </c>
      <c r="Z117" s="120">
        <v>7.209607221574406</v>
      </c>
      <c r="AA117" s="120">
        <v>6.0538209414015975</v>
      </c>
      <c r="AB117" s="120">
        <v>6.1280638062400614</v>
      </c>
      <c r="AC117" s="120">
        <v>7.2389784049726202</v>
      </c>
      <c r="AD117" s="120">
        <v>6.0538209414015975</v>
      </c>
      <c r="AE117" s="120">
        <v>5.1669749339157827</v>
      </c>
      <c r="AF117" s="120">
        <v>8.3689049325431295</v>
      </c>
      <c r="AG117" s="120">
        <v>6.0526208518381299</v>
      </c>
      <c r="AH117" s="120">
        <v>5.1669749339157827</v>
      </c>
      <c r="AI117" s="120">
        <v>5.3763503056969562</v>
      </c>
      <c r="AJ117" s="120">
        <v>5.1669749339157827</v>
      </c>
      <c r="AK117" s="120">
        <v>5.3452906754641338</v>
      </c>
      <c r="AL117" s="120">
        <v>8.1827258083769241</v>
      </c>
      <c r="AM117" s="120">
        <v>5.3770787606769268</v>
      </c>
      <c r="AN117" s="120">
        <v>8.1417388555953352</v>
      </c>
      <c r="AO117" s="120">
        <v>5.3770787606769268</v>
      </c>
      <c r="AP117" s="120">
        <v>8.3689049325431295</v>
      </c>
      <c r="AQ117" s="683">
        <v>6.8884171116932871</v>
      </c>
      <c r="AR117" s="120">
        <v>6.0526208518381299</v>
      </c>
    </row>
    <row r="118" spans="1:44">
      <c r="A118" t="b">
        <f t="shared" si="0"/>
        <v>1</v>
      </c>
      <c r="B118" s="120">
        <v>6.173673268874893</v>
      </c>
      <c r="C118" s="120">
        <v>6.0797817300401036</v>
      </c>
      <c r="D118" s="120">
        <v>6.0797817300401036</v>
      </c>
      <c r="E118" s="120">
        <v>6.4633494848503572</v>
      </c>
      <c r="F118" s="120">
        <v>6.0797817300401036</v>
      </c>
      <c r="G118" s="120">
        <v>6.1748973602296298</v>
      </c>
      <c r="H118" s="120">
        <v>6.1748973602296298</v>
      </c>
      <c r="I118" s="120">
        <v>6.2254732838164584</v>
      </c>
      <c r="J118" s="120">
        <v>7.7919097236349906</v>
      </c>
      <c r="K118" s="120">
        <v>8.8767456423060835</v>
      </c>
      <c r="L118" s="120">
        <v>6.3297253926345531</v>
      </c>
      <c r="M118" s="120">
        <v>5.2703144325940983</v>
      </c>
      <c r="N118" s="120">
        <v>6.0797817300401036</v>
      </c>
      <c r="O118" s="120">
        <v>6.0797817300401036</v>
      </c>
      <c r="P118" s="120">
        <v>8.6570544121160644</v>
      </c>
      <c r="Q118" s="120">
        <v>5.4846203358904653</v>
      </c>
      <c r="R118" s="120">
        <v>8.485528431258583</v>
      </c>
      <c r="S118" s="120">
        <v>5.4846203358904653</v>
      </c>
      <c r="T118" s="120">
        <v>5.2703144325940983</v>
      </c>
      <c r="U118" s="120">
        <v>7.0261854539271527</v>
      </c>
      <c r="V118" s="120">
        <v>6.1748973602296298</v>
      </c>
      <c r="W118" s="120">
        <v>6.5222055886822634</v>
      </c>
      <c r="X118" s="120">
        <v>6.1748973602296298</v>
      </c>
      <c r="Y118" s="120">
        <v>6.2702440708151546</v>
      </c>
      <c r="Z118" s="120">
        <v>7.3431721404557848</v>
      </c>
      <c r="AA118" s="120">
        <v>6.1748973602296298</v>
      </c>
      <c r="AB118" s="120">
        <v>6.2464088294784608</v>
      </c>
      <c r="AC118" s="120">
        <v>7.3676791389138607</v>
      </c>
      <c r="AD118" s="120">
        <v>6.1748973602296298</v>
      </c>
      <c r="AE118" s="120">
        <v>5.2703144325940983</v>
      </c>
      <c r="AF118" s="120">
        <v>8.5362830311939923</v>
      </c>
      <c r="AG118" s="120">
        <v>6.173673268874893</v>
      </c>
      <c r="AH118" s="120">
        <v>5.2703144325940983</v>
      </c>
      <c r="AI118" s="120">
        <v>5.4838157635217968</v>
      </c>
      <c r="AJ118" s="120">
        <v>5.2703144325940983</v>
      </c>
      <c r="AK118" s="120">
        <v>5.4521964889734162</v>
      </c>
      <c r="AL118" s="120">
        <v>8.3402054262679979</v>
      </c>
      <c r="AM118" s="120">
        <v>5.4846203358904653</v>
      </c>
      <c r="AN118" s="120">
        <v>8.299192673090344</v>
      </c>
      <c r="AO118" s="120">
        <v>5.4846203358904653</v>
      </c>
      <c r="AP118" s="120">
        <v>8.5362830311939923</v>
      </c>
      <c r="AQ118" s="683">
        <v>7.0261854539271527</v>
      </c>
      <c r="AR118" s="120">
        <v>6.173673268874893</v>
      </c>
    </row>
    <row r="119" spans="1:44">
      <c r="A119" t="b">
        <f t="shared" si="0"/>
        <v>1</v>
      </c>
      <c r="B119" s="120">
        <v>6.297146734252391</v>
      </c>
      <c r="C119" s="120">
        <v>6.2013773646409058</v>
      </c>
      <c r="D119" s="120">
        <v>6.2013773646409058</v>
      </c>
      <c r="E119" s="120">
        <v>6.5958935536428367</v>
      </c>
      <c r="F119" s="120">
        <v>6.2013773646409058</v>
      </c>
      <c r="G119" s="120">
        <v>6.2983953074342223</v>
      </c>
      <c r="H119" s="120">
        <v>6.2983953074342223</v>
      </c>
      <c r="I119" s="120">
        <v>6.3504246552843258</v>
      </c>
      <c r="J119" s="120">
        <v>7.8854126403186102</v>
      </c>
      <c r="K119" s="120">
        <v>9.0587812861815902</v>
      </c>
      <c r="L119" s="120">
        <v>6.4563199004872445</v>
      </c>
      <c r="M119" s="120">
        <v>5.3757207212459805</v>
      </c>
      <c r="N119" s="120">
        <v>6.2013773646409058</v>
      </c>
      <c r="O119" s="120">
        <v>6.2013773646409058</v>
      </c>
      <c r="P119" s="120">
        <v>8.8333819389575297</v>
      </c>
      <c r="Q119" s="120">
        <v>5.5943127426082748</v>
      </c>
      <c r="R119" s="120">
        <v>8.6585027888681765</v>
      </c>
      <c r="S119" s="120">
        <v>5.5943127426082748</v>
      </c>
      <c r="T119" s="120">
        <v>5.3757207212459805</v>
      </c>
      <c r="U119" s="120">
        <v>7.166709163005696</v>
      </c>
      <c r="V119" s="120">
        <v>6.2983953074342223</v>
      </c>
      <c r="W119" s="120">
        <v>6.6535804462164263</v>
      </c>
      <c r="X119" s="120">
        <v>6.2983953074342223</v>
      </c>
      <c r="Y119" s="120">
        <v>6.3951725782516053</v>
      </c>
      <c r="Z119" s="120">
        <v>7.4883212216378912</v>
      </c>
      <c r="AA119" s="120">
        <v>6.2983953074342223</v>
      </c>
      <c r="AB119" s="120">
        <v>6.373501342787347</v>
      </c>
      <c r="AC119" s="120">
        <v>7.506519020801961</v>
      </c>
      <c r="AD119" s="120">
        <v>6.2983953074342223</v>
      </c>
      <c r="AE119" s="120">
        <v>5.3757207212459805</v>
      </c>
      <c r="AF119" s="120">
        <v>8.7070086918178724</v>
      </c>
      <c r="AG119" s="120">
        <v>6.297146734252391</v>
      </c>
      <c r="AH119" s="120">
        <v>5.3757207212459805</v>
      </c>
      <c r="AI119" s="120">
        <v>5.5935265911225178</v>
      </c>
      <c r="AJ119" s="120">
        <v>5.3757207212459805</v>
      </c>
      <c r="AK119" s="120">
        <v>5.5612404187528846</v>
      </c>
      <c r="AL119" s="120">
        <v>8.5101561762415319</v>
      </c>
      <c r="AM119" s="120">
        <v>5.5943127426082748</v>
      </c>
      <c r="AN119" s="120">
        <v>8.4679552048429194</v>
      </c>
      <c r="AO119" s="120">
        <v>5.5943127426082748</v>
      </c>
      <c r="AP119" s="120">
        <v>8.7070086918178724</v>
      </c>
      <c r="AQ119" s="683">
        <v>7.166709163005696</v>
      </c>
      <c r="AR119" s="120">
        <v>6.297146734252391</v>
      </c>
    </row>
    <row r="120" spans="1:44">
      <c r="A120" t="b">
        <f t="shared" si="0"/>
        <v>1</v>
      </c>
      <c r="B120" s="120">
        <v>6.4230896689374388</v>
      </c>
      <c r="C120" s="120">
        <v>6.3254049119337239</v>
      </c>
      <c r="D120" s="120">
        <v>6.3254049119337239</v>
      </c>
      <c r="E120" s="120">
        <v>6.7344073182693354</v>
      </c>
      <c r="F120" s="120">
        <v>6.3254049119337239</v>
      </c>
      <c r="G120" s="120">
        <v>6.4243632135829065</v>
      </c>
      <c r="H120" s="120">
        <v>6.4243632135829065</v>
      </c>
      <c r="I120" s="120">
        <v>6.4783222078417522</v>
      </c>
      <c r="J120" s="120">
        <v>8.0746625436862569</v>
      </c>
      <c r="K120" s="120">
        <v>9.2490156931914029</v>
      </c>
      <c r="L120" s="120">
        <v>6.585446298496989</v>
      </c>
      <c r="M120" s="120">
        <v>5.4832351356708999</v>
      </c>
      <c r="N120" s="120">
        <v>6.3254049119337239</v>
      </c>
      <c r="O120" s="120">
        <v>6.3254049119337239</v>
      </c>
      <c r="P120" s="120">
        <v>9.0163030427028037</v>
      </c>
      <c r="Q120" s="120">
        <v>5.7061989974604401</v>
      </c>
      <c r="R120" s="120">
        <v>8.8382030772164271</v>
      </c>
      <c r="S120" s="120">
        <v>5.7061989974604401</v>
      </c>
      <c r="T120" s="120">
        <v>5.4832351356708999</v>
      </c>
      <c r="U120" s="120">
        <v>7.3100433462658101</v>
      </c>
      <c r="V120" s="120">
        <v>6.4243632135829065</v>
      </c>
      <c r="W120" s="120">
        <v>6.7891832110836337</v>
      </c>
      <c r="X120" s="120">
        <v>6.4243632135829065</v>
      </c>
      <c r="Y120" s="120">
        <v>6.5239823566279691</v>
      </c>
      <c r="Z120" s="120">
        <v>7.6449549197615125</v>
      </c>
      <c r="AA120" s="120">
        <v>6.4243632135829065</v>
      </c>
      <c r="AB120" s="120">
        <v>6.5053490103208995</v>
      </c>
      <c r="AC120" s="120">
        <v>7.6636422027093749</v>
      </c>
      <c r="AD120" s="120">
        <v>6.4243632135829065</v>
      </c>
      <c r="AE120" s="120">
        <v>5.4832351356708999</v>
      </c>
      <c r="AF120" s="120">
        <v>8.8811488656542306</v>
      </c>
      <c r="AG120" s="120">
        <v>6.4230896689374388</v>
      </c>
      <c r="AH120" s="120">
        <v>5.4832351356708999</v>
      </c>
      <c r="AI120" s="120">
        <v>5.705466773009654</v>
      </c>
      <c r="AJ120" s="120">
        <v>5.4832351356708999</v>
      </c>
      <c r="AK120" s="120">
        <v>5.6724652271279421</v>
      </c>
      <c r="AL120" s="120">
        <v>8.6865676709914865</v>
      </c>
      <c r="AM120" s="120">
        <v>5.7061989974604401</v>
      </c>
      <c r="AN120" s="120">
        <v>8.6429007671061981</v>
      </c>
      <c r="AO120" s="120">
        <v>5.7061989974604401</v>
      </c>
      <c r="AP120" s="120">
        <v>8.8811488656542306</v>
      </c>
      <c r="AQ120" s="683">
        <v>7.3100433462658101</v>
      </c>
      <c r="AR120" s="120">
        <v>6.4230896689374388</v>
      </c>
    </row>
    <row r="121" spans="1:44">
      <c r="A121" t="b">
        <f t="shared" si="0"/>
        <v>1</v>
      </c>
      <c r="B121" s="120">
        <v>6.5515514623161879</v>
      </c>
      <c r="C121" s="120">
        <v>6.4519130101723983</v>
      </c>
      <c r="D121" s="120">
        <v>6.4519130101723983</v>
      </c>
      <c r="E121" s="120">
        <v>6.8758298719529911</v>
      </c>
      <c r="F121" s="120">
        <v>6.4519130101723983</v>
      </c>
      <c r="G121" s="120">
        <v>6.5528504778545651</v>
      </c>
      <c r="H121" s="120">
        <v>6.5528504778545651</v>
      </c>
      <c r="I121" s="120">
        <v>6.6087956171076856</v>
      </c>
      <c r="J121" s="120">
        <v>8.276529107278412</v>
      </c>
      <c r="K121" s="120">
        <v>9.443245022748421</v>
      </c>
      <c r="L121" s="120">
        <v>6.7171552244669286</v>
      </c>
      <c r="M121" s="120">
        <v>5.5928998383843176</v>
      </c>
      <c r="N121" s="120">
        <v>6.4519130101723983</v>
      </c>
      <c r="O121" s="120">
        <v>6.4519130101723983</v>
      </c>
      <c r="P121" s="120">
        <v>9.2030120648723699</v>
      </c>
      <c r="Q121" s="120">
        <v>5.8203229774096492</v>
      </c>
      <c r="R121" s="120">
        <v>9.0216329010767478</v>
      </c>
      <c r="S121" s="120">
        <v>5.8203229774096492</v>
      </c>
      <c r="T121" s="120">
        <v>5.5928998383843176</v>
      </c>
      <c r="U121" s="120">
        <v>7.4562442131911268</v>
      </c>
      <c r="V121" s="120">
        <v>6.5528504778545651</v>
      </c>
      <c r="W121" s="120">
        <v>6.9275568265558913</v>
      </c>
      <c r="X121" s="120">
        <v>6.5528504778545651</v>
      </c>
      <c r="Y121" s="120">
        <v>6.6556515698535641</v>
      </c>
      <c r="Z121" s="120">
        <v>7.8053961449851421</v>
      </c>
      <c r="AA121" s="120">
        <v>6.5528504778545651</v>
      </c>
      <c r="AB121" s="120">
        <v>6.6399241908020583</v>
      </c>
      <c r="AC121" s="120">
        <v>7.8252981591377448</v>
      </c>
      <c r="AD121" s="120">
        <v>6.5528504778545651</v>
      </c>
      <c r="AE121" s="120">
        <v>5.5928998383843176</v>
      </c>
      <c r="AF121" s="120">
        <v>9.0587718429673156</v>
      </c>
      <c r="AG121" s="120">
        <v>6.5515514623161879</v>
      </c>
      <c r="AH121" s="120">
        <v>5.5928998383843176</v>
      </c>
      <c r="AI121" s="120">
        <v>5.8196471524031033</v>
      </c>
      <c r="AJ121" s="120">
        <v>5.5928998383843176</v>
      </c>
      <c r="AK121" s="120">
        <v>5.7859145316705014</v>
      </c>
      <c r="AL121" s="120">
        <v>8.8666360922226257</v>
      </c>
      <c r="AM121" s="120">
        <v>5.8203229774096492</v>
      </c>
      <c r="AN121" s="120">
        <v>8.8214606552622392</v>
      </c>
      <c r="AO121" s="120">
        <v>5.8203229774096492</v>
      </c>
      <c r="AP121" s="120">
        <v>9.0587718429673156</v>
      </c>
      <c r="AQ121" s="683">
        <v>7.4562442131911268</v>
      </c>
      <c r="AR121" s="120">
        <v>6.5515514623161879</v>
      </c>
    </row>
    <row r="122" spans="1:44">
      <c r="A122" t="b">
        <f t="shared" si="0"/>
        <v>1</v>
      </c>
      <c r="B122" s="120">
        <v>6.6825824915625116</v>
      </c>
      <c r="C122" s="120">
        <v>6.5809512703758459</v>
      </c>
      <c r="D122" s="120">
        <v>6.5809512703758459</v>
      </c>
      <c r="E122" s="120">
        <v>7.0202222992640033</v>
      </c>
      <c r="F122" s="120">
        <v>6.5809512703758459</v>
      </c>
      <c r="G122" s="120">
        <v>6.6839074874116564</v>
      </c>
      <c r="H122" s="120">
        <v>6.6839074874116564</v>
      </c>
      <c r="I122" s="120">
        <v>6.7418967608362346</v>
      </c>
      <c r="J122" s="120">
        <v>8.4834423349603707</v>
      </c>
      <c r="K122" s="120">
        <v>9.6415531682261371</v>
      </c>
      <c r="L122" s="120">
        <v>6.851498328956267</v>
      </c>
      <c r="M122" s="120">
        <v>5.7047578351520043</v>
      </c>
      <c r="N122" s="120">
        <v>6.5809512703758459</v>
      </c>
      <c r="O122" s="120">
        <v>6.5809512703758459</v>
      </c>
      <c r="P122" s="120">
        <v>9.3935874454367703</v>
      </c>
      <c r="Q122" s="120">
        <v>5.9367294369578421</v>
      </c>
      <c r="R122" s="120">
        <v>9.2088696639706562</v>
      </c>
      <c r="S122" s="120">
        <v>5.9367294369578421</v>
      </c>
      <c r="T122" s="120">
        <v>5.7047578351520043</v>
      </c>
      <c r="U122" s="120">
        <v>7.6053690974549495</v>
      </c>
      <c r="V122" s="120">
        <v>6.6839074874116564</v>
      </c>
      <c r="W122" s="120">
        <v>7.0687502841766277</v>
      </c>
      <c r="X122" s="120">
        <v>6.6839074874116564</v>
      </c>
      <c r="Y122" s="120">
        <v>6.7899735382596038</v>
      </c>
      <c r="Z122" s="120">
        <v>7.9692044779316342</v>
      </c>
      <c r="AA122" s="120">
        <v>6.6839074874116564</v>
      </c>
      <c r="AB122" s="120">
        <v>6.7772833078825911</v>
      </c>
      <c r="AC122" s="120">
        <v>7.9903640670692697</v>
      </c>
      <c r="AD122" s="120">
        <v>6.6839074874116564</v>
      </c>
      <c r="AE122" s="120">
        <v>5.7047578351520043</v>
      </c>
      <c r="AF122" s="120">
        <v>9.2399472798266622</v>
      </c>
      <c r="AG122" s="120">
        <v>6.6825824915625116</v>
      </c>
      <c r="AH122" s="120">
        <v>5.7047578351520043</v>
      </c>
      <c r="AI122" s="120">
        <v>5.936112561147719</v>
      </c>
      <c r="AJ122" s="120">
        <v>5.7047578351520043</v>
      </c>
      <c r="AK122" s="120">
        <v>5.9016328223039114</v>
      </c>
      <c r="AL122" s="120">
        <v>9.0504372462836677</v>
      </c>
      <c r="AM122" s="120">
        <v>5.9367294369578421</v>
      </c>
      <c r="AN122" s="120">
        <v>9.0037095402629088</v>
      </c>
      <c r="AO122" s="120">
        <v>5.9367294369578421</v>
      </c>
      <c r="AP122" s="120">
        <v>9.2399472798266622</v>
      </c>
      <c r="AQ122" s="683">
        <v>7.6053690974549495</v>
      </c>
      <c r="AR122" s="120">
        <v>6.6825824915625116</v>
      </c>
    </row>
  </sheetData>
  <mergeCells count="1">
    <mergeCell ref="A1:A3"/>
  </mergeCells>
  <phoneticPr fontId="0" type="noConversion"/>
  <conditionalFormatting sqref="B67:AR122">
    <cfRule type="cellIs" dxfId="2" priority="1" stopIfTrue="1" operator="equal">
      <formula>1</formula>
    </cfRule>
  </conditionalFormatting>
  <pageMargins left="0.17" right="0.16" top="0.17" bottom="0.17" header="0.5" footer="0.5"/>
  <pageSetup scale="2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CE63"/>
  <sheetViews>
    <sheetView zoomScaleNormal="100" workbookViewId="0">
      <pane xSplit="1" ySplit="4" topLeftCell="B5" activePane="bottomRight" state="frozen"/>
      <selection sqref="A1:A3"/>
      <selection pane="topRight" sqref="A1:A3"/>
      <selection pane="bottomLeft" sqref="A1:A3"/>
      <selection pane="bottomRight" activeCell="B7" sqref="B7:B62"/>
    </sheetView>
  </sheetViews>
  <sheetFormatPr defaultColWidth="6.28515625" defaultRowHeight="12.75"/>
  <cols>
    <col min="1" max="1" width="7.28515625" style="5" customWidth="1"/>
    <col min="2" max="43" width="6.28515625" style="1" customWidth="1"/>
    <col min="44" max="44" width="6.28515625" style="100" customWidth="1"/>
    <col min="45" max="49" width="6.28515625" style="1" customWidth="1"/>
    <col min="50" max="50" width="6" style="1" customWidth="1"/>
    <col min="51" max="56" width="6.28515625" style="1" customWidth="1"/>
    <col min="57" max="57" width="7" style="167" customWidth="1"/>
    <col min="58" max="59" width="6.28515625" style="1" customWidth="1"/>
    <col min="60" max="60" width="7.42578125" style="1" customWidth="1"/>
    <col min="61" max="62" width="6.28515625" style="1" customWidth="1"/>
    <col min="63" max="63" width="7.5703125" style="1" customWidth="1"/>
    <col min="64" max="64" width="6.28515625" style="1" customWidth="1"/>
    <col min="65" max="65" width="7.28515625" style="1" customWidth="1"/>
    <col min="66" max="66" width="6.28515625" style="1" customWidth="1"/>
    <col min="67" max="67" width="7.7109375" style="1" customWidth="1"/>
    <col min="68" max="70" width="6.28515625" style="1" customWidth="1"/>
    <col min="71" max="71" width="7.7109375" style="1" customWidth="1"/>
    <col min="72" max="77" width="6.28515625" style="1" customWidth="1"/>
    <col min="78" max="78" width="6.85546875" style="1" customWidth="1"/>
    <col min="79" max="79" width="8.140625" style="1" customWidth="1"/>
    <col min="80" max="80" width="9" style="1" customWidth="1"/>
    <col min="81" max="82" width="6.28515625" style="1" customWidth="1"/>
    <col min="83" max="83" width="6.85546875" style="1" customWidth="1"/>
    <col min="84" max="16384" width="6.28515625" style="1"/>
  </cols>
  <sheetData>
    <row r="1" spans="1:83" ht="18.75" customHeight="1">
      <c r="B1" s="24" t="s">
        <v>141</v>
      </c>
      <c r="C1"/>
      <c r="D1"/>
      <c r="E1"/>
      <c r="F1"/>
      <c r="G1"/>
      <c r="H1"/>
      <c r="J1" s="25"/>
      <c r="K1" s="25"/>
      <c r="L1" s="25"/>
      <c r="N1" s="287" t="s">
        <v>739</v>
      </c>
      <c r="O1"/>
      <c r="P1"/>
      <c r="Q1" s="27"/>
      <c r="R1" s="27"/>
      <c r="S1" s="27"/>
      <c r="T1" s="27"/>
      <c r="U1" s="27"/>
      <c r="V1" s="27"/>
      <c r="W1" s="27"/>
      <c r="X1" s="27"/>
      <c r="Y1" s="27"/>
      <c r="Z1" s="27"/>
      <c r="AA1" s="27"/>
      <c r="AB1" s="28" t="s">
        <v>12</v>
      </c>
      <c r="AC1" s="25"/>
      <c r="AD1" s="25"/>
      <c r="AE1" s="25"/>
      <c r="AF1" s="27"/>
      <c r="AG1" s="27"/>
      <c r="AH1" s="27"/>
      <c r="AI1" s="27"/>
      <c r="AJ1" s="27"/>
      <c r="AK1" s="27"/>
      <c r="AL1" s="27"/>
      <c r="AM1" s="27"/>
      <c r="AN1" s="27"/>
      <c r="AO1" s="27"/>
      <c r="AP1" s="27"/>
      <c r="AQ1" s="27"/>
    </row>
    <row r="2" spans="1:83" ht="36.75" customHeight="1">
      <c r="A2" s="129" t="s">
        <v>194</v>
      </c>
      <c r="B2" s="777"/>
      <c r="C2" s="777"/>
      <c r="D2" s="777"/>
      <c r="E2" s="777"/>
      <c r="F2" s="777"/>
      <c r="G2" s="777"/>
      <c r="H2" s="777"/>
      <c r="I2" s="777"/>
      <c r="J2" s="777"/>
      <c r="K2" s="777"/>
      <c r="L2" s="777"/>
      <c r="M2" s="777"/>
      <c r="N2" s="777"/>
      <c r="O2" s="777"/>
      <c r="P2" s="27"/>
      <c r="Q2" s="27"/>
      <c r="R2" s="27"/>
      <c r="S2" s="27"/>
      <c r="T2" s="27"/>
      <c r="U2" s="27"/>
      <c r="V2" s="27"/>
      <c r="W2" s="27"/>
      <c r="X2" s="27"/>
      <c r="Y2" s="27"/>
      <c r="Z2" s="27"/>
      <c r="AA2" s="27"/>
      <c r="AB2" s="28"/>
      <c r="AC2" s="25"/>
      <c r="AD2" s="25"/>
      <c r="AE2" s="25"/>
      <c r="AF2" s="27"/>
      <c r="AG2" s="27"/>
      <c r="AH2" s="27"/>
      <c r="AI2" s="27"/>
      <c r="AJ2" s="27"/>
      <c r="AK2" s="27"/>
      <c r="AL2" s="27"/>
      <c r="AM2" s="27"/>
      <c r="AN2" s="27"/>
      <c r="AO2" s="27"/>
      <c r="AP2" s="27"/>
      <c r="AQ2" s="27"/>
      <c r="AU2" s="1" t="s">
        <v>120</v>
      </c>
      <c r="BE2" s="263"/>
      <c r="BK2" s="265"/>
    </row>
    <row r="3" spans="1:83">
      <c r="A3" s="19"/>
      <c r="B3" s="23"/>
      <c r="C3" s="23"/>
      <c r="D3" s="23"/>
      <c r="E3" s="23"/>
      <c r="F3" s="23"/>
      <c r="G3" s="23"/>
      <c r="H3" s="23"/>
      <c r="I3" s="28"/>
      <c r="J3" s="25"/>
      <c r="K3" s="25"/>
      <c r="L3" s="25"/>
      <c r="M3" s="26"/>
      <c r="N3" s="26"/>
      <c r="O3" s="27"/>
      <c r="P3" s="27"/>
      <c r="Q3" s="27"/>
      <c r="R3" s="27"/>
      <c r="S3" s="27"/>
      <c r="T3" s="27"/>
      <c r="U3" s="27"/>
      <c r="V3" s="27"/>
      <c r="W3" s="27"/>
      <c r="X3" s="27"/>
      <c r="Y3" s="27"/>
      <c r="Z3" s="27"/>
      <c r="AA3" s="27"/>
      <c r="AB3" s="28"/>
      <c r="AC3" s="25"/>
      <c r="AD3" s="25"/>
      <c r="AE3" s="25"/>
      <c r="AF3" s="27"/>
      <c r="AG3" s="27"/>
      <c r="AH3" s="27"/>
      <c r="AI3" s="27"/>
      <c r="AJ3" s="27"/>
      <c r="AK3" s="27"/>
      <c r="AL3" s="27"/>
      <c r="AM3" s="27"/>
      <c r="AN3" s="27"/>
      <c r="AO3" s="27"/>
      <c r="AP3" s="27"/>
      <c r="AQ3" s="27"/>
      <c r="AR3" s="100" t="s">
        <v>121</v>
      </c>
      <c r="AS3" s="100"/>
      <c r="AT3" s="100"/>
      <c r="AU3" s="100"/>
      <c r="AV3" s="100"/>
      <c r="AW3" s="100"/>
      <c r="AX3" s="100"/>
      <c r="AY3" s="100"/>
      <c r="AZ3" s="100"/>
      <c r="BA3" s="100"/>
      <c r="BB3" s="100"/>
      <c r="BC3" s="100"/>
      <c r="BD3" s="100"/>
      <c r="BE3" s="264" t="s">
        <v>408</v>
      </c>
      <c r="BF3" s="253"/>
      <c r="BG3" s="253"/>
      <c r="BH3" s="254"/>
      <c r="BI3" s="255"/>
      <c r="BJ3" s="254"/>
      <c r="BK3" s="254"/>
      <c r="BL3" s="254"/>
      <c r="BM3" s="254"/>
      <c r="BN3" s="254"/>
      <c r="BO3" s="254"/>
      <c r="BP3" s="254"/>
      <c r="BQ3" s="254"/>
      <c r="BR3" s="254"/>
      <c r="BS3" s="254"/>
      <c r="BT3" s="254"/>
      <c r="BU3" s="254"/>
      <c r="BV3" s="254"/>
      <c r="BW3" s="254"/>
      <c r="BX3" s="254"/>
      <c r="BY3" s="254"/>
      <c r="BZ3" s="254"/>
      <c r="CA3" s="254"/>
      <c r="CB3" s="254"/>
      <c r="CC3" s="254"/>
      <c r="CD3" s="254"/>
    </row>
    <row r="4" spans="1:83" s="22" customFormat="1" ht="63.75" customHeight="1">
      <c r="A4" s="20"/>
      <c r="B4" s="22" t="s">
        <v>89</v>
      </c>
      <c r="C4" s="22" t="s">
        <v>3</v>
      </c>
      <c r="D4" s="22" t="s">
        <v>90</v>
      </c>
      <c r="E4" s="22" t="s">
        <v>4</v>
      </c>
      <c r="F4" s="22" t="s">
        <v>5</v>
      </c>
      <c r="G4" s="22" t="s">
        <v>6</v>
      </c>
      <c r="H4" s="22" t="s">
        <v>7</v>
      </c>
      <c r="I4" s="22" t="s">
        <v>8</v>
      </c>
      <c r="J4" s="22" t="s">
        <v>9</v>
      </c>
      <c r="K4" s="22" t="s">
        <v>254</v>
      </c>
      <c r="L4" s="22" t="s">
        <v>145</v>
      </c>
      <c r="M4" s="22" t="s">
        <v>146</v>
      </c>
      <c r="N4" s="22" t="s">
        <v>196</v>
      </c>
      <c r="O4" s="22" t="s">
        <v>11</v>
      </c>
      <c r="P4" s="22" t="s">
        <v>93</v>
      </c>
      <c r="Q4" s="22" t="s">
        <v>14</v>
      </c>
      <c r="R4" s="22" t="s">
        <v>16</v>
      </c>
      <c r="S4" s="22" t="s">
        <v>18</v>
      </c>
      <c r="T4" s="22" t="s">
        <v>147</v>
      </c>
      <c r="U4" s="22" t="s">
        <v>239</v>
      </c>
      <c r="V4" s="22" t="s">
        <v>13</v>
      </c>
      <c r="W4" s="22" t="s">
        <v>15</v>
      </c>
      <c r="X4" s="22" t="s">
        <v>17</v>
      </c>
      <c r="Y4" s="22" t="s">
        <v>19</v>
      </c>
      <c r="Z4" s="22" t="s">
        <v>20</v>
      </c>
      <c r="AA4" s="22" t="s">
        <v>21</v>
      </c>
      <c r="AB4" s="22" t="s">
        <v>207</v>
      </c>
      <c r="AC4" s="22" t="s">
        <v>22</v>
      </c>
      <c r="AD4" s="22" t="s">
        <v>91</v>
      </c>
      <c r="AE4" s="22" t="s">
        <v>25</v>
      </c>
      <c r="AF4" s="22" t="s">
        <v>26</v>
      </c>
      <c r="AG4" s="22" t="s">
        <v>149</v>
      </c>
      <c r="AH4" s="22" t="s">
        <v>241</v>
      </c>
      <c r="AI4" s="22" t="s">
        <v>23</v>
      </c>
      <c r="AJ4" s="22" t="s">
        <v>24</v>
      </c>
      <c r="AK4" s="22" t="s">
        <v>150</v>
      </c>
      <c r="AL4" s="22" t="s">
        <v>242</v>
      </c>
      <c r="AM4" s="22" t="s">
        <v>243</v>
      </c>
      <c r="AN4" s="22" t="s">
        <v>244</v>
      </c>
      <c r="AO4" s="22" t="s">
        <v>245</v>
      </c>
      <c r="AP4" s="193" t="s">
        <v>314</v>
      </c>
      <c r="AQ4" s="193" t="s">
        <v>315</v>
      </c>
      <c r="AR4" s="99" t="s">
        <v>109</v>
      </c>
      <c r="AS4" s="15" t="s">
        <v>118</v>
      </c>
      <c r="AT4" s="15" t="s">
        <v>119</v>
      </c>
      <c r="AU4" s="15" t="s">
        <v>110</v>
      </c>
      <c r="AV4" s="15" t="s">
        <v>111</v>
      </c>
      <c r="AW4" s="15" t="s">
        <v>112</v>
      </c>
      <c r="AX4" s="15" t="s">
        <v>101</v>
      </c>
      <c r="AY4" s="15" t="s">
        <v>102</v>
      </c>
      <c r="AZ4" s="15" t="s">
        <v>113</v>
      </c>
      <c r="BA4" s="15" t="s">
        <v>114</v>
      </c>
      <c r="BB4" s="15" t="s">
        <v>115</v>
      </c>
      <c r="BC4" s="15" t="s">
        <v>116</v>
      </c>
      <c r="BD4" s="15" t="s">
        <v>117</v>
      </c>
      <c r="BE4" s="256" t="s">
        <v>316</v>
      </c>
      <c r="BF4" s="256" t="s">
        <v>318</v>
      </c>
      <c r="BG4" s="256" t="s">
        <v>320</v>
      </c>
      <c r="BH4" s="256" t="s">
        <v>322</v>
      </c>
      <c r="BI4" s="256" t="s">
        <v>324</v>
      </c>
      <c r="BJ4" s="256" t="s">
        <v>325</v>
      </c>
      <c r="BK4" s="256" t="s">
        <v>327</v>
      </c>
      <c r="BL4" s="256" t="s">
        <v>328</v>
      </c>
      <c r="BM4" s="256" t="s">
        <v>330</v>
      </c>
      <c r="BN4" s="256" t="s">
        <v>331</v>
      </c>
      <c r="BO4" s="256" t="s">
        <v>333</v>
      </c>
      <c r="BP4" s="256" t="s">
        <v>335</v>
      </c>
      <c r="BQ4" s="256" t="s">
        <v>337</v>
      </c>
      <c r="BR4" s="256" t="s">
        <v>339</v>
      </c>
      <c r="BS4" s="256" t="s">
        <v>341</v>
      </c>
      <c r="BT4" s="256" t="s">
        <v>343</v>
      </c>
      <c r="BU4" s="256" t="s">
        <v>345</v>
      </c>
      <c r="BV4" s="256" t="s">
        <v>347</v>
      </c>
      <c r="BW4" s="256" t="s">
        <v>348</v>
      </c>
      <c r="BX4" s="257" t="s">
        <v>433</v>
      </c>
      <c r="BY4" s="256" t="s">
        <v>350</v>
      </c>
      <c r="BZ4" s="256" t="s">
        <v>434</v>
      </c>
      <c r="CA4" s="256" t="s">
        <v>352</v>
      </c>
      <c r="CB4" s="256" t="s">
        <v>435</v>
      </c>
      <c r="CC4" s="256" t="s">
        <v>354</v>
      </c>
      <c r="CD4" s="256" t="s">
        <v>356</v>
      </c>
    </row>
    <row r="5" spans="1:83">
      <c r="A5" s="21"/>
      <c r="B5" s="27" t="s">
        <v>28</v>
      </c>
      <c r="C5" s="29"/>
      <c r="D5" s="29"/>
      <c r="E5" s="29"/>
      <c r="F5" s="29"/>
      <c r="G5" s="29"/>
      <c r="H5" s="29"/>
      <c r="J5" s="29"/>
      <c r="K5" s="29"/>
      <c r="L5" s="29"/>
      <c r="M5" s="29"/>
      <c r="N5" s="29"/>
      <c r="O5" s="29"/>
      <c r="P5" s="29"/>
      <c r="Q5" s="29"/>
      <c r="R5" s="29"/>
      <c r="S5" s="29"/>
      <c r="T5" s="29"/>
      <c r="U5" s="29"/>
      <c r="V5" s="29"/>
      <c r="W5" s="29"/>
      <c r="X5" s="29"/>
      <c r="Y5" s="29"/>
      <c r="Z5" s="29"/>
      <c r="AA5" s="29"/>
      <c r="AB5" s="27"/>
      <c r="AC5" s="29"/>
      <c r="AD5" s="29"/>
      <c r="AE5" s="29"/>
      <c r="AF5" s="29"/>
      <c r="BI5" s="413" t="s">
        <v>500</v>
      </c>
      <c r="CE5" s="4" t="s">
        <v>282</v>
      </c>
    </row>
    <row r="6" spans="1:83" s="6" customFormat="1">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6">
        <v>41</v>
      </c>
      <c r="AQ6" s="6">
        <v>42</v>
      </c>
      <c r="AR6" s="97">
        <v>43</v>
      </c>
      <c r="AS6" s="4">
        <v>44</v>
      </c>
      <c r="AT6" s="4">
        <v>45</v>
      </c>
      <c r="AU6" s="4">
        <v>46</v>
      </c>
      <c r="AV6" s="4">
        <v>47</v>
      </c>
      <c r="AW6" s="4">
        <v>48</v>
      </c>
      <c r="AX6" s="4">
        <v>49</v>
      </c>
      <c r="AY6" s="4">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c r="A7" s="5">
        <v>1970</v>
      </c>
      <c r="B7" s="1">
        <v>5.51</v>
      </c>
      <c r="C7" s="1">
        <v>7.84</v>
      </c>
      <c r="D7" s="1">
        <v>3.72</v>
      </c>
      <c r="E7" s="1">
        <v>3.93</v>
      </c>
      <c r="F7" s="1">
        <v>3.93</v>
      </c>
      <c r="G7" s="1">
        <v>3.93</v>
      </c>
      <c r="H7" s="1">
        <v>8.19</v>
      </c>
      <c r="I7" s="1">
        <v>5.6</v>
      </c>
      <c r="J7" s="1">
        <v>15.11</v>
      </c>
      <c r="K7" s="1">
        <v>5.6</v>
      </c>
      <c r="L7" s="1">
        <v>3.85</v>
      </c>
      <c r="M7" s="1">
        <v>5.38</v>
      </c>
      <c r="N7" s="1">
        <v>3.93</v>
      </c>
      <c r="O7" s="1">
        <v>5.38</v>
      </c>
      <c r="P7" s="1">
        <v>3.72</v>
      </c>
      <c r="Q7" s="1">
        <v>3.93</v>
      </c>
      <c r="R7" s="1">
        <v>5.38</v>
      </c>
      <c r="S7" s="1">
        <v>5.38</v>
      </c>
      <c r="T7" s="1">
        <v>3.85</v>
      </c>
      <c r="U7" s="1">
        <v>7.84</v>
      </c>
      <c r="V7" s="1">
        <v>8.19</v>
      </c>
      <c r="W7" s="1">
        <v>3.72</v>
      </c>
      <c r="X7" s="1">
        <v>3.72</v>
      </c>
      <c r="Y7" s="1">
        <v>5.38</v>
      </c>
      <c r="Z7" s="1">
        <v>5.38</v>
      </c>
      <c r="AA7" s="1">
        <v>11.76</v>
      </c>
      <c r="AB7" s="1">
        <v>3.9427662957074672</v>
      </c>
      <c r="AC7" s="1">
        <v>7.84</v>
      </c>
      <c r="AD7" s="1">
        <v>3.72</v>
      </c>
      <c r="AE7" s="1">
        <v>5.379999999999999</v>
      </c>
      <c r="AF7" s="1">
        <v>5.38</v>
      </c>
      <c r="AG7" s="1">
        <v>3.85</v>
      </c>
      <c r="AH7" s="1">
        <v>7.84</v>
      </c>
      <c r="AI7" s="1">
        <v>5.3800000000000008</v>
      </c>
      <c r="AJ7" s="1">
        <v>5.38</v>
      </c>
      <c r="AK7" s="1">
        <v>3.85</v>
      </c>
      <c r="AL7" s="1">
        <v>5.3800000000000008</v>
      </c>
      <c r="AM7" s="1">
        <v>7.84</v>
      </c>
      <c r="AN7" s="1">
        <v>3.72</v>
      </c>
      <c r="AO7" s="1">
        <v>3.93</v>
      </c>
      <c r="AP7" s="1">
        <v>3.93</v>
      </c>
      <c r="AQ7" s="1">
        <v>3.93</v>
      </c>
      <c r="AR7" s="100">
        <v>6.2256249999999991</v>
      </c>
      <c r="AS7" s="1">
        <v>7.0712656534181235</v>
      </c>
      <c r="AT7" s="1">
        <v>7.7142720000000002</v>
      </c>
      <c r="AU7" s="1">
        <v>13.095586000000001</v>
      </c>
      <c r="AV7" s="1">
        <v>13.399930374238467</v>
      </c>
      <c r="AW7" s="1">
        <v>4.4344196178970634</v>
      </c>
      <c r="AX7" s="1">
        <v>4.8456000000000001</v>
      </c>
      <c r="AY7" s="1">
        <v>5.38</v>
      </c>
      <c r="AZ7" s="1">
        <v>8.1215883586138862</v>
      </c>
      <c r="BA7" s="1">
        <v>14.36684</v>
      </c>
      <c r="BB7" s="1">
        <v>12.711620000000002</v>
      </c>
      <c r="BC7" s="1">
        <v>5.7914036248012719</v>
      </c>
      <c r="BD7" s="1">
        <v>4.4304077965023847</v>
      </c>
      <c r="BE7" s="1">
        <v>3.4</v>
      </c>
      <c r="BF7" s="1">
        <v>3.4</v>
      </c>
      <c r="BG7" s="1">
        <v>3.4</v>
      </c>
      <c r="BH7" s="1">
        <v>3.4</v>
      </c>
      <c r="BI7" s="1">
        <v>3.4</v>
      </c>
      <c r="BJ7" s="1">
        <v>3.4</v>
      </c>
      <c r="BK7" s="1">
        <v>3.6065070595457493</v>
      </c>
      <c r="BL7" s="1">
        <v>3.4</v>
      </c>
      <c r="BM7" s="1">
        <v>-7.2449401073936386</v>
      </c>
      <c r="BN7" s="1">
        <v>3.4</v>
      </c>
      <c r="BO7" s="1">
        <v>3.4</v>
      </c>
      <c r="BP7" s="1">
        <v>3.4</v>
      </c>
      <c r="BQ7" s="1">
        <v>3.4</v>
      </c>
      <c r="BR7" s="1">
        <v>3.4</v>
      </c>
      <c r="BS7" s="1">
        <v>3.4</v>
      </c>
      <c r="BT7" s="1">
        <v>3.4</v>
      </c>
      <c r="BU7" s="1">
        <v>3.4</v>
      </c>
      <c r="BV7" s="1">
        <v>4.0000000000000036</v>
      </c>
      <c r="BW7" s="1">
        <v>2.9</v>
      </c>
      <c r="BX7" s="1">
        <v>3.8460000000000032</v>
      </c>
      <c r="BY7" s="1">
        <v>2.9</v>
      </c>
      <c r="BZ7" s="1">
        <v>3.8460000000000032</v>
      </c>
      <c r="CA7" s="1">
        <v>2.9</v>
      </c>
      <c r="CB7" s="1">
        <v>3.8460000000000032</v>
      </c>
      <c r="CC7" s="1">
        <v>3.4</v>
      </c>
      <c r="CD7" s="1">
        <v>3.4</v>
      </c>
      <c r="CE7" s="38">
        <v>1985</v>
      </c>
    </row>
    <row r="8" spans="1:83">
      <c r="A8" s="5">
        <v>1971</v>
      </c>
      <c r="B8" s="1">
        <v>5.14</v>
      </c>
      <c r="C8" s="1">
        <v>8.69</v>
      </c>
      <c r="D8" s="1">
        <v>4.01</v>
      </c>
      <c r="E8" s="1">
        <v>4.55</v>
      </c>
      <c r="F8" s="1">
        <v>4.55</v>
      </c>
      <c r="G8" s="1">
        <v>4.55</v>
      </c>
      <c r="H8" s="1">
        <v>9</v>
      </c>
      <c r="I8" s="1">
        <v>5.0999999999999996</v>
      </c>
      <c r="J8" s="1">
        <v>8.32</v>
      </c>
      <c r="K8" s="1">
        <v>5.0999999999999996</v>
      </c>
      <c r="L8" s="1">
        <v>3.94</v>
      </c>
      <c r="M8" s="1">
        <v>5.0599999999999996</v>
      </c>
      <c r="N8" s="1">
        <v>4.55</v>
      </c>
      <c r="O8" s="1">
        <v>5.0599999999999996</v>
      </c>
      <c r="P8" s="1">
        <v>4.01</v>
      </c>
      <c r="Q8" s="1">
        <v>4.55</v>
      </c>
      <c r="R8" s="1">
        <v>5.0599999999999996</v>
      </c>
      <c r="S8" s="1">
        <v>5.0599999999999987</v>
      </c>
      <c r="T8" s="1">
        <v>3.94</v>
      </c>
      <c r="U8" s="1">
        <v>8.69</v>
      </c>
      <c r="V8" s="1">
        <v>9</v>
      </c>
      <c r="W8" s="1">
        <v>4.01</v>
      </c>
      <c r="X8" s="1">
        <v>4.01</v>
      </c>
      <c r="Y8" s="1">
        <v>5.0599999999999996</v>
      </c>
      <c r="Z8" s="1">
        <v>5.0600000000000005</v>
      </c>
      <c r="AA8" s="1">
        <v>8.86</v>
      </c>
      <c r="AB8" s="1">
        <v>4.557968797797507</v>
      </c>
      <c r="AC8" s="1">
        <v>8.69</v>
      </c>
      <c r="AD8" s="1">
        <v>4.01</v>
      </c>
      <c r="AE8" s="1">
        <v>5.0599999999999996</v>
      </c>
      <c r="AF8" s="1">
        <v>5.0599999999999996</v>
      </c>
      <c r="AG8" s="1">
        <v>3.94</v>
      </c>
      <c r="AH8" s="1">
        <v>8.69</v>
      </c>
      <c r="AI8" s="1">
        <v>5.0599999999999996</v>
      </c>
      <c r="AJ8" s="1">
        <v>5.0599999999999996</v>
      </c>
      <c r="AK8" s="1">
        <v>3.94</v>
      </c>
      <c r="AL8" s="1">
        <v>5.0599999999999996</v>
      </c>
      <c r="AM8" s="1">
        <v>8.69</v>
      </c>
      <c r="AN8" s="1">
        <v>4.01</v>
      </c>
      <c r="AO8" s="1">
        <v>4.55</v>
      </c>
      <c r="AP8" s="1">
        <v>4.55</v>
      </c>
      <c r="AQ8" s="1">
        <v>4.55</v>
      </c>
      <c r="AR8" s="100">
        <v>5.5659399999999994</v>
      </c>
      <c r="AS8" s="1">
        <v>6.1021136800244751</v>
      </c>
      <c r="AT8" s="1">
        <v>6.4194800000000001</v>
      </c>
      <c r="AU8" s="1">
        <v>7.5364180000000003</v>
      </c>
      <c r="AV8" s="1">
        <v>7.6548041775456914</v>
      </c>
      <c r="AW8" s="1">
        <v>4.5189279823991919</v>
      </c>
      <c r="AX8" s="1">
        <v>4.6890000000000001</v>
      </c>
      <c r="AY8" s="1">
        <v>5.0599999999999996</v>
      </c>
      <c r="AZ8" s="1">
        <v>8.7022117400419283</v>
      </c>
      <c r="BA8" s="1">
        <v>8.0309200000000001</v>
      </c>
      <c r="BB8" s="1">
        <v>7.3870600000000008</v>
      </c>
      <c r="BC8" s="1">
        <v>5.2690532823493417</v>
      </c>
      <c r="BD8" s="1">
        <v>4.4498743450596514</v>
      </c>
      <c r="BE8" s="1">
        <v>2.8</v>
      </c>
      <c r="BF8" s="1">
        <v>2.8</v>
      </c>
      <c r="BG8" s="1">
        <v>2.8</v>
      </c>
      <c r="BH8" s="1">
        <v>2.8</v>
      </c>
      <c r="BI8" s="1">
        <v>2.8</v>
      </c>
      <c r="BJ8" s="1">
        <v>2.8</v>
      </c>
      <c r="BK8" s="1">
        <v>0.90356984150496977</v>
      </c>
      <c r="BL8" s="1">
        <v>2.8</v>
      </c>
      <c r="BM8" s="1">
        <v>-13.350552190951193</v>
      </c>
      <c r="BN8" s="1">
        <v>2.8</v>
      </c>
      <c r="BO8" s="1">
        <v>2.8</v>
      </c>
      <c r="BP8" s="1">
        <v>2.8</v>
      </c>
      <c r="BQ8" s="1">
        <v>2.8</v>
      </c>
      <c r="BR8" s="1">
        <v>2.8</v>
      </c>
      <c r="BS8" s="1">
        <v>2.8</v>
      </c>
      <c r="BT8" s="1">
        <v>2.8</v>
      </c>
      <c r="BU8" s="1">
        <v>2.8</v>
      </c>
      <c r="BV8" s="1">
        <v>4.0000000000000036</v>
      </c>
      <c r="BW8" s="1">
        <v>2.5</v>
      </c>
      <c r="BX8" s="1">
        <v>3.7900000000000031</v>
      </c>
      <c r="BY8" s="1">
        <v>2.5</v>
      </c>
      <c r="BZ8" s="1">
        <v>3.7900000000000031</v>
      </c>
      <c r="CA8" s="1">
        <v>2.5</v>
      </c>
      <c r="CB8" s="1">
        <v>3.7900000000000031</v>
      </c>
      <c r="CC8" s="1">
        <v>2.8</v>
      </c>
      <c r="CD8" s="1">
        <v>2.8</v>
      </c>
      <c r="CE8" s="37">
        <v>1986</v>
      </c>
    </row>
    <row r="9" spans="1:83">
      <c r="A9" s="5">
        <v>1972</v>
      </c>
      <c r="B9" s="1">
        <v>4.6100000000000003</v>
      </c>
      <c r="C9" s="1">
        <v>5.94</v>
      </c>
      <c r="D9" s="1">
        <v>4.09</v>
      </c>
      <c r="E9" s="1">
        <v>3.83</v>
      </c>
      <c r="F9" s="1">
        <v>3.83</v>
      </c>
      <c r="G9" s="1">
        <v>3.83</v>
      </c>
      <c r="H9" s="1">
        <v>7.31</v>
      </c>
      <c r="I9" s="1">
        <v>4.4000000000000004</v>
      </c>
      <c r="J9" s="1">
        <v>16.68</v>
      </c>
      <c r="K9" s="1">
        <v>4.4000000000000004</v>
      </c>
      <c r="L9" s="1">
        <v>3.03</v>
      </c>
      <c r="M9" s="1">
        <v>4.78</v>
      </c>
      <c r="N9" s="1">
        <v>3.83</v>
      </c>
      <c r="O9" s="1">
        <v>4.78</v>
      </c>
      <c r="P9" s="1">
        <v>4.09</v>
      </c>
      <c r="Q9" s="1">
        <v>3.83</v>
      </c>
      <c r="R9" s="1">
        <v>4.78</v>
      </c>
      <c r="S9" s="1">
        <v>4.78</v>
      </c>
      <c r="T9" s="1">
        <v>3.03</v>
      </c>
      <c r="U9" s="1">
        <v>5.94</v>
      </c>
      <c r="V9" s="1">
        <v>7.31</v>
      </c>
      <c r="W9" s="1">
        <v>4.09</v>
      </c>
      <c r="X9" s="1">
        <v>4.09</v>
      </c>
      <c r="Y9" s="1">
        <v>4.78</v>
      </c>
      <c r="Z9" s="1">
        <v>4.78</v>
      </c>
      <c r="AA9" s="1">
        <v>8.48</v>
      </c>
      <c r="AB9" s="1">
        <v>3.8326506729081444</v>
      </c>
      <c r="AC9" s="1">
        <v>5.94</v>
      </c>
      <c r="AD9" s="1">
        <v>4.09</v>
      </c>
      <c r="AE9" s="1">
        <v>4.78</v>
      </c>
      <c r="AF9" s="1">
        <v>4.78</v>
      </c>
      <c r="AG9" s="1">
        <v>3.03</v>
      </c>
      <c r="AH9" s="1">
        <v>5.94</v>
      </c>
      <c r="AI9" s="1">
        <v>4.78</v>
      </c>
      <c r="AJ9" s="1">
        <v>4.78</v>
      </c>
      <c r="AK9" s="1">
        <v>3.03</v>
      </c>
      <c r="AL9" s="1">
        <v>4.78</v>
      </c>
      <c r="AM9" s="1">
        <v>5.94</v>
      </c>
      <c r="AN9" s="1">
        <v>4.09</v>
      </c>
      <c r="AO9" s="1">
        <v>3.83</v>
      </c>
      <c r="AP9" s="1">
        <v>3.83</v>
      </c>
      <c r="AQ9" s="1">
        <v>3.83</v>
      </c>
      <c r="AR9" s="100">
        <v>5.053115</v>
      </c>
      <c r="AS9" s="1">
        <v>5.8552409397308391</v>
      </c>
      <c r="AT9" s="1">
        <v>6.2709520000000003</v>
      </c>
      <c r="AU9" s="1">
        <v>14.238015000000001</v>
      </c>
      <c r="AV9" s="1">
        <v>14.60695822454308</v>
      </c>
      <c r="AW9" s="1">
        <v>4.4086447442773986</v>
      </c>
      <c r="AX9" s="1">
        <v>4.7046000000000001</v>
      </c>
      <c r="AY9" s="1">
        <v>4.78</v>
      </c>
      <c r="AZ9" s="1">
        <v>6.1224577629794066</v>
      </c>
      <c r="BA9" s="1">
        <v>15.7791</v>
      </c>
      <c r="BB9" s="1">
        <v>13.772550000000003</v>
      </c>
      <c r="BC9" s="1">
        <v>5.2123109654768873</v>
      </c>
      <c r="BD9" s="1">
        <v>4.4675126284376834</v>
      </c>
      <c r="BE9" s="1">
        <v>2.7</v>
      </c>
      <c r="BF9" s="1">
        <v>2.7</v>
      </c>
      <c r="BG9" s="1">
        <v>2.7</v>
      </c>
      <c r="BH9" s="1">
        <v>2.7</v>
      </c>
      <c r="BI9" s="1">
        <v>2.7</v>
      </c>
      <c r="BJ9" s="1">
        <v>2.7</v>
      </c>
      <c r="BK9" s="1">
        <v>2.2460364063417337</v>
      </c>
      <c r="BL9" s="1">
        <v>2.7</v>
      </c>
      <c r="BM9" s="1">
        <v>-8.181724740466656</v>
      </c>
      <c r="BN9" s="1">
        <v>2.7</v>
      </c>
      <c r="BO9" s="1">
        <v>2.7</v>
      </c>
      <c r="BP9" s="1">
        <v>2.7</v>
      </c>
      <c r="BQ9" s="1">
        <v>2.7</v>
      </c>
      <c r="BR9" s="1">
        <v>2.7</v>
      </c>
      <c r="BS9" s="1">
        <v>2.7</v>
      </c>
      <c r="BT9" s="1">
        <v>2.7</v>
      </c>
      <c r="BU9" s="1">
        <v>2.7</v>
      </c>
      <c r="BV9" s="1">
        <v>2.2499999999999964</v>
      </c>
      <c r="BW9" s="1">
        <v>2.7</v>
      </c>
      <c r="BX9" s="1">
        <v>2.3129999999999971</v>
      </c>
      <c r="BY9" s="1">
        <v>2.7</v>
      </c>
      <c r="BZ9" s="1">
        <v>2.3129999999999971</v>
      </c>
      <c r="CA9" s="1">
        <v>2.7</v>
      </c>
      <c r="CB9" s="1">
        <v>2.3129999999999971</v>
      </c>
      <c r="CC9" s="1">
        <v>2.7</v>
      </c>
      <c r="CD9" s="1">
        <v>2.7</v>
      </c>
      <c r="CE9" s="37">
        <v>1987</v>
      </c>
    </row>
    <row r="10" spans="1:83">
      <c r="A10" s="5">
        <v>1973</v>
      </c>
      <c r="B10" s="1">
        <v>4.3499999999999996</v>
      </c>
      <c r="C10" s="1">
        <v>5.55</v>
      </c>
      <c r="D10" s="1">
        <v>2.38</v>
      </c>
      <c r="E10" s="1">
        <v>4.16</v>
      </c>
      <c r="F10" s="1">
        <v>4.16</v>
      </c>
      <c r="G10" s="1">
        <v>4.16</v>
      </c>
      <c r="H10" s="1">
        <v>7.29</v>
      </c>
      <c r="I10" s="1">
        <v>5.3</v>
      </c>
      <c r="J10" s="1">
        <v>12.45</v>
      </c>
      <c r="K10" s="1">
        <v>5.3</v>
      </c>
      <c r="L10" s="1">
        <v>5.94</v>
      </c>
      <c r="M10" s="1">
        <v>4.32</v>
      </c>
      <c r="N10" s="1">
        <v>4.16</v>
      </c>
      <c r="O10" s="1">
        <v>4.32</v>
      </c>
      <c r="P10" s="1">
        <v>2.38</v>
      </c>
      <c r="Q10" s="1">
        <v>4.16</v>
      </c>
      <c r="R10" s="1">
        <v>4.32</v>
      </c>
      <c r="S10" s="1">
        <v>4.32</v>
      </c>
      <c r="T10" s="1">
        <v>5.94</v>
      </c>
      <c r="U10" s="1">
        <v>5.55</v>
      </c>
      <c r="V10" s="1">
        <v>7.29</v>
      </c>
      <c r="W10" s="1">
        <v>2.38</v>
      </c>
      <c r="X10" s="1">
        <v>2.38</v>
      </c>
      <c r="Y10" s="1">
        <v>4.32</v>
      </c>
      <c r="Z10" s="1">
        <v>4.32</v>
      </c>
      <c r="AA10" s="1">
        <v>5.97</v>
      </c>
      <c r="AB10" s="1">
        <v>4.1420118343195256</v>
      </c>
      <c r="AC10" s="1">
        <v>5.55</v>
      </c>
      <c r="AD10" s="1">
        <v>2.38</v>
      </c>
      <c r="AE10" s="1">
        <v>4.32</v>
      </c>
      <c r="AF10" s="1">
        <v>4.32</v>
      </c>
      <c r="AG10" s="1">
        <v>5.94</v>
      </c>
      <c r="AH10" s="1">
        <v>5.55</v>
      </c>
      <c r="AI10" s="1">
        <v>4.32</v>
      </c>
      <c r="AJ10" s="1">
        <v>4.32</v>
      </c>
      <c r="AK10" s="1">
        <v>5.94</v>
      </c>
      <c r="AL10" s="1">
        <v>4.32</v>
      </c>
      <c r="AM10" s="1">
        <v>5.55</v>
      </c>
      <c r="AN10" s="1">
        <v>2.38</v>
      </c>
      <c r="AO10" s="1">
        <v>4.16</v>
      </c>
      <c r="AP10" s="1">
        <v>4.16</v>
      </c>
      <c r="AQ10" s="1">
        <v>4.16</v>
      </c>
      <c r="AR10" s="100">
        <v>4.5354899999999994</v>
      </c>
      <c r="AS10" s="1">
        <v>4.1598620177514798</v>
      </c>
      <c r="AT10" s="1">
        <v>4.1635119999999999</v>
      </c>
      <c r="AU10" s="1">
        <v>11.285361</v>
      </c>
      <c r="AV10" s="1">
        <v>11.461318537859007</v>
      </c>
      <c r="AW10" s="1">
        <v>3.0124079755258384</v>
      </c>
      <c r="AX10" s="1">
        <v>2.8826000000000001</v>
      </c>
      <c r="AY10" s="1">
        <v>4.32</v>
      </c>
      <c r="AZ10" s="1">
        <v>5.5801701812800584</v>
      </c>
      <c r="BA10" s="1">
        <v>12.020339999999999</v>
      </c>
      <c r="BB10" s="1">
        <v>11.063369999999999</v>
      </c>
      <c r="BC10" s="1">
        <v>3.3431562721893489</v>
      </c>
      <c r="BD10" s="1">
        <v>2.742763124260355</v>
      </c>
      <c r="BE10" s="1">
        <v>3</v>
      </c>
      <c r="BF10" s="1">
        <v>3</v>
      </c>
      <c r="BG10" s="1">
        <v>3</v>
      </c>
      <c r="BH10" s="1">
        <v>3</v>
      </c>
      <c r="BI10" s="1">
        <v>3</v>
      </c>
      <c r="BJ10" s="1">
        <v>3</v>
      </c>
      <c r="BK10" s="1">
        <v>2.2397702799712857</v>
      </c>
      <c r="BL10" s="1">
        <v>3</v>
      </c>
      <c r="BM10" s="1">
        <v>-16.175976715549091</v>
      </c>
      <c r="BN10" s="1">
        <v>3</v>
      </c>
      <c r="BO10" s="1">
        <v>3</v>
      </c>
      <c r="BP10" s="1">
        <v>3</v>
      </c>
      <c r="BQ10" s="1">
        <v>3</v>
      </c>
      <c r="BR10" s="1">
        <v>3</v>
      </c>
      <c r="BS10" s="1">
        <v>3</v>
      </c>
      <c r="BT10" s="1">
        <v>3</v>
      </c>
      <c r="BU10" s="1">
        <v>3</v>
      </c>
      <c r="BV10" s="1">
        <v>2.2444987775060974</v>
      </c>
      <c r="BW10" s="1">
        <v>3</v>
      </c>
      <c r="BX10" s="1">
        <v>2.3502689486552439</v>
      </c>
      <c r="BY10" s="1">
        <v>3</v>
      </c>
      <c r="BZ10" s="1">
        <v>2.3502689486552439</v>
      </c>
      <c r="CA10" s="1">
        <v>3</v>
      </c>
      <c r="CB10" s="1">
        <v>2.3502689486552439</v>
      </c>
      <c r="CC10" s="1">
        <v>3</v>
      </c>
      <c r="CD10" s="1">
        <v>3</v>
      </c>
      <c r="CE10" s="37">
        <v>1988</v>
      </c>
    </row>
    <row r="11" spans="1:83">
      <c r="A11" s="5">
        <v>1974</v>
      </c>
      <c r="B11" s="1">
        <v>7.97</v>
      </c>
      <c r="C11" s="1">
        <v>11.76</v>
      </c>
      <c r="D11" s="1">
        <v>12.55</v>
      </c>
      <c r="E11" s="1">
        <v>5.77</v>
      </c>
      <c r="F11" s="1">
        <v>5.77</v>
      </c>
      <c r="G11" s="1">
        <v>5.77</v>
      </c>
      <c r="H11" s="1">
        <v>15.49</v>
      </c>
      <c r="I11" s="1">
        <v>9</v>
      </c>
      <c r="J11" s="1">
        <v>6.79</v>
      </c>
      <c r="K11" s="1">
        <v>9</v>
      </c>
      <c r="L11" s="1">
        <v>8.4600000000000009</v>
      </c>
      <c r="M11" s="1">
        <v>7.1</v>
      </c>
      <c r="N11" s="1">
        <v>5.77</v>
      </c>
      <c r="O11" s="1">
        <v>7.1</v>
      </c>
      <c r="P11" s="1">
        <v>12.55</v>
      </c>
      <c r="Q11" s="1">
        <v>5.77</v>
      </c>
      <c r="R11" s="1">
        <v>7.1</v>
      </c>
      <c r="S11" s="1">
        <v>7.1</v>
      </c>
      <c r="T11" s="1">
        <v>8.4600000000000009</v>
      </c>
      <c r="U11" s="1">
        <v>11.76</v>
      </c>
      <c r="V11" s="1">
        <v>15.49</v>
      </c>
      <c r="W11" s="1">
        <v>12.55</v>
      </c>
      <c r="X11" s="1">
        <v>12.55</v>
      </c>
      <c r="Y11" s="1">
        <v>7.1</v>
      </c>
      <c r="Z11" s="1">
        <v>7.1000000000000014</v>
      </c>
      <c r="AA11" s="1">
        <v>9.1</v>
      </c>
      <c r="AB11" s="1">
        <v>5.8982683982683914</v>
      </c>
      <c r="AC11" s="1">
        <v>11.76</v>
      </c>
      <c r="AD11" s="1">
        <v>12.55</v>
      </c>
      <c r="AE11" s="1">
        <v>7.0999999999999988</v>
      </c>
      <c r="AF11" s="1">
        <v>7.1000000000000005</v>
      </c>
      <c r="AG11" s="1">
        <v>8.4600000000000009</v>
      </c>
      <c r="AH11" s="1">
        <v>11.76</v>
      </c>
      <c r="AI11" s="1">
        <v>7.1</v>
      </c>
      <c r="AJ11" s="1">
        <v>7.1</v>
      </c>
      <c r="AK11" s="1">
        <v>8.4600000000000009</v>
      </c>
      <c r="AL11" s="1">
        <v>7.1</v>
      </c>
      <c r="AM11" s="1">
        <v>11.76</v>
      </c>
      <c r="AN11" s="1">
        <v>12.55</v>
      </c>
      <c r="AO11" s="1">
        <v>5.77</v>
      </c>
      <c r="AP11" s="1">
        <v>5.77</v>
      </c>
      <c r="AQ11" s="1">
        <v>5.77</v>
      </c>
      <c r="AR11" s="100">
        <v>8.0993849999999981</v>
      </c>
      <c r="AS11" s="1">
        <v>9.9941347619047622</v>
      </c>
      <c r="AT11" s="1">
        <v>10.836040000000001</v>
      </c>
      <c r="AU11" s="1">
        <v>7.0887630000000001</v>
      </c>
      <c r="AV11" s="1">
        <v>7.0436248912097481</v>
      </c>
      <c r="AW11" s="1">
        <v>11.007536234382723</v>
      </c>
      <c r="AX11" s="1">
        <v>12.067</v>
      </c>
      <c r="AY11" s="1">
        <v>7.0999999999999988</v>
      </c>
      <c r="AZ11" s="1">
        <v>11.568922185226292</v>
      </c>
      <c r="BA11" s="1">
        <v>6.9002200000000009</v>
      </c>
      <c r="BB11" s="1">
        <v>7.1457100000000011</v>
      </c>
      <c r="BC11" s="1">
        <v>11.510360173160173</v>
      </c>
      <c r="BD11" s="1">
        <v>12.065522554112555</v>
      </c>
      <c r="BE11" s="1">
        <v>4.2</v>
      </c>
      <c r="BF11" s="1">
        <v>4.2</v>
      </c>
      <c r="BG11" s="1">
        <v>4.2</v>
      </c>
      <c r="BH11" s="1">
        <v>4.2</v>
      </c>
      <c r="BI11" s="1">
        <v>4.2</v>
      </c>
      <c r="BJ11" s="1">
        <v>4.2</v>
      </c>
      <c r="BK11" s="1">
        <v>3.5749999999999997</v>
      </c>
      <c r="BL11" s="1">
        <v>4.2</v>
      </c>
      <c r="BM11" s="1">
        <v>8.0128205128215946E-2</v>
      </c>
      <c r="BN11" s="1">
        <v>4.2</v>
      </c>
      <c r="BO11" s="1">
        <v>4.2</v>
      </c>
      <c r="BP11" s="1">
        <v>4.2</v>
      </c>
      <c r="BQ11" s="1">
        <v>4.2</v>
      </c>
      <c r="BR11" s="1">
        <v>4.2</v>
      </c>
      <c r="BS11" s="1">
        <v>4.2</v>
      </c>
      <c r="BT11" s="1">
        <v>4.2</v>
      </c>
      <c r="BU11" s="1">
        <v>4.2</v>
      </c>
      <c r="BV11" s="1">
        <v>3.5749999999999997</v>
      </c>
      <c r="BW11" s="1">
        <v>4.2</v>
      </c>
      <c r="BX11" s="1">
        <v>3.6624999999999996</v>
      </c>
      <c r="BY11" s="1">
        <v>4.2</v>
      </c>
      <c r="BZ11" s="1">
        <v>3.6624999999999996</v>
      </c>
      <c r="CA11" s="1">
        <v>4.2</v>
      </c>
      <c r="CB11" s="1">
        <v>3.6624999999999996</v>
      </c>
      <c r="CC11" s="1">
        <v>4.2</v>
      </c>
      <c r="CD11" s="1">
        <v>4.2</v>
      </c>
      <c r="CE11" s="36">
        <v>1989</v>
      </c>
    </row>
    <row r="12" spans="1:83">
      <c r="A12" s="5">
        <v>1975</v>
      </c>
      <c r="B12" s="1">
        <v>10.94</v>
      </c>
      <c r="C12" s="1">
        <v>16.12</v>
      </c>
      <c r="D12" s="1">
        <v>20.95</v>
      </c>
      <c r="E12" s="1">
        <v>8.81</v>
      </c>
      <c r="F12" s="1">
        <v>8.81</v>
      </c>
      <c r="G12" s="1">
        <v>8.81</v>
      </c>
      <c r="H12" s="1">
        <v>16.3</v>
      </c>
      <c r="I12" s="1">
        <v>14.1</v>
      </c>
      <c r="J12" s="1">
        <v>6.62</v>
      </c>
      <c r="K12" s="1">
        <v>14.1</v>
      </c>
      <c r="L12" s="1">
        <v>5.94</v>
      </c>
      <c r="M12" s="1">
        <v>10.31</v>
      </c>
      <c r="N12" s="1">
        <v>8.81</v>
      </c>
      <c r="O12" s="1">
        <v>10.309999999999999</v>
      </c>
      <c r="P12" s="1">
        <v>20.95</v>
      </c>
      <c r="Q12" s="1">
        <v>8.81</v>
      </c>
      <c r="R12" s="1">
        <v>10.310000000000002</v>
      </c>
      <c r="S12" s="1">
        <v>10.31</v>
      </c>
      <c r="T12" s="1">
        <v>5.94</v>
      </c>
      <c r="U12" s="1">
        <v>16.12</v>
      </c>
      <c r="V12" s="1">
        <v>16.3</v>
      </c>
      <c r="W12" s="1">
        <v>20.95</v>
      </c>
      <c r="X12" s="1">
        <v>20.95</v>
      </c>
      <c r="Y12" s="1">
        <v>10.31</v>
      </c>
      <c r="Z12" s="1">
        <v>10.310000000000002</v>
      </c>
      <c r="AA12" s="1">
        <v>8.24</v>
      </c>
      <c r="AB12" s="1">
        <v>15.074092999489007</v>
      </c>
      <c r="AC12" s="1">
        <v>16.12</v>
      </c>
      <c r="AD12" s="1">
        <v>20.95</v>
      </c>
      <c r="AE12" s="1">
        <v>10.31</v>
      </c>
      <c r="AF12" s="1">
        <v>10.310000000000002</v>
      </c>
      <c r="AG12" s="1">
        <v>5.94</v>
      </c>
      <c r="AH12" s="1">
        <v>16.12</v>
      </c>
      <c r="AI12" s="1">
        <v>10.310000000000002</v>
      </c>
      <c r="AJ12" s="1">
        <v>10.31</v>
      </c>
      <c r="AK12" s="1">
        <v>5.94</v>
      </c>
      <c r="AL12" s="1">
        <v>10.31</v>
      </c>
      <c r="AM12" s="1">
        <v>16.12</v>
      </c>
      <c r="AN12" s="1">
        <v>20.95</v>
      </c>
      <c r="AO12" s="1">
        <v>8.81</v>
      </c>
      <c r="AP12" s="1">
        <v>8.81</v>
      </c>
      <c r="AQ12" s="1">
        <v>8.81</v>
      </c>
      <c r="AR12" s="100">
        <v>10.630849999999999</v>
      </c>
      <c r="AS12" s="1">
        <v>14.710366856412875</v>
      </c>
      <c r="AT12" s="1">
        <v>14.635672</v>
      </c>
      <c r="AU12" s="1">
        <v>6.4983480000000009</v>
      </c>
      <c r="AV12" s="1">
        <v>6.5167275892080072</v>
      </c>
      <c r="AW12" s="1">
        <v>18.779326969008185</v>
      </c>
      <c r="AX12" s="1">
        <v>19.1706</v>
      </c>
      <c r="AY12" s="1">
        <v>10.31</v>
      </c>
      <c r="AZ12" s="1">
        <v>15.553949932174127</v>
      </c>
      <c r="BA12" s="1">
        <v>6.5751200000000001</v>
      </c>
      <c r="BB12" s="1">
        <v>6.4751600000000007</v>
      </c>
      <c r="BC12" s="1">
        <v>17.548384138988247</v>
      </c>
      <c r="BD12" s="1">
        <v>19.675604148185997</v>
      </c>
      <c r="BE12" s="1">
        <v>4.0999999999999996</v>
      </c>
      <c r="BF12" s="1">
        <v>4.0999999999999996</v>
      </c>
      <c r="BG12" s="1">
        <v>4.0999999999999996</v>
      </c>
      <c r="BH12" s="1">
        <v>4.0999999999999996</v>
      </c>
      <c r="BI12" s="1">
        <v>4.0999999999999996</v>
      </c>
      <c r="BJ12" s="1">
        <v>4.0999999999999996</v>
      </c>
      <c r="BK12" s="1">
        <v>3.7250000000000001</v>
      </c>
      <c r="BL12" s="1">
        <v>4.0999999999999996</v>
      </c>
      <c r="BM12" s="1">
        <v>-10.781958900453692</v>
      </c>
      <c r="BN12" s="1">
        <v>4.0999999999999996</v>
      </c>
      <c r="BO12" s="1">
        <v>4.0999999999999996</v>
      </c>
      <c r="BP12" s="1">
        <v>4.0999999999999996</v>
      </c>
      <c r="BQ12" s="1">
        <v>4.0999999999999996</v>
      </c>
      <c r="BR12" s="1">
        <v>4.0999999999999996</v>
      </c>
      <c r="BS12" s="1">
        <v>4.0999999999999996</v>
      </c>
      <c r="BT12" s="1">
        <v>4.0999999999999996</v>
      </c>
      <c r="BU12" s="1">
        <v>4.0999999999999996</v>
      </c>
      <c r="BV12" s="1">
        <v>3.7250000000000001</v>
      </c>
      <c r="BW12" s="1">
        <v>4.0999999999999996</v>
      </c>
      <c r="BX12" s="1">
        <v>3.7774999999999999</v>
      </c>
      <c r="BY12" s="1">
        <v>4.0999999999999996</v>
      </c>
      <c r="BZ12" s="1">
        <v>3.7774999999999999</v>
      </c>
      <c r="CA12" s="1">
        <v>4.0999999999999996</v>
      </c>
      <c r="CB12" s="1">
        <v>3.7774999999999999</v>
      </c>
      <c r="CC12" s="1">
        <v>4.0999999999999996</v>
      </c>
      <c r="CD12" s="1">
        <v>4.0999999999999996</v>
      </c>
      <c r="CE12" s="37">
        <v>1990</v>
      </c>
    </row>
    <row r="13" spans="1:83">
      <c r="A13" s="5">
        <v>1976</v>
      </c>
      <c r="B13" s="1">
        <v>6.61</v>
      </c>
      <c r="C13" s="1">
        <v>3.02</v>
      </c>
      <c r="D13" s="1">
        <v>6.76</v>
      </c>
      <c r="E13" s="1">
        <v>6.59</v>
      </c>
      <c r="F13" s="1">
        <v>6.59</v>
      </c>
      <c r="G13" s="1">
        <v>6.59</v>
      </c>
      <c r="H13" s="1">
        <v>15.71</v>
      </c>
      <c r="I13" s="1">
        <v>11.5</v>
      </c>
      <c r="J13" s="1">
        <v>5.0999999999999996</v>
      </c>
      <c r="K13" s="1">
        <v>11.5</v>
      </c>
      <c r="L13" s="1">
        <v>5.75</v>
      </c>
      <c r="M13" s="1">
        <v>6.94</v>
      </c>
      <c r="N13" s="1">
        <v>6.59</v>
      </c>
      <c r="O13" s="1">
        <v>6.9400000000000013</v>
      </c>
      <c r="P13" s="1">
        <v>6.76</v>
      </c>
      <c r="Q13" s="1">
        <v>6.59</v>
      </c>
      <c r="R13" s="1">
        <v>6.9400000000000013</v>
      </c>
      <c r="S13" s="1">
        <v>6.94</v>
      </c>
      <c r="T13" s="1">
        <v>5.75</v>
      </c>
      <c r="U13" s="1">
        <v>3.02</v>
      </c>
      <c r="V13" s="1">
        <v>15.71</v>
      </c>
      <c r="W13" s="1">
        <v>6.76</v>
      </c>
      <c r="X13" s="1">
        <v>6.76</v>
      </c>
      <c r="Y13" s="1">
        <v>6.94</v>
      </c>
      <c r="Z13" s="1">
        <v>6.9400000000000013</v>
      </c>
      <c r="AA13" s="1">
        <v>8.25</v>
      </c>
      <c r="AB13" s="1">
        <v>7.482238010657194</v>
      </c>
      <c r="AC13" s="1">
        <v>3.02</v>
      </c>
      <c r="AD13" s="1">
        <v>6.76</v>
      </c>
      <c r="AE13" s="1">
        <v>6.9399999999999995</v>
      </c>
      <c r="AF13" s="1">
        <v>6.9400000000000013</v>
      </c>
      <c r="AG13" s="1">
        <v>5.75</v>
      </c>
      <c r="AH13" s="1">
        <v>3.02</v>
      </c>
      <c r="AI13" s="1">
        <v>6.9400000000000013</v>
      </c>
      <c r="AJ13" s="1">
        <v>6.94</v>
      </c>
      <c r="AK13" s="1">
        <v>5.75</v>
      </c>
      <c r="AL13" s="1">
        <v>6.94</v>
      </c>
      <c r="AM13" s="1">
        <v>3.02</v>
      </c>
      <c r="AN13" s="1">
        <v>6.76</v>
      </c>
      <c r="AO13" s="1">
        <v>6.59</v>
      </c>
      <c r="AP13" s="1">
        <v>6.59</v>
      </c>
      <c r="AQ13" s="1">
        <v>6.59</v>
      </c>
      <c r="AR13" s="100">
        <v>6.7977800000000004</v>
      </c>
      <c r="AS13" s="1">
        <v>7.4971705808170519</v>
      </c>
      <c r="AT13" s="1">
        <v>7.5002320000000005</v>
      </c>
      <c r="AU13" s="1">
        <v>5.2162850000000001</v>
      </c>
      <c r="AV13" s="1">
        <v>5.1987162750217575</v>
      </c>
      <c r="AW13" s="1">
        <v>7.0207658427041446</v>
      </c>
      <c r="AX13" s="1">
        <v>6.9686000000000003</v>
      </c>
      <c r="AY13" s="1">
        <v>6.9399999999999995</v>
      </c>
      <c r="AZ13" s="1">
        <v>3.3956905907016894</v>
      </c>
      <c r="BA13" s="1">
        <v>5.1429</v>
      </c>
      <c r="BB13" s="1">
        <v>5.2384500000000003</v>
      </c>
      <c r="BC13" s="1">
        <v>7.1595414742451151</v>
      </c>
      <c r="BD13" s="1">
        <v>6.9103133214920067</v>
      </c>
      <c r="BE13" s="1">
        <v>4.3</v>
      </c>
      <c r="BF13" s="1">
        <v>4.3</v>
      </c>
      <c r="BG13" s="1">
        <v>4.3</v>
      </c>
      <c r="BH13" s="1">
        <v>4.3</v>
      </c>
      <c r="BI13" s="1">
        <v>4.3</v>
      </c>
      <c r="BJ13" s="1">
        <v>4.3</v>
      </c>
      <c r="BK13" s="1">
        <v>3.9749999999999996</v>
      </c>
      <c r="BL13" s="1">
        <v>4.3</v>
      </c>
      <c r="BM13" s="1">
        <v>87.212084953634459</v>
      </c>
      <c r="BN13" s="1">
        <v>4.3</v>
      </c>
      <c r="BO13" s="1">
        <v>4.3</v>
      </c>
      <c r="BP13" s="1">
        <v>4.3</v>
      </c>
      <c r="BQ13" s="1">
        <v>4.3</v>
      </c>
      <c r="BR13" s="1">
        <v>4.3</v>
      </c>
      <c r="BS13" s="1">
        <v>4.3</v>
      </c>
      <c r="BT13" s="1">
        <v>4.3</v>
      </c>
      <c r="BU13" s="1">
        <v>4.3</v>
      </c>
      <c r="BV13" s="1">
        <v>3.9749999999999996</v>
      </c>
      <c r="BW13" s="1">
        <v>4.3</v>
      </c>
      <c r="BX13" s="1">
        <v>4.0204999999999993</v>
      </c>
      <c r="BY13" s="1">
        <v>4.3</v>
      </c>
      <c r="BZ13" s="1">
        <v>4.0204999999999993</v>
      </c>
      <c r="CA13" s="1">
        <v>4.3</v>
      </c>
      <c r="CB13" s="1">
        <v>4.0204999999999993</v>
      </c>
      <c r="CC13" s="1">
        <v>4.3</v>
      </c>
      <c r="CD13" s="1">
        <v>4.3</v>
      </c>
      <c r="CE13" s="37">
        <v>1991</v>
      </c>
    </row>
    <row r="14" spans="1:83">
      <c r="A14" s="7" t="s">
        <v>1</v>
      </c>
      <c r="B14" s="1">
        <v>2.88</v>
      </c>
      <c r="C14" s="1">
        <v>1.56</v>
      </c>
      <c r="D14" s="1">
        <v>2.89</v>
      </c>
      <c r="E14" s="1">
        <v>3.56</v>
      </c>
      <c r="F14" s="1">
        <v>3.56</v>
      </c>
      <c r="G14" s="1">
        <v>3.56</v>
      </c>
      <c r="H14" s="1">
        <v>2.11</v>
      </c>
      <c r="I14" s="1">
        <v>2</v>
      </c>
      <c r="J14" s="1">
        <v>1.24</v>
      </c>
      <c r="K14" s="1">
        <v>2</v>
      </c>
      <c r="L14" s="1">
        <v>5.49</v>
      </c>
      <c r="M14" s="1">
        <v>3</v>
      </c>
      <c r="N14" s="1">
        <v>3.56</v>
      </c>
      <c r="O14" s="1">
        <v>3</v>
      </c>
      <c r="P14" s="1">
        <v>2.89</v>
      </c>
      <c r="Q14" s="1">
        <v>3.56</v>
      </c>
      <c r="R14" s="1">
        <v>3</v>
      </c>
      <c r="S14" s="1">
        <v>3</v>
      </c>
      <c r="T14" s="1">
        <v>5.49</v>
      </c>
      <c r="U14" s="1">
        <v>1.56</v>
      </c>
      <c r="V14" s="1">
        <v>2.11</v>
      </c>
      <c r="W14" s="1">
        <v>2.89</v>
      </c>
      <c r="X14" s="1">
        <v>2.89</v>
      </c>
      <c r="Y14" s="1">
        <v>3</v>
      </c>
      <c r="Z14" s="1">
        <v>3</v>
      </c>
      <c r="AA14" s="1">
        <v>2.94</v>
      </c>
      <c r="AB14" s="1">
        <v>0</v>
      </c>
      <c r="AC14" s="1">
        <v>1.56</v>
      </c>
      <c r="AD14" s="1">
        <v>2.89</v>
      </c>
      <c r="AE14" s="1">
        <v>3</v>
      </c>
      <c r="AF14" s="1">
        <v>3.0000000000000004</v>
      </c>
      <c r="AG14" s="1">
        <v>5.49</v>
      </c>
      <c r="AH14" s="1">
        <v>1.56</v>
      </c>
      <c r="AI14" s="1">
        <v>3</v>
      </c>
      <c r="AJ14" s="1">
        <v>3</v>
      </c>
      <c r="AK14" s="1">
        <v>5.49</v>
      </c>
      <c r="AL14" s="1">
        <v>3</v>
      </c>
      <c r="AM14" s="1">
        <v>1.56</v>
      </c>
      <c r="AN14" s="1">
        <v>2.89</v>
      </c>
      <c r="AO14" s="1">
        <v>3.56</v>
      </c>
      <c r="AP14" s="1">
        <v>3.56</v>
      </c>
      <c r="AQ14" s="1">
        <v>3.56</v>
      </c>
      <c r="AR14" s="100">
        <v>2.8868699999999996</v>
      </c>
      <c r="AS14" s="1">
        <v>2.4178600000000001</v>
      </c>
      <c r="AT14" s="1">
        <v>2.9148399999999999</v>
      </c>
      <c r="AU14" s="1">
        <v>2.0003250000000001</v>
      </c>
      <c r="AV14" s="1">
        <v>1.8854525674499563</v>
      </c>
      <c r="AW14" s="1">
        <v>2.3493857108375575</v>
      </c>
      <c r="AX14" s="1">
        <v>2.8970000000000002</v>
      </c>
      <c r="AY14" s="1">
        <v>3</v>
      </c>
      <c r="AZ14" s="1">
        <v>1.6591305956344802</v>
      </c>
      <c r="BA14" s="1">
        <v>1.5205000000000002</v>
      </c>
      <c r="BB14" s="1">
        <v>2.1452499999999999</v>
      </c>
      <c r="BC14" s="1">
        <v>2.8363800000000001</v>
      </c>
      <c r="BD14" s="1">
        <v>2.815194</v>
      </c>
      <c r="BE14" s="1">
        <v>3</v>
      </c>
      <c r="BF14" s="1">
        <v>3</v>
      </c>
      <c r="BG14" s="1">
        <v>3</v>
      </c>
      <c r="BH14" s="1">
        <v>3</v>
      </c>
      <c r="BI14" s="1">
        <v>3</v>
      </c>
      <c r="BJ14" s="1">
        <v>3</v>
      </c>
      <c r="BK14" s="1">
        <v>4.1750000000000007</v>
      </c>
      <c r="BL14" s="1">
        <v>3</v>
      </c>
      <c r="BM14" s="1">
        <v>-33.298713749300958</v>
      </c>
      <c r="BN14" s="1">
        <v>3</v>
      </c>
      <c r="BO14" s="1">
        <v>3</v>
      </c>
      <c r="BP14" s="1">
        <v>3</v>
      </c>
      <c r="BQ14" s="1">
        <v>3</v>
      </c>
      <c r="BR14" s="1">
        <v>3</v>
      </c>
      <c r="BS14" s="1">
        <v>3</v>
      </c>
      <c r="BT14" s="1">
        <v>3</v>
      </c>
      <c r="BU14" s="1">
        <v>3</v>
      </c>
      <c r="BV14" s="1">
        <v>4.1750000000000007</v>
      </c>
      <c r="BW14" s="1">
        <v>3</v>
      </c>
      <c r="BX14" s="1">
        <v>4.0105000000000004</v>
      </c>
      <c r="BY14" s="1">
        <v>3</v>
      </c>
      <c r="BZ14" s="1">
        <v>4.0105000000000004</v>
      </c>
      <c r="CA14" s="1">
        <v>3</v>
      </c>
      <c r="CB14" s="1">
        <v>4.0105000000000004</v>
      </c>
      <c r="CC14" s="1">
        <v>3</v>
      </c>
      <c r="CD14" s="1">
        <v>3</v>
      </c>
      <c r="CE14" s="37">
        <v>1992</v>
      </c>
    </row>
    <row r="15" spans="1:83">
      <c r="A15" s="5">
        <v>1977</v>
      </c>
      <c r="B15" s="1">
        <v>2.58</v>
      </c>
      <c r="C15" s="1">
        <v>2.8</v>
      </c>
      <c r="D15" s="1">
        <v>4.71</v>
      </c>
      <c r="E15" s="1">
        <v>3.78</v>
      </c>
      <c r="F15" s="1">
        <v>3.78</v>
      </c>
      <c r="G15" s="1">
        <v>3.78</v>
      </c>
      <c r="H15" s="1">
        <v>5.87</v>
      </c>
      <c r="I15" s="1">
        <v>6.2</v>
      </c>
      <c r="J15" s="1">
        <v>4.4000000000000004</v>
      </c>
      <c r="K15" s="1">
        <v>6.2</v>
      </c>
      <c r="L15" s="1">
        <v>-0.25</v>
      </c>
      <c r="M15" s="1">
        <v>4.08</v>
      </c>
      <c r="N15" s="1">
        <v>3.78</v>
      </c>
      <c r="O15" s="1">
        <v>4.08</v>
      </c>
      <c r="P15" s="1">
        <v>4.71</v>
      </c>
      <c r="Q15" s="1">
        <v>3.78</v>
      </c>
      <c r="R15" s="1">
        <v>4.08</v>
      </c>
      <c r="S15" s="1">
        <v>4.08</v>
      </c>
      <c r="T15" s="1">
        <v>-0.25</v>
      </c>
      <c r="U15" s="1">
        <v>2.8</v>
      </c>
      <c r="V15" s="1">
        <v>5.87</v>
      </c>
      <c r="W15" s="1">
        <v>4.71</v>
      </c>
      <c r="X15" s="1">
        <v>4.71</v>
      </c>
      <c r="Y15" s="1">
        <v>4.08</v>
      </c>
      <c r="Z15" s="1">
        <v>4.08</v>
      </c>
      <c r="AA15" s="1">
        <v>5.79</v>
      </c>
      <c r="AB15" s="1">
        <v>8.2007849617847572</v>
      </c>
      <c r="AC15" s="1">
        <v>2.8</v>
      </c>
      <c r="AD15" s="1">
        <v>4.71</v>
      </c>
      <c r="AE15" s="1">
        <v>4.08</v>
      </c>
      <c r="AF15" s="1">
        <v>4.08</v>
      </c>
      <c r="AG15" s="1">
        <v>-0.25</v>
      </c>
      <c r="AH15" s="1">
        <v>2.8</v>
      </c>
      <c r="AI15" s="1">
        <v>4.08</v>
      </c>
      <c r="AJ15" s="1">
        <v>4.08</v>
      </c>
      <c r="AK15" s="1">
        <v>-0.25</v>
      </c>
      <c r="AL15" s="1">
        <v>4.08</v>
      </c>
      <c r="AM15" s="1">
        <v>2.8</v>
      </c>
      <c r="AN15" s="1">
        <v>4.71</v>
      </c>
      <c r="AO15" s="1">
        <v>3.78</v>
      </c>
      <c r="AP15" s="1">
        <v>3.78</v>
      </c>
      <c r="AQ15" s="1">
        <v>3.78</v>
      </c>
      <c r="AR15" s="100">
        <v>2.9475450000000003</v>
      </c>
      <c r="AS15" s="1">
        <v>5.7502468359843011</v>
      </c>
      <c r="AT15" s="1">
        <v>5.2465440000000001</v>
      </c>
      <c r="AU15" s="1">
        <v>3.5681150000000006</v>
      </c>
      <c r="AV15" s="1">
        <v>3.6937989556135769</v>
      </c>
      <c r="AW15" s="1">
        <v>5.458376310681607</v>
      </c>
      <c r="AX15" s="1">
        <v>4.8612000000000002</v>
      </c>
      <c r="AY15" s="1">
        <v>4.08</v>
      </c>
      <c r="AZ15" s="1">
        <v>3.0147829572080402</v>
      </c>
      <c r="BA15" s="1">
        <v>4.0931000000000006</v>
      </c>
      <c r="BB15" s="1">
        <v>3.4095500000000007</v>
      </c>
      <c r="BC15" s="1">
        <v>5.0678480541210496</v>
      </c>
      <c r="BD15" s="1">
        <v>4.9002555079529024</v>
      </c>
      <c r="BE15" s="1">
        <v>2.4</v>
      </c>
      <c r="BF15" s="1">
        <v>2.4</v>
      </c>
      <c r="BG15" s="1">
        <v>2.4</v>
      </c>
      <c r="BH15" s="1">
        <v>2.4</v>
      </c>
      <c r="BI15" s="1">
        <v>2.4</v>
      </c>
      <c r="BJ15" s="1">
        <v>2.4</v>
      </c>
      <c r="BK15" s="1">
        <v>3.8250000000000002</v>
      </c>
      <c r="BL15" s="1">
        <v>2.4</v>
      </c>
      <c r="BM15" s="1">
        <v>1.3893879506527762</v>
      </c>
      <c r="BN15" s="1">
        <v>2.4</v>
      </c>
      <c r="BO15" s="1">
        <v>2.4</v>
      </c>
      <c r="BP15" s="1">
        <v>2.4</v>
      </c>
      <c r="BQ15" s="1">
        <v>2.4</v>
      </c>
      <c r="BR15" s="1">
        <v>2.4</v>
      </c>
      <c r="BS15" s="1">
        <v>2.4</v>
      </c>
      <c r="BT15" s="1">
        <v>2.4</v>
      </c>
      <c r="BU15" s="1">
        <v>2.4</v>
      </c>
      <c r="BV15" s="1">
        <v>3.8250000000000002</v>
      </c>
      <c r="BW15" s="1">
        <v>2.4</v>
      </c>
      <c r="BX15" s="1">
        <v>3.6255000000000002</v>
      </c>
      <c r="BY15" s="1">
        <v>2.4</v>
      </c>
      <c r="BZ15" s="1">
        <v>3.6255000000000002</v>
      </c>
      <c r="CA15" s="1">
        <v>2.4</v>
      </c>
      <c r="CB15" s="1">
        <v>3.6255000000000002</v>
      </c>
      <c r="CC15" s="1">
        <v>2.4</v>
      </c>
      <c r="CD15" s="1">
        <v>2.4</v>
      </c>
      <c r="CE15" s="37">
        <v>1993</v>
      </c>
    </row>
    <row r="16" spans="1:83">
      <c r="A16" s="5">
        <v>1978</v>
      </c>
      <c r="B16" s="1">
        <v>6.8</v>
      </c>
      <c r="C16" s="1">
        <v>7.68</v>
      </c>
      <c r="D16" s="1">
        <v>7.11</v>
      </c>
      <c r="E16" s="1">
        <v>6.8</v>
      </c>
      <c r="F16" s="1">
        <v>6.8</v>
      </c>
      <c r="G16" s="1">
        <v>6.8</v>
      </c>
      <c r="H16" s="1">
        <v>8.4</v>
      </c>
      <c r="I16" s="1">
        <v>8.1999999999999993</v>
      </c>
      <c r="J16" s="1">
        <v>6.98</v>
      </c>
      <c r="K16" s="1">
        <v>8.1999999999999993</v>
      </c>
      <c r="L16" s="1">
        <v>5.65</v>
      </c>
      <c r="M16" s="1">
        <v>6.74</v>
      </c>
      <c r="N16" s="1">
        <v>6.8</v>
      </c>
      <c r="O16" s="1">
        <v>6.74</v>
      </c>
      <c r="P16" s="1">
        <v>7.11</v>
      </c>
      <c r="Q16" s="1">
        <v>6.8</v>
      </c>
      <c r="R16" s="1">
        <v>6.74</v>
      </c>
      <c r="S16" s="1">
        <v>6.74</v>
      </c>
      <c r="T16" s="1">
        <v>5.65</v>
      </c>
      <c r="U16" s="1">
        <v>7.68</v>
      </c>
      <c r="V16" s="1">
        <v>8.4</v>
      </c>
      <c r="W16" s="1">
        <v>7.11</v>
      </c>
      <c r="X16" s="1">
        <v>7.11</v>
      </c>
      <c r="Y16" s="1">
        <v>6.74</v>
      </c>
      <c r="Z16" s="1">
        <v>6.74</v>
      </c>
      <c r="AA16" s="1">
        <v>7.74</v>
      </c>
      <c r="AB16" s="1">
        <v>7.1019473081328721</v>
      </c>
      <c r="AC16" s="1">
        <v>7.68</v>
      </c>
      <c r="AD16" s="1">
        <v>7.11</v>
      </c>
      <c r="AE16" s="1">
        <v>6.74</v>
      </c>
      <c r="AF16" s="1">
        <v>6.7400000000000011</v>
      </c>
      <c r="AG16" s="1">
        <v>5.65</v>
      </c>
      <c r="AH16" s="1">
        <v>7.68</v>
      </c>
      <c r="AI16" s="1">
        <v>6.7400000000000011</v>
      </c>
      <c r="AJ16" s="1">
        <v>6.74</v>
      </c>
      <c r="AK16" s="1">
        <v>5.65</v>
      </c>
      <c r="AL16" s="1">
        <v>6.74</v>
      </c>
      <c r="AM16" s="1">
        <v>7.68</v>
      </c>
      <c r="AN16" s="1">
        <v>7.11</v>
      </c>
      <c r="AO16" s="1">
        <v>6.8</v>
      </c>
      <c r="AP16" s="1">
        <v>6.8</v>
      </c>
      <c r="AQ16" s="1">
        <v>6.8</v>
      </c>
      <c r="AR16" s="100">
        <v>6.9076300000000002</v>
      </c>
      <c r="AS16" s="1">
        <v>7.3682500160366544</v>
      </c>
      <c r="AT16" s="1">
        <v>7.4229839999999996</v>
      </c>
      <c r="AU16" s="1">
        <v>6.7420630000000008</v>
      </c>
      <c r="AV16" s="1">
        <v>6.7780113141862488</v>
      </c>
      <c r="AW16" s="1">
        <v>7.1611720607414382</v>
      </c>
      <c r="AX16" s="1">
        <v>7.1981999999999999</v>
      </c>
      <c r="AY16" s="1">
        <v>6.7399999999999993</v>
      </c>
      <c r="AZ16" s="1">
        <v>7.6843100258971511</v>
      </c>
      <c r="BA16" s="1">
        <v>6.8922200000000009</v>
      </c>
      <c r="BB16" s="1">
        <v>6.6967100000000013</v>
      </c>
      <c r="BC16" s="1">
        <v>7.2717247880870559</v>
      </c>
      <c r="BD16" s="1">
        <v>7.1649673562428413</v>
      </c>
      <c r="BE16" s="1">
        <v>2</v>
      </c>
      <c r="BF16" s="1">
        <v>2</v>
      </c>
      <c r="BG16" s="1">
        <v>2</v>
      </c>
      <c r="BH16" s="1">
        <v>2</v>
      </c>
      <c r="BI16" s="1">
        <v>2</v>
      </c>
      <c r="BJ16" s="1">
        <v>2</v>
      </c>
      <c r="BK16" s="1">
        <v>3.625</v>
      </c>
      <c r="BL16" s="1">
        <v>2</v>
      </c>
      <c r="BM16" s="1">
        <v>14.105138806851736</v>
      </c>
      <c r="BN16" s="1">
        <v>2</v>
      </c>
      <c r="BO16" s="1">
        <v>2</v>
      </c>
      <c r="BP16" s="1">
        <v>2</v>
      </c>
      <c r="BQ16" s="1">
        <v>2</v>
      </c>
      <c r="BR16" s="1">
        <v>2</v>
      </c>
      <c r="BS16" s="1">
        <v>2</v>
      </c>
      <c r="BT16" s="1">
        <v>2</v>
      </c>
      <c r="BU16" s="1">
        <v>2</v>
      </c>
      <c r="BV16" s="1">
        <v>2.5750000000000002</v>
      </c>
      <c r="BW16" s="1">
        <v>2</v>
      </c>
      <c r="BX16" s="1">
        <v>2.4945000000000004</v>
      </c>
      <c r="BY16" s="1">
        <v>2</v>
      </c>
      <c r="BZ16" s="1">
        <v>2.4945000000000004</v>
      </c>
      <c r="CA16" s="1">
        <v>2</v>
      </c>
      <c r="CB16" s="1">
        <v>2.4945000000000004</v>
      </c>
      <c r="CC16" s="1">
        <v>2</v>
      </c>
      <c r="CD16" s="1">
        <v>2</v>
      </c>
      <c r="CE16" s="36">
        <v>1994</v>
      </c>
    </row>
    <row r="17" spans="1:83">
      <c r="A17" s="5">
        <v>1979</v>
      </c>
      <c r="B17" s="1">
        <v>8.4</v>
      </c>
      <c r="C17" s="1">
        <v>9.31</v>
      </c>
      <c r="D17" s="1">
        <v>9.1</v>
      </c>
      <c r="E17" s="1">
        <v>8.7200000000000006</v>
      </c>
      <c r="F17" s="1">
        <v>8.7200000000000006</v>
      </c>
      <c r="G17" s="1">
        <v>8.7200000000000006</v>
      </c>
      <c r="H17" s="1">
        <v>9.8000000000000007</v>
      </c>
      <c r="I17" s="1">
        <v>9.8000000000000007</v>
      </c>
      <c r="J17" s="1">
        <v>5.95</v>
      </c>
      <c r="K17" s="1">
        <v>9.8000000000000007</v>
      </c>
      <c r="L17" s="1">
        <v>7.91</v>
      </c>
      <c r="M17" s="1">
        <v>8.02</v>
      </c>
      <c r="N17" s="1">
        <v>8.7200000000000006</v>
      </c>
      <c r="O17" s="1">
        <v>8.02</v>
      </c>
      <c r="P17" s="1">
        <v>9.1</v>
      </c>
      <c r="Q17" s="1">
        <v>8.7200000000000006</v>
      </c>
      <c r="R17" s="1">
        <v>8.02</v>
      </c>
      <c r="S17" s="1">
        <v>8.02</v>
      </c>
      <c r="T17" s="1">
        <v>7.91</v>
      </c>
      <c r="U17" s="1">
        <v>9.31</v>
      </c>
      <c r="V17" s="1">
        <v>9.8000000000000007</v>
      </c>
      <c r="W17" s="1">
        <v>9.1</v>
      </c>
      <c r="X17" s="1">
        <v>9.1</v>
      </c>
      <c r="Y17" s="1">
        <v>8.02</v>
      </c>
      <c r="Z17" s="1">
        <v>8.02</v>
      </c>
      <c r="AA17" s="1">
        <v>6.04</v>
      </c>
      <c r="AB17" s="1">
        <v>15.597147950089107</v>
      </c>
      <c r="AC17" s="1">
        <v>9.31</v>
      </c>
      <c r="AD17" s="1">
        <v>9.1</v>
      </c>
      <c r="AE17" s="1">
        <v>8.02</v>
      </c>
      <c r="AF17" s="1">
        <v>8.02</v>
      </c>
      <c r="AG17" s="1">
        <v>7.91</v>
      </c>
      <c r="AH17" s="1">
        <v>9.31</v>
      </c>
      <c r="AI17" s="1">
        <v>8.02</v>
      </c>
      <c r="AJ17" s="1">
        <v>8.02</v>
      </c>
      <c r="AK17" s="1">
        <v>7.91</v>
      </c>
      <c r="AL17" s="1">
        <v>8.02</v>
      </c>
      <c r="AM17" s="1">
        <v>9.31</v>
      </c>
      <c r="AN17" s="1">
        <v>9.1</v>
      </c>
      <c r="AO17" s="1">
        <v>8.7200000000000006</v>
      </c>
      <c r="AP17" s="1">
        <v>8.7200000000000006</v>
      </c>
      <c r="AQ17" s="1">
        <v>8.7200000000000006</v>
      </c>
      <c r="AR17" s="100">
        <v>8.1297800000000002</v>
      </c>
      <c r="AS17" s="1">
        <v>8.946737725490193</v>
      </c>
      <c r="AT17" s="1">
        <v>7.5797919999999994</v>
      </c>
      <c r="AU17" s="1">
        <v>6.3006440000000001</v>
      </c>
      <c r="AV17" s="1">
        <v>6.2476675369886863</v>
      </c>
      <c r="AW17" s="1">
        <v>10.068858930489885</v>
      </c>
      <c r="AX17" s="1">
        <v>8.6715999999999998</v>
      </c>
      <c r="AY17" s="1">
        <v>8.02</v>
      </c>
      <c r="AZ17" s="1">
        <v>9.0751035886052538</v>
      </c>
      <c r="BA17" s="1">
        <v>6.0793600000000003</v>
      </c>
      <c r="BB17" s="1">
        <v>6.3674800000000005</v>
      </c>
      <c r="BC17" s="1">
        <v>8.4630144028520498</v>
      </c>
      <c r="BD17" s="1">
        <v>9.0099658538324405</v>
      </c>
      <c r="BE17" s="1">
        <v>1.9</v>
      </c>
      <c r="BF17" s="1">
        <v>1.9</v>
      </c>
      <c r="BG17" s="1">
        <v>1.9</v>
      </c>
      <c r="BH17" s="1">
        <v>1.9</v>
      </c>
      <c r="BI17" s="1">
        <v>1.9</v>
      </c>
      <c r="BJ17" s="1">
        <v>1.9</v>
      </c>
      <c r="BK17" s="1">
        <v>2.85</v>
      </c>
      <c r="BL17" s="1">
        <v>1.9</v>
      </c>
      <c r="BM17" s="1">
        <v>-12.402940262967189</v>
      </c>
      <c r="BN17" s="1">
        <v>1.9</v>
      </c>
      <c r="BO17" s="1">
        <v>1.9</v>
      </c>
      <c r="BP17" s="1">
        <v>1.9</v>
      </c>
      <c r="BQ17" s="1">
        <v>1.9</v>
      </c>
      <c r="BR17" s="1">
        <v>1.9</v>
      </c>
      <c r="BS17" s="1">
        <v>1.9</v>
      </c>
      <c r="BT17" s="1">
        <v>1.9</v>
      </c>
      <c r="BU17" s="1">
        <v>1.9</v>
      </c>
      <c r="BV17" s="1">
        <v>2.5</v>
      </c>
      <c r="BW17" s="1">
        <v>1.9</v>
      </c>
      <c r="BX17" s="1">
        <v>2.4159999999999999</v>
      </c>
      <c r="BY17" s="1">
        <v>1.9</v>
      </c>
      <c r="BZ17" s="1">
        <v>2.4159999999999999</v>
      </c>
      <c r="CA17" s="1">
        <v>1.9</v>
      </c>
      <c r="CB17" s="1">
        <v>2.4159999999999999</v>
      </c>
      <c r="CC17" s="1">
        <v>1.9</v>
      </c>
      <c r="CD17" s="1">
        <v>1.9</v>
      </c>
      <c r="CE17" s="37">
        <v>1995</v>
      </c>
    </row>
    <row r="18" spans="1:83">
      <c r="A18" s="5">
        <v>1980</v>
      </c>
      <c r="B18" s="1">
        <v>10.59</v>
      </c>
      <c r="C18" s="1">
        <v>10.59</v>
      </c>
      <c r="D18" s="1">
        <v>10.59</v>
      </c>
      <c r="E18" s="1">
        <v>11.8</v>
      </c>
      <c r="F18" s="1">
        <v>11.8</v>
      </c>
      <c r="G18" s="1">
        <v>10.6</v>
      </c>
      <c r="H18" s="1">
        <v>11.8</v>
      </c>
      <c r="I18" s="1">
        <v>9.9</v>
      </c>
      <c r="J18" s="1">
        <v>7.15</v>
      </c>
      <c r="K18" s="1">
        <v>9.9</v>
      </c>
      <c r="L18" s="1">
        <v>7.39</v>
      </c>
      <c r="M18" s="1">
        <v>8.7200000000000006</v>
      </c>
      <c r="N18" s="1">
        <v>10.6</v>
      </c>
      <c r="O18" s="1">
        <v>8.7200000000000006</v>
      </c>
      <c r="P18" s="1">
        <v>10.59</v>
      </c>
      <c r="Q18" s="1">
        <v>11.8</v>
      </c>
      <c r="R18" s="1">
        <v>8.7200000000000006</v>
      </c>
      <c r="S18" s="1">
        <v>8.7200000000000006</v>
      </c>
      <c r="T18" s="1">
        <v>7.39</v>
      </c>
      <c r="U18" s="1">
        <v>10.59</v>
      </c>
      <c r="V18" s="1">
        <v>11.8</v>
      </c>
      <c r="W18" s="1">
        <v>10.59</v>
      </c>
      <c r="X18" s="1">
        <v>10.59</v>
      </c>
      <c r="Y18" s="1">
        <v>8.7200000000000006</v>
      </c>
      <c r="Z18" s="1">
        <v>8.7200000000000024</v>
      </c>
      <c r="AA18" s="1">
        <v>6.83</v>
      </c>
      <c r="AB18" s="1">
        <v>86.507324595219742</v>
      </c>
      <c r="AC18" s="1">
        <v>10.59</v>
      </c>
      <c r="AD18" s="1">
        <v>10.59</v>
      </c>
      <c r="AE18" s="1">
        <v>8.7200000000000006</v>
      </c>
      <c r="AF18" s="1">
        <v>8.7200000000000024</v>
      </c>
      <c r="AG18" s="1">
        <v>7.39</v>
      </c>
      <c r="AH18" s="1">
        <v>10.59</v>
      </c>
      <c r="AI18" s="1">
        <v>8.7200000000000006</v>
      </c>
      <c r="AJ18" s="1">
        <v>8.7200000000000006</v>
      </c>
      <c r="AK18" s="1">
        <v>7.39</v>
      </c>
      <c r="AL18" s="1">
        <v>8.7200000000000006</v>
      </c>
      <c r="AM18" s="1">
        <v>10.59</v>
      </c>
      <c r="AN18" s="1">
        <v>10.59</v>
      </c>
      <c r="AO18" s="1">
        <v>10.6</v>
      </c>
      <c r="AP18" s="1">
        <v>10.6</v>
      </c>
      <c r="AQ18" s="1">
        <v>10.6</v>
      </c>
      <c r="AR18" s="100">
        <v>10.15948</v>
      </c>
      <c r="AS18" s="1">
        <v>21.984407843484966</v>
      </c>
      <c r="AT18" s="1">
        <v>8.7220320000000005</v>
      </c>
      <c r="AU18" s="1">
        <v>7.1929360000000004</v>
      </c>
      <c r="AV18" s="1">
        <v>7.1864490861618799</v>
      </c>
      <c r="AW18" s="1">
        <v>24.586763337887184</v>
      </c>
      <c r="AX18" s="1">
        <v>10.063600000000001</v>
      </c>
      <c r="AY18" s="1">
        <v>8.7200000000000006</v>
      </c>
      <c r="AZ18" s="1">
        <v>10.319905043778517</v>
      </c>
      <c r="BA18" s="1">
        <v>7.1658400000000002</v>
      </c>
      <c r="BB18" s="1">
        <v>7.2011200000000004</v>
      </c>
      <c r="BC18" s="1">
        <v>11.369778465690054</v>
      </c>
      <c r="BD18" s="1">
        <v>12.34075869390902</v>
      </c>
      <c r="BE18" s="1">
        <v>2</v>
      </c>
      <c r="BF18" s="1">
        <v>2</v>
      </c>
      <c r="BG18" s="1">
        <v>2</v>
      </c>
      <c r="BH18" s="1">
        <v>2</v>
      </c>
      <c r="BI18" s="1">
        <v>2</v>
      </c>
      <c r="BJ18" s="1">
        <v>2</v>
      </c>
      <c r="BK18" s="1">
        <v>2.4499999999999997</v>
      </c>
      <c r="BL18" s="1">
        <v>2</v>
      </c>
      <c r="BM18" s="1">
        <v>5.6</v>
      </c>
      <c r="BN18" s="1">
        <v>2</v>
      </c>
      <c r="BO18" s="1">
        <v>2</v>
      </c>
      <c r="BP18" s="1">
        <v>2</v>
      </c>
      <c r="BQ18" s="1">
        <v>2</v>
      </c>
      <c r="BR18" s="1">
        <v>2</v>
      </c>
      <c r="BS18" s="1">
        <v>2</v>
      </c>
      <c r="BT18" s="1">
        <v>2</v>
      </c>
      <c r="BU18" s="1">
        <v>2</v>
      </c>
      <c r="BV18" s="1">
        <v>2.4499999999999997</v>
      </c>
      <c r="BW18" s="1">
        <v>2</v>
      </c>
      <c r="BX18" s="1">
        <v>2.4243499999999996</v>
      </c>
      <c r="BY18" s="1">
        <v>2</v>
      </c>
      <c r="BZ18" s="1">
        <v>2.4243499999999996</v>
      </c>
      <c r="CA18" s="1">
        <v>2</v>
      </c>
      <c r="CB18" s="1">
        <v>2.4243499999999996</v>
      </c>
      <c r="CC18" s="1">
        <v>2</v>
      </c>
      <c r="CD18" s="1">
        <v>2</v>
      </c>
      <c r="CE18" s="37">
        <v>1996</v>
      </c>
    </row>
    <row r="19" spans="1:83">
      <c r="A19" s="5">
        <v>1981</v>
      </c>
      <c r="B19" s="1">
        <v>10.61</v>
      </c>
      <c r="C19" s="1">
        <v>10.61</v>
      </c>
      <c r="D19" s="1">
        <v>10.61</v>
      </c>
      <c r="E19" s="1">
        <v>11.6</v>
      </c>
      <c r="F19" s="1">
        <v>11.6</v>
      </c>
      <c r="G19" s="1">
        <v>10.6</v>
      </c>
      <c r="H19" s="1">
        <v>11.6</v>
      </c>
      <c r="I19" s="1">
        <v>9.6</v>
      </c>
      <c r="J19" s="1">
        <v>15.86</v>
      </c>
      <c r="K19" s="1">
        <v>9.6</v>
      </c>
      <c r="L19" s="1">
        <v>24.07</v>
      </c>
      <c r="M19" s="1">
        <v>9.77</v>
      </c>
      <c r="N19" s="1">
        <v>10.6</v>
      </c>
      <c r="O19" s="1">
        <v>9.77</v>
      </c>
      <c r="P19" s="1">
        <v>10.61</v>
      </c>
      <c r="Q19" s="1">
        <v>11.6</v>
      </c>
      <c r="R19" s="1">
        <v>9.77</v>
      </c>
      <c r="S19" s="1">
        <v>9.77</v>
      </c>
      <c r="T19" s="1">
        <v>24.07</v>
      </c>
      <c r="U19" s="1">
        <v>10.61</v>
      </c>
      <c r="V19" s="1">
        <v>11.6</v>
      </c>
      <c r="W19" s="1">
        <v>10.61</v>
      </c>
      <c r="X19" s="1">
        <v>10.61</v>
      </c>
      <c r="Y19" s="1">
        <v>9.77</v>
      </c>
      <c r="Z19" s="1">
        <v>9.7700000000000014</v>
      </c>
      <c r="AA19" s="1">
        <v>8.6999999999999993</v>
      </c>
      <c r="AB19" s="1">
        <v>15.808185200496073</v>
      </c>
      <c r="AC19" s="1">
        <v>10.61</v>
      </c>
      <c r="AD19" s="1">
        <v>10.61</v>
      </c>
      <c r="AE19" s="1">
        <v>9.77</v>
      </c>
      <c r="AF19" s="1">
        <v>9.77</v>
      </c>
      <c r="AG19" s="1">
        <v>24.07</v>
      </c>
      <c r="AH19" s="1">
        <v>10.61</v>
      </c>
      <c r="AI19" s="1">
        <v>9.77</v>
      </c>
      <c r="AJ19" s="1">
        <v>9.77</v>
      </c>
      <c r="AK19" s="1">
        <v>24.07</v>
      </c>
      <c r="AL19" s="1">
        <v>9.77</v>
      </c>
      <c r="AM19" s="1">
        <v>10.61</v>
      </c>
      <c r="AN19" s="1">
        <v>10.61</v>
      </c>
      <c r="AO19" s="1">
        <v>10.6</v>
      </c>
      <c r="AP19" s="1">
        <v>10.6</v>
      </c>
      <c r="AQ19" s="1">
        <v>10.6</v>
      </c>
      <c r="AR19" s="100">
        <v>10.391304999999999</v>
      </c>
      <c r="AS19" s="1">
        <v>10.70917957668458</v>
      </c>
      <c r="AT19" s="1">
        <v>9.6611119999999993</v>
      </c>
      <c r="AU19" s="1">
        <v>17.328769000000001</v>
      </c>
      <c r="AV19" s="1">
        <v>17.106862489120974</v>
      </c>
      <c r="AW19" s="1">
        <v>11.430170804148549</v>
      </c>
      <c r="AX19" s="1">
        <v>10.342599999999999</v>
      </c>
      <c r="AY19" s="1">
        <v>9.77</v>
      </c>
      <c r="AZ19" s="1">
        <v>10.472797508940682</v>
      </c>
      <c r="BA19" s="1">
        <v>16.401859999999999</v>
      </c>
      <c r="BB19" s="1">
        <v>17.608730000000001</v>
      </c>
      <c r="BC19" s="1">
        <v>10.238688259611408</v>
      </c>
      <c r="BD19" s="1">
        <v>10.585114274493591</v>
      </c>
      <c r="BE19" s="1">
        <v>1.8</v>
      </c>
      <c r="BF19" s="1">
        <v>1.8</v>
      </c>
      <c r="BG19" s="1">
        <v>1.8</v>
      </c>
      <c r="BH19" s="1">
        <v>1.8</v>
      </c>
      <c r="BI19" s="1">
        <v>1.8</v>
      </c>
      <c r="BJ19" s="1">
        <v>1.8</v>
      </c>
      <c r="BK19" s="1">
        <v>2.85</v>
      </c>
      <c r="BL19" s="1">
        <v>1.8</v>
      </c>
      <c r="BM19" s="1">
        <v>1.2999999999999901</v>
      </c>
      <c r="BN19" s="1">
        <v>1.8</v>
      </c>
      <c r="BO19" s="1">
        <v>1.8</v>
      </c>
      <c r="BP19" s="1">
        <v>1.8</v>
      </c>
      <c r="BQ19" s="1">
        <v>1.8</v>
      </c>
      <c r="BR19" s="1">
        <v>1.8</v>
      </c>
      <c r="BS19" s="1">
        <v>1.8</v>
      </c>
      <c r="BT19" s="1">
        <v>1.8</v>
      </c>
      <c r="BU19" s="1">
        <v>1.8</v>
      </c>
      <c r="BV19" s="1">
        <v>2.85</v>
      </c>
      <c r="BW19" s="1">
        <v>1.8</v>
      </c>
      <c r="BX19" s="1">
        <v>2.7901499999999997</v>
      </c>
      <c r="BY19" s="1">
        <v>1.8</v>
      </c>
      <c r="BZ19" s="1">
        <v>2.7901499999999997</v>
      </c>
      <c r="CA19" s="1">
        <v>1.8</v>
      </c>
      <c r="CB19" s="1">
        <v>2.7901499999999997</v>
      </c>
      <c r="CC19" s="1">
        <v>1.8</v>
      </c>
      <c r="CD19" s="1">
        <v>1.8</v>
      </c>
      <c r="CE19" s="94">
        <v>1997</v>
      </c>
    </row>
    <row r="20" spans="1:83">
      <c r="A20" s="5">
        <v>1982</v>
      </c>
      <c r="B20" s="1">
        <v>7.6</v>
      </c>
      <c r="C20" s="1">
        <v>7.6</v>
      </c>
      <c r="D20" s="1">
        <v>7.6</v>
      </c>
      <c r="E20" s="1">
        <v>14.3</v>
      </c>
      <c r="F20" s="1">
        <v>14.3</v>
      </c>
      <c r="G20" s="1">
        <v>7.6</v>
      </c>
      <c r="H20" s="1">
        <v>14.3</v>
      </c>
      <c r="I20" s="1">
        <v>7.5</v>
      </c>
      <c r="J20" s="1">
        <v>13.71</v>
      </c>
      <c r="K20" s="1">
        <v>7.5</v>
      </c>
      <c r="L20" s="1">
        <v>7.6</v>
      </c>
      <c r="M20" s="1">
        <v>6.97</v>
      </c>
      <c r="N20" s="1">
        <v>7.6</v>
      </c>
      <c r="O20" s="1">
        <v>6.9700000000000006</v>
      </c>
      <c r="P20" s="1">
        <v>7.6</v>
      </c>
      <c r="Q20" s="1">
        <v>14.3</v>
      </c>
      <c r="R20" s="1">
        <v>6.97</v>
      </c>
      <c r="S20" s="1">
        <v>6.97</v>
      </c>
      <c r="T20" s="1">
        <v>7.6</v>
      </c>
      <c r="U20" s="1">
        <v>7.6</v>
      </c>
      <c r="V20" s="1">
        <v>14.3</v>
      </c>
      <c r="W20" s="1">
        <v>7.6</v>
      </c>
      <c r="X20" s="1">
        <v>7.6</v>
      </c>
      <c r="Y20" s="1">
        <v>6.9699999999999989</v>
      </c>
      <c r="Z20" s="1">
        <v>6.9700000000000006</v>
      </c>
      <c r="AA20" s="1">
        <v>5.49</v>
      </c>
      <c r="AB20" s="1">
        <v>11.272934961090897</v>
      </c>
      <c r="AC20" s="1">
        <v>7.6</v>
      </c>
      <c r="AD20" s="1">
        <v>7.6</v>
      </c>
      <c r="AE20" s="1">
        <v>6.9699999999999989</v>
      </c>
      <c r="AF20" s="1">
        <v>6.97</v>
      </c>
      <c r="AG20" s="1">
        <v>7.6</v>
      </c>
      <c r="AH20" s="1">
        <v>7.6</v>
      </c>
      <c r="AI20" s="1">
        <v>6.9700000000000006</v>
      </c>
      <c r="AJ20" s="1">
        <v>6.97</v>
      </c>
      <c r="AK20" s="1">
        <v>7.6</v>
      </c>
      <c r="AL20" s="1">
        <v>6.97</v>
      </c>
      <c r="AM20" s="1">
        <v>7.6</v>
      </c>
      <c r="AN20" s="1">
        <v>7.6</v>
      </c>
      <c r="AO20" s="1">
        <v>7.6</v>
      </c>
      <c r="AP20" s="1">
        <v>7.6</v>
      </c>
      <c r="AQ20" s="1">
        <v>7.6</v>
      </c>
      <c r="AR20" s="100">
        <v>7.3757070000000002</v>
      </c>
      <c r="AS20" s="1">
        <v>7.2168750018562164</v>
      </c>
      <c r="AT20" s="1">
        <v>6.5988049999999987</v>
      </c>
      <c r="AU20" s="1">
        <v>12.800221000000001</v>
      </c>
      <c r="AV20" s="1">
        <v>12.782067014795476</v>
      </c>
      <c r="AW20" s="1">
        <v>8.1159177418807609</v>
      </c>
      <c r="AX20" s="1">
        <v>7.3045999999999998</v>
      </c>
      <c r="AY20" s="1">
        <v>6.97</v>
      </c>
      <c r="AZ20" s="1">
        <v>7.4484307559501781</v>
      </c>
      <c r="BA20" s="1">
        <v>13.306740000000001</v>
      </c>
      <c r="BB20" s="1">
        <v>12.408570000000001</v>
      </c>
      <c r="BC20" s="1">
        <v>7.1422075041050901</v>
      </c>
      <c r="BD20" s="1">
        <v>7.5158024179338909</v>
      </c>
      <c r="BE20" s="1">
        <v>0.7</v>
      </c>
      <c r="BF20" s="1">
        <v>0.7</v>
      </c>
      <c r="BG20" s="1">
        <v>0.7</v>
      </c>
      <c r="BH20" s="1">
        <v>0.7</v>
      </c>
      <c r="BI20" s="1">
        <v>0.7</v>
      </c>
      <c r="BJ20" s="1">
        <v>0.7</v>
      </c>
      <c r="BK20" s="1">
        <v>2.8499999999999996</v>
      </c>
      <c r="BL20" s="1">
        <v>0.7</v>
      </c>
      <c r="BM20" s="1">
        <v>19.7</v>
      </c>
      <c r="BN20" s="1">
        <v>0.7</v>
      </c>
      <c r="BO20" s="1">
        <v>0.7</v>
      </c>
      <c r="BP20" s="1">
        <v>0.7</v>
      </c>
      <c r="BQ20" s="1">
        <v>0.7</v>
      </c>
      <c r="BR20" s="1">
        <v>0.7</v>
      </c>
      <c r="BS20" s="1">
        <v>0.7</v>
      </c>
      <c r="BT20" s="1">
        <v>0.7</v>
      </c>
      <c r="BU20" s="1">
        <v>0.7</v>
      </c>
      <c r="BV20" s="1">
        <v>2.8499999999999996</v>
      </c>
      <c r="BW20" s="1">
        <v>0.7</v>
      </c>
      <c r="BX20" s="1">
        <v>2.7274499999999993</v>
      </c>
      <c r="BY20" s="1">
        <v>0.7</v>
      </c>
      <c r="BZ20" s="1">
        <v>2.7274499999999993</v>
      </c>
      <c r="CA20" s="1">
        <v>0.7</v>
      </c>
      <c r="CB20" s="1">
        <v>2.7274499999999993</v>
      </c>
      <c r="CC20" s="1">
        <v>0.7</v>
      </c>
      <c r="CD20" s="1">
        <v>0.7</v>
      </c>
      <c r="CE20" s="94">
        <v>1998</v>
      </c>
    </row>
    <row r="21" spans="1:83">
      <c r="A21" s="5">
        <v>1983</v>
      </c>
      <c r="B21" s="1">
        <v>4.9000000000000004</v>
      </c>
      <c r="C21" s="1">
        <v>4.9000000000000004</v>
      </c>
      <c r="D21" s="1">
        <v>4.9000000000000004</v>
      </c>
      <c r="E21" s="1">
        <v>9</v>
      </c>
      <c r="F21" s="1">
        <v>9</v>
      </c>
      <c r="G21" s="1">
        <v>4.9000000000000004</v>
      </c>
      <c r="H21" s="1">
        <v>9</v>
      </c>
      <c r="I21" s="1">
        <v>3.8</v>
      </c>
      <c r="J21" s="1">
        <v>4</v>
      </c>
      <c r="K21" s="1">
        <v>3.8</v>
      </c>
      <c r="L21" s="1">
        <v>4.9000000000000004</v>
      </c>
      <c r="M21" s="1">
        <v>4.9000000000000004</v>
      </c>
      <c r="N21" s="1">
        <v>4.9000000000000004</v>
      </c>
      <c r="O21" s="1">
        <v>4.9000000000000004</v>
      </c>
      <c r="P21" s="1">
        <v>4.9000000000000004</v>
      </c>
      <c r="Q21" s="1">
        <v>9</v>
      </c>
      <c r="R21" s="1">
        <v>4.9000000000000004</v>
      </c>
      <c r="S21" s="1">
        <v>4.9000000000000004</v>
      </c>
      <c r="T21" s="1">
        <v>4.9000000000000004</v>
      </c>
      <c r="U21" s="1">
        <v>4.9000000000000004</v>
      </c>
      <c r="V21" s="1">
        <v>9</v>
      </c>
      <c r="W21" s="1">
        <v>4.9000000000000004</v>
      </c>
      <c r="X21" s="1">
        <v>4.9000000000000004</v>
      </c>
      <c r="Y21" s="1">
        <v>4.9000000000000004</v>
      </c>
      <c r="Z21" s="1">
        <v>4.9000000000000012</v>
      </c>
      <c r="AA21" s="1">
        <v>4.3</v>
      </c>
      <c r="AB21" s="1">
        <v>-9.8870781470550622</v>
      </c>
      <c r="AC21" s="1">
        <v>4.9000000000000004</v>
      </c>
      <c r="AD21" s="1">
        <v>4.9000000000000004</v>
      </c>
      <c r="AE21" s="1">
        <v>4.9000000000000004</v>
      </c>
      <c r="AF21" s="1">
        <v>4.9000000000000012</v>
      </c>
      <c r="AG21" s="1">
        <v>4.9000000000000004</v>
      </c>
      <c r="AH21" s="1">
        <v>4.9000000000000004</v>
      </c>
      <c r="AI21" s="1">
        <v>4.9000000000000012</v>
      </c>
      <c r="AJ21" s="1">
        <v>4.9000000000000004</v>
      </c>
      <c r="AK21" s="1">
        <v>4.9000000000000004</v>
      </c>
      <c r="AL21" s="1">
        <v>4.9000000000000004</v>
      </c>
      <c r="AM21" s="1">
        <v>4.9000000000000004</v>
      </c>
      <c r="AN21" s="1">
        <v>4.9000000000000004</v>
      </c>
      <c r="AO21" s="1">
        <v>4.9000000000000004</v>
      </c>
      <c r="AP21" s="1">
        <v>4.9000000000000004</v>
      </c>
      <c r="AQ21" s="1">
        <v>4.9000000000000004</v>
      </c>
      <c r="AR21" s="100">
        <v>4.89262</v>
      </c>
      <c r="AS21" s="1">
        <v>2.5538149031181812</v>
      </c>
      <c r="AT21" s="1">
        <v>4.6127200000000004</v>
      </c>
      <c r="AU21" s="1">
        <v>4.1466099999999999</v>
      </c>
      <c r="AV21" s="1">
        <v>4.13668407310705</v>
      </c>
      <c r="AW21" s="1">
        <v>2.0622959129012797</v>
      </c>
      <c r="AX21" s="1">
        <v>4.8160000000000007</v>
      </c>
      <c r="AY21" s="1">
        <v>4.9000000000000004</v>
      </c>
      <c r="AZ21" s="1">
        <v>4.8568997410284869</v>
      </c>
      <c r="BA21" s="1">
        <v>4.0594000000000001</v>
      </c>
      <c r="BB21" s="1">
        <v>4.1917</v>
      </c>
      <c r="BC21" s="1">
        <v>4.4056972026177332</v>
      </c>
      <c r="BD21" s="1">
        <v>4.4422740587706908</v>
      </c>
      <c r="BE21" s="1">
        <v>0.8</v>
      </c>
      <c r="BF21" s="1">
        <v>0.8</v>
      </c>
      <c r="BG21" s="1">
        <v>0.8</v>
      </c>
      <c r="BH21" s="1">
        <v>0.8</v>
      </c>
      <c r="BI21" s="1">
        <v>0.8</v>
      </c>
      <c r="BJ21" s="1">
        <v>0.8</v>
      </c>
      <c r="BK21" s="1">
        <v>3.4000000000000004</v>
      </c>
      <c r="BL21" s="1">
        <v>0.8</v>
      </c>
      <c r="BM21" s="1">
        <v>-8.8000000000000007</v>
      </c>
      <c r="BN21" s="1">
        <v>0.8</v>
      </c>
      <c r="BO21" s="1">
        <v>0.8</v>
      </c>
      <c r="BP21" s="1">
        <v>0.8</v>
      </c>
      <c r="BQ21" s="1">
        <v>0.8</v>
      </c>
      <c r="BR21" s="1">
        <v>0.8</v>
      </c>
      <c r="BS21" s="1">
        <v>0.8</v>
      </c>
      <c r="BT21" s="1">
        <v>0.8</v>
      </c>
      <c r="BU21" s="1">
        <v>0.8</v>
      </c>
      <c r="BV21" s="1">
        <v>3.4000000000000004</v>
      </c>
      <c r="BW21" s="1">
        <v>0.8</v>
      </c>
      <c r="BX21" s="1">
        <v>3.2518000000000002</v>
      </c>
      <c r="BY21" s="1">
        <v>0.8</v>
      </c>
      <c r="BZ21" s="1">
        <v>3.2518000000000002</v>
      </c>
      <c r="CA21" s="1">
        <v>0.8</v>
      </c>
      <c r="CB21" s="1">
        <v>3.2518000000000002</v>
      </c>
      <c r="CC21" s="1">
        <v>0.8</v>
      </c>
      <c r="CD21" s="1">
        <v>0.8</v>
      </c>
      <c r="CE21" s="95">
        <v>1999</v>
      </c>
    </row>
    <row r="22" spans="1:83">
      <c r="A22" s="5">
        <v>1984</v>
      </c>
      <c r="B22" s="1">
        <v>3.8</v>
      </c>
      <c r="C22" s="1">
        <v>3.8</v>
      </c>
      <c r="D22" s="1">
        <v>3.8</v>
      </c>
      <c r="E22" s="1">
        <v>8</v>
      </c>
      <c r="F22" s="1">
        <v>8</v>
      </c>
      <c r="G22" s="1">
        <v>3.8</v>
      </c>
      <c r="H22" s="1">
        <v>3</v>
      </c>
      <c r="I22" s="1">
        <v>3.6</v>
      </c>
      <c r="J22" s="1">
        <v>3</v>
      </c>
      <c r="K22" s="1">
        <v>3.6</v>
      </c>
      <c r="L22" s="1">
        <v>3.8</v>
      </c>
      <c r="M22" s="1">
        <v>3.8</v>
      </c>
      <c r="N22" s="1">
        <v>3.8</v>
      </c>
      <c r="O22" s="1">
        <v>3.8</v>
      </c>
      <c r="P22" s="1">
        <v>3.8</v>
      </c>
      <c r="Q22" s="1">
        <v>8</v>
      </c>
      <c r="R22" s="1">
        <v>3.8</v>
      </c>
      <c r="S22" s="1">
        <v>3.7999999999999994</v>
      </c>
      <c r="T22" s="1">
        <v>3.8</v>
      </c>
      <c r="U22" s="1">
        <v>3.8</v>
      </c>
      <c r="V22" s="1">
        <v>3</v>
      </c>
      <c r="W22" s="1">
        <v>3.8</v>
      </c>
      <c r="X22" s="1">
        <v>3.8</v>
      </c>
      <c r="Y22" s="1">
        <v>3.8</v>
      </c>
      <c r="Z22" s="1">
        <v>3.8</v>
      </c>
      <c r="AA22" s="1">
        <v>3</v>
      </c>
      <c r="AB22" s="1">
        <v>-13.812744749021</v>
      </c>
      <c r="AC22" s="1">
        <v>3.8</v>
      </c>
      <c r="AD22" s="1">
        <v>3.8</v>
      </c>
      <c r="AE22" s="1">
        <v>3.8</v>
      </c>
      <c r="AF22" s="1">
        <v>3.8</v>
      </c>
      <c r="AG22" s="1">
        <v>3.8</v>
      </c>
      <c r="AH22" s="1">
        <v>3.8</v>
      </c>
      <c r="AI22" s="1">
        <v>3.8</v>
      </c>
      <c r="AJ22" s="1">
        <v>3.8</v>
      </c>
      <c r="AK22" s="1">
        <v>3.8</v>
      </c>
      <c r="AL22" s="1">
        <v>3.8</v>
      </c>
      <c r="AM22" s="1">
        <v>3.8</v>
      </c>
      <c r="AN22" s="1">
        <v>3.8</v>
      </c>
      <c r="AO22" s="1">
        <v>3.8</v>
      </c>
      <c r="AP22" s="1">
        <v>3.8</v>
      </c>
      <c r="AQ22" s="1">
        <v>3.8</v>
      </c>
      <c r="AR22" s="100">
        <v>3.79176</v>
      </c>
      <c r="AS22" s="1">
        <v>1.6488332716269136</v>
      </c>
      <c r="AT22" s="1">
        <v>3.4454399999999996</v>
      </c>
      <c r="AU22" s="1">
        <v>3.1284800000000001</v>
      </c>
      <c r="AV22" s="1">
        <v>3.1214969538729327</v>
      </c>
      <c r="AW22" s="1">
        <v>0.41290039850702387</v>
      </c>
      <c r="AX22" s="1">
        <v>3.6879999999999997</v>
      </c>
      <c r="AY22" s="1">
        <v>3.8000000000000003</v>
      </c>
      <c r="AZ22" s="1">
        <v>3.7425329880379823</v>
      </c>
      <c r="BA22" s="1">
        <v>3.0528000000000004</v>
      </c>
      <c r="BB22" s="1">
        <v>3.1703999999999999</v>
      </c>
      <c r="BC22" s="1">
        <v>3.189306870772517</v>
      </c>
      <c r="BD22" s="1">
        <v>3.2473307938768246</v>
      </c>
      <c r="BE22" s="1">
        <v>1.4</v>
      </c>
      <c r="BF22" s="1">
        <v>1.4</v>
      </c>
      <c r="BG22" s="1">
        <v>1.4</v>
      </c>
      <c r="BH22" s="1">
        <v>1.4</v>
      </c>
      <c r="BI22" s="1">
        <v>1.4</v>
      </c>
      <c r="BJ22" s="1">
        <v>1.4</v>
      </c>
      <c r="BK22" s="1">
        <v>4.5</v>
      </c>
      <c r="BL22" s="1">
        <v>1.4</v>
      </c>
      <c r="BM22" s="1">
        <v>-25.3</v>
      </c>
      <c r="BN22" s="1">
        <v>1.4</v>
      </c>
      <c r="BO22" s="1">
        <v>1.4</v>
      </c>
      <c r="BP22" s="1">
        <v>1.4</v>
      </c>
      <c r="BQ22" s="1">
        <v>1.4</v>
      </c>
      <c r="BR22" s="1">
        <v>1.4</v>
      </c>
      <c r="BS22" s="1">
        <v>1.4</v>
      </c>
      <c r="BT22" s="1">
        <v>1.4</v>
      </c>
      <c r="BU22" s="1">
        <v>1.4</v>
      </c>
      <c r="BV22" s="1">
        <v>4.2</v>
      </c>
      <c r="BW22" s="1">
        <v>1.4</v>
      </c>
      <c r="BX22" s="1">
        <v>4.0404</v>
      </c>
      <c r="BY22" s="1">
        <v>1.4</v>
      </c>
      <c r="BZ22" s="1">
        <v>4.0404</v>
      </c>
      <c r="CA22" s="1">
        <v>1.4</v>
      </c>
      <c r="CB22" s="1">
        <v>4.0404</v>
      </c>
      <c r="CC22" s="1">
        <v>1.4</v>
      </c>
      <c r="CD22" s="1">
        <v>1.4</v>
      </c>
      <c r="CE22" s="94">
        <v>2000</v>
      </c>
    </row>
    <row r="23" spans="1:83">
      <c r="A23" s="5">
        <v>1985</v>
      </c>
      <c r="B23" s="1">
        <v>3.4</v>
      </c>
      <c r="C23" s="1">
        <v>3.4</v>
      </c>
      <c r="D23" s="1">
        <v>3.4</v>
      </c>
      <c r="E23" s="1">
        <v>3.4</v>
      </c>
      <c r="F23" s="1">
        <v>3.4</v>
      </c>
      <c r="G23" s="1">
        <v>3.4</v>
      </c>
      <c r="H23" s="1">
        <v>3.4</v>
      </c>
      <c r="I23" s="1">
        <v>2.1</v>
      </c>
      <c r="J23" s="1">
        <v>4</v>
      </c>
      <c r="K23" s="1">
        <v>2.1</v>
      </c>
      <c r="L23" s="1">
        <v>3.4</v>
      </c>
      <c r="M23" s="1">
        <v>3.4</v>
      </c>
      <c r="N23" s="1">
        <v>3.4</v>
      </c>
      <c r="O23" s="1">
        <v>3.4</v>
      </c>
      <c r="P23" s="1">
        <v>3.4</v>
      </c>
      <c r="Q23" s="1">
        <v>3.4</v>
      </c>
      <c r="R23" s="1">
        <v>3.4000000000000004</v>
      </c>
      <c r="S23" s="1">
        <v>3.3999999999999995</v>
      </c>
      <c r="T23" s="1">
        <v>3.4</v>
      </c>
      <c r="U23" s="1">
        <v>3.4</v>
      </c>
      <c r="V23" s="1">
        <v>3.4</v>
      </c>
      <c r="W23" s="1">
        <v>3.4</v>
      </c>
      <c r="X23" s="1">
        <v>3.4</v>
      </c>
      <c r="Y23" s="1">
        <v>3.4</v>
      </c>
      <c r="Z23" s="1">
        <v>3.4000000000000004</v>
      </c>
      <c r="AA23" s="1">
        <v>3.62</v>
      </c>
      <c r="AB23" s="1">
        <v>-7.2449401073936386</v>
      </c>
      <c r="AC23" s="1">
        <v>3.4</v>
      </c>
      <c r="AD23" s="1">
        <v>3.4</v>
      </c>
      <c r="AE23" s="1">
        <v>3.3999999999999995</v>
      </c>
      <c r="AF23" s="1">
        <v>3.4000000000000004</v>
      </c>
      <c r="AG23" s="1">
        <v>3.4</v>
      </c>
      <c r="AH23" s="1">
        <v>3.4</v>
      </c>
      <c r="AI23" s="1">
        <v>3.4000000000000004</v>
      </c>
      <c r="AJ23" s="1">
        <v>3.4</v>
      </c>
      <c r="AK23" s="1">
        <v>3.4</v>
      </c>
      <c r="AL23" s="1">
        <v>3.4</v>
      </c>
      <c r="AM23" s="1">
        <v>3.4</v>
      </c>
      <c r="AN23" s="1">
        <v>3.4</v>
      </c>
      <c r="AO23" s="1">
        <v>3.4</v>
      </c>
      <c r="AP23" s="1">
        <v>3.4</v>
      </c>
      <c r="AQ23" s="1">
        <v>3.4</v>
      </c>
      <c r="AR23" s="100">
        <v>3.4020890222114391</v>
      </c>
      <c r="AS23" s="1">
        <v>2.4846520559260994</v>
      </c>
      <c r="AT23" s="1">
        <v>3.4914539955899913</v>
      </c>
      <c r="AU23" s="1">
        <v>3.9187127904294647</v>
      </c>
      <c r="AV23" s="1">
        <v>3.9088772845953006</v>
      </c>
      <c r="AW23" s="1">
        <v>1.4117141627143546</v>
      </c>
      <c r="AX23" s="1">
        <v>3.4308000000000001</v>
      </c>
      <c r="AY23" s="1">
        <v>3.4</v>
      </c>
      <c r="AZ23" s="1">
        <v>3.4158034282895544</v>
      </c>
      <c r="BA23" s="1">
        <v>3.9604000000000004</v>
      </c>
      <c r="BB23" s="1">
        <v>3.8722000000000003</v>
      </c>
      <c r="BC23" s="1">
        <v>3.2117063775299464</v>
      </c>
      <c r="BD23" s="1">
        <v>3.1276006410574144</v>
      </c>
      <c r="BE23" s="1">
        <v>1.8</v>
      </c>
      <c r="BF23" s="1">
        <v>1.8</v>
      </c>
      <c r="BG23" s="1">
        <v>1.8</v>
      </c>
      <c r="BH23" s="1">
        <v>1.8</v>
      </c>
      <c r="BI23" s="1">
        <v>1.8</v>
      </c>
      <c r="BJ23" s="1">
        <v>1.8</v>
      </c>
      <c r="BK23" s="1">
        <v>3.6000000000000005</v>
      </c>
      <c r="BL23" s="1">
        <v>1.8</v>
      </c>
      <c r="BM23" s="1">
        <v>62.9</v>
      </c>
      <c r="BN23" s="1">
        <v>1.8</v>
      </c>
      <c r="BO23" s="1">
        <v>1.8</v>
      </c>
      <c r="BP23" s="1">
        <v>1.8</v>
      </c>
      <c r="BQ23" s="1">
        <v>1.8</v>
      </c>
      <c r="BR23" s="1">
        <v>1.8</v>
      </c>
      <c r="BS23" s="1">
        <v>1.8</v>
      </c>
      <c r="BT23" s="1">
        <v>1.8</v>
      </c>
      <c r="BU23" s="1">
        <v>1.8</v>
      </c>
      <c r="BV23" s="1">
        <v>3.8750000000000004</v>
      </c>
      <c r="BW23" s="1">
        <v>1.8</v>
      </c>
      <c r="BX23" s="1">
        <v>3.7567249999999999</v>
      </c>
      <c r="BY23" s="1">
        <v>1.8</v>
      </c>
      <c r="BZ23" s="1">
        <v>3.7567249999999999</v>
      </c>
      <c r="CA23" s="1">
        <v>1.8</v>
      </c>
      <c r="CB23" s="1">
        <v>3.7567249999999999</v>
      </c>
      <c r="CC23" s="1">
        <v>1.8</v>
      </c>
      <c r="CD23" s="1">
        <v>1.8</v>
      </c>
      <c r="CE23" s="94">
        <v>2001</v>
      </c>
    </row>
    <row r="24" spans="1:83">
      <c r="A24" s="5">
        <v>1986</v>
      </c>
      <c r="B24" s="1">
        <v>2.8</v>
      </c>
      <c r="C24" s="1">
        <v>2.8</v>
      </c>
      <c r="D24" s="1">
        <v>2.8</v>
      </c>
      <c r="E24" s="1">
        <v>2.8</v>
      </c>
      <c r="F24" s="1">
        <v>2.8</v>
      </c>
      <c r="G24" s="1">
        <v>2.8</v>
      </c>
      <c r="H24" s="1">
        <v>2.8</v>
      </c>
      <c r="I24" s="1">
        <v>1.4</v>
      </c>
      <c r="J24" s="1">
        <v>3</v>
      </c>
      <c r="K24" s="1">
        <v>1.4</v>
      </c>
      <c r="L24" s="1">
        <v>2.8</v>
      </c>
      <c r="M24" s="1">
        <v>2.8</v>
      </c>
      <c r="N24" s="1">
        <v>2.8</v>
      </c>
      <c r="O24" s="1">
        <v>2.8</v>
      </c>
      <c r="P24" s="1">
        <v>2.8</v>
      </c>
      <c r="Q24" s="1">
        <v>2.8</v>
      </c>
      <c r="R24" s="1">
        <v>2.8</v>
      </c>
      <c r="S24" s="1">
        <v>2.8</v>
      </c>
      <c r="T24" s="1">
        <v>2.8</v>
      </c>
      <c r="U24" s="1">
        <v>2.8</v>
      </c>
      <c r="V24" s="1">
        <v>2.8</v>
      </c>
      <c r="W24" s="1">
        <v>2.8</v>
      </c>
      <c r="X24" s="1">
        <v>2.8</v>
      </c>
      <c r="Y24" s="1">
        <v>2.8</v>
      </c>
      <c r="Z24" s="1">
        <v>2.8</v>
      </c>
      <c r="AA24" s="1">
        <v>0</v>
      </c>
      <c r="AB24" s="1">
        <v>-13.350552190951193</v>
      </c>
      <c r="AC24" s="1">
        <v>2.8</v>
      </c>
      <c r="AD24" s="1">
        <v>2.8</v>
      </c>
      <c r="AE24" s="1">
        <v>2.8</v>
      </c>
      <c r="AF24" s="1">
        <v>2.8000000000000003</v>
      </c>
      <c r="AG24" s="1">
        <v>2.8</v>
      </c>
      <c r="AH24" s="1">
        <v>2.8</v>
      </c>
      <c r="AI24" s="1">
        <v>2.8000000000000003</v>
      </c>
      <c r="AJ24" s="1">
        <v>2.8</v>
      </c>
      <c r="AK24" s="1">
        <v>2.8</v>
      </c>
      <c r="AL24" s="1">
        <v>2.8</v>
      </c>
      <c r="AM24" s="1">
        <v>2.8</v>
      </c>
      <c r="AN24" s="1">
        <v>2.8</v>
      </c>
      <c r="AO24" s="1">
        <v>2.8</v>
      </c>
      <c r="AP24" s="1">
        <v>2.8</v>
      </c>
      <c r="AQ24" s="1">
        <v>2.8</v>
      </c>
      <c r="AR24" s="100">
        <v>2.7725320085286054</v>
      </c>
      <c r="AS24" s="1">
        <v>0.35053158931656481</v>
      </c>
      <c r="AT24" s="1">
        <v>1.562297114517583</v>
      </c>
      <c r="AU24" s="1">
        <v>2.9737130352566199</v>
      </c>
      <c r="AV24" s="1">
        <v>2.9636500413751596</v>
      </c>
      <c r="AW24" s="1">
        <v>0.14488052124791273</v>
      </c>
      <c r="AX24" s="1">
        <v>2.4079999999999999</v>
      </c>
      <c r="AY24" s="1">
        <v>2.8</v>
      </c>
      <c r="AZ24" s="1">
        <v>2.5988654581329387</v>
      </c>
      <c r="BA24" s="1">
        <v>2.9874000000000005</v>
      </c>
      <c r="BB24" s="1">
        <v>2.9560000000000004</v>
      </c>
      <c r="BC24" s="1">
        <v>1.7446878517990734</v>
      </c>
      <c r="BD24" s="1">
        <v>2.0824339864624153</v>
      </c>
      <c r="BE24" s="1">
        <v>0.8</v>
      </c>
      <c r="BF24" s="1">
        <v>0.8</v>
      </c>
      <c r="BG24" s="1">
        <v>0.8</v>
      </c>
      <c r="BH24" s="1">
        <v>0.8</v>
      </c>
      <c r="BI24" s="1">
        <v>0.8</v>
      </c>
      <c r="BJ24" s="1">
        <v>0.8</v>
      </c>
      <c r="BK24" s="1">
        <v>4.25</v>
      </c>
      <c r="BL24" s="1">
        <v>0.8</v>
      </c>
      <c r="BM24" s="1">
        <v>-1</v>
      </c>
      <c r="BN24" s="1">
        <v>0.8</v>
      </c>
      <c r="BO24" s="1">
        <v>0.8</v>
      </c>
      <c r="BP24" s="1">
        <v>0.8</v>
      </c>
      <c r="BQ24" s="1">
        <v>0.8</v>
      </c>
      <c r="BR24" s="1">
        <v>0.8</v>
      </c>
      <c r="BS24" s="1">
        <v>0.8</v>
      </c>
      <c r="BT24" s="1">
        <v>0.8</v>
      </c>
      <c r="BU24" s="1">
        <v>0.8</v>
      </c>
      <c r="BV24" s="1">
        <v>6.1000000000000005</v>
      </c>
      <c r="BW24" s="1">
        <v>0.8</v>
      </c>
      <c r="BX24" s="1">
        <v>5.7979000000000003</v>
      </c>
      <c r="BY24" s="1">
        <v>0.8</v>
      </c>
      <c r="BZ24" s="1">
        <v>5.7979000000000003</v>
      </c>
      <c r="CA24" s="1">
        <v>0.8</v>
      </c>
      <c r="CB24" s="1">
        <v>5.7979000000000003</v>
      </c>
      <c r="CC24" s="1">
        <v>0.8</v>
      </c>
      <c r="CD24" s="1">
        <v>0.8</v>
      </c>
      <c r="CE24" s="94">
        <v>2002</v>
      </c>
    </row>
    <row r="25" spans="1:83">
      <c r="A25" s="5">
        <v>1987</v>
      </c>
      <c r="B25" s="1">
        <v>2.7</v>
      </c>
      <c r="C25" s="1">
        <v>2.7</v>
      </c>
      <c r="D25" s="1">
        <v>2.7</v>
      </c>
      <c r="E25" s="1">
        <v>2.7</v>
      </c>
      <c r="F25" s="1">
        <v>2.7</v>
      </c>
      <c r="G25" s="1">
        <v>2.7</v>
      </c>
      <c r="H25" s="1">
        <v>2.7</v>
      </c>
      <c r="I25" s="1">
        <v>1.5</v>
      </c>
      <c r="J25" s="1">
        <v>2.25</v>
      </c>
      <c r="K25" s="1">
        <v>1.5</v>
      </c>
      <c r="L25" s="1">
        <v>2.7</v>
      </c>
      <c r="M25" s="1">
        <v>2.7</v>
      </c>
      <c r="N25" s="1">
        <v>2.7</v>
      </c>
      <c r="O25" s="1">
        <v>2.7</v>
      </c>
      <c r="P25" s="1">
        <v>2.7</v>
      </c>
      <c r="Q25" s="1">
        <v>2.7</v>
      </c>
      <c r="R25" s="1">
        <v>2.7</v>
      </c>
      <c r="S25" s="1">
        <v>2.7</v>
      </c>
      <c r="T25" s="1">
        <v>2.7</v>
      </c>
      <c r="U25" s="1">
        <v>2.7</v>
      </c>
      <c r="V25" s="1">
        <v>2.7</v>
      </c>
      <c r="W25" s="1">
        <v>2.7</v>
      </c>
      <c r="X25" s="1">
        <v>2.7</v>
      </c>
      <c r="Y25" s="1">
        <v>2.7</v>
      </c>
      <c r="Z25" s="1">
        <v>2.7</v>
      </c>
      <c r="AA25" s="1">
        <v>2.25</v>
      </c>
      <c r="AB25" s="1">
        <v>-8.181724740466656</v>
      </c>
      <c r="AC25" s="1">
        <v>2.7</v>
      </c>
      <c r="AD25" s="1">
        <v>2.7</v>
      </c>
      <c r="AE25" s="1">
        <v>2.7000000000000006</v>
      </c>
      <c r="AF25" s="1">
        <v>2.7</v>
      </c>
      <c r="AG25" s="1">
        <v>2.7</v>
      </c>
      <c r="AH25" s="1">
        <v>2.7</v>
      </c>
      <c r="AI25" s="1">
        <v>2.7</v>
      </c>
      <c r="AJ25" s="1">
        <v>2.7</v>
      </c>
      <c r="AK25" s="1">
        <v>2.7</v>
      </c>
      <c r="AL25" s="1">
        <v>2.7</v>
      </c>
      <c r="AM25" s="1">
        <v>2.7</v>
      </c>
      <c r="AN25" s="1">
        <v>2.7</v>
      </c>
      <c r="AO25" s="1">
        <v>2.7</v>
      </c>
      <c r="AP25" s="1">
        <v>2.7</v>
      </c>
      <c r="AQ25" s="1">
        <v>2.7</v>
      </c>
      <c r="AR25" s="100">
        <v>2.6953522207655172</v>
      </c>
      <c r="AS25" s="1">
        <v>1.8199002505269708</v>
      </c>
      <c r="AT25" s="1">
        <v>2.4951221851295378</v>
      </c>
      <c r="AU25" s="1">
        <v>2.2987648347170579</v>
      </c>
      <c r="AV25" s="1">
        <v>2.3329949784791966</v>
      </c>
      <c r="AW25" s="1">
        <v>1.0235681524789013</v>
      </c>
      <c r="AX25" s="1">
        <v>2.637</v>
      </c>
      <c r="AY25" s="1">
        <v>2.7000000000000006</v>
      </c>
      <c r="AZ25" s="1">
        <v>2.6616799420709634</v>
      </c>
      <c r="BA25" s="1">
        <v>2.2801500000000003</v>
      </c>
      <c r="BB25" s="1">
        <v>2.3499000000000003</v>
      </c>
      <c r="BC25" s="1">
        <v>2.4079106794120673</v>
      </c>
      <c r="BD25" s="1">
        <v>2.3780068814883339</v>
      </c>
      <c r="BE25" s="1">
        <v>1</v>
      </c>
      <c r="BF25" s="1">
        <v>1</v>
      </c>
      <c r="BG25" s="1">
        <v>1</v>
      </c>
      <c r="BH25" s="1">
        <v>1</v>
      </c>
      <c r="BI25" s="1">
        <v>1</v>
      </c>
      <c r="BJ25" s="1">
        <v>1</v>
      </c>
      <c r="BK25" s="1">
        <v>4.2249999999999996</v>
      </c>
      <c r="BL25" s="1">
        <v>1</v>
      </c>
      <c r="BM25" s="1">
        <v>-16</v>
      </c>
      <c r="BN25" s="1">
        <v>1</v>
      </c>
      <c r="BO25" s="1">
        <v>1</v>
      </c>
      <c r="BP25" s="1">
        <v>1</v>
      </c>
      <c r="BQ25" s="1">
        <v>1</v>
      </c>
      <c r="BR25" s="1">
        <v>1</v>
      </c>
      <c r="BS25" s="1">
        <v>1</v>
      </c>
      <c r="BT25" s="1">
        <v>1</v>
      </c>
      <c r="BU25" s="1">
        <v>1</v>
      </c>
      <c r="BV25" s="1">
        <v>5.25</v>
      </c>
      <c r="BW25" s="1">
        <v>1</v>
      </c>
      <c r="BX25" s="1">
        <v>5.0077499999999997</v>
      </c>
      <c r="BY25" s="1">
        <v>1</v>
      </c>
      <c r="BZ25" s="1">
        <v>5.0077499999999997</v>
      </c>
      <c r="CA25" s="1">
        <v>1</v>
      </c>
      <c r="CB25" s="1">
        <v>5.0077499999999997</v>
      </c>
      <c r="CC25" s="1">
        <v>1</v>
      </c>
      <c r="CD25" s="1">
        <v>1</v>
      </c>
      <c r="CE25" s="94">
        <v>2003</v>
      </c>
    </row>
    <row r="26" spans="1:83">
      <c r="A26" s="5">
        <v>1988</v>
      </c>
      <c r="B26" s="1">
        <v>3</v>
      </c>
      <c r="C26" s="1">
        <v>3</v>
      </c>
      <c r="D26" s="1">
        <v>3</v>
      </c>
      <c r="E26" s="1">
        <v>3</v>
      </c>
      <c r="F26" s="1">
        <v>3</v>
      </c>
      <c r="G26" s="1">
        <v>3</v>
      </c>
      <c r="H26" s="1">
        <v>3</v>
      </c>
      <c r="I26" s="1">
        <v>2.6</v>
      </c>
      <c r="J26" s="1">
        <v>2.2400000000000002</v>
      </c>
      <c r="K26" s="1">
        <v>2.6</v>
      </c>
      <c r="L26" s="1">
        <v>3</v>
      </c>
      <c r="M26" s="1">
        <v>3</v>
      </c>
      <c r="N26" s="1">
        <v>3</v>
      </c>
      <c r="O26" s="1">
        <v>3</v>
      </c>
      <c r="P26" s="1">
        <v>3</v>
      </c>
      <c r="Q26" s="1">
        <v>3</v>
      </c>
      <c r="R26" s="1">
        <v>3</v>
      </c>
      <c r="S26" s="1">
        <v>2.9999999999999996</v>
      </c>
      <c r="T26" s="1">
        <v>3</v>
      </c>
      <c r="U26" s="1">
        <v>3</v>
      </c>
      <c r="V26" s="1">
        <v>3</v>
      </c>
      <c r="W26" s="1">
        <v>3</v>
      </c>
      <c r="X26" s="1">
        <v>3</v>
      </c>
      <c r="Y26" s="1">
        <v>3</v>
      </c>
      <c r="Z26" s="1">
        <v>2.9999999999999996</v>
      </c>
      <c r="AA26" s="1">
        <v>2.2400000000000002</v>
      </c>
      <c r="AB26" s="1">
        <v>-16.175976715549091</v>
      </c>
      <c r="AC26" s="1">
        <v>3</v>
      </c>
      <c r="AD26" s="1">
        <v>3</v>
      </c>
      <c r="AE26" s="1">
        <v>3</v>
      </c>
      <c r="AF26" s="1">
        <v>3</v>
      </c>
      <c r="AG26" s="1">
        <v>3</v>
      </c>
      <c r="AH26" s="1">
        <v>3</v>
      </c>
      <c r="AI26" s="1">
        <v>3</v>
      </c>
      <c r="AJ26" s="1">
        <v>3</v>
      </c>
      <c r="AK26" s="1">
        <v>3</v>
      </c>
      <c r="AL26" s="1">
        <v>2.9999999999999996</v>
      </c>
      <c r="AM26" s="1">
        <v>3</v>
      </c>
      <c r="AN26" s="1">
        <v>3</v>
      </c>
      <c r="AO26" s="1">
        <v>3</v>
      </c>
      <c r="AP26" s="1">
        <v>3</v>
      </c>
      <c r="AQ26" s="1">
        <v>3</v>
      </c>
      <c r="AR26" s="100">
        <v>2.9923506884000632</v>
      </c>
      <c r="AS26" s="1">
        <v>1.8179065015733717</v>
      </c>
      <c r="AT26" s="1">
        <v>2.6980071261205554</v>
      </c>
      <c r="AU26" s="1">
        <v>2.2750771795335782</v>
      </c>
      <c r="AV26" s="1">
        <v>2.3142274052478138</v>
      </c>
      <c r="AW26" s="1">
        <v>0.43354090015661972</v>
      </c>
      <c r="AX26" s="1">
        <v>2.8936000000000002</v>
      </c>
      <c r="AY26" s="1">
        <v>3</v>
      </c>
      <c r="AZ26" s="1">
        <v>2.9263870094722599</v>
      </c>
      <c r="BA26" s="1">
        <v>2.2824726308433823</v>
      </c>
      <c r="BB26" s="1">
        <v>2.3379315022041371</v>
      </c>
      <c r="BC26" s="1">
        <v>2.5109603492667638</v>
      </c>
      <c r="BD26" s="1">
        <v>2.6150803492667634</v>
      </c>
      <c r="BE26" s="1">
        <v>2</v>
      </c>
      <c r="BF26" s="1">
        <v>2</v>
      </c>
      <c r="BG26" s="1">
        <v>2</v>
      </c>
      <c r="BH26" s="1">
        <v>2</v>
      </c>
      <c r="BI26" s="1">
        <v>2</v>
      </c>
      <c r="BJ26" s="1">
        <v>2</v>
      </c>
      <c r="BK26" s="1">
        <v>4.0999999999999996</v>
      </c>
      <c r="BL26" s="1">
        <v>2</v>
      </c>
      <c r="BM26" s="1">
        <v>8.3000000000000007</v>
      </c>
      <c r="BN26" s="1">
        <v>2</v>
      </c>
      <c r="BO26" s="1">
        <v>2</v>
      </c>
      <c r="BP26" s="1">
        <v>2</v>
      </c>
      <c r="BQ26" s="1">
        <v>2</v>
      </c>
      <c r="BR26" s="1">
        <v>2</v>
      </c>
      <c r="BS26" s="1">
        <v>2</v>
      </c>
      <c r="BT26" s="1">
        <v>2</v>
      </c>
      <c r="BU26" s="1">
        <v>2</v>
      </c>
      <c r="BV26" s="1">
        <v>4.25</v>
      </c>
      <c r="BW26" s="1">
        <v>2</v>
      </c>
      <c r="BX26" s="1">
        <v>4.1217499999999996</v>
      </c>
      <c r="BY26" s="1">
        <v>2</v>
      </c>
      <c r="BZ26" s="1">
        <v>4.1217499999999996</v>
      </c>
      <c r="CA26" s="1">
        <v>2</v>
      </c>
      <c r="CB26" s="1">
        <v>4.1217499999999996</v>
      </c>
      <c r="CC26" s="1">
        <v>2</v>
      </c>
      <c r="CD26" s="1">
        <v>2</v>
      </c>
      <c r="CE26" s="95">
        <v>2004</v>
      </c>
    </row>
    <row r="27" spans="1:83">
      <c r="A27" s="5">
        <v>1989</v>
      </c>
      <c r="B27" s="1">
        <v>4.2</v>
      </c>
      <c r="C27" s="1">
        <v>4.2</v>
      </c>
      <c r="D27" s="1">
        <v>4.2</v>
      </c>
      <c r="E27" s="1">
        <v>4.2</v>
      </c>
      <c r="F27" s="1">
        <v>4.2</v>
      </c>
      <c r="G27" s="1">
        <v>4.2</v>
      </c>
      <c r="H27" s="1">
        <v>4.2</v>
      </c>
      <c r="I27" s="1">
        <v>3.3</v>
      </c>
      <c r="J27" s="1">
        <v>3.58</v>
      </c>
      <c r="K27" s="1">
        <v>3.3</v>
      </c>
      <c r="L27" s="1">
        <v>4.2</v>
      </c>
      <c r="M27" s="1">
        <v>4.2</v>
      </c>
      <c r="N27" s="1">
        <v>4.2</v>
      </c>
      <c r="O27" s="1">
        <v>4.2</v>
      </c>
      <c r="P27" s="1">
        <v>4.2</v>
      </c>
      <c r="Q27" s="1">
        <v>4.2</v>
      </c>
      <c r="R27" s="1">
        <v>4.1999999999999993</v>
      </c>
      <c r="S27" s="1">
        <v>4.2</v>
      </c>
      <c r="T27" s="1">
        <v>4.2</v>
      </c>
      <c r="U27" s="1">
        <v>4.2</v>
      </c>
      <c r="V27" s="1">
        <v>4.2</v>
      </c>
      <c r="W27" s="1">
        <v>4.2</v>
      </c>
      <c r="X27" s="1">
        <v>4.2</v>
      </c>
      <c r="Y27" s="1">
        <v>4.2</v>
      </c>
      <c r="Z27" s="1">
        <v>4.2</v>
      </c>
      <c r="AA27" s="1">
        <v>3.58</v>
      </c>
      <c r="AB27" s="1">
        <v>8.0128205128215946E-2</v>
      </c>
      <c r="AC27" s="1">
        <v>4.2</v>
      </c>
      <c r="AD27" s="1">
        <v>4.2</v>
      </c>
      <c r="AE27" s="1">
        <v>4.2</v>
      </c>
      <c r="AF27" s="1">
        <v>4.2</v>
      </c>
      <c r="AG27" s="1">
        <v>4.2</v>
      </c>
      <c r="AH27" s="1">
        <v>4.2</v>
      </c>
      <c r="AI27" s="1">
        <v>4.2</v>
      </c>
      <c r="AJ27" s="1">
        <v>4.2</v>
      </c>
      <c r="AK27" s="1">
        <v>4.2</v>
      </c>
      <c r="AL27" s="1">
        <v>4.2</v>
      </c>
      <c r="AM27" s="1">
        <v>4.2</v>
      </c>
      <c r="AN27" s="1">
        <v>4.2</v>
      </c>
      <c r="AO27" s="1">
        <v>4.2</v>
      </c>
      <c r="AP27" s="1">
        <v>4.2</v>
      </c>
      <c r="AQ27" s="1">
        <v>4.2</v>
      </c>
      <c r="AR27" s="100">
        <v>4.1931359887888746</v>
      </c>
      <c r="AS27" s="1">
        <v>3.7596488701883235</v>
      </c>
      <c r="AT27" s="1">
        <v>3.9386086869462202</v>
      </c>
      <c r="AU27" s="1">
        <v>3.6088287342688905</v>
      </c>
      <c r="AV27" s="1">
        <v>3.6419843868043311</v>
      </c>
      <c r="AW27" s="1">
        <v>3.6165659858032755</v>
      </c>
      <c r="AX27" s="1">
        <v>4.1132</v>
      </c>
      <c r="AY27" s="1">
        <v>4.2</v>
      </c>
      <c r="AZ27" s="1">
        <v>4.1432015429122471</v>
      </c>
      <c r="BA27" s="1">
        <v>3.6248455749251636</v>
      </c>
      <c r="BB27" s="1">
        <v>3.6709333333333332</v>
      </c>
      <c r="BC27" s="1">
        <v>3.9715998461538464</v>
      </c>
      <c r="BD27" s="1">
        <v>4.0710118974358975</v>
      </c>
      <c r="BE27" s="1">
        <v>2.8</v>
      </c>
      <c r="BF27" s="1">
        <v>2.8</v>
      </c>
      <c r="BG27" s="1">
        <v>2.8</v>
      </c>
      <c r="BH27" s="1">
        <v>2.8</v>
      </c>
      <c r="BI27" s="1">
        <v>2.8</v>
      </c>
      <c r="BJ27" s="1">
        <v>2.8</v>
      </c>
      <c r="BK27" s="1">
        <v>3.65</v>
      </c>
      <c r="BL27" s="1">
        <v>2.8</v>
      </c>
      <c r="BM27" s="1">
        <v>33</v>
      </c>
      <c r="BN27" s="1">
        <v>2.8</v>
      </c>
      <c r="BO27" s="1">
        <v>2.8</v>
      </c>
      <c r="BP27" s="1">
        <v>2.8</v>
      </c>
      <c r="BQ27" s="1">
        <v>2.8</v>
      </c>
      <c r="BR27" s="1">
        <v>2.8</v>
      </c>
      <c r="BS27" s="1">
        <v>2.8</v>
      </c>
      <c r="BT27" s="1">
        <v>2.8</v>
      </c>
      <c r="BU27" s="1">
        <v>2.8</v>
      </c>
      <c r="BV27" s="1">
        <v>3.65</v>
      </c>
      <c r="BW27" s="1">
        <v>2.8</v>
      </c>
      <c r="BX27" s="1">
        <v>3.60155</v>
      </c>
      <c r="BY27" s="1">
        <v>2.8</v>
      </c>
      <c r="BZ27" s="1">
        <v>3.60155</v>
      </c>
      <c r="CA27" s="1">
        <v>2.8</v>
      </c>
      <c r="CB27" s="1">
        <v>3.60155</v>
      </c>
      <c r="CC27" s="1">
        <v>2.8</v>
      </c>
      <c r="CD27" s="1">
        <v>2.8</v>
      </c>
      <c r="CE27" s="94">
        <v>2005</v>
      </c>
    </row>
    <row r="28" spans="1:83">
      <c r="A28" s="5">
        <v>1990</v>
      </c>
      <c r="B28" s="1">
        <v>4</v>
      </c>
      <c r="C28" s="1">
        <v>4</v>
      </c>
      <c r="D28" s="1">
        <v>4</v>
      </c>
      <c r="E28" s="1">
        <v>4</v>
      </c>
      <c r="F28" s="1">
        <v>4</v>
      </c>
      <c r="G28" s="1">
        <v>4</v>
      </c>
      <c r="H28" s="1">
        <v>4</v>
      </c>
      <c r="I28" s="1">
        <v>1.1000000000000001</v>
      </c>
      <c r="J28" s="1">
        <v>3.72</v>
      </c>
      <c r="K28" s="1">
        <v>1.1000000000000001</v>
      </c>
      <c r="L28" s="1">
        <v>4</v>
      </c>
      <c r="M28" s="1">
        <v>4</v>
      </c>
      <c r="N28" s="1">
        <v>4</v>
      </c>
      <c r="O28" s="1">
        <v>4</v>
      </c>
      <c r="P28" s="1">
        <v>4</v>
      </c>
      <c r="Q28" s="1">
        <v>4</v>
      </c>
      <c r="R28" s="1">
        <v>4</v>
      </c>
      <c r="S28" s="1">
        <v>4</v>
      </c>
      <c r="T28" s="1">
        <v>4</v>
      </c>
      <c r="U28" s="1">
        <v>4</v>
      </c>
      <c r="V28" s="1">
        <v>4</v>
      </c>
      <c r="W28" s="1">
        <v>4</v>
      </c>
      <c r="X28" s="1">
        <v>4</v>
      </c>
      <c r="Y28" s="1">
        <v>4</v>
      </c>
      <c r="Z28" s="1">
        <v>3.9999999999999996</v>
      </c>
      <c r="AA28" s="1">
        <v>3.72</v>
      </c>
      <c r="AB28" s="1">
        <v>-10.781958900453692</v>
      </c>
      <c r="AC28" s="1">
        <v>4</v>
      </c>
      <c r="AD28" s="1">
        <v>4</v>
      </c>
      <c r="AE28" s="1">
        <v>3.9999999999999996</v>
      </c>
      <c r="AF28" s="1">
        <v>4</v>
      </c>
      <c r="AG28" s="1">
        <v>4</v>
      </c>
      <c r="AH28" s="1">
        <v>4</v>
      </c>
      <c r="AI28" s="1">
        <v>4</v>
      </c>
      <c r="AJ28" s="1">
        <v>4</v>
      </c>
      <c r="AK28" s="1">
        <v>4</v>
      </c>
      <c r="AL28" s="1">
        <v>4</v>
      </c>
      <c r="AM28" s="1">
        <v>4</v>
      </c>
      <c r="AN28" s="1">
        <v>4</v>
      </c>
      <c r="AO28" s="1">
        <v>4</v>
      </c>
      <c r="AP28" s="1">
        <v>4</v>
      </c>
      <c r="AQ28" s="1">
        <v>4</v>
      </c>
      <c r="AR28" s="100">
        <v>3.996735251753178</v>
      </c>
      <c r="AS28" s="1">
        <v>3.2868586304597911</v>
      </c>
      <c r="AT28" s="1">
        <v>3.8789595078365808</v>
      </c>
      <c r="AU28" s="1">
        <v>3.7329966585425431</v>
      </c>
      <c r="AV28" s="1">
        <v>3.7503650934995552</v>
      </c>
      <c r="AW28" s="1">
        <v>2.1473306292611181</v>
      </c>
      <c r="AX28" s="1">
        <v>3.9607999999999999</v>
      </c>
      <c r="AY28" s="1">
        <v>4</v>
      </c>
      <c r="AZ28" s="1">
        <v>3.9635445664390074</v>
      </c>
      <c r="BA28" s="1">
        <v>3.7412711733462096</v>
      </c>
      <c r="BB28" s="1">
        <v>3.7749690027768676</v>
      </c>
      <c r="BC28" s="1">
        <v>3.8120465246864157</v>
      </c>
      <c r="BD28" s="1">
        <v>3.7126706986922877</v>
      </c>
      <c r="BE28" s="1">
        <v>3.1</v>
      </c>
      <c r="BF28" s="1">
        <v>3.1</v>
      </c>
      <c r="BG28" s="1">
        <v>3.1</v>
      </c>
      <c r="BH28" s="1">
        <v>3.1</v>
      </c>
      <c r="BI28" s="1">
        <v>3.1</v>
      </c>
      <c r="BJ28" s="1">
        <v>3.1</v>
      </c>
      <c r="BK28" s="1">
        <v>3.2</v>
      </c>
      <c r="BL28" s="1">
        <v>3.1</v>
      </c>
      <c r="BM28" s="1">
        <v>59.7</v>
      </c>
      <c r="BN28" s="1">
        <v>3.1</v>
      </c>
      <c r="BO28" s="1">
        <v>3.1</v>
      </c>
      <c r="BP28" s="1">
        <v>3.1</v>
      </c>
      <c r="BQ28" s="1">
        <v>3.1</v>
      </c>
      <c r="BR28" s="1">
        <v>3.1</v>
      </c>
      <c r="BS28" s="1">
        <v>3.1</v>
      </c>
      <c r="BT28" s="1">
        <v>3.1</v>
      </c>
      <c r="BU28" s="1">
        <v>3.1</v>
      </c>
      <c r="BV28" s="1">
        <v>3.2</v>
      </c>
      <c r="BW28" s="1">
        <v>3.1</v>
      </c>
      <c r="BX28" s="1">
        <v>3.1942999999999997</v>
      </c>
      <c r="BY28" s="1">
        <v>3.1</v>
      </c>
      <c r="BZ28" s="1">
        <v>3.1942999999999997</v>
      </c>
      <c r="CA28" s="1">
        <v>3.1</v>
      </c>
      <c r="CB28" s="1">
        <v>3.1942999999999997</v>
      </c>
      <c r="CC28" s="1">
        <v>3.1</v>
      </c>
      <c r="CD28" s="1">
        <v>3.1</v>
      </c>
      <c r="CE28" s="94">
        <v>2006</v>
      </c>
    </row>
    <row r="29" spans="1:83">
      <c r="A29" s="5">
        <v>1991</v>
      </c>
      <c r="B29" s="1">
        <v>4.3</v>
      </c>
      <c r="C29" s="1">
        <v>4.3</v>
      </c>
      <c r="D29" s="1">
        <v>4.3</v>
      </c>
      <c r="E29" s="1">
        <v>4.3</v>
      </c>
      <c r="F29" s="1">
        <v>4.3</v>
      </c>
      <c r="G29" s="1">
        <v>4.3</v>
      </c>
      <c r="H29" s="1">
        <v>4.3</v>
      </c>
      <c r="I29" s="1">
        <v>1.6</v>
      </c>
      <c r="J29" s="1">
        <v>3.98</v>
      </c>
      <c r="K29" s="1">
        <v>1.6</v>
      </c>
      <c r="L29" s="1">
        <v>4.3</v>
      </c>
      <c r="M29" s="1">
        <v>4.3</v>
      </c>
      <c r="N29" s="1">
        <v>4.3</v>
      </c>
      <c r="O29" s="1">
        <v>4.3</v>
      </c>
      <c r="P29" s="1">
        <v>4.3</v>
      </c>
      <c r="Q29" s="1">
        <v>4.3</v>
      </c>
      <c r="R29" s="1">
        <v>4.3</v>
      </c>
      <c r="S29" s="1">
        <v>4.3</v>
      </c>
      <c r="T29" s="1">
        <v>4.3</v>
      </c>
      <c r="U29" s="1">
        <v>4.3</v>
      </c>
      <c r="V29" s="1">
        <v>4.3</v>
      </c>
      <c r="W29" s="1">
        <v>4.3</v>
      </c>
      <c r="X29" s="1">
        <v>4.3</v>
      </c>
      <c r="Y29" s="1">
        <v>4.3</v>
      </c>
      <c r="Z29" s="1">
        <v>4.3</v>
      </c>
      <c r="AA29" s="1">
        <v>3.98</v>
      </c>
      <c r="AB29" s="1">
        <v>87.212084953634459</v>
      </c>
      <c r="AC29" s="1">
        <v>4.3</v>
      </c>
      <c r="AD29" s="1">
        <v>4.3</v>
      </c>
      <c r="AE29" s="1">
        <v>4.3</v>
      </c>
      <c r="AF29" s="1">
        <v>4.3</v>
      </c>
      <c r="AG29" s="1">
        <v>4.3</v>
      </c>
      <c r="AH29" s="1">
        <v>4.3</v>
      </c>
      <c r="AI29" s="1">
        <v>4.3</v>
      </c>
      <c r="AJ29" s="1">
        <v>4.3</v>
      </c>
      <c r="AK29" s="1">
        <v>4.3</v>
      </c>
      <c r="AL29" s="1">
        <v>4.3</v>
      </c>
      <c r="AM29" s="1">
        <v>4.3</v>
      </c>
      <c r="AN29" s="1">
        <v>4.3</v>
      </c>
      <c r="AO29" s="1">
        <v>4.3</v>
      </c>
      <c r="AP29" s="1">
        <v>4.3</v>
      </c>
      <c r="AQ29" s="1">
        <v>4.3</v>
      </c>
      <c r="AR29" s="100">
        <v>4.295536595887457</v>
      </c>
      <c r="AS29" s="1">
        <v>8.4789936590628407</v>
      </c>
      <c r="AT29" s="1">
        <v>4.1516633349660879</v>
      </c>
      <c r="AU29" s="1">
        <v>3.991795643200184</v>
      </c>
      <c r="AV29" s="1">
        <v>4.0145283606251168</v>
      </c>
      <c r="AW29" s="1">
        <v>14.577365635084327</v>
      </c>
      <c r="AX29" s="1">
        <v>4.2552000000000003</v>
      </c>
      <c r="AY29" s="1">
        <v>4.3000000000000007</v>
      </c>
      <c r="AZ29" s="1">
        <v>4.260639198410642</v>
      </c>
      <c r="BA29" s="1">
        <v>4.0637332972460918</v>
      </c>
      <c r="BB29" s="1">
        <v>4.0423819798458807</v>
      </c>
      <c r="BC29" s="1">
        <v>5.44866685731379</v>
      </c>
      <c r="BD29" s="1">
        <v>5.8570960311097817</v>
      </c>
      <c r="BE29" s="1">
        <v>2.7</v>
      </c>
      <c r="BF29" s="1">
        <v>2.7</v>
      </c>
      <c r="BG29" s="1">
        <v>2.7</v>
      </c>
      <c r="BH29" s="1">
        <v>2.7</v>
      </c>
      <c r="BI29" s="1">
        <v>2.7</v>
      </c>
      <c r="BJ29" s="1">
        <v>2.7</v>
      </c>
      <c r="BK29" s="1">
        <v>2.4250000000000003</v>
      </c>
      <c r="BL29" s="1">
        <v>2.7</v>
      </c>
      <c r="BM29" s="1">
        <v>1.4</v>
      </c>
      <c r="BN29" s="1">
        <v>2.7</v>
      </c>
      <c r="BO29" s="1">
        <v>2.7</v>
      </c>
      <c r="BP29" s="1">
        <v>2.7</v>
      </c>
      <c r="BQ29" s="1">
        <v>2.7</v>
      </c>
      <c r="BR29" s="1">
        <v>2.7</v>
      </c>
      <c r="BS29" s="1">
        <v>2.7</v>
      </c>
      <c r="BT29" s="1">
        <v>2.7</v>
      </c>
      <c r="BU29" s="1">
        <v>2.7</v>
      </c>
      <c r="BV29" s="1">
        <v>2.4250000000000003</v>
      </c>
      <c r="BW29" s="1">
        <v>2.7</v>
      </c>
      <c r="BX29" s="1">
        <v>2.4406750000000001</v>
      </c>
      <c r="BY29" s="1">
        <v>2.7</v>
      </c>
      <c r="BZ29" s="1">
        <v>2.4406750000000001</v>
      </c>
      <c r="CA29" s="1">
        <v>2.7</v>
      </c>
      <c r="CB29" s="1">
        <v>2.4406750000000001</v>
      </c>
      <c r="CC29" s="1">
        <v>2.7</v>
      </c>
      <c r="CD29" s="1">
        <v>2.7</v>
      </c>
      <c r="CE29" s="94">
        <v>2007</v>
      </c>
    </row>
    <row r="30" spans="1:83">
      <c r="A30" s="5">
        <v>1992</v>
      </c>
      <c r="B30" s="1">
        <v>2.8</v>
      </c>
      <c r="C30" s="1">
        <v>2.8</v>
      </c>
      <c r="D30" s="1">
        <v>2.8</v>
      </c>
      <c r="E30" s="1">
        <v>2.8</v>
      </c>
      <c r="F30" s="1">
        <v>2.8</v>
      </c>
      <c r="G30" s="1">
        <v>2.8</v>
      </c>
      <c r="H30" s="1">
        <v>2.8</v>
      </c>
      <c r="I30" s="1">
        <v>2.5</v>
      </c>
      <c r="J30" s="1">
        <v>4.18</v>
      </c>
      <c r="K30" s="1">
        <v>2.5</v>
      </c>
      <c r="L30" s="1">
        <v>2.8</v>
      </c>
      <c r="M30" s="1">
        <v>2.8</v>
      </c>
      <c r="N30" s="1">
        <v>2.8</v>
      </c>
      <c r="O30" s="1">
        <v>2.7999999999999994</v>
      </c>
      <c r="P30" s="1">
        <v>2.8</v>
      </c>
      <c r="Q30" s="1">
        <v>2.8</v>
      </c>
      <c r="R30" s="1">
        <v>2.8</v>
      </c>
      <c r="S30" s="1">
        <v>2.8</v>
      </c>
      <c r="T30" s="1">
        <v>2.8</v>
      </c>
      <c r="U30" s="1">
        <v>2.8</v>
      </c>
      <c r="V30" s="1">
        <v>2.8</v>
      </c>
      <c r="W30" s="1">
        <v>2.8</v>
      </c>
      <c r="X30" s="1">
        <v>2.8</v>
      </c>
      <c r="Y30" s="1">
        <v>2.8</v>
      </c>
      <c r="Z30" s="1">
        <v>2.8</v>
      </c>
      <c r="AA30" s="1">
        <v>4.18</v>
      </c>
      <c r="AB30" s="1">
        <v>-33.298713749300958</v>
      </c>
      <c r="AC30" s="1">
        <v>2.8</v>
      </c>
      <c r="AD30" s="1">
        <v>2.8</v>
      </c>
      <c r="AE30" s="1">
        <v>2.8</v>
      </c>
      <c r="AF30" s="1">
        <v>2.8000000000000003</v>
      </c>
      <c r="AG30" s="1">
        <v>2.8</v>
      </c>
      <c r="AH30" s="1">
        <v>2.8</v>
      </c>
      <c r="AI30" s="1">
        <v>2.8</v>
      </c>
      <c r="AJ30" s="1">
        <v>2.8</v>
      </c>
      <c r="AK30" s="1">
        <v>2.8</v>
      </c>
      <c r="AL30" s="1">
        <v>2.8</v>
      </c>
      <c r="AM30" s="1">
        <v>2.8</v>
      </c>
      <c r="AN30" s="1">
        <v>2.8</v>
      </c>
      <c r="AO30" s="1">
        <v>2.8</v>
      </c>
      <c r="AP30" s="1">
        <v>2.8</v>
      </c>
      <c r="AQ30" s="1">
        <v>2.8</v>
      </c>
      <c r="AR30" s="100">
        <v>2.8198468106769718</v>
      </c>
      <c r="AS30" s="1">
        <v>1.5817861696527948</v>
      </c>
      <c r="AT30" s="1">
        <v>3.431136967724437</v>
      </c>
      <c r="AU30" s="1">
        <v>4.1283889289578068</v>
      </c>
      <c r="AV30" s="1">
        <v>4.0343539885205573</v>
      </c>
      <c r="AW30" s="1">
        <v>-1.4192041430674252</v>
      </c>
      <c r="AX30" s="1">
        <v>2.9931999999999999</v>
      </c>
      <c r="AY30" s="1">
        <v>2.8000000000000003</v>
      </c>
      <c r="AZ30" s="1">
        <v>3.0317300884955749</v>
      </c>
      <c r="BA30" s="1">
        <v>4.0907911072391343</v>
      </c>
      <c r="BB30" s="1">
        <v>3.8801417024935505</v>
      </c>
      <c r="BC30" s="1">
        <v>2.7934406052568508</v>
      </c>
      <c r="BD30" s="1">
        <v>2.2990746380123031</v>
      </c>
      <c r="BE30" s="1">
        <v>2.4</v>
      </c>
      <c r="BF30" s="1">
        <v>2.4</v>
      </c>
      <c r="BG30" s="1">
        <v>2.4</v>
      </c>
      <c r="BH30" s="1">
        <v>2.4</v>
      </c>
      <c r="BI30" s="1">
        <v>2.4</v>
      </c>
      <c r="BJ30" s="1">
        <v>2.4</v>
      </c>
      <c r="BK30" s="1">
        <v>3.1749999999999998</v>
      </c>
      <c r="BL30" s="1">
        <v>2.4</v>
      </c>
      <c r="BM30" s="1">
        <v>35.1</v>
      </c>
      <c r="BN30" s="1">
        <v>2.4</v>
      </c>
      <c r="BO30" s="1">
        <v>2.4</v>
      </c>
      <c r="BP30" s="1">
        <v>2.4</v>
      </c>
      <c r="BQ30" s="1">
        <v>2.4</v>
      </c>
      <c r="BR30" s="1">
        <v>2.4</v>
      </c>
      <c r="BS30" s="1">
        <v>2.4</v>
      </c>
      <c r="BT30" s="1">
        <v>2.4</v>
      </c>
      <c r="BU30" s="1">
        <v>2.4</v>
      </c>
      <c r="BV30" s="1">
        <v>3.1749999999999998</v>
      </c>
      <c r="BW30" s="1">
        <v>2.4</v>
      </c>
      <c r="BX30" s="1">
        <v>3.1308249999999997</v>
      </c>
      <c r="BY30" s="1">
        <v>2.4</v>
      </c>
      <c r="BZ30" s="1">
        <v>3.1308249999999997</v>
      </c>
      <c r="CA30" s="1">
        <v>2.4</v>
      </c>
      <c r="CB30" s="1">
        <v>3.1308249999999997</v>
      </c>
      <c r="CC30" s="1">
        <v>2.4</v>
      </c>
      <c r="CD30" s="1">
        <v>2.4</v>
      </c>
      <c r="CE30" s="37">
        <v>2008</v>
      </c>
    </row>
    <row r="31" spans="1:83">
      <c r="A31" s="5">
        <v>1993</v>
      </c>
      <c r="B31" s="1">
        <v>2.7</v>
      </c>
      <c r="C31" s="1">
        <v>2.7</v>
      </c>
      <c r="D31" s="1">
        <v>2.7</v>
      </c>
      <c r="E31" s="1">
        <v>2.7</v>
      </c>
      <c r="F31" s="1">
        <v>2.7</v>
      </c>
      <c r="G31" s="1">
        <v>2.7</v>
      </c>
      <c r="H31" s="1">
        <v>2.7</v>
      </c>
      <c r="I31" s="1">
        <v>3.2</v>
      </c>
      <c r="J31" s="1">
        <v>3.82</v>
      </c>
      <c r="K31" s="1">
        <v>3.2</v>
      </c>
      <c r="L31" s="1">
        <v>2.7</v>
      </c>
      <c r="M31" s="1">
        <v>2.7</v>
      </c>
      <c r="N31" s="1">
        <v>2.7</v>
      </c>
      <c r="O31" s="1">
        <v>2.7</v>
      </c>
      <c r="P31" s="1">
        <v>2.7</v>
      </c>
      <c r="Q31" s="1">
        <v>2.7</v>
      </c>
      <c r="R31" s="1">
        <v>2.6999999999999997</v>
      </c>
      <c r="S31" s="1">
        <v>2.6999999999999997</v>
      </c>
      <c r="T31" s="1">
        <v>2.7</v>
      </c>
      <c r="U31" s="1">
        <v>2.7</v>
      </c>
      <c r="V31" s="1">
        <v>2.7</v>
      </c>
      <c r="W31" s="1">
        <v>2.7</v>
      </c>
      <c r="X31" s="1">
        <v>2.7</v>
      </c>
      <c r="Y31" s="1">
        <v>2.7</v>
      </c>
      <c r="Z31" s="1">
        <v>2.7000000000000006</v>
      </c>
      <c r="AA31" s="1">
        <v>3.82</v>
      </c>
      <c r="AB31" s="1">
        <v>1.3893879506527762</v>
      </c>
      <c r="AC31" s="1">
        <v>2.7</v>
      </c>
      <c r="AD31" s="1">
        <v>2.7</v>
      </c>
      <c r="AE31" s="1">
        <v>2.7</v>
      </c>
      <c r="AF31" s="1">
        <v>2.7000000000000006</v>
      </c>
      <c r="AG31" s="1">
        <v>2.7</v>
      </c>
      <c r="AH31" s="1">
        <v>2.7</v>
      </c>
      <c r="AI31" s="1">
        <v>2.7000000000000006</v>
      </c>
      <c r="AJ31" s="1">
        <v>2.7</v>
      </c>
      <c r="AK31" s="1">
        <v>2.7</v>
      </c>
      <c r="AL31" s="1">
        <v>2.7</v>
      </c>
      <c r="AM31" s="1">
        <v>2.7</v>
      </c>
      <c r="AN31" s="1">
        <v>2.7</v>
      </c>
      <c r="AO31" s="1">
        <v>2.7</v>
      </c>
      <c r="AP31" s="1">
        <v>2.7</v>
      </c>
      <c r="AQ31" s="1">
        <v>2.7</v>
      </c>
      <c r="AR31" s="100">
        <v>2.7122863379414568</v>
      </c>
      <c r="AS31" s="1">
        <v>3.1373052245386477</v>
      </c>
      <c r="AT31" s="1">
        <v>3.2454382263580608</v>
      </c>
      <c r="AU31" s="1">
        <v>3.7728479999999998</v>
      </c>
      <c r="AV31" s="1">
        <v>3.6881635615775461</v>
      </c>
      <c r="AW31" s="1">
        <v>2.6458010188621763</v>
      </c>
      <c r="AX31" s="1">
        <v>2.8568000000000002</v>
      </c>
      <c r="AY31" s="1">
        <v>2.7</v>
      </c>
      <c r="AZ31" s="1">
        <v>3.2169230769230772</v>
      </c>
      <c r="BA31" s="1">
        <v>3.7464848107202386</v>
      </c>
      <c r="BB31" s="1">
        <v>3.575164581961817</v>
      </c>
      <c r="BC31" s="1">
        <v>2.9793502552037436</v>
      </c>
      <c r="BD31" s="1">
        <v>2.7678232009597297</v>
      </c>
      <c r="BE31" s="1">
        <v>1.5</v>
      </c>
      <c r="BF31" s="1">
        <v>1.5</v>
      </c>
      <c r="BG31" s="1">
        <v>1.5</v>
      </c>
      <c r="BH31" s="1">
        <v>1.5</v>
      </c>
      <c r="BI31" s="1">
        <v>1.5</v>
      </c>
      <c r="BJ31" s="1">
        <v>1.5</v>
      </c>
      <c r="BK31" s="1">
        <v>3.8</v>
      </c>
      <c r="BL31" s="1">
        <v>1.5</v>
      </c>
      <c r="BM31" s="1">
        <v>-31.2</v>
      </c>
      <c r="BN31" s="1">
        <v>1.5</v>
      </c>
      <c r="BO31" s="1">
        <v>1.5</v>
      </c>
      <c r="BP31" s="1">
        <v>1.5</v>
      </c>
      <c r="BQ31" s="1">
        <v>1.5</v>
      </c>
      <c r="BR31" s="1">
        <v>1.5</v>
      </c>
      <c r="BS31" s="1">
        <v>1.5</v>
      </c>
      <c r="BT31" s="1">
        <v>1.5</v>
      </c>
      <c r="BU31" s="1">
        <v>1.5</v>
      </c>
      <c r="BV31" s="1">
        <v>3.8</v>
      </c>
      <c r="BW31" s="1">
        <v>1.5</v>
      </c>
      <c r="BX31" s="1">
        <v>3.6688999999999998</v>
      </c>
      <c r="BY31" s="1">
        <v>1.5</v>
      </c>
      <c r="BZ31" s="1">
        <v>3.6688999999999998</v>
      </c>
      <c r="CA31" s="1">
        <v>1.5</v>
      </c>
      <c r="CB31" s="1">
        <v>3.6688999999999998</v>
      </c>
      <c r="CC31" s="1">
        <v>1.5</v>
      </c>
      <c r="CD31" s="1">
        <v>1.5</v>
      </c>
      <c r="CE31" s="36">
        <v>2009</v>
      </c>
    </row>
    <row r="32" spans="1:83">
      <c r="A32" s="5">
        <v>1994</v>
      </c>
      <c r="B32" s="1">
        <v>2</v>
      </c>
      <c r="C32" s="1">
        <v>2</v>
      </c>
      <c r="D32" s="1">
        <v>2</v>
      </c>
      <c r="E32" s="1">
        <v>2</v>
      </c>
      <c r="F32" s="1">
        <v>2</v>
      </c>
      <c r="G32" s="1">
        <v>2</v>
      </c>
      <c r="H32" s="1">
        <v>2</v>
      </c>
      <c r="I32" s="1">
        <v>4.2</v>
      </c>
      <c r="J32" s="1">
        <v>2.56</v>
      </c>
      <c r="K32" s="1">
        <v>4.2</v>
      </c>
      <c r="L32" s="1">
        <v>2</v>
      </c>
      <c r="M32" s="1">
        <v>2</v>
      </c>
      <c r="N32" s="1">
        <v>2</v>
      </c>
      <c r="O32" s="1">
        <v>2</v>
      </c>
      <c r="P32" s="1">
        <v>2</v>
      </c>
      <c r="Q32" s="1">
        <v>2</v>
      </c>
      <c r="R32" s="1">
        <v>2</v>
      </c>
      <c r="S32" s="1">
        <v>2</v>
      </c>
      <c r="T32" s="1">
        <v>2</v>
      </c>
      <c r="U32" s="1">
        <v>2</v>
      </c>
      <c r="V32" s="1">
        <v>2</v>
      </c>
      <c r="W32" s="1">
        <v>2</v>
      </c>
      <c r="X32" s="1">
        <v>2</v>
      </c>
      <c r="Y32" s="1">
        <v>2</v>
      </c>
      <c r="Z32" s="1">
        <v>2</v>
      </c>
      <c r="AA32" s="1">
        <v>0.9</v>
      </c>
      <c r="AB32" s="1">
        <v>14.105138806851736</v>
      </c>
      <c r="AC32" s="1">
        <v>2</v>
      </c>
      <c r="AD32" s="1">
        <v>2</v>
      </c>
      <c r="AE32" s="1">
        <v>2</v>
      </c>
      <c r="AF32" s="1">
        <v>2</v>
      </c>
      <c r="AG32" s="1">
        <v>2</v>
      </c>
      <c r="AH32" s="1">
        <v>2</v>
      </c>
      <c r="AI32" s="1">
        <v>2</v>
      </c>
      <c r="AJ32" s="1">
        <v>2</v>
      </c>
      <c r="AK32" s="1">
        <v>2</v>
      </c>
      <c r="AL32" s="1">
        <v>2</v>
      </c>
      <c r="AM32" s="1">
        <v>2</v>
      </c>
      <c r="AN32" s="1">
        <v>2</v>
      </c>
      <c r="AO32" s="1">
        <v>2</v>
      </c>
      <c r="AP32" s="1">
        <v>2</v>
      </c>
      <c r="AQ32" s="1">
        <v>2</v>
      </c>
      <c r="AR32" s="100">
        <v>1.98658</v>
      </c>
      <c r="AS32" s="1">
        <v>2.2420898700531597</v>
      </c>
      <c r="AT32" s="1">
        <v>1.4809099999999999</v>
      </c>
      <c r="AU32" s="1">
        <v>2.5362</v>
      </c>
      <c r="AV32" s="1">
        <v>2.4917359999999995</v>
      </c>
      <c r="AW32" s="1">
        <v>3.8555625280567027</v>
      </c>
      <c r="AX32" s="1">
        <v>1.8460000000000001</v>
      </c>
      <c r="AY32" s="1">
        <v>2</v>
      </c>
      <c r="AZ32" s="1">
        <v>1.7528299999999999</v>
      </c>
      <c r="BA32" s="1">
        <v>2.5247760000000001</v>
      </c>
      <c r="BB32" s="1">
        <v>2.4577440000000004</v>
      </c>
      <c r="BC32" s="1">
        <v>1.8228413880685173</v>
      </c>
      <c r="BD32" s="1">
        <v>2.1852445953927937</v>
      </c>
      <c r="BE32" s="1">
        <v>0.8</v>
      </c>
      <c r="BF32" s="1">
        <v>0.8</v>
      </c>
      <c r="BG32" s="1">
        <v>0.8</v>
      </c>
      <c r="BH32" s="1">
        <v>0.8</v>
      </c>
      <c r="BI32" s="1">
        <v>0.8</v>
      </c>
      <c r="BJ32" s="1">
        <v>0.8</v>
      </c>
      <c r="BK32" s="1">
        <v>2.4750000000000001</v>
      </c>
      <c r="BL32" s="1">
        <v>0.8</v>
      </c>
      <c r="BM32" s="1">
        <v>25.3</v>
      </c>
      <c r="BN32" s="1">
        <v>0.8</v>
      </c>
      <c r="BO32" s="1">
        <v>0.8</v>
      </c>
      <c r="BP32" s="1">
        <v>0.8</v>
      </c>
      <c r="BQ32" s="1">
        <v>0.8</v>
      </c>
      <c r="BR32" s="1">
        <v>0.8</v>
      </c>
      <c r="BS32" s="1">
        <v>0.8</v>
      </c>
      <c r="BT32" s="1">
        <v>0.8</v>
      </c>
      <c r="BU32" s="1">
        <v>0.8</v>
      </c>
      <c r="BV32" s="1">
        <v>3.5249999999999999</v>
      </c>
      <c r="BW32" s="1">
        <v>0.8</v>
      </c>
      <c r="BX32" s="1">
        <v>3.3696749999999995</v>
      </c>
      <c r="BY32" s="1">
        <v>0.8</v>
      </c>
      <c r="BZ32" s="1">
        <v>3.3696749999999995</v>
      </c>
      <c r="CA32" s="1">
        <v>0.8</v>
      </c>
      <c r="CB32" s="1">
        <v>3.3696749999999995</v>
      </c>
      <c r="CC32" s="1">
        <v>0.8</v>
      </c>
      <c r="CD32" s="1">
        <v>0.8</v>
      </c>
      <c r="CE32" s="34">
        <v>2010</v>
      </c>
    </row>
    <row r="33" spans="1:83">
      <c r="A33" s="5">
        <v>1995</v>
      </c>
      <c r="B33" s="1">
        <v>1.9</v>
      </c>
      <c r="C33" s="1">
        <v>1.9</v>
      </c>
      <c r="D33" s="1">
        <v>1.9</v>
      </c>
      <c r="E33" s="1">
        <v>1.9</v>
      </c>
      <c r="F33" s="1">
        <v>1.9</v>
      </c>
      <c r="G33" s="1">
        <v>1.9</v>
      </c>
      <c r="H33" s="1">
        <v>1.9</v>
      </c>
      <c r="I33" s="1">
        <v>3.9</v>
      </c>
      <c r="J33" s="1">
        <v>2.5</v>
      </c>
      <c r="K33" s="1">
        <v>3.9</v>
      </c>
      <c r="L33" s="1">
        <v>1.9</v>
      </c>
      <c r="M33" s="1">
        <v>1.9</v>
      </c>
      <c r="N33" s="1">
        <v>1.9</v>
      </c>
      <c r="O33" s="1">
        <v>1.9</v>
      </c>
      <c r="P33" s="1">
        <v>1.9</v>
      </c>
      <c r="Q33" s="1">
        <v>1.9</v>
      </c>
      <c r="R33" s="1">
        <v>1.8999999999999997</v>
      </c>
      <c r="S33" s="1">
        <v>1.8999999999999997</v>
      </c>
      <c r="T33" s="1">
        <v>1.9</v>
      </c>
      <c r="U33" s="1">
        <v>1.9</v>
      </c>
      <c r="V33" s="1">
        <v>1.9</v>
      </c>
      <c r="W33" s="1">
        <v>1.9</v>
      </c>
      <c r="X33" s="1">
        <v>1.9</v>
      </c>
      <c r="Y33" s="1">
        <v>1.9</v>
      </c>
      <c r="Z33" s="1">
        <v>1.9</v>
      </c>
      <c r="AA33" s="1">
        <v>1.5</v>
      </c>
      <c r="AB33" s="1">
        <v>-12.402940262967189</v>
      </c>
      <c r="AC33" s="1">
        <v>1.9</v>
      </c>
      <c r="AD33" s="1">
        <v>1.9</v>
      </c>
      <c r="AE33" s="1">
        <v>1.9</v>
      </c>
      <c r="AF33" s="1">
        <v>1.9</v>
      </c>
      <c r="AG33" s="1">
        <v>1.9</v>
      </c>
      <c r="AH33" s="1">
        <v>1.9</v>
      </c>
      <c r="AI33" s="1">
        <v>1.9</v>
      </c>
      <c r="AJ33" s="1">
        <v>1.8999999999999997</v>
      </c>
      <c r="AK33" s="1">
        <v>1.9</v>
      </c>
      <c r="AL33" s="1">
        <v>1.9</v>
      </c>
      <c r="AM33" s="1">
        <v>1.9</v>
      </c>
      <c r="AN33" s="1">
        <v>1.9</v>
      </c>
      <c r="AO33" s="1">
        <v>1.9</v>
      </c>
      <c r="AP33" s="1">
        <v>1.9</v>
      </c>
      <c r="AQ33" s="1">
        <v>1.9</v>
      </c>
      <c r="AR33" s="100">
        <v>1.8952</v>
      </c>
      <c r="AS33" s="1">
        <v>1.060642983745729</v>
      </c>
      <c r="AT33" s="1">
        <v>1.7187199999999998</v>
      </c>
      <c r="AU33" s="1">
        <v>2.4768399999999997</v>
      </c>
      <c r="AV33" s="1">
        <v>2.4311800000000003</v>
      </c>
      <c r="AW33" s="1">
        <v>0.218042748731752</v>
      </c>
      <c r="AX33" s="1">
        <v>1.8439999999999999</v>
      </c>
      <c r="AY33" s="1">
        <v>1.9</v>
      </c>
      <c r="AZ33" s="1">
        <v>1.7560399999999998</v>
      </c>
      <c r="BA33" s="1">
        <v>2.4623200000000001</v>
      </c>
      <c r="BB33" s="1">
        <v>2.3956600000000003</v>
      </c>
      <c r="BC33" s="1">
        <v>1.6951073599751525</v>
      </c>
      <c r="BD33" s="1">
        <v>1.6064453111088102</v>
      </c>
      <c r="BE33" s="1">
        <v>2</v>
      </c>
      <c r="BF33" s="1">
        <v>2</v>
      </c>
      <c r="BG33" s="1">
        <v>2</v>
      </c>
      <c r="BH33" s="1">
        <v>2</v>
      </c>
      <c r="BI33" s="1">
        <v>2</v>
      </c>
      <c r="BJ33" s="1">
        <v>2</v>
      </c>
      <c r="BK33" s="1">
        <v>0.5</v>
      </c>
      <c r="BL33" s="1">
        <v>2</v>
      </c>
      <c r="BM33" s="1">
        <v>24.2</v>
      </c>
      <c r="BN33" s="1">
        <v>2</v>
      </c>
      <c r="BO33" s="1">
        <v>2</v>
      </c>
      <c r="BP33" s="1">
        <v>2</v>
      </c>
      <c r="BQ33" s="1">
        <v>2</v>
      </c>
      <c r="BR33" s="1">
        <v>2</v>
      </c>
      <c r="BS33" s="1">
        <v>2</v>
      </c>
      <c r="BT33" s="1">
        <v>2</v>
      </c>
      <c r="BU33" s="1">
        <v>2</v>
      </c>
      <c r="BV33" s="1">
        <v>1.9</v>
      </c>
      <c r="BW33" s="1">
        <v>2</v>
      </c>
      <c r="BX33" s="1">
        <v>1.9056999999999999</v>
      </c>
      <c r="BY33" s="1">
        <v>2</v>
      </c>
      <c r="BZ33" s="1">
        <v>1.9056999999999999</v>
      </c>
      <c r="CA33" s="1">
        <v>2</v>
      </c>
      <c r="CB33" s="1">
        <v>1.9056999999999999</v>
      </c>
      <c r="CC33" s="1">
        <v>2</v>
      </c>
      <c r="CD33" s="1">
        <v>2</v>
      </c>
      <c r="CE33" s="35">
        <v>2011</v>
      </c>
    </row>
    <row r="34" spans="1:83">
      <c r="A34" s="5">
        <v>1996</v>
      </c>
      <c r="B34" s="1">
        <v>2</v>
      </c>
      <c r="C34" s="1">
        <v>2</v>
      </c>
      <c r="D34" s="1">
        <v>2</v>
      </c>
      <c r="E34" s="1">
        <v>2</v>
      </c>
      <c r="F34" s="1">
        <v>2</v>
      </c>
      <c r="G34" s="1">
        <v>2</v>
      </c>
      <c r="H34" s="1">
        <v>2</v>
      </c>
      <c r="I34" s="1">
        <v>1.5</v>
      </c>
      <c r="J34" s="1">
        <v>2.4500000000000002</v>
      </c>
      <c r="K34" s="1">
        <v>1.5</v>
      </c>
      <c r="L34" s="1">
        <v>2</v>
      </c>
      <c r="M34" s="1">
        <v>2</v>
      </c>
      <c r="N34" s="1">
        <v>2</v>
      </c>
      <c r="O34" s="1">
        <v>2</v>
      </c>
      <c r="P34" s="1">
        <v>2</v>
      </c>
      <c r="Q34" s="1">
        <v>2</v>
      </c>
      <c r="R34" s="1">
        <v>2</v>
      </c>
      <c r="S34" s="1">
        <v>2</v>
      </c>
      <c r="T34" s="1">
        <v>2</v>
      </c>
      <c r="U34" s="1">
        <v>2</v>
      </c>
      <c r="V34" s="1">
        <v>2</v>
      </c>
      <c r="W34" s="1">
        <v>2</v>
      </c>
      <c r="X34" s="1">
        <v>2</v>
      </c>
      <c r="Y34" s="1">
        <v>2</v>
      </c>
      <c r="Z34" s="1">
        <v>2</v>
      </c>
      <c r="AA34" s="1">
        <v>2</v>
      </c>
      <c r="AB34" s="1">
        <v>5.6021746838435194</v>
      </c>
      <c r="AC34" s="1">
        <v>2</v>
      </c>
      <c r="AD34" s="1">
        <v>2</v>
      </c>
      <c r="AE34" s="1">
        <v>2</v>
      </c>
      <c r="AF34" s="1">
        <v>2</v>
      </c>
      <c r="AG34" s="1">
        <v>2</v>
      </c>
      <c r="AH34" s="1">
        <v>2</v>
      </c>
      <c r="AI34" s="1">
        <v>2</v>
      </c>
      <c r="AJ34" s="1">
        <v>2</v>
      </c>
      <c r="AK34" s="1">
        <v>2</v>
      </c>
      <c r="AL34" s="1">
        <v>2</v>
      </c>
      <c r="AM34" s="1">
        <v>2</v>
      </c>
      <c r="AN34" s="1">
        <v>2</v>
      </c>
      <c r="AO34" s="1">
        <v>2</v>
      </c>
      <c r="AP34" s="1">
        <v>2</v>
      </c>
      <c r="AQ34" s="1">
        <v>2</v>
      </c>
      <c r="AR34" s="100">
        <v>2</v>
      </c>
      <c r="AS34" s="1">
        <v>2.1761463420399481</v>
      </c>
      <c r="AT34" s="1">
        <v>2</v>
      </c>
      <c r="AU34" s="1">
        <v>2.4333500000000003</v>
      </c>
      <c r="AV34" s="1">
        <v>2.4010400000000005</v>
      </c>
      <c r="AW34" s="1">
        <v>2.4956592364968682</v>
      </c>
      <c r="AX34" s="1">
        <v>2</v>
      </c>
      <c r="AY34" s="1">
        <v>2</v>
      </c>
      <c r="AZ34" s="1">
        <v>2</v>
      </c>
      <c r="BA34" s="1">
        <v>2.4213350000000005</v>
      </c>
      <c r="BB34" s="1">
        <v>2.3778649999999999</v>
      </c>
      <c r="BC34" s="1">
        <v>2.0248550053185204</v>
      </c>
      <c r="BD34" s="1">
        <v>2.0612369696253401</v>
      </c>
      <c r="BE34" s="1">
        <v>1.8</v>
      </c>
      <c r="BF34" s="1">
        <v>1.8</v>
      </c>
      <c r="BG34" s="1">
        <v>1.8</v>
      </c>
      <c r="BH34" s="1">
        <v>1.8</v>
      </c>
      <c r="BI34" s="1">
        <v>1.8</v>
      </c>
      <c r="BJ34" s="1">
        <v>1.8</v>
      </c>
      <c r="BK34" s="1">
        <v>0</v>
      </c>
      <c r="BL34" s="1">
        <v>1.8</v>
      </c>
      <c r="BM34" s="1">
        <v>3.1</v>
      </c>
      <c r="BN34" s="1">
        <v>1.8</v>
      </c>
      <c r="BO34" s="1">
        <v>1.8</v>
      </c>
      <c r="BP34" s="1">
        <v>1.8</v>
      </c>
      <c r="BQ34" s="1">
        <v>1.8</v>
      </c>
      <c r="BR34" s="1">
        <v>1.8</v>
      </c>
      <c r="BS34" s="1">
        <v>1.8</v>
      </c>
      <c r="BT34" s="1">
        <v>1.8</v>
      </c>
      <c r="BU34" s="1">
        <v>1.8</v>
      </c>
      <c r="BV34" s="1">
        <v>1.5500000000000003</v>
      </c>
      <c r="BW34" s="1">
        <v>1.8</v>
      </c>
      <c r="BX34" s="1">
        <v>1.5642500000000001</v>
      </c>
      <c r="BY34" s="1">
        <v>1.8</v>
      </c>
      <c r="BZ34" s="1">
        <v>1.5642500000000001</v>
      </c>
      <c r="CA34" s="1">
        <v>1.8</v>
      </c>
      <c r="CB34" s="1">
        <v>1.5642500000000001</v>
      </c>
      <c r="CC34" s="1">
        <v>1.8</v>
      </c>
      <c r="CD34" s="1">
        <v>1.8</v>
      </c>
      <c r="CE34" s="35">
        <v>2012</v>
      </c>
    </row>
    <row r="35" spans="1:83">
      <c r="A35" s="5">
        <v>1997</v>
      </c>
      <c r="B35" s="1">
        <v>1.8</v>
      </c>
      <c r="C35" s="1">
        <v>1.8</v>
      </c>
      <c r="D35" s="1">
        <v>1.8</v>
      </c>
      <c r="E35" s="1">
        <v>1.8</v>
      </c>
      <c r="F35" s="1">
        <v>1.8</v>
      </c>
      <c r="G35" s="1">
        <v>1.8</v>
      </c>
      <c r="H35" s="1">
        <v>1.8</v>
      </c>
      <c r="I35" s="1">
        <v>0.9</v>
      </c>
      <c r="J35" s="1">
        <v>2.85</v>
      </c>
      <c r="K35" s="1">
        <v>0.9</v>
      </c>
      <c r="L35" s="1">
        <v>1.8</v>
      </c>
      <c r="M35" s="1">
        <v>1.8</v>
      </c>
      <c r="N35" s="1">
        <v>1.8</v>
      </c>
      <c r="O35" s="1">
        <v>1.8</v>
      </c>
      <c r="P35" s="1">
        <v>1.8</v>
      </c>
      <c r="Q35" s="1">
        <v>1.8</v>
      </c>
      <c r="R35" s="1">
        <v>1.8</v>
      </c>
      <c r="S35" s="1">
        <v>1.8</v>
      </c>
      <c r="T35" s="1">
        <v>1.8</v>
      </c>
      <c r="U35" s="1">
        <v>1.8</v>
      </c>
      <c r="V35" s="1">
        <v>1.8</v>
      </c>
      <c r="W35" s="1">
        <v>1.8</v>
      </c>
      <c r="X35" s="1">
        <v>1.8</v>
      </c>
      <c r="Y35" s="1">
        <v>1.7999999999999998</v>
      </c>
      <c r="Z35" s="1">
        <v>1.8</v>
      </c>
      <c r="AA35" s="1">
        <v>2.75</v>
      </c>
      <c r="AB35" s="1">
        <v>1.2982652490207247</v>
      </c>
      <c r="AC35" s="1">
        <v>1.8</v>
      </c>
      <c r="AD35" s="1">
        <v>1.8</v>
      </c>
      <c r="AE35" s="1">
        <v>1.8000000000000003</v>
      </c>
      <c r="AF35" s="1">
        <v>1.8</v>
      </c>
      <c r="AG35" s="1">
        <v>1.8</v>
      </c>
      <c r="AH35" s="1">
        <v>1.8</v>
      </c>
      <c r="AI35" s="1">
        <v>1.8000000000000003</v>
      </c>
      <c r="AJ35" s="1">
        <v>1.7999999999999998</v>
      </c>
      <c r="AK35" s="1">
        <v>1.8</v>
      </c>
      <c r="AL35" s="1">
        <v>1.8000000000000003</v>
      </c>
      <c r="AM35" s="1">
        <v>1.8</v>
      </c>
      <c r="AN35" s="1">
        <v>1.8</v>
      </c>
      <c r="AO35" s="1">
        <v>1.8</v>
      </c>
      <c r="AP35" s="108">
        <v>1.8</v>
      </c>
      <c r="AQ35" s="108">
        <v>1.8</v>
      </c>
      <c r="AR35" s="100">
        <v>1.8128250000000001</v>
      </c>
      <c r="AS35" s="1">
        <v>2.207963987129268</v>
      </c>
      <c r="AT35" s="1">
        <v>2.25258</v>
      </c>
      <c r="AU35" s="1">
        <v>2.8121999999999998</v>
      </c>
      <c r="AV35" s="1">
        <v>2.731455</v>
      </c>
      <c r="AW35" s="1">
        <v>1.9303671768326827</v>
      </c>
      <c r="AX35" s="1">
        <v>1.9330000000000001</v>
      </c>
      <c r="AY35" s="1">
        <v>1.8</v>
      </c>
      <c r="AZ35" s="1">
        <v>2.03769</v>
      </c>
      <c r="BA35" s="1">
        <v>2.7648450000000002</v>
      </c>
      <c r="BB35" s="1">
        <v>2.6685600000000003</v>
      </c>
      <c r="BC35" s="1">
        <v>2.027612162842753</v>
      </c>
      <c r="BD35" s="1">
        <v>1.84943655008394</v>
      </c>
      <c r="BE35" s="1">
        <v>1.5</v>
      </c>
      <c r="BF35" s="1">
        <v>1.5</v>
      </c>
      <c r="BG35" s="1">
        <v>1.5</v>
      </c>
      <c r="BH35" s="1">
        <v>1.5</v>
      </c>
      <c r="BI35" s="1">
        <v>1.5</v>
      </c>
      <c r="BJ35" s="1">
        <v>1.5</v>
      </c>
      <c r="BK35" s="1">
        <v>0</v>
      </c>
      <c r="BL35" s="1">
        <v>1.5</v>
      </c>
      <c r="BM35" s="1">
        <v>8.4</v>
      </c>
      <c r="BN35" s="1">
        <v>1.5</v>
      </c>
      <c r="BO35" s="1">
        <v>1.5</v>
      </c>
      <c r="BP35" s="1">
        <v>1.5</v>
      </c>
      <c r="BQ35" s="1">
        <v>1.5</v>
      </c>
      <c r="BR35" s="1">
        <v>1.5</v>
      </c>
      <c r="BS35" s="1">
        <v>1.5</v>
      </c>
      <c r="BT35" s="1">
        <v>1.5</v>
      </c>
      <c r="BU35" s="1">
        <v>1.5</v>
      </c>
      <c r="BV35" s="1">
        <v>1.6749999999999998</v>
      </c>
      <c r="BW35" s="1">
        <v>1.5</v>
      </c>
      <c r="BX35" s="1">
        <v>1.6650249999999998</v>
      </c>
      <c r="BY35" s="1">
        <v>1.5</v>
      </c>
      <c r="BZ35" s="1">
        <v>1.6650249999999998</v>
      </c>
      <c r="CA35" s="1">
        <v>1.5</v>
      </c>
      <c r="CB35" s="1">
        <v>1.6650249999999998</v>
      </c>
      <c r="CC35" s="1">
        <v>1.5</v>
      </c>
      <c r="CD35" s="1">
        <v>1.5</v>
      </c>
      <c r="CE35" s="35">
        <v>2013</v>
      </c>
    </row>
    <row r="36" spans="1:83">
      <c r="A36" s="5">
        <v>1998</v>
      </c>
      <c r="B36" s="1">
        <v>0.7</v>
      </c>
      <c r="C36" s="1">
        <v>0.7</v>
      </c>
      <c r="D36" s="1">
        <v>0.7</v>
      </c>
      <c r="E36" s="1">
        <v>0.7</v>
      </c>
      <c r="F36" s="1">
        <v>0.7</v>
      </c>
      <c r="G36" s="1">
        <v>0.7</v>
      </c>
      <c r="H36" s="1">
        <v>0.7</v>
      </c>
      <c r="I36" s="1">
        <v>0.8</v>
      </c>
      <c r="J36" s="1">
        <v>2.85</v>
      </c>
      <c r="K36" s="1">
        <v>0.8</v>
      </c>
      <c r="L36" s="1">
        <v>0.7</v>
      </c>
      <c r="M36" s="1">
        <v>0.7</v>
      </c>
      <c r="N36" s="1">
        <v>0.7</v>
      </c>
      <c r="O36" s="1">
        <v>0.69999999999999984</v>
      </c>
      <c r="P36" s="1">
        <v>0.7</v>
      </c>
      <c r="Q36" s="1">
        <v>0.7</v>
      </c>
      <c r="R36" s="1">
        <v>0.70000000000000007</v>
      </c>
      <c r="S36" s="1">
        <v>0.7</v>
      </c>
      <c r="T36" s="1">
        <v>0.7</v>
      </c>
      <c r="U36" s="1">
        <v>0.7</v>
      </c>
      <c r="V36" s="1">
        <v>0.7</v>
      </c>
      <c r="W36" s="1">
        <v>0.7</v>
      </c>
      <c r="X36" s="1">
        <v>0.7</v>
      </c>
      <c r="Y36" s="1">
        <v>0.7</v>
      </c>
      <c r="Z36" s="1">
        <v>0.69999999999999984</v>
      </c>
      <c r="AA36" s="1">
        <v>2.85</v>
      </c>
      <c r="AB36" s="1">
        <v>19.699480720362384</v>
      </c>
      <c r="AC36" s="1">
        <v>0.7</v>
      </c>
      <c r="AD36" s="1">
        <v>0.7</v>
      </c>
      <c r="AE36" s="1">
        <v>0.7</v>
      </c>
      <c r="AF36" s="1">
        <v>0.69999999999999984</v>
      </c>
      <c r="AG36" s="1">
        <v>0.7</v>
      </c>
      <c r="AH36" s="1">
        <v>0.7</v>
      </c>
      <c r="AI36" s="1">
        <v>0.7</v>
      </c>
      <c r="AJ36" s="1">
        <v>0.7</v>
      </c>
      <c r="AK36" s="1">
        <v>0.7</v>
      </c>
      <c r="AL36" s="1">
        <v>0.7</v>
      </c>
      <c r="AM36" s="1">
        <v>0.7</v>
      </c>
      <c r="AN36" s="1">
        <v>0.7</v>
      </c>
      <c r="AO36" s="1">
        <v>0.7</v>
      </c>
      <c r="AP36" s="108">
        <v>0.7</v>
      </c>
      <c r="AQ36" s="108">
        <v>0.7</v>
      </c>
      <c r="AR36" s="100">
        <v>0.72924</v>
      </c>
      <c r="AS36" s="1">
        <v>2.6793426858910614</v>
      </c>
      <c r="AT36" s="1">
        <v>1.7343650000000002</v>
      </c>
      <c r="AU36" s="1">
        <v>2.7575500000000002</v>
      </c>
      <c r="AV36" s="1">
        <v>2.5967300000000004</v>
      </c>
      <c r="AW36" s="1">
        <v>3.5980512993039437</v>
      </c>
      <c r="AX36" s="1">
        <v>1.0010000000000001</v>
      </c>
      <c r="AY36" s="1">
        <v>0.7</v>
      </c>
      <c r="AZ36" s="1">
        <v>1.2465299999999999</v>
      </c>
      <c r="BA36" s="1">
        <v>2.7151950000000005</v>
      </c>
      <c r="BB36" s="1">
        <v>2.47031</v>
      </c>
      <c r="BC36" s="1">
        <v>1.3841956380510441</v>
      </c>
      <c r="BD36" s="1">
        <v>1.1539261722461607</v>
      </c>
      <c r="BE36" s="1">
        <v>1.5</v>
      </c>
      <c r="BF36" s="1">
        <v>1.5</v>
      </c>
      <c r="BG36" s="1">
        <v>1.5</v>
      </c>
      <c r="BH36" s="1">
        <v>1.5</v>
      </c>
      <c r="BI36" s="1">
        <v>1.5</v>
      </c>
      <c r="BJ36" s="1">
        <v>1.5</v>
      </c>
      <c r="BK36" s="1">
        <v>0.75</v>
      </c>
      <c r="BL36" s="1">
        <v>1.5</v>
      </c>
      <c r="BM36" s="1">
        <v>-2.9</v>
      </c>
      <c r="BN36" s="1">
        <v>1.5</v>
      </c>
      <c r="BO36" s="1">
        <v>1.5</v>
      </c>
      <c r="BP36" s="1">
        <v>1.5</v>
      </c>
      <c r="BQ36" s="1">
        <v>1.5</v>
      </c>
      <c r="BR36" s="1">
        <v>1.5</v>
      </c>
      <c r="BS36" s="1">
        <v>1.5</v>
      </c>
      <c r="BT36" s="1">
        <v>1.5</v>
      </c>
      <c r="BU36" s="1">
        <v>1.5</v>
      </c>
      <c r="BV36" s="1">
        <v>1.175</v>
      </c>
      <c r="BW36" s="1">
        <v>1.5</v>
      </c>
      <c r="BX36" s="1">
        <v>1.1935249999999999</v>
      </c>
      <c r="BY36" s="1">
        <v>1.5</v>
      </c>
      <c r="BZ36" s="1">
        <v>1.1935249999999999</v>
      </c>
      <c r="CA36" s="1">
        <v>1.5</v>
      </c>
      <c r="CB36" s="1">
        <v>1.1935249999999999</v>
      </c>
      <c r="CC36" s="1">
        <v>1.5</v>
      </c>
      <c r="CD36" s="1">
        <v>1.5</v>
      </c>
      <c r="CE36" s="36">
        <v>2014</v>
      </c>
    </row>
    <row r="37" spans="1:83">
      <c r="A37" s="5">
        <v>1999</v>
      </c>
      <c r="B37" s="1">
        <v>0.8</v>
      </c>
      <c r="C37" s="1">
        <v>0.8</v>
      </c>
      <c r="D37" s="1">
        <v>0.8</v>
      </c>
      <c r="E37" s="1">
        <v>0.8</v>
      </c>
      <c r="F37" s="1">
        <v>0.8</v>
      </c>
      <c r="G37" s="1">
        <v>0.8</v>
      </c>
      <c r="H37" s="1">
        <v>0.8</v>
      </c>
      <c r="I37" s="1">
        <v>-0.9</v>
      </c>
      <c r="J37" s="1">
        <v>3.4</v>
      </c>
      <c r="K37" s="1">
        <v>-0.9</v>
      </c>
      <c r="L37" s="1">
        <v>0.8</v>
      </c>
      <c r="M37" s="1">
        <v>0.8</v>
      </c>
      <c r="N37" s="1">
        <v>0.8</v>
      </c>
      <c r="O37" s="1">
        <v>0.8</v>
      </c>
      <c r="P37" s="1">
        <v>0.8</v>
      </c>
      <c r="Q37" s="1">
        <v>0.8</v>
      </c>
      <c r="R37" s="1">
        <v>0.8</v>
      </c>
      <c r="S37" s="1">
        <v>0.8</v>
      </c>
      <c r="T37" s="1">
        <v>0.8</v>
      </c>
      <c r="U37" s="1">
        <v>0.8</v>
      </c>
      <c r="V37" s="1">
        <v>0.8</v>
      </c>
      <c r="W37" s="1">
        <v>0.8</v>
      </c>
      <c r="X37" s="1">
        <v>0.8</v>
      </c>
      <c r="Y37" s="1">
        <v>0.8</v>
      </c>
      <c r="Z37" s="1">
        <v>0.8</v>
      </c>
      <c r="AA37" s="1">
        <v>3.4</v>
      </c>
      <c r="AB37" s="1">
        <v>-8.7963817611223956</v>
      </c>
      <c r="AC37" s="1">
        <v>0.8</v>
      </c>
      <c r="AD37" s="1">
        <v>0.8</v>
      </c>
      <c r="AE37" s="1">
        <v>0.8</v>
      </c>
      <c r="AF37" s="1">
        <v>0.79999999999999993</v>
      </c>
      <c r="AG37" s="1">
        <v>0.8</v>
      </c>
      <c r="AH37" s="1">
        <v>0.8</v>
      </c>
      <c r="AI37" s="1">
        <v>0.8</v>
      </c>
      <c r="AJ37" s="1">
        <v>0.8</v>
      </c>
      <c r="AK37" s="1">
        <v>0.8</v>
      </c>
      <c r="AL37" s="1">
        <v>0.8</v>
      </c>
      <c r="AM37" s="1">
        <v>0.8</v>
      </c>
      <c r="AN37" s="1">
        <v>0.8</v>
      </c>
      <c r="AO37" s="1">
        <v>0.8</v>
      </c>
      <c r="AP37" s="108">
        <v>0.8</v>
      </c>
      <c r="AQ37" s="108">
        <v>0.8</v>
      </c>
      <c r="AR37" s="100">
        <v>0.83926000000000012</v>
      </c>
      <c r="AS37" s="1">
        <v>1.4686435443972679</v>
      </c>
      <c r="AT37" s="1">
        <v>1.9544000000000001</v>
      </c>
      <c r="AU37" s="1">
        <v>3.2915800000000002</v>
      </c>
      <c r="AV37" s="1">
        <v>3.0703200000000002</v>
      </c>
      <c r="AW37" s="1">
        <v>0.26294678973601582</v>
      </c>
      <c r="AX37" s="1">
        <v>1.1640000000000001</v>
      </c>
      <c r="AY37" s="1">
        <v>0.8</v>
      </c>
      <c r="AZ37" s="1">
        <v>1.5576400000000001</v>
      </c>
      <c r="BA37" s="1">
        <v>3.2452999999999999</v>
      </c>
      <c r="BB37" s="1">
        <v>2.91926</v>
      </c>
      <c r="BC37" s="1">
        <v>1.3400860513199189</v>
      </c>
      <c r="BD37" s="1">
        <v>0.77792331918035806</v>
      </c>
      <c r="BE37" s="1">
        <v>1.1000000000000001</v>
      </c>
      <c r="BF37" s="1">
        <v>1.1000000000000001</v>
      </c>
      <c r="BG37" s="1">
        <v>1.1000000000000001</v>
      </c>
      <c r="BH37" s="1">
        <v>1.1000000000000001</v>
      </c>
      <c r="BI37" s="1">
        <v>1.1000000000000001</v>
      </c>
      <c r="BJ37" s="1">
        <v>1.1000000000000001</v>
      </c>
      <c r="BK37" s="1">
        <v>1</v>
      </c>
      <c r="BL37" s="1">
        <v>1.1000000000000001</v>
      </c>
      <c r="BM37" s="1">
        <v>-5.9</v>
      </c>
      <c r="BN37" s="1">
        <v>1.1000000000000001</v>
      </c>
      <c r="BO37" s="1">
        <v>1.1000000000000001</v>
      </c>
      <c r="BP37" s="1">
        <v>1.1000000000000001</v>
      </c>
      <c r="BQ37" s="1">
        <v>1.1000000000000001</v>
      </c>
      <c r="BR37" s="1">
        <v>1.1000000000000001</v>
      </c>
      <c r="BS37" s="1">
        <v>1.1000000000000001</v>
      </c>
      <c r="BT37" s="1">
        <v>1.1000000000000001</v>
      </c>
      <c r="BU37" s="1">
        <v>1.1000000000000001</v>
      </c>
      <c r="BV37" s="1">
        <v>1</v>
      </c>
      <c r="BW37" s="1">
        <v>1.1000000000000001</v>
      </c>
      <c r="BX37" s="1">
        <v>1.0057</v>
      </c>
      <c r="BY37" s="1">
        <v>1.1000000000000001</v>
      </c>
      <c r="BZ37" s="1">
        <v>1.0057</v>
      </c>
      <c r="CA37" s="1">
        <v>1.1000000000000001</v>
      </c>
      <c r="CB37" s="1">
        <v>1.0057</v>
      </c>
      <c r="CC37" s="1">
        <v>1.1000000000000001</v>
      </c>
      <c r="CD37" s="1">
        <v>1.1000000000000001</v>
      </c>
      <c r="CE37" s="34">
        <v>2015</v>
      </c>
    </row>
    <row r="38" spans="1:83">
      <c r="A38" s="5">
        <v>2000</v>
      </c>
      <c r="B38" s="1">
        <v>1.4</v>
      </c>
      <c r="C38" s="1">
        <v>1.4</v>
      </c>
      <c r="D38" s="1">
        <v>1.4</v>
      </c>
      <c r="E38" s="1">
        <v>1.4</v>
      </c>
      <c r="F38" s="1">
        <v>1.4</v>
      </c>
      <c r="G38" s="1">
        <v>1.4</v>
      </c>
      <c r="H38" s="1">
        <v>1.4</v>
      </c>
      <c r="I38" s="1">
        <v>3.3</v>
      </c>
      <c r="J38" s="1">
        <v>4.5078870496592094</v>
      </c>
      <c r="K38" s="1">
        <v>3.3</v>
      </c>
      <c r="L38" s="1">
        <v>1.4</v>
      </c>
      <c r="M38" s="1">
        <v>1.4</v>
      </c>
      <c r="N38" s="1">
        <v>1.4</v>
      </c>
      <c r="O38" s="1">
        <v>1.4</v>
      </c>
      <c r="P38" s="1">
        <v>1.4</v>
      </c>
      <c r="Q38" s="1">
        <v>1.4</v>
      </c>
      <c r="R38" s="1">
        <v>1.3999999999999997</v>
      </c>
      <c r="S38" s="1">
        <v>1.4</v>
      </c>
      <c r="T38" s="1">
        <v>1.4</v>
      </c>
      <c r="U38" s="108">
        <v>1.4</v>
      </c>
      <c r="V38" s="1">
        <v>1.4</v>
      </c>
      <c r="W38" s="1">
        <v>1.4</v>
      </c>
      <c r="X38" s="1">
        <v>1.4</v>
      </c>
      <c r="Y38" s="1">
        <v>1.4</v>
      </c>
      <c r="Z38" s="1">
        <v>1.4</v>
      </c>
      <c r="AA38" s="1">
        <v>4.5078870496592094</v>
      </c>
      <c r="AB38" s="1">
        <v>-25.3</v>
      </c>
      <c r="AC38" s="1">
        <v>1.4</v>
      </c>
      <c r="AD38" s="1">
        <v>1.4</v>
      </c>
      <c r="AE38" s="1">
        <v>1.4</v>
      </c>
      <c r="AF38" s="1">
        <v>1.4</v>
      </c>
      <c r="AG38" s="1">
        <v>1.4</v>
      </c>
      <c r="AH38" s="1">
        <v>1.4</v>
      </c>
      <c r="AI38" s="1">
        <v>1.4</v>
      </c>
      <c r="AJ38" s="1">
        <v>1.4</v>
      </c>
      <c r="AK38" s="1">
        <v>1.4</v>
      </c>
      <c r="AL38" s="1">
        <v>1.4</v>
      </c>
      <c r="AM38" s="1">
        <v>1.4</v>
      </c>
      <c r="AN38" s="1">
        <v>1.4</v>
      </c>
      <c r="AO38" s="1">
        <v>1.4</v>
      </c>
      <c r="AP38" s="108">
        <v>1.4</v>
      </c>
      <c r="AQ38" s="108">
        <v>1.4</v>
      </c>
      <c r="AR38" s="100">
        <v>1.4317004479065238</v>
      </c>
      <c r="AS38" s="1">
        <v>1.8604050632911424</v>
      </c>
      <c r="AT38" s="1">
        <v>2.8047649464459625</v>
      </c>
      <c r="AU38" s="1">
        <v>4.3848147224927043</v>
      </c>
      <c r="AV38" s="1">
        <v>4.0914301850048753</v>
      </c>
      <c r="AW38" s="1">
        <v>-3.1485593768257045</v>
      </c>
      <c r="AX38" s="1">
        <v>1.8351041869522895</v>
      </c>
      <c r="AY38" s="1">
        <v>1.4</v>
      </c>
      <c r="AZ38" s="1">
        <v>2.0417786757546268</v>
      </c>
      <c r="BA38" s="1">
        <v>4.327629600778975</v>
      </c>
      <c r="BB38" s="1">
        <v>3.9341711002921196</v>
      </c>
      <c r="BC38" s="1">
        <v>1.9628077117818907</v>
      </c>
      <c r="BD38" s="1">
        <v>1.2881679844206428</v>
      </c>
      <c r="BE38" s="1">
        <v>1.2</v>
      </c>
      <c r="BF38" s="1">
        <v>1.2</v>
      </c>
      <c r="BG38" s="1">
        <v>1.2</v>
      </c>
      <c r="BH38" s="1">
        <v>1.2</v>
      </c>
      <c r="BI38" s="1">
        <v>1.2</v>
      </c>
      <c r="BJ38" s="1">
        <v>1.2</v>
      </c>
      <c r="BK38" s="1">
        <v>1.2250000000000001</v>
      </c>
      <c r="BL38" s="1">
        <v>1.2</v>
      </c>
      <c r="BM38" s="1">
        <v>-30.8</v>
      </c>
      <c r="BN38" s="1">
        <v>1.2</v>
      </c>
      <c r="BO38" s="1">
        <v>1.2</v>
      </c>
      <c r="BP38" s="1">
        <v>1.2</v>
      </c>
      <c r="BQ38" s="1">
        <v>1.2</v>
      </c>
      <c r="BR38" s="1">
        <v>1.2</v>
      </c>
      <c r="BS38" s="1">
        <v>1.2</v>
      </c>
      <c r="BT38" s="1">
        <v>1.2</v>
      </c>
      <c r="BU38" s="1">
        <v>1.2</v>
      </c>
      <c r="BV38" s="1">
        <v>1.2250000000000001</v>
      </c>
      <c r="BW38" s="1">
        <v>1.2</v>
      </c>
      <c r="BX38" s="1">
        <v>1.2235750000000001</v>
      </c>
      <c r="BY38" s="1">
        <v>1.2</v>
      </c>
      <c r="BZ38" s="1">
        <v>1.2235750000000001</v>
      </c>
      <c r="CA38" s="1">
        <v>1.2</v>
      </c>
      <c r="CB38" s="1">
        <v>1.2235750000000001</v>
      </c>
      <c r="CC38" s="1">
        <v>1.2</v>
      </c>
      <c r="CD38" s="1">
        <v>1.2</v>
      </c>
      <c r="CE38" s="35">
        <v>2016</v>
      </c>
    </row>
    <row r="39" spans="1:83">
      <c r="A39" s="5">
        <v>2001</v>
      </c>
      <c r="B39" s="1">
        <v>1.8</v>
      </c>
      <c r="C39" s="1">
        <v>1.8</v>
      </c>
      <c r="D39" s="1">
        <v>1.8</v>
      </c>
      <c r="E39" s="1">
        <v>1.8</v>
      </c>
      <c r="F39" s="1">
        <v>1.8</v>
      </c>
      <c r="G39" s="1">
        <v>1.8</v>
      </c>
      <c r="H39" s="1">
        <v>1.8</v>
      </c>
      <c r="I39" s="1">
        <v>1.3</v>
      </c>
      <c r="J39" s="1">
        <v>3.9654440154440085</v>
      </c>
      <c r="K39" s="1">
        <v>1.3</v>
      </c>
      <c r="L39" s="1">
        <v>1.8</v>
      </c>
      <c r="M39" s="1">
        <v>1.8</v>
      </c>
      <c r="N39" s="1">
        <v>1.8</v>
      </c>
      <c r="O39" s="1">
        <v>1.8</v>
      </c>
      <c r="P39" s="1">
        <v>1.8</v>
      </c>
      <c r="Q39" s="1">
        <v>1.8</v>
      </c>
      <c r="R39" s="1">
        <v>1.8000000000000003</v>
      </c>
      <c r="S39" s="1">
        <v>1.8</v>
      </c>
      <c r="T39" s="1">
        <v>1.8</v>
      </c>
      <c r="U39" s="108">
        <v>1.8</v>
      </c>
      <c r="V39" s="1">
        <v>1.8</v>
      </c>
      <c r="W39" s="1">
        <v>1.8</v>
      </c>
      <c r="X39" s="1">
        <v>1.8</v>
      </c>
      <c r="Y39" s="1">
        <v>1.8</v>
      </c>
      <c r="Z39" s="1">
        <v>1.8000000000000003</v>
      </c>
      <c r="AA39" s="1">
        <v>3.9654440154440085</v>
      </c>
      <c r="AB39" s="1">
        <v>62.9</v>
      </c>
      <c r="AC39" s="1">
        <v>1.8</v>
      </c>
      <c r="AD39" s="1">
        <v>1.8</v>
      </c>
      <c r="AE39" s="1">
        <v>1.7999999999999998</v>
      </c>
      <c r="AF39" s="1">
        <v>1.8000000000000003</v>
      </c>
      <c r="AG39" s="1">
        <v>1.8</v>
      </c>
      <c r="AH39" s="1">
        <v>1.8</v>
      </c>
      <c r="AI39" s="1">
        <v>1.8</v>
      </c>
      <c r="AJ39" s="1">
        <v>1.8</v>
      </c>
      <c r="AK39" s="1">
        <v>1.8</v>
      </c>
      <c r="AL39" s="1">
        <v>1.7999999999999998</v>
      </c>
      <c r="AM39" s="1">
        <v>1.8</v>
      </c>
      <c r="AN39" s="1">
        <v>1.8</v>
      </c>
      <c r="AO39" s="1">
        <v>1.8</v>
      </c>
      <c r="AP39" s="108">
        <v>1.8</v>
      </c>
      <c r="AQ39" s="108">
        <v>1.8</v>
      </c>
      <c r="AR39" s="100">
        <v>1.822798066826484</v>
      </c>
      <c r="AS39" s="1">
        <v>5.7765125647683346</v>
      </c>
      <c r="AT39" s="1">
        <v>2.7573509189139918</v>
      </c>
      <c r="AU39" s="1">
        <v>3.8819058644713946</v>
      </c>
      <c r="AV39" s="1">
        <v>3.6731590963829466</v>
      </c>
      <c r="AW39" s="1">
        <v>8.8964407503421583</v>
      </c>
      <c r="AX39" s="1">
        <v>2.1031621621621612</v>
      </c>
      <c r="AY39" s="1">
        <v>1.7999999999999998</v>
      </c>
      <c r="AZ39" s="1">
        <v>2.2146769098242407</v>
      </c>
      <c r="BA39" s="1">
        <v>3.8825397227394447</v>
      </c>
      <c r="BB39" s="1">
        <v>3.9654440154440089</v>
      </c>
      <c r="BC39" s="1">
        <v>2.7059905149584011</v>
      </c>
      <c r="BD39" s="1">
        <v>2.4585054876981607</v>
      </c>
      <c r="BE39" s="1">
        <v>1.8</v>
      </c>
      <c r="BF39" s="1">
        <v>1.8</v>
      </c>
      <c r="BG39" s="1">
        <v>1.8</v>
      </c>
      <c r="BH39" s="1">
        <v>1.8</v>
      </c>
      <c r="BI39" s="1">
        <v>1.8</v>
      </c>
      <c r="BJ39" s="1">
        <v>1.8</v>
      </c>
      <c r="BK39" s="1">
        <v>1.9000000000000001</v>
      </c>
      <c r="BL39" s="1">
        <v>1.8</v>
      </c>
      <c r="BM39" s="1">
        <v>6</v>
      </c>
      <c r="BN39" s="1">
        <v>1.8</v>
      </c>
      <c r="BO39" s="1">
        <v>1.8</v>
      </c>
      <c r="BP39" s="1">
        <v>1.8</v>
      </c>
      <c r="BQ39" s="1">
        <v>1.8</v>
      </c>
      <c r="BR39" s="1">
        <v>1.8</v>
      </c>
      <c r="BS39" s="1">
        <v>1.8</v>
      </c>
      <c r="BT39" s="1">
        <v>1.8</v>
      </c>
      <c r="BU39" s="1">
        <v>1.8</v>
      </c>
      <c r="BV39" s="1">
        <v>1.9000000000000001</v>
      </c>
      <c r="BW39" s="1">
        <v>1.8</v>
      </c>
      <c r="BX39" s="1">
        <v>1.8943000000000001</v>
      </c>
      <c r="BY39" s="1">
        <v>1.8</v>
      </c>
      <c r="BZ39" s="1">
        <v>1.8943000000000001</v>
      </c>
      <c r="CA39" s="1">
        <v>1.8</v>
      </c>
      <c r="CB39" s="1">
        <v>1.8943000000000001</v>
      </c>
      <c r="CC39" s="1">
        <v>1.8</v>
      </c>
      <c r="CD39" s="1">
        <v>1.8</v>
      </c>
      <c r="CE39" s="35">
        <v>2017</v>
      </c>
    </row>
    <row r="40" spans="1:83">
      <c r="A40" s="5">
        <v>2002</v>
      </c>
      <c r="B40" s="1">
        <v>0.8</v>
      </c>
      <c r="C40" s="1">
        <v>0.8</v>
      </c>
      <c r="D40" s="1">
        <v>0.8</v>
      </c>
      <c r="E40" s="1">
        <v>0.8</v>
      </c>
      <c r="F40" s="1">
        <v>0.8</v>
      </c>
      <c r="G40" s="1">
        <v>0.8</v>
      </c>
      <c r="H40" s="1">
        <v>0.8</v>
      </c>
      <c r="I40" s="108">
        <v>1.7</v>
      </c>
      <c r="J40" s="1">
        <v>6.121600583799558</v>
      </c>
      <c r="K40" s="1">
        <v>1.7</v>
      </c>
      <c r="L40" s="1">
        <v>0.8</v>
      </c>
      <c r="M40" s="1">
        <v>0.8</v>
      </c>
      <c r="N40" s="1">
        <v>0.8</v>
      </c>
      <c r="O40" s="1">
        <v>0.79999999999999993</v>
      </c>
      <c r="P40" s="1">
        <v>0.8</v>
      </c>
      <c r="Q40" s="1">
        <v>0.8</v>
      </c>
      <c r="R40" s="1">
        <v>0.8</v>
      </c>
      <c r="S40" s="1">
        <v>0.8</v>
      </c>
      <c r="T40" s="1">
        <v>0.8</v>
      </c>
      <c r="U40" s="108">
        <v>0.8</v>
      </c>
      <c r="V40" s="1">
        <v>0.8</v>
      </c>
      <c r="W40" s="1">
        <v>0.8</v>
      </c>
      <c r="X40" s="1">
        <v>0.8</v>
      </c>
      <c r="Y40" s="1">
        <v>0.8</v>
      </c>
      <c r="Z40" s="1">
        <v>0.8</v>
      </c>
      <c r="AA40" s="1">
        <v>4.3810751641936152</v>
      </c>
      <c r="AB40" s="1">
        <v>-1</v>
      </c>
      <c r="AC40" s="1">
        <v>0.8</v>
      </c>
      <c r="AD40" s="1">
        <v>0.8</v>
      </c>
      <c r="AE40" s="1">
        <v>0.8</v>
      </c>
      <c r="AF40" s="1">
        <v>0.79999999999999993</v>
      </c>
      <c r="AG40" s="1">
        <v>0.8</v>
      </c>
      <c r="AH40" s="1">
        <v>0.8</v>
      </c>
      <c r="AI40" s="1">
        <v>0.8</v>
      </c>
      <c r="AJ40" s="1">
        <v>0.8</v>
      </c>
      <c r="AK40" s="1">
        <v>0.8</v>
      </c>
      <c r="AL40" s="1">
        <v>0.8</v>
      </c>
      <c r="AM40" s="1">
        <v>0.8</v>
      </c>
      <c r="AN40" s="1">
        <v>0.8</v>
      </c>
      <c r="AO40" s="1">
        <v>0.8</v>
      </c>
      <c r="AP40" s="108">
        <v>0.8</v>
      </c>
      <c r="AQ40" s="108">
        <v>0.8</v>
      </c>
      <c r="AR40" s="100">
        <v>0.83104121777063156</v>
      </c>
      <c r="AS40" s="1">
        <v>2.0854328296081013</v>
      </c>
      <c r="AT40" s="1">
        <v>2.2329084124765957</v>
      </c>
      <c r="AU40" s="1">
        <v>5.9379176331427841</v>
      </c>
      <c r="AV40" s="1">
        <v>5.36715698688971</v>
      </c>
      <c r="AW40" s="1">
        <v>1.1908524963509295</v>
      </c>
      <c r="AX40" s="1">
        <v>1.3013505229871063</v>
      </c>
      <c r="AY40" s="1">
        <v>0.8</v>
      </c>
      <c r="AZ40" s="1">
        <v>1.3903023454006136</v>
      </c>
      <c r="BA40" s="1">
        <v>5.9014260378289629</v>
      </c>
      <c r="BB40" s="1">
        <v>6.0640887344779646</v>
      </c>
      <c r="BC40" s="1">
        <v>1.6121920052493861</v>
      </c>
      <c r="BD40" s="1">
        <v>0.99941419990396851</v>
      </c>
      <c r="BE40" s="1">
        <v>2</v>
      </c>
      <c r="BF40" s="1">
        <v>2</v>
      </c>
      <c r="BG40" s="1">
        <v>2</v>
      </c>
      <c r="BH40" s="1">
        <v>2</v>
      </c>
      <c r="BI40" s="1">
        <v>2</v>
      </c>
      <c r="BJ40" s="1">
        <v>2</v>
      </c>
      <c r="BK40" s="1">
        <v>1.9499999999999997</v>
      </c>
      <c r="BL40" s="1">
        <v>2</v>
      </c>
      <c r="BM40" s="1">
        <v>-0.4</v>
      </c>
      <c r="BN40" s="1">
        <v>2</v>
      </c>
      <c r="BO40" s="1">
        <v>2</v>
      </c>
      <c r="BP40" s="1">
        <v>2</v>
      </c>
      <c r="BQ40" s="1">
        <v>2</v>
      </c>
      <c r="BR40" s="1">
        <v>2</v>
      </c>
      <c r="BS40" s="1">
        <v>2</v>
      </c>
      <c r="BT40" s="1">
        <v>2</v>
      </c>
      <c r="BU40" s="1">
        <v>2</v>
      </c>
      <c r="BV40" s="1">
        <v>2.1</v>
      </c>
      <c r="BW40" s="1">
        <v>2</v>
      </c>
      <c r="BX40" s="1">
        <v>2.0943000000000001</v>
      </c>
      <c r="BY40" s="1">
        <v>2</v>
      </c>
      <c r="BZ40" s="1">
        <v>2.0943000000000001</v>
      </c>
      <c r="CA40" s="1">
        <v>2</v>
      </c>
      <c r="CB40" s="1">
        <v>2.0943000000000001</v>
      </c>
      <c r="CC40" s="1">
        <v>2</v>
      </c>
      <c r="CD40" s="1">
        <v>2</v>
      </c>
      <c r="CE40" s="35">
        <v>2018</v>
      </c>
    </row>
    <row r="41" spans="1:83">
      <c r="A41" s="5">
        <v>2003</v>
      </c>
      <c r="B41" s="1">
        <v>1</v>
      </c>
      <c r="C41" s="1">
        <v>1</v>
      </c>
      <c r="D41" s="1">
        <v>1</v>
      </c>
      <c r="E41" s="1">
        <v>1</v>
      </c>
      <c r="F41" s="1">
        <v>1</v>
      </c>
      <c r="G41" s="1">
        <v>1</v>
      </c>
      <c r="H41" s="1">
        <v>1</v>
      </c>
      <c r="I41" s="1">
        <v>3.1</v>
      </c>
      <c r="J41" s="1">
        <v>5.2229379605419624</v>
      </c>
      <c r="K41" s="1">
        <v>3.1</v>
      </c>
      <c r="L41" s="1">
        <v>1</v>
      </c>
      <c r="M41" s="1">
        <v>1</v>
      </c>
      <c r="N41" s="1">
        <v>1</v>
      </c>
      <c r="O41" s="1">
        <v>1.0000000000000002</v>
      </c>
      <c r="P41" s="1">
        <v>1</v>
      </c>
      <c r="Q41" s="1">
        <v>1</v>
      </c>
      <c r="R41" s="1">
        <v>1</v>
      </c>
      <c r="S41" s="1">
        <v>1</v>
      </c>
      <c r="T41" s="1">
        <v>1</v>
      </c>
      <c r="U41" s="108">
        <v>1</v>
      </c>
      <c r="V41" s="1">
        <v>1</v>
      </c>
      <c r="W41" s="1">
        <v>1</v>
      </c>
      <c r="X41" s="1">
        <v>1</v>
      </c>
      <c r="Y41" s="1">
        <v>1</v>
      </c>
      <c r="Z41" s="1">
        <v>1</v>
      </c>
      <c r="AA41" s="1">
        <v>4.2208313194779912</v>
      </c>
      <c r="AB41" s="1">
        <v>-16</v>
      </c>
      <c r="AC41" s="1">
        <v>1</v>
      </c>
      <c r="AD41" s="1">
        <v>1</v>
      </c>
      <c r="AE41" s="1">
        <v>1</v>
      </c>
      <c r="AF41" s="1">
        <v>1</v>
      </c>
      <c r="AG41" s="1">
        <v>1</v>
      </c>
      <c r="AH41" s="1">
        <v>1</v>
      </c>
      <c r="AI41" s="1">
        <v>0.99999999999999989</v>
      </c>
      <c r="AJ41" s="1">
        <v>0.99999999999999989</v>
      </c>
      <c r="AK41" s="1">
        <v>1</v>
      </c>
      <c r="AL41" s="1">
        <v>1</v>
      </c>
      <c r="AM41" s="1">
        <v>1</v>
      </c>
      <c r="AN41" s="1">
        <v>1</v>
      </c>
      <c r="AO41" s="1">
        <v>1</v>
      </c>
      <c r="AP41" s="108">
        <v>1</v>
      </c>
      <c r="AQ41" s="108">
        <v>1</v>
      </c>
      <c r="AR41" s="100">
        <v>1.0244129682634742</v>
      </c>
      <c r="AS41" s="1">
        <v>1.6012316287995727</v>
      </c>
      <c r="AT41" s="1">
        <v>2.2147111777848125</v>
      </c>
      <c r="AU41" s="1">
        <v>4.6481328350585889</v>
      </c>
      <c r="AV41" s="1">
        <v>4.4149269589181168</v>
      </c>
      <c r="AW41" s="1">
        <v>0.22504877771967147</v>
      </c>
      <c r="AX41" s="1">
        <v>1.4509163847269189</v>
      </c>
      <c r="AY41" s="1">
        <v>1</v>
      </c>
      <c r="AZ41" s="1">
        <v>1.459931936001241</v>
      </c>
      <c r="BA41" s="1">
        <v>5.0641557929119063</v>
      </c>
      <c r="BB41" s="1">
        <v>5.1915778016320884</v>
      </c>
      <c r="BC41" s="1">
        <v>1.0184413976991009</v>
      </c>
      <c r="BD41" s="1">
        <v>0.69741695288517014</v>
      </c>
      <c r="BE41" s="1">
        <v>2</v>
      </c>
      <c r="BF41" s="1">
        <v>2</v>
      </c>
      <c r="BG41" s="1">
        <v>2</v>
      </c>
      <c r="BH41" s="1">
        <v>2</v>
      </c>
      <c r="BI41" s="1">
        <v>2</v>
      </c>
      <c r="BJ41" s="1">
        <v>2</v>
      </c>
      <c r="BK41" s="1">
        <v>1.9</v>
      </c>
      <c r="BL41" s="1">
        <v>2</v>
      </c>
      <c r="BM41" s="1">
        <v>0.4</v>
      </c>
      <c r="BN41" s="1">
        <v>2</v>
      </c>
      <c r="BO41" s="1">
        <v>2</v>
      </c>
      <c r="BP41" s="1">
        <v>2</v>
      </c>
      <c r="BQ41" s="1">
        <v>2</v>
      </c>
      <c r="BR41" s="1">
        <v>2</v>
      </c>
      <c r="BS41" s="1">
        <v>2</v>
      </c>
      <c r="BT41" s="1">
        <v>2</v>
      </c>
      <c r="BU41" s="1">
        <v>2</v>
      </c>
      <c r="BV41" s="1">
        <v>1.9499999999999997</v>
      </c>
      <c r="BW41" s="1">
        <v>2</v>
      </c>
      <c r="BX41" s="1">
        <v>1.9528499999999998</v>
      </c>
      <c r="BY41" s="1">
        <v>2</v>
      </c>
      <c r="BZ41" s="1">
        <v>1.9528499999999998</v>
      </c>
      <c r="CA41" s="1">
        <v>2</v>
      </c>
      <c r="CB41" s="1">
        <v>1.9528499999999998</v>
      </c>
      <c r="CC41" s="1">
        <v>2</v>
      </c>
      <c r="CD41" s="1">
        <v>2</v>
      </c>
      <c r="CE41" s="36">
        <v>2019</v>
      </c>
    </row>
    <row r="42" spans="1:83" s="108" customFormat="1">
      <c r="A42" s="131">
        <v>2004</v>
      </c>
      <c r="B42" s="108">
        <v>2</v>
      </c>
      <c r="C42" s="108">
        <v>2</v>
      </c>
      <c r="D42" s="108">
        <v>2</v>
      </c>
      <c r="E42" s="108">
        <v>2</v>
      </c>
      <c r="F42" s="108">
        <v>2</v>
      </c>
      <c r="G42" s="108">
        <v>2</v>
      </c>
      <c r="H42" s="108">
        <v>2</v>
      </c>
      <c r="I42" s="108">
        <v>3.7</v>
      </c>
      <c r="J42" s="108">
        <v>4.2828181598647763</v>
      </c>
      <c r="K42" s="108">
        <v>3.7</v>
      </c>
      <c r="L42" s="108">
        <v>2</v>
      </c>
      <c r="M42" s="108">
        <v>2</v>
      </c>
      <c r="N42" s="108">
        <v>2</v>
      </c>
      <c r="O42" s="108">
        <v>2</v>
      </c>
      <c r="P42" s="108">
        <v>2</v>
      </c>
      <c r="Q42" s="108">
        <v>2</v>
      </c>
      <c r="R42" s="108">
        <v>2</v>
      </c>
      <c r="S42" s="108">
        <v>1.9999999999999998</v>
      </c>
      <c r="T42" s="108">
        <v>2</v>
      </c>
      <c r="U42" s="108">
        <v>2</v>
      </c>
      <c r="V42" s="108">
        <v>2</v>
      </c>
      <c r="W42" s="108">
        <v>2</v>
      </c>
      <c r="X42" s="108">
        <v>2</v>
      </c>
      <c r="Y42" s="108">
        <v>2</v>
      </c>
      <c r="Z42" s="108">
        <v>1.9999999999999998</v>
      </c>
      <c r="AA42" s="108">
        <v>4.0999999999999703</v>
      </c>
      <c r="AB42" s="108">
        <v>8.3000000000000007</v>
      </c>
      <c r="AC42" s="108">
        <v>2</v>
      </c>
      <c r="AD42" s="108">
        <v>2</v>
      </c>
      <c r="AE42" s="108">
        <v>2</v>
      </c>
      <c r="AF42" s="108">
        <v>2</v>
      </c>
      <c r="AG42" s="108">
        <v>2</v>
      </c>
      <c r="AH42" s="108">
        <v>2</v>
      </c>
      <c r="AI42" s="108">
        <v>1.9999999999999998</v>
      </c>
      <c r="AJ42" s="108">
        <v>1.9999999999999998</v>
      </c>
      <c r="AK42" s="108">
        <v>2</v>
      </c>
      <c r="AL42" s="108">
        <v>2</v>
      </c>
      <c r="AM42" s="108">
        <v>2</v>
      </c>
      <c r="AN42" s="108">
        <v>2</v>
      </c>
      <c r="AO42" s="108">
        <v>2</v>
      </c>
      <c r="AP42" s="108">
        <v>2</v>
      </c>
      <c r="AQ42" s="108">
        <v>2</v>
      </c>
      <c r="AR42" s="100">
        <v>2.0154648809608822</v>
      </c>
      <c r="AS42" s="108">
        <v>3.0255813469760993</v>
      </c>
      <c r="AT42" s="108">
        <v>2.8316479055112946</v>
      </c>
      <c r="AU42" s="108">
        <v>4.0494808952958286</v>
      </c>
      <c r="AV42" s="108">
        <v>3.8621043719995312</v>
      </c>
      <c r="AW42" s="108">
        <v>2.963602874163358</v>
      </c>
      <c r="AX42" s="108">
        <v>2.293999999999996</v>
      </c>
      <c r="AY42" s="108">
        <v>2</v>
      </c>
      <c r="AZ42" s="108">
        <v>2.3580607727486571</v>
      </c>
      <c r="BA42" s="108">
        <v>4.1859844448752881</v>
      </c>
      <c r="BB42" s="108">
        <v>4.2748491613711979</v>
      </c>
      <c r="BC42" s="108">
        <v>2.4911327981383167</v>
      </c>
      <c r="BD42" s="108">
        <v>2.1672119450317111</v>
      </c>
      <c r="BE42" s="1">
        <v>2</v>
      </c>
      <c r="BF42" s="1">
        <v>2</v>
      </c>
      <c r="BG42" s="1">
        <v>2</v>
      </c>
      <c r="BH42" s="1">
        <v>2</v>
      </c>
      <c r="BI42" s="1">
        <v>2</v>
      </c>
      <c r="BJ42" s="1">
        <v>2</v>
      </c>
      <c r="BK42" s="1">
        <v>1.9</v>
      </c>
      <c r="BL42" s="1">
        <v>2</v>
      </c>
      <c r="BM42" s="1">
        <v>0.8</v>
      </c>
      <c r="BN42" s="1">
        <v>2</v>
      </c>
      <c r="BO42" s="1">
        <v>2</v>
      </c>
      <c r="BP42" s="1">
        <v>2</v>
      </c>
      <c r="BQ42" s="1">
        <v>2</v>
      </c>
      <c r="BR42" s="1">
        <v>2</v>
      </c>
      <c r="BS42" s="1">
        <v>2</v>
      </c>
      <c r="BT42" s="1">
        <v>2</v>
      </c>
      <c r="BU42" s="1">
        <v>2</v>
      </c>
      <c r="BV42" s="1">
        <v>1.9</v>
      </c>
      <c r="BW42" s="1">
        <v>2</v>
      </c>
      <c r="BX42" s="1">
        <v>1.9056999999999999</v>
      </c>
      <c r="BY42" s="1">
        <v>2</v>
      </c>
      <c r="BZ42" s="1">
        <v>1.9056999999999999</v>
      </c>
      <c r="CA42" s="1">
        <v>2</v>
      </c>
      <c r="CB42" s="1">
        <v>1.9056999999999999</v>
      </c>
      <c r="CC42" s="1">
        <v>2</v>
      </c>
      <c r="CD42" s="1">
        <v>2</v>
      </c>
      <c r="CE42" s="34">
        <v>2020</v>
      </c>
    </row>
    <row r="43" spans="1:83">
      <c r="A43" s="5">
        <v>2005</v>
      </c>
      <c r="B43" s="1">
        <v>2.8</v>
      </c>
      <c r="C43" s="1">
        <v>2.8</v>
      </c>
      <c r="D43" s="1">
        <v>2.8</v>
      </c>
      <c r="E43" s="1">
        <v>2.8</v>
      </c>
      <c r="F43" s="1">
        <v>2.8</v>
      </c>
      <c r="G43" s="1">
        <v>2.8</v>
      </c>
      <c r="H43" s="1">
        <v>2.8</v>
      </c>
      <c r="I43" s="1">
        <v>4.3</v>
      </c>
      <c r="J43" s="1">
        <v>3.6575948599830266</v>
      </c>
      <c r="K43" s="1">
        <v>4.3</v>
      </c>
      <c r="L43" s="1">
        <v>2.8</v>
      </c>
      <c r="M43" s="1">
        <v>2.8</v>
      </c>
      <c r="N43" s="1">
        <v>2.8</v>
      </c>
      <c r="O43" s="1">
        <v>2.8000000000000003</v>
      </c>
      <c r="P43" s="1">
        <v>2.8</v>
      </c>
      <c r="Q43" s="1">
        <v>2.8</v>
      </c>
      <c r="R43" s="1">
        <v>2.7998660590893452</v>
      </c>
      <c r="S43" s="1">
        <v>2.7999999999999994</v>
      </c>
      <c r="T43" s="1">
        <v>2.8</v>
      </c>
      <c r="U43" s="108">
        <v>2.8</v>
      </c>
      <c r="V43" s="1">
        <v>2.8</v>
      </c>
      <c r="W43" s="1">
        <v>2.8</v>
      </c>
      <c r="X43" s="1">
        <v>2.8</v>
      </c>
      <c r="Y43" s="1">
        <v>2.8</v>
      </c>
      <c r="Z43" s="1">
        <v>2.8000000000000003</v>
      </c>
      <c r="AA43" s="1">
        <v>3.6455251030802716</v>
      </c>
      <c r="AB43" s="1">
        <v>33</v>
      </c>
      <c r="AC43" s="1">
        <v>2.8</v>
      </c>
      <c r="AD43" s="1">
        <v>2.8</v>
      </c>
      <c r="AE43" s="1">
        <v>2.8</v>
      </c>
      <c r="AF43" s="1">
        <v>2.7999999999999994</v>
      </c>
      <c r="AG43" s="1">
        <v>2.8</v>
      </c>
      <c r="AH43" s="1">
        <v>2.8</v>
      </c>
      <c r="AI43" s="1">
        <v>2.8000000000000003</v>
      </c>
      <c r="AJ43" s="1">
        <v>2.8</v>
      </c>
      <c r="AK43" s="1">
        <v>2.8</v>
      </c>
      <c r="AL43" s="1">
        <v>2.8</v>
      </c>
      <c r="AM43" s="1">
        <v>2.8</v>
      </c>
      <c r="AN43" s="1">
        <v>2.8</v>
      </c>
      <c r="AO43" s="1">
        <v>2.8</v>
      </c>
      <c r="AP43" s="108">
        <v>2.8</v>
      </c>
      <c r="AQ43" s="108">
        <v>2.8</v>
      </c>
      <c r="AR43" s="100">
        <v>2.8056359279307568</v>
      </c>
      <c r="AS43" s="1">
        <v>4.0796305501569901</v>
      </c>
      <c r="AT43" s="1">
        <v>3.1116724839231704</v>
      </c>
      <c r="AU43" s="1">
        <v>3.5335831973492091</v>
      </c>
      <c r="AV43" s="1">
        <v>3.477048122109633</v>
      </c>
      <c r="AW43" s="1">
        <v>5.0373296286342075</v>
      </c>
      <c r="AX43" s="1">
        <v>2.9183735144312379</v>
      </c>
      <c r="AY43" s="1">
        <v>2.7999999999999994</v>
      </c>
      <c r="AZ43" s="1">
        <v>2.9324188628548211</v>
      </c>
      <c r="BA43" s="1">
        <v>3.5223380599896528</v>
      </c>
      <c r="BB43" s="1">
        <v>3.4636970577942079</v>
      </c>
      <c r="BC43" s="1">
        <v>3.3020035288931755</v>
      </c>
      <c r="BD43" s="1">
        <v>3.3006503638325206</v>
      </c>
      <c r="BE43" s="1">
        <v>2</v>
      </c>
      <c r="BF43" s="1">
        <v>2</v>
      </c>
      <c r="BG43" s="1">
        <v>2</v>
      </c>
      <c r="BH43" s="1">
        <v>2</v>
      </c>
      <c r="BI43" s="1">
        <v>2</v>
      </c>
      <c r="BJ43" s="1">
        <v>2</v>
      </c>
      <c r="BK43" s="1">
        <v>2.0500000000000003</v>
      </c>
      <c r="BL43" s="1">
        <v>2</v>
      </c>
      <c r="BM43" s="1">
        <v>1.2</v>
      </c>
      <c r="BN43" s="1">
        <v>2</v>
      </c>
      <c r="BO43" s="1">
        <v>2</v>
      </c>
      <c r="BP43" s="1">
        <v>2</v>
      </c>
      <c r="BQ43" s="1">
        <v>2</v>
      </c>
      <c r="BR43" s="1">
        <v>2</v>
      </c>
      <c r="BS43" s="1">
        <v>2</v>
      </c>
      <c r="BT43" s="1">
        <v>2</v>
      </c>
      <c r="BU43" s="1">
        <v>2</v>
      </c>
      <c r="BV43" s="1">
        <v>2.0500000000000003</v>
      </c>
      <c r="BW43" s="1">
        <v>2</v>
      </c>
      <c r="BX43" s="1">
        <v>2.0471500000000002</v>
      </c>
      <c r="BY43" s="1">
        <v>2</v>
      </c>
      <c r="BZ43" s="1">
        <v>2.0471500000000002</v>
      </c>
      <c r="CA43" s="1">
        <v>2</v>
      </c>
      <c r="CB43" s="1">
        <v>2.0471500000000002</v>
      </c>
      <c r="CC43" s="1">
        <v>2</v>
      </c>
      <c r="CD43" s="1">
        <v>2</v>
      </c>
      <c r="CE43" s="35">
        <v>2021</v>
      </c>
    </row>
    <row r="44" spans="1:83">
      <c r="A44" s="5">
        <v>2006</v>
      </c>
      <c r="B44" s="1">
        <v>3.1</v>
      </c>
      <c r="C44" s="1">
        <v>3.1</v>
      </c>
      <c r="D44" s="1">
        <v>3.1</v>
      </c>
      <c r="E44" s="1">
        <v>3.1</v>
      </c>
      <c r="F44" s="1">
        <v>3.1</v>
      </c>
      <c r="G44" s="1">
        <v>3.1</v>
      </c>
      <c r="H44" s="1">
        <v>3.1</v>
      </c>
      <c r="I44" s="1">
        <v>4.9000000000000004</v>
      </c>
      <c r="J44" s="1">
        <v>3.1974421437271694</v>
      </c>
      <c r="K44" s="1">
        <v>4.9000000000000004</v>
      </c>
      <c r="L44" s="1">
        <v>3.1</v>
      </c>
      <c r="M44" s="1">
        <v>3.1</v>
      </c>
      <c r="N44" s="1">
        <v>3.1</v>
      </c>
      <c r="O44" s="1">
        <v>3.0999999999999996</v>
      </c>
      <c r="P44" s="1">
        <v>3.1</v>
      </c>
      <c r="Q44" s="1">
        <v>3.1</v>
      </c>
      <c r="R44" s="1">
        <v>3.0999503427817698</v>
      </c>
      <c r="S44" s="1">
        <v>3.1000000000000005</v>
      </c>
      <c r="T44" s="1">
        <v>3.1</v>
      </c>
      <c r="U44" s="108">
        <v>3.1</v>
      </c>
      <c r="V44" s="1">
        <v>3.1</v>
      </c>
      <c r="W44" s="1">
        <v>3.1</v>
      </c>
      <c r="X44" s="1">
        <v>3.1</v>
      </c>
      <c r="Y44" s="1">
        <v>3.1000000000000005</v>
      </c>
      <c r="Z44" s="1">
        <v>3.0999999999999996</v>
      </c>
      <c r="AA44" s="1">
        <v>3.1974421437271694</v>
      </c>
      <c r="AB44" s="1">
        <v>59.7</v>
      </c>
      <c r="AC44" s="1">
        <v>3.1</v>
      </c>
      <c r="AD44" s="1">
        <v>3.1</v>
      </c>
      <c r="AE44" s="1">
        <v>3.1</v>
      </c>
      <c r="AF44" s="1">
        <v>3.1</v>
      </c>
      <c r="AG44" s="1">
        <v>3.1</v>
      </c>
      <c r="AH44" s="1">
        <v>3.1</v>
      </c>
      <c r="AI44" s="1">
        <v>3.0999999999999996</v>
      </c>
      <c r="AJ44" s="1">
        <v>3.1000000000000005</v>
      </c>
      <c r="AK44" s="1">
        <v>3.1</v>
      </c>
      <c r="AL44" s="1">
        <v>3.1000000000000005</v>
      </c>
      <c r="AM44" s="1">
        <v>3.1</v>
      </c>
      <c r="AN44" s="1">
        <v>3.1</v>
      </c>
      <c r="AO44" s="1">
        <v>3.1</v>
      </c>
      <c r="AP44" s="108">
        <v>3.1</v>
      </c>
      <c r="AQ44" s="108">
        <v>3.1</v>
      </c>
      <c r="AR44" s="100">
        <v>3.1006209666911126</v>
      </c>
      <c r="AS44" s="1">
        <v>7.7008415586749628</v>
      </c>
      <c r="AT44" s="1">
        <v>3.1437479089129527</v>
      </c>
      <c r="AU44" s="1">
        <v>3.1899029826022347</v>
      </c>
      <c r="AV44" s="1">
        <v>3.1905324438662936</v>
      </c>
      <c r="AW44" s="1">
        <v>10.045338833097134</v>
      </c>
      <c r="AX44" s="1">
        <v>3.1136419001218036</v>
      </c>
      <c r="AY44" s="1">
        <v>3.1000000000000005</v>
      </c>
      <c r="AZ44" s="1">
        <v>3.1144853375118964</v>
      </c>
      <c r="BA44" s="1">
        <v>3.1931964942507576</v>
      </c>
      <c r="BB44" s="1">
        <v>3.2006207606892341</v>
      </c>
      <c r="BC44" s="1">
        <v>6.9456306267784642</v>
      </c>
      <c r="BD44" s="1">
        <v>3.8483067052558826</v>
      </c>
      <c r="BE44" s="1">
        <v>2</v>
      </c>
      <c r="BF44" s="1">
        <v>2</v>
      </c>
      <c r="BG44" s="1">
        <v>2</v>
      </c>
      <c r="BH44" s="1">
        <v>2</v>
      </c>
      <c r="BI44" s="1">
        <v>2</v>
      </c>
      <c r="BJ44" s="1">
        <v>2</v>
      </c>
      <c r="BK44" s="1">
        <v>2.1</v>
      </c>
      <c r="BL44" s="1">
        <v>2</v>
      </c>
      <c r="BM44" s="1">
        <v>2.4</v>
      </c>
      <c r="BN44" s="1">
        <v>2</v>
      </c>
      <c r="BO44" s="1">
        <v>2</v>
      </c>
      <c r="BP44" s="1">
        <v>2</v>
      </c>
      <c r="BQ44" s="1">
        <v>2</v>
      </c>
      <c r="BR44" s="1">
        <v>2</v>
      </c>
      <c r="BS44" s="1">
        <v>2</v>
      </c>
      <c r="BT44" s="1">
        <v>2</v>
      </c>
      <c r="BU44" s="1">
        <v>2</v>
      </c>
      <c r="BV44" s="1">
        <v>2.1</v>
      </c>
      <c r="BW44" s="1">
        <v>2</v>
      </c>
      <c r="BX44" s="1">
        <v>2.0943000000000001</v>
      </c>
      <c r="BY44" s="1">
        <v>2</v>
      </c>
      <c r="BZ44" s="1">
        <v>2.0943000000000001</v>
      </c>
      <c r="CA44" s="1">
        <v>2</v>
      </c>
      <c r="CB44" s="1">
        <v>2.0943000000000001</v>
      </c>
      <c r="CC44" s="1">
        <v>2</v>
      </c>
      <c r="CD44" s="1">
        <v>2</v>
      </c>
      <c r="CE44" s="35">
        <v>2022</v>
      </c>
    </row>
    <row r="45" spans="1:83">
      <c r="A45" s="5">
        <v>2007</v>
      </c>
      <c r="B45" s="1">
        <v>2.7</v>
      </c>
      <c r="C45" s="1">
        <v>2.7</v>
      </c>
      <c r="D45" s="1">
        <v>2.7</v>
      </c>
      <c r="E45" s="1">
        <v>2.7</v>
      </c>
      <c r="F45" s="1">
        <v>2.7</v>
      </c>
      <c r="G45" s="1">
        <v>2.7</v>
      </c>
      <c r="H45" s="1">
        <v>2.7</v>
      </c>
      <c r="I45" s="1">
        <v>5</v>
      </c>
      <c r="J45" s="1">
        <v>2.4198876129977842</v>
      </c>
      <c r="K45" s="1">
        <v>5</v>
      </c>
      <c r="L45" s="1">
        <v>2.7</v>
      </c>
      <c r="M45" s="1">
        <v>2.7</v>
      </c>
      <c r="N45" s="1">
        <v>2.7</v>
      </c>
      <c r="O45" s="1">
        <v>2.7</v>
      </c>
      <c r="P45" s="1">
        <v>2.7</v>
      </c>
      <c r="Q45" s="1">
        <v>2.7</v>
      </c>
      <c r="R45" s="1">
        <v>2.6999094824696415</v>
      </c>
      <c r="S45" s="1">
        <v>2.7</v>
      </c>
      <c r="T45" s="1">
        <v>2.7</v>
      </c>
      <c r="U45" s="108">
        <v>2.7</v>
      </c>
      <c r="V45" s="1">
        <v>2.7</v>
      </c>
      <c r="W45" s="1">
        <v>2.7</v>
      </c>
      <c r="X45" s="1">
        <v>2.7</v>
      </c>
      <c r="Y45" s="1">
        <v>2.7</v>
      </c>
      <c r="Z45" s="1">
        <v>2.7</v>
      </c>
      <c r="AA45" s="1">
        <v>2.4198876129977842</v>
      </c>
      <c r="AB45" s="1">
        <v>1.4</v>
      </c>
      <c r="AC45" s="1">
        <v>2.7</v>
      </c>
      <c r="AD45" s="1">
        <v>2.7</v>
      </c>
      <c r="AE45" s="1">
        <v>2.7</v>
      </c>
      <c r="AF45" s="1">
        <v>2.7</v>
      </c>
      <c r="AG45" s="1">
        <v>2.7</v>
      </c>
      <c r="AH45" s="1">
        <v>2.7</v>
      </c>
      <c r="AI45" s="1">
        <v>2.7</v>
      </c>
      <c r="AJ45" s="1">
        <v>2.7</v>
      </c>
      <c r="AK45" s="1">
        <v>2.7</v>
      </c>
      <c r="AL45" s="1">
        <v>2.7000000000000006</v>
      </c>
      <c r="AM45" s="1">
        <v>2.7</v>
      </c>
      <c r="AN45" s="1">
        <v>2.7</v>
      </c>
      <c r="AO45" s="1">
        <v>2.7</v>
      </c>
      <c r="AP45" s="108">
        <v>2.7</v>
      </c>
      <c r="AQ45" s="108">
        <v>2.7</v>
      </c>
      <c r="AR45" s="100">
        <v>2.6982183713649852</v>
      </c>
      <c r="AS45" s="1">
        <v>2.5528975160241369</v>
      </c>
      <c r="AT45" s="1">
        <v>2.5985245061795146</v>
      </c>
      <c r="AU45" s="1">
        <v>2.4315484691657105</v>
      </c>
      <c r="AV45" s="1">
        <v>2.4490298018373315</v>
      </c>
      <c r="AW45" s="1">
        <v>2.4554488712221008</v>
      </c>
      <c r="AX45" s="1">
        <v>2.6607842658196899</v>
      </c>
      <c r="AY45" s="1">
        <v>2.7</v>
      </c>
      <c r="AZ45" s="1">
        <v>2.6594022439690299</v>
      </c>
      <c r="BA45" s="1">
        <v>2.4379344529280269</v>
      </c>
      <c r="BB45" s="1">
        <v>2.4539612448515853</v>
      </c>
      <c r="BC45" s="1">
        <v>2.5922417283031942</v>
      </c>
      <c r="BD45" s="1">
        <v>2.6432405053655859</v>
      </c>
      <c r="BE45" s="1">
        <v>2</v>
      </c>
      <c r="BF45" s="1">
        <v>2</v>
      </c>
      <c r="BG45" s="1">
        <v>2</v>
      </c>
      <c r="BH45" s="1">
        <v>2</v>
      </c>
      <c r="BI45" s="1">
        <v>2</v>
      </c>
      <c r="BJ45" s="1">
        <v>2</v>
      </c>
      <c r="BK45" s="1">
        <v>2.1</v>
      </c>
      <c r="BL45" s="1">
        <v>2</v>
      </c>
      <c r="BM45" s="1">
        <v>2.5</v>
      </c>
      <c r="BN45" s="1">
        <v>2</v>
      </c>
      <c r="BO45" s="1">
        <v>2</v>
      </c>
      <c r="BP45" s="1">
        <v>2</v>
      </c>
      <c r="BQ45" s="1">
        <v>2</v>
      </c>
      <c r="BR45" s="1">
        <v>2</v>
      </c>
      <c r="BS45" s="1">
        <v>2</v>
      </c>
      <c r="BT45" s="1">
        <v>2</v>
      </c>
      <c r="BU45" s="1">
        <v>2</v>
      </c>
      <c r="BV45" s="1">
        <v>2.1</v>
      </c>
      <c r="BW45" s="1">
        <v>2</v>
      </c>
      <c r="BX45" s="1">
        <v>2.0943000000000001</v>
      </c>
      <c r="BY45" s="1">
        <v>2</v>
      </c>
      <c r="BZ45" s="1">
        <v>2.0943000000000001</v>
      </c>
      <c r="CA45" s="1">
        <v>2</v>
      </c>
      <c r="CB45" s="1">
        <v>2.0943000000000001</v>
      </c>
      <c r="CC45" s="1">
        <v>2</v>
      </c>
      <c r="CD45" s="1">
        <v>2</v>
      </c>
      <c r="CE45" s="35">
        <v>2023</v>
      </c>
    </row>
    <row r="46" spans="1:83">
      <c r="A46" s="5">
        <v>2008</v>
      </c>
      <c r="B46" s="1">
        <v>2.4</v>
      </c>
      <c r="C46" s="1">
        <v>2.4</v>
      </c>
      <c r="D46" s="1">
        <v>2.4</v>
      </c>
      <c r="E46" s="1">
        <v>2.4</v>
      </c>
      <c r="F46" s="1">
        <v>2.4</v>
      </c>
      <c r="G46" s="1">
        <v>2.4</v>
      </c>
      <c r="H46" s="1">
        <v>2.4</v>
      </c>
      <c r="I46" s="1">
        <v>4.8</v>
      </c>
      <c r="J46" s="1">
        <v>3.1802754549926204</v>
      </c>
      <c r="K46" s="1">
        <v>4.8</v>
      </c>
      <c r="L46" s="1">
        <v>2.4</v>
      </c>
      <c r="M46" s="1">
        <v>2.4</v>
      </c>
      <c r="N46" s="1">
        <v>2.4</v>
      </c>
      <c r="O46" s="1">
        <v>2.4</v>
      </c>
      <c r="P46" s="1">
        <v>2.4</v>
      </c>
      <c r="Q46" s="1">
        <v>2.4</v>
      </c>
      <c r="R46" s="1">
        <v>2.4</v>
      </c>
      <c r="S46" s="1">
        <v>2.4</v>
      </c>
      <c r="T46" s="1">
        <v>2.4</v>
      </c>
      <c r="U46" s="108">
        <v>2.4</v>
      </c>
      <c r="V46" s="1">
        <v>2.4</v>
      </c>
      <c r="W46" s="1">
        <v>2.4</v>
      </c>
      <c r="X46" s="1">
        <v>2.4</v>
      </c>
      <c r="Y46" s="1">
        <v>2.4</v>
      </c>
      <c r="Z46" s="1">
        <v>2.4000000000000004</v>
      </c>
      <c r="AA46" s="1">
        <v>3.1802754549926204</v>
      </c>
      <c r="AB46" s="1">
        <v>35.1</v>
      </c>
      <c r="AC46" s="1">
        <v>2.4</v>
      </c>
      <c r="AD46" s="1">
        <v>2.4</v>
      </c>
      <c r="AE46" s="1">
        <v>2.4</v>
      </c>
      <c r="AF46" s="1">
        <v>2.4000000000000004</v>
      </c>
      <c r="AG46" s="1">
        <v>2.4</v>
      </c>
      <c r="AH46" s="1">
        <v>2.4</v>
      </c>
      <c r="AI46" s="1">
        <v>2.4</v>
      </c>
      <c r="AJ46" s="1">
        <v>2.4</v>
      </c>
      <c r="AK46" s="1">
        <v>2.4</v>
      </c>
      <c r="AL46" s="1">
        <v>2.4</v>
      </c>
      <c r="AM46" s="1">
        <v>2.4</v>
      </c>
      <c r="AN46" s="1">
        <v>2.4</v>
      </c>
      <c r="AO46" s="1">
        <v>2.4</v>
      </c>
      <c r="AP46" s="108">
        <v>2.4</v>
      </c>
      <c r="AQ46" s="108">
        <v>2.4</v>
      </c>
      <c r="AR46" s="100">
        <v>2.4050554298764641</v>
      </c>
      <c r="AS46" s="1">
        <v>5.6664159764680129</v>
      </c>
      <c r="AT46" s="1">
        <v>2.7603294773262452</v>
      </c>
      <c r="AU46" s="1">
        <v>3.1614307323660182</v>
      </c>
      <c r="AV46" s="1">
        <v>3.1101368343486473</v>
      </c>
      <c r="AW46" s="1">
        <v>9.2259200088598199</v>
      </c>
      <c r="AX46" s="1">
        <v>2.5092385636989669</v>
      </c>
      <c r="AY46" s="1">
        <v>2.4000000000000004</v>
      </c>
      <c r="AZ46" s="1">
        <v>2.5435793565311617</v>
      </c>
      <c r="BA46" s="1">
        <v>3.1426960204307068</v>
      </c>
      <c r="BB46" s="1">
        <v>3.1085727715914691</v>
      </c>
      <c r="BC46" s="1">
        <v>3.0773937889813632</v>
      </c>
      <c r="BD46" s="1">
        <v>2.9915909524778206</v>
      </c>
      <c r="BE46" s="1">
        <v>2</v>
      </c>
      <c r="BF46" s="1">
        <v>2</v>
      </c>
      <c r="BG46" s="1">
        <v>2</v>
      </c>
      <c r="BH46" s="1">
        <v>2</v>
      </c>
      <c r="BI46" s="1">
        <v>2</v>
      </c>
      <c r="BJ46" s="1">
        <v>2</v>
      </c>
      <c r="BK46" s="1">
        <v>2.1</v>
      </c>
      <c r="BL46" s="1">
        <v>2</v>
      </c>
      <c r="BM46" s="1">
        <v>2.5</v>
      </c>
      <c r="BN46" s="1">
        <v>2</v>
      </c>
      <c r="BO46" s="1">
        <v>2</v>
      </c>
      <c r="BP46" s="1">
        <v>2</v>
      </c>
      <c r="BQ46" s="1">
        <v>2</v>
      </c>
      <c r="BR46" s="1">
        <v>2</v>
      </c>
      <c r="BS46" s="1">
        <v>2</v>
      </c>
      <c r="BT46" s="1">
        <v>2</v>
      </c>
      <c r="BU46" s="1">
        <v>2</v>
      </c>
      <c r="BV46" s="1">
        <v>2.1</v>
      </c>
      <c r="BW46" s="1">
        <v>2</v>
      </c>
      <c r="BX46" s="1">
        <v>2.0943000000000001</v>
      </c>
      <c r="BY46" s="1">
        <v>2</v>
      </c>
      <c r="BZ46" s="1">
        <v>2.0943000000000001</v>
      </c>
      <c r="CA46" s="1">
        <v>2</v>
      </c>
      <c r="CB46" s="1">
        <v>2.0943000000000001</v>
      </c>
      <c r="CC46" s="1">
        <v>2</v>
      </c>
      <c r="CD46" s="1">
        <v>2</v>
      </c>
      <c r="CE46" s="36">
        <v>2024</v>
      </c>
    </row>
    <row r="47" spans="1:83">
      <c r="A47" s="5">
        <v>2009</v>
      </c>
      <c r="B47" s="1">
        <v>1.5</v>
      </c>
      <c r="C47" s="1">
        <v>1.5</v>
      </c>
      <c r="D47" s="1">
        <v>1.5</v>
      </c>
      <c r="E47" s="1">
        <v>1.5</v>
      </c>
      <c r="F47" s="1">
        <v>1.5</v>
      </c>
      <c r="G47" s="1">
        <v>1.5</v>
      </c>
      <c r="H47" s="1">
        <v>1.5</v>
      </c>
      <c r="I47" s="1">
        <v>3.2</v>
      </c>
      <c r="J47" s="1">
        <v>3.8025578562728368</v>
      </c>
      <c r="K47" s="1">
        <v>3.2</v>
      </c>
      <c r="L47" s="1">
        <v>1.5</v>
      </c>
      <c r="M47" s="1">
        <v>1.5</v>
      </c>
      <c r="N47" s="1">
        <v>1.5</v>
      </c>
      <c r="O47" s="1">
        <v>1.5</v>
      </c>
      <c r="P47" s="1">
        <v>1.5</v>
      </c>
      <c r="Q47" s="1">
        <v>1.5</v>
      </c>
      <c r="R47" s="1">
        <v>1.4999999999999998</v>
      </c>
      <c r="S47" s="1">
        <v>1.5</v>
      </c>
      <c r="T47" s="1">
        <v>1.5</v>
      </c>
      <c r="U47" s="108">
        <v>1.5</v>
      </c>
      <c r="V47" s="1">
        <v>1.5</v>
      </c>
      <c r="W47" s="1">
        <v>1.5</v>
      </c>
      <c r="X47" s="1">
        <v>1.5</v>
      </c>
      <c r="Y47" s="1">
        <v>1.5</v>
      </c>
      <c r="Z47" s="1">
        <v>1.5</v>
      </c>
      <c r="AA47" s="1">
        <v>3.8025578562728368</v>
      </c>
      <c r="AB47" s="1">
        <v>-31.2</v>
      </c>
      <c r="AC47" s="1">
        <v>1.5</v>
      </c>
      <c r="AD47" s="1">
        <v>1.5</v>
      </c>
      <c r="AE47" s="1">
        <v>1.5</v>
      </c>
      <c r="AF47" s="1">
        <v>1.5</v>
      </c>
      <c r="AG47" s="1">
        <v>1.5</v>
      </c>
      <c r="AH47" s="1">
        <v>1.5</v>
      </c>
      <c r="AI47" s="1">
        <v>1.5</v>
      </c>
      <c r="AJ47" s="1">
        <v>1.5</v>
      </c>
      <c r="AK47" s="1">
        <v>1.5</v>
      </c>
      <c r="AL47" s="1">
        <v>1.5</v>
      </c>
      <c r="AM47" s="1">
        <v>1.5</v>
      </c>
      <c r="AN47" s="1">
        <v>1.5</v>
      </c>
      <c r="AO47" s="1">
        <v>1.5</v>
      </c>
      <c r="AP47" s="108">
        <v>1.5</v>
      </c>
      <c r="AQ47" s="108">
        <v>1.5</v>
      </c>
      <c r="AR47" s="100">
        <v>1.5130955952722067</v>
      </c>
      <c r="AS47" s="1">
        <v>0.5663506374119196</v>
      </c>
      <c r="AT47" s="1">
        <v>2.4605139044499373</v>
      </c>
      <c r="AU47" s="1">
        <v>3.7141368984547065</v>
      </c>
      <c r="AV47" s="1">
        <v>3.5575320176758036</v>
      </c>
      <c r="AW47" s="1">
        <v>-2.6523598572433658</v>
      </c>
      <c r="AX47" s="1">
        <v>1.8223580998781972</v>
      </c>
      <c r="AY47" s="1">
        <v>1.5</v>
      </c>
      <c r="AZ47" s="1">
        <v>2.0131595566382456</v>
      </c>
      <c r="BA47" s="1">
        <v>3.6943611867909554</v>
      </c>
      <c r="BB47" s="1">
        <v>3.5883570129923035</v>
      </c>
      <c r="BC47" s="1">
        <v>1.5932763296128365</v>
      </c>
      <c r="BD47" s="1">
        <v>1.5776755150933868</v>
      </c>
      <c r="BE47" s="425">
        <v>2</v>
      </c>
      <c r="BF47" s="425">
        <v>2</v>
      </c>
      <c r="BG47" s="425">
        <v>2</v>
      </c>
      <c r="BH47" s="425">
        <v>2</v>
      </c>
      <c r="BI47" s="425">
        <v>2</v>
      </c>
      <c r="BJ47" s="425">
        <v>2</v>
      </c>
      <c r="BK47" s="425">
        <v>2.1</v>
      </c>
      <c r="BL47" s="425">
        <v>2</v>
      </c>
      <c r="BM47" s="425">
        <v>2.5</v>
      </c>
      <c r="BN47" s="425">
        <v>2</v>
      </c>
      <c r="BO47" s="425">
        <v>2</v>
      </c>
      <c r="BP47" s="425">
        <v>2</v>
      </c>
      <c r="BQ47" s="425">
        <v>2</v>
      </c>
      <c r="BR47" s="425">
        <v>2</v>
      </c>
      <c r="BS47" s="425">
        <v>2</v>
      </c>
      <c r="BT47" s="425">
        <v>2</v>
      </c>
      <c r="BU47" s="425">
        <v>2</v>
      </c>
      <c r="BV47" s="425">
        <v>2.1</v>
      </c>
      <c r="BW47" s="425">
        <v>2</v>
      </c>
      <c r="BX47" s="425">
        <v>2.0943000000000001</v>
      </c>
      <c r="BY47" s="425">
        <v>2</v>
      </c>
      <c r="BZ47" s="425">
        <v>2.0943000000000001</v>
      </c>
      <c r="CA47" s="425">
        <v>2</v>
      </c>
      <c r="CB47" s="425">
        <v>2.0943000000000001</v>
      </c>
      <c r="CC47" s="425">
        <v>2</v>
      </c>
      <c r="CD47" s="425">
        <v>2</v>
      </c>
    </row>
    <row r="48" spans="1:83">
      <c r="A48" s="5">
        <v>2010</v>
      </c>
      <c r="B48" s="1">
        <v>0.8</v>
      </c>
      <c r="C48" s="1">
        <v>0.8</v>
      </c>
      <c r="D48" s="1">
        <v>0.8</v>
      </c>
      <c r="E48" s="1">
        <v>0.8</v>
      </c>
      <c r="F48" s="1">
        <v>0.8</v>
      </c>
      <c r="G48" s="1">
        <v>0.8</v>
      </c>
      <c r="H48" s="1">
        <v>0.8</v>
      </c>
      <c r="I48" s="1">
        <v>2.9</v>
      </c>
      <c r="J48" s="1">
        <v>3.5214476560602392</v>
      </c>
      <c r="K48" s="1">
        <v>2.9</v>
      </c>
      <c r="L48" s="1">
        <v>0.8</v>
      </c>
      <c r="M48" s="1">
        <v>0.8</v>
      </c>
      <c r="N48" s="1">
        <v>0.8</v>
      </c>
      <c r="O48" s="1">
        <v>0.80000000000000016</v>
      </c>
      <c r="P48" s="1">
        <v>0.8</v>
      </c>
      <c r="Q48" s="1">
        <v>0.8</v>
      </c>
      <c r="R48" s="1">
        <v>0.8</v>
      </c>
      <c r="S48" s="1">
        <v>0.80000000000000016</v>
      </c>
      <c r="T48" s="1">
        <v>0.8</v>
      </c>
      <c r="U48" s="1">
        <v>0.8</v>
      </c>
      <c r="V48" s="1">
        <v>0.8</v>
      </c>
      <c r="W48" s="1">
        <v>0.8</v>
      </c>
      <c r="X48" s="1">
        <v>0.8</v>
      </c>
      <c r="Y48" s="1">
        <v>0.8</v>
      </c>
      <c r="Z48" s="1">
        <v>0.8</v>
      </c>
      <c r="AA48" s="1">
        <v>2.4615010930289172</v>
      </c>
      <c r="AB48" s="1">
        <v>25.3</v>
      </c>
      <c r="AC48" s="1">
        <v>0.8</v>
      </c>
      <c r="AD48" s="1">
        <v>0.8</v>
      </c>
      <c r="AE48" s="1">
        <v>0.8</v>
      </c>
      <c r="AF48" s="1">
        <v>0.79999999999999993</v>
      </c>
      <c r="AG48" s="1">
        <v>0.8</v>
      </c>
      <c r="AH48" s="1">
        <v>0.8</v>
      </c>
      <c r="AI48" s="1">
        <v>0.8</v>
      </c>
      <c r="AJ48" s="1">
        <v>0.8</v>
      </c>
      <c r="AK48" s="1">
        <v>0.8</v>
      </c>
      <c r="AL48" s="1">
        <v>0.8</v>
      </c>
      <c r="AM48" s="1">
        <v>0.8</v>
      </c>
      <c r="AN48" s="1">
        <v>0.8</v>
      </c>
      <c r="AO48" s="1">
        <v>0.8</v>
      </c>
      <c r="AP48" s="108">
        <v>0.8</v>
      </c>
      <c r="AQ48" s="108">
        <v>0.8</v>
      </c>
      <c r="AR48" s="100">
        <v>0.81021411090437034</v>
      </c>
      <c r="AS48" s="1">
        <v>2.9620060424576016</v>
      </c>
      <c r="AT48" s="1">
        <v>1.459142998686916</v>
      </c>
      <c r="AU48" s="1">
        <v>3.3953000186765903</v>
      </c>
      <c r="AV48" s="1">
        <v>3.0855275338257937</v>
      </c>
      <c r="AW48" s="1">
        <v>5.1462765624831261</v>
      </c>
      <c r="AX48" s="1">
        <v>1.0326101530240486</v>
      </c>
      <c r="AY48" s="1">
        <v>0.79999999999999993</v>
      </c>
      <c r="AZ48" s="1">
        <v>0.8</v>
      </c>
      <c r="BA48" s="1">
        <v>3.3796805059573685</v>
      </c>
      <c r="BB48" s="1">
        <v>3.3082777013966691</v>
      </c>
      <c r="BC48" s="1">
        <v>1.4856684734457803</v>
      </c>
      <c r="BD48" s="1">
        <v>1.2784419375931206</v>
      </c>
      <c r="BE48" s="425">
        <v>2</v>
      </c>
      <c r="BF48" s="425">
        <v>2</v>
      </c>
      <c r="BG48" s="425">
        <v>2</v>
      </c>
      <c r="BH48" s="425">
        <v>2</v>
      </c>
      <c r="BI48" s="425">
        <v>2</v>
      </c>
      <c r="BJ48" s="425">
        <v>2</v>
      </c>
      <c r="BK48" s="425">
        <v>2.1</v>
      </c>
      <c r="BL48" s="425">
        <v>2</v>
      </c>
      <c r="BM48" s="425">
        <v>2.5</v>
      </c>
      <c r="BN48" s="425">
        <v>2</v>
      </c>
      <c r="BO48" s="425">
        <v>2</v>
      </c>
      <c r="BP48" s="425">
        <v>2</v>
      </c>
      <c r="BQ48" s="425">
        <v>2</v>
      </c>
      <c r="BR48" s="425">
        <v>2</v>
      </c>
      <c r="BS48" s="425">
        <v>2</v>
      </c>
      <c r="BT48" s="425">
        <v>2</v>
      </c>
      <c r="BU48" s="425">
        <v>2</v>
      </c>
      <c r="BV48" s="425">
        <v>2.1</v>
      </c>
      <c r="BW48" s="425">
        <v>2</v>
      </c>
      <c r="BX48" s="425">
        <v>2.0943000000000001</v>
      </c>
      <c r="BY48" s="425">
        <v>2</v>
      </c>
      <c r="BZ48" s="425">
        <v>2.0943000000000001</v>
      </c>
      <c r="CA48" s="425">
        <v>2</v>
      </c>
      <c r="CB48" s="425">
        <v>2.0943000000000001</v>
      </c>
      <c r="CC48" s="425">
        <v>2</v>
      </c>
      <c r="CD48" s="425">
        <v>2</v>
      </c>
    </row>
    <row r="49" spans="1:82">
      <c r="A49" s="5">
        <v>2011</v>
      </c>
      <c r="B49" s="1">
        <v>2</v>
      </c>
      <c r="C49" s="1">
        <v>2</v>
      </c>
      <c r="D49" s="1">
        <v>2</v>
      </c>
      <c r="E49" s="1">
        <v>2</v>
      </c>
      <c r="F49" s="1">
        <v>2</v>
      </c>
      <c r="G49" s="1">
        <v>2</v>
      </c>
      <c r="H49" s="1">
        <v>2</v>
      </c>
      <c r="I49" s="1">
        <v>3.9</v>
      </c>
      <c r="J49" s="1">
        <v>1.8875670404680633</v>
      </c>
      <c r="K49" s="1">
        <v>3.9</v>
      </c>
      <c r="L49" s="1">
        <v>2</v>
      </c>
      <c r="M49" s="1">
        <v>2</v>
      </c>
      <c r="N49" s="1">
        <v>2</v>
      </c>
      <c r="O49" s="1">
        <v>2</v>
      </c>
      <c r="P49" s="1">
        <v>2</v>
      </c>
      <c r="Q49" s="1">
        <v>2</v>
      </c>
      <c r="R49" s="1">
        <v>2</v>
      </c>
      <c r="S49" s="1">
        <v>2</v>
      </c>
      <c r="T49" s="1">
        <v>2</v>
      </c>
      <c r="U49" s="1">
        <v>2</v>
      </c>
      <c r="V49" s="1">
        <v>2</v>
      </c>
      <c r="W49" s="1">
        <v>2</v>
      </c>
      <c r="X49" s="1">
        <v>2</v>
      </c>
      <c r="Y49" s="1">
        <v>2</v>
      </c>
      <c r="Z49" s="1">
        <v>2</v>
      </c>
      <c r="AA49" s="1">
        <v>0.49261083743841194</v>
      </c>
      <c r="AB49" s="1">
        <v>24.2</v>
      </c>
      <c r="AC49" s="1">
        <v>2</v>
      </c>
      <c r="AD49" s="1">
        <v>2</v>
      </c>
      <c r="AE49" s="1">
        <v>2</v>
      </c>
      <c r="AF49" s="1">
        <v>2</v>
      </c>
      <c r="AG49" s="1">
        <v>2</v>
      </c>
      <c r="AH49" s="1">
        <v>2</v>
      </c>
      <c r="AI49" s="1">
        <v>2</v>
      </c>
      <c r="AJ49" s="1">
        <v>2</v>
      </c>
      <c r="AK49" s="1">
        <v>2</v>
      </c>
      <c r="AL49" s="1">
        <v>2</v>
      </c>
      <c r="AM49" s="1">
        <v>2</v>
      </c>
      <c r="AN49" s="1">
        <v>2</v>
      </c>
      <c r="AO49" s="1">
        <v>2</v>
      </c>
      <c r="AP49" s="108">
        <v>2</v>
      </c>
      <c r="AQ49" s="108">
        <v>2</v>
      </c>
      <c r="AR49" s="100">
        <v>1.9885433448947381</v>
      </c>
      <c r="AS49" s="1">
        <v>3.0952841146514363</v>
      </c>
      <c r="AT49" s="1">
        <v>1.3662424314104586</v>
      </c>
      <c r="AU49" s="1">
        <v>1.9136490531749246</v>
      </c>
      <c r="AV49" s="1">
        <v>1.9231444934578592</v>
      </c>
      <c r="AW49" s="1">
        <v>5.7527113003266326</v>
      </c>
      <c r="AX49" s="1">
        <v>1.7889655172413776</v>
      </c>
      <c r="AY49" s="1">
        <v>2</v>
      </c>
      <c r="AZ49" s="1">
        <v>2</v>
      </c>
      <c r="BA49" s="1">
        <v>1.9120881123628157</v>
      </c>
      <c r="BB49" s="1">
        <v>1.8978290373748332</v>
      </c>
      <c r="BC49" s="1">
        <v>1.9687537373557207</v>
      </c>
      <c r="BD49" s="1">
        <v>2.0772137320396031</v>
      </c>
      <c r="BE49" s="425">
        <v>2</v>
      </c>
      <c r="BF49" s="425">
        <v>2</v>
      </c>
      <c r="BG49" s="425">
        <v>2</v>
      </c>
      <c r="BH49" s="425">
        <v>2</v>
      </c>
      <c r="BI49" s="425">
        <v>2</v>
      </c>
      <c r="BJ49" s="425">
        <v>2</v>
      </c>
      <c r="BK49" s="425">
        <v>2.1</v>
      </c>
      <c r="BL49" s="425">
        <v>2</v>
      </c>
      <c r="BM49" s="425">
        <v>2.5</v>
      </c>
      <c r="BN49" s="425">
        <v>2</v>
      </c>
      <c r="BO49" s="425">
        <v>2</v>
      </c>
      <c r="BP49" s="425">
        <v>2</v>
      </c>
      <c r="BQ49" s="425">
        <v>2</v>
      </c>
      <c r="BR49" s="425">
        <v>2</v>
      </c>
      <c r="BS49" s="425">
        <v>2</v>
      </c>
      <c r="BT49" s="425">
        <v>2</v>
      </c>
      <c r="BU49" s="425">
        <v>2</v>
      </c>
      <c r="BV49" s="425">
        <v>2.1</v>
      </c>
      <c r="BW49" s="425">
        <v>2</v>
      </c>
      <c r="BX49" s="425">
        <v>2.0943000000000001</v>
      </c>
      <c r="BY49" s="425">
        <v>2</v>
      </c>
      <c r="BZ49" s="425">
        <v>2.0943000000000001</v>
      </c>
      <c r="CA49" s="425">
        <v>2</v>
      </c>
      <c r="CB49" s="425">
        <v>2.0943000000000001</v>
      </c>
      <c r="CC49" s="425">
        <v>2</v>
      </c>
      <c r="CD49" s="425">
        <v>2</v>
      </c>
    </row>
    <row r="50" spans="1:82">
      <c r="A50" s="5">
        <v>2012</v>
      </c>
      <c r="B50" s="1">
        <v>1.8</v>
      </c>
      <c r="C50" s="1">
        <v>1.8</v>
      </c>
      <c r="D50" s="1">
        <v>1.8</v>
      </c>
      <c r="E50" s="1">
        <v>1.8</v>
      </c>
      <c r="F50" s="1">
        <v>1.8</v>
      </c>
      <c r="G50" s="1">
        <v>1.8</v>
      </c>
      <c r="H50" s="1">
        <v>1.8</v>
      </c>
      <c r="I50" s="1">
        <v>3</v>
      </c>
      <c r="J50" s="1">
        <v>1.5505195447798048</v>
      </c>
      <c r="K50" s="1">
        <v>3</v>
      </c>
      <c r="L50" s="1">
        <v>1.8</v>
      </c>
      <c r="M50" s="1">
        <v>1.8</v>
      </c>
      <c r="N50" s="1">
        <v>1.8</v>
      </c>
      <c r="O50" s="1">
        <v>1.8</v>
      </c>
      <c r="P50" s="1">
        <v>1.8</v>
      </c>
      <c r="Q50" s="1">
        <v>1.8</v>
      </c>
      <c r="R50" s="1">
        <v>1.8</v>
      </c>
      <c r="S50" s="1">
        <v>1.8000000000000003</v>
      </c>
      <c r="T50" s="1">
        <v>1.8</v>
      </c>
      <c r="U50" s="1">
        <v>1.8</v>
      </c>
      <c r="V50" s="1">
        <v>1.8</v>
      </c>
      <c r="W50" s="1">
        <v>1.8</v>
      </c>
      <c r="X50" s="1">
        <v>1.8</v>
      </c>
      <c r="Y50" s="1">
        <v>1.8000000000000003</v>
      </c>
      <c r="Z50" s="1">
        <v>1.8</v>
      </c>
      <c r="AA50" s="1">
        <v>0</v>
      </c>
      <c r="AB50" s="1">
        <v>3.1</v>
      </c>
      <c r="AC50" s="1">
        <v>1.8</v>
      </c>
      <c r="AD50" s="1">
        <v>1.8</v>
      </c>
      <c r="AE50" s="1">
        <v>1.8</v>
      </c>
      <c r="AF50" s="1">
        <v>1.7999999999999998</v>
      </c>
      <c r="AG50" s="1">
        <v>1.8</v>
      </c>
      <c r="AH50" s="1">
        <v>1.8</v>
      </c>
      <c r="AI50" s="1">
        <v>1.8</v>
      </c>
      <c r="AJ50" s="1">
        <v>1.7999999999999998</v>
      </c>
      <c r="AK50" s="1">
        <v>1.8</v>
      </c>
      <c r="AL50" s="1">
        <v>1.7999999999999998</v>
      </c>
      <c r="AM50" s="1">
        <v>1.8</v>
      </c>
      <c r="AN50" s="1">
        <v>1.8</v>
      </c>
      <c r="AO50" s="1">
        <v>1.8</v>
      </c>
      <c r="AP50" s="108">
        <v>1.8</v>
      </c>
      <c r="AQ50" s="108">
        <v>1.8</v>
      </c>
      <c r="AR50" s="100">
        <v>1.7878229067699924</v>
      </c>
      <c r="AS50" s="1">
        <v>1.0558232284566724</v>
      </c>
      <c r="AT50" s="1">
        <v>0.85152162895988026</v>
      </c>
      <c r="AU50" s="1">
        <v>1.6089593477454742</v>
      </c>
      <c r="AV50" s="1">
        <v>1.6264484407329034</v>
      </c>
      <c r="AW50" s="1">
        <v>1.7366587008047447</v>
      </c>
      <c r="AX50" s="1">
        <v>1.548</v>
      </c>
      <c r="AY50" s="1">
        <v>1.8</v>
      </c>
      <c r="AZ50" s="1">
        <v>1.8</v>
      </c>
      <c r="BA50" s="1">
        <v>1.6033515365461086</v>
      </c>
      <c r="BB50" s="1">
        <v>1.6083550800626722</v>
      </c>
      <c r="BC50" s="1">
        <v>1.4516918950066564</v>
      </c>
      <c r="BD50" s="1">
        <v>1.4927927098068887</v>
      </c>
      <c r="BE50" s="425">
        <v>2</v>
      </c>
      <c r="BF50" s="425">
        <v>2</v>
      </c>
      <c r="BG50" s="425">
        <v>2</v>
      </c>
      <c r="BH50" s="425">
        <v>2</v>
      </c>
      <c r="BI50" s="425">
        <v>2</v>
      </c>
      <c r="BJ50" s="425">
        <v>2</v>
      </c>
      <c r="BK50" s="425">
        <v>2.1</v>
      </c>
      <c r="BL50" s="425">
        <v>2</v>
      </c>
      <c r="BM50" s="425">
        <v>2.5</v>
      </c>
      <c r="BN50" s="425">
        <v>2</v>
      </c>
      <c r="BO50" s="425">
        <v>2</v>
      </c>
      <c r="BP50" s="425">
        <v>2</v>
      </c>
      <c r="BQ50" s="425">
        <v>2</v>
      </c>
      <c r="BR50" s="425">
        <v>2</v>
      </c>
      <c r="BS50" s="425">
        <v>2</v>
      </c>
      <c r="BT50" s="425">
        <v>2</v>
      </c>
      <c r="BU50" s="425">
        <v>2</v>
      </c>
      <c r="BV50" s="425">
        <v>2.1</v>
      </c>
      <c r="BW50" s="425">
        <v>2</v>
      </c>
      <c r="BX50" s="425">
        <v>2.0943000000000001</v>
      </c>
      <c r="BY50" s="425">
        <v>2</v>
      </c>
      <c r="BZ50" s="425">
        <v>2.0943000000000001</v>
      </c>
      <c r="CA50" s="425">
        <v>2</v>
      </c>
      <c r="CB50" s="425">
        <v>2.0943000000000001</v>
      </c>
      <c r="CC50" s="425">
        <v>2</v>
      </c>
      <c r="CD50" s="425">
        <v>2</v>
      </c>
    </row>
    <row r="51" spans="1:82">
      <c r="A51" s="5">
        <v>2013</v>
      </c>
      <c r="B51" s="1">
        <v>1.5</v>
      </c>
      <c r="C51" s="1">
        <v>1.5</v>
      </c>
      <c r="D51" s="1">
        <v>1.5</v>
      </c>
      <c r="E51" s="1">
        <v>1.5</v>
      </c>
      <c r="F51" s="1">
        <v>1.5</v>
      </c>
      <c r="G51" s="1">
        <v>1.5</v>
      </c>
      <c r="H51" s="1">
        <v>1.5</v>
      </c>
      <c r="I51" s="1">
        <v>2.6</v>
      </c>
      <c r="J51" s="1">
        <v>1.675296442687757</v>
      </c>
      <c r="K51" s="1">
        <v>2.6</v>
      </c>
      <c r="L51" s="1">
        <v>1.5</v>
      </c>
      <c r="M51" s="1">
        <v>1.5</v>
      </c>
      <c r="N51" s="1">
        <v>1.5</v>
      </c>
      <c r="O51" s="1">
        <v>1.5</v>
      </c>
      <c r="P51" s="1">
        <v>1.5</v>
      </c>
      <c r="Q51" s="1">
        <v>1.5</v>
      </c>
      <c r="R51" s="1">
        <v>1.5</v>
      </c>
      <c r="S51" s="1">
        <v>1.5000000000000002</v>
      </c>
      <c r="T51" s="1">
        <v>1.5</v>
      </c>
      <c r="U51" s="1">
        <v>1.5</v>
      </c>
      <c r="V51" s="1">
        <v>1.5</v>
      </c>
      <c r="W51" s="1">
        <v>1.5</v>
      </c>
      <c r="X51" s="1">
        <v>1.5</v>
      </c>
      <c r="Y51" s="1">
        <v>1.5</v>
      </c>
      <c r="Z51" s="1">
        <v>1.5</v>
      </c>
      <c r="AA51" s="1">
        <v>0</v>
      </c>
      <c r="AB51" s="1">
        <v>8.4</v>
      </c>
      <c r="AC51" s="1">
        <v>1.5</v>
      </c>
      <c r="AD51" s="1">
        <v>1.5</v>
      </c>
      <c r="AE51" s="1">
        <v>1.5</v>
      </c>
      <c r="AF51" s="1">
        <v>1.5</v>
      </c>
      <c r="AG51" s="1">
        <v>1.5</v>
      </c>
      <c r="AH51" s="1">
        <v>1.5</v>
      </c>
      <c r="AI51" s="1">
        <v>1.5</v>
      </c>
      <c r="AJ51" s="1">
        <v>1.5</v>
      </c>
      <c r="AK51" s="1">
        <v>1.5</v>
      </c>
      <c r="AL51" s="1">
        <v>1.4999999999999998</v>
      </c>
      <c r="AM51" s="1">
        <v>1.5</v>
      </c>
      <c r="AN51" s="1">
        <v>1.5</v>
      </c>
      <c r="AO51" s="1">
        <v>1.5</v>
      </c>
      <c r="AP51" s="108">
        <v>1.5</v>
      </c>
      <c r="AQ51" s="108">
        <v>1.5</v>
      </c>
      <c r="AR51" s="100">
        <v>1.4870707729400574</v>
      </c>
      <c r="AS51" s="1">
        <v>1.3095877648255849</v>
      </c>
      <c r="AT51" s="1">
        <v>0.69274911193959365</v>
      </c>
      <c r="AU51" s="1">
        <v>1.636204869758846</v>
      </c>
      <c r="AV51" s="1">
        <v>1.619466643063644</v>
      </c>
      <c r="AW51" s="1">
        <v>2.7668062598595764</v>
      </c>
      <c r="AX51" s="1">
        <v>1.29</v>
      </c>
      <c r="AY51" s="1">
        <v>1.4999999999999998</v>
      </c>
      <c r="AZ51" s="1">
        <v>1.5</v>
      </c>
      <c r="BA51" s="1">
        <v>1.639130614461066</v>
      </c>
      <c r="BB51" s="1">
        <v>1.6433388480204725</v>
      </c>
      <c r="BC51" s="1">
        <v>1.2815006656466708</v>
      </c>
      <c r="BD51" s="1">
        <v>1.3361512649274598</v>
      </c>
      <c r="BE51" s="425">
        <v>2</v>
      </c>
      <c r="BF51" s="425">
        <v>2</v>
      </c>
      <c r="BG51" s="425">
        <v>2</v>
      </c>
      <c r="BH51" s="425">
        <v>2</v>
      </c>
      <c r="BI51" s="425">
        <v>2</v>
      </c>
      <c r="BJ51" s="425">
        <v>2</v>
      </c>
      <c r="BK51" s="425">
        <v>2.1</v>
      </c>
      <c r="BL51" s="425">
        <v>2</v>
      </c>
      <c r="BM51" s="425">
        <v>2.5</v>
      </c>
      <c r="BN51" s="425">
        <v>2</v>
      </c>
      <c r="BO51" s="425">
        <v>2</v>
      </c>
      <c r="BP51" s="425">
        <v>2</v>
      </c>
      <c r="BQ51" s="425">
        <v>2</v>
      </c>
      <c r="BR51" s="425">
        <v>2</v>
      </c>
      <c r="BS51" s="425">
        <v>2</v>
      </c>
      <c r="BT51" s="425">
        <v>2</v>
      </c>
      <c r="BU51" s="425">
        <v>2</v>
      </c>
      <c r="BV51" s="425">
        <v>2.1</v>
      </c>
      <c r="BW51" s="425">
        <v>2</v>
      </c>
      <c r="BX51" s="425">
        <v>2.0943000000000001</v>
      </c>
      <c r="BY51" s="425">
        <v>2</v>
      </c>
      <c r="BZ51" s="425">
        <v>2.0943000000000001</v>
      </c>
      <c r="CA51" s="425">
        <v>2</v>
      </c>
      <c r="CB51" s="425">
        <v>2.0943000000000001</v>
      </c>
      <c r="CC51" s="425">
        <v>2</v>
      </c>
      <c r="CD51" s="425">
        <v>2</v>
      </c>
    </row>
    <row r="52" spans="1:82">
      <c r="A52" s="5">
        <v>2014</v>
      </c>
      <c r="B52" s="1">
        <v>1.5</v>
      </c>
      <c r="C52" s="1">
        <v>1.5</v>
      </c>
      <c r="D52" s="1">
        <v>1.5</v>
      </c>
      <c r="E52" s="1">
        <v>1.5</v>
      </c>
      <c r="F52" s="1">
        <v>1.5</v>
      </c>
      <c r="G52" s="1">
        <v>1.5</v>
      </c>
      <c r="H52" s="1">
        <v>1.5</v>
      </c>
      <c r="I52" s="1">
        <v>2.58</v>
      </c>
      <c r="J52" s="1">
        <v>1.1727968402863498</v>
      </c>
      <c r="K52" s="1">
        <v>2.58</v>
      </c>
      <c r="L52" s="1">
        <v>1.5</v>
      </c>
      <c r="M52" s="1">
        <v>1.5</v>
      </c>
      <c r="N52" s="1">
        <v>1.5</v>
      </c>
      <c r="O52" s="1">
        <v>1.5000000000000002</v>
      </c>
      <c r="P52" s="1">
        <v>1.5</v>
      </c>
      <c r="Q52" s="1">
        <v>1.5</v>
      </c>
      <c r="R52" s="1">
        <v>1.5</v>
      </c>
      <c r="S52" s="1">
        <v>1.5</v>
      </c>
      <c r="T52" s="1">
        <v>1.5</v>
      </c>
      <c r="U52" s="1">
        <v>1.5</v>
      </c>
      <c r="V52" s="1">
        <v>1.5</v>
      </c>
      <c r="W52" s="1">
        <v>1.5</v>
      </c>
      <c r="X52" s="1">
        <v>1.5</v>
      </c>
      <c r="Y52" s="1">
        <v>1.5</v>
      </c>
      <c r="Z52" s="1">
        <v>1.4999999999999998</v>
      </c>
      <c r="AA52" s="1">
        <v>0.75000000000000622</v>
      </c>
      <c r="AB52" s="1">
        <v>-2.9</v>
      </c>
      <c r="AC52" s="1">
        <v>1.5</v>
      </c>
      <c r="AD52" s="1">
        <v>1.5</v>
      </c>
      <c r="AE52" s="1">
        <v>1.5</v>
      </c>
      <c r="AF52" s="1">
        <v>1.5</v>
      </c>
      <c r="AG52" s="1">
        <v>1.5</v>
      </c>
      <c r="AH52" s="1">
        <v>1.5</v>
      </c>
      <c r="AI52" s="1">
        <v>1.5</v>
      </c>
      <c r="AJ52" s="1">
        <v>1.5</v>
      </c>
      <c r="AK52" s="1">
        <v>1.5</v>
      </c>
      <c r="AL52" s="1">
        <v>1.5</v>
      </c>
      <c r="AM52" s="1">
        <v>1.5</v>
      </c>
      <c r="AN52" s="1">
        <v>1.5</v>
      </c>
      <c r="AO52" s="1">
        <v>1.5</v>
      </c>
      <c r="AP52" s="108">
        <v>1.5</v>
      </c>
      <c r="AQ52" s="108">
        <v>1.5</v>
      </c>
      <c r="AR52" s="100">
        <v>1.4919566445231434</v>
      </c>
      <c r="AS52" s="1">
        <v>0.75019647250943211</v>
      </c>
      <c r="AT52" s="1">
        <v>1.0972001341131024</v>
      </c>
      <c r="AU52" s="1">
        <v>1.2456972242460138</v>
      </c>
      <c r="AV52" s="1">
        <v>1.2819264813214843</v>
      </c>
      <c r="AW52" s="1">
        <v>0.35724408303098565</v>
      </c>
      <c r="AX52" s="1">
        <v>1.3950000000000009</v>
      </c>
      <c r="AY52" s="1">
        <v>1.5000000000000002</v>
      </c>
      <c r="AZ52" s="1">
        <v>1.5</v>
      </c>
      <c r="BA52" s="1">
        <v>1.2375588340764374</v>
      </c>
      <c r="BB52" s="1">
        <v>1.2416562872814771</v>
      </c>
      <c r="BC52" s="1">
        <v>1.2285413809715291</v>
      </c>
      <c r="BD52" s="1">
        <v>1.4026175146063935</v>
      </c>
      <c r="BE52" s="425">
        <v>2</v>
      </c>
      <c r="BF52" s="425">
        <v>2</v>
      </c>
      <c r="BG52" s="425">
        <v>2</v>
      </c>
      <c r="BH52" s="425">
        <v>2</v>
      </c>
      <c r="BI52" s="425">
        <v>2</v>
      </c>
      <c r="BJ52" s="425">
        <v>2</v>
      </c>
      <c r="BK52" s="425">
        <v>2.1</v>
      </c>
      <c r="BL52" s="425">
        <v>2</v>
      </c>
      <c r="BM52" s="425">
        <v>2.5</v>
      </c>
      <c r="BN52" s="425">
        <v>2</v>
      </c>
      <c r="BO52" s="425">
        <v>2</v>
      </c>
      <c r="BP52" s="425">
        <v>2</v>
      </c>
      <c r="BQ52" s="425">
        <v>2</v>
      </c>
      <c r="BR52" s="425">
        <v>2</v>
      </c>
      <c r="BS52" s="425">
        <v>2</v>
      </c>
      <c r="BT52" s="425">
        <v>2</v>
      </c>
      <c r="BU52" s="425">
        <v>2</v>
      </c>
      <c r="BV52" s="425">
        <v>2.1</v>
      </c>
      <c r="BW52" s="425">
        <v>2</v>
      </c>
      <c r="BX52" s="425">
        <v>2.0943000000000001</v>
      </c>
      <c r="BY52" s="425">
        <v>2</v>
      </c>
      <c r="BZ52" s="425">
        <v>2.0943000000000001</v>
      </c>
      <c r="CA52" s="425">
        <v>2</v>
      </c>
      <c r="CB52" s="425">
        <v>2.0943000000000001</v>
      </c>
      <c r="CC52" s="425">
        <v>2</v>
      </c>
      <c r="CD52" s="425">
        <v>2</v>
      </c>
    </row>
    <row r="53" spans="1:82">
      <c r="A53" s="5">
        <v>2015</v>
      </c>
      <c r="B53" s="1">
        <v>1.1000000000000001</v>
      </c>
      <c r="C53" s="1">
        <v>1.1000000000000001</v>
      </c>
      <c r="D53" s="1">
        <v>1.1000000000000001</v>
      </c>
      <c r="E53" s="1">
        <v>1.1000000000000001</v>
      </c>
      <c r="F53" s="1">
        <v>1.1000000000000001</v>
      </c>
      <c r="G53" s="1">
        <v>1.1000000000000001</v>
      </c>
      <c r="H53" s="1">
        <v>1.1000000000000001</v>
      </c>
      <c r="I53" s="1">
        <v>1.67</v>
      </c>
      <c r="J53" s="1">
        <v>1.0000000000000009</v>
      </c>
      <c r="K53" s="1">
        <v>1.67</v>
      </c>
      <c r="L53" s="1">
        <v>1.1000000000000001</v>
      </c>
      <c r="M53" s="1">
        <v>1.1000000000000001</v>
      </c>
      <c r="N53" s="1">
        <v>1.1000000000000001</v>
      </c>
      <c r="O53" s="1">
        <v>1.1000000000000003</v>
      </c>
      <c r="P53" s="1">
        <v>1.1000000000000001</v>
      </c>
      <c r="Q53" s="1">
        <v>1.1000000000000001</v>
      </c>
      <c r="R53" s="1">
        <v>1.1000000000000001</v>
      </c>
      <c r="S53" s="1">
        <v>1.1000000000000001</v>
      </c>
      <c r="T53" s="1">
        <v>1.1000000000000001</v>
      </c>
      <c r="U53" s="1">
        <v>1.1000000000000001</v>
      </c>
      <c r="V53" s="1">
        <v>1.1000000000000001</v>
      </c>
      <c r="W53" s="1">
        <v>1.1000000000000001</v>
      </c>
      <c r="X53" s="1">
        <v>1.1000000000000001</v>
      </c>
      <c r="Y53" s="1">
        <v>1.1000000000000001</v>
      </c>
      <c r="Z53" s="1">
        <v>1.1000000000000001</v>
      </c>
      <c r="AA53" s="1">
        <v>1.0000000000000009</v>
      </c>
      <c r="AB53" s="1">
        <v>-5.9</v>
      </c>
      <c r="AC53" s="1">
        <v>1.1000000000000001</v>
      </c>
      <c r="AD53" s="1">
        <v>1.1000000000000001</v>
      </c>
      <c r="AE53" s="1">
        <v>1.1000000000000001</v>
      </c>
      <c r="AF53" s="1">
        <v>1.1000000000000001</v>
      </c>
      <c r="AG53" s="1">
        <v>1.1000000000000001</v>
      </c>
      <c r="AH53" s="1">
        <v>1.1000000000000001</v>
      </c>
      <c r="AI53" s="1">
        <v>1.1000000000000001</v>
      </c>
      <c r="AJ53" s="1">
        <v>1.1000000000000001</v>
      </c>
      <c r="AK53" s="1">
        <v>1.1000000000000001</v>
      </c>
      <c r="AL53" s="1">
        <v>1.1000000000000001</v>
      </c>
      <c r="AM53" s="1">
        <v>1.1000000000000001</v>
      </c>
      <c r="AN53" s="1">
        <v>1.1000000000000001</v>
      </c>
      <c r="AO53" s="1">
        <v>1.1000000000000001</v>
      </c>
      <c r="AP53" s="108">
        <v>1.1000000000000001</v>
      </c>
      <c r="AQ53" s="108">
        <v>1.1000000000000001</v>
      </c>
      <c r="AR53" s="100">
        <v>1.0990835537275427</v>
      </c>
      <c r="AS53" s="1">
        <v>0.44647624507141714</v>
      </c>
      <c r="AT53" s="1">
        <v>1.0420190622959522</v>
      </c>
      <c r="AU53" s="1">
        <v>1.0227424361886659</v>
      </c>
      <c r="AV53" s="1">
        <v>1.0349482038597129</v>
      </c>
      <c r="AW53" s="1">
        <v>-0.31858896566029249</v>
      </c>
      <c r="AX53" s="1">
        <v>1.0860000000000003</v>
      </c>
      <c r="AY53" s="1">
        <v>1.1000000000000003</v>
      </c>
      <c r="AZ53" s="1">
        <v>1.1000000000000001</v>
      </c>
      <c r="BA53" s="1">
        <v>1.0198914526033878</v>
      </c>
      <c r="BB53" s="1">
        <v>1.0201724683999891</v>
      </c>
      <c r="BC53" s="1">
        <v>0.9662137454857338</v>
      </c>
      <c r="BD53" s="1">
        <v>0.95799652000994295</v>
      </c>
      <c r="BE53" s="425">
        <v>2</v>
      </c>
      <c r="BF53" s="425">
        <v>2</v>
      </c>
      <c r="BG53" s="425">
        <v>2</v>
      </c>
      <c r="BH53" s="425">
        <v>2</v>
      </c>
      <c r="BI53" s="425">
        <v>2</v>
      </c>
      <c r="BJ53" s="425">
        <v>2</v>
      </c>
      <c r="BK53" s="425">
        <v>2.1</v>
      </c>
      <c r="BL53" s="425">
        <v>2</v>
      </c>
      <c r="BM53" s="425">
        <v>2.5</v>
      </c>
      <c r="BN53" s="425">
        <v>2</v>
      </c>
      <c r="BO53" s="425">
        <v>2</v>
      </c>
      <c r="BP53" s="425">
        <v>2</v>
      </c>
      <c r="BQ53" s="425">
        <v>2</v>
      </c>
      <c r="BR53" s="425">
        <v>2</v>
      </c>
      <c r="BS53" s="425">
        <v>2</v>
      </c>
      <c r="BT53" s="425">
        <v>2</v>
      </c>
      <c r="BU53" s="425">
        <v>2</v>
      </c>
      <c r="BV53" s="425">
        <v>2.1</v>
      </c>
      <c r="BW53" s="425">
        <v>2</v>
      </c>
      <c r="BX53" s="425">
        <v>2.0943000000000001</v>
      </c>
      <c r="BY53" s="425">
        <v>2</v>
      </c>
      <c r="BZ53" s="425">
        <v>2.0943000000000001</v>
      </c>
      <c r="CA53" s="425">
        <v>2</v>
      </c>
      <c r="CB53" s="425">
        <v>2.0943000000000001</v>
      </c>
      <c r="CC53" s="425">
        <v>2</v>
      </c>
      <c r="CD53" s="425">
        <v>2</v>
      </c>
    </row>
    <row r="54" spans="1:82">
      <c r="A54" s="5">
        <v>2016</v>
      </c>
      <c r="B54" s="1">
        <v>1.2</v>
      </c>
      <c r="C54" s="1">
        <v>1.2</v>
      </c>
      <c r="D54" s="1">
        <v>1.2</v>
      </c>
      <c r="E54" s="1">
        <v>1.2</v>
      </c>
      <c r="F54" s="1">
        <v>1.2</v>
      </c>
      <c r="G54" s="1">
        <v>1.2</v>
      </c>
      <c r="H54" s="1">
        <v>1.2</v>
      </c>
      <c r="I54" s="1">
        <v>1.46</v>
      </c>
      <c r="J54" s="1">
        <v>1.2255583126550729</v>
      </c>
      <c r="K54" s="1">
        <v>1.46</v>
      </c>
      <c r="L54" s="1">
        <v>1.2</v>
      </c>
      <c r="M54" s="1">
        <v>1.2</v>
      </c>
      <c r="N54" s="1">
        <v>1.2</v>
      </c>
      <c r="O54" s="1">
        <v>1.1999999999999997</v>
      </c>
      <c r="P54" s="1">
        <v>1.2</v>
      </c>
      <c r="Q54" s="1">
        <v>1.2</v>
      </c>
      <c r="R54" s="1">
        <v>1.2</v>
      </c>
      <c r="S54" s="1">
        <v>1.2</v>
      </c>
      <c r="T54" s="1">
        <v>1.2</v>
      </c>
      <c r="U54" s="1">
        <v>1.2</v>
      </c>
      <c r="V54" s="1">
        <v>1.2</v>
      </c>
      <c r="W54" s="1">
        <v>1.2</v>
      </c>
      <c r="X54" s="1">
        <v>1.2</v>
      </c>
      <c r="Y54" s="1">
        <v>1.2</v>
      </c>
      <c r="Z54" s="1">
        <v>1.2000000000000002</v>
      </c>
      <c r="AA54" s="1">
        <v>1.2255583126550729</v>
      </c>
      <c r="AB54" s="1">
        <v>-30.8</v>
      </c>
      <c r="AC54" s="1">
        <v>1.2</v>
      </c>
      <c r="AD54" s="1">
        <v>1.2</v>
      </c>
      <c r="AE54" s="1">
        <v>1.2</v>
      </c>
      <c r="AF54" s="1">
        <v>1.2</v>
      </c>
      <c r="AG54" s="1">
        <v>1.2</v>
      </c>
      <c r="AH54" s="1">
        <v>1.2</v>
      </c>
      <c r="AI54" s="1">
        <v>1.2</v>
      </c>
      <c r="AJ54" s="1">
        <v>1.2</v>
      </c>
      <c r="AK54" s="1">
        <v>1.2</v>
      </c>
      <c r="AL54" s="1">
        <v>1.2</v>
      </c>
      <c r="AM54" s="1">
        <v>1.2</v>
      </c>
      <c r="AN54" s="1">
        <v>1.2</v>
      </c>
      <c r="AO54" s="1">
        <v>1.2</v>
      </c>
      <c r="AP54" s="108">
        <v>1.2</v>
      </c>
      <c r="AQ54" s="108">
        <v>1.2</v>
      </c>
      <c r="AR54" s="100">
        <v>1.2002101983234024</v>
      </c>
      <c r="AS54" s="1">
        <v>-0.64561324023772371</v>
      </c>
      <c r="AT54" s="1">
        <v>1.2149925578921987</v>
      </c>
      <c r="AU54" s="1">
        <v>1.2200819258530489</v>
      </c>
      <c r="AV54" s="1">
        <v>1.2168862722620359</v>
      </c>
      <c r="AW54" s="1">
        <v>-4.4991257753060676</v>
      </c>
      <c r="AX54" s="1">
        <v>1.2035781637717102</v>
      </c>
      <c r="AY54" s="1">
        <v>1.2</v>
      </c>
      <c r="AZ54" s="1">
        <v>1.2</v>
      </c>
      <c r="BA54" s="1">
        <v>1.2203241813234926</v>
      </c>
      <c r="BB54" s="1">
        <v>1.2201038975942082</v>
      </c>
      <c r="BC54" s="1">
        <v>0.89048765812774877</v>
      </c>
      <c r="BD54" s="1">
        <v>0.70104164492567977</v>
      </c>
      <c r="BE54" s="425">
        <v>2</v>
      </c>
      <c r="BF54" s="425">
        <v>2</v>
      </c>
      <c r="BG54" s="425">
        <v>2</v>
      </c>
      <c r="BH54" s="425">
        <v>2</v>
      </c>
      <c r="BI54" s="425">
        <v>2</v>
      </c>
      <c r="BJ54" s="425">
        <v>2</v>
      </c>
      <c r="BK54" s="425">
        <v>2.1</v>
      </c>
      <c r="BL54" s="425">
        <v>2</v>
      </c>
      <c r="BM54" s="425">
        <v>2.5</v>
      </c>
      <c r="BN54" s="425">
        <v>2</v>
      </c>
      <c r="BO54" s="425">
        <v>2</v>
      </c>
      <c r="BP54" s="425">
        <v>2</v>
      </c>
      <c r="BQ54" s="425">
        <v>2</v>
      </c>
      <c r="BR54" s="425">
        <v>2</v>
      </c>
      <c r="BS54" s="425">
        <v>2</v>
      </c>
      <c r="BT54" s="425">
        <v>2</v>
      </c>
      <c r="BU54" s="425">
        <v>2</v>
      </c>
      <c r="BV54" s="425">
        <v>2.1</v>
      </c>
      <c r="BW54" s="425">
        <v>2</v>
      </c>
      <c r="BX54" s="425">
        <v>2.0943000000000001</v>
      </c>
      <c r="BY54" s="425">
        <v>2</v>
      </c>
      <c r="BZ54" s="425">
        <v>2.0943000000000001</v>
      </c>
      <c r="CA54" s="425">
        <v>2</v>
      </c>
      <c r="CB54" s="425">
        <v>2.0943000000000001</v>
      </c>
      <c r="CC54" s="425">
        <v>2</v>
      </c>
      <c r="CD54" s="425">
        <v>2</v>
      </c>
    </row>
    <row r="55" spans="1:82">
      <c r="A55" s="5">
        <v>2017</v>
      </c>
      <c r="B55" s="1">
        <v>1.8</v>
      </c>
      <c r="C55" s="1">
        <v>1.8</v>
      </c>
      <c r="D55" s="1">
        <v>1.8</v>
      </c>
      <c r="E55" s="1">
        <v>1.8</v>
      </c>
      <c r="F55" s="1">
        <v>1.8</v>
      </c>
      <c r="G55" s="1">
        <v>1.8</v>
      </c>
      <c r="H55" s="1">
        <v>1.8</v>
      </c>
      <c r="I55" s="1">
        <v>1.8</v>
      </c>
      <c r="J55" s="1">
        <v>1.9019311710819276</v>
      </c>
      <c r="K55" s="1">
        <v>1.8</v>
      </c>
      <c r="L55" s="1">
        <v>1.8</v>
      </c>
      <c r="M55" s="1">
        <v>1.8</v>
      </c>
      <c r="N55" s="1">
        <v>1.8</v>
      </c>
      <c r="O55" s="1">
        <v>1.7999999999999998</v>
      </c>
      <c r="P55" s="1">
        <v>1.8</v>
      </c>
      <c r="Q55" s="1">
        <v>1.8</v>
      </c>
      <c r="R55" s="1">
        <v>1.8000000000000003</v>
      </c>
      <c r="S55" s="1">
        <v>1.8000000000000003</v>
      </c>
      <c r="T55" s="1">
        <v>1.8</v>
      </c>
      <c r="U55" s="1">
        <v>1.8</v>
      </c>
      <c r="V55" s="1">
        <v>1.8</v>
      </c>
      <c r="W55" s="1">
        <v>1.8</v>
      </c>
      <c r="X55" s="1">
        <v>1.8</v>
      </c>
      <c r="Y55" s="1">
        <v>1.8</v>
      </c>
      <c r="Z55" s="1">
        <v>1.8000000000000003</v>
      </c>
      <c r="AA55" s="1">
        <v>1.9019311710819276</v>
      </c>
      <c r="AB55" s="1">
        <v>6</v>
      </c>
      <c r="AC55" s="1">
        <v>1.8</v>
      </c>
      <c r="AD55" s="1">
        <v>1.8</v>
      </c>
      <c r="AE55" s="1">
        <v>1.8</v>
      </c>
      <c r="AF55" s="1">
        <v>1.7999999999999998</v>
      </c>
      <c r="AG55" s="1">
        <v>1.8</v>
      </c>
      <c r="AH55" s="1">
        <v>1.8</v>
      </c>
      <c r="AI55" s="1">
        <v>1.8</v>
      </c>
      <c r="AJ55" s="1">
        <v>1.8</v>
      </c>
      <c r="AK55" s="1">
        <v>1.8</v>
      </c>
      <c r="AL55" s="1">
        <v>1.8000000000000003</v>
      </c>
      <c r="AM55" s="1">
        <v>1.8</v>
      </c>
      <c r="AN55" s="1">
        <v>1.8</v>
      </c>
      <c r="AO55" s="1">
        <v>1.8</v>
      </c>
      <c r="AP55" s="108">
        <v>1.8</v>
      </c>
      <c r="AQ55" s="108">
        <v>1.8</v>
      </c>
      <c r="AR55" s="100">
        <v>1.800875708034104</v>
      </c>
      <c r="AS55" s="1">
        <v>2.1614861577498843</v>
      </c>
      <c r="AT55" s="1">
        <v>1.8748499801532195</v>
      </c>
      <c r="AU55" s="1">
        <v>1.8795936459359937</v>
      </c>
      <c r="AV55" s="1">
        <v>1.8675079642101493</v>
      </c>
      <c r="AW55" s="1">
        <v>2.5094448362861344</v>
      </c>
      <c r="AX55" s="1">
        <v>1.8142703639514699</v>
      </c>
      <c r="AY55" s="1">
        <v>1.8</v>
      </c>
      <c r="AZ55" s="1">
        <v>1.8</v>
      </c>
      <c r="BA55" s="1">
        <v>1.8811027672513168</v>
      </c>
      <c r="BB55" s="1">
        <v>1.8811347466617105</v>
      </c>
      <c r="BC55" s="1">
        <v>1.8675470636506055</v>
      </c>
      <c r="BD55" s="1">
        <v>1.8762126197396627</v>
      </c>
      <c r="BE55" s="425">
        <v>2</v>
      </c>
      <c r="BF55" s="425">
        <v>2</v>
      </c>
      <c r="BG55" s="425">
        <v>2</v>
      </c>
      <c r="BH55" s="425">
        <v>2</v>
      </c>
      <c r="BI55" s="425">
        <v>2</v>
      </c>
      <c r="BJ55" s="425">
        <v>2</v>
      </c>
      <c r="BK55" s="425">
        <v>2.1</v>
      </c>
      <c r="BL55" s="425">
        <v>2</v>
      </c>
      <c r="BM55" s="425">
        <v>2.5</v>
      </c>
      <c r="BN55" s="425">
        <v>2</v>
      </c>
      <c r="BO55" s="425">
        <v>2</v>
      </c>
      <c r="BP55" s="425">
        <v>2</v>
      </c>
      <c r="BQ55" s="425">
        <v>2</v>
      </c>
      <c r="BR55" s="425">
        <v>2</v>
      </c>
      <c r="BS55" s="425">
        <v>2</v>
      </c>
      <c r="BT55" s="425">
        <v>2</v>
      </c>
      <c r="BU55" s="425">
        <v>2</v>
      </c>
      <c r="BV55" s="425">
        <v>2.1</v>
      </c>
      <c r="BW55" s="425">
        <v>2</v>
      </c>
      <c r="BX55" s="425">
        <v>2.0943000000000001</v>
      </c>
      <c r="BY55" s="425">
        <v>2</v>
      </c>
      <c r="BZ55" s="425">
        <v>2.0943000000000001</v>
      </c>
      <c r="CA55" s="425">
        <v>2</v>
      </c>
      <c r="CB55" s="425">
        <v>2.0943000000000001</v>
      </c>
      <c r="CC55" s="425">
        <v>2</v>
      </c>
      <c r="CD55" s="425">
        <v>2</v>
      </c>
    </row>
    <row r="56" spans="1:82">
      <c r="A56" s="5">
        <v>2018</v>
      </c>
      <c r="B56" s="1">
        <v>2</v>
      </c>
      <c r="C56" s="1">
        <v>2</v>
      </c>
      <c r="D56" s="1">
        <v>2</v>
      </c>
      <c r="E56" s="1">
        <v>2</v>
      </c>
      <c r="F56" s="1">
        <v>2</v>
      </c>
      <c r="G56" s="1">
        <v>2</v>
      </c>
      <c r="H56" s="1">
        <v>2</v>
      </c>
      <c r="I56" s="1">
        <v>2</v>
      </c>
      <c r="J56" s="1">
        <v>2.0999999999999908</v>
      </c>
      <c r="K56" s="1">
        <v>2</v>
      </c>
      <c r="L56" s="1">
        <v>2</v>
      </c>
      <c r="M56" s="1">
        <v>2</v>
      </c>
      <c r="N56" s="1">
        <v>2</v>
      </c>
      <c r="O56" s="1">
        <v>2</v>
      </c>
      <c r="P56" s="1">
        <v>2</v>
      </c>
      <c r="Q56" s="1">
        <v>2</v>
      </c>
      <c r="R56" s="1">
        <v>2</v>
      </c>
      <c r="S56" s="1">
        <v>2</v>
      </c>
      <c r="T56" s="1">
        <v>2</v>
      </c>
      <c r="U56" s="1">
        <v>2</v>
      </c>
      <c r="V56" s="1">
        <v>2</v>
      </c>
      <c r="W56" s="1">
        <v>2</v>
      </c>
      <c r="X56" s="1">
        <v>2</v>
      </c>
      <c r="Y56" s="1">
        <v>2</v>
      </c>
      <c r="Z56" s="1">
        <v>2</v>
      </c>
      <c r="AA56" s="1">
        <v>1.9492247108048089</v>
      </c>
      <c r="AB56" s="1">
        <v>-0.4</v>
      </c>
      <c r="AC56" s="1">
        <v>2</v>
      </c>
      <c r="AD56" s="1">
        <v>2</v>
      </c>
      <c r="AE56" s="1">
        <v>2</v>
      </c>
      <c r="AF56" s="1">
        <v>2</v>
      </c>
      <c r="AG56" s="1">
        <v>2</v>
      </c>
      <c r="AH56" s="1">
        <v>2</v>
      </c>
      <c r="AI56" s="1">
        <v>2</v>
      </c>
      <c r="AJ56" s="1">
        <v>2</v>
      </c>
      <c r="AK56" s="1">
        <v>2</v>
      </c>
      <c r="AL56" s="1">
        <v>2</v>
      </c>
      <c r="AM56" s="1">
        <v>2</v>
      </c>
      <c r="AN56" s="1">
        <v>2</v>
      </c>
      <c r="AO56" s="1">
        <v>2</v>
      </c>
      <c r="AP56" s="108">
        <v>2</v>
      </c>
      <c r="AQ56" s="108">
        <v>2</v>
      </c>
      <c r="AR56" s="100">
        <v>1.9995282640243437</v>
      </c>
      <c r="AS56" s="1">
        <v>1.8003483804973994</v>
      </c>
      <c r="AT56" s="1">
        <v>1.9646566193331552</v>
      </c>
      <c r="AU56" s="1">
        <v>2.0770973672169175</v>
      </c>
      <c r="AV56" s="1">
        <v>2.066730232939975</v>
      </c>
      <c r="AW56" s="1">
        <v>1.5962722530298794</v>
      </c>
      <c r="AX56" s="1">
        <v>1.9928914595126732</v>
      </c>
      <c r="AY56" s="1">
        <v>2</v>
      </c>
      <c r="AZ56" s="1">
        <v>2</v>
      </c>
      <c r="BA56" s="1">
        <v>2.0772472431766658</v>
      </c>
      <c r="BB56" s="1">
        <v>2.0789449300675953</v>
      </c>
      <c r="BC56" s="1">
        <v>1.9682916484300597</v>
      </c>
      <c r="BD56" s="1">
        <v>1.9598647243607636</v>
      </c>
      <c r="BE56" s="425">
        <v>2</v>
      </c>
      <c r="BF56" s="425">
        <v>2</v>
      </c>
      <c r="BG56" s="425">
        <v>2</v>
      </c>
      <c r="BH56" s="425">
        <v>2</v>
      </c>
      <c r="BI56" s="425">
        <v>2</v>
      </c>
      <c r="BJ56" s="425">
        <v>2</v>
      </c>
      <c r="BK56" s="425">
        <v>2.1</v>
      </c>
      <c r="BL56" s="425">
        <v>2</v>
      </c>
      <c r="BM56" s="425">
        <v>2.5</v>
      </c>
      <c r="BN56" s="425">
        <v>2</v>
      </c>
      <c r="BO56" s="425">
        <v>2</v>
      </c>
      <c r="BP56" s="425">
        <v>2</v>
      </c>
      <c r="BQ56" s="425">
        <v>2</v>
      </c>
      <c r="BR56" s="425">
        <v>2</v>
      </c>
      <c r="BS56" s="425">
        <v>2</v>
      </c>
      <c r="BT56" s="425">
        <v>2</v>
      </c>
      <c r="BU56" s="425">
        <v>2</v>
      </c>
      <c r="BV56" s="425">
        <v>2.1</v>
      </c>
      <c r="BW56" s="425">
        <v>2</v>
      </c>
      <c r="BX56" s="425">
        <v>2.0943000000000001</v>
      </c>
      <c r="BY56" s="425">
        <v>2</v>
      </c>
      <c r="BZ56" s="425">
        <v>2.0943000000000001</v>
      </c>
      <c r="CA56" s="425">
        <v>2</v>
      </c>
      <c r="CB56" s="425">
        <v>2.0943000000000001</v>
      </c>
      <c r="CC56" s="425">
        <v>2</v>
      </c>
      <c r="CD56" s="425">
        <v>2</v>
      </c>
    </row>
    <row r="57" spans="1:82">
      <c r="A57" s="5">
        <v>2019</v>
      </c>
      <c r="B57" s="1">
        <v>2</v>
      </c>
      <c r="C57" s="1">
        <v>2</v>
      </c>
      <c r="D57" s="1">
        <v>2</v>
      </c>
      <c r="E57" s="1">
        <v>2</v>
      </c>
      <c r="F57" s="1">
        <v>2</v>
      </c>
      <c r="G57" s="1">
        <v>2</v>
      </c>
      <c r="H57" s="1">
        <v>2</v>
      </c>
      <c r="I57" s="1">
        <v>2</v>
      </c>
      <c r="J57" s="1">
        <v>1.9492247108048089</v>
      </c>
      <c r="K57" s="1">
        <v>2</v>
      </c>
      <c r="L57" s="1">
        <v>2</v>
      </c>
      <c r="M57" s="1">
        <v>2</v>
      </c>
      <c r="N57" s="1">
        <v>2</v>
      </c>
      <c r="O57" s="1">
        <v>2</v>
      </c>
      <c r="P57" s="1">
        <v>2</v>
      </c>
      <c r="Q57" s="1">
        <v>2</v>
      </c>
      <c r="R57" s="1">
        <v>2</v>
      </c>
      <c r="S57" s="1">
        <v>2</v>
      </c>
      <c r="T57" s="1">
        <v>2</v>
      </c>
      <c r="U57" s="1">
        <v>2</v>
      </c>
      <c r="V57" s="1">
        <v>2</v>
      </c>
      <c r="W57" s="1">
        <v>2</v>
      </c>
      <c r="X57" s="1">
        <v>2</v>
      </c>
      <c r="Y57" s="1">
        <v>2</v>
      </c>
      <c r="Z57" s="1">
        <v>2</v>
      </c>
      <c r="AA57" s="1">
        <v>1.8999999999999906</v>
      </c>
      <c r="AB57" s="1">
        <v>0.4</v>
      </c>
      <c r="AC57" s="1">
        <v>2</v>
      </c>
      <c r="AD57" s="1">
        <v>2</v>
      </c>
      <c r="AE57" s="1">
        <v>2</v>
      </c>
      <c r="AF57" s="1">
        <v>2</v>
      </c>
      <c r="AG57" s="1">
        <v>2</v>
      </c>
      <c r="AH57" s="1">
        <v>2</v>
      </c>
      <c r="AI57" s="1">
        <v>2</v>
      </c>
      <c r="AJ57" s="1">
        <v>2</v>
      </c>
      <c r="AK57" s="1">
        <v>2</v>
      </c>
      <c r="AL57" s="1">
        <v>2</v>
      </c>
      <c r="AM57" s="1">
        <v>2</v>
      </c>
      <c r="AN57" s="1">
        <v>2</v>
      </c>
      <c r="AO57" s="1">
        <v>2</v>
      </c>
      <c r="AP57" s="108">
        <v>2</v>
      </c>
      <c r="AQ57" s="108">
        <v>2</v>
      </c>
      <c r="AR57" s="100">
        <v>1.9989795437036562</v>
      </c>
      <c r="AS57" s="1">
        <v>1.8237797831821303</v>
      </c>
      <c r="AT57" s="1">
        <v>1.9300987419152595</v>
      </c>
      <c r="AU57" s="1">
        <v>1.9608830824436057</v>
      </c>
      <c r="AV57" s="1">
        <v>1.9663421654199595</v>
      </c>
      <c r="AW57" s="1">
        <v>1.7123361726334614</v>
      </c>
      <c r="AX57" s="1">
        <v>1.9859999999999987</v>
      </c>
      <c r="AY57" s="1">
        <v>2</v>
      </c>
      <c r="AZ57" s="1">
        <v>2</v>
      </c>
      <c r="BA57" s="1">
        <v>1.9615346529280946</v>
      </c>
      <c r="BB57" s="1">
        <v>1.9609059069752552</v>
      </c>
      <c r="BC57" s="1">
        <v>1.9537904466613187</v>
      </c>
      <c r="BD57" s="1">
        <v>1.96626592619358</v>
      </c>
      <c r="BE57" s="425">
        <v>2</v>
      </c>
      <c r="BF57" s="425">
        <v>2</v>
      </c>
      <c r="BG57" s="425">
        <v>2</v>
      </c>
      <c r="BH57" s="425">
        <v>2</v>
      </c>
      <c r="BI57" s="425">
        <v>2</v>
      </c>
      <c r="BJ57" s="425">
        <v>2</v>
      </c>
      <c r="BK57" s="425">
        <v>2.1</v>
      </c>
      <c r="BL57" s="425">
        <v>2</v>
      </c>
      <c r="BM57" s="425">
        <v>2.5</v>
      </c>
      <c r="BN57" s="425">
        <v>2</v>
      </c>
      <c r="BO57" s="425">
        <v>2</v>
      </c>
      <c r="BP57" s="425">
        <v>2</v>
      </c>
      <c r="BQ57" s="425">
        <v>2</v>
      </c>
      <c r="BR57" s="425">
        <v>2</v>
      </c>
      <c r="BS57" s="425">
        <v>2</v>
      </c>
      <c r="BT57" s="425">
        <v>2</v>
      </c>
      <c r="BU57" s="425">
        <v>2</v>
      </c>
      <c r="BV57" s="425">
        <v>2.1</v>
      </c>
      <c r="BW57" s="425">
        <v>2</v>
      </c>
      <c r="BX57" s="425">
        <v>2.0943000000000001</v>
      </c>
      <c r="BY57" s="425">
        <v>2</v>
      </c>
      <c r="BZ57" s="425">
        <v>2.0943000000000001</v>
      </c>
      <c r="CA57" s="425">
        <v>2</v>
      </c>
      <c r="CB57" s="425">
        <v>2.0943000000000001</v>
      </c>
      <c r="CC57" s="425">
        <v>2</v>
      </c>
      <c r="CD57" s="425">
        <v>2</v>
      </c>
    </row>
    <row r="58" spans="1:82">
      <c r="A58" s="5">
        <v>2020</v>
      </c>
      <c r="B58" s="1">
        <v>2</v>
      </c>
      <c r="C58" s="1">
        <v>2</v>
      </c>
      <c r="D58" s="1">
        <v>2</v>
      </c>
      <c r="E58" s="1">
        <v>2</v>
      </c>
      <c r="F58" s="1">
        <v>2</v>
      </c>
      <c r="G58" s="1">
        <v>2</v>
      </c>
      <c r="H58" s="1">
        <v>2</v>
      </c>
      <c r="I58" s="1">
        <v>2</v>
      </c>
      <c r="J58" s="1">
        <v>1.8999999999999906</v>
      </c>
      <c r="K58" s="1">
        <v>2</v>
      </c>
      <c r="L58" s="1">
        <v>2</v>
      </c>
      <c r="M58" s="1">
        <v>2</v>
      </c>
      <c r="N58" s="1">
        <v>2</v>
      </c>
      <c r="O58" s="1">
        <v>2</v>
      </c>
      <c r="P58" s="1">
        <v>2</v>
      </c>
      <c r="Q58" s="1">
        <v>2</v>
      </c>
      <c r="R58" s="1">
        <v>1.9999999999999998</v>
      </c>
      <c r="S58" s="1">
        <v>2</v>
      </c>
      <c r="T58" s="1">
        <v>2</v>
      </c>
      <c r="U58" s="1">
        <v>2</v>
      </c>
      <c r="V58" s="1">
        <v>2</v>
      </c>
      <c r="W58" s="1">
        <v>2</v>
      </c>
      <c r="X58" s="1">
        <v>2</v>
      </c>
      <c r="Y58" s="1">
        <v>2</v>
      </c>
      <c r="Z58" s="1">
        <v>2</v>
      </c>
      <c r="AA58" s="1">
        <v>1.8999999999999906</v>
      </c>
      <c r="AB58" s="1">
        <v>0.8</v>
      </c>
      <c r="AC58" s="1">
        <v>2</v>
      </c>
      <c r="AD58" s="1">
        <v>2</v>
      </c>
      <c r="AE58" s="1">
        <v>2</v>
      </c>
      <c r="AF58" s="1">
        <v>1.9999999999999998</v>
      </c>
      <c r="AG58" s="1">
        <v>2</v>
      </c>
      <c r="AH58" s="1">
        <v>2</v>
      </c>
      <c r="AI58" s="1">
        <v>2</v>
      </c>
      <c r="AJ58" s="1">
        <v>2</v>
      </c>
      <c r="AK58" s="1">
        <v>2</v>
      </c>
      <c r="AL58" s="1">
        <v>2</v>
      </c>
      <c r="AM58" s="1">
        <v>2</v>
      </c>
      <c r="AN58" s="1">
        <v>2</v>
      </c>
      <c r="AO58" s="1">
        <v>2</v>
      </c>
      <c r="AP58" s="108">
        <v>2</v>
      </c>
      <c r="AQ58" s="108">
        <v>2</v>
      </c>
      <c r="AR58" s="100">
        <v>1.99885520314714</v>
      </c>
      <c r="AS58" s="1">
        <v>1.8525963312077887</v>
      </c>
      <c r="AT58" s="1">
        <v>1.9311976340372219</v>
      </c>
      <c r="AU58" s="1">
        <v>1.9236811194496359</v>
      </c>
      <c r="AV58" s="1">
        <v>1.9339089632775344</v>
      </c>
      <c r="AW58" s="1">
        <v>1.7778853139392232</v>
      </c>
      <c r="AX58" s="1">
        <v>1.9859999999999987</v>
      </c>
      <c r="AY58" s="1">
        <v>2</v>
      </c>
      <c r="AZ58" s="1">
        <v>2</v>
      </c>
      <c r="BA58" s="1">
        <v>1.9258589835517583</v>
      </c>
      <c r="BB58" s="1">
        <v>1.9245373922936186</v>
      </c>
      <c r="BC58" s="1">
        <v>1.9563443120382322</v>
      </c>
      <c r="BD58" s="1">
        <v>1.9729479398319736</v>
      </c>
      <c r="BE58" s="425">
        <v>2</v>
      </c>
      <c r="BF58" s="425">
        <v>2</v>
      </c>
      <c r="BG58" s="425">
        <v>2</v>
      </c>
      <c r="BH58" s="425">
        <v>2</v>
      </c>
      <c r="BI58" s="425">
        <v>2</v>
      </c>
      <c r="BJ58" s="425">
        <v>2</v>
      </c>
      <c r="BK58" s="425">
        <v>2.1</v>
      </c>
      <c r="BL58" s="425">
        <v>2</v>
      </c>
      <c r="BM58" s="425">
        <v>2.5</v>
      </c>
      <c r="BN58" s="425">
        <v>2</v>
      </c>
      <c r="BO58" s="425">
        <v>2</v>
      </c>
      <c r="BP58" s="425">
        <v>2</v>
      </c>
      <c r="BQ58" s="425">
        <v>2</v>
      </c>
      <c r="BR58" s="425">
        <v>2</v>
      </c>
      <c r="BS58" s="425">
        <v>2</v>
      </c>
      <c r="BT58" s="425">
        <v>2</v>
      </c>
      <c r="BU58" s="425">
        <v>2</v>
      </c>
      <c r="BV58" s="425">
        <v>2.1</v>
      </c>
      <c r="BW58" s="425">
        <v>2</v>
      </c>
      <c r="BX58" s="425">
        <v>2.0943000000000001</v>
      </c>
      <c r="BY58" s="425">
        <v>2</v>
      </c>
      <c r="BZ58" s="425">
        <v>2.0943000000000001</v>
      </c>
      <c r="CA58" s="425">
        <v>2</v>
      </c>
      <c r="CB58" s="425">
        <v>2.0943000000000001</v>
      </c>
      <c r="CC58" s="425">
        <v>2</v>
      </c>
      <c r="CD58" s="425">
        <v>2</v>
      </c>
    </row>
    <row r="59" spans="1:82">
      <c r="A59" s="5">
        <v>2021</v>
      </c>
      <c r="B59" s="1">
        <v>2</v>
      </c>
      <c r="C59" s="1">
        <v>2</v>
      </c>
      <c r="D59" s="1">
        <v>2</v>
      </c>
      <c r="E59" s="1">
        <v>2</v>
      </c>
      <c r="F59" s="1">
        <v>2</v>
      </c>
      <c r="G59" s="1">
        <v>2</v>
      </c>
      <c r="H59" s="1">
        <v>2</v>
      </c>
      <c r="I59" s="1">
        <v>2</v>
      </c>
      <c r="J59" s="1">
        <v>2.0507024895242587</v>
      </c>
      <c r="K59" s="1">
        <v>2</v>
      </c>
      <c r="L59" s="1">
        <v>2</v>
      </c>
      <c r="M59" s="1">
        <v>2</v>
      </c>
      <c r="N59" s="1">
        <v>2</v>
      </c>
      <c r="O59" s="1">
        <v>2</v>
      </c>
      <c r="P59" s="1">
        <v>2</v>
      </c>
      <c r="Q59" s="1">
        <v>2</v>
      </c>
      <c r="R59" s="1">
        <v>2</v>
      </c>
      <c r="S59" s="1">
        <v>2</v>
      </c>
      <c r="T59" s="1">
        <v>2</v>
      </c>
      <c r="U59" s="1">
        <v>2</v>
      </c>
      <c r="V59" s="1">
        <v>2</v>
      </c>
      <c r="W59" s="1">
        <v>2</v>
      </c>
      <c r="X59" s="1">
        <v>2</v>
      </c>
      <c r="Y59" s="1">
        <v>2</v>
      </c>
      <c r="Z59" s="1">
        <v>2</v>
      </c>
      <c r="AA59" s="1">
        <v>2.0507024895242587</v>
      </c>
      <c r="AB59" s="1">
        <v>1.2</v>
      </c>
      <c r="AC59" s="1">
        <v>2</v>
      </c>
      <c r="AD59" s="1">
        <v>2</v>
      </c>
      <c r="AE59" s="1">
        <v>2</v>
      </c>
      <c r="AF59" s="1">
        <v>2</v>
      </c>
      <c r="AG59" s="1">
        <v>2</v>
      </c>
      <c r="AH59" s="1">
        <v>2</v>
      </c>
      <c r="AI59" s="1">
        <v>2</v>
      </c>
      <c r="AJ59" s="1">
        <v>2</v>
      </c>
      <c r="AK59" s="1">
        <v>2</v>
      </c>
      <c r="AL59" s="1">
        <v>2</v>
      </c>
      <c r="AM59" s="1">
        <v>2</v>
      </c>
      <c r="AN59" s="1">
        <v>2</v>
      </c>
      <c r="AO59" s="1">
        <v>2</v>
      </c>
      <c r="AP59" s="108">
        <v>2</v>
      </c>
      <c r="AQ59" s="108">
        <v>2</v>
      </c>
      <c r="AR59" s="100">
        <v>2.000629348828876</v>
      </c>
      <c r="AS59" s="1">
        <v>1.9766536641901034</v>
      </c>
      <c r="AT59" s="1">
        <v>2.0346492965542677</v>
      </c>
      <c r="AU59" s="1">
        <v>2.0384630021673051</v>
      </c>
      <c r="AV59" s="1">
        <v>2.0334813083660324</v>
      </c>
      <c r="AW59" s="1">
        <v>1.8844452814834145</v>
      </c>
      <c r="AX59" s="1">
        <v>2.007098348533396</v>
      </c>
      <c r="AY59" s="1">
        <v>1.9999999999999998</v>
      </c>
      <c r="AZ59" s="1">
        <v>2</v>
      </c>
      <c r="BA59" s="1">
        <v>2.0368074225649413</v>
      </c>
      <c r="BB59" s="1">
        <v>2.0377285844574469</v>
      </c>
      <c r="BC59" s="1">
        <v>2.014270414323224</v>
      </c>
      <c r="BD59" s="1">
        <v>1.992402624611231</v>
      </c>
      <c r="BE59" s="425">
        <v>2</v>
      </c>
      <c r="BF59" s="425">
        <v>2</v>
      </c>
      <c r="BG59" s="425">
        <v>2</v>
      </c>
      <c r="BH59" s="425">
        <v>2</v>
      </c>
      <c r="BI59" s="425">
        <v>2</v>
      </c>
      <c r="BJ59" s="425">
        <v>2</v>
      </c>
      <c r="BK59" s="425">
        <v>2.1</v>
      </c>
      <c r="BL59" s="425">
        <v>2</v>
      </c>
      <c r="BM59" s="425">
        <v>2.5</v>
      </c>
      <c r="BN59" s="425">
        <v>2</v>
      </c>
      <c r="BO59" s="425">
        <v>2</v>
      </c>
      <c r="BP59" s="425">
        <v>2</v>
      </c>
      <c r="BQ59" s="425">
        <v>2</v>
      </c>
      <c r="BR59" s="425">
        <v>2</v>
      </c>
      <c r="BS59" s="425">
        <v>2</v>
      </c>
      <c r="BT59" s="425">
        <v>2</v>
      </c>
      <c r="BU59" s="425">
        <v>2</v>
      </c>
      <c r="BV59" s="425">
        <v>2.1</v>
      </c>
      <c r="BW59" s="425">
        <v>2</v>
      </c>
      <c r="BX59" s="425">
        <v>2.0943000000000001</v>
      </c>
      <c r="BY59" s="425">
        <v>2</v>
      </c>
      <c r="BZ59" s="425">
        <v>2.0943000000000001</v>
      </c>
      <c r="CA59" s="425">
        <v>2</v>
      </c>
      <c r="CB59" s="425">
        <v>2.0943000000000001</v>
      </c>
      <c r="CC59" s="425">
        <v>2</v>
      </c>
      <c r="CD59" s="425">
        <v>2</v>
      </c>
    </row>
    <row r="60" spans="1:82">
      <c r="A60" s="5">
        <v>2022</v>
      </c>
      <c r="B60" s="1">
        <v>2</v>
      </c>
      <c r="C60" s="1">
        <v>2</v>
      </c>
      <c r="D60" s="1">
        <v>2</v>
      </c>
      <c r="E60" s="1">
        <v>2</v>
      </c>
      <c r="F60" s="1">
        <v>2</v>
      </c>
      <c r="G60" s="1">
        <v>2</v>
      </c>
      <c r="H60" s="1">
        <v>2</v>
      </c>
      <c r="I60" s="1">
        <v>2</v>
      </c>
      <c r="J60" s="1">
        <v>2.0999999999999908</v>
      </c>
      <c r="K60" s="1">
        <v>2</v>
      </c>
      <c r="L60" s="1">
        <v>2</v>
      </c>
      <c r="M60" s="1">
        <v>2</v>
      </c>
      <c r="N60" s="1">
        <v>2</v>
      </c>
      <c r="O60" s="1">
        <v>2</v>
      </c>
      <c r="P60" s="1">
        <v>2</v>
      </c>
      <c r="Q60" s="1">
        <v>2</v>
      </c>
      <c r="R60" s="1">
        <v>2</v>
      </c>
      <c r="S60" s="1">
        <v>2</v>
      </c>
      <c r="T60" s="1">
        <v>2</v>
      </c>
      <c r="U60" s="1">
        <v>2</v>
      </c>
      <c r="V60" s="1">
        <v>2</v>
      </c>
      <c r="W60" s="1">
        <v>2</v>
      </c>
      <c r="X60" s="1">
        <v>2</v>
      </c>
      <c r="Y60" s="1">
        <v>2</v>
      </c>
      <c r="Z60" s="1">
        <v>2</v>
      </c>
      <c r="AA60" s="1">
        <v>2.0999999999999908</v>
      </c>
      <c r="AB60" s="1">
        <v>2.4</v>
      </c>
      <c r="AC60" s="1">
        <v>2</v>
      </c>
      <c r="AD60" s="1">
        <v>2</v>
      </c>
      <c r="AE60" s="1">
        <v>2</v>
      </c>
      <c r="AF60" s="1">
        <v>2</v>
      </c>
      <c r="AG60" s="1">
        <v>2</v>
      </c>
      <c r="AH60" s="1">
        <v>2</v>
      </c>
      <c r="AI60" s="1">
        <v>2</v>
      </c>
      <c r="AJ60" s="1">
        <v>2</v>
      </c>
      <c r="AK60" s="1">
        <v>2</v>
      </c>
      <c r="AL60" s="1">
        <v>2</v>
      </c>
      <c r="AM60" s="1">
        <v>2</v>
      </c>
      <c r="AN60" s="1">
        <v>2</v>
      </c>
      <c r="AO60" s="1">
        <v>2</v>
      </c>
      <c r="AP60" s="108">
        <v>2</v>
      </c>
      <c r="AQ60" s="108">
        <v>2</v>
      </c>
      <c r="AR60" s="100">
        <v>2.0012451905528961</v>
      </c>
      <c r="AS60" s="1">
        <v>2.0917064517881454</v>
      </c>
      <c r="AT60" s="1">
        <v>2.0686850200911948</v>
      </c>
      <c r="AU60" s="1">
        <v>2.0754198818216318</v>
      </c>
      <c r="AV60" s="1">
        <v>2.0659717491564509</v>
      </c>
      <c r="AW60" s="1">
        <v>2.0931563814332073</v>
      </c>
      <c r="AX60" s="1">
        <v>2.0139999999999989</v>
      </c>
      <c r="AY60" s="1">
        <v>2</v>
      </c>
      <c r="AZ60" s="1">
        <v>2</v>
      </c>
      <c r="BA60" s="1">
        <v>2.0707935534695396</v>
      </c>
      <c r="BB60" s="1">
        <v>2.0729524946023519</v>
      </c>
      <c r="BC60" s="1">
        <v>2.0380420130685808</v>
      </c>
      <c r="BD60" s="1">
        <v>2.0141720461839236</v>
      </c>
      <c r="BE60" s="425">
        <v>2</v>
      </c>
      <c r="BF60" s="425">
        <v>2</v>
      </c>
      <c r="BG60" s="425">
        <v>2</v>
      </c>
      <c r="BH60" s="425">
        <v>2</v>
      </c>
      <c r="BI60" s="425">
        <v>2</v>
      </c>
      <c r="BJ60" s="425">
        <v>2</v>
      </c>
      <c r="BK60" s="425">
        <v>2.1</v>
      </c>
      <c r="BL60" s="425">
        <v>2</v>
      </c>
      <c r="BM60" s="425">
        <v>2.5</v>
      </c>
      <c r="BN60" s="425">
        <v>2</v>
      </c>
      <c r="BO60" s="425">
        <v>2</v>
      </c>
      <c r="BP60" s="425">
        <v>2</v>
      </c>
      <c r="BQ60" s="425">
        <v>2</v>
      </c>
      <c r="BR60" s="425">
        <v>2</v>
      </c>
      <c r="BS60" s="425">
        <v>2</v>
      </c>
      <c r="BT60" s="425">
        <v>2</v>
      </c>
      <c r="BU60" s="425">
        <v>2</v>
      </c>
      <c r="BV60" s="425">
        <v>2.1</v>
      </c>
      <c r="BW60" s="425">
        <v>2</v>
      </c>
      <c r="BX60" s="425">
        <v>2.0943000000000001</v>
      </c>
      <c r="BY60" s="425">
        <v>2</v>
      </c>
      <c r="BZ60" s="425">
        <v>2.0943000000000001</v>
      </c>
      <c r="CA60" s="425">
        <v>2</v>
      </c>
      <c r="CB60" s="425">
        <v>2.0943000000000001</v>
      </c>
      <c r="CC60" s="425">
        <v>2</v>
      </c>
      <c r="CD60" s="425">
        <v>2</v>
      </c>
    </row>
    <row r="61" spans="1:82">
      <c r="A61" s="5">
        <v>2023</v>
      </c>
      <c r="B61" s="1">
        <v>2</v>
      </c>
      <c r="C61" s="1">
        <v>2</v>
      </c>
      <c r="D61" s="1">
        <v>2</v>
      </c>
      <c r="E61" s="1">
        <v>2</v>
      </c>
      <c r="F61" s="1">
        <v>2</v>
      </c>
      <c r="G61" s="1">
        <v>2</v>
      </c>
      <c r="H61" s="1">
        <v>2</v>
      </c>
      <c r="I61" s="1">
        <v>2</v>
      </c>
      <c r="J61" s="1">
        <v>2.0999999999999908</v>
      </c>
      <c r="K61" s="1">
        <v>2</v>
      </c>
      <c r="L61" s="1">
        <v>2</v>
      </c>
      <c r="M61" s="1">
        <v>2</v>
      </c>
      <c r="N61" s="1">
        <v>2</v>
      </c>
      <c r="O61" s="1">
        <v>2</v>
      </c>
      <c r="P61" s="1">
        <v>2</v>
      </c>
      <c r="Q61" s="1">
        <v>2</v>
      </c>
      <c r="R61" s="1">
        <v>2</v>
      </c>
      <c r="S61" s="1">
        <v>2</v>
      </c>
      <c r="T61" s="1">
        <v>2</v>
      </c>
      <c r="U61" s="1">
        <v>2</v>
      </c>
      <c r="V61" s="1">
        <v>2</v>
      </c>
      <c r="W61" s="1">
        <v>2</v>
      </c>
      <c r="X61" s="1">
        <v>2</v>
      </c>
      <c r="Y61" s="1">
        <v>2</v>
      </c>
      <c r="Z61" s="1">
        <v>2</v>
      </c>
      <c r="AA61" s="1">
        <v>2.0999999999999908</v>
      </c>
      <c r="AB61" s="1">
        <v>2.5</v>
      </c>
      <c r="AC61" s="1">
        <v>2</v>
      </c>
      <c r="AD61" s="1">
        <v>2</v>
      </c>
      <c r="AE61" s="1">
        <v>2</v>
      </c>
      <c r="AF61" s="1">
        <v>2</v>
      </c>
      <c r="AG61" s="1">
        <v>2</v>
      </c>
      <c r="AH61" s="1">
        <v>2</v>
      </c>
      <c r="AI61" s="1">
        <v>2</v>
      </c>
      <c r="AJ61" s="1">
        <v>2</v>
      </c>
      <c r="AK61" s="1">
        <v>2</v>
      </c>
      <c r="AL61" s="1">
        <v>2</v>
      </c>
      <c r="AM61" s="1">
        <v>2</v>
      </c>
      <c r="AN61" s="1">
        <v>2</v>
      </c>
      <c r="AO61" s="1">
        <v>2</v>
      </c>
      <c r="AP61" s="108">
        <v>2</v>
      </c>
      <c r="AQ61" s="108">
        <v>2</v>
      </c>
      <c r="AR61" s="100">
        <v>2.0012451905528961</v>
      </c>
      <c r="AS61" s="1">
        <v>2.0986549549023983</v>
      </c>
      <c r="AT61" s="1">
        <v>2.0686850200911948</v>
      </c>
      <c r="AU61" s="1">
        <v>2.0754198818216318</v>
      </c>
      <c r="AV61" s="1">
        <v>2.0659717491564509</v>
      </c>
      <c r="AW61" s="1">
        <v>2.1093880971011258</v>
      </c>
      <c r="AX61" s="1">
        <v>2.0139999999999989</v>
      </c>
      <c r="AY61" s="1">
        <v>2</v>
      </c>
      <c r="AZ61" s="1">
        <v>2</v>
      </c>
      <c r="BA61" s="1">
        <v>2.0707935534695396</v>
      </c>
      <c r="BB61" s="1">
        <v>2.0729524946023519</v>
      </c>
      <c r="BC61" s="1">
        <v>2.0381482008963281</v>
      </c>
      <c r="BD61" s="1">
        <v>2.0182337417241398</v>
      </c>
      <c r="BE61" s="425">
        <v>2</v>
      </c>
      <c r="BF61" s="425">
        <v>2</v>
      </c>
      <c r="BG61" s="425">
        <v>2</v>
      </c>
      <c r="BH61" s="425">
        <v>2</v>
      </c>
      <c r="BI61" s="425">
        <v>2</v>
      </c>
      <c r="BJ61" s="425">
        <v>2</v>
      </c>
      <c r="BK61" s="425">
        <v>2.1</v>
      </c>
      <c r="BL61" s="425">
        <v>2</v>
      </c>
      <c r="BM61" s="425">
        <v>2.5</v>
      </c>
      <c r="BN61" s="425">
        <v>2</v>
      </c>
      <c r="BO61" s="425">
        <v>2</v>
      </c>
      <c r="BP61" s="425">
        <v>2</v>
      </c>
      <c r="BQ61" s="425">
        <v>2</v>
      </c>
      <c r="BR61" s="425">
        <v>2</v>
      </c>
      <c r="BS61" s="425">
        <v>2</v>
      </c>
      <c r="BT61" s="425">
        <v>2</v>
      </c>
      <c r="BU61" s="425">
        <v>2</v>
      </c>
      <c r="BV61" s="425">
        <v>2.1</v>
      </c>
      <c r="BW61" s="425">
        <v>2</v>
      </c>
      <c r="BX61" s="425">
        <v>2.0943000000000001</v>
      </c>
      <c r="BY61" s="425">
        <v>2</v>
      </c>
      <c r="BZ61" s="425">
        <v>2.0943000000000001</v>
      </c>
      <c r="CA61" s="425">
        <v>2</v>
      </c>
      <c r="CB61" s="425">
        <v>2.0943000000000001</v>
      </c>
      <c r="CC61" s="425">
        <v>2</v>
      </c>
      <c r="CD61" s="425">
        <v>2</v>
      </c>
    </row>
    <row r="62" spans="1:82">
      <c r="A62" s="5">
        <v>2024</v>
      </c>
      <c r="B62" s="1">
        <v>2</v>
      </c>
      <c r="C62" s="1">
        <v>2</v>
      </c>
      <c r="D62" s="1">
        <v>2</v>
      </c>
      <c r="E62" s="1">
        <v>2</v>
      </c>
      <c r="F62" s="1">
        <v>2</v>
      </c>
      <c r="G62" s="1">
        <v>2</v>
      </c>
      <c r="H62" s="1">
        <v>2</v>
      </c>
      <c r="I62" s="1">
        <v>2</v>
      </c>
      <c r="J62" s="1">
        <v>2.0999999999999908</v>
      </c>
      <c r="K62" s="1">
        <v>2</v>
      </c>
      <c r="L62" s="1">
        <v>2</v>
      </c>
      <c r="M62" s="1">
        <v>2</v>
      </c>
      <c r="N62" s="1">
        <v>2</v>
      </c>
      <c r="O62" s="1">
        <v>2</v>
      </c>
      <c r="P62" s="1">
        <v>2</v>
      </c>
      <c r="Q62" s="1">
        <v>2</v>
      </c>
      <c r="R62" s="1">
        <v>2</v>
      </c>
      <c r="S62" s="1">
        <v>2</v>
      </c>
      <c r="T62" s="1">
        <v>2</v>
      </c>
      <c r="U62" s="1">
        <v>2</v>
      </c>
      <c r="V62" s="1">
        <v>2</v>
      </c>
      <c r="W62" s="1">
        <v>2</v>
      </c>
      <c r="X62" s="1">
        <v>2</v>
      </c>
      <c r="Y62" s="1">
        <v>2</v>
      </c>
      <c r="Z62" s="1">
        <v>2</v>
      </c>
      <c r="AA62" s="1">
        <v>2.0999999999999908</v>
      </c>
      <c r="AB62" s="1">
        <v>2.5</v>
      </c>
      <c r="AC62" s="1">
        <v>2</v>
      </c>
      <c r="AD62" s="1">
        <v>2</v>
      </c>
      <c r="AE62" s="1">
        <v>2</v>
      </c>
      <c r="AF62" s="1">
        <v>2</v>
      </c>
      <c r="AG62" s="1">
        <v>2</v>
      </c>
      <c r="AH62" s="1">
        <v>2</v>
      </c>
      <c r="AI62" s="1">
        <v>2</v>
      </c>
      <c r="AJ62" s="1">
        <v>2</v>
      </c>
      <c r="AK62" s="1">
        <v>2</v>
      </c>
      <c r="AL62" s="1">
        <v>2</v>
      </c>
      <c r="AM62" s="1">
        <v>2</v>
      </c>
      <c r="AN62" s="1">
        <v>2</v>
      </c>
      <c r="AO62" s="1">
        <v>2</v>
      </c>
      <c r="AP62" s="108">
        <v>2</v>
      </c>
      <c r="AQ62" s="108">
        <v>2</v>
      </c>
      <c r="AR62" s="100">
        <v>2.0012451905528961</v>
      </c>
      <c r="AS62" s="1">
        <v>2.0986549549023983</v>
      </c>
      <c r="AT62" s="1">
        <v>2.0686850200911948</v>
      </c>
      <c r="AU62" s="1">
        <v>2.0754198818216318</v>
      </c>
      <c r="AV62" s="1">
        <v>2.0659717491564509</v>
      </c>
      <c r="AW62" s="1">
        <v>2.1093880971011258</v>
      </c>
      <c r="AX62" s="1">
        <v>2.0139999999999989</v>
      </c>
      <c r="AY62" s="1">
        <v>2</v>
      </c>
      <c r="AZ62" s="1">
        <v>2</v>
      </c>
      <c r="BA62" s="1">
        <v>2.0707935534695396</v>
      </c>
      <c r="BB62" s="1">
        <v>2.0729524946023519</v>
      </c>
      <c r="BC62" s="1">
        <v>2.0381421784876652</v>
      </c>
      <c r="BD62" s="1">
        <v>2.0181640669779664</v>
      </c>
      <c r="BE62" s="425">
        <v>2</v>
      </c>
      <c r="BF62" s="425">
        <v>2</v>
      </c>
      <c r="BG62" s="425">
        <v>2</v>
      </c>
      <c r="BH62" s="425">
        <v>2</v>
      </c>
      <c r="BI62" s="425">
        <v>2</v>
      </c>
      <c r="BJ62" s="425">
        <v>2</v>
      </c>
      <c r="BK62" s="425">
        <v>2.1</v>
      </c>
      <c r="BL62" s="425">
        <v>2</v>
      </c>
      <c r="BM62" s="425">
        <v>2.5</v>
      </c>
      <c r="BN62" s="425">
        <v>2</v>
      </c>
      <c r="BO62" s="425">
        <v>2</v>
      </c>
      <c r="BP62" s="425">
        <v>2</v>
      </c>
      <c r="BQ62" s="425">
        <v>2</v>
      </c>
      <c r="BR62" s="425">
        <v>2</v>
      </c>
      <c r="BS62" s="425">
        <v>2</v>
      </c>
      <c r="BT62" s="425">
        <v>2</v>
      </c>
      <c r="BU62" s="425">
        <v>2</v>
      </c>
      <c r="BV62" s="425">
        <v>2.1</v>
      </c>
      <c r="BW62" s="425">
        <v>2</v>
      </c>
      <c r="BX62" s="425">
        <v>2.0943000000000001</v>
      </c>
      <c r="BY62" s="425">
        <v>2</v>
      </c>
      <c r="BZ62" s="425">
        <v>2.0943000000000001</v>
      </c>
      <c r="CA62" s="425">
        <v>2</v>
      </c>
      <c r="CB62" s="425">
        <v>2.0943000000000001</v>
      </c>
      <c r="CC62" s="425">
        <v>2</v>
      </c>
      <c r="CD62" s="425">
        <v>2</v>
      </c>
    </row>
    <row r="63" spans="1:82">
      <c r="BE63" s="1"/>
    </row>
  </sheetData>
  <protectedRanges>
    <protectedRange sqref="BE13 BE15:BE63" name="Range1"/>
  </protectedRanges>
  <mergeCells count="1">
    <mergeCell ref="B2:O2"/>
  </mergeCells>
  <phoneticPr fontId="0" type="noConversion"/>
  <printOptions gridLines="1"/>
  <pageMargins left="0" right="0" top="0.17" bottom="0.16" header="0.5" footer="0.5"/>
  <pageSetup scale="25" pageOrder="overThenDown" orientation="landscape"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E123"/>
  <sheetViews>
    <sheetView workbookViewId="0">
      <pane xSplit="1" ySplit="4" topLeftCell="B6" activePane="bottomRight" state="frozen"/>
      <selection sqref="A1:A3"/>
      <selection pane="topRight" sqref="A1:A3"/>
      <selection pane="bottomLeft" sqref="A1:A3"/>
      <selection pane="bottomRight" activeCell="A69" sqref="A69"/>
    </sheetView>
  </sheetViews>
  <sheetFormatPr defaultRowHeight="12.75"/>
  <cols>
    <col min="1" max="1" width="7.5703125" style="5" customWidth="1"/>
    <col min="2" max="8" width="6.5703125" style="2" customWidth="1"/>
    <col min="9" max="27" width="6.5703125" customWidth="1"/>
    <col min="28" max="28" width="7" customWidth="1"/>
    <col min="29" max="37" width="6.5703125" customWidth="1"/>
    <col min="38" max="43" width="6.42578125" customWidth="1"/>
    <col min="44" max="44" width="6.42578125" style="93" customWidth="1"/>
    <col min="45" max="59" width="6.42578125" customWidth="1"/>
    <col min="60" max="60" width="6.7109375" customWidth="1"/>
    <col min="61" max="62" width="6.42578125" customWidth="1"/>
    <col min="63" max="63" width="7.5703125" customWidth="1"/>
    <col min="64" max="64" width="8.42578125" customWidth="1"/>
    <col min="65" max="65" width="7.140625" customWidth="1"/>
    <col min="66" max="66" width="6.42578125" customWidth="1"/>
    <col min="67" max="67" width="7.7109375" customWidth="1"/>
    <col min="68" max="70" width="6.42578125" customWidth="1"/>
    <col min="71" max="71" width="7.5703125" customWidth="1"/>
    <col min="72" max="72" width="6.42578125" customWidth="1"/>
    <col min="73" max="73" width="9.28515625" customWidth="1"/>
    <col min="74" max="74" width="6.42578125" customWidth="1"/>
    <col min="75" max="75" width="7.42578125" customWidth="1"/>
    <col min="76" max="76" width="9.42578125" customWidth="1"/>
    <col min="77" max="82" width="9.28515625" customWidth="1"/>
    <col min="83" max="84" width="6.42578125" customWidth="1"/>
  </cols>
  <sheetData>
    <row r="1" spans="1:83">
      <c r="A1" s="4" t="s">
        <v>138</v>
      </c>
      <c r="F1" s="2" t="s">
        <v>139</v>
      </c>
      <c r="I1" s="135" t="s">
        <v>741</v>
      </c>
    </row>
    <row r="2" spans="1:83" ht="29.25" customHeight="1">
      <c r="A2" s="130" t="s">
        <v>214</v>
      </c>
      <c r="B2" s="778" t="s">
        <v>275</v>
      </c>
      <c r="C2" s="778"/>
      <c r="D2" s="778"/>
      <c r="E2" s="778"/>
      <c r="F2" s="778"/>
      <c r="G2" s="778"/>
      <c r="H2" s="778"/>
      <c r="I2" s="778"/>
      <c r="J2" s="778"/>
      <c r="K2" s="778"/>
      <c r="L2" s="778"/>
      <c r="M2" s="778"/>
      <c r="N2" s="778"/>
      <c r="O2" s="778"/>
      <c r="T2" s="11"/>
      <c r="AR2" s="93" t="s">
        <v>199</v>
      </c>
      <c r="BE2" t="s">
        <v>432</v>
      </c>
    </row>
    <row r="3" spans="1:83">
      <c r="A3" s="33"/>
      <c r="BE3" s="200" t="s">
        <v>307</v>
      </c>
      <c r="BI3" s="265"/>
    </row>
    <row r="4" spans="1:83" s="22" customFormat="1" ht="64.5" customHeight="1">
      <c r="A4" s="20"/>
      <c r="B4" s="22" t="s">
        <v>89</v>
      </c>
      <c r="C4" s="22" t="s">
        <v>3</v>
      </c>
      <c r="D4" s="22" t="s">
        <v>90</v>
      </c>
      <c r="E4" s="22" t="s">
        <v>4</v>
      </c>
      <c r="F4" s="22" t="s">
        <v>5</v>
      </c>
      <c r="G4" s="22" t="s">
        <v>6</v>
      </c>
      <c r="H4" s="22" t="s">
        <v>7</v>
      </c>
      <c r="I4" s="22" t="s">
        <v>8</v>
      </c>
      <c r="J4" s="22" t="s">
        <v>9</v>
      </c>
      <c r="K4" s="22" t="s">
        <v>254</v>
      </c>
      <c r="L4" s="22" t="s">
        <v>145</v>
      </c>
      <c r="M4" s="22" t="s">
        <v>200</v>
      </c>
      <c r="N4" s="22" t="s">
        <v>196</v>
      </c>
      <c r="O4" s="22" t="s">
        <v>11</v>
      </c>
      <c r="P4" s="22" t="s">
        <v>93</v>
      </c>
      <c r="Q4" s="22" t="s">
        <v>14</v>
      </c>
      <c r="R4" s="22" t="s">
        <v>16</v>
      </c>
      <c r="S4" s="22" t="s">
        <v>625</v>
      </c>
      <c r="T4" s="22" t="s">
        <v>147</v>
      </c>
      <c r="U4" s="22" t="s">
        <v>239</v>
      </c>
      <c r="V4" s="22" t="s">
        <v>13</v>
      </c>
      <c r="W4" s="22" t="s">
        <v>15</v>
      </c>
      <c r="X4" s="22" t="s">
        <v>17</v>
      </c>
      <c r="Y4" s="22" t="s">
        <v>19</v>
      </c>
      <c r="Z4" s="22" t="s">
        <v>20</v>
      </c>
      <c r="AA4" s="22" t="s">
        <v>21</v>
      </c>
      <c r="AB4" s="104" t="s">
        <v>667</v>
      </c>
      <c r="AC4" s="22" t="s">
        <v>22</v>
      </c>
      <c r="AD4" s="22" t="s">
        <v>91</v>
      </c>
      <c r="AE4" s="22" t="s">
        <v>25</v>
      </c>
      <c r="AF4" s="22" t="s">
        <v>626</v>
      </c>
      <c r="AG4" s="22" t="s">
        <v>149</v>
      </c>
      <c r="AH4" s="22" t="s">
        <v>241</v>
      </c>
      <c r="AI4" s="22" t="s">
        <v>23</v>
      </c>
      <c r="AJ4" s="22" t="s">
        <v>627</v>
      </c>
      <c r="AK4" s="22" t="s">
        <v>150</v>
      </c>
      <c r="AL4" s="22" t="s">
        <v>242</v>
      </c>
      <c r="AM4" s="22" t="s">
        <v>628</v>
      </c>
      <c r="AN4" s="171" t="s">
        <v>244</v>
      </c>
      <c r="AO4" s="171" t="s">
        <v>245</v>
      </c>
      <c r="AP4" s="193" t="s">
        <v>314</v>
      </c>
      <c r="AQ4" s="193" t="s">
        <v>315</v>
      </c>
      <c r="AR4" s="99" t="s">
        <v>109</v>
      </c>
      <c r="AS4" s="15" t="s">
        <v>118</v>
      </c>
      <c r="AT4" s="15" t="s">
        <v>119</v>
      </c>
      <c r="AU4" s="15" t="s">
        <v>110</v>
      </c>
      <c r="AV4" s="15" t="s">
        <v>111</v>
      </c>
      <c r="AW4" s="15" t="s">
        <v>112</v>
      </c>
      <c r="AX4" s="15" t="s">
        <v>101</v>
      </c>
      <c r="AY4" s="15" t="s">
        <v>102</v>
      </c>
      <c r="AZ4" s="15" t="s">
        <v>113</v>
      </c>
      <c r="BA4" s="15" t="s">
        <v>114</v>
      </c>
      <c r="BB4" s="15" t="s">
        <v>115</v>
      </c>
      <c r="BC4" s="15" t="s">
        <v>116</v>
      </c>
      <c r="BD4" s="15" t="s">
        <v>117</v>
      </c>
      <c r="BE4" s="256" t="s">
        <v>316</v>
      </c>
      <c r="BF4" s="256" t="s">
        <v>318</v>
      </c>
      <c r="BG4" s="256" t="s">
        <v>320</v>
      </c>
      <c r="BH4" s="256" t="s">
        <v>322</v>
      </c>
      <c r="BI4" s="256" t="s">
        <v>324</v>
      </c>
      <c r="BJ4" s="256" t="s">
        <v>325</v>
      </c>
      <c r="BK4" s="256" t="s">
        <v>327</v>
      </c>
      <c r="BL4" s="256" t="s">
        <v>328</v>
      </c>
      <c r="BM4" s="256" t="s">
        <v>330</v>
      </c>
      <c r="BN4" s="256" t="s">
        <v>331</v>
      </c>
      <c r="BO4" s="256" t="s">
        <v>333</v>
      </c>
      <c r="BP4" s="256" t="s">
        <v>335</v>
      </c>
      <c r="BQ4" s="256" t="s">
        <v>337</v>
      </c>
      <c r="BR4" s="256" t="s">
        <v>339</v>
      </c>
      <c r="BS4" s="256" t="s">
        <v>341</v>
      </c>
      <c r="BT4" s="256" t="s">
        <v>343</v>
      </c>
      <c r="BU4" s="256" t="s">
        <v>345</v>
      </c>
      <c r="BV4" s="256" t="s">
        <v>347</v>
      </c>
      <c r="BW4" s="256" t="s">
        <v>348</v>
      </c>
      <c r="BX4" s="257" t="s">
        <v>429</v>
      </c>
      <c r="BY4" s="256" t="s">
        <v>350</v>
      </c>
      <c r="BZ4" s="256" t="s">
        <v>430</v>
      </c>
      <c r="CA4" s="256" t="s">
        <v>352</v>
      </c>
      <c r="CB4" s="256" t="s">
        <v>431</v>
      </c>
      <c r="CC4" s="256" t="s">
        <v>354</v>
      </c>
      <c r="CD4" s="256" t="s">
        <v>356</v>
      </c>
    </row>
    <row r="5" spans="1:83">
      <c r="CE5" s="4" t="s">
        <v>282</v>
      </c>
    </row>
    <row r="6" spans="1:83" s="6" customFormat="1">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201">
        <v>41</v>
      </c>
      <c r="AQ6" s="4">
        <v>42</v>
      </c>
      <c r="AR6" s="202">
        <v>43</v>
      </c>
      <c r="AS6" s="4">
        <v>44</v>
      </c>
      <c r="AT6" s="4">
        <v>45</v>
      </c>
      <c r="AU6" s="4">
        <v>46</v>
      </c>
      <c r="AV6" s="6">
        <v>47</v>
      </c>
      <c r="AW6" s="4">
        <v>48</v>
      </c>
      <c r="AX6" s="4">
        <v>49</v>
      </c>
      <c r="AY6" s="4">
        <v>50</v>
      </c>
      <c r="AZ6" s="4">
        <v>51</v>
      </c>
      <c r="BA6" s="4">
        <v>52</v>
      </c>
      <c r="BB6" s="4">
        <v>53</v>
      </c>
      <c r="BC6" s="6">
        <v>54</v>
      </c>
      <c r="BD6" s="6">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2" customFormat="1">
      <c r="A7" s="34">
        <v>1970</v>
      </c>
      <c r="B7" s="2">
        <v>1.0309575913287803</v>
      </c>
      <c r="C7" s="2">
        <v>1.1573757754540852</v>
      </c>
      <c r="D7" s="2">
        <v>1.0080467504786299</v>
      </c>
      <c r="E7" s="2">
        <v>1.0571215841233979</v>
      </c>
      <c r="F7" s="2">
        <v>1.0619279378574713</v>
      </c>
      <c r="G7" s="2">
        <v>1.0617723417217002</v>
      </c>
      <c r="H7" s="2">
        <v>1.2575070699691739</v>
      </c>
      <c r="I7" s="2">
        <v>1.1652026064033398</v>
      </c>
      <c r="J7" s="2">
        <v>1</v>
      </c>
      <c r="K7" s="2">
        <v>1.1652026064033398</v>
      </c>
      <c r="L7" s="2">
        <v>1.0005193169043585</v>
      </c>
      <c r="M7" s="2">
        <v>1</v>
      </c>
      <c r="N7" s="2">
        <v>1.0199005812118678</v>
      </c>
      <c r="O7" s="2">
        <v>1.0033587136497801</v>
      </c>
      <c r="P7" s="2">
        <v>1.0080467504786299</v>
      </c>
      <c r="Q7" s="2">
        <v>1.0617723417217002</v>
      </c>
      <c r="R7" s="2">
        <v>1.0000929057941899</v>
      </c>
      <c r="S7" s="2">
        <v>1.0000788692774678</v>
      </c>
      <c r="T7" s="2">
        <v>1.0012024691045918</v>
      </c>
      <c r="U7" s="2">
        <v>1.1573757754540852</v>
      </c>
      <c r="V7" s="2">
        <v>1.099290126033144</v>
      </c>
      <c r="W7" s="2">
        <v>1.0205366690644104</v>
      </c>
      <c r="X7" s="2">
        <v>1.0883073686216955</v>
      </c>
      <c r="Y7" s="2">
        <v>1.0040491248408465</v>
      </c>
      <c r="Z7" s="2">
        <v>1.0109075312091758</v>
      </c>
      <c r="AA7" s="2">
        <v>1</v>
      </c>
      <c r="AB7" s="2">
        <v>1</v>
      </c>
      <c r="AC7" s="2">
        <v>1.1573757754540852</v>
      </c>
      <c r="AD7" s="2">
        <v>1.0149858735863422</v>
      </c>
      <c r="AE7" s="2">
        <v>1.1460708809908955</v>
      </c>
      <c r="AF7" s="2">
        <v>1.0000793629609031</v>
      </c>
      <c r="AG7" s="2">
        <v>1.0005193169043585</v>
      </c>
      <c r="AH7" s="2">
        <v>1.1573757754540852</v>
      </c>
      <c r="AI7" s="2">
        <v>1.0002561259192781</v>
      </c>
      <c r="AJ7" s="2">
        <v>1.0057936603446134</v>
      </c>
      <c r="AK7" s="2">
        <v>1.0012024691045918</v>
      </c>
      <c r="AL7" s="2">
        <v>1.0071213741735874</v>
      </c>
      <c r="AM7" s="2">
        <v>1.0249728836958854</v>
      </c>
      <c r="AN7" s="2">
        <v>1.0108601638410164</v>
      </c>
      <c r="AO7" s="2">
        <v>1.0240642854420736</v>
      </c>
      <c r="AP7" s="2">
        <v>1.0240642854420736</v>
      </c>
      <c r="AQ7" s="2">
        <v>1.0240642854420736</v>
      </c>
      <c r="AR7" s="98">
        <v>1.0274129471216349</v>
      </c>
      <c r="AS7" s="2">
        <v>1.0033587136497801</v>
      </c>
      <c r="AT7" s="2">
        <v>1.0040491248408465</v>
      </c>
      <c r="AU7" s="2">
        <v>1.0000929057941899</v>
      </c>
      <c r="AV7" s="2">
        <v>1.0000788692774678</v>
      </c>
      <c r="AW7" s="2">
        <v>1.0109075312091758</v>
      </c>
      <c r="AX7" s="2">
        <v>1.0176615353953928</v>
      </c>
      <c r="AY7" s="2">
        <v>1.0274129471216349</v>
      </c>
      <c r="AZ7" s="2">
        <v>1.1460708809908955</v>
      </c>
      <c r="BA7" s="2">
        <v>1.0000793629609031</v>
      </c>
      <c r="BB7" s="2">
        <v>1.0002561259192781</v>
      </c>
      <c r="BC7" s="2">
        <v>1.0057936603446134</v>
      </c>
      <c r="BD7" s="2">
        <v>1.0071213741735874</v>
      </c>
      <c r="BE7" s="2">
        <v>1.0184234120640001</v>
      </c>
      <c r="BF7" s="2">
        <v>1.0432521038340641</v>
      </c>
      <c r="BG7" s="2">
        <v>1.0460423608785601</v>
      </c>
      <c r="BH7" s="2">
        <v>1.0385714866732241</v>
      </c>
      <c r="BI7" s="2">
        <v>1.0474057221238724</v>
      </c>
      <c r="BJ7" s="2">
        <v>1.052807196467856</v>
      </c>
      <c r="BK7" s="2">
        <v>1</v>
      </c>
      <c r="BL7" s="2">
        <v>1.0105337468</v>
      </c>
      <c r="BM7" s="2">
        <v>1</v>
      </c>
      <c r="BN7" s="2">
        <v>1.0096180000000001</v>
      </c>
      <c r="BO7" s="2">
        <v>1.1001756000000003</v>
      </c>
      <c r="BP7" s="2">
        <v>1.0105084</v>
      </c>
      <c r="BQ7" s="2">
        <v>1.0537266339913742</v>
      </c>
      <c r="BR7" s="2">
        <v>1.0543525919280001</v>
      </c>
      <c r="BS7" s="2">
        <v>1.0528869935280001</v>
      </c>
      <c r="BT7" s="2">
        <v>1.0357125774160001</v>
      </c>
      <c r="BU7" s="208">
        <v>0</v>
      </c>
      <c r="BV7" s="2">
        <v>1</v>
      </c>
      <c r="BW7" s="2">
        <v>1.0024898050000002</v>
      </c>
      <c r="BX7" s="2">
        <v>1.0003459748068924</v>
      </c>
      <c r="BY7" s="208">
        <v>0</v>
      </c>
      <c r="BZ7" s="208">
        <v>0</v>
      </c>
      <c r="CA7" s="208">
        <v>0</v>
      </c>
      <c r="CB7" s="208">
        <v>0</v>
      </c>
      <c r="CC7" s="208">
        <v>0</v>
      </c>
      <c r="CD7" s="208">
        <v>0</v>
      </c>
      <c r="CE7" s="38">
        <v>1985</v>
      </c>
    </row>
    <row r="8" spans="1:83" s="2" customFormat="1">
      <c r="A8" s="35">
        <v>1971</v>
      </c>
      <c r="B8" s="2">
        <v>1.0258218751948234</v>
      </c>
      <c r="C8" s="2">
        <v>1.1308007142945606</v>
      </c>
      <c r="D8" s="2">
        <v>1.0075643940431926</v>
      </c>
      <c r="E8" s="2">
        <v>1.0539836210916638</v>
      </c>
      <c r="F8" s="2">
        <v>1.0609696932127126</v>
      </c>
      <c r="G8" s="2">
        <v>1.061968735561029</v>
      </c>
      <c r="H8" s="2">
        <v>1.28175860365161</v>
      </c>
      <c r="I8" s="2">
        <v>1.1918677983048225</v>
      </c>
      <c r="J8" s="2">
        <v>1</v>
      </c>
      <c r="K8" s="2">
        <v>1.1918677983048225</v>
      </c>
      <c r="L8" s="2">
        <v>1.0001625176594142</v>
      </c>
      <c r="M8" s="2">
        <v>1</v>
      </c>
      <c r="N8" s="2">
        <v>1.0199005812118678</v>
      </c>
      <c r="O8" s="2">
        <v>1.0031573780736287</v>
      </c>
      <c r="P8" s="2">
        <v>1.0075643940431926</v>
      </c>
      <c r="Q8" s="2">
        <v>1.061968735561029</v>
      </c>
      <c r="R8" s="2">
        <v>1.0000290744092692</v>
      </c>
      <c r="S8" s="2">
        <v>1.0000246817507117</v>
      </c>
      <c r="T8" s="2">
        <v>1.000705535084665</v>
      </c>
      <c r="U8" s="2">
        <v>1.1308007142945606</v>
      </c>
      <c r="V8" s="2">
        <v>1.1018819974158101</v>
      </c>
      <c r="W8" s="2">
        <v>1.0190611873872069</v>
      </c>
      <c r="X8" s="2">
        <v>1.1057220108386459</v>
      </c>
      <c r="Y8" s="2">
        <v>1.0038064030825344</v>
      </c>
      <c r="Z8" s="2">
        <v>1.0104931479803401</v>
      </c>
      <c r="AA8" s="2">
        <v>1</v>
      </c>
      <c r="AB8" s="2">
        <v>1</v>
      </c>
      <c r="AC8" s="2">
        <v>1.1308007142945606</v>
      </c>
      <c r="AD8" s="2">
        <v>1.0144165518429942</v>
      </c>
      <c r="AE8" s="2">
        <v>1.1214048065283031</v>
      </c>
      <c r="AF8" s="2">
        <v>1.0000465653155879</v>
      </c>
      <c r="AG8" s="2">
        <v>1.0001625176594142</v>
      </c>
      <c r="AH8" s="2">
        <v>1.1308007142945606</v>
      </c>
      <c r="AI8" s="2">
        <v>1.0001502789730337</v>
      </c>
      <c r="AJ8" s="2">
        <v>1.0054463637110986</v>
      </c>
      <c r="AK8" s="2">
        <v>1.0007055350846652</v>
      </c>
      <c r="AL8" s="2">
        <v>1.0066944887282254</v>
      </c>
      <c r="AM8" s="2">
        <v>1.0249728836958854</v>
      </c>
      <c r="AN8" s="2">
        <v>1.0108601638410164</v>
      </c>
      <c r="AO8" s="2">
        <v>1.0240642854420736</v>
      </c>
      <c r="AP8" s="2">
        <v>1.0240642854420736</v>
      </c>
      <c r="AQ8" s="2">
        <v>1.0240642854420736</v>
      </c>
      <c r="AR8" s="98">
        <v>1.0228652704850161</v>
      </c>
      <c r="AS8" s="2">
        <v>1.0031573780736287</v>
      </c>
      <c r="AT8" s="2">
        <v>1.0038064030825344</v>
      </c>
      <c r="AU8" s="2">
        <v>1.0000290744092692</v>
      </c>
      <c r="AV8" s="2">
        <v>1.0000246817507117</v>
      </c>
      <c r="AW8" s="2">
        <v>1.0104931479803401</v>
      </c>
      <c r="AX8" s="2">
        <v>1.0163926211529979</v>
      </c>
      <c r="AY8" s="2">
        <v>1.0228652704850161</v>
      </c>
      <c r="AZ8" s="2">
        <v>1.1214048065283031</v>
      </c>
      <c r="BA8" s="2">
        <v>1.0000465653155879</v>
      </c>
      <c r="BB8" s="2">
        <v>1.0001502789730337</v>
      </c>
      <c r="BC8" s="2">
        <v>1.0054463637110986</v>
      </c>
      <c r="BD8" s="2">
        <v>1.0066944887282254</v>
      </c>
      <c r="BE8" s="2">
        <v>1.0191812332599999</v>
      </c>
      <c r="BF8" s="2">
        <v>1.0423231536199682</v>
      </c>
      <c r="BG8" s="2">
        <v>1.0527231357018139</v>
      </c>
      <c r="BH8" s="2">
        <v>1.0373432857831841</v>
      </c>
      <c r="BI8" s="2">
        <v>1.0581841781063499</v>
      </c>
      <c r="BJ8" s="2">
        <v>1.052297181626612</v>
      </c>
      <c r="BK8" s="2">
        <v>1</v>
      </c>
      <c r="BL8" s="2">
        <v>1.0113182440000001</v>
      </c>
      <c r="BM8" s="2">
        <v>1</v>
      </c>
      <c r="BN8" s="2">
        <v>1.0103382999999999</v>
      </c>
      <c r="BO8" s="2">
        <v>1.0074924999999999</v>
      </c>
      <c r="BP8" s="2">
        <v>1.0104517000000002</v>
      </c>
      <c r="BQ8" s="2">
        <v>1.0590042375976256</v>
      </c>
      <c r="BR8" s="2">
        <v>1.0637220854980001</v>
      </c>
      <c r="BS8" s="2">
        <v>1.0597131611799997</v>
      </c>
      <c r="BT8" s="2">
        <v>1.0299339183699998</v>
      </c>
      <c r="BU8" s="208">
        <v>0</v>
      </c>
      <c r="BV8" s="2">
        <v>1</v>
      </c>
      <c r="BW8" s="2">
        <v>1.003328488</v>
      </c>
      <c r="BX8" s="2">
        <v>1.0005858025628305</v>
      </c>
      <c r="BY8" s="208">
        <v>0</v>
      </c>
      <c r="BZ8" s="208">
        <v>0</v>
      </c>
      <c r="CA8" s="208">
        <v>0</v>
      </c>
      <c r="CB8" s="208">
        <v>0</v>
      </c>
      <c r="CC8" s="208">
        <v>0</v>
      </c>
      <c r="CD8" s="208">
        <v>0</v>
      </c>
      <c r="CE8" s="37">
        <v>1986</v>
      </c>
    </row>
    <row r="9" spans="1:83" s="2" customFormat="1">
      <c r="A9" s="35">
        <v>1972</v>
      </c>
      <c r="B9" s="2">
        <v>1.0249911978606963</v>
      </c>
      <c r="C9" s="2">
        <v>1.1438502272183542</v>
      </c>
      <c r="D9" s="2">
        <v>1.0088269073777694</v>
      </c>
      <c r="E9" s="2">
        <v>1.0635770803167595</v>
      </c>
      <c r="F9" s="2">
        <v>1.0727904621364224</v>
      </c>
      <c r="G9" s="2">
        <v>1.0507529485913001</v>
      </c>
      <c r="H9" s="2">
        <v>1.3465771050599327</v>
      </c>
      <c r="I9" s="2">
        <v>1.2539789124052494</v>
      </c>
      <c r="J9" s="2">
        <v>1</v>
      </c>
      <c r="K9" s="2">
        <v>1.2539789124052494</v>
      </c>
      <c r="L9" s="2">
        <v>1.0012949298491773</v>
      </c>
      <c r="M9" s="2">
        <v>1</v>
      </c>
      <c r="N9" s="2">
        <v>1.0199005812118678</v>
      </c>
      <c r="O9" s="2">
        <v>1.0036843511394811</v>
      </c>
      <c r="P9" s="2">
        <v>1.0088269073777694</v>
      </c>
      <c r="Q9" s="2">
        <v>1.0507529485913001</v>
      </c>
      <c r="R9" s="2">
        <v>1.0002316629500179</v>
      </c>
      <c r="S9" s="2">
        <v>1.0001966625401928</v>
      </c>
      <c r="T9" s="2">
        <v>1.00197055159802</v>
      </c>
      <c r="U9" s="2">
        <v>1.1438502272183542</v>
      </c>
      <c r="V9" s="2">
        <v>1.1252440900259386</v>
      </c>
      <c r="W9" s="2">
        <v>1.0222298031978256</v>
      </c>
      <c r="X9" s="2">
        <v>1.1477661847260763</v>
      </c>
      <c r="Y9" s="2">
        <v>1.0044416997924936</v>
      </c>
      <c r="Z9" s="2">
        <v>1.0098526158687089</v>
      </c>
      <c r="AA9" s="2">
        <v>1</v>
      </c>
      <c r="AB9" s="2">
        <v>1</v>
      </c>
      <c r="AC9" s="2">
        <v>1.1643341229921544</v>
      </c>
      <c r="AD9" s="2">
        <v>1.0135365238083438</v>
      </c>
      <c r="AE9" s="2">
        <v>1.1335169238079839</v>
      </c>
      <c r="AF9" s="2">
        <v>1.0001300564054694</v>
      </c>
      <c r="AG9" s="2">
        <v>1.0012949298491773</v>
      </c>
      <c r="AH9" s="2">
        <v>1.1438502272183542</v>
      </c>
      <c r="AI9" s="2">
        <v>1.0004197274903783</v>
      </c>
      <c r="AJ9" s="2">
        <v>1.0063553733119939</v>
      </c>
      <c r="AK9" s="2">
        <v>1.00197055159802</v>
      </c>
      <c r="AL9" s="2">
        <v>1.0078118130293259</v>
      </c>
      <c r="AM9" s="2">
        <v>1.0249728836958854</v>
      </c>
      <c r="AN9" s="2">
        <v>1.0108601638410164</v>
      </c>
      <c r="AO9" s="2">
        <v>1.0240642854420736</v>
      </c>
      <c r="AP9" s="2">
        <v>1.0240642854420736</v>
      </c>
      <c r="AQ9" s="2">
        <v>1.0240642854420736</v>
      </c>
      <c r="AR9" s="98">
        <v>1.0221297057056464</v>
      </c>
      <c r="AS9" s="2">
        <v>1.0036843511394811</v>
      </c>
      <c r="AT9" s="2">
        <v>1.0044416997924936</v>
      </c>
      <c r="AU9" s="2">
        <v>1.0002316629500179</v>
      </c>
      <c r="AV9" s="2">
        <v>1.0001966625401928</v>
      </c>
      <c r="AW9" s="2">
        <v>1.0098526158687089</v>
      </c>
      <c r="AX9" s="2">
        <v>1.01911763075013</v>
      </c>
      <c r="AY9" s="2">
        <v>1.0221297057056464</v>
      </c>
      <c r="AZ9" s="2">
        <v>1.1335169238079839</v>
      </c>
      <c r="BA9" s="2">
        <v>1.0001300564054694</v>
      </c>
      <c r="BB9" s="2">
        <v>1.0004197274903783</v>
      </c>
      <c r="BC9" s="2">
        <v>1.0063553733119939</v>
      </c>
      <c r="BD9" s="2">
        <v>1.0078118130293259</v>
      </c>
      <c r="BE9" s="2">
        <v>1.0232842110439999</v>
      </c>
      <c r="BF9" s="2">
        <v>1.0543672480914978</v>
      </c>
      <c r="BG9" s="2">
        <v>1.066742559032188</v>
      </c>
      <c r="BH9" s="2">
        <v>1.0431582683176983</v>
      </c>
      <c r="BI9" s="2">
        <v>1.0597789253893219</v>
      </c>
      <c r="BJ9" s="2">
        <v>1.0607876932034879</v>
      </c>
      <c r="BK9" s="2">
        <v>1</v>
      </c>
      <c r="BL9" s="2">
        <v>1.014733498</v>
      </c>
      <c r="BM9" s="2">
        <v>1</v>
      </c>
      <c r="BN9" s="2">
        <v>1.0120089999999999</v>
      </c>
      <c r="BO9" s="2">
        <v>1.0144239999999998</v>
      </c>
      <c r="BP9" s="2">
        <v>1.0151049999999999</v>
      </c>
      <c r="BQ9" s="2">
        <v>1.0667144265353292</v>
      </c>
      <c r="BR9" s="2">
        <v>1.086260671232</v>
      </c>
      <c r="BS9" s="2">
        <v>1.0479737833659999</v>
      </c>
      <c r="BT9" s="2">
        <v>1.038409574216</v>
      </c>
      <c r="BU9" s="208">
        <v>0</v>
      </c>
      <c r="BV9" s="2">
        <v>1</v>
      </c>
      <c r="BW9" s="2">
        <v>1.0035639520000001</v>
      </c>
      <c r="BX9" s="2">
        <v>1.0006434619026181</v>
      </c>
      <c r="BY9" s="208">
        <v>0</v>
      </c>
      <c r="BZ9" s="208">
        <v>0</v>
      </c>
      <c r="CA9" s="208">
        <v>0</v>
      </c>
      <c r="CB9" s="208">
        <v>0</v>
      </c>
      <c r="CC9" s="208">
        <v>0</v>
      </c>
      <c r="CD9" s="208">
        <v>0</v>
      </c>
      <c r="CE9" s="37">
        <v>1987</v>
      </c>
    </row>
    <row r="10" spans="1:83" s="2" customFormat="1">
      <c r="A10" s="35">
        <v>1973</v>
      </c>
      <c r="B10" s="2">
        <v>1.0399239176317778</v>
      </c>
      <c r="C10" s="2">
        <v>1.1837372413776044</v>
      </c>
      <c r="D10" s="2">
        <v>1.0304215303673721</v>
      </c>
      <c r="E10" s="2">
        <v>1.1262630020966513</v>
      </c>
      <c r="F10" s="2">
        <v>1.0876464565478312</v>
      </c>
      <c r="G10" s="2">
        <v>1.0792955725188469</v>
      </c>
      <c r="H10" s="2">
        <v>1.4597250198164522</v>
      </c>
      <c r="I10" s="2">
        <v>1.3409098723315649</v>
      </c>
      <c r="J10" s="2">
        <v>1</v>
      </c>
      <c r="K10" s="2">
        <v>1.3409098723315649</v>
      </c>
      <c r="L10" s="2">
        <v>1.0020580551108402</v>
      </c>
      <c r="M10" s="2">
        <v>1</v>
      </c>
      <c r="N10" s="2">
        <v>1.0199005812118678</v>
      </c>
      <c r="O10" s="2">
        <v>1.0126979467753412</v>
      </c>
      <c r="P10" s="2">
        <v>1.0304215303673721</v>
      </c>
      <c r="Q10" s="2">
        <v>1.0792955725188471</v>
      </c>
      <c r="R10" s="2">
        <v>1.0003681860593294</v>
      </c>
      <c r="S10" s="2">
        <v>1.0003125592835871</v>
      </c>
      <c r="T10" s="2">
        <v>1.0018560837058694</v>
      </c>
      <c r="U10" s="2">
        <v>1.1837372413776044</v>
      </c>
      <c r="V10" s="2">
        <v>1.1660573556247678</v>
      </c>
      <c r="W10" s="2">
        <v>1.0674436274217189</v>
      </c>
      <c r="X10" s="2">
        <v>1.2630833546314553</v>
      </c>
      <c r="Y10" s="2">
        <v>1.0153081140808617</v>
      </c>
      <c r="Z10" s="2">
        <v>1.0343047470298909</v>
      </c>
      <c r="AA10" s="2">
        <v>1</v>
      </c>
      <c r="AB10" s="2">
        <v>1</v>
      </c>
      <c r="AC10" s="2">
        <v>1.2032431193165567</v>
      </c>
      <c r="AD10" s="2">
        <v>1.0471313437057994</v>
      </c>
      <c r="AE10" s="2">
        <v>1.1705387035674606</v>
      </c>
      <c r="AF10" s="2">
        <v>1.0001225015245874</v>
      </c>
      <c r="AG10" s="2">
        <v>1.0020580551108402</v>
      </c>
      <c r="AH10" s="2">
        <v>1.1837372413776044</v>
      </c>
      <c r="AI10" s="2">
        <v>1.0003953458293502</v>
      </c>
      <c r="AJ10" s="2">
        <v>1.0219035018645077</v>
      </c>
      <c r="AK10" s="2">
        <v>1.0018560837058694</v>
      </c>
      <c r="AL10" s="2">
        <v>1.0269230543751242</v>
      </c>
      <c r="AM10" s="2">
        <v>1.0249728836958854</v>
      </c>
      <c r="AN10" s="2">
        <v>1.0108601638410164</v>
      </c>
      <c r="AO10" s="2">
        <v>1.0240642854420736</v>
      </c>
      <c r="AP10" s="2">
        <v>1.0240642854420736</v>
      </c>
      <c r="AQ10" s="2">
        <v>1.0240642854420736</v>
      </c>
      <c r="AR10" s="98">
        <v>1.0353526290629391</v>
      </c>
      <c r="AS10" s="2">
        <v>1.0126979467753412</v>
      </c>
      <c r="AT10" s="2">
        <v>1.0153081140808617</v>
      </c>
      <c r="AU10" s="2">
        <v>1.0003681860593294</v>
      </c>
      <c r="AV10" s="2">
        <v>1.0003125592835871</v>
      </c>
      <c r="AW10" s="2">
        <v>1.0343047470298909</v>
      </c>
      <c r="AX10" s="2">
        <v>1.0580015195826782</v>
      </c>
      <c r="AY10" s="2">
        <v>1.0353526290629391</v>
      </c>
      <c r="AZ10" s="2">
        <v>1.1705387035674606</v>
      </c>
      <c r="BA10" s="2">
        <v>1.0001225015245874</v>
      </c>
      <c r="BB10" s="2">
        <v>1.0003953458293502</v>
      </c>
      <c r="BC10" s="2">
        <v>1.0219035018645077</v>
      </c>
      <c r="BD10" s="2">
        <v>1.0269230543751242</v>
      </c>
      <c r="BE10" s="2">
        <v>1.0336251767305999</v>
      </c>
      <c r="BF10" s="2">
        <v>1.0620809087770542</v>
      </c>
      <c r="BG10" s="2">
        <v>1.071644025080418</v>
      </c>
      <c r="BH10" s="2">
        <v>1.0627038204054799</v>
      </c>
      <c r="BI10" s="2">
        <v>1.073138344329376</v>
      </c>
      <c r="BJ10" s="2">
        <v>1.0731703459505479</v>
      </c>
      <c r="BK10" s="2">
        <v>1</v>
      </c>
      <c r="BL10" s="2">
        <v>1.0199029664000003</v>
      </c>
      <c r="BM10" s="2">
        <v>1</v>
      </c>
      <c r="BN10" s="2">
        <v>1.0176064</v>
      </c>
      <c r="BO10" s="2">
        <v>1.0179172000000001</v>
      </c>
      <c r="BP10" s="2">
        <v>1.0167286</v>
      </c>
      <c r="BQ10" s="2">
        <v>1.0734561680546744</v>
      </c>
      <c r="BR10" s="2">
        <v>1.0896137291337999</v>
      </c>
      <c r="BS10" s="2">
        <v>1.0582157466100002</v>
      </c>
      <c r="BT10" s="2">
        <v>1.0452472254890002</v>
      </c>
      <c r="BU10" s="208">
        <v>0</v>
      </c>
      <c r="BV10" s="2">
        <v>1</v>
      </c>
      <c r="BW10" s="2">
        <v>1.0062713942000001</v>
      </c>
      <c r="BX10" s="2">
        <v>1.0011382160909972</v>
      </c>
      <c r="BY10" s="208">
        <v>0</v>
      </c>
      <c r="BZ10" s="208">
        <v>0</v>
      </c>
      <c r="CA10" s="208">
        <v>0</v>
      </c>
      <c r="CB10" s="208">
        <v>0</v>
      </c>
      <c r="CC10" s="2">
        <v>1.0407337191999999</v>
      </c>
      <c r="CD10" s="208">
        <v>0</v>
      </c>
      <c r="CE10" s="37">
        <v>1988</v>
      </c>
    </row>
    <row r="11" spans="1:83" s="2" customFormat="1">
      <c r="A11" s="36">
        <v>1974</v>
      </c>
      <c r="B11" s="2">
        <v>1.0472289320525991</v>
      </c>
      <c r="C11" s="2">
        <v>1.1863778591563219</v>
      </c>
      <c r="D11" s="2">
        <v>1.0496510728391948</v>
      </c>
      <c r="E11" s="2">
        <v>1.1159408620279831</v>
      </c>
      <c r="F11" s="2">
        <v>1.1121260214732545</v>
      </c>
      <c r="G11" s="2">
        <v>1.1236975574274009</v>
      </c>
      <c r="H11" s="2">
        <v>1.4240088661804737</v>
      </c>
      <c r="I11" s="2">
        <v>1.3570753305552619</v>
      </c>
      <c r="J11" s="2">
        <v>1</v>
      </c>
      <c r="K11" s="2">
        <v>1.3570753305552619</v>
      </c>
      <c r="L11" s="2">
        <v>1.0025968156349836</v>
      </c>
      <c r="M11" s="2">
        <v>1</v>
      </c>
      <c r="N11" s="2">
        <v>1.0199005812118678</v>
      </c>
      <c r="O11" s="2">
        <v>1.02072435780308</v>
      </c>
      <c r="P11" s="2">
        <v>1.0496510728391948</v>
      </c>
      <c r="Q11" s="2">
        <v>1.1236975574274004</v>
      </c>
      <c r="R11" s="2">
        <v>1.0004645703170987</v>
      </c>
      <c r="S11" s="2">
        <v>1.0003943814867751</v>
      </c>
      <c r="T11" s="2">
        <v>1.0023306526776483</v>
      </c>
      <c r="U11" s="2">
        <v>1.1863778591563219</v>
      </c>
      <c r="V11" s="2">
        <v>1.1504024929584529</v>
      </c>
      <c r="W11" s="2">
        <v>1.0837873508466194</v>
      </c>
      <c r="X11" s="2">
        <v>1.2590524597430763</v>
      </c>
      <c r="Y11" s="2">
        <v>1.0249844198526827</v>
      </c>
      <c r="Z11" s="2">
        <v>1.0466771011360476</v>
      </c>
      <c r="AA11" s="2">
        <v>1</v>
      </c>
      <c r="AB11" s="2">
        <v>1</v>
      </c>
      <c r="AC11" s="2">
        <v>1.2039492455441865</v>
      </c>
      <c r="AD11" s="2">
        <v>1.0641297396805323</v>
      </c>
      <c r="AE11" s="2">
        <v>1.1729896358293324</v>
      </c>
      <c r="AF11" s="2">
        <v>1.0001538230767248</v>
      </c>
      <c r="AG11" s="2">
        <v>1.0025968156349836</v>
      </c>
      <c r="AH11" s="2">
        <v>1.1863778591563219</v>
      </c>
      <c r="AI11" s="2">
        <v>1.0004964290203391</v>
      </c>
      <c r="AJ11" s="2">
        <v>1.0357487724442203</v>
      </c>
      <c r="AK11" s="2">
        <v>1.0023306526776481</v>
      </c>
      <c r="AL11" s="2">
        <v>1.0439411994626875</v>
      </c>
      <c r="AM11" s="2">
        <v>1.0249728836958854</v>
      </c>
      <c r="AN11" s="2">
        <v>1.0108601638410164</v>
      </c>
      <c r="AO11" s="2">
        <v>1.0240642854420736</v>
      </c>
      <c r="AP11" s="2">
        <v>1.0240642854420736</v>
      </c>
      <c r="AQ11" s="2">
        <v>1.0240642854420736</v>
      </c>
      <c r="AR11" s="98">
        <v>1.0418212193325764</v>
      </c>
      <c r="AS11" s="2">
        <v>1.02072435780308</v>
      </c>
      <c r="AT11" s="2">
        <v>1.0249844198526827</v>
      </c>
      <c r="AU11" s="2">
        <v>1.0004645703170987</v>
      </c>
      <c r="AV11" s="2">
        <v>1.0003943814867751</v>
      </c>
      <c r="AW11" s="2">
        <v>1.0466771011360476</v>
      </c>
      <c r="AX11" s="2">
        <v>1.0720571217280925</v>
      </c>
      <c r="AY11" s="2">
        <v>1.0418212193325764</v>
      </c>
      <c r="AZ11" s="2">
        <v>1.1729896358293324</v>
      </c>
      <c r="BA11" s="2">
        <v>1.0001538230767248</v>
      </c>
      <c r="BB11" s="2">
        <v>1.0004964290203391</v>
      </c>
      <c r="BC11" s="2">
        <v>1.0357487724442203</v>
      </c>
      <c r="BD11" s="2">
        <v>1.0439411994626875</v>
      </c>
      <c r="BE11" s="2">
        <v>1.031921991528</v>
      </c>
      <c r="BF11" s="2">
        <v>1.0588234367142562</v>
      </c>
      <c r="BG11" s="2">
        <v>1.0777096937917598</v>
      </c>
      <c r="BH11" s="2">
        <v>1.0576736377018401</v>
      </c>
      <c r="BI11" s="2">
        <v>1.072375064484232</v>
      </c>
      <c r="BJ11" s="2">
        <v>1.0744349283403039</v>
      </c>
      <c r="BK11" s="2">
        <v>1</v>
      </c>
      <c r="BL11" s="2">
        <v>1.0204526077999998</v>
      </c>
      <c r="BM11" s="2">
        <v>1</v>
      </c>
      <c r="BN11" s="2">
        <v>1.0238292</v>
      </c>
      <c r="BO11" s="2">
        <v>1.0219062999999999</v>
      </c>
      <c r="BP11" s="2">
        <v>1.0124271</v>
      </c>
      <c r="BQ11" s="2">
        <v>1.0602848783333638</v>
      </c>
      <c r="BR11" s="2">
        <v>1.072562074088</v>
      </c>
      <c r="BS11" s="2">
        <v>1.0549598261119999</v>
      </c>
      <c r="BT11" s="2">
        <v>1.0574815383339999</v>
      </c>
      <c r="BU11" s="208">
        <v>0</v>
      </c>
      <c r="BV11" s="2">
        <v>1</v>
      </c>
      <c r="BW11" s="2">
        <v>1.0229168601</v>
      </c>
      <c r="BX11" s="2">
        <v>1.0041713810014634</v>
      </c>
      <c r="BY11" s="208">
        <v>0</v>
      </c>
      <c r="BZ11" s="208">
        <v>0</v>
      </c>
      <c r="CA11" s="208">
        <v>0</v>
      </c>
      <c r="CB11" s="208">
        <v>0</v>
      </c>
      <c r="CC11" s="2">
        <v>1.0430110218999999</v>
      </c>
      <c r="CD11" s="2">
        <v>1.0415433770461122</v>
      </c>
      <c r="CE11" s="36">
        <v>1989</v>
      </c>
    </row>
    <row r="12" spans="1:83" s="2" customFormat="1">
      <c r="A12" s="34">
        <v>1975</v>
      </c>
      <c r="B12" s="2">
        <v>1.0270818078333039</v>
      </c>
      <c r="C12" s="2">
        <v>1.099778460920438</v>
      </c>
      <c r="D12" s="2">
        <v>1.0165507003689487</v>
      </c>
      <c r="E12" s="2">
        <v>1.0820046799527385</v>
      </c>
      <c r="F12" s="2">
        <v>1.0858354427270052</v>
      </c>
      <c r="G12" s="2">
        <v>1.0997059281003327</v>
      </c>
      <c r="H12" s="2">
        <v>1.3717106515892965</v>
      </c>
      <c r="I12" s="2">
        <v>1.314408123184144</v>
      </c>
      <c r="J12" s="2">
        <v>1</v>
      </c>
      <c r="K12" s="2">
        <v>1.314408123184144</v>
      </c>
      <c r="L12" s="2">
        <v>1.0002623983325662</v>
      </c>
      <c r="M12" s="2">
        <v>1</v>
      </c>
      <c r="N12" s="2">
        <v>1.0199005812118678</v>
      </c>
      <c r="O12" s="2">
        <v>1.0069082623339993</v>
      </c>
      <c r="P12" s="2">
        <v>1.0165507003689487</v>
      </c>
      <c r="Q12" s="2">
        <v>1.0999062551265018</v>
      </c>
      <c r="R12" s="2">
        <v>1.0000469430616961</v>
      </c>
      <c r="S12" s="2">
        <v>1.0000398507476351</v>
      </c>
      <c r="T12" s="2">
        <v>1.0001842128586667</v>
      </c>
      <c r="U12" s="2">
        <v>1.099778460920438</v>
      </c>
      <c r="V12" s="2">
        <v>1.1118806655669886</v>
      </c>
      <c r="W12" s="2">
        <v>1.0299316989289791</v>
      </c>
      <c r="X12" s="2">
        <v>1.1057803146327696</v>
      </c>
      <c r="Y12" s="2">
        <v>1.008328312425655</v>
      </c>
      <c r="Z12" s="2">
        <v>1.0166785110863377</v>
      </c>
      <c r="AA12" s="2">
        <v>1</v>
      </c>
      <c r="AB12" s="2">
        <v>1</v>
      </c>
      <c r="AC12" s="2">
        <v>1.0933073340361192</v>
      </c>
      <c r="AD12" s="2">
        <v>1.0229146315472382</v>
      </c>
      <c r="AE12" s="2">
        <v>1.0926109984113548</v>
      </c>
      <c r="AF12" s="2">
        <v>1.0000121580486721</v>
      </c>
      <c r="AG12" s="2">
        <v>1.0002623983325662</v>
      </c>
      <c r="AH12" s="2">
        <v>1.099778460920438</v>
      </c>
      <c r="AI12" s="2">
        <v>1.000039237338896</v>
      </c>
      <c r="AJ12" s="2">
        <v>1.0119165042656431</v>
      </c>
      <c r="AK12" s="2">
        <v>1.0001842128586664</v>
      </c>
      <c r="AL12" s="2">
        <v>1.0146473698265197</v>
      </c>
      <c r="AM12" s="2">
        <v>1.0249728836958854</v>
      </c>
      <c r="AN12" s="2">
        <v>1.0108601638410164</v>
      </c>
      <c r="AO12" s="2">
        <v>1.0240642854420736</v>
      </c>
      <c r="AP12" s="2">
        <v>1.0240642854420736</v>
      </c>
      <c r="AQ12" s="2">
        <v>1.0240642854420736</v>
      </c>
      <c r="AR12" s="98">
        <v>1.0239809408363907</v>
      </c>
      <c r="AS12" s="2">
        <v>1.0069082623339993</v>
      </c>
      <c r="AT12" s="2">
        <v>1.008328312425655</v>
      </c>
      <c r="AU12" s="2">
        <v>1.0000469430616961</v>
      </c>
      <c r="AV12" s="2">
        <v>1.0000398507476351</v>
      </c>
      <c r="AW12" s="2">
        <v>1.0166785110863377</v>
      </c>
      <c r="AX12" s="2">
        <v>1.0257412610789221</v>
      </c>
      <c r="AY12" s="2">
        <v>1.0239809408363907</v>
      </c>
      <c r="AZ12" s="2">
        <v>1.0926109984113548</v>
      </c>
      <c r="BA12" s="2">
        <v>1.0000121580486721</v>
      </c>
      <c r="BB12" s="2">
        <v>1.000039237338896</v>
      </c>
      <c r="BC12" s="2">
        <v>1.0119165042656431</v>
      </c>
      <c r="BD12" s="2">
        <v>1.0146473698265197</v>
      </c>
      <c r="BE12" s="2">
        <v>1.0287788083679998</v>
      </c>
      <c r="BF12" s="2">
        <v>1.05428506500608</v>
      </c>
      <c r="BG12" s="2">
        <v>1.0682427124896001</v>
      </c>
      <c r="BH12" s="2">
        <v>1.05021145786432</v>
      </c>
      <c r="BI12" s="2">
        <v>1.06282105792992</v>
      </c>
      <c r="BJ12" s="2">
        <v>1.06537372294976</v>
      </c>
      <c r="BK12" s="2">
        <v>1</v>
      </c>
      <c r="BL12" s="2">
        <v>1.0150390499999999</v>
      </c>
      <c r="BM12" s="2">
        <v>1</v>
      </c>
      <c r="BN12" s="2">
        <v>1.0221536</v>
      </c>
      <c r="BO12" s="2">
        <v>1.0209281000000001</v>
      </c>
      <c r="BP12" s="2">
        <v>1.0122206</v>
      </c>
      <c r="BQ12" s="2">
        <v>1.0509381505636863</v>
      </c>
      <c r="BR12" s="2">
        <v>1.064818163208</v>
      </c>
      <c r="BS12" s="2">
        <v>1.0532097243120002</v>
      </c>
      <c r="BT12" s="2">
        <v>1.0564004785600001</v>
      </c>
      <c r="BU12" s="2">
        <v>1.0481229780280001</v>
      </c>
      <c r="BV12" s="2">
        <v>1</v>
      </c>
      <c r="BW12" s="2">
        <v>1.0187222569999999</v>
      </c>
      <c r="BX12" s="2">
        <v>1.0034179407606461</v>
      </c>
      <c r="BY12" s="208">
        <v>0</v>
      </c>
      <c r="BZ12" s="208">
        <v>0</v>
      </c>
      <c r="CA12" s="208">
        <v>0</v>
      </c>
      <c r="CB12" s="208">
        <v>0</v>
      </c>
      <c r="CC12" s="2">
        <v>1.0192533969519999</v>
      </c>
      <c r="CD12" s="2">
        <v>1.0333107887219199</v>
      </c>
      <c r="CE12" s="37">
        <v>1990</v>
      </c>
    </row>
    <row r="13" spans="1:83" s="2" customFormat="1">
      <c r="A13" s="35">
        <v>1976</v>
      </c>
      <c r="B13" s="2">
        <v>1.0198332099397498</v>
      </c>
      <c r="C13" s="2">
        <v>1.1150720981105509</v>
      </c>
      <c r="D13" s="2">
        <v>1.014466053345692</v>
      </c>
      <c r="E13" s="2">
        <v>1.0829913058865184</v>
      </c>
      <c r="F13" s="2">
        <v>1.0969641511946169</v>
      </c>
      <c r="G13" s="2">
        <v>1.1125176607456755</v>
      </c>
      <c r="H13" s="2">
        <v>1.2887642178658369</v>
      </c>
      <c r="I13" s="2">
        <v>1.2716702295208828</v>
      </c>
      <c r="J13" s="2">
        <v>1</v>
      </c>
      <c r="K13" s="2">
        <v>1.2716702295208828</v>
      </c>
      <c r="L13" s="2">
        <v>0.99994421569841807</v>
      </c>
      <c r="M13" s="2">
        <v>1</v>
      </c>
      <c r="N13" s="2">
        <v>1.0199005812118678</v>
      </c>
      <c r="O13" s="2">
        <v>1.0060381306664918</v>
      </c>
      <c r="P13" s="2">
        <v>1.014466053345692</v>
      </c>
      <c r="Q13" s="2">
        <v>1.1136182517353836</v>
      </c>
      <c r="R13" s="2">
        <v>0.99999002018844707</v>
      </c>
      <c r="S13" s="2">
        <v>0.99999152797160484</v>
      </c>
      <c r="T13" s="2">
        <v>0.99993577940851697</v>
      </c>
      <c r="U13" s="2">
        <v>1.1150720981105509</v>
      </c>
      <c r="V13" s="2">
        <v>1.0537166128305879</v>
      </c>
      <c r="W13" s="2">
        <v>1.0167438729760749</v>
      </c>
      <c r="X13" s="2">
        <v>1.0862860030745956</v>
      </c>
      <c r="Y13" s="2">
        <v>1.0072793180435522</v>
      </c>
      <c r="Z13" s="2">
        <v>1.0085376851400571</v>
      </c>
      <c r="AA13" s="2">
        <v>1</v>
      </c>
      <c r="AB13" s="2">
        <v>1</v>
      </c>
      <c r="AC13" s="2">
        <v>1.1115830477775921</v>
      </c>
      <c r="AD13" s="2">
        <v>1.0117299384961884</v>
      </c>
      <c r="AE13" s="2">
        <v>1.106806036062284</v>
      </c>
      <c r="AF13" s="2">
        <v>0.99999576144096214</v>
      </c>
      <c r="AG13" s="2">
        <v>0.99994421569841807</v>
      </c>
      <c r="AH13" s="2">
        <v>1.1150720981105509</v>
      </c>
      <c r="AI13" s="2">
        <v>0.99998632101401408</v>
      </c>
      <c r="AJ13" s="2">
        <v>1.0104155584088983</v>
      </c>
      <c r="AK13" s="2">
        <v>0.99993577940851697</v>
      </c>
      <c r="AL13" s="2">
        <v>1.0128024572109373</v>
      </c>
      <c r="AM13" s="2">
        <v>1.0249728836958854</v>
      </c>
      <c r="AN13" s="2">
        <v>1.0108601638410164</v>
      </c>
      <c r="AO13" s="2">
        <v>1.0240642854420736</v>
      </c>
      <c r="AP13" s="2">
        <v>1.0240642854420736</v>
      </c>
      <c r="AQ13" s="2">
        <v>1.0240642854420736</v>
      </c>
      <c r="AR13" s="98">
        <v>1.0175623074016484</v>
      </c>
      <c r="AS13" s="2">
        <v>1.0060381306664918</v>
      </c>
      <c r="AT13" s="2">
        <v>1.0072793180435522</v>
      </c>
      <c r="AU13" s="2">
        <v>0.99999002018844707</v>
      </c>
      <c r="AV13" s="2">
        <v>0.99999152797160484</v>
      </c>
      <c r="AW13" s="2">
        <v>1.0085376851400571</v>
      </c>
      <c r="AX13" s="2">
        <v>1.0143997307594246</v>
      </c>
      <c r="AY13" s="2">
        <v>1.0175623074016484</v>
      </c>
      <c r="AZ13" s="2">
        <v>1.106806036062284</v>
      </c>
      <c r="BA13" s="2">
        <v>0.99999576144096214</v>
      </c>
      <c r="BB13" s="2">
        <v>0.99998632101401408</v>
      </c>
      <c r="BC13" s="2">
        <v>1.0104155584088983</v>
      </c>
      <c r="BD13" s="2">
        <v>1.0128024572109373</v>
      </c>
      <c r="BE13" s="2">
        <v>1.0235971414374399</v>
      </c>
      <c r="BF13" s="2">
        <v>1.0434167879316483</v>
      </c>
      <c r="BG13" s="2">
        <v>1.0487796860042242</v>
      </c>
      <c r="BH13" s="2">
        <v>1.0358970181964799</v>
      </c>
      <c r="BI13" s="2">
        <v>1.0497477207878656</v>
      </c>
      <c r="BJ13" s="2">
        <v>1.0508932053515265</v>
      </c>
      <c r="BK13" s="2">
        <v>1</v>
      </c>
      <c r="BL13" s="2">
        <v>1.01429597728</v>
      </c>
      <c r="BM13" s="2">
        <v>1</v>
      </c>
      <c r="BN13" s="2">
        <v>1.013519896</v>
      </c>
      <c r="BO13" s="2">
        <v>1.0127872959999999</v>
      </c>
      <c r="BP13" s="2">
        <v>1.0102437776000002</v>
      </c>
      <c r="BQ13" s="2">
        <v>1.0462514066700288</v>
      </c>
      <c r="BR13" s="2">
        <v>1.046319647190016</v>
      </c>
      <c r="BS13" s="2">
        <v>1.0422505096294401</v>
      </c>
      <c r="BT13" s="2">
        <v>1.0396584281649153</v>
      </c>
      <c r="BU13" s="2">
        <v>1.03245519776256</v>
      </c>
      <c r="BV13" s="2">
        <v>1</v>
      </c>
      <c r="BW13" s="2">
        <v>1.013773</v>
      </c>
      <c r="BX13" s="2">
        <v>1.0025177681473458</v>
      </c>
      <c r="BY13" s="208">
        <v>0</v>
      </c>
      <c r="BZ13" s="208">
        <v>0</v>
      </c>
      <c r="CA13" s="208">
        <v>0</v>
      </c>
      <c r="CB13" s="208">
        <v>0</v>
      </c>
      <c r="CC13" s="2">
        <v>1.0176905334399999</v>
      </c>
      <c r="CD13" s="2">
        <v>1.0230337151436804</v>
      </c>
      <c r="CE13" s="37">
        <v>1991</v>
      </c>
    </row>
    <row r="14" spans="1:83" s="2" customFormat="1">
      <c r="A14" s="35" t="s">
        <v>1</v>
      </c>
      <c r="B14" s="2">
        <v>1.0317531805947162</v>
      </c>
      <c r="C14" s="2">
        <v>1.1647735177352936</v>
      </c>
      <c r="D14" s="2">
        <v>1.0348885887232013</v>
      </c>
      <c r="E14" s="2">
        <v>1.1063109957492547</v>
      </c>
      <c r="F14" s="2">
        <v>1.1093822675645941</v>
      </c>
      <c r="G14" s="2">
        <v>1.148144924880669</v>
      </c>
      <c r="H14" s="2">
        <v>1.4067992937375937</v>
      </c>
      <c r="I14" s="2">
        <v>1.3755455175371751</v>
      </c>
      <c r="J14" s="2">
        <v>1</v>
      </c>
      <c r="K14" s="2">
        <v>1.3755455175371751</v>
      </c>
      <c r="L14" s="2">
        <v>1.0007772442471159</v>
      </c>
      <c r="M14" s="2">
        <v>1</v>
      </c>
      <c r="N14" s="2">
        <v>1.0199005812118678</v>
      </c>
      <c r="O14" s="2">
        <v>1.0145624969330642</v>
      </c>
      <c r="P14" s="2">
        <v>1.0348885887232013</v>
      </c>
      <c r="Q14" s="2">
        <v>1.1518592388771962</v>
      </c>
      <c r="R14" s="2">
        <v>1.0001390489958091</v>
      </c>
      <c r="S14" s="2">
        <v>0.9999761529664879</v>
      </c>
      <c r="T14" s="2">
        <v>1.0002784355040526</v>
      </c>
      <c r="U14" s="2">
        <v>1.1647735177352936</v>
      </c>
      <c r="V14" s="2">
        <v>1.0866038383558083</v>
      </c>
      <c r="W14" s="2">
        <v>1.0263085365194873</v>
      </c>
      <c r="X14" s="2">
        <v>1.1236946075638954</v>
      </c>
      <c r="Y14" s="2">
        <v>1.0175559378455148</v>
      </c>
      <c r="Z14" s="2">
        <v>1.013511241619617</v>
      </c>
      <c r="AA14" s="2">
        <v>1</v>
      </c>
      <c r="AB14" s="2">
        <v>1</v>
      </c>
      <c r="AC14" s="2">
        <v>1.1764998200351957</v>
      </c>
      <c r="AD14" s="2">
        <v>1.0185631152479102</v>
      </c>
      <c r="AE14" s="2">
        <v>1.1529372155918962</v>
      </c>
      <c r="AF14" s="2">
        <v>1.0000183767432675</v>
      </c>
      <c r="AG14" s="2">
        <v>0.99984297855870818</v>
      </c>
      <c r="AH14" s="2">
        <v>1.1647735177352936</v>
      </c>
      <c r="AI14" s="2">
        <v>1.0000593067623631</v>
      </c>
      <c r="AJ14" s="2">
        <v>1.0251197838807049</v>
      </c>
      <c r="AK14" s="2">
        <v>1.0002784355040524</v>
      </c>
      <c r="AL14" s="2">
        <v>1.0308764010200333</v>
      </c>
      <c r="AM14" s="2">
        <v>1.0249728836958854</v>
      </c>
      <c r="AN14" s="2">
        <v>1.0108601638410164</v>
      </c>
      <c r="AO14" s="2">
        <v>1.0240642854420736</v>
      </c>
      <c r="AP14" s="2">
        <v>1.0240642854420736</v>
      </c>
      <c r="AQ14" s="2">
        <v>1.0240642854420736</v>
      </c>
      <c r="AR14" s="98">
        <v>1.0281174414166212</v>
      </c>
      <c r="AS14" s="2">
        <v>1.0145624969330642</v>
      </c>
      <c r="AT14" s="2">
        <v>1.0175559378455148</v>
      </c>
      <c r="AU14" s="2">
        <v>1.0001390489958091</v>
      </c>
      <c r="AV14" s="2">
        <v>0.9999761529664879</v>
      </c>
      <c r="AW14" s="2">
        <v>1.013511241619617</v>
      </c>
      <c r="AX14" s="2">
        <v>1.022625341406759</v>
      </c>
      <c r="AY14" s="2">
        <v>1.0281174414166212</v>
      </c>
      <c r="AZ14" s="2">
        <v>1.1529372155918962</v>
      </c>
      <c r="BA14" s="2">
        <v>1.0000183767432675</v>
      </c>
      <c r="BB14" s="2">
        <v>1.0000593067623631</v>
      </c>
      <c r="BC14" s="2">
        <v>1.0251197838807049</v>
      </c>
      <c r="BD14" s="2">
        <v>1.0308764010200333</v>
      </c>
      <c r="BE14" s="2">
        <v>1.0169864858419198</v>
      </c>
      <c r="BF14" s="2">
        <v>1.0372974710683238</v>
      </c>
      <c r="BG14" s="2">
        <v>1.0407441785828964</v>
      </c>
      <c r="BH14" s="2">
        <v>1.0287542437376</v>
      </c>
      <c r="BI14" s="2">
        <v>1.0409587598731673</v>
      </c>
      <c r="BJ14" s="2">
        <v>1.04218852415914</v>
      </c>
      <c r="BK14" s="2">
        <v>1</v>
      </c>
      <c r="BL14" s="2">
        <v>1.012124551936</v>
      </c>
      <c r="BM14" s="2">
        <v>1</v>
      </c>
      <c r="BN14" s="2">
        <v>1.0092932480000001</v>
      </c>
      <c r="BO14" s="2">
        <v>1.0089975680000001</v>
      </c>
      <c r="BP14" s="2">
        <v>1.0078692710400001</v>
      </c>
      <c r="BQ14" s="2">
        <v>1.039001396307067</v>
      </c>
      <c r="BR14" s="2">
        <v>1.0347837689384958</v>
      </c>
      <c r="BS14" s="2">
        <v>1.0362899731005439</v>
      </c>
      <c r="BT14" s="2">
        <v>1.0310081020082584</v>
      </c>
      <c r="BU14" s="677">
        <v>1.0394462656349801</v>
      </c>
      <c r="BV14" s="2">
        <v>1</v>
      </c>
      <c r="BW14" s="2">
        <v>1.0084768</v>
      </c>
      <c r="BX14" s="2">
        <v>1.0015340420010641</v>
      </c>
      <c r="BY14" s="208">
        <v>0</v>
      </c>
      <c r="BZ14" s="208">
        <v>0</v>
      </c>
      <c r="CA14" s="208">
        <v>0</v>
      </c>
      <c r="CB14" s="208">
        <v>0</v>
      </c>
      <c r="CC14" s="677">
        <v>1.00664137728</v>
      </c>
      <c r="CD14" s="677">
        <v>1.0214524918490726</v>
      </c>
      <c r="CE14" s="37">
        <v>1992</v>
      </c>
    </row>
    <row r="15" spans="1:83" s="2" customFormat="1">
      <c r="A15" s="35">
        <v>1977</v>
      </c>
      <c r="B15" s="2">
        <v>1.0339767072473425</v>
      </c>
      <c r="C15" s="2">
        <v>1.1374220057468711</v>
      </c>
      <c r="D15" s="2">
        <v>1.0243266903775798</v>
      </c>
      <c r="E15" s="2">
        <v>1.1171799913558755</v>
      </c>
      <c r="F15" s="2">
        <v>1.1322425551149604</v>
      </c>
      <c r="G15" s="2">
        <v>1.139704183985971</v>
      </c>
      <c r="H15" s="2">
        <v>1.3456801535149632</v>
      </c>
      <c r="I15" s="2">
        <v>1.3024161972848849</v>
      </c>
      <c r="J15" s="2">
        <v>1</v>
      </c>
      <c r="K15" s="2">
        <v>1.3024161972848849</v>
      </c>
      <c r="L15" s="2">
        <v>1.0011276270124931</v>
      </c>
      <c r="M15" s="2">
        <v>1</v>
      </c>
      <c r="N15" s="2">
        <v>1.0199005812118678</v>
      </c>
      <c r="O15" s="2">
        <v>1.0101539605636018</v>
      </c>
      <c r="P15" s="2">
        <v>1.0243266903775798</v>
      </c>
      <c r="Q15" s="2">
        <v>1.1391457806179559</v>
      </c>
      <c r="R15" s="2">
        <v>1.0002017324725352</v>
      </c>
      <c r="S15" s="2">
        <v>1.0001712540589034</v>
      </c>
      <c r="T15" s="2">
        <v>1.0013144017588944</v>
      </c>
      <c r="U15" s="2">
        <v>1.1374220057468711</v>
      </c>
      <c r="V15" s="2">
        <v>1.1084640608278156</v>
      </c>
      <c r="W15" s="2">
        <v>1.037429584092149</v>
      </c>
      <c r="X15" s="2">
        <v>1.161368192952148</v>
      </c>
      <c r="Y15" s="2">
        <v>1.0122411905979982</v>
      </c>
      <c r="Z15" s="2">
        <v>1.0194939981048061</v>
      </c>
      <c r="AA15" s="2">
        <v>1</v>
      </c>
      <c r="AB15" s="2">
        <v>1</v>
      </c>
      <c r="AC15" s="2">
        <v>1.1374220057468711</v>
      </c>
      <c r="AD15" s="2">
        <v>1.0267828334101181</v>
      </c>
      <c r="AE15" s="2">
        <v>1.1275504656867461</v>
      </c>
      <c r="AF15" s="2">
        <v>1.0000867505160871</v>
      </c>
      <c r="AG15" s="2">
        <v>1.0011276270124931</v>
      </c>
      <c r="AH15" s="2">
        <v>1.1374220057468711</v>
      </c>
      <c r="AI15" s="2">
        <v>1.0002799675746445</v>
      </c>
      <c r="AJ15" s="2">
        <v>1.0175152170718573</v>
      </c>
      <c r="AK15" s="2">
        <v>1.0013144017588944</v>
      </c>
      <c r="AL15" s="2">
        <v>1.0215291209841582</v>
      </c>
      <c r="AM15" s="2">
        <v>1.0249728836958854</v>
      </c>
      <c r="AN15" s="2">
        <v>1.0108601638410164</v>
      </c>
      <c r="AO15" s="2">
        <v>1.0240642854420736</v>
      </c>
      <c r="AP15" s="2">
        <v>1.0240642854420736</v>
      </c>
      <c r="AQ15" s="2">
        <v>1.0240642854420736</v>
      </c>
      <c r="AR15" s="98">
        <v>1.0300863742675217</v>
      </c>
      <c r="AS15" s="2">
        <v>1.0101539605636018</v>
      </c>
      <c r="AT15" s="2">
        <v>1.0122411905979982</v>
      </c>
      <c r="AU15" s="2">
        <v>1.0002017324725352</v>
      </c>
      <c r="AV15" s="2">
        <v>1.0001712540589034</v>
      </c>
      <c r="AW15" s="2">
        <v>1.0194939981048061</v>
      </c>
      <c r="AX15" s="2">
        <v>1.0321894423192481</v>
      </c>
      <c r="AY15" s="2">
        <v>1.0300863742675217</v>
      </c>
      <c r="AZ15" s="2">
        <v>1.1275504656867461</v>
      </c>
      <c r="BA15" s="2">
        <v>1.0000867505160871</v>
      </c>
      <c r="BB15" s="2">
        <v>1.0002799675746445</v>
      </c>
      <c r="BC15" s="2">
        <v>1.0175152170718573</v>
      </c>
      <c r="BD15" s="2">
        <v>1.0215291209841582</v>
      </c>
      <c r="BE15" s="2">
        <v>1.01658764923008</v>
      </c>
      <c r="BF15" s="2">
        <v>1.0334271022370338</v>
      </c>
      <c r="BG15" s="2">
        <v>1.036162495861116</v>
      </c>
      <c r="BH15" s="2">
        <v>1.0263029250080002</v>
      </c>
      <c r="BI15" s="2">
        <v>1.0366002794217513</v>
      </c>
      <c r="BJ15" s="2">
        <v>1.0382898934094558</v>
      </c>
      <c r="BK15" s="2">
        <v>1</v>
      </c>
      <c r="BL15" s="2">
        <v>1.01498712528</v>
      </c>
      <c r="BM15" s="2">
        <v>1</v>
      </c>
      <c r="BN15" s="2">
        <v>1.008321824</v>
      </c>
      <c r="BO15" s="2">
        <v>1.009420896</v>
      </c>
      <c r="BP15" s="2">
        <v>1.0070948981600001</v>
      </c>
      <c r="BQ15" s="2">
        <v>1.0269660027875671</v>
      </c>
      <c r="BR15" s="2">
        <v>1.0309816708399999</v>
      </c>
      <c r="BS15" s="2">
        <v>1.0217448558351998</v>
      </c>
      <c r="BT15" s="2">
        <v>1.0212801513295759</v>
      </c>
      <c r="BU15" s="677">
        <v>1.037100259154232</v>
      </c>
      <c r="BV15" s="2">
        <v>1</v>
      </c>
      <c r="BW15" s="2">
        <v>1.0088619999999999</v>
      </c>
      <c r="BX15" s="2">
        <v>1.0015856784460953</v>
      </c>
      <c r="BY15" s="208">
        <v>0</v>
      </c>
      <c r="BZ15" s="208">
        <v>0</v>
      </c>
      <c r="CA15" s="208">
        <v>0</v>
      </c>
      <c r="CB15" s="208">
        <v>0</v>
      </c>
      <c r="CC15" s="677">
        <v>1.0057847520000001</v>
      </c>
      <c r="CD15" s="677">
        <v>1.019421129926352</v>
      </c>
      <c r="CE15" s="37">
        <v>1993</v>
      </c>
    </row>
    <row r="16" spans="1:83" s="2" customFormat="1">
      <c r="A16" s="35">
        <v>1978</v>
      </c>
      <c r="B16" s="2">
        <v>1.0425895094590383</v>
      </c>
      <c r="C16" s="2">
        <v>1.1649239844989128</v>
      </c>
      <c r="D16" s="2">
        <v>1.0331955495245184</v>
      </c>
      <c r="E16" s="2">
        <v>1.1473037425723447</v>
      </c>
      <c r="F16" s="2">
        <v>1.1853629456115273</v>
      </c>
      <c r="G16" s="2">
        <v>1.1569529492144404</v>
      </c>
      <c r="H16" s="2">
        <v>1.3959226494547583</v>
      </c>
      <c r="I16" s="2">
        <v>1.3145198668472391</v>
      </c>
      <c r="J16" s="2">
        <v>1</v>
      </c>
      <c r="K16" s="2">
        <v>1.3145198668472391</v>
      </c>
      <c r="L16" s="2">
        <v>1.0009548129487142</v>
      </c>
      <c r="M16" s="2">
        <v>1</v>
      </c>
      <c r="N16" s="2">
        <v>1.0199005812118678</v>
      </c>
      <c r="O16" s="2">
        <v>1.0138558223715342</v>
      </c>
      <c r="P16" s="2">
        <v>1.0331955495245184</v>
      </c>
      <c r="Q16" s="2">
        <v>1.1880029738803266</v>
      </c>
      <c r="R16" s="2">
        <v>1.000170816036525</v>
      </c>
      <c r="S16" s="2">
        <v>1.000145008580984</v>
      </c>
      <c r="T16" s="2">
        <v>1.0007111719017017</v>
      </c>
      <c r="U16" s="2">
        <v>1.1649239844989128</v>
      </c>
      <c r="V16" s="2">
        <v>1.1225394170610752</v>
      </c>
      <c r="W16" s="2">
        <v>1.0462551378691431</v>
      </c>
      <c r="X16" s="2">
        <v>1.1859760892982258</v>
      </c>
      <c r="Y16" s="2">
        <v>1.0167040005207375</v>
      </c>
      <c r="Z16" s="2">
        <v>1.0242593121052708</v>
      </c>
      <c r="AA16" s="2">
        <v>1</v>
      </c>
      <c r="AB16" s="2">
        <v>1</v>
      </c>
      <c r="AC16" s="2">
        <v>1.1649239844989128</v>
      </c>
      <c r="AD16" s="2">
        <v>1.0333299055056</v>
      </c>
      <c r="AE16" s="2">
        <v>1.1530768737613843</v>
      </c>
      <c r="AF16" s="2">
        <v>1.0000469373455123</v>
      </c>
      <c r="AG16" s="2">
        <v>1.0009548129487142</v>
      </c>
      <c r="AH16" s="2">
        <v>1.1649239844989128</v>
      </c>
      <c r="AI16" s="2">
        <v>1.0001514796150626</v>
      </c>
      <c r="AJ16" s="2">
        <v>1.0239007956576534</v>
      </c>
      <c r="AK16" s="2">
        <v>1.0007111719017017</v>
      </c>
      <c r="AL16" s="2">
        <v>1.029378061329199</v>
      </c>
      <c r="AM16" s="2">
        <v>1.0249728836958854</v>
      </c>
      <c r="AN16" s="2">
        <v>1.0108601638410164</v>
      </c>
      <c r="AO16" s="2">
        <v>1.0240642854420736</v>
      </c>
      <c r="AP16" s="2">
        <v>1.0240642854420736</v>
      </c>
      <c r="AQ16" s="2">
        <v>1.0240642854420736</v>
      </c>
      <c r="AR16" s="98">
        <v>1.0377130106259784</v>
      </c>
      <c r="AS16" s="2">
        <v>1.0138558223715342</v>
      </c>
      <c r="AT16" s="2">
        <v>1.0167040005207375</v>
      </c>
      <c r="AU16" s="2">
        <v>1.000170816036525</v>
      </c>
      <c r="AV16" s="2">
        <v>1.000145008580984</v>
      </c>
      <c r="AW16" s="2">
        <v>1.0242593121052708</v>
      </c>
      <c r="AX16" s="2">
        <v>1.0397794185674631</v>
      </c>
      <c r="AY16" s="2">
        <v>1.0377130106259784</v>
      </c>
      <c r="AZ16" s="2">
        <v>1.1530768737613843</v>
      </c>
      <c r="BA16" s="2">
        <v>1.0000469373455123</v>
      </c>
      <c r="BB16" s="2">
        <v>1.0001514796150626</v>
      </c>
      <c r="BC16" s="2">
        <v>1.0239007956576534</v>
      </c>
      <c r="BD16" s="2">
        <v>1.029378061329199</v>
      </c>
      <c r="BE16" s="2">
        <v>1.0151648511946239</v>
      </c>
      <c r="BF16" s="2">
        <v>1.0319165090147013</v>
      </c>
      <c r="BG16" s="2">
        <v>1.0342264940157455</v>
      </c>
      <c r="BH16" s="2">
        <v>1.0227800164376</v>
      </c>
      <c r="BI16" s="2">
        <v>1.0347649064259163</v>
      </c>
      <c r="BJ16" s="2">
        <v>1.0322644755567023</v>
      </c>
      <c r="BK16" s="2">
        <v>1</v>
      </c>
      <c r="BL16" s="2">
        <v>1.0151800600159999</v>
      </c>
      <c r="BM16" s="2">
        <v>1</v>
      </c>
      <c r="BN16" s="2">
        <v>1.0074777699999999</v>
      </c>
      <c r="BO16" s="2">
        <v>1.0093614259999999</v>
      </c>
      <c r="BP16" s="2">
        <v>1.0053276</v>
      </c>
      <c r="BQ16" s="2">
        <v>1.0320486747327378</v>
      </c>
      <c r="BR16" s="2">
        <v>1.0297272143999998</v>
      </c>
      <c r="BS16" s="2">
        <v>1.0326438626839998</v>
      </c>
      <c r="BT16" s="2">
        <v>1.0292818841359999</v>
      </c>
      <c r="BU16" s="677">
        <v>1.0345805681218527</v>
      </c>
      <c r="BV16" s="2">
        <v>1</v>
      </c>
      <c r="BW16" s="2">
        <v>1.0084968000000001</v>
      </c>
      <c r="BX16" s="2">
        <v>1.0015133286145634</v>
      </c>
      <c r="BY16" s="208">
        <v>0</v>
      </c>
      <c r="BZ16" s="208">
        <v>0</v>
      </c>
      <c r="CA16" s="208">
        <v>0</v>
      </c>
      <c r="CB16" s="208">
        <v>0</v>
      </c>
      <c r="CC16" s="677">
        <v>1.0061486210000001</v>
      </c>
      <c r="CD16" s="677">
        <v>1.0183396059679006</v>
      </c>
      <c r="CE16" s="36">
        <v>1994</v>
      </c>
    </row>
    <row r="17" spans="1:83" s="2" customFormat="1">
      <c r="A17" s="36">
        <v>1979</v>
      </c>
      <c r="B17" s="2">
        <v>1.0621650191443173</v>
      </c>
      <c r="C17" s="2">
        <v>1.0883001763219489</v>
      </c>
      <c r="D17" s="2">
        <v>1.0397873590339546</v>
      </c>
      <c r="E17" s="2">
        <v>1.1804512786550843</v>
      </c>
      <c r="F17" s="2">
        <v>1.2015637683916176</v>
      </c>
      <c r="G17" s="2">
        <v>1.1765801537024139</v>
      </c>
      <c r="H17" s="2">
        <v>1.3111288009171551</v>
      </c>
      <c r="I17" s="2">
        <v>1.2221556208076929</v>
      </c>
      <c r="J17" s="2">
        <v>1</v>
      </c>
      <c r="K17" s="2">
        <v>1.2221556208076929</v>
      </c>
      <c r="L17" s="2">
        <v>1.0015014009068752</v>
      </c>
      <c r="M17" s="2">
        <v>1</v>
      </c>
      <c r="N17" s="2">
        <v>1.0199005812118678</v>
      </c>
      <c r="O17" s="2">
        <v>1.0166072436607727</v>
      </c>
      <c r="P17" s="2">
        <v>1.0397873590339546</v>
      </c>
      <c r="Q17" s="2">
        <v>1.2120121737296328</v>
      </c>
      <c r="R17" s="2">
        <v>1.0002686006222401</v>
      </c>
      <c r="S17" s="2">
        <v>1.0002280195459092</v>
      </c>
      <c r="T17" s="2">
        <v>1.0014407045138582</v>
      </c>
      <c r="U17" s="2">
        <v>1.0883001763219489</v>
      </c>
      <c r="V17" s="2">
        <v>1.1335040171605884</v>
      </c>
      <c r="W17" s="2">
        <v>1.0517349190162038</v>
      </c>
      <c r="X17" s="2">
        <v>1.1904861925828376</v>
      </c>
      <c r="Y17" s="2">
        <v>1.0200209990658859</v>
      </c>
      <c r="Z17" s="2">
        <v>1.0274202881828167</v>
      </c>
      <c r="AA17" s="2">
        <v>1</v>
      </c>
      <c r="AB17" s="2">
        <v>1</v>
      </c>
      <c r="AC17" s="2">
        <v>1.0852171911423216</v>
      </c>
      <c r="AD17" s="2">
        <v>1.0376727753080448</v>
      </c>
      <c r="AE17" s="2">
        <v>1.0819572422107717</v>
      </c>
      <c r="AF17" s="2">
        <v>1.0000950864979148</v>
      </c>
      <c r="AG17" s="2">
        <v>1.0015014009068752</v>
      </c>
      <c r="AH17" s="2">
        <v>1.0883001763219489</v>
      </c>
      <c r="AI17" s="2">
        <v>1.0003068700614519</v>
      </c>
      <c r="AJ17" s="2">
        <v>1.0286468985044475</v>
      </c>
      <c r="AK17" s="2">
        <v>1.0014407045138585</v>
      </c>
      <c r="AL17" s="2">
        <v>1.0352118127450498</v>
      </c>
      <c r="AM17" s="2">
        <v>1.0249728836958854</v>
      </c>
      <c r="AN17" s="2">
        <v>1.0108601638410164</v>
      </c>
      <c r="AO17" s="2">
        <v>1.0240642854420736</v>
      </c>
      <c r="AP17" s="2">
        <v>1.0240642854420736</v>
      </c>
      <c r="AQ17" s="2">
        <v>1.0240642854420736</v>
      </c>
      <c r="AR17" s="98">
        <v>1.055047124452293</v>
      </c>
      <c r="AS17" s="2">
        <v>1.0166072436607727</v>
      </c>
      <c r="AT17" s="2">
        <v>1.0200209990658859</v>
      </c>
      <c r="AU17" s="2">
        <v>1.0002686006222401</v>
      </c>
      <c r="AV17" s="2">
        <v>1.0002280195459092</v>
      </c>
      <c r="AW17" s="2">
        <v>1.0274202881828167</v>
      </c>
      <c r="AX17" s="2">
        <v>1.0444920303539353</v>
      </c>
      <c r="AY17" s="2">
        <v>1.055047124452293</v>
      </c>
      <c r="AZ17" s="2">
        <v>1.0819572422107717</v>
      </c>
      <c r="BA17" s="2">
        <v>1.0000950864979148</v>
      </c>
      <c r="BB17" s="2">
        <v>1.0003068700614519</v>
      </c>
      <c r="BC17" s="2">
        <v>1.0286468985044475</v>
      </c>
      <c r="BD17" s="2">
        <v>1.0352118127450498</v>
      </c>
      <c r="BE17" s="2">
        <v>1.0156702938441602</v>
      </c>
      <c r="BF17" s="2">
        <v>1.0292182795421925</v>
      </c>
      <c r="BG17" s="2">
        <v>1.0328353915905981</v>
      </c>
      <c r="BH17" s="2">
        <v>1.0232204544896</v>
      </c>
      <c r="BI17" s="2">
        <v>1.0326895825923468</v>
      </c>
      <c r="BJ17" s="2">
        <v>1.0327723715849342</v>
      </c>
      <c r="BK17" s="2">
        <v>1</v>
      </c>
      <c r="BL17" s="2">
        <v>1.0108777324959999</v>
      </c>
      <c r="BM17" s="2">
        <v>1</v>
      </c>
      <c r="BN17" s="2">
        <v>1.0108200399999998</v>
      </c>
      <c r="BO17" s="2">
        <v>1.0091626039999999</v>
      </c>
      <c r="BP17" s="2">
        <v>1.0051808311719999</v>
      </c>
      <c r="BQ17" s="2">
        <v>1.0340176879064611</v>
      </c>
      <c r="BR17" s="2">
        <v>1.0295764290682494</v>
      </c>
      <c r="BS17" s="2">
        <v>1.02086025711424</v>
      </c>
      <c r="BT17" s="2">
        <v>1.0278145074913982</v>
      </c>
      <c r="BU17" s="677">
        <v>1.0316426884195966</v>
      </c>
      <c r="BV17" s="2">
        <v>1</v>
      </c>
      <c r="BW17" s="2">
        <v>1.0059100000000001</v>
      </c>
      <c r="BX17" s="2">
        <v>1.0010475352985746</v>
      </c>
      <c r="BY17" s="208">
        <v>0</v>
      </c>
      <c r="BZ17" s="208">
        <v>0</v>
      </c>
      <c r="CA17" s="208">
        <v>0</v>
      </c>
      <c r="CB17" s="208">
        <v>0</v>
      </c>
      <c r="CC17" s="677">
        <v>1.0228765886079998</v>
      </c>
      <c r="CD17" s="677">
        <v>1.0175575364014846</v>
      </c>
      <c r="CE17" s="37">
        <v>1995</v>
      </c>
    </row>
    <row r="18" spans="1:83" s="2" customFormat="1">
      <c r="A18" s="37">
        <v>1980</v>
      </c>
      <c r="B18" s="2">
        <v>1.0619125167488574</v>
      </c>
      <c r="C18" s="2">
        <v>1.1360759822348252</v>
      </c>
      <c r="D18" s="2">
        <v>1.0610589773052816</v>
      </c>
      <c r="E18" s="2">
        <v>1.1779501189992514</v>
      </c>
      <c r="F18" s="2">
        <v>1.1839936786433647</v>
      </c>
      <c r="G18" s="2">
        <v>1.1510052053462194</v>
      </c>
      <c r="H18" s="2">
        <v>1.3288072567963902</v>
      </c>
      <c r="I18" s="2">
        <v>1.2081013964986951</v>
      </c>
      <c r="J18" s="2">
        <v>1</v>
      </c>
      <c r="K18" s="2">
        <v>1.2081013964986951</v>
      </c>
      <c r="L18" s="2">
        <v>1.0038951812707644</v>
      </c>
      <c r="M18" s="2">
        <v>1</v>
      </c>
      <c r="N18" s="2">
        <v>1.0199005812118678</v>
      </c>
      <c r="O18" s="2">
        <v>1.0254860171272246</v>
      </c>
      <c r="P18" s="2">
        <v>1.0610589773052816</v>
      </c>
      <c r="Q18" s="2">
        <v>1.2099886238469755</v>
      </c>
      <c r="R18" s="2">
        <v>1.0006968479293399</v>
      </c>
      <c r="S18" s="2">
        <v>1.0005915658239759</v>
      </c>
      <c r="T18" s="2">
        <v>1.0027453030392202</v>
      </c>
      <c r="U18" s="2">
        <v>1.1360759822348252</v>
      </c>
      <c r="V18" s="2">
        <v>1.1297337112554933</v>
      </c>
      <c r="W18" s="2">
        <v>1.0489922213610763</v>
      </c>
      <c r="X18" s="2">
        <v>1.1650862147354677</v>
      </c>
      <c r="Y18" s="2">
        <v>1.0307248773800177</v>
      </c>
      <c r="Z18" s="2">
        <v>1.0265368199074394</v>
      </c>
      <c r="AA18" s="2">
        <v>1</v>
      </c>
      <c r="AB18" s="2">
        <v>1</v>
      </c>
      <c r="AC18" s="2">
        <v>1.1360759822348252</v>
      </c>
      <c r="AD18" s="2">
        <v>1.0364589769114645</v>
      </c>
      <c r="AE18" s="2">
        <v>1.126301132111285</v>
      </c>
      <c r="AF18" s="2">
        <v>1.0001811900005886</v>
      </c>
      <c r="AG18" s="2">
        <v>1.0038951812707644</v>
      </c>
      <c r="AH18" s="2">
        <v>1.1360759822348252</v>
      </c>
      <c r="AI18" s="2">
        <v>1.0005847495473539</v>
      </c>
      <c r="AJ18" s="2">
        <v>1.0439624636598028</v>
      </c>
      <c r="AK18" s="2">
        <v>1.0027453030392202</v>
      </c>
      <c r="AL18" s="2">
        <v>1.0540371949151743</v>
      </c>
      <c r="AM18" s="2">
        <v>1.0249728836958854</v>
      </c>
      <c r="AN18" s="2">
        <v>1.0108601638410164</v>
      </c>
      <c r="AO18" s="2">
        <v>1.0240642854420736</v>
      </c>
      <c r="AP18" s="2">
        <v>1.0240642854420736</v>
      </c>
      <c r="AQ18" s="2">
        <v>1.0240642854420736</v>
      </c>
      <c r="AR18" s="98">
        <v>1.0548235335811131</v>
      </c>
      <c r="AS18" s="2">
        <v>1.0254860171272246</v>
      </c>
      <c r="AT18" s="2">
        <v>1.0307248773800177</v>
      </c>
      <c r="AU18" s="2">
        <v>1.0006968479293399</v>
      </c>
      <c r="AV18" s="2">
        <v>1.0005915658239759</v>
      </c>
      <c r="AW18" s="2">
        <v>1.0265368199074394</v>
      </c>
      <c r="AX18" s="2">
        <v>1.0421333103705255</v>
      </c>
      <c r="AY18" s="2">
        <v>1.0548235335811131</v>
      </c>
      <c r="AZ18" s="2">
        <v>1.126301132111285</v>
      </c>
      <c r="BA18" s="2">
        <v>1.0001811900005886</v>
      </c>
      <c r="BB18" s="2">
        <v>1.0005847495473539</v>
      </c>
      <c r="BC18" s="2">
        <v>1.0439624636598028</v>
      </c>
      <c r="BD18" s="2">
        <v>1.0540371949151743</v>
      </c>
      <c r="BE18" s="2">
        <v>1.0134641296271361</v>
      </c>
      <c r="BF18" s="2">
        <v>1.0229589423369845</v>
      </c>
      <c r="BG18" s="2">
        <v>1.0209663255582717</v>
      </c>
      <c r="BH18" s="2">
        <v>1.0173555694911998</v>
      </c>
      <c r="BI18" s="2">
        <v>1.0261493601489207</v>
      </c>
      <c r="BJ18" s="2">
        <v>1.0219778301972748</v>
      </c>
      <c r="BK18" s="2">
        <v>1</v>
      </c>
      <c r="BL18" s="2">
        <v>1.01189404736</v>
      </c>
      <c r="BM18" s="2">
        <v>1</v>
      </c>
      <c r="BN18" s="2">
        <v>1.0085832729999999</v>
      </c>
      <c r="BO18" s="2">
        <v>1.0091350959999998</v>
      </c>
      <c r="BP18" s="2">
        <v>1.004250071128</v>
      </c>
      <c r="BQ18" s="2">
        <v>1.026475482144344</v>
      </c>
      <c r="BR18" s="2">
        <v>1.0308695679927677</v>
      </c>
      <c r="BS18" s="2">
        <v>1.0272870001839998</v>
      </c>
      <c r="BT18" s="2">
        <v>1.0230480378082103</v>
      </c>
      <c r="BU18" s="677">
        <v>1.0291472330881333</v>
      </c>
      <c r="BV18" s="2">
        <v>1</v>
      </c>
      <c r="BW18" s="2">
        <v>1.007371024</v>
      </c>
      <c r="BX18" s="2">
        <v>1.0005437291900336</v>
      </c>
      <c r="BY18" s="208">
        <v>0</v>
      </c>
      <c r="BZ18" s="208">
        <v>0</v>
      </c>
      <c r="CA18" s="208">
        <v>0</v>
      </c>
      <c r="CB18" s="208">
        <v>0</v>
      </c>
      <c r="CC18" s="2">
        <v>1.0180170197856</v>
      </c>
      <c r="CD18" s="677">
        <v>1.00966940891168</v>
      </c>
      <c r="CE18" s="37">
        <v>1996</v>
      </c>
    </row>
    <row r="19" spans="1:83" s="2" customFormat="1">
      <c r="A19" s="37">
        <v>1981</v>
      </c>
      <c r="B19" s="2">
        <v>1.047350014228098</v>
      </c>
      <c r="C19" s="2">
        <v>1.0879252760028986</v>
      </c>
      <c r="D19" s="2">
        <v>1.0428287796366988</v>
      </c>
      <c r="E19" s="2">
        <v>1.1750542385913501</v>
      </c>
      <c r="F19" s="2">
        <v>1.1834713505654217</v>
      </c>
      <c r="G19" s="2">
        <v>1.1070109979606138</v>
      </c>
      <c r="H19" s="2">
        <v>1.2574720725184709</v>
      </c>
      <c r="I19" s="2">
        <v>1.138210240064411</v>
      </c>
      <c r="J19" s="2">
        <v>1</v>
      </c>
      <c r="K19" s="2">
        <v>1.138210240064411</v>
      </c>
      <c r="L19" s="2">
        <v>1</v>
      </c>
      <c r="M19" s="2">
        <v>1</v>
      </c>
      <c r="N19" s="2">
        <v>1.0199005812118678</v>
      </c>
      <c r="O19" s="2">
        <v>1.0178767326203582</v>
      </c>
      <c r="P19" s="2">
        <v>1.0428287796366988</v>
      </c>
      <c r="Q19" s="2">
        <v>1.1965635885496484</v>
      </c>
      <c r="R19" s="2">
        <v>1</v>
      </c>
      <c r="S19" s="2">
        <v>1</v>
      </c>
      <c r="T19" s="2">
        <v>1</v>
      </c>
      <c r="U19" s="2">
        <v>1.0879252760028986</v>
      </c>
      <c r="V19" s="2">
        <v>1.118559703352771</v>
      </c>
      <c r="W19" s="2">
        <v>1.0351833068098113</v>
      </c>
      <c r="X19" s="2">
        <v>1.1163086377407809</v>
      </c>
      <c r="Y19" s="2">
        <v>1.0215514419131868</v>
      </c>
      <c r="Z19" s="2">
        <v>1.0192110801989411</v>
      </c>
      <c r="AA19" s="2">
        <v>1</v>
      </c>
      <c r="AB19" s="2">
        <v>1</v>
      </c>
      <c r="AC19" s="2">
        <v>1.0879252760028986</v>
      </c>
      <c r="AD19" s="2">
        <v>1.0263941320723637</v>
      </c>
      <c r="AE19" s="2">
        <v>1.0816092723931205</v>
      </c>
      <c r="AF19" s="2">
        <v>1</v>
      </c>
      <c r="AG19" s="2">
        <v>1</v>
      </c>
      <c r="AH19" s="2">
        <v>1.0879252760028986</v>
      </c>
      <c r="AI19" s="2">
        <v>1</v>
      </c>
      <c r="AJ19" s="2">
        <v>1.0308367213384231</v>
      </c>
      <c r="AK19" s="2">
        <v>1</v>
      </c>
      <c r="AL19" s="2">
        <v>1.0379034699784784</v>
      </c>
      <c r="AM19" s="2">
        <v>1.0249728836958854</v>
      </c>
      <c r="AN19" s="2">
        <v>1.0108601638410164</v>
      </c>
      <c r="AO19" s="2">
        <v>1.0240642854420736</v>
      </c>
      <c r="AP19" s="2">
        <v>1.0240642854420736</v>
      </c>
      <c r="AQ19" s="2">
        <v>1.0240642854420736</v>
      </c>
      <c r="AR19" s="98">
        <v>1.0419284375989808</v>
      </c>
      <c r="AS19" s="2">
        <v>1.0178767326203582</v>
      </c>
      <c r="AT19" s="2">
        <v>1.0215514419131868</v>
      </c>
      <c r="AU19" s="2">
        <v>1</v>
      </c>
      <c r="AV19" s="2">
        <v>1</v>
      </c>
      <c r="AW19" s="2">
        <v>1.0192110801989411</v>
      </c>
      <c r="AX19" s="2">
        <v>1.0302576438564377</v>
      </c>
      <c r="AY19" s="2">
        <v>1.0419284375989808</v>
      </c>
      <c r="AZ19" s="2">
        <v>1.0816092723931205</v>
      </c>
      <c r="BA19" s="2">
        <v>1</v>
      </c>
      <c r="BB19" s="2">
        <v>1</v>
      </c>
      <c r="BC19" s="2">
        <v>1.0308367213384231</v>
      </c>
      <c r="BD19" s="2">
        <v>1.0379034699784784</v>
      </c>
      <c r="BE19" s="2">
        <v>1.0068894439351808</v>
      </c>
      <c r="BF19" s="2">
        <v>1.0159568414511042</v>
      </c>
      <c r="BG19" s="2">
        <v>1.0135753886513919</v>
      </c>
      <c r="BH19" s="2">
        <v>1.0130121448511999</v>
      </c>
      <c r="BI19" s="2">
        <v>1.0166215628441424</v>
      </c>
      <c r="BJ19" s="2">
        <v>1.0156916100754818</v>
      </c>
      <c r="BK19" s="2">
        <v>1</v>
      </c>
      <c r="BL19" s="2">
        <v>1.0055795846495998</v>
      </c>
      <c r="BM19" s="2">
        <v>1</v>
      </c>
      <c r="BN19" s="2">
        <v>1.0050397575999999</v>
      </c>
      <c r="BO19" s="2">
        <v>1.0042817728</v>
      </c>
      <c r="BP19" s="2">
        <v>1.0020479202656001</v>
      </c>
      <c r="BQ19" s="2">
        <v>1.0171228176148643</v>
      </c>
      <c r="BR19" s="2">
        <v>1.0248432044567679</v>
      </c>
      <c r="BS19" s="2">
        <v>1.0198358615267837</v>
      </c>
      <c r="BT19" s="2">
        <v>1.0140567009689601</v>
      </c>
      <c r="BU19" s="677">
        <v>1.0213872858040769</v>
      </c>
      <c r="BV19" s="2">
        <v>1</v>
      </c>
      <c r="BW19" s="2">
        <v>1.0028195208000001</v>
      </c>
      <c r="BX19" s="2">
        <v>1.0002060159232611</v>
      </c>
      <c r="BY19" s="208">
        <v>0</v>
      </c>
      <c r="BZ19" s="208">
        <v>0</v>
      </c>
      <c r="CA19" s="208">
        <v>0</v>
      </c>
      <c r="CB19" s="208">
        <v>0</v>
      </c>
      <c r="CC19" s="2">
        <v>1.0106080063455998</v>
      </c>
      <c r="CD19" s="2">
        <v>1.01309740604</v>
      </c>
      <c r="CE19" s="94">
        <v>1997</v>
      </c>
    </row>
    <row r="20" spans="1:83" s="2" customFormat="1">
      <c r="A20" s="37">
        <v>1982</v>
      </c>
      <c r="B20" s="2">
        <v>1.0246666460318159</v>
      </c>
      <c r="C20" s="2">
        <v>1.0671972238206358</v>
      </c>
      <c r="D20" s="2">
        <v>1.0245133004667193</v>
      </c>
      <c r="E20" s="2">
        <v>1.1167471106323581</v>
      </c>
      <c r="F20" s="2">
        <v>1.1241734746550709</v>
      </c>
      <c r="G20" s="2">
        <v>1.0732877233404734</v>
      </c>
      <c r="H20" s="2">
        <v>1.1540451101339029</v>
      </c>
      <c r="I20" s="2">
        <v>1.0905447438067877</v>
      </c>
      <c r="J20" s="2">
        <v>1</v>
      </c>
      <c r="K20" s="2">
        <v>1.0905447438067877</v>
      </c>
      <c r="L20" s="2">
        <v>1</v>
      </c>
      <c r="M20" s="2">
        <v>1</v>
      </c>
      <c r="N20" s="2">
        <v>1.0199005812118678</v>
      </c>
      <c r="O20" s="2">
        <v>1.0111805163428706</v>
      </c>
      <c r="P20" s="2">
        <v>1.0245133004667193</v>
      </c>
      <c r="Q20" s="2">
        <v>1.152968585592631</v>
      </c>
      <c r="R20" s="2">
        <v>1</v>
      </c>
      <c r="S20" s="2">
        <v>1</v>
      </c>
      <c r="T20" s="2">
        <v>1</v>
      </c>
      <c r="U20" s="2">
        <v>1.0671972238206358</v>
      </c>
      <c r="V20" s="2">
        <v>1.0702907523929235</v>
      </c>
      <c r="W20" s="2">
        <v>1.0237172041359774</v>
      </c>
      <c r="X20" s="2">
        <v>1.0819539215508205</v>
      </c>
      <c r="Y20" s="2">
        <v>1.0128817393952609</v>
      </c>
      <c r="Z20" s="2">
        <v>1.0128334396721548</v>
      </c>
      <c r="AA20" s="2">
        <v>1</v>
      </c>
      <c r="AB20" s="2">
        <v>1</v>
      </c>
      <c r="AC20" s="2">
        <v>1.0671972238206358</v>
      </c>
      <c r="AD20" s="2">
        <v>1.0176318821295762</v>
      </c>
      <c r="AE20" s="2">
        <v>1.0623701942392421</v>
      </c>
      <c r="AF20" s="2">
        <v>1</v>
      </c>
      <c r="AG20" s="2">
        <v>1</v>
      </c>
      <c r="AH20" s="2">
        <v>1.0671972238206358</v>
      </c>
      <c r="AI20" s="2">
        <v>1</v>
      </c>
      <c r="AJ20" s="2">
        <v>1.017649576336038</v>
      </c>
      <c r="AK20" s="2">
        <v>1</v>
      </c>
      <c r="AL20" s="2">
        <v>1.0216942709130465</v>
      </c>
      <c r="AM20" s="2">
        <v>1.0249728836958854</v>
      </c>
      <c r="AN20" s="2">
        <v>1.0108601638410164</v>
      </c>
      <c r="AO20" s="2">
        <v>1.0240642854420736</v>
      </c>
      <c r="AP20" s="2">
        <v>1.0240642854420736</v>
      </c>
      <c r="AQ20" s="2">
        <v>1.0240642854420736</v>
      </c>
      <c r="AR20" s="98">
        <v>1.0220445815586339</v>
      </c>
      <c r="AS20" s="2">
        <v>1.0111805163428706</v>
      </c>
      <c r="AT20" s="2">
        <v>1.0128817393952609</v>
      </c>
      <c r="AU20" s="2">
        <v>1</v>
      </c>
      <c r="AV20" s="2">
        <v>1</v>
      </c>
      <c r="AW20" s="2">
        <v>1.0128334396721548</v>
      </c>
      <c r="AX20" s="2">
        <v>1.0203967955569406</v>
      </c>
      <c r="AY20" s="2">
        <v>1.0220445815586339</v>
      </c>
      <c r="AZ20" s="2">
        <v>1.0623701942392421</v>
      </c>
      <c r="BA20" s="2">
        <v>1</v>
      </c>
      <c r="BB20" s="2">
        <v>1</v>
      </c>
      <c r="BC20" s="2">
        <v>1.017649576336038</v>
      </c>
      <c r="BD20" s="2">
        <v>1.0216942709130465</v>
      </c>
      <c r="BE20" s="2">
        <v>1.007951618672333</v>
      </c>
      <c r="BF20" s="2">
        <v>1.0184743214165608</v>
      </c>
      <c r="BG20" s="2">
        <v>1.018490222376448</v>
      </c>
      <c r="BH20" s="2">
        <v>1.01754493265408</v>
      </c>
      <c r="BI20" s="2">
        <v>1.0208513260640666</v>
      </c>
      <c r="BJ20" s="2">
        <v>1.0182640716375961</v>
      </c>
      <c r="BK20" s="2">
        <v>1</v>
      </c>
      <c r="BL20" s="2">
        <v>1.0070762564479998</v>
      </c>
      <c r="BM20" s="2">
        <v>1</v>
      </c>
      <c r="BN20" s="2">
        <v>1.0059956096</v>
      </c>
      <c r="BO20" s="2">
        <v>1.0052628768</v>
      </c>
      <c r="BP20" s="2">
        <v>1.0025930884543999</v>
      </c>
      <c r="BQ20" s="2">
        <v>1.0213388328595252</v>
      </c>
      <c r="BR20" s="2">
        <v>1.0306367947985922</v>
      </c>
      <c r="BS20" s="2">
        <v>1.0250966645288961</v>
      </c>
      <c r="BT20" s="2">
        <v>1.0218808311566849</v>
      </c>
      <c r="BU20" s="2">
        <v>1.0260340224024782</v>
      </c>
      <c r="BV20" s="2">
        <v>1</v>
      </c>
      <c r="BW20" s="2">
        <v>1.0031016736000002</v>
      </c>
      <c r="BX20" s="2">
        <v>1.0002222340562696</v>
      </c>
      <c r="BY20" s="677">
        <v>1.0040784256000002</v>
      </c>
      <c r="BZ20" s="677">
        <v>1.000292218067137</v>
      </c>
      <c r="CA20" s="677">
        <v>1.0038616000000002</v>
      </c>
      <c r="CB20" s="677">
        <v>1.0002766825728184</v>
      </c>
      <c r="CC20" s="2">
        <v>1.0133369457664001</v>
      </c>
      <c r="CD20" s="2">
        <v>1.028890511982592</v>
      </c>
      <c r="CE20" s="94">
        <v>1998</v>
      </c>
    </row>
    <row r="21" spans="1:83" s="2" customFormat="1">
      <c r="A21" s="37">
        <v>1983</v>
      </c>
      <c r="B21" s="2">
        <v>1.0206918658114403</v>
      </c>
      <c r="C21" s="2">
        <v>1.0535500333153673</v>
      </c>
      <c r="D21" s="2">
        <v>1.0188286941559708</v>
      </c>
      <c r="E21" s="2">
        <v>1.0898690776511355</v>
      </c>
      <c r="F21" s="2">
        <v>1.0906891672306163</v>
      </c>
      <c r="G21" s="2">
        <v>1.0618089682735039</v>
      </c>
      <c r="H21" s="2">
        <v>1.0838112022874407</v>
      </c>
      <c r="I21" s="2">
        <v>1.0678169555232782</v>
      </c>
      <c r="J21" s="2">
        <v>1</v>
      </c>
      <c r="K21" s="2">
        <v>1.0678169555232782</v>
      </c>
      <c r="L21" s="2">
        <v>1.0029657536193461</v>
      </c>
      <c r="M21" s="2">
        <v>1</v>
      </c>
      <c r="N21" s="2">
        <v>1.0199005812118678</v>
      </c>
      <c r="O21" s="2">
        <v>1.0084220748959656</v>
      </c>
      <c r="P21" s="2">
        <v>1.0179524040073165</v>
      </c>
      <c r="Q21" s="2">
        <v>1.0986656231358425</v>
      </c>
      <c r="R21" s="2">
        <v>1.0004831212645915</v>
      </c>
      <c r="S21" s="2">
        <v>1.0010438715724825</v>
      </c>
      <c r="T21" s="2">
        <v>1.0039639706647576</v>
      </c>
      <c r="U21" s="2">
        <v>1.0535500333153673</v>
      </c>
      <c r="V21" s="2">
        <v>1.0365402520667195</v>
      </c>
      <c r="W21" s="2">
        <v>1.0189941616077398</v>
      </c>
      <c r="X21" s="2">
        <v>1.0675668480259655</v>
      </c>
      <c r="Y21" s="2">
        <v>1.0098135153940919</v>
      </c>
      <c r="Z21" s="2">
        <v>1.0101871032163177</v>
      </c>
      <c r="AA21" s="2">
        <v>1</v>
      </c>
      <c r="AB21" s="2">
        <v>1</v>
      </c>
      <c r="AC21" s="2">
        <v>1.0435722086389885</v>
      </c>
      <c r="AD21" s="2">
        <v>1.0139960764799216</v>
      </c>
      <c r="AE21" s="2">
        <v>1.0497033328089915</v>
      </c>
      <c r="AF21" s="2">
        <v>1.000261622063874</v>
      </c>
      <c r="AG21" s="2">
        <v>1.0068734007838531</v>
      </c>
      <c r="AH21" s="2">
        <v>1.0535500333153673</v>
      </c>
      <c r="AI21" s="2">
        <v>1.0019287406630375</v>
      </c>
      <c r="AJ21" s="2">
        <v>1.0129257308852679</v>
      </c>
      <c r="AK21" s="2">
        <v>1.0090551204837437</v>
      </c>
      <c r="AL21" s="2">
        <v>1.015887877546475</v>
      </c>
      <c r="AM21" s="2">
        <v>1.0249728836958854</v>
      </c>
      <c r="AN21" s="2">
        <v>1.0108601638410164</v>
      </c>
      <c r="AO21" s="2">
        <v>1.0240642854420736</v>
      </c>
      <c r="AP21" s="2">
        <v>1.0240642854420736</v>
      </c>
      <c r="AQ21" s="2">
        <v>1.0240642854420736</v>
      </c>
      <c r="AR21" s="98">
        <v>1.0204373558619597</v>
      </c>
      <c r="AS21" s="2">
        <v>1.0084220748959656</v>
      </c>
      <c r="AT21" s="2">
        <v>1.0098135153940919</v>
      </c>
      <c r="AU21" s="2">
        <v>1.0004831212645915</v>
      </c>
      <c r="AV21" s="2">
        <v>1.0010438715724825</v>
      </c>
      <c r="AW21" s="2">
        <v>1.0101871032163177</v>
      </c>
      <c r="AX21" s="2">
        <v>1.0163349789826563</v>
      </c>
      <c r="AY21" s="2">
        <v>1.0204373558619597</v>
      </c>
      <c r="AZ21" s="2">
        <v>1.0497033328089915</v>
      </c>
      <c r="BA21" s="2">
        <v>1.000261622063874</v>
      </c>
      <c r="BB21" s="2">
        <v>1.0019287406630375</v>
      </c>
      <c r="BC21" s="2">
        <v>1.0129257308852679</v>
      </c>
      <c r="BD21" s="2">
        <v>1.015887877546475</v>
      </c>
      <c r="BE21" s="2">
        <v>1.0114103911475201</v>
      </c>
      <c r="BF21" s="2">
        <v>1.0179986333401603</v>
      </c>
      <c r="BG21" s="2">
        <v>1.0255973355116801</v>
      </c>
      <c r="BH21" s="2">
        <v>1.01780167653056</v>
      </c>
      <c r="BI21" s="2">
        <v>1.0206295843695488</v>
      </c>
      <c r="BJ21" s="2">
        <v>1.0215449248852098</v>
      </c>
      <c r="BK21" s="2">
        <v>1</v>
      </c>
      <c r="BL21" s="2">
        <v>1.0109476908960002</v>
      </c>
      <c r="BM21" s="2">
        <v>1</v>
      </c>
      <c r="BN21" s="2">
        <v>1.0102209815999998</v>
      </c>
      <c r="BO21" s="2">
        <v>1.00758345</v>
      </c>
      <c r="BP21" s="2">
        <v>1.0057046584543998</v>
      </c>
      <c r="BQ21" s="2">
        <v>1.0247907179859199</v>
      </c>
      <c r="BR21" s="2">
        <v>1.0252400851622401</v>
      </c>
      <c r="BS21" s="2">
        <v>1.02908375684992</v>
      </c>
      <c r="BT21" s="2">
        <v>1.0293751297765761</v>
      </c>
      <c r="BU21" s="2">
        <v>1.0317402688055555</v>
      </c>
      <c r="BV21" s="2">
        <v>1</v>
      </c>
      <c r="BW21" s="2">
        <v>1.0064949496000002</v>
      </c>
      <c r="BX21" s="2">
        <v>1.0004544786069587</v>
      </c>
      <c r="BY21" s="677">
        <v>1.0061438472000002</v>
      </c>
      <c r="BZ21" s="677">
        <v>1.000429910513366</v>
      </c>
      <c r="CA21" s="677">
        <v>1.0075849632000002</v>
      </c>
      <c r="CB21" s="677">
        <v>1.0005307513870421</v>
      </c>
      <c r="CC21" s="2">
        <v>1.0183717967679999</v>
      </c>
      <c r="CD21" s="2">
        <v>1.0304057299183618</v>
      </c>
      <c r="CE21" s="95">
        <v>1999</v>
      </c>
    </row>
    <row r="22" spans="1:83" s="2" customFormat="1">
      <c r="A22" s="37">
        <v>1984</v>
      </c>
      <c r="B22" s="2">
        <v>1.0188360577103066</v>
      </c>
      <c r="C22" s="2">
        <v>1.0496494759010697</v>
      </c>
      <c r="D22" s="2">
        <v>1.0186524135603094</v>
      </c>
      <c r="E22" s="2">
        <v>1.0497189943899305</v>
      </c>
      <c r="F22" s="2">
        <v>1.0507924074223278</v>
      </c>
      <c r="G22" s="2">
        <v>1.0532753059829765</v>
      </c>
      <c r="H22" s="2">
        <v>1.0840562431029444</v>
      </c>
      <c r="I22" s="2">
        <v>1.051009458757731</v>
      </c>
      <c r="J22" s="2">
        <v>1</v>
      </c>
      <c r="K22" s="2">
        <v>1.051009458757731</v>
      </c>
      <c r="L22" s="2">
        <v>1.0021584205052856</v>
      </c>
      <c r="M22" s="2">
        <v>1</v>
      </c>
      <c r="N22" s="2">
        <v>1.0199005812118678</v>
      </c>
      <c r="O22" s="2">
        <v>1.0093038238838825</v>
      </c>
      <c r="P22" s="2">
        <v>1.0166402163895543</v>
      </c>
      <c r="Q22" s="2">
        <v>1.0544352757478501</v>
      </c>
      <c r="R22" s="2">
        <v>1.0003466423331488</v>
      </c>
      <c r="S22" s="2">
        <v>1.0007905529694148</v>
      </c>
      <c r="T22" s="2">
        <v>1.0044594172327503</v>
      </c>
      <c r="U22" s="2">
        <v>1.0496494759010697</v>
      </c>
      <c r="V22" s="2">
        <v>1.0370449904890566</v>
      </c>
      <c r="W22" s="2">
        <v>1.0166519616893706</v>
      </c>
      <c r="X22" s="2">
        <v>1.0528299742182941</v>
      </c>
      <c r="Y22" s="2">
        <v>1.0103856638703803</v>
      </c>
      <c r="Z22" s="2">
        <v>1.0109062949696299</v>
      </c>
      <c r="AA22" s="2">
        <v>1</v>
      </c>
      <c r="AB22" s="2">
        <v>1</v>
      </c>
      <c r="AC22" s="2">
        <v>1.038598526663506</v>
      </c>
      <c r="AD22" s="2">
        <v>1.0149841751149649</v>
      </c>
      <c r="AE22" s="2">
        <v>1.0460829671191763</v>
      </c>
      <c r="AF22" s="2">
        <v>1.0002943215373616</v>
      </c>
      <c r="AG22" s="2">
        <v>1.0052054175464611</v>
      </c>
      <c r="AH22" s="2">
        <v>1.0496494759010697</v>
      </c>
      <c r="AI22" s="2">
        <v>1.0011423671663837</v>
      </c>
      <c r="AJ22" s="2">
        <v>1.0119809558004791</v>
      </c>
      <c r="AK22" s="2">
        <v>1.0053632261332568</v>
      </c>
      <c r="AL22" s="2">
        <v>1.0147265915047554</v>
      </c>
      <c r="AM22" s="2">
        <v>1.0249728836958854</v>
      </c>
      <c r="AN22" s="2">
        <v>1.0108601638410164</v>
      </c>
      <c r="AO22" s="2">
        <v>1.0240642854420736</v>
      </c>
      <c r="AP22" s="2">
        <v>1.0240642854420736</v>
      </c>
      <c r="AQ22" s="2">
        <v>1.0240642854420736</v>
      </c>
      <c r="AR22" s="98">
        <v>1.0186420463158905</v>
      </c>
      <c r="AS22" s="2">
        <v>1.0093038238838825</v>
      </c>
      <c r="AT22" s="2">
        <v>1.0103856638703803</v>
      </c>
      <c r="AU22" s="2">
        <v>1.0003466423331488</v>
      </c>
      <c r="AV22" s="2">
        <v>1.0007905529694148</v>
      </c>
      <c r="AW22" s="2">
        <v>1.0109062949696299</v>
      </c>
      <c r="AX22" s="2">
        <v>1.0143206870528587</v>
      </c>
      <c r="AY22" s="2">
        <v>1.0186420463158905</v>
      </c>
      <c r="AZ22" s="2">
        <v>1.0460829671191763</v>
      </c>
      <c r="BA22" s="2">
        <v>1.0002943215373616</v>
      </c>
      <c r="BB22" s="2">
        <v>1.0011423671663837</v>
      </c>
      <c r="BC22" s="2">
        <v>1.0119809558004791</v>
      </c>
      <c r="BD22" s="2">
        <v>1.0147265915047554</v>
      </c>
      <c r="BE22" s="2">
        <v>1.0125251352345601</v>
      </c>
      <c r="BF22" s="2">
        <v>1.0171171157760002</v>
      </c>
      <c r="BG22" s="2">
        <v>1.0231701521856003</v>
      </c>
      <c r="BH22" s="2">
        <v>1.0198353309921535</v>
      </c>
      <c r="BI22" s="2">
        <v>1.0208814006110976</v>
      </c>
      <c r="BJ22" s="2">
        <v>1.0188703072108289</v>
      </c>
      <c r="BK22" s="2">
        <v>1</v>
      </c>
      <c r="BL22" s="2">
        <v>1.01070949056</v>
      </c>
      <c r="BM22" s="2">
        <v>1</v>
      </c>
      <c r="BN22" s="2">
        <v>1.0106127262720002</v>
      </c>
      <c r="BO22" s="2">
        <v>1.0079860192000001</v>
      </c>
      <c r="BP22" s="2">
        <v>1.00618767456</v>
      </c>
      <c r="BQ22" s="2">
        <v>1.0300501760742149</v>
      </c>
      <c r="BR22" s="2">
        <v>1.0249368350592003</v>
      </c>
      <c r="BS22" s="2">
        <v>1.0283395556288</v>
      </c>
      <c r="BT22" s="2">
        <v>1.0257279992461568</v>
      </c>
      <c r="BU22" s="2">
        <v>1.0218073703135233</v>
      </c>
      <c r="BV22" s="2">
        <v>1</v>
      </c>
      <c r="BW22" s="2">
        <v>1.0049751088000001</v>
      </c>
      <c r="BX22" s="2">
        <v>1.0003394125156591</v>
      </c>
      <c r="BY22" s="677">
        <v>1.0058218176</v>
      </c>
      <c r="BZ22" s="677">
        <v>1.0003971767928621</v>
      </c>
      <c r="CA22" s="677">
        <v>1.0058424784000002</v>
      </c>
      <c r="CB22" s="677">
        <v>1.0003985863166305</v>
      </c>
      <c r="CC22" s="2">
        <v>1.0188926838400003</v>
      </c>
      <c r="CD22" s="2">
        <v>1.0218173011937537</v>
      </c>
      <c r="CE22" s="94">
        <v>2000</v>
      </c>
    </row>
    <row r="23" spans="1:83" s="2" customFormat="1">
      <c r="A23" s="38">
        <v>1985</v>
      </c>
      <c r="B23" s="2">
        <v>1.0159946203202168</v>
      </c>
      <c r="C23" s="2">
        <v>1.0457193246618799</v>
      </c>
      <c r="D23" s="2">
        <v>1.0156334540242198</v>
      </c>
      <c r="E23" s="2">
        <v>1.0445965145454761</v>
      </c>
      <c r="F23" s="2">
        <v>1.0459872534101882</v>
      </c>
      <c r="G23" s="2">
        <v>1.048689484513335</v>
      </c>
      <c r="H23" s="2">
        <v>1.0827551048712645</v>
      </c>
      <c r="I23" s="2">
        <v>1.0500007548395682</v>
      </c>
      <c r="J23" s="2">
        <v>1</v>
      </c>
      <c r="K23" s="2">
        <v>1.0500007548395682</v>
      </c>
      <c r="L23" s="2">
        <v>1.001787235203661</v>
      </c>
      <c r="M23" s="2">
        <v>1</v>
      </c>
      <c r="N23" s="2">
        <v>1.0199005812118678</v>
      </c>
      <c r="O23" s="2">
        <v>1.0082780307134533</v>
      </c>
      <c r="P23" s="2">
        <v>1.014008784203821</v>
      </c>
      <c r="Q23" s="2">
        <v>1.0489684766918688</v>
      </c>
      <c r="R23" s="2">
        <v>1.0002421322709196</v>
      </c>
      <c r="S23" s="2">
        <v>1.0006574794284275</v>
      </c>
      <c r="T23" s="2">
        <v>1.0033738842830504</v>
      </c>
      <c r="U23" s="2">
        <v>1.0457193246618799</v>
      </c>
      <c r="V23" s="2">
        <v>1.0343851016267041</v>
      </c>
      <c r="W23" s="2">
        <v>1.0141786898632197</v>
      </c>
      <c r="X23" s="2">
        <v>1.047859374192772</v>
      </c>
      <c r="Y23" s="2">
        <v>1.0091346274997319</v>
      </c>
      <c r="Z23" s="2">
        <v>1.0090817617928871</v>
      </c>
      <c r="AA23" s="2">
        <v>1</v>
      </c>
      <c r="AB23" s="2">
        <v>1</v>
      </c>
      <c r="AC23" s="2">
        <v>1.0338834090162095</v>
      </c>
      <c r="AD23" s="2">
        <v>1.0124774462304531</v>
      </c>
      <c r="AE23" s="2">
        <v>1.0424351334403303</v>
      </c>
      <c r="AF23" s="2">
        <v>1.0002226763626814</v>
      </c>
      <c r="AG23" s="2">
        <v>1.0043291911934846</v>
      </c>
      <c r="AH23" s="2">
        <v>1.0457193246618799</v>
      </c>
      <c r="AI23" s="2">
        <v>1.0008639689074017</v>
      </c>
      <c r="AJ23" s="2">
        <v>1.0100863246267511</v>
      </c>
      <c r="AK23" s="2">
        <v>1.0040561920535289</v>
      </c>
      <c r="AL23" s="2">
        <v>1.0123977740203816</v>
      </c>
      <c r="AM23" s="2">
        <v>1.0249728836958854</v>
      </c>
      <c r="AN23" s="2">
        <v>1.0108601638410164</v>
      </c>
      <c r="AO23" s="2">
        <v>1.0240642854420736</v>
      </c>
      <c r="AP23" s="2">
        <v>1.0240642854420736</v>
      </c>
      <c r="AQ23" s="2">
        <v>1.0240642854420736</v>
      </c>
      <c r="AR23" s="98">
        <v>1.0158427425151602</v>
      </c>
      <c r="AS23" s="2">
        <v>1.0082780307134533</v>
      </c>
      <c r="AT23" s="2">
        <v>1.0091346274997319</v>
      </c>
      <c r="AU23" s="2">
        <v>1.0002421322709196</v>
      </c>
      <c r="AV23" s="2">
        <v>1.0006574794284275</v>
      </c>
      <c r="AW23" s="2">
        <v>1.0090817617928871</v>
      </c>
      <c r="AX23" s="2">
        <v>1.0121936732823689</v>
      </c>
      <c r="AY23" s="2">
        <v>1.0158427425151602</v>
      </c>
      <c r="AZ23" s="2">
        <v>1.0424351334403303</v>
      </c>
      <c r="BA23" s="2">
        <v>1.0002226763626814</v>
      </c>
      <c r="BB23" s="2">
        <v>1.0008639689074017</v>
      </c>
      <c r="BC23" s="2">
        <v>1.0100863246267511</v>
      </c>
      <c r="BD23" s="2">
        <v>1.0123977740203816</v>
      </c>
      <c r="BE23" s="2">
        <v>1.0077027401088001</v>
      </c>
      <c r="BF23" s="2">
        <v>1.0107947112960001</v>
      </c>
      <c r="BG23" s="2">
        <v>1.0175511258751999</v>
      </c>
      <c r="BH23" s="2">
        <v>1.0174161459974786</v>
      </c>
      <c r="BI23" s="2">
        <v>1.0129306681736321</v>
      </c>
      <c r="BJ23" s="2">
        <v>1.0132954341713023</v>
      </c>
      <c r="BK23" s="2">
        <v>1</v>
      </c>
      <c r="BL23" s="2">
        <v>1.0072066144</v>
      </c>
      <c r="BM23" s="2">
        <v>1</v>
      </c>
      <c r="BN23" s="2">
        <v>1.0050451808</v>
      </c>
      <c r="BO23" s="2">
        <v>1.0042387680000002</v>
      </c>
      <c r="BP23" s="2">
        <v>1.0035036265599999</v>
      </c>
      <c r="BQ23" s="2">
        <v>1.0204064206781314</v>
      </c>
      <c r="BR23" s="2">
        <v>1.0184739468032</v>
      </c>
      <c r="BS23" s="2">
        <v>1.0243433101312001</v>
      </c>
      <c r="BT23" s="2">
        <v>1.0233216895996928</v>
      </c>
      <c r="BU23" s="2">
        <v>1.013010701061376</v>
      </c>
      <c r="BV23" s="2">
        <v>1</v>
      </c>
      <c r="BW23" s="2">
        <v>1.0027785440000001</v>
      </c>
      <c r="BX23" s="2">
        <v>1.0001860251014778</v>
      </c>
      <c r="BY23" s="677">
        <v>1.0034497120000001</v>
      </c>
      <c r="BZ23" s="677">
        <v>1.0002309601808965</v>
      </c>
      <c r="CA23" s="677">
        <v>1.0036539200000001</v>
      </c>
      <c r="CB23" s="677">
        <v>1.0002446320226679</v>
      </c>
      <c r="CC23" s="2">
        <v>1.01325999424</v>
      </c>
      <c r="CD23" s="2">
        <v>1.0152422183060414</v>
      </c>
      <c r="CE23" s="94">
        <v>2001</v>
      </c>
    </row>
    <row r="24" spans="1:83" s="2" customFormat="1">
      <c r="A24" s="37">
        <v>1986</v>
      </c>
      <c r="B24" s="2">
        <v>1.0168417227384361</v>
      </c>
      <c r="C24" s="2">
        <v>1.0473775520942246</v>
      </c>
      <c r="D24" s="2">
        <v>1.0199120115627966</v>
      </c>
      <c r="E24" s="2">
        <v>1.0471268559135836</v>
      </c>
      <c r="F24" s="2">
        <v>1.0527310913705206</v>
      </c>
      <c r="G24" s="2">
        <v>1.0556915640594902</v>
      </c>
      <c r="H24" s="2">
        <v>1.0921387701551299</v>
      </c>
      <c r="I24" s="2">
        <v>1.0596473853689494</v>
      </c>
      <c r="J24" s="2">
        <v>1</v>
      </c>
      <c r="K24" s="2">
        <v>1.0596473853689494</v>
      </c>
      <c r="L24" s="2">
        <v>1.0072050960851102</v>
      </c>
      <c r="M24" s="2">
        <v>1</v>
      </c>
      <c r="N24" s="2">
        <v>1.0199005812118678</v>
      </c>
      <c r="O24" s="2">
        <v>1.0102073975048742</v>
      </c>
      <c r="P24" s="2">
        <v>1.0142153769925786</v>
      </c>
      <c r="Q24" s="2">
        <v>1.0518826116771665</v>
      </c>
      <c r="R24" s="2">
        <v>1.0009470005338099</v>
      </c>
      <c r="S24" s="2">
        <v>1.000932751884966</v>
      </c>
      <c r="T24" s="2">
        <v>1.0018684013257366</v>
      </c>
      <c r="U24" s="2">
        <v>1.0473775520942246</v>
      </c>
      <c r="V24" s="2">
        <v>1.036798057644533</v>
      </c>
      <c r="W24" s="2">
        <v>1.010666555971476</v>
      </c>
      <c r="X24" s="2">
        <v>1.0512713868100347</v>
      </c>
      <c r="Y24" s="2">
        <v>1.0111101707888563</v>
      </c>
      <c r="Z24" s="2">
        <v>1.0113287143584024</v>
      </c>
      <c r="AA24" s="2">
        <v>1</v>
      </c>
      <c r="AB24" s="2">
        <v>1</v>
      </c>
      <c r="AC24" s="2">
        <v>1.0411752705090704</v>
      </c>
      <c r="AD24" s="2">
        <v>1.0148027819086509</v>
      </c>
      <c r="AE24" s="2">
        <v>1.0439742441530622</v>
      </c>
      <c r="AF24" s="2">
        <v>1.0001177092835214</v>
      </c>
      <c r="AG24" s="2">
        <v>1.0051320657313136</v>
      </c>
      <c r="AH24" s="2">
        <v>1.0473775520942246</v>
      </c>
      <c r="AI24" s="2">
        <v>1.0015736169278673</v>
      </c>
      <c r="AJ24" s="2">
        <v>1.0103487944505973</v>
      </c>
      <c r="AK24" s="2">
        <v>1.0071528042175788</v>
      </c>
      <c r="AL24" s="2">
        <v>1.0125379625074542</v>
      </c>
      <c r="AM24" s="2">
        <v>1.0249728836958854</v>
      </c>
      <c r="AN24" s="2">
        <v>1.0108601638410164</v>
      </c>
      <c r="AO24" s="2">
        <v>1.0240642854420736</v>
      </c>
      <c r="AP24" s="2">
        <v>1.0240642854420736</v>
      </c>
      <c r="AQ24" s="2">
        <v>1.0240642854420736</v>
      </c>
      <c r="AR24" s="98">
        <v>1.0166765054896707</v>
      </c>
      <c r="AS24" s="2">
        <v>1.0102073975048742</v>
      </c>
      <c r="AT24" s="2">
        <v>1.0111101707888563</v>
      </c>
      <c r="AU24" s="2">
        <v>1.0009470005338099</v>
      </c>
      <c r="AV24" s="2">
        <v>1.000932751884966</v>
      </c>
      <c r="AW24" s="2">
        <v>1.0113287143584024</v>
      </c>
      <c r="AX24" s="2">
        <v>1.0091732381354694</v>
      </c>
      <c r="AY24" s="2">
        <v>1.0166765054896707</v>
      </c>
      <c r="AZ24" s="2">
        <v>1.0439742441530622</v>
      </c>
      <c r="BA24" s="2">
        <v>1.0001177092835214</v>
      </c>
      <c r="BB24" s="2">
        <v>1.0015736169278673</v>
      </c>
      <c r="BC24" s="2">
        <v>1.0103487944505973</v>
      </c>
      <c r="BD24" s="2">
        <v>1.0125379625074542</v>
      </c>
      <c r="BE24" s="2">
        <v>1.0106400127944</v>
      </c>
      <c r="BF24" s="2">
        <v>1.0169606964623998</v>
      </c>
      <c r="BG24" s="2">
        <v>1.0263850142663999</v>
      </c>
      <c r="BH24" s="2">
        <v>1.0256174656484585</v>
      </c>
      <c r="BI24" s="2">
        <v>1.0187728813255079</v>
      </c>
      <c r="BJ24" s="2">
        <v>1.0187416993872127</v>
      </c>
      <c r="BK24" s="2">
        <v>1</v>
      </c>
      <c r="BL24" s="2">
        <v>1.01141219024</v>
      </c>
      <c r="BM24" s="2">
        <v>1</v>
      </c>
      <c r="BN24" s="2">
        <v>1.0078299576</v>
      </c>
      <c r="BO24" s="2">
        <v>1.0065712199999999</v>
      </c>
      <c r="BP24" s="2">
        <v>1.0051215403999998</v>
      </c>
      <c r="BQ24" s="2">
        <v>1.0337295926354881</v>
      </c>
      <c r="BR24" s="2">
        <v>1.0299501760415473</v>
      </c>
      <c r="BS24" s="2">
        <v>1.035800438548288</v>
      </c>
      <c r="BT24" s="2">
        <v>1.0300994142649176</v>
      </c>
      <c r="BU24" s="2">
        <v>1.02108964117958</v>
      </c>
      <c r="BV24" s="2">
        <v>1</v>
      </c>
      <c r="BW24" s="2">
        <v>1.00346308</v>
      </c>
      <c r="BX24" s="2">
        <v>1.0002210124918467</v>
      </c>
      <c r="BY24" s="677">
        <v>1.0052095399999998</v>
      </c>
      <c r="BZ24" s="677">
        <v>1.0003324709266823</v>
      </c>
      <c r="CA24" s="677">
        <v>1.00534648</v>
      </c>
      <c r="CB24" s="677">
        <v>1.0003412103871145</v>
      </c>
      <c r="CC24" s="2">
        <v>1.01928053668</v>
      </c>
      <c r="CD24" s="2">
        <v>1.0210102659155404</v>
      </c>
      <c r="CE24" s="94">
        <v>2002</v>
      </c>
    </row>
    <row r="25" spans="1:83" s="2" customFormat="1">
      <c r="A25" s="37">
        <v>1987</v>
      </c>
      <c r="B25" s="2">
        <v>1.0194105645891898</v>
      </c>
      <c r="C25" s="2">
        <v>1.0546167671718589</v>
      </c>
      <c r="D25" s="2">
        <v>1.0228865056232892</v>
      </c>
      <c r="E25" s="2">
        <v>1.0553776161877759</v>
      </c>
      <c r="F25" s="2">
        <v>1.0620867555326901</v>
      </c>
      <c r="G25" s="2">
        <v>1.0650225852206712</v>
      </c>
      <c r="H25" s="2">
        <v>1.1032312109389051</v>
      </c>
      <c r="I25" s="2">
        <v>1.0674295538908107</v>
      </c>
      <c r="J25" s="2">
        <v>1</v>
      </c>
      <c r="K25" s="2">
        <v>1.0674295538908107</v>
      </c>
      <c r="L25" s="2">
        <v>1.0105192106569552</v>
      </c>
      <c r="M25" s="2">
        <v>1</v>
      </c>
      <c r="N25" s="2">
        <v>1.0199005812118678</v>
      </c>
      <c r="O25" s="2">
        <v>1.0116782332333525</v>
      </c>
      <c r="P25" s="2">
        <v>1.0161686303579929</v>
      </c>
      <c r="Q25" s="2">
        <v>1.0602208249970033</v>
      </c>
      <c r="R25" s="2">
        <v>1.0011399279312008</v>
      </c>
      <c r="S25" s="2">
        <v>1.0015277511963034</v>
      </c>
      <c r="T25" s="2">
        <v>1.0073399372336542</v>
      </c>
      <c r="U25" s="2">
        <v>1.0546167671718589</v>
      </c>
      <c r="V25" s="2">
        <v>1.042142926229916</v>
      </c>
      <c r="W25" s="2">
        <v>1.0126315000024004</v>
      </c>
      <c r="X25" s="2">
        <v>1.0623509645288518</v>
      </c>
      <c r="Y25" s="2">
        <v>1.0124666450408002</v>
      </c>
      <c r="Z25" s="2">
        <v>1.0127813549898323</v>
      </c>
      <c r="AA25" s="2">
        <v>1</v>
      </c>
      <c r="AB25" s="2">
        <v>1</v>
      </c>
      <c r="AC25" s="2">
        <v>1.0460998762651315</v>
      </c>
      <c r="AD25" s="2">
        <v>1.0167682695360425</v>
      </c>
      <c r="AE25" s="2">
        <v>1.0499658389898092</v>
      </c>
      <c r="AF25" s="2">
        <v>1.000491775794655</v>
      </c>
      <c r="AG25" s="2">
        <v>1.008283489566888</v>
      </c>
      <c r="AH25" s="2">
        <v>1.0546167671718589</v>
      </c>
      <c r="AI25" s="2">
        <v>1.0011184554562087</v>
      </c>
      <c r="AJ25" s="2">
        <v>1.0120456296167046</v>
      </c>
      <c r="AK25" s="2">
        <v>1.0050380876405793</v>
      </c>
      <c r="AL25" s="2">
        <v>1.0139696966293057</v>
      </c>
      <c r="AM25" s="2">
        <v>1.0249728836958854</v>
      </c>
      <c r="AN25" s="2">
        <v>1.0108601638410164</v>
      </c>
      <c r="AO25" s="2">
        <v>1.0240642854420736</v>
      </c>
      <c r="AP25" s="2">
        <v>1.0240642854420736</v>
      </c>
      <c r="AQ25" s="2">
        <v>1.0240642854420736</v>
      </c>
      <c r="AR25" s="98">
        <v>1.019210084546907</v>
      </c>
      <c r="AS25" s="2">
        <v>1.0116782332333525</v>
      </c>
      <c r="AT25" s="2">
        <v>1.0124666450408002</v>
      </c>
      <c r="AU25" s="2">
        <v>1.0011399279312008</v>
      </c>
      <c r="AV25" s="2">
        <v>1.0015277511963034</v>
      </c>
      <c r="AW25" s="2">
        <v>1.0127813549898323</v>
      </c>
      <c r="AX25" s="2">
        <v>1.0108630900020645</v>
      </c>
      <c r="AY25" s="2">
        <v>1.019210084546907</v>
      </c>
      <c r="AZ25" s="2">
        <v>1.0499658389898092</v>
      </c>
      <c r="BA25" s="2">
        <v>1.000491775794655</v>
      </c>
      <c r="BB25" s="2">
        <v>1.0011184554562087</v>
      </c>
      <c r="BC25" s="2">
        <v>1.0120456296167046</v>
      </c>
      <c r="BD25" s="2">
        <v>1.0139696966293057</v>
      </c>
      <c r="BE25" s="2">
        <v>1.0196397421308161</v>
      </c>
      <c r="BF25" s="2">
        <v>1.0291901907348802</v>
      </c>
      <c r="BG25" s="2">
        <v>1.0408633420571201</v>
      </c>
      <c r="BH25" s="2">
        <v>1.0324805180057983</v>
      </c>
      <c r="BI25" s="2">
        <v>1.0312444673214656</v>
      </c>
      <c r="BJ25" s="2">
        <v>1.0260280823599186</v>
      </c>
      <c r="BK25" s="2">
        <v>1</v>
      </c>
      <c r="BL25" s="2">
        <v>1.0195316840640001</v>
      </c>
      <c r="BM25" s="2">
        <v>1</v>
      </c>
      <c r="BN25" s="2">
        <v>1.0127365998560001</v>
      </c>
      <c r="BO25" s="2">
        <v>1.01180184</v>
      </c>
      <c r="BP25" s="2">
        <v>1.0088514732399998</v>
      </c>
      <c r="BQ25" s="2">
        <v>1.0483254580038914</v>
      </c>
      <c r="BR25" s="2">
        <v>1.0540551625127117</v>
      </c>
      <c r="BS25" s="2">
        <v>1.0501627894324512</v>
      </c>
      <c r="BT25" s="2">
        <v>1.0432908112801382</v>
      </c>
      <c r="BU25" s="2">
        <v>1.0313073524569121</v>
      </c>
      <c r="BV25" s="2">
        <v>1</v>
      </c>
      <c r="BW25" s="2">
        <v>1.0061757680000001</v>
      </c>
      <c r="BX25" s="2">
        <v>1.0003791972488434</v>
      </c>
      <c r="BY25" s="677">
        <v>1.0092623119999999</v>
      </c>
      <c r="BZ25" s="677">
        <v>1.0005687135961598</v>
      </c>
      <c r="CA25" s="677">
        <v>1.0078601199999999</v>
      </c>
      <c r="CB25" s="677">
        <v>1.0004826178508615</v>
      </c>
      <c r="CC25" s="2">
        <v>1.0300598278359998</v>
      </c>
      <c r="CD25" s="2">
        <v>1.0131909049904482</v>
      </c>
      <c r="CE25" s="94">
        <v>2003</v>
      </c>
    </row>
    <row r="26" spans="1:83" s="2" customFormat="1">
      <c r="A26" s="37">
        <v>1988</v>
      </c>
      <c r="B26" s="2">
        <v>1.0228330277751905</v>
      </c>
      <c r="C26" s="2">
        <v>1.0611255582951462</v>
      </c>
      <c r="D26" s="2">
        <v>1.0232760053041785</v>
      </c>
      <c r="E26" s="2">
        <v>1.0692125419545015</v>
      </c>
      <c r="F26" s="2">
        <v>1.0716047881460888</v>
      </c>
      <c r="G26" s="2">
        <v>1.0817275030046312</v>
      </c>
      <c r="H26" s="2">
        <v>1.116887184876203</v>
      </c>
      <c r="I26" s="2">
        <v>1.071079527666563</v>
      </c>
      <c r="J26" s="2">
        <v>1</v>
      </c>
      <c r="K26" s="2">
        <v>1.071079527666563</v>
      </c>
      <c r="L26" s="2">
        <v>1.010611419909045</v>
      </c>
      <c r="M26" s="2">
        <v>1</v>
      </c>
      <c r="N26" s="2">
        <v>1.0199005812118678</v>
      </c>
      <c r="O26" s="2">
        <v>1.0133729865882717</v>
      </c>
      <c r="P26" s="2">
        <v>1.0215352850323258</v>
      </c>
      <c r="Q26" s="2">
        <v>1.0684901365314154</v>
      </c>
      <c r="R26" s="2">
        <v>1.0004897614227051</v>
      </c>
      <c r="S26" s="2">
        <v>1.0011012888516739</v>
      </c>
      <c r="T26" s="2">
        <v>1.0115728216141546</v>
      </c>
      <c r="U26" s="2">
        <v>1.0611255582951462</v>
      </c>
      <c r="V26" s="2">
        <v>1.0480691539007625</v>
      </c>
      <c r="W26" s="2">
        <v>1.0166272974380992</v>
      </c>
      <c r="X26" s="2">
        <v>1.072310332185568</v>
      </c>
      <c r="Y26" s="2">
        <v>1.0140270740749127</v>
      </c>
      <c r="Z26" s="2">
        <v>1.0173763904165529</v>
      </c>
      <c r="AA26" s="2">
        <v>1</v>
      </c>
      <c r="AB26" s="2">
        <v>1</v>
      </c>
      <c r="AC26" s="2">
        <v>1.0555242178637505</v>
      </c>
      <c r="AD26" s="2">
        <v>1.0221524414578149</v>
      </c>
      <c r="AE26" s="2">
        <v>1.0552049857375363</v>
      </c>
      <c r="AF26" s="2">
        <v>1.0006467476055714</v>
      </c>
      <c r="AG26" s="2">
        <v>1.0112758828693778</v>
      </c>
      <c r="AH26" s="2">
        <v>1.0611255582951462</v>
      </c>
      <c r="AI26" s="2">
        <v>1.0010271171682064</v>
      </c>
      <c r="AJ26" s="2">
        <v>1.0155054052232746</v>
      </c>
      <c r="AK26" s="2">
        <v>1.0079709698132646</v>
      </c>
      <c r="AL26" s="2">
        <v>1.0184557392727034</v>
      </c>
      <c r="AM26" s="2">
        <v>1.0249728836958854</v>
      </c>
      <c r="AN26" s="2">
        <v>1.0108601638410164</v>
      </c>
      <c r="AO26" s="2">
        <v>1.0240642854420736</v>
      </c>
      <c r="AP26" s="2">
        <v>1.0240642854420736</v>
      </c>
      <c r="AQ26" s="2">
        <v>1.0240642854420736</v>
      </c>
      <c r="AR26" s="98">
        <v>1.0226032160064769</v>
      </c>
      <c r="AS26" s="2">
        <v>1.0133729865882717</v>
      </c>
      <c r="AT26" s="2">
        <v>1.0140270740749127</v>
      </c>
      <c r="AU26" s="2">
        <v>1.0004897614227051</v>
      </c>
      <c r="AV26" s="2">
        <v>1.0011012888516739</v>
      </c>
      <c r="AW26" s="2">
        <v>1.0173763904165529</v>
      </c>
      <c r="AX26" s="2">
        <v>1.0142994757967654</v>
      </c>
      <c r="AY26" s="2">
        <v>1.0226032160064769</v>
      </c>
      <c r="AZ26" s="2">
        <v>1.0552049857375363</v>
      </c>
      <c r="BA26" s="2">
        <v>1.0006467476055714</v>
      </c>
      <c r="BB26" s="2">
        <v>1.0010271171682064</v>
      </c>
      <c r="BC26" s="2">
        <v>1.0155054052232746</v>
      </c>
      <c r="BD26" s="2">
        <v>1.0184557392727034</v>
      </c>
      <c r="BE26" s="2">
        <v>1.0234663250424545</v>
      </c>
      <c r="BF26" s="2">
        <v>1.0373255849231999</v>
      </c>
      <c r="BG26" s="2">
        <v>1.0481751414056319</v>
      </c>
      <c r="BH26" s="2">
        <v>1.0361430350000513</v>
      </c>
      <c r="BI26" s="2">
        <v>1.0388823907649791</v>
      </c>
      <c r="BJ26" s="2">
        <v>1.0302775124671821</v>
      </c>
      <c r="BK26" s="2">
        <v>1</v>
      </c>
      <c r="BL26" s="2">
        <v>1.0193206430456001</v>
      </c>
      <c r="BM26" s="2">
        <v>1</v>
      </c>
      <c r="BN26" s="2">
        <v>1.0224736842191999</v>
      </c>
      <c r="BO26" s="2">
        <v>1.015946574</v>
      </c>
      <c r="BP26" s="2">
        <v>1.0111872303124001</v>
      </c>
      <c r="BQ26" s="2">
        <v>1.0558355025490906</v>
      </c>
      <c r="BR26" s="2">
        <v>1.0607638638931585</v>
      </c>
      <c r="BS26" s="2">
        <v>1.0577136389359385</v>
      </c>
      <c r="BT26" s="2">
        <v>1.0525737154386803</v>
      </c>
      <c r="BU26" s="2">
        <v>1.038287763570954</v>
      </c>
      <c r="BV26" s="2">
        <v>1</v>
      </c>
      <c r="BW26" s="2">
        <v>1.0038605124000002</v>
      </c>
      <c r="BX26" s="2">
        <v>1.000232230454696</v>
      </c>
      <c r="BY26" s="677">
        <v>1.0038605124000002</v>
      </c>
      <c r="BZ26" s="677">
        <v>1.000232230454696</v>
      </c>
      <c r="CA26" s="677">
        <v>1.0038605124000002</v>
      </c>
      <c r="CB26" s="677">
        <v>1.000232230454696</v>
      </c>
      <c r="CC26" s="2">
        <v>1.0368104292832001</v>
      </c>
      <c r="CD26" s="2">
        <v>1.0160731346416001</v>
      </c>
      <c r="CE26" s="95">
        <v>2004</v>
      </c>
    </row>
    <row r="27" spans="1:83" s="2" customFormat="1">
      <c r="A27" s="36">
        <v>1989</v>
      </c>
      <c r="B27" s="2">
        <v>1.0229930706020613</v>
      </c>
      <c r="C27" s="2">
        <v>1.0591274705870117</v>
      </c>
      <c r="D27" s="2">
        <v>1.0253956990506794</v>
      </c>
      <c r="E27" s="2">
        <v>1.0671877720558323</v>
      </c>
      <c r="F27" s="2">
        <v>1.0687787309694092</v>
      </c>
      <c r="G27" s="2">
        <v>1.0776402199698532</v>
      </c>
      <c r="H27" s="2">
        <v>1.1123985092699025</v>
      </c>
      <c r="I27" s="2">
        <v>1.0683055910562016</v>
      </c>
      <c r="J27" s="2">
        <v>1</v>
      </c>
      <c r="K27" s="2">
        <v>1.0683055910562016</v>
      </c>
      <c r="L27" s="2">
        <v>1.006788074982478</v>
      </c>
      <c r="M27" s="2">
        <v>1</v>
      </c>
      <c r="N27" s="2">
        <v>1.0199005812118678</v>
      </c>
      <c r="O27" s="2">
        <v>1.0140076159712572</v>
      </c>
      <c r="P27" s="2">
        <v>1.0207794991159442</v>
      </c>
      <c r="Q27" s="2">
        <v>1.0642001559141749</v>
      </c>
      <c r="R27" s="2">
        <v>1.000315631628818</v>
      </c>
      <c r="S27" s="2">
        <v>1.0010808669002029</v>
      </c>
      <c r="T27" s="2">
        <v>1.012017287797204</v>
      </c>
      <c r="U27" s="2">
        <v>1.0591274705870117</v>
      </c>
      <c r="V27" s="2">
        <v>1.0451767917359454</v>
      </c>
      <c r="W27" s="2">
        <v>1.0160939037730523</v>
      </c>
      <c r="X27" s="2">
        <v>1.0690646473271317</v>
      </c>
      <c r="Y27" s="2">
        <v>1.0146889004687831</v>
      </c>
      <c r="Z27" s="2">
        <v>1.0168269208798792</v>
      </c>
      <c r="AA27" s="2">
        <v>1</v>
      </c>
      <c r="AB27" s="2">
        <v>1</v>
      </c>
      <c r="AC27" s="2">
        <v>1.0527021535587122</v>
      </c>
      <c r="AD27" s="2">
        <v>1.0214242320194333</v>
      </c>
      <c r="AE27" s="2">
        <v>1.0537107784888766</v>
      </c>
      <c r="AF27" s="2">
        <v>1.0008692293230754</v>
      </c>
      <c r="AG27" s="2">
        <v>1.0108113915886796</v>
      </c>
      <c r="AH27" s="2">
        <v>1.0591274705870117</v>
      </c>
      <c r="AI27" s="2">
        <v>1.0012135186017026</v>
      </c>
      <c r="AJ27" s="2">
        <v>1.0148137049197565</v>
      </c>
      <c r="AK27" s="2">
        <v>1.0082739904661528</v>
      </c>
      <c r="AL27" s="2">
        <v>1.0181924514760092</v>
      </c>
      <c r="AM27" s="2">
        <v>1.0249728836958854</v>
      </c>
      <c r="AN27" s="2">
        <v>1.0108601638410164</v>
      </c>
      <c r="AO27" s="2">
        <v>1.0240642854420736</v>
      </c>
      <c r="AP27" s="2">
        <v>1.0240642854420736</v>
      </c>
      <c r="AQ27" s="2">
        <v>1.0240642854420736</v>
      </c>
      <c r="AR27" s="98">
        <v>1.0227385146433665</v>
      </c>
      <c r="AS27" s="2">
        <v>1.0140076159712572</v>
      </c>
      <c r="AT27" s="2">
        <v>1.0146889004687831</v>
      </c>
      <c r="AU27" s="2">
        <v>1.000315631628818</v>
      </c>
      <c r="AV27" s="2">
        <v>1.0010808669002029</v>
      </c>
      <c r="AW27" s="2">
        <v>1.0168269208798792</v>
      </c>
      <c r="AX27" s="2">
        <v>1.0138407572448251</v>
      </c>
      <c r="AY27" s="2">
        <v>1.0227385146433665</v>
      </c>
      <c r="AZ27" s="2">
        <v>1.0537107784888766</v>
      </c>
      <c r="BA27" s="2">
        <v>1.0008692293230754</v>
      </c>
      <c r="BB27" s="2">
        <v>1.0012135186017026</v>
      </c>
      <c r="BC27" s="2">
        <v>1.0148137049197565</v>
      </c>
      <c r="BD27" s="2">
        <v>1.0181924514760092</v>
      </c>
      <c r="BE27" s="2">
        <v>1.0243004251016958</v>
      </c>
      <c r="BF27" s="2">
        <v>1.0368854864943999</v>
      </c>
      <c r="BG27" s="2">
        <v>1.0482106432537599</v>
      </c>
      <c r="BH27" s="2">
        <v>1.0349394174431563</v>
      </c>
      <c r="BI27" s="2">
        <v>1.038426572129902</v>
      </c>
      <c r="BJ27" s="2">
        <v>1.0306776233798349</v>
      </c>
      <c r="BK27" s="2">
        <v>1</v>
      </c>
      <c r="BL27" s="2">
        <v>1.020478749692</v>
      </c>
      <c r="BM27" s="2">
        <v>1</v>
      </c>
      <c r="BN27" s="2">
        <v>1.0166975687503998</v>
      </c>
      <c r="BO27" s="2">
        <v>1.0172742983</v>
      </c>
      <c r="BP27" s="2">
        <v>1.0119466392744001</v>
      </c>
      <c r="BQ27" s="2">
        <v>1.057623083001221</v>
      </c>
      <c r="BR27" s="2">
        <v>1.060073914625157</v>
      </c>
      <c r="BS27" s="2">
        <v>1.0574208104661298</v>
      </c>
      <c r="BT27" s="2">
        <v>1.0420034099392639</v>
      </c>
      <c r="BU27" s="2">
        <v>1.0383936058063385</v>
      </c>
      <c r="BV27" s="2">
        <v>1</v>
      </c>
      <c r="BW27" s="2">
        <v>1.0033480077999999</v>
      </c>
      <c r="BX27" s="2">
        <v>1.0001998475307858</v>
      </c>
      <c r="BY27" s="677">
        <v>1.0119205840000001</v>
      </c>
      <c r="BZ27" s="677">
        <v>1.0007115572663616</v>
      </c>
      <c r="CA27" s="677">
        <v>1.0111885391</v>
      </c>
      <c r="CB27" s="677">
        <v>1.0006678604250074</v>
      </c>
      <c r="CC27" s="2">
        <v>1.0369747264959999</v>
      </c>
      <c r="CD27" s="2">
        <v>1.0159414885873279</v>
      </c>
      <c r="CE27" s="94">
        <v>2005</v>
      </c>
    </row>
    <row r="28" spans="1:83" s="2" customFormat="1">
      <c r="A28" s="37">
        <v>1990</v>
      </c>
      <c r="B28" s="2">
        <v>1.0238366398843508</v>
      </c>
      <c r="C28" s="2">
        <v>1.0484649337646388</v>
      </c>
      <c r="D28" s="2">
        <v>1.0259536119978605</v>
      </c>
      <c r="E28" s="2">
        <v>1.0615022299362404</v>
      </c>
      <c r="F28" s="2">
        <v>1.0631841376109499</v>
      </c>
      <c r="G28" s="2">
        <v>1.0696325967867522</v>
      </c>
      <c r="H28" s="2">
        <v>1.0987535231284222</v>
      </c>
      <c r="I28" s="2">
        <v>1.087192632733899</v>
      </c>
      <c r="J28" s="2">
        <v>1</v>
      </c>
      <c r="K28" s="2">
        <v>1.087192632733899</v>
      </c>
      <c r="L28" s="2">
        <v>1.0096738956607063</v>
      </c>
      <c r="M28" s="2">
        <v>1</v>
      </c>
      <c r="N28" s="2">
        <v>1.0199005812118678</v>
      </c>
      <c r="O28" s="2">
        <v>1.0141391306013481</v>
      </c>
      <c r="P28" s="2">
        <v>1.0204639176048171</v>
      </c>
      <c r="Q28" s="2">
        <v>1.0655417909014071</v>
      </c>
      <c r="R28" s="2">
        <v>1.0004490297095656</v>
      </c>
      <c r="S28" s="2">
        <v>1.0017841770618099</v>
      </c>
      <c r="T28" s="2">
        <v>1.0135438306521536</v>
      </c>
      <c r="U28" s="2">
        <v>1.0484649337646388</v>
      </c>
      <c r="V28" s="2">
        <v>1.0412405072749704</v>
      </c>
      <c r="W28" s="2">
        <v>1.0163437043142793</v>
      </c>
      <c r="X28" s="2">
        <v>1.0654220163028505</v>
      </c>
      <c r="Y28" s="2">
        <v>1.0147341906777196</v>
      </c>
      <c r="Z28" s="2">
        <v>1.0138936886011729</v>
      </c>
      <c r="AA28" s="2">
        <v>1</v>
      </c>
      <c r="AB28" s="2">
        <v>1</v>
      </c>
      <c r="AC28" s="2">
        <v>1.0500557732669555</v>
      </c>
      <c r="AD28" s="2">
        <v>1.0177382863468296</v>
      </c>
      <c r="AE28" s="2">
        <v>1.042154897432872</v>
      </c>
      <c r="AF28" s="2">
        <v>1.0010289041770488</v>
      </c>
      <c r="AG28" s="2">
        <v>1.0164521007423901</v>
      </c>
      <c r="AH28" s="2">
        <v>1.0484649337646388</v>
      </c>
      <c r="AI28" s="2">
        <v>1.002182885939805</v>
      </c>
      <c r="AJ28" s="2">
        <v>1.0151003248005945</v>
      </c>
      <c r="AK28" s="2">
        <v>1.0111191404658806</v>
      </c>
      <c r="AL28" s="2">
        <v>1.0174823248097953</v>
      </c>
      <c r="AM28" s="2">
        <v>1.0249728836958854</v>
      </c>
      <c r="AN28" s="2">
        <v>1.0108601638410164</v>
      </c>
      <c r="AO28" s="2">
        <v>1.0240642854420736</v>
      </c>
      <c r="AP28" s="2">
        <v>1.0240642854420736</v>
      </c>
      <c r="AQ28" s="2">
        <v>1.0240642854420736</v>
      </c>
      <c r="AR28" s="98">
        <v>1.0235587090690919</v>
      </c>
      <c r="AS28" s="2">
        <v>1.0141391306013481</v>
      </c>
      <c r="AT28" s="2">
        <v>1.0147341906777196</v>
      </c>
      <c r="AU28" s="2">
        <v>1.0004490297095656</v>
      </c>
      <c r="AV28" s="2">
        <v>1.0017841770618099</v>
      </c>
      <c r="AW28" s="2">
        <v>1.0138936886011729</v>
      </c>
      <c r="AX28" s="2">
        <v>1.0140555857102802</v>
      </c>
      <c r="AY28" s="2">
        <v>1.0235587090690919</v>
      </c>
      <c r="AZ28" s="2">
        <v>1.042154897432872</v>
      </c>
      <c r="BA28" s="2">
        <v>1.0010289041770488</v>
      </c>
      <c r="BB28" s="2">
        <v>1.002182885939805</v>
      </c>
      <c r="BC28" s="2">
        <v>1.0151003248005945</v>
      </c>
      <c r="BD28" s="2">
        <v>1.0174823248097953</v>
      </c>
      <c r="BE28" s="2">
        <v>1.0211734869762865</v>
      </c>
      <c r="BF28" s="2">
        <v>1.0329758729666561</v>
      </c>
      <c r="BG28" s="2">
        <v>1.0389894809957376</v>
      </c>
      <c r="BH28" s="2">
        <v>1.0325329094670335</v>
      </c>
      <c r="BI28" s="2">
        <v>1.0363862012537857</v>
      </c>
      <c r="BJ28" s="2">
        <v>1.0263138008023041</v>
      </c>
      <c r="BK28" s="2">
        <v>1</v>
      </c>
      <c r="BL28" s="2">
        <v>1.0215051839456974</v>
      </c>
      <c r="BM28" s="2">
        <v>1</v>
      </c>
      <c r="BN28" s="2">
        <v>1.0179667468747979</v>
      </c>
      <c r="BO28" s="2">
        <v>1.0180589004484708</v>
      </c>
      <c r="BP28" s="2">
        <v>1.0102984687359999</v>
      </c>
      <c r="BQ28" s="2">
        <v>1.0486717822306304</v>
      </c>
      <c r="BR28" s="2">
        <v>1.047646986373632</v>
      </c>
      <c r="BS28" s="2">
        <v>1.0469838579763198</v>
      </c>
      <c r="BT28" s="2">
        <v>1.0361742788300798</v>
      </c>
      <c r="BU28" s="2">
        <v>1.031927711525888</v>
      </c>
      <c r="BV28" s="2">
        <v>1</v>
      </c>
      <c r="BW28" s="2">
        <v>1.0035099424000002</v>
      </c>
      <c r="BX28" s="2">
        <v>1.0002093227364959</v>
      </c>
      <c r="BY28" s="2">
        <v>1.007259847264</v>
      </c>
      <c r="BZ28" s="2">
        <v>1.0004329561350758</v>
      </c>
      <c r="CA28" s="2">
        <v>1.0041613384000001</v>
      </c>
      <c r="CB28" s="2">
        <v>1.0002481700957182</v>
      </c>
      <c r="CC28" s="2">
        <v>1.0313560282879999</v>
      </c>
      <c r="CD28" s="2">
        <v>1.0141297657307851</v>
      </c>
      <c r="CE28" s="94">
        <v>2006</v>
      </c>
    </row>
    <row r="29" spans="1:83" s="2" customFormat="1">
      <c r="A29" s="37">
        <v>1991</v>
      </c>
      <c r="B29" s="2">
        <v>1.0168382170039527</v>
      </c>
      <c r="C29" s="2">
        <v>1.0414214551320802</v>
      </c>
      <c r="D29" s="2">
        <v>1.0186831058142825</v>
      </c>
      <c r="E29" s="2">
        <v>1.0469814306186083</v>
      </c>
      <c r="F29" s="2">
        <v>1.0451092825401658</v>
      </c>
      <c r="G29" s="2">
        <v>1.0441958368604827</v>
      </c>
      <c r="H29" s="2">
        <v>1.0781507324461241</v>
      </c>
      <c r="I29" s="2">
        <v>1.0999496095746668</v>
      </c>
      <c r="J29" s="2">
        <v>1</v>
      </c>
      <c r="K29" s="2">
        <v>1.0999496095746668</v>
      </c>
      <c r="L29" s="2">
        <v>1.0067538690491347</v>
      </c>
      <c r="M29" s="2">
        <v>1</v>
      </c>
      <c r="N29" s="2">
        <v>1.0199005812118678</v>
      </c>
      <c r="O29" s="2">
        <v>1.0095003545393877</v>
      </c>
      <c r="P29" s="2">
        <v>1.0153734084147894</v>
      </c>
      <c r="Q29" s="2">
        <v>1.0497686166174793</v>
      </c>
      <c r="R29" s="2">
        <v>1.0002489569672635</v>
      </c>
      <c r="S29" s="2">
        <v>1.0017683672528841</v>
      </c>
      <c r="T29" s="2">
        <v>1.0128971833036577</v>
      </c>
      <c r="U29" s="2">
        <v>1.0414214551320802</v>
      </c>
      <c r="V29" s="2">
        <v>1.0309558319096153</v>
      </c>
      <c r="W29" s="2">
        <v>1.0130128298195094</v>
      </c>
      <c r="X29" s="2">
        <v>1.0503293399431501</v>
      </c>
      <c r="Y29" s="2">
        <v>1.0100225132862626</v>
      </c>
      <c r="Z29" s="2">
        <v>1.0115704343507463</v>
      </c>
      <c r="AA29" s="2">
        <v>1</v>
      </c>
      <c r="AB29" s="2">
        <v>1</v>
      </c>
      <c r="AC29" s="2">
        <v>1.0409462737573885</v>
      </c>
      <c r="AD29" s="2">
        <v>1.0146738787219995</v>
      </c>
      <c r="AE29" s="2">
        <v>1.0363265123914667</v>
      </c>
      <c r="AF29" s="2">
        <v>1.0033747615100079</v>
      </c>
      <c r="AG29" s="2">
        <v>1.0163887746385294</v>
      </c>
      <c r="AH29" s="2">
        <v>1.0414214551320802</v>
      </c>
      <c r="AI29" s="2">
        <v>1.0039371689765229</v>
      </c>
      <c r="AJ29" s="2">
        <v>1.0113778595677856</v>
      </c>
      <c r="AK29" s="2">
        <v>1.0201964425560073</v>
      </c>
      <c r="AL29" s="2">
        <v>1.0134056121376962</v>
      </c>
      <c r="AM29" s="2">
        <v>1.0249728836958854</v>
      </c>
      <c r="AN29" s="2">
        <v>1.0108601638410164</v>
      </c>
      <c r="AO29" s="2">
        <v>1.0240642854420736</v>
      </c>
      <c r="AP29" s="2">
        <v>1.0240642854420736</v>
      </c>
      <c r="AQ29" s="2">
        <v>1.0240642854420736</v>
      </c>
      <c r="AR29" s="98">
        <v>1.0166033552320048</v>
      </c>
      <c r="AS29" s="2">
        <v>1.0095003545393877</v>
      </c>
      <c r="AT29" s="2">
        <v>1.0100225132862626</v>
      </c>
      <c r="AU29" s="2">
        <v>1.0002489569672635</v>
      </c>
      <c r="AV29" s="2">
        <v>1.0017683672528841</v>
      </c>
      <c r="AW29" s="2">
        <v>1.0115704343507463</v>
      </c>
      <c r="AX29" s="2">
        <v>1.011191033644778</v>
      </c>
      <c r="AY29" s="2">
        <v>1.0166033552320048</v>
      </c>
      <c r="AZ29" s="2">
        <v>1.0363265123914667</v>
      </c>
      <c r="BA29" s="2">
        <v>1.0033747615100079</v>
      </c>
      <c r="BB29" s="2">
        <v>1.0039371689765229</v>
      </c>
      <c r="BC29" s="2">
        <v>1.0113778595677856</v>
      </c>
      <c r="BD29" s="2">
        <v>1.0134056121376962</v>
      </c>
      <c r="BE29" s="2">
        <v>1.0181924578292532</v>
      </c>
      <c r="BF29" s="2">
        <v>1.0260827106951169</v>
      </c>
      <c r="BG29" s="2">
        <v>1.0311750877167616</v>
      </c>
      <c r="BH29" s="2">
        <v>1.030254951419904</v>
      </c>
      <c r="BI29" s="2">
        <v>1.0300824067735552</v>
      </c>
      <c r="BJ29" s="2">
        <v>1.0234267467751423</v>
      </c>
      <c r="BK29" s="2">
        <v>1</v>
      </c>
      <c r="BL29" s="2">
        <v>1.0179984251441971</v>
      </c>
      <c r="BM29" s="2">
        <v>1</v>
      </c>
      <c r="BN29" s="2">
        <v>1.0145014905441485</v>
      </c>
      <c r="BO29" s="2">
        <v>1.0173081222549505</v>
      </c>
      <c r="BP29" s="2">
        <v>1.0095436073186921</v>
      </c>
      <c r="BQ29" s="2">
        <v>1.0355445901639679</v>
      </c>
      <c r="BR29" s="2">
        <v>1.0379452241018878</v>
      </c>
      <c r="BS29" s="2">
        <v>1.0370294375178239</v>
      </c>
      <c r="BT29" s="2">
        <v>1.0323369341419517</v>
      </c>
      <c r="BU29" s="2">
        <v>1.0391450197196799</v>
      </c>
      <c r="BV29" s="2">
        <v>1</v>
      </c>
      <c r="BW29" s="2">
        <v>1.0039745920000001</v>
      </c>
      <c r="BX29" s="2">
        <v>1.0002376314433699</v>
      </c>
      <c r="BY29" s="2">
        <v>1.0082979519999999</v>
      </c>
      <c r="BZ29" s="2">
        <v>1.000496114899535</v>
      </c>
      <c r="CA29" s="2">
        <v>1.008183136</v>
      </c>
      <c r="CB29" s="2">
        <v>1.0004892503227931</v>
      </c>
      <c r="CC29" s="2">
        <v>1.0261358178959359</v>
      </c>
      <c r="CD29" s="2">
        <v>1.0121436139519999</v>
      </c>
      <c r="CE29" s="94">
        <v>2007</v>
      </c>
    </row>
    <row r="30" spans="1:83" s="2" customFormat="1">
      <c r="A30" s="37">
        <v>1992</v>
      </c>
      <c r="B30" s="2">
        <v>1.0179477100892198</v>
      </c>
      <c r="C30" s="2">
        <v>1.0376031631749645</v>
      </c>
      <c r="D30" s="2">
        <v>1.0142431573893211</v>
      </c>
      <c r="E30" s="2">
        <v>1.0413504961205824</v>
      </c>
      <c r="F30" s="2">
        <v>1.0423629388022091</v>
      </c>
      <c r="G30" s="2">
        <v>1.0471980905694875</v>
      </c>
      <c r="H30" s="2">
        <v>1.0693274584348835</v>
      </c>
      <c r="I30" s="2">
        <v>1.1008421981443102</v>
      </c>
      <c r="J30" s="2">
        <v>1</v>
      </c>
      <c r="K30" s="2">
        <v>1.1008421981443102</v>
      </c>
      <c r="L30" s="2">
        <v>1.0051928438491153</v>
      </c>
      <c r="M30" s="2">
        <v>1</v>
      </c>
      <c r="N30" s="2">
        <v>1.0199005812118678</v>
      </c>
      <c r="O30" s="2">
        <v>1.0073399502550275</v>
      </c>
      <c r="P30" s="2">
        <v>1.0130908199044399</v>
      </c>
      <c r="Q30" s="2">
        <v>1.0394346652881101</v>
      </c>
      <c r="R30" s="2">
        <v>1.0001942088643534</v>
      </c>
      <c r="S30" s="2">
        <v>1.001378475103327</v>
      </c>
      <c r="T30" s="2">
        <v>1.0108381084447997</v>
      </c>
      <c r="U30" s="2">
        <v>1.0376031631749645</v>
      </c>
      <c r="V30" s="2">
        <v>1.0278221428696477</v>
      </c>
      <c r="W30" s="2">
        <v>1.0120459703567442</v>
      </c>
      <c r="X30" s="2">
        <v>1.0419207619541433</v>
      </c>
      <c r="Y30" s="2">
        <v>1.0077291116172065</v>
      </c>
      <c r="Z30" s="2">
        <v>1.0137505106100659</v>
      </c>
      <c r="AA30" s="2">
        <v>1</v>
      </c>
      <c r="AB30" s="2">
        <v>1</v>
      </c>
      <c r="AC30" s="2">
        <v>1.0248568692589421</v>
      </c>
      <c r="AD30" s="2">
        <v>1.0179107950842006</v>
      </c>
      <c r="AE30" s="2">
        <v>1.0312888267037703</v>
      </c>
      <c r="AF30" s="2">
        <v>1.000700620039118</v>
      </c>
      <c r="AG30" s="2">
        <v>1.0130610898525012</v>
      </c>
      <c r="AH30" s="2">
        <v>1.0376031631749645</v>
      </c>
      <c r="AI30" s="2">
        <v>1.0035121097689421</v>
      </c>
      <c r="AJ30" s="2">
        <v>1.0096688795814193</v>
      </c>
      <c r="AK30" s="2">
        <v>1.0161633395555312</v>
      </c>
      <c r="AL30" s="2">
        <v>1.0115853756154294</v>
      </c>
      <c r="AM30" s="2">
        <v>1.0249728836958854</v>
      </c>
      <c r="AN30" s="2">
        <v>1.0108601638410164</v>
      </c>
      <c r="AO30" s="2">
        <v>1.0240642854420736</v>
      </c>
      <c r="AP30" s="2">
        <v>1.0240642854420736</v>
      </c>
      <c r="AQ30" s="2">
        <v>1.0240642854420736</v>
      </c>
      <c r="AR30" s="98">
        <v>1.0176895906658676</v>
      </c>
      <c r="AS30" s="2">
        <v>1.0073399502550275</v>
      </c>
      <c r="AT30" s="2">
        <v>1.0077291116172065</v>
      </c>
      <c r="AU30" s="2">
        <v>1.0001942088643534</v>
      </c>
      <c r="AV30" s="2">
        <v>1.001378475103327</v>
      </c>
      <c r="AW30" s="2">
        <v>1.0137505106100659</v>
      </c>
      <c r="AX30" s="2">
        <v>1.0103595345067999</v>
      </c>
      <c r="AY30" s="2">
        <v>1.0176895906658676</v>
      </c>
      <c r="AZ30" s="2">
        <v>1.0312888267037703</v>
      </c>
      <c r="BA30" s="2">
        <v>1.000700620039118</v>
      </c>
      <c r="BB30" s="2">
        <v>1.0035121097689421</v>
      </c>
      <c r="BC30" s="2">
        <v>1.0096688795814193</v>
      </c>
      <c r="BD30" s="2">
        <v>1.0115853756154294</v>
      </c>
      <c r="BE30" s="2">
        <v>1.0132690801427904</v>
      </c>
      <c r="BF30" s="2">
        <v>1.0179197785179954</v>
      </c>
      <c r="BG30" s="2">
        <v>1.0226729796044776</v>
      </c>
      <c r="BH30" s="2">
        <v>1.021459274803586</v>
      </c>
      <c r="BI30" s="2">
        <v>1.0199813711669732</v>
      </c>
      <c r="BJ30" s="2">
        <v>1.0162191048510099</v>
      </c>
      <c r="BK30" s="2">
        <v>1</v>
      </c>
      <c r="BL30" s="2">
        <v>1.0130423205740562</v>
      </c>
      <c r="BM30" s="2">
        <v>1</v>
      </c>
      <c r="BN30" s="2">
        <v>1.0093853328311295</v>
      </c>
      <c r="BO30" s="2">
        <v>1.0108986408898961</v>
      </c>
      <c r="BP30" s="2">
        <v>1.0063455009383424</v>
      </c>
      <c r="BQ30" s="2">
        <v>1.0248941028986873</v>
      </c>
      <c r="BR30" s="2">
        <v>1.0287858562186307</v>
      </c>
      <c r="BS30" s="2">
        <v>1.0277072403205414</v>
      </c>
      <c r="BT30" s="2">
        <v>1.022541010066687</v>
      </c>
      <c r="BU30" s="2">
        <v>1.01564669333744</v>
      </c>
      <c r="BV30" s="2">
        <v>1</v>
      </c>
      <c r="BW30" s="2">
        <v>1.0016530319999999</v>
      </c>
      <c r="BX30" s="2">
        <v>1.0000981325705689</v>
      </c>
      <c r="BY30" s="2">
        <v>1.0042599080000001</v>
      </c>
      <c r="BZ30" s="2">
        <v>1.0002528902782444</v>
      </c>
      <c r="CA30" s="2">
        <v>1.002557068</v>
      </c>
      <c r="CB30" s="2">
        <v>1.000151800845936</v>
      </c>
      <c r="CC30" s="2">
        <v>1.0178883982249598</v>
      </c>
      <c r="CD30" s="2">
        <v>1.0089042887635296</v>
      </c>
      <c r="CE30" s="37">
        <v>2008</v>
      </c>
    </row>
    <row r="31" spans="1:83" s="2" customFormat="1">
      <c r="A31" s="37">
        <v>1993</v>
      </c>
      <c r="B31" s="2">
        <v>1.0141161092314108</v>
      </c>
      <c r="C31" s="2">
        <v>1.0303776482919567</v>
      </c>
      <c r="D31" s="2">
        <v>1.0090504174173687</v>
      </c>
      <c r="E31" s="2">
        <v>1.0328795936478727</v>
      </c>
      <c r="F31" s="2">
        <v>1.0335624125825238</v>
      </c>
      <c r="G31" s="2">
        <v>1.0312956778318487</v>
      </c>
      <c r="H31" s="2">
        <v>1.0477332827867298</v>
      </c>
      <c r="I31" s="2">
        <v>1.0774785146536501</v>
      </c>
      <c r="J31" s="2">
        <v>1</v>
      </c>
      <c r="K31" s="2">
        <v>1.0340784922971</v>
      </c>
      <c r="L31" s="2">
        <v>1.0055600491451051</v>
      </c>
      <c r="M31" s="2">
        <v>1</v>
      </c>
      <c r="N31" s="2">
        <v>1.0199005812118678</v>
      </c>
      <c r="O31" s="2">
        <v>1.0043723855867495</v>
      </c>
      <c r="P31" s="2">
        <v>1.0104038170469289</v>
      </c>
      <c r="Q31" s="2">
        <v>1.0380312347066831</v>
      </c>
      <c r="R31" s="2">
        <v>1.0002340780690089</v>
      </c>
      <c r="S31" s="2">
        <v>1.0009750885372508</v>
      </c>
      <c r="T31" s="2">
        <v>1.0050681395933259</v>
      </c>
      <c r="U31" s="2">
        <v>1.0213225393185863</v>
      </c>
      <c r="V31" s="2">
        <v>1.0232399984183131</v>
      </c>
      <c r="W31" s="2">
        <v>1.0094649716989961</v>
      </c>
      <c r="X31" s="2">
        <v>1.0494220343559002</v>
      </c>
      <c r="Y31" s="2">
        <v>1.0046428784674315</v>
      </c>
      <c r="Z31" s="2">
        <v>1.0076586470205315</v>
      </c>
      <c r="AA31" s="2">
        <v>1</v>
      </c>
      <c r="AB31" s="2">
        <v>1</v>
      </c>
      <c r="AC31" s="2">
        <v>1.0526092614194456</v>
      </c>
      <c r="AD31" s="2">
        <v>1.0102792104274019</v>
      </c>
      <c r="AE31" s="2">
        <v>1.0163571952341306</v>
      </c>
      <c r="AF31" s="2">
        <v>1.0003326653941962</v>
      </c>
      <c r="AG31" s="2">
        <v>1.0082837429074158</v>
      </c>
      <c r="AH31" s="2">
        <v>1.0248375694026877</v>
      </c>
      <c r="AI31" s="2">
        <v>1.0015540501314204</v>
      </c>
      <c r="AJ31" s="2">
        <v>1.0075372892962584</v>
      </c>
      <c r="AK31" s="2">
        <v>1.0071090047393365</v>
      </c>
      <c r="AL31" s="2">
        <v>1.0092864758897215</v>
      </c>
      <c r="AM31" s="2">
        <v>1.0249728836958854</v>
      </c>
      <c r="AN31" s="2">
        <v>1.0108601638410164</v>
      </c>
      <c r="AO31" s="2">
        <v>1.0240642854420736</v>
      </c>
      <c r="AP31" s="2">
        <v>1.0127803976899061</v>
      </c>
      <c r="AQ31" s="2">
        <v>1.0323833390027277</v>
      </c>
      <c r="AR31" s="98">
        <v>1.0139612562953075</v>
      </c>
      <c r="AS31" s="2">
        <v>1.0043723855867495</v>
      </c>
      <c r="AT31" s="2">
        <v>1.0046428784674315</v>
      </c>
      <c r="AU31" s="2">
        <v>1.0002340780690089</v>
      </c>
      <c r="AV31" s="2">
        <v>1.0009750885372508</v>
      </c>
      <c r="AW31" s="2">
        <v>1.0076586470205315</v>
      </c>
      <c r="AX31" s="2">
        <v>1.0081398756611366</v>
      </c>
      <c r="AY31" s="2">
        <v>1.0139612562953075</v>
      </c>
      <c r="AZ31" s="2">
        <v>1.0163571952341306</v>
      </c>
      <c r="BA31" s="2">
        <v>1.0003326653941962</v>
      </c>
      <c r="BB31" s="2">
        <v>1.0015540501314204</v>
      </c>
      <c r="BC31" s="2">
        <v>1.0075372892962584</v>
      </c>
      <c r="BD31" s="2">
        <v>1.0092864758897215</v>
      </c>
      <c r="BE31" s="2">
        <v>1.0110847479487202</v>
      </c>
      <c r="BF31" s="2">
        <v>1.01732167626656</v>
      </c>
      <c r="BG31" s="2">
        <v>1.0202734414336159</v>
      </c>
      <c r="BH31" s="2">
        <v>1.0174292205951998</v>
      </c>
      <c r="BI31" s="2">
        <v>1.0184201568639999</v>
      </c>
      <c r="BJ31" s="2">
        <v>1.0144981289240638</v>
      </c>
      <c r="BK31" s="2">
        <v>1</v>
      </c>
      <c r="BL31" s="2">
        <v>1.0082291823530702</v>
      </c>
      <c r="BM31" s="2">
        <v>1</v>
      </c>
      <c r="BN31" s="2">
        <v>1.0079945283327392</v>
      </c>
      <c r="BO31" s="2">
        <v>1.0083129635622159</v>
      </c>
      <c r="BP31" s="2">
        <v>1.0052641139303424</v>
      </c>
      <c r="BQ31" s="2">
        <v>1.0292540427999999</v>
      </c>
      <c r="BR31" s="2">
        <v>1.0243230984806946</v>
      </c>
      <c r="BS31" s="2">
        <v>1.0268332094029131</v>
      </c>
      <c r="BT31" s="2">
        <v>1.0219127089399747</v>
      </c>
      <c r="BU31" s="2">
        <v>1.0149516997374399</v>
      </c>
      <c r="BV31" s="2">
        <v>1</v>
      </c>
      <c r="BW31" s="2">
        <v>1.0010358399999999</v>
      </c>
      <c r="BX31" s="2">
        <v>1.0000602094879634</v>
      </c>
      <c r="BY31" s="2">
        <v>1.003064832</v>
      </c>
      <c r="BZ31" s="2">
        <v>1.0001781471708115</v>
      </c>
      <c r="CA31" s="2">
        <v>1.002145472</v>
      </c>
      <c r="CB31" s="2">
        <v>1.0001247082276796</v>
      </c>
      <c r="CC31" s="2">
        <v>1.01603226702496</v>
      </c>
      <c r="CD31" s="2">
        <v>1.0055861375999999</v>
      </c>
      <c r="CE31" s="36">
        <v>2009</v>
      </c>
    </row>
    <row r="32" spans="1:83" s="2" customFormat="1">
      <c r="A32" s="36">
        <v>1994</v>
      </c>
      <c r="B32" s="2">
        <v>1.0128632121800478</v>
      </c>
      <c r="C32" s="2">
        <v>1.0343338721407276</v>
      </c>
      <c r="D32" s="2">
        <v>1.0090042172723543</v>
      </c>
      <c r="E32" s="2">
        <v>1.0314027588266439</v>
      </c>
      <c r="F32" s="2">
        <v>1.0331421773970928</v>
      </c>
      <c r="G32" s="2">
        <v>1.0253785644000495</v>
      </c>
      <c r="H32" s="2">
        <v>1.0500714880488315</v>
      </c>
      <c r="I32" s="2">
        <v>1.058937941706535</v>
      </c>
      <c r="J32" s="2">
        <v>1</v>
      </c>
      <c r="K32" s="2">
        <v>1.0254361454105454</v>
      </c>
      <c r="L32" s="2">
        <v>1.0042230682407749</v>
      </c>
      <c r="M32" s="2">
        <v>1</v>
      </c>
      <c r="N32" s="2">
        <v>1.0183007202512222</v>
      </c>
      <c r="O32" s="2">
        <v>1.0044678926105421</v>
      </c>
      <c r="P32" s="2">
        <v>1.0105317250344603</v>
      </c>
      <c r="Q32" s="2">
        <v>1.0310255985146184</v>
      </c>
      <c r="R32" s="2">
        <v>1.0001794804002329</v>
      </c>
      <c r="S32" s="2">
        <v>1.0008728681035819</v>
      </c>
      <c r="T32" s="2">
        <v>1.0057765041094511</v>
      </c>
      <c r="U32" s="2">
        <v>1.0200176487009613</v>
      </c>
      <c r="V32" s="2">
        <v>1.021998992984555</v>
      </c>
      <c r="W32" s="2">
        <v>1.0091343435496223</v>
      </c>
      <c r="X32" s="2">
        <v>1.0357612640475522</v>
      </c>
      <c r="Y32" s="2">
        <v>1.0047551271415305</v>
      </c>
      <c r="Z32" s="2">
        <v>1.006826527812587</v>
      </c>
      <c r="AA32" s="2">
        <v>1</v>
      </c>
      <c r="AB32" s="2">
        <v>1</v>
      </c>
      <c r="AC32" s="2">
        <v>1.0449899274864234</v>
      </c>
      <c r="AD32" s="2">
        <v>1.0098181041458174</v>
      </c>
      <c r="AE32" s="2">
        <v>1.0266190510707061</v>
      </c>
      <c r="AF32" s="2">
        <v>1.0003633421084845</v>
      </c>
      <c r="AG32" s="2">
        <v>1.0071605258702374</v>
      </c>
      <c r="AH32" s="2">
        <v>1.023639305566761</v>
      </c>
      <c r="AI32" s="2">
        <v>1.0013075120239054</v>
      </c>
      <c r="AJ32" s="2">
        <v>1.0075712571272735</v>
      </c>
      <c r="AK32" s="2">
        <v>1.0071605258702374</v>
      </c>
      <c r="AL32" s="2">
        <v>1.0094859247385384</v>
      </c>
      <c r="AM32" s="2">
        <v>1.0237954289614764</v>
      </c>
      <c r="AN32" s="2">
        <v>1.0104535700727959</v>
      </c>
      <c r="AO32" s="2">
        <v>1.0231283191000238</v>
      </c>
      <c r="AP32" s="2">
        <v>1.0121852049472984</v>
      </c>
      <c r="AQ32" s="2">
        <v>1.0306079297744422</v>
      </c>
      <c r="AR32" s="98">
        <v>1.0127062809914513</v>
      </c>
      <c r="AS32" s="2">
        <v>1.0044678926105421</v>
      </c>
      <c r="AT32" s="2">
        <v>1.0047551271415305</v>
      </c>
      <c r="AU32" s="2">
        <v>1.0001794804002329</v>
      </c>
      <c r="AV32" s="2">
        <v>1.0008728681035819</v>
      </c>
      <c r="AW32" s="2">
        <v>1.006826527812587</v>
      </c>
      <c r="AX32" s="2">
        <v>1.0078555354526753</v>
      </c>
      <c r="AY32" s="2">
        <v>1.0127062809914513</v>
      </c>
      <c r="AZ32" s="2">
        <v>1.0266190510707061</v>
      </c>
      <c r="BA32" s="2">
        <v>1.0003633421084845</v>
      </c>
      <c r="BB32" s="2">
        <v>1.0013075120239054</v>
      </c>
      <c r="BC32" s="2">
        <v>1.0075712571272735</v>
      </c>
      <c r="BD32" s="2">
        <v>1.0094859247385384</v>
      </c>
      <c r="BE32" s="2">
        <v>1.0182956568590467</v>
      </c>
      <c r="BF32" s="2">
        <v>1.0267252697471887</v>
      </c>
      <c r="BG32" s="2">
        <v>1.0296893840568919</v>
      </c>
      <c r="BH32" s="2">
        <v>1.0270949235159998</v>
      </c>
      <c r="BI32" s="2">
        <v>1.0298436085074099</v>
      </c>
      <c r="BJ32" s="2">
        <v>1.0249155167216331</v>
      </c>
      <c r="BK32" s="2">
        <v>1</v>
      </c>
      <c r="BL32" s="2">
        <v>1.0148409524030437</v>
      </c>
      <c r="BM32" s="2">
        <v>1</v>
      </c>
      <c r="BN32" s="2">
        <v>1.0146702178353553</v>
      </c>
      <c r="BO32" s="2">
        <v>1.0129117763250033</v>
      </c>
      <c r="BP32" s="2">
        <v>1.007544739432654</v>
      </c>
      <c r="BQ32" s="2">
        <v>1.0392581755935251</v>
      </c>
      <c r="BR32" s="2">
        <v>1.0332659210722299</v>
      </c>
      <c r="BS32" s="2">
        <v>1.0361905684316772</v>
      </c>
      <c r="BT32" s="2">
        <v>1.031617822796655</v>
      </c>
      <c r="BU32" s="2">
        <v>1.0207285349872302</v>
      </c>
      <c r="BV32" s="2">
        <v>1</v>
      </c>
      <c r="BW32" s="2">
        <v>1.002164324</v>
      </c>
      <c r="BX32" s="2">
        <v>1.0001226802936969</v>
      </c>
      <c r="BY32" s="2">
        <v>1.004944496</v>
      </c>
      <c r="BZ32" s="2">
        <v>1.0002802686757912</v>
      </c>
      <c r="CA32" s="2">
        <v>1.0027080559999999</v>
      </c>
      <c r="CB32" s="2">
        <v>1.0001535006336517</v>
      </c>
      <c r="CC32" s="2">
        <v>1.0243978893248198</v>
      </c>
      <c r="CD32" s="2">
        <v>1.0128327079999999</v>
      </c>
      <c r="CE32" s="34">
        <v>2010</v>
      </c>
    </row>
    <row r="33" spans="1:83" s="2" customFormat="1">
      <c r="A33" s="37">
        <v>1995</v>
      </c>
      <c r="B33" s="2">
        <v>1.0131331460693669</v>
      </c>
      <c r="C33" s="2">
        <v>1.0318880649171791</v>
      </c>
      <c r="D33" s="2">
        <v>1.0086040679252022</v>
      </c>
      <c r="E33" s="2">
        <v>1.028442281183374</v>
      </c>
      <c r="F33" s="2">
        <v>1.0300230810670643</v>
      </c>
      <c r="G33" s="2">
        <v>1.0236831434102196</v>
      </c>
      <c r="H33" s="2">
        <v>1.0445021299812327</v>
      </c>
      <c r="I33" s="2">
        <v>1.0306385010586789</v>
      </c>
      <c r="J33" s="2">
        <v>1</v>
      </c>
      <c r="K33" s="2">
        <v>1.0122147357333613</v>
      </c>
      <c r="L33" s="2">
        <v>1.0048785481234166</v>
      </c>
      <c r="M33" s="2">
        <v>1</v>
      </c>
      <c r="N33" s="2">
        <v>1.0172443913489824</v>
      </c>
      <c r="O33" s="2">
        <v>1.0044853006094079</v>
      </c>
      <c r="P33" s="2">
        <v>1.01010266248672</v>
      </c>
      <c r="Q33" s="2">
        <v>1.0314141847153877</v>
      </c>
      <c r="R33" s="2">
        <v>1.0001883119575639</v>
      </c>
      <c r="S33" s="2">
        <v>1.0008439237568516</v>
      </c>
      <c r="T33" s="2">
        <v>1.0053635305876152</v>
      </c>
      <c r="U33" s="2">
        <v>1.0189413023612459</v>
      </c>
      <c r="V33" s="2">
        <v>1.0201083619384685</v>
      </c>
      <c r="W33" s="2">
        <v>1.0103869040184132</v>
      </c>
      <c r="X33" s="2">
        <v>1.0312914306326861</v>
      </c>
      <c r="Y33" s="2">
        <v>1.0047047043415005</v>
      </c>
      <c r="Z33" s="2">
        <v>1.0068822227474761</v>
      </c>
      <c r="AA33" s="2">
        <v>1</v>
      </c>
      <c r="AB33" s="2">
        <v>1</v>
      </c>
      <c r="AC33" s="2">
        <v>1.0338534411625679</v>
      </c>
      <c r="AD33" s="2">
        <v>1.0103710409093976</v>
      </c>
      <c r="AE33" s="2">
        <v>1.0204115503534863</v>
      </c>
      <c r="AF33" s="2">
        <v>1.0003368297209023</v>
      </c>
      <c r="AG33" s="2">
        <v>1.007357661350057</v>
      </c>
      <c r="AH33" s="2">
        <v>1.0226314319822534</v>
      </c>
      <c r="AI33" s="2">
        <v>1.0016713705965614</v>
      </c>
      <c r="AJ33" s="2">
        <v>1.0076315512424683</v>
      </c>
      <c r="AK33" s="2">
        <v>1.0096111017628602</v>
      </c>
      <c r="AL33" s="2">
        <v>1.0092196897853807</v>
      </c>
      <c r="AM33" s="2">
        <v>1.0229054863759199</v>
      </c>
      <c r="AN33" s="2">
        <v>1.0103283355216768</v>
      </c>
      <c r="AO33" s="2">
        <v>1.0220382108729424</v>
      </c>
      <c r="AP33" s="2">
        <v>1.0122423622223009</v>
      </c>
      <c r="AQ33" s="2">
        <v>1.0286318800494578</v>
      </c>
      <c r="AR33" s="98">
        <v>1.0129755483165346</v>
      </c>
      <c r="AS33" s="2">
        <v>1.0044853006094079</v>
      </c>
      <c r="AT33" s="2">
        <v>1.0047047043415005</v>
      </c>
      <c r="AU33" s="2">
        <v>1.0001883119575639</v>
      </c>
      <c r="AV33" s="2">
        <v>1.0008439237568516</v>
      </c>
      <c r="AW33" s="2">
        <v>1.0068822227474761</v>
      </c>
      <c r="AX33" s="2">
        <v>1.0089327374558352</v>
      </c>
      <c r="AY33" s="2">
        <v>1.0129755483165346</v>
      </c>
      <c r="AZ33" s="2">
        <v>1.0204115503534863</v>
      </c>
      <c r="BA33" s="2">
        <v>1.0003368297209023</v>
      </c>
      <c r="BB33" s="2">
        <v>1.0016713705965614</v>
      </c>
      <c r="BC33" s="2">
        <v>1.0076315512424683</v>
      </c>
      <c r="BD33" s="2">
        <v>1.0092196897853807</v>
      </c>
      <c r="BE33" s="2">
        <v>1.0178802120888177</v>
      </c>
      <c r="BF33" s="2">
        <v>1.0249616458326787</v>
      </c>
      <c r="BG33" s="2">
        <v>1.0272828772989753</v>
      </c>
      <c r="BH33" s="2">
        <v>1.0263436377076043</v>
      </c>
      <c r="BI33" s="2">
        <v>1.0316731941377035</v>
      </c>
      <c r="BJ33" s="2">
        <v>1.0227078763268898</v>
      </c>
      <c r="BK33" s="2">
        <v>1</v>
      </c>
      <c r="BL33" s="2">
        <v>1.0164893050357358</v>
      </c>
      <c r="BM33" s="2">
        <v>1</v>
      </c>
      <c r="BN33" s="2">
        <v>1.0136336531470316</v>
      </c>
      <c r="BO33" s="2">
        <v>1.0119334427726545</v>
      </c>
      <c r="BP33" s="2">
        <v>1.0077137954712303</v>
      </c>
      <c r="BQ33" s="2">
        <v>1.0348753344724246</v>
      </c>
      <c r="BR33" s="2">
        <v>1.0311835545339381</v>
      </c>
      <c r="BS33" s="2">
        <v>1.0327088296730396</v>
      </c>
      <c r="BT33" s="2">
        <v>1.0275321604950287</v>
      </c>
      <c r="BU33" s="2">
        <v>1.018316600949688</v>
      </c>
      <c r="BV33" s="2">
        <v>1</v>
      </c>
      <c r="BW33" s="2">
        <v>1.003281928</v>
      </c>
      <c r="BX33" s="2">
        <v>1.0001862016011438</v>
      </c>
      <c r="BY33" s="2">
        <v>1.0062190180000001</v>
      </c>
      <c r="BZ33" s="2">
        <v>1.000352838669569</v>
      </c>
      <c r="CA33" s="2">
        <v>1.0042178320000001</v>
      </c>
      <c r="CB33" s="2">
        <v>1.0002393005184012</v>
      </c>
      <c r="CC33" s="2">
        <v>1.021615291799792</v>
      </c>
      <c r="CD33" s="2">
        <v>1.0309225808732476</v>
      </c>
      <c r="CE33" s="35">
        <v>2011</v>
      </c>
    </row>
    <row r="34" spans="1:83" s="2" customFormat="1">
      <c r="A34" s="37">
        <v>1996</v>
      </c>
      <c r="B34" s="2">
        <v>1.0100450499804052</v>
      </c>
      <c r="C34" s="2">
        <v>1.0251490661934026</v>
      </c>
      <c r="D34" s="2">
        <v>1.0074412572002891</v>
      </c>
      <c r="E34" s="2">
        <v>1.0224426721911664</v>
      </c>
      <c r="F34" s="2">
        <v>1.0223793131995198</v>
      </c>
      <c r="G34" s="2">
        <v>1.0162385486382086</v>
      </c>
      <c r="H34" s="2">
        <v>1.0372337607214337</v>
      </c>
      <c r="I34" s="2">
        <v>1.0263209689414279</v>
      </c>
      <c r="J34" s="2">
        <v>1</v>
      </c>
      <c r="K34" s="2">
        <v>1.0092240464559032</v>
      </c>
      <c r="L34" s="2">
        <v>1.0039761129053411</v>
      </c>
      <c r="M34" s="2">
        <v>1</v>
      </c>
      <c r="N34" s="2">
        <v>1.0147628465316487</v>
      </c>
      <c r="O34" s="2">
        <v>1.0037727174005464</v>
      </c>
      <c r="P34" s="2">
        <v>1.0093489296051681</v>
      </c>
      <c r="Q34" s="2">
        <v>1.0256354958950191</v>
      </c>
      <c r="R34" s="2">
        <v>1.0001471161774977</v>
      </c>
      <c r="S34" s="2">
        <v>1.0008098019548253</v>
      </c>
      <c r="T34" s="2">
        <v>1.0073306278793981</v>
      </c>
      <c r="U34" s="2">
        <v>1.0154931612526488</v>
      </c>
      <c r="V34" s="2">
        <v>1.0187959304025715</v>
      </c>
      <c r="W34" s="2">
        <v>1.0100550865980658</v>
      </c>
      <c r="X34" s="2">
        <v>1.0247851125436322</v>
      </c>
      <c r="Y34" s="2">
        <v>1.0039661900877541</v>
      </c>
      <c r="Z34" s="2">
        <v>1.0050170032164862</v>
      </c>
      <c r="AA34" s="2">
        <v>1</v>
      </c>
      <c r="AB34" s="2">
        <v>1</v>
      </c>
      <c r="AC34" s="2">
        <v>1.0248348598214374</v>
      </c>
      <c r="AD34" s="2">
        <v>1.0078624090526349</v>
      </c>
      <c r="AE34" s="2">
        <v>1.0175163246037049</v>
      </c>
      <c r="AF34" s="2">
        <v>1.0004669609959176</v>
      </c>
      <c r="AG34" s="2">
        <v>1.0074430326730259</v>
      </c>
      <c r="AH34" s="2">
        <v>1.0178788575845357</v>
      </c>
      <c r="AI34" s="2">
        <v>1.0010970248001547</v>
      </c>
      <c r="AJ34" s="2">
        <v>1.0072351366214396</v>
      </c>
      <c r="AK34" s="2">
        <v>1.0068435733010281</v>
      </c>
      <c r="AL34" s="2">
        <v>1.0086673926369514</v>
      </c>
      <c r="AM34" s="2">
        <v>1.0182286580611704</v>
      </c>
      <c r="AN34" s="2">
        <v>1.0085835366732505</v>
      </c>
      <c r="AO34" s="2">
        <v>1.0171178942787711</v>
      </c>
      <c r="AP34" s="2">
        <v>1.0103499857874625</v>
      </c>
      <c r="AQ34" s="2">
        <v>1.0227428900559616</v>
      </c>
      <c r="AR34" s="98">
        <v>1.0099265183906363</v>
      </c>
      <c r="AS34" s="2">
        <v>1.0037727174005464</v>
      </c>
      <c r="AT34" s="2">
        <v>1.0039661900877541</v>
      </c>
      <c r="AU34" s="2">
        <v>1.0001471161774977</v>
      </c>
      <c r="AV34" s="2">
        <v>1.0008098019548253</v>
      </c>
      <c r="AW34" s="2">
        <v>1.0050170032164862</v>
      </c>
      <c r="AX34" s="2">
        <v>1.0086473744743365</v>
      </c>
      <c r="AY34" s="2">
        <v>1.0099265183906363</v>
      </c>
      <c r="AZ34" s="2">
        <v>1.0175163246037049</v>
      </c>
      <c r="BA34" s="2">
        <v>1.0004669609959176</v>
      </c>
      <c r="BB34" s="2">
        <v>1.0010970248001547</v>
      </c>
      <c r="BC34" s="2">
        <v>1.0072351366214396</v>
      </c>
      <c r="BD34" s="2">
        <v>1.0086673926369514</v>
      </c>
      <c r="BE34" s="2">
        <v>1.0156090795817343</v>
      </c>
      <c r="BF34" s="2">
        <v>1.0238904903866919</v>
      </c>
      <c r="BG34" s="2">
        <v>1.0238986449019749</v>
      </c>
      <c r="BH34" s="2">
        <v>1.0230822657415042</v>
      </c>
      <c r="BI34" s="2">
        <v>1.0279973688495838</v>
      </c>
      <c r="BJ34" s="2">
        <v>1.0199324805541394</v>
      </c>
      <c r="BK34" s="2">
        <v>1</v>
      </c>
      <c r="BL34" s="2">
        <v>1.0127746769275832</v>
      </c>
      <c r="BM34" s="2">
        <v>1</v>
      </c>
      <c r="BN34" s="2">
        <v>1.0113464516621691</v>
      </c>
      <c r="BO34" s="2">
        <v>1.0086898192427143</v>
      </c>
      <c r="BP34" s="2">
        <v>1.0066329666450704</v>
      </c>
      <c r="BQ34" s="2">
        <v>1.0305775651116147</v>
      </c>
      <c r="BR34" s="2">
        <v>1.0275436921135042</v>
      </c>
      <c r="BS34" s="2">
        <v>1.0290843761267963</v>
      </c>
      <c r="BT34" s="2">
        <v>1.0240776106994687</v>
      </c>
      <c r="BU34" s="2">
        <v>1.016310463806438</v>
      </c>
      <c r="BV34" s="2">
        <v>1</v>
      </c>
      <c r="BW34" s="2">
        <v>1.0044225249999998</v>
      </c>
      <c r="BX34" s="2">
        <v>1.000251496446805</v>
      </c>
      <c r="BY34" s="2">
        <v>1.00749613</v>
      </c>
      <c r="BZ34" s="2">
        <v>1.0004262836410849</v>
      </c>
      <c r="CA34" s="2">
        <v>1.004576605</v>
      </c>
      <c r="CB34" s="2">
        <v>1.0002602585391671</v>
      </c>
      <c r="CC34" s="2">
        <v>1.0128762851708892</v>
      </c>
      <c r="CD34" s="2">
        <v>1.0098648994999999</v>
      </c>
      <c r="CE34" s="35">
        <v>2012</v>
      </c>
    </row>
    <row r="35" spans="1:83" s="12" customFormat="1">
      <c r="A35" s="94">
        <v>1997</v>
      </c>
      <c r="B35" s="2">
        <v>1.0043530968329213</v>
      </c>
      <c r="C35" s="2">
        <v>1.0132596766298443</v>
      </c>
      <c r="D35" s="2">
        <v>1.003978835365906</v>
      </c>
      <c r="E35" s="2">
        <v>1.0129817082964567</v>
      </c>
      <c r="F35" s="2">
        <v>1.0143573410320605</v>
      </c>
      <c r="G35" s="2">
        <v>1.0096707175963406</v>
      </c>
      <c r="H35" s="2">
        <v>1.031209810457997</v>
      </c>
      <c r="I35" s="2">
        <v>1.0327052560276986</v>
      </c>
      <c r="J35" s="2">
        <v>1</v>
      </c>
      <c r="K35" s="2">
        <v>1.0093927682817732</v>
      </c>
      <c r="L35" s="2">
        <v>1.0011343269635844</v>
      </c>
      <c r="M35" s="2">
        <v>1</v>
      </c>
      <c r="N35" s="2">
        <v>1.0098301564497254</v>
      </c>
      <c r="O35" s="2">
        <v>1.0019862346146602</v>
      </c>
      <c r="P35" s="2">
        <v>1.0040869112276682</v>
      </c>
      <c r="Q35" s="2">
        <v>1.0132690864846254</v>
      </c>
      <c r="R35" s="2">
        <v>1.0000408357706889</v>
      </c>
      <c r="S35" s="2">
        <v>1.000277819515452</v>
      </c>
      <c r="T35" s="2">
        <v>1.001927975000118</v>
      </c>
      <c r="U35" s="2">
        <v>1.0097730829113976</v>
      </c>
      <c r="V35" s="2">
        <v>1.0152437161672383</v>
      </c>
      <c r="W35" s="2">
        <v>1.0051765945394178</v>
      </c>
      <c r="X35" s="2">
        <v>1.0183905263492747</v>
      </c>
      <c r="Y35" s="2">
        <v>1.0020833181975883</v>
      </c>
      <c r="Z35" s="2">
        <v>1.0030324725890158</v>
      </c>
      <c r="AA35" s="2">
        <v>1</v>
      </c>
      <c r="AB35" s="2">
        <v>1</v>
      </c>
      <c r="AC35" s="2">
        <v>1.0158382113667712</v>
      </c>
      <c r="AD35" s="2">
        <v>1.0044614868162658</v>
      </c>
      <c r="AE35" s="2">
        <v>1.0099421055370572</v>
      </c>
      <c r="AF35" s="2">
        <v>1.0001563587725095</v>
      </c>
      <c r="AG35" s="2">
        <v>1.0024607574442168</v>
      </c>
      <c r="AH35" s="2">
        <v>1.0104868792498505</v>
      </c>
      <c r="AI35" s="2">
        <v>1.0003591426138412</v>
      </c>
      <c r="AJ35" s="2">
        <v>1.0030615052006464</v>
      </c>
      <c r="AK35" s="2">
        <v>1.0020783716078772</v>
      </c>
      <c r="AL35" s="2">
        <v>1.003771810372015</v>
      </c>
      <c r="AM35" s="2">
        <v>1.0106415868177023</v>
      </c>
      <c r="AN35" s="2">
        <v>1.0041976333044689</v>
      </c>
      <c r="AO35" s="2">
        <v>1.0100001763155317</v>
      </c>
      <c r="AP35" s="2">
        <v>1.0052276289172897</v>
      </c>
      <c r="AQ35" s="2">
        <v>1.0145245065344799</v>
      </c>
      <c r="AR35" s="98">
        <v>1.0042943300256768</v>
      </c>
      <c r="AS35" s="2">
        <v>1.0019862346146602</v>
      </c>
      <c r="AT35" s="2">
        <v>1.0020833181975883</v>
      </c>
      <c r="AU35" s="2">
        <v>1.0000408357706889</v>
      </c>
      <c r="AV35" s="2">
        <v>1.000277819515452</v>
      </c>
      <c r="AW35" s="2">
        <v>1.0030324725890158</v>
      </c>
      <c r="AX35" s="2">
        <v>1.0044518713038992</v>
      </c>
      <c r="AY35" s="2">
        <v>1.0042943300256768</v>
      </c>
      <c r="AZ35" s="2">
        <v>1.0099421055370572</v>
      </c>
      <c r="BA35" s="2">
        <v>1.0001563587725095</v>
      </c>
      <c r="BB35" s="2">
        <v>1.0003591426138412</v>
      </c>
      <c r="BC35" s="2">
        <v>1.0030615052006464</v>
      </c>
      <c r="BD35" s="2">
        <v>1.003771810372015</v>
      </c>
      <c r="BE35" s="2">
        <v>1.0175901828260976</v>
      </c>
      <c r="BF35" s="2">
        <v>1.0269202374853648</v>
      </c>
      <c r="BG35" s="2">
        <v>1.0308120284780276</v>
      </c>
      <c r="BH35" s="2">
        <v>1.0295048866780696</v>
      </c>
      <c r="BI35" s="2">
        <v>1.0307716271418181</v>
      </c>
      <c r="BJ35" s="2">
        <v>1.0251977513955091</v>
      </c>
      <c r="BK35" s="2">
        <v>1</v>
      </c>
      <c r="BL35" s="2">
        <v>1.0115804024317236</v>
      </c>
      <c r="BM35" s="2">
        <v>1</v>
      </c>
      <c r="BN35" s="2">
        <v>1.0098207437346038</v>
      </c>
      <c r="BO35" s="2">
        <v>1.0083461564040077</v>
      </c>
      <c r="BP35" s="2">
        <v>1.0060019699249922</v>
      </c>
      <c r="BQ35" s="2">
        <v>1.0300213962526497</v>
      </c>
      <c r="BR35" s="2">
        <v>1.0301419519248995</v>
      </c>
      <c r="BS35" s="2">
        <v>1.0312809805254182</v>
      </c>
      <c r="BT35" s="2">
        <v>1.0318762318616277</v>
      </c>
      <c r="BU35" s="2">
        <v>1.0150585740229998</v>
      </c>
      <c r="BV35" s="2">
        <v>1</v>
      </c>
      <c r="BW35" s="2">
        <v>1.0044187645</v>
      </c>
      <c r="BX35" s="2">
        <v>1.0002508746528014</v>
      </c>
      <c r="BY35" s="2">
        <v>1.0080418814999998</v>
      </c>
      <c r="BZ35" s="2">
        <v>1.0004565765451365</v>
      </c>
      <c r="CA35" s="2">
        <v>1.0036707895000001</v>
      </c>
      <c r="CB35" s="2">
        <v>1.0002084084909524</v>
      </c>
      <c r="CC35" s="2">
        <v>1.0119421621081999</v>
      </c>
      <c r="CD35" s="2">
        <v>1.0091943296000001</v>
      </c>
      <c r="CE35" s="35">
        <v>2013</v>
      </c>
    </row>
    <row r="36" spans="1:83" s="12" customFormat="1">
      <c r="A36" s="94">
        <v>1998</v>
      </c>
      <c r="B36" s="2">
        <v>1.0055409041653556</v>
      </c>
      <c r="C36" s="2">
        <v>1.0153586011247777</v>
      </c>
      <c r="D36" s="2">
        <v>1.0061105298067901</v>
      </c>
      <c r="E36" s="2">
        <v>1.0176219191605302</v>
      </c>
      <c r="F36" s="2">
        <v>1.0191116191434786</v>
      </c>
      <c r="G36" s="2">
        <v>1.0111598195185454</v>
      </c>
      <c r="H36" s="2">
        <v>1.0392841784911961</v>
      </c>
      <c r="I36" s="2">
        <v>1.0475656962179742</v>
      </c>
      <c r="J36" s="2">
        <v>1</v>
      </c>
      <c r="K36" s="2">
        <v>1.0076388061962507</v>
      </c>
      <c r="L36" s="2">
        <v>1.0016144098261632</v>
      </c>
      <c r="M36" s="2">
        <v>1</v>
      </c>
      <c r="N36" s="2">
        <v>1.0113952155001269</v>
      </c>
      <c r="O36" s="2">
        <v>1.0030039364530179</v>
      </c>
      <c r="P36" s="2">
        <v>1.006595512035223</v>
      </c>
      <c r="Q36" s="2">
        <v>1.014792034245537</v>
      </c>
      <c r="R36" s="2">
        <v>1.000069419622525</v>
      </c>
      <c r="S36" s="2">
        <v>1.0003967176003454</v>
      </c>
      <c r="T36" s="2">
        <v>1.0024116849524234</v>
      </c>
      <c r="U36" s="2">
        <v>1.0118794276921828</v>
      </c>
      <c r="V36" s="2">
        <v>1.0197593258256017</v>
      </c>
      <c r="W36" s="2">
        <v>1.0061908079234076</v>
      </c>
      <c r="X36" s="2">
        <v>1.0231253307014387</v>
      </c>
      <c r="Y36" s="2">
        <v>1.0031707539167434</v>
      </c>
      <c r="Z36" s="2">
        <v>1.003631081736065</v>
      </c>
      <c r="AA36" s="2">
        <v>1</v>
      </c>
      <c r="AB36" s="2">
        <v>1</v>
      </c>
      <c r="AC36" s="2">
        <v>1.0219315048963236</v>
      </c>
      <c r="AD36" s="2">
        <v>1.0052708400871897</v>
      </c>
      <c r="AE36" s="2">
        <v>1.0114544447188591</v>
      </c>
      <c r="AF36" s="2">
        <v>1.0001512126465171</v>
      </c>
      <c r="AG36" s="2">
        <v>1.0033677215649011</v>
      </c>
      <c r="AH36" s="2">
        <v>1.0131659061567697</v>
      </c>
      <c r="AI36" s="2">
        <v>1.0005891846884187</v>
      </c>
      <c r="AJ36" s="2">
        <v>1.0049308047975327</v>
      </c>
      <c r="AK36" s="2">
        <v>1.0033362666388383</v>
      </c>
      <c r="AL36" s="2">
        <v>1.0060817216476792</v>
      </c>
      <c r="AM36" s="2">
        <v>1.0133597473350031</v>
      </c>
      <c r="AN36" s="2">
        <v>1.0052745597315387</v>
      </c>
      <c r="AO36" s="2">
        <v>1.012915498137603</v>
      </c>
      <c r="AP36" s="2">
        <v>1.0063429310023653</v>
      </c>
      <c r="AQ36" s="2">
        <v>1.0181155373898423</v>
      </c>
      <c r="AR36" s="98">
        <v>1.0054655478687069</v>
      </c>
      <c r="AS36" s="2">
        <v>1.0030039364530179</v>
      </c>
      <c r="AT36" s="2">
        <v>1.0031707539167434</v>
      </c>
      <c r="AU36" s="2">
        <v>1.000069419622525</v>
      </c>
      <c r="AV36" s="2">
        <v>1.0003967176003454</v>
      </c>
      <c r="AW36" s="2">
        <v>1.003631081736065</v>
      </c>
      <c r="AX36" s="2">
        <v>1.0053240948141307</v>
      </c>
      <c r="AY36" s="2">
        <v>1.0054655478687069</v>
      </c>
      <c r="AZ36" s="2">
        <v>1.0114544447188591</v>
      </c>
      <c r="BA36" s="2">
        <v>1.0001512126465171</v>
      </c>
      <c r="BB36" s="2">
        <v>1.0005891846884187</v>
      </c>
      <c r="BC36" s="2">
        <v>1.0049308047975327</v>
      </c>
      <c r="BD36" s="2">
        <v>1.0060817216476792</v>
      </c>
      <c r="BE36" s="2">
        <v>1.0223461462997825</v>
      </c>
      <c r="BF36" s="2">
        <v>1.0274066009296658</v>
      </c>
      <c r="BG36" s="2">
        <v>1.0254851724127716</v>
      </c>
      <c r="BH36" s="2">
        <v>1.0268440696337411</v>
      </c>
      <c r="BI36" s="2">
        <v>1.0257173354582687</v>
      </c>
      <c r="BJ36" s="2">
        <v>1.0271420614943436</v>
      </c>
      <c r="BK36" s="2">
        <v>1</v>
      </c>
      <c r="BL36" s="2">
        <v>1.012290350975936</v>
      </c>
      <c r="BM36" s="2">
        <v>1</v>
      </c>
      <c r="BN36" s="2">
        <v>1.0091820667812159</v>
      </c>
      <c r="BO36" s="2">
        <v>1.007754833274016</v>
      </c>
      <c r="BP36" s="2">
        <v>1.0051946912969361</v>
      </c>
      <c r="BQ36" s="2">
        <v>1.0443988286045065</v>
      </c>
      <c r="BR36" s="2">
        <v>1.035023886768391</v>
      </c>
      <c r="BS36" s="2">
        <v>1.0403395444489114</v>
      </c>
      <c r="BT36" s="2">
        <v>1.0353049493132627</v>
      </c>
      <c r="BU36" s="2">
        <v>1.0214226866026377</v>
      </c>
      <c r="BV36" s="2">
        <v>1</v>
      </c>
      <c r="BW36" s="2">
        <v>1.0025256</v>
      </c>
      <c r="BX36" s="2">
        <v>1.0001438249159447</v>
      </c>
      <c r="BY36" s="2">
        <v>1.0049852000000001</v>
      </c>
      <c r="BZ36" s="2">
        <v>1.0002838913410548</v>
      </c>
      <c r="CA36" s="2">
        <v>1.0029699999999999</v>
      </c>
      <c r="CB36" s="2">
        <v>1.0001691320875659</v>
      </c>
      <c r="CC36" s="2">
        <v>1.0099472187999998</v>
      </c>
      <c r="CD36" s="2">
        <v>1.01531437711859</v>
      </c>
      <c r="CE36" s="36">
        <v>2014</v>
      </c>
    </row>
    <row r="37" spans="1:83" s="12" customFormat="1">
      <c r="A37" s="95">
        <v>1999</v>
      </c>
      <c r="B37" s="2">
        <v>1.0093054143145515</v>
      </c>
      <c r="C37" s="2">
        <v>1.0232477262223207</v>
      </c>
      <c r="D37" s="2">
        <v>1.0076339489515298</v>
      </c>
      <c r="E37" s="2">
        <v>1.0225095628962835</v>
      </c>
      <c r="F37" s="2">
        <v>1.0236607287863231</v>
      </c>
      <c r="G37" s="2">
        <v>1.0157807116636481</v>
      </c>
      <c r="H37" s="2">
        <v>1.0419695415528323</v>
      </c>
      <c r="I37" s="2">
        <v>1.0738931771068616</v>
      </c>
      <c r="J37" s="2">
        <v>1</v>
      </c>
      <c r="K37" s="2">
        <v>1.0278999413992234</v>
      </c>
      <c r="L37" s="2">
        <v>1.0034029689866559</v>
      </c>
      <c r="M37" s="2">
        <v>1</v>
      </c>
      <c r="N37" s="2">
        <v>1.0147639493514657</v>
      </c>
      <c r="O37" s="2">
        <v>1.0040521001034719</v>
      </c>
      <c r="P37" s="2">
        <v>1.0092353559486646</v>
      </c>
      <c r="Q37" s="2">
        <v>1.0194975323353597</v>
      </c>
      <c r="R37" s="2">
        <v>1.0001419038067436</v>
      </c>
      <c r="S37" s="2">
        <v>1.0004314964675081</v>
      </c>
      <c r="T37" s="2">
        <v>1.0033079517619341</v>
      </c>
      <c r="U37" s="2">
        <v>1.0157619936745423</v>
      </c>
      <c r="V37" s="2">
        <v>1.0251159397915928</v>
      </c>
      <c r="W37" s="2">
        <v>1.0079713669465682</v>
      </c>
      <c r="X37" s="2">
        <v>1.031567276869036</v>
      </c>
      <c r="Y37" s="2">
        <v>1.0042444756170505</v>
      </c>
      <c r="Z37" s="2">
        <v>1.0062266548635279</v>
      </c>
      <c r="AA37" s="2">
        <v>1</v>
      </c>
      <c r="AB37" s="2">
        <v>1</v>
      </c>
      <c r="AC37" s="2">
        <v>1.0260501638590676</v>
      </c>
      <c r="AD37" s="2">
        <v>1.0088308819508267</v>
      </c>
      <c r="AE37" s="2">
        <v>1.0164733388011364</v>
      </c>
      <c r="AF37" s="2">
        <v>1.000196823129835</v>
      </c>
      <c r="AG37" s="2">
        <v>1.0034029689866559</v>
      </c>
      <c r="AH37" s="2">
        <v>1.0181693900636914</v>
      </c>
      <c r="AI37" s="2">
        <v>1.0006116402807816</v>
      </c>
      <c r="AJ37" s="2">
        <v>1.0070050174870622</v>
      </c>
      <c r="AK37" s="2">
        <v>1.0033079517619341</v>
      </c>
      <c r="AL37" s="2">
        <v>1.0085556337508428</v>
      </c>
      <c r="AM37" s="2">
        <v>1.0185563778777209</v>
      </c>
      <c r="AN37" s="2">
        <v>1.0078232983918232</v>
      </c>
      <c r="AO37" s="2">
        <v>1.0177217848682569</v>
      </c>
      <c r="AP37" s="2">
        <v>1.009543228728883</v>
      </c>
      <c r="AQ37" s="2">
        <v>1.023750769266059</v>
      </c>
      <c r="AR37" s="98">
        <v>1.0091649025584017</v>
      </c>
      <c r="AS37" s="2">
        <v>1.0040521001034719</v>
      </c>
      <c r="AT37" s="2">
        <v>1.0042444756170505</v>
      </c>
      <c r="AU37" s="2">
        <v>1.0001419038067436</v>
      </c>
      <c r="AV37" s="2">
        <v>1.0004314964675081</v>
      </c>
      <c r="AW37" s="2">
        <v>1.0062266548635279</v>
      </c>
      <c r="AX37" s="2">
        <v>1.0068553755740486</v>
      </c>
      <c r="AY37" s="2">
        <v>1.0091649025584017</v>
      </c>
      <c r="AZ37" s="2">
        <v>1.0164733388011364</v>
      </c>
      <c r="BA37" s="2">
        <v>1.000196823129835</v>
      </c>
      <c r="BB37" s="2">
        <v>1.0006116402807816</v>
      </c>
      <c r="BC37" s="2">
        <v>1.0070050174870622</v>
      </c>
      <c r="BD37" s="2">
        <v>1.0085556337508428</v>
      </c>
      <c r="BE37" s="2">
        <v>1.028316357106428</v>
      </c>
      <c r="BF37" s="2">
        <v>1.032075687584826</v>
      </c>
      <c r="BG37" s="2">
        <v>1.0289329207915205</v>
      </c>
      <c r="BH37" s="2">
        <v>1.0313529516779585</v>
      </c>
      <c r="BI37" s="2">
        <v>1.0298464849133868</v>
      </c>
      <c r="BJ37" s="2">
        <v>1.030304813135041</v>
      </c>
      <c r="BK37" s="2">
        <v>1</v>
      </c>
      <c r="BL37" s="2">
        <v>1.01139545516768</v>
      </c>
      <c r="BM37" s="2">
        <v>1</v>
      </c>
      <c r="BN37" s="2">
        <v>1.0127066311292801</v>
      </c>
      <c r="BO37" s="2">
        <v>1.0097242844080001</v>
      </c>
      <c r="BP37" s="2">
        <v>1.0082499055131713</v>
      </c>
      <c r="BQ37" s="2">
        <v>1.0505816067819951</v>
      </c>
      <c r="BR37" s="2">
        <v>1.0408866454043113</v>
      </c>
      <c r="BS37" s="2">
        <v>1.0464986442511273</v>
      </c>
      <c r="BT37" s="2">
        <v>1.0400745092181283</v>
      </c>
      <c r="BU37" s="2">
        <v>1.0240491631308712</v>
      </c>
      <c r="BV37" s="2">
        <v>1</v>
      </c>
      <c r="BW37" s="2">
        <v>1.0026879999999998</v>
      </c>
      <c r="BX37" s="2">
        <v>1.000153216</v>
      </c>
      <c r="BY37" s="2">
        <v>1.005868</v>
      </c>
      <c r="BZ37" s="2">
        <v>1.0003344759999999</v>
      </c>
      <c r="CA37" s="2">
        <v>1.0044507999999999</v>
      </c>
      <c r="CB37" s="2">
        <v>1.0002536955999999</v>
      </c>
      <c r="CC37" s="2">
        <v>1.011873416</v>
      </c>
      <c r="CD37" s="2">
        <v>1.0180883531760256</v>
      </c>
      <c r="CE37" s="34">
        <v>2015</v>
      </c>
    </row>
    <row r="38" spans="1:83" s="12" customFormat="1">
      <c r="A38" s="94">
        <v>2000</v>
      </c>
      <c r="B38" s="2">
        <v>1.009939005041768</v>
      </c>
      <c r="C38" s="2">
        <v>1.0221396954967445</v>
      </c>
      <c r="D38" s="2">
        <v>1.0079114687926511</v>
      </c>
      <c r="E38" s="2">
        <v>1.0217762678119728</v>
      </c>
      <c r="F38" s="2">
        <v>1.0230520006300117</v>
      </c>
      <c r="G38" s="2">
        <v>1.0156827490663189</v>
      </c>
      <c r="H38" s="2">
        <v>1.0430564287372075</v>
      </c>
      <c r="I38" s="2">
        <v>1.0660015800955831</v>
      </c>
      <c r="J38" s="2">
        <v>1</v>
      </c>
      <c r="K38" s="2">
        <v>1.0210764744856746</v>
      </c>
      <c r="L38" s="2">
        <v>1.002236340043291</v>
      </c>
      <c r="M38" s="2">
        <v>1</v>
      </c>
      <c r="N38" s="2">
        <v>1.0164207067594757</v>
      </c>
      <c r="O38" s="2">
        <v>1.004189913872588</v>
      </c>
      <c r="P38" s="2">
        <v>1.0102260837585915</v>
      </c>
      <c r="Q38" s="2">
        <v>1.018873749836319</v>
      </c>
      <c r="R38" s="2">
        <v>1.0000885590657143</v>
      </c>
      <c r="S38" s="2">
        <v>1.0008657674018995</v>
      </c>
      <c r="T38" s="2">
        <v>1.0033937281004945</v>
      </c>
      <c r="U38" s="2">
        <v>1.0167487026783524</v>
      </c>
      <c r="V38" s="2">
        <v>1.0238761986515921</v>
      </c>
      <c r="W38" s="2">
        <v>1.0085264779645511</v>
      </c>
      <c r="X38" s="2">
        <v>1.0322962423411861</v>
      </c>
      <c r="Y38" s="2">
        <v>1.004335484898373</v>
      </c>
      <c r="Z38" s="2">
        <v>1.0058625545747359</v>
      </c>
      <c r="AA38" s="2">
        <v>1</v>
      </c>
      <c r="AB38" s="2">
        <v>1</v>
      </c>
      <c r="AC38" s="2">
        <v>1.027002317432024</v>
      </c>
      <c r="AD38" s="2">
        <v>1.0095419182531511</v>
      </c>
      <c r="AE38" s="2">
        <v>1.0175678483766668</v>
      </c>
      <c r="AF38" s="2">
        <v>1.0001968362298286</v>
      </c>
      <c r="AG38" s="2">
        <v>1.0064609507604445</v>
      </c>
      <c r="AH38" s="2">
        <v>1.0187156418916434</v>
      </c>
      <c r="AI38" s="2">
        <v>1.0009732965526144</v>
      </c>
      <c r="AJ38" s="2">
        <v>1.007824999292074</v>
      </c>
      <c r="AK38" s="2">
        <v>1.0052724623651925</v>
      </c>
      <c r="AL38" s="2">
        <v>1.0095348004965108</v>
      </c>
      <c r="AM38" s="2">
        <v>1.019250697657774</v>
      </c>
      <c r="AN38" s="2">
        <v>1.0087394266536911</v>
      </c>
      <c r="AO38" s="2">
        <v>1.0178445034278998</v>
      </c>
      <c r="AP38" s="2">
        <v>1.0109298694553988</v>
      </c>
      <c r="AQ38" s="2">
        <v>1.0243956274720356</v>
      </c>
      <c r="AR38" s="98">
        <v>1.009837627190342</v>
      </c>
      <c r="AS38" s="2">
        <v>1.004189913872588</v>
      </c>
      <c r="AT38" s="2">
        <v>1.004335484898373</v>
      </c>
      <c r="AU38" s="2">
        <v>1.0000885590657143</v>
      </c>
      <c r="AV38" s="2">
        <v>1.0008657674018995</v>
      </c>
      <c r="AW38" s="2">
        <v>1.0058625545747359</v>
      </c>
      <c r="AX38" s="2">
        <v>1.0073327710495139</v>
      </c>
      <c r="AY38" s="2">
        <v>1.009837627190342</v>
      </c>
      <c r="AZ38" s="2">
        <v>1.0175678483766668</v>
      </c>
      <c r="BA38" s="2">
        <v>1.0001968362298286</v>
      </c>
      <c r="BB38" s="2">
        <v>1.0009732965526144</v>
      </c>
      <c r="BC38" s="2">
        <v>1.007824999292074</v>
      </c>
      <c r="BD38" s="2">
        <v>1.0095348004965108</v>
      </c>
      <c r="BE38" s="2">
        <v>1.0266247833317996</v>
      </c>
      <c r="BF38" s="2">
        <v>1.0335065374780215</v>
      </c>
      <c r="BG38" s="2">
        <v>1.0365533439701125</v>
      </c>
      <c r="BH38" s="2">
        <v>1.0374268210167552</v>
      </c>
      <c r="BI38" s="2">
        <v>1.0389097156342033</v>
      </c>
      <c r="BJ38" s="2">
        <v>1.0319590479310836</v>
      </c>
      <c r="BK38" s="2">
        <v>1</v>
      </c>
      <c r="BL38" s="2">
        <v>1.0179275595904</v>
      </c>
      <c r="BM38" s="2">
        <v>1</v>
      </c>
      <c r="BN38" s="2">
        <v>1.0152654745792</v>
      </c>
      <c r="BO38" s="2">
        <v>1.0125958881504</v>
      </c>
      <c r="BP38" s="2">
        <v>1.0133093965613764</v>
      </c>
      <c r="BQ38" s="2">
        <v>1.0581675483375841</v>
      </c>
      <c r="BR38" s="2">
        <v>1.0481197414154129</v>
      </c>
      <c r="BS38" s="2">
        <v>1.0473636352160747</v>
      </c>
      <c r="BT38" s="2">
        <v>1.0471821337969276</v>
      </c>
      <c r="BU38" s="2">
        <v>1.0287865636299294</v>
      </c>
      <c r="BV38" s="2">
        <v>1</v>
      </c>
      <c r="BW38" s="2">
        <v>1.0043499</v>
      </c>
      <c r="BX38" s="2">
        <v>1.0002478865537006</v>
      </c>
      <c r="BY38" s="2">
        <v>1.0081630159999999</v>
      </c>
      <c r="BZ38" s="2">
        <v>1.0004651835453786</v>
      </c>
      <c r="CA38" s="2">
        <v>1.0081630159999999</v>
      </c>
      <c r="CB38" s="2">
        <v>1.0004651835453786</v>
      </c>
      <c r="CC38" s="2">
        <v>1.0159103600000001</v>
      </c>
      <c r="CD38" s="2">
        <v>1.0223744271141764</v>
      </c>
      <c r="CE38" s="35">
        <v>2016</v>
      </c>
    </row>
    <row r="39" spans="1:83" s="12" customFormat="1">
      <c r="A39" s="94">
        <v>2001</v>
      </c>
      <c r="B39" s="2">
        <v>1.0056932919522164</v>
      </c>
      <c r="C39" s="2">
        <v>1.0154203235506625</v>
      </c>
      <c r="D39" s="2">
        <v>1.0046771426381695</v>
      </c>
      <c r="E39" s="2">
        <v>1.0156708631122038</v>
      </c>
      <c r="F39" s="2">
        <v>1.0178441609043565</v>
      </c>
      <c r="G39" s="2">
        <v>1.011089328449809</v>
      </c>
      <c r="H39" s="2">
        <v>1.0442573836979858</v>
      </c>
      <c r="I39" s="2">
        <v>1.0885189149378935</v>
      </c>
      <c r="J39" s="12">
        <v>1</v>
      </c>
      <c r="K39" s="2">
        <v>1.0277842016710386</v>
      </c>
      <c r="L39" s="2">
        <v>1.0006664583294724</v>
      </c>
      <c r="M39" s="12">
        <v>1</v>
      </c>
      <c r="N39" s="2">
        <v>1.0139106946598</v>
      </c>
      <c r="O39" s="2">
        <v>1.002478370422329</v>
      </c>
      <c r="P39" s="2">
        <v>1.0051559632063909</v>
      </c>
      <c r="Q39" s="2">
        <v>1.0121907562533139</v>
      </c>
      <c r="R39" s="2">
        <v>1.0000257105222519</v>
      </c>
      <c r="S39" s="2">
        <v>1.0000899564789014</v>
      </c>
      <c r="T39" s="2">
        <v>1.0010342604801585</v>
      </c>
      <c r="U39" s="2">
        <v>1.0130869409936765</v>
      </c>
      <c r="V39" s="2">
        <v>1.0184254478542181</v>
      </c>
      <c r="W39" s="2">
        <v>1.0057274964958178</v>
      </c>
      <c r="X39" s="2">
        <v>1.0246403052949757</v>
      </c>
      <c r="Y39" s="12">
        <v>1.002609360340124</v>
      </c>
      <c r="Z39" s="12">
        <v>1.0030628568887254</v>
      </c>
      <c r="AA39" s="2">
        <v>1</v>
      </c>
      <c r="AB39" s="2">
        <v>1</v>
      </c>
      <c r="AC39" s="2">
        <v>1.0128840802995509</v>
      </c>
      <c r="AD39" s="2">
        <v>1.0043364717715084</v>
      </c>
      <c r="AE39" s="2">
        <v>1.0124673716050692</v>
      </c>
      <c r="AF39" s="2">
        <v>1.0000395967907592</v>
      </c>
      <c r="AG39" s="2">
        <v>1.0006664583294724</v>
      </c>
      <c r="AH39" s="2">
        <v>1.0130294678002882</v>
      </c>
      <c r="AI39" s="2">
        <v>1</v>
      </c>
      <c r="AJ39" s="2">
        <v>1.0039667072753788</v>
      </c>
      <c r="AK39" s="2">
        <v>1.0010342604801585</v>
      </c>
      <c r="AL39" s="2">
        <v>1.0048343551872958</v>
      </c>
      <c r="AM39" s="2">
        <v>1.0136078965835951</v>
      </c>
      <c r="AN39" s="2">
        <v>1.0050037220563841</v>
      </c>
      <c r="AO39" s="2">
        <v>1.0123409037120448</v>
      </c>
      <c r="AP39" s="2">
        <v>1.0066959215501372</v>
      </c>
      <c r="AQ39" s="2">
        <v>1.0190014546088229</v>
      </c>
      <c r="AR39" s="98">
        <v>1.005633352258803</v>
      </c>
      <c r="AS39" s="12">
        <v>1.002478370422329</v>
      </c>
      <c r="AT39" s="12">
        <v>1.002609360340124</v>
      </c>
      <c r="AU39" s="12">
        <v>1.0000257105222519</v>
      </c>
      <c r="AV39" s="2">
        <v>1.0000899564789014</v>
      </c>
      <c r="AW39" s="12">
        <v>1.0030628568887254</v>
      </c>
      <c r="AX39" s="12">
        <v>1.0049256469864032</v>
      </c>
      <c r="AY39" s="12">
        <v>1.005633352258803</v>
      </c>
      <c r="AZ39" s="12">
        <v>1.0124673716050692</v>
      </c>
      <c r="BA39" s="2">
        <v>1.0000395967907592</v>
      </c>
      <c r="BB39" s="2">
        <v>1</v>
      </c>
      <c r="BC39" s="12">
        <v>1.0039667072753788</v>
      </c>
      <c r="BD39" s="12">
        <v>1.0048343551872958</v>
      </c>
      <c r="BE39" s="2">
        <v>1.0281262400748163</v>
      </c>
      <c r="BF39" s="2">
        <v>1.0353464324435968</v>
      </c>
      <c r="BG39" s="2">
        <v>1.0384483407166156</v>
      </c>
      <c r="BH39" s="2">
        <v>1.0405347037308943</v>
      </c>
      <c r="BI39" s="2">
        <v>1.0408270235234649</v>
      </c>
      <c r="BJ39" s="2">
        <v>1.0337487513651327</v>
      </c>
      <c r="BK39" s="2">
        <v>1</v>
      </c>
      <c r="BL39" s="2">
        <v>1.016214443552</v>
      </c>
      <c r="BM39" s="2">
        <v>1</v>
      </c>
      <c r="BN39" s="2">
        <v>1.0162314130560002</v>
      </c>
      <c r="BO39" s="2">
        <v>1.0136084266400001</v>
      </c>
      <c r="BP39" s="2">
        <v>1.01462042748544</v>
      </c>
      <c r="BQ39" s="2">
        <v>1.0602268166054376</v>
      </c>
      <c r="BR39" s="2">
        <v>1.0500806839329282</v>
      </c>
      <c r="BS39" s="2">
        <v>1.0493820313559885</v>
      </c>
      <c r="BT39" s="2">
        <v>1.0491215878908315</v>
      </c>
      <c r="BU39" s="2">
        <v>1.0301004861517953</v>
      </c>
      <c r="BV39" s="2">
        <v>1</v>
      </c>
      <c r="BW39" s="2">
        <v>1.0053471200000001</v>
      </c>
      <c r="BX39" s="2">
        <v>1.0003044328472182</v>
      </c>
      <c r="BY39" s="2">
        <v>1.0088394799999998</v>
      </c>
      <c r="BZ39" s="2">
        <v>1.0005032668173388</v>
      </c>
      <c r="CA39" s="2">
        <v>1.0080100000000001</v>
      </c>
      <c r="CB39" s="2">
        <v>1.0004560412158727</v>
      </c>
      <c r="CC39" s="2">
        <v>1.0171204</v>
      </c>
      <c r="CD39" s="2">
        <v>1.0240704508000003</v>
      </c>
      <c r="CE39" s="35">
        <v>2017</v>
      </c>
    </row>
    <row r="40" spans="1:83" s="12" customFormat="1">
      <c r="A40" s="94">
        <v>2002</v>
      </c>
      <c r="B40" s="2">
        <v>1.0077963902044855</v>
      </c>
      <c r="C40" s="2">
        <v>1.0217258923822177</v>
      </c>
      <c r="D40" s="2">
        <v>1.0082183229176296</v>
      </c>
      <c r="E40" s="2">
        <v>1.0203558081714073</v>
      </c>
      <c r="F40" s="2">
        <v>1.0204218669423268</v>
      </c>
      <c r="G40" s="2">
        <v>1.0164371197106643</v>
      </c>
      <c r="H40" s="2">
        <v>1.0382916105832016</v>
      </c>
      <c r="I40" s="2">
        <v>1.0764167652032335</v>
      </c>
      <c r="J40" s="12">
        <v>1</v>
      </c>
      <c r="K40" s="2">
        <v>1.0266318766794862</v>
      </c>
      <c r="L40" s="2">
        <v>1.0006851711376596</v>
      </c>
      <c r="M40" s="12">
        <v>1</v>
      </c>
      <c r="N40" s="2">
        <v>1.0120339183222928</v>
      </c>
      <c r="O40" s="2">
        <v>1.0047050089128255</v>
      </c>
      <c r="P40" s="2">
        <v>1.0069096578237648</v>
      </c>
      <c r="Q40" s="2">
        <v>1.011980744620685</v>
      </c>
      <c r="R40" s="2">
        <v>1.0000236496998014</v>
      </c>
      <c r="S40" s="2">
        <v>1.0006854735371986</v>
      </c>
      <c r="T40" s="2">
        <v>1.0009138998745661</v>
      </c>
      <c r="U40" s="2">
        <v>1.017992448174408</v>
      </c>
      <c r="V40" s="2">
        <v>1.0208269290159988</v>
      </c>
      <c r="W40" s="2">
        <v>1.007358679334704</v>
      </c>
      <c r="X40" s="2">
        <v>1.0366523814853326</v>
      </c>
      <c r="Y40" s="12">
        <v>1.0049298959773445</v>
      </c>
      <c r="Z40" s="12">
        <v>1.004208107343282</v>
      </c>
      <c r="AA40" s="2">
        <v>1</v>
      </c>
      <c r="AB40" s="2">
        <v>1</v>
      </c>
      <c r="AC40" s="2">
        <v>1.0220090880837496</v>
      </c>
      <c r="AD40" s="2">
        <v>1.0058392767268929</v>
      </c>
      <c r="AE40" s="2">
        <v>1.0181446089293102</v>
      </c>
      <c r="AF40" s="2">
        <v>1.0000378114604387</v>
      </c>
      <c r="AG40" s="2">
        <v>1.0048351081388678</v>
      </c>
      <c r="AH40" s="2">
        <v>1.0188042216335278</v>
      </c>
      <c r="AI40" s="2">
        <v>1.0000347976786816</v>
      </c>
      <c r="AJ40" s="2">
        <v>1.0052748085967353</v>
      </c>
      <c r="AK40" s="2">
        <v>1.0032198468554034</v>
      </c>
      <c r="AL40" s="2">
        <v>1.0064189879511953</v>
      </c>
      <c r="AM40" s="2">
        <v>1.0193043075063748</v>
      </c>
      <c r="AN40" s="2">
        <v>1.0069720791335961</v>
      </c>
      <c r="AO40" s="2">
        <v>1.0181064883953226</v>
      </c>
      <c r="AP40" s="2">
        <v>1.0088396882203183</v>
      </c>
      <c r="AQ40" s="2">
        <v>1.0269619302474937</v>
      </c>
      <c r="AR40" s="98">
        <v>1.0077288100965385</v>
      </c>
      <c r="AS40" s="2">
        <v>1.0047050089128255</v>
      </c>
      <c r="AT40" s="2">
        <v>1.0049298959773445</v>
      </c>
      <c r="AU40" s="2">
        <v>1.0000236496998014</v>
      </c>
      <c r="AV40" s="2">
        <v>1.0006854735371986</v>
      </c>
      <c r="AW40" s="2">
        <v>1.004208107343282</v>
      </c>
      <c r="AX40" s="2">
        <v>1.0063284642278454</v>
      </c>
      <c r="AY40" s="2">
        <v>1.0077288100965385</v>
      </c>
      <c r="AZ40" s="2">
        <v>1.0181446089293102</v>
      </c>
      <c r="BA40" s="2">
        <v>1.0000378114604387</v>
      </c>
      <c r="BB40" s="2">
        <v>1.0000347976786816</v>
      </c>
      <c r="BC40" s="2">
        <v>1.0052748085967353</v>
      </c>
      <c r="BD40" s="2">
        <v>1.0064189879511953</v>
      </c>
      <c r="BE40" s="2">
        <v>1.0252348362325248</v>
      </c>
      <c r="BF40" s="2">
        <v>1.0359205713235968</v>
      </c>
      <c r="BG40" s="2">
        <v>1.0380883407166159</v>
      </c>
      <c r="BH40" s="2">
        <v>1.0397267037308944</v>
      </c>
      <c r="BI40" s="2">
        <v>1.040544223523465</v>
      </c>
      <c r="BJ40" s="2">
        <v>1.0333483513651327</v>
      </c>
      <c r="BK40" s="2">
        <v>1</v>
      </c>
      <c r="BL40" s="2">
        <v>1.015499205792</v>
      </c>
      <c r="BM40" s="2">
        <v>1</v>
      </c>
      <c r="BN40" s="2">
        <v>1.0159049553919999</v>
      </c>
      <c r="BO40" s="2">
        <v>1.013477539408</v>
      </c>
      <c r="BP40" s="2">
        <v>1.01801631495296</v>
      </c>
      <c r="BQ40" s="2">
        <v>1.0620830566054378</v>
      </c>
      <c r="BR40" s="2">
        <v>1.0618360567329281</v>
      </c>
      <c r="BS40" s="2">
        <v>1.0540595328644811</v>
      </c>
      <c r="BT40" s="2">
        <v>1.052355858765943</v>
      </c>
      <c r="BU40" s="2">
        <v>1.0301004861517955</v>
      </c>
      <c r="BV40" s="2">
        <v>1</v>
      </c>
      <c r="BW40" s="2">
        <v>1.00433704</v>
      </c>
      <c r="BX40" s="2">
        <v>1.0002466968785018</v>
      </c>
      <c r="BY40" s="2">
        <v>1.00912884</v>
      </c>
      <c r="BZ40" s="2">
        <v>1.0005192611394735</v>
      </c>
      <c r="CA40" s="2">
        <v>1.006302</v>
      </c>
      <c r="CB40" s="2">
        <v>1.000358466541309</v>
      </c>
      <c r="CC40" s="2">
        <v>1.0171203999999998</v>
      </c>
      <c r="CD40" s="2">
        <v>1.0240704508000003</v>
      </c>
      <c r="CE40" s="35">
        <v>2018</v>
      </c>
    </row>
    <row r="41" spans="1:83" s="12" customFormat="1">
      <c r="A41" s="94">
        <v>2003</v>
      </c>
      <c r="B41" s="12">
        <v>1.0124458325393713</v>
      </c>
      <c r="C41" s="12">
        <v>1.0341243720838371</v>
      </c>
      <c r="D41" s="12">
        <v>1.0106885233841867</v>
      </c>
      <c r="E41" s="12">
        <v>1.0304235418314251</v>
      </c>
      <c r="F41" s="12">
        <v>1.0310896293202338</v>
      </c>
      <c r="G41" s="12">
        <v>1.0262696640982587</v>
      </c>
      <c r="H41" s="12">
        <v>1.0607890033089793</v>
      </c>
      <c r="I41" s="12">
        <v>1.1044546753167526</v>
      </c>
      <c r="J41" s="12">
        <v>1</v>
      </c>
      <c r="K41" s="12">
        <v>1.0309181260644755</v>
      </c>
      <c r="L41" s="12">
        <v>1.0010658406892043</v>
      </c>
      <c r="M41" s="12">
        <v>1</v>
      </c>
      <c r="N41" s="12">
        <v>1.0182262378753302</v>
      </c>
      <c r="O41" s="12">
        <v>1.0064332057041421</v>
      </c>
      <c r="P41" s="12">
        <v>1.0129523755769796</v>
      </c>
      <c r="Q41" s="12">
        <v>1.0247136885030004</v>
      </c>
      <c r="R41" s="12">
        <v>1.0001450768864775</v>
      </c>
      <c r="S41" s="12">
        <v>1.001395496311233</v>
      </c>
      <c r="T41" s="12">
        <v>1.0027724167030991</v>
      </c>
      <c r="U41" s="12">
        <v>1.0218392777163798</v>
      </c>
      <c r="V41" s="12">
        <v>1.0336936859865073</v>
      </c>
      <c r="W41" s="12">
        <v>1.0124404593827083</v>
      </c>
      <c r="X41" s="12">
        <v>1.0512370507292574</v>
      </c>
      <c r="Y41" s="12">
        <v>1.0066574309298044</v>
      </c>
      <c r="Z41" s="12">
        <v>1.0076883927299771</v>
      </c>
      <c r="AA41" s="12">
        <v>1</v>
      </c>
      <c r="AB41" s="12">
        <v>1</v>
      </c>
      <c r="AC41" s="12">
        <v>1.0333737209614844</v>
      </c>
      <c r="AD41" s="12">
        <v>1.0100189157804662</v>
      </c>
      <c r="AE41" s="12">
        <v>1.029251441166148</v>
      </c>
      <c r="AF41" s="12">
        <v>1.0001042426712885</v>
      </c>
      <c r="AG41" s="12">
        <v>1.0072933342920563</v>
      </c>
      <c r="AH41" s="12">
        <v>1.0297586207202454</v>
      </c>
      <c r="AI41" s="12">
        <v>1.0000341423962353</v>
      </c>
      <c r="AJ41" s="12">
        <v>1.0109351416721506</v>
      </c>
      <c r="AK41" s="12">
        <v>1.0045975921723214</v>
      </c>
      <c r="AL41" s="12">
        <v>1.0120856785051828</v>
      </c>
      <c r="AM41" s="12">
        <v>1.0297586207202454</v>
      </c>
      <c r="AN41" s="12">
        <v>1.0106200907161318</v>
      </c>
      <c r="AO41" s="12">
        <v>1.0284608179664045</v>
      </c>
      <c r="AP41" s="12">
        <v>1.0143701515402834</v>
      </c>
      <c r="AQ41" s="12">
        <v>1.0397910058849458</v>
      </c>
      <c r="AR41" s="421">
        <v>1.0123514967345253</v>
      </c>
      <c r="AS41" s="12">
        <v>1.0064332057041421</v>
      </c>
      <c r="AT41" s="12">
        <v>1.0066574309298044</v>
      </c>
      <c r="AU41" s="12">
        <v>1.0001450768864775</v>
      </c>
      <c r="AV41" s="12">
        <v>1.001395496311233</v>
      </c>
      <c r="AW41" s="12">
        <v>1.0076883927299771</v>
      </c>
      <c r="AX41" s="12">
        <v>1.0106987950691293</v>
      </c>
      <c r="AY41" s="12">
        <v>1.0123514967345253</v>
      </c>
      <c r="AZ41" s="12">
        <v>1.029251441166148</v>
      </c>
      <c r="BA41" s="12">
        <v>1.0001042426712885</v>
      </c>
      <c r="BB41" s="12">
        <v>1.0000341423962353</v>
      </c>
      <c r="BC41" s="12">
        <v>1.0109351416721506</v>
      </c>
      <c r="BD41" s="12">
        <v>1.0120856785051828</v>
      </c>
      <c r="BE41" s="2">
        <v>1.0252348362325248</v>
      </c>
      <c r="BF41" s="2">
        <v>1.0359205713235971</v>
      </c>
      <c r="BG41" s="2">
        <v>1.0380883407166159</v>
      </c>
      <c r="BH41" s="2">
        <v>1.0397267037308944</v>
      </c>
      <c r="BI41" s="2">
        <v>1.0405442235234652</v>
      </c>
      <c r="BJ41" s="2">
        <v>1.0333483513651329</v>
      </c>
      <c r="BK41" s="2">
        <v>1</v>
      </c>
      <c r="BL41" s="2">
        <v>1.0154992057920003</v>
      </c>
      <c r="BM41" s="2">
        <v>1</v>
      </c>
      <c r="BN41" s="2">
        <v>1.0159049553920001</v>
      </c>
      <c r="BO41" s="2">
        <v>1.013477539408</v>
      </c>
      <c r="BP41" s="2">
        <v>1.01801631495296</v>
      </c>
      <c r="BQ41" s="2">
        <v>1.0620830566054376</v>
      </c>
      <c r="BR41" s="2">
        <v>1.0618360567329281</v>
      </c>
      <c r="BS41" s="2">
        <v>1.0540595328644813</v>
      </c>
      <c r="BT41" s="2">
        <v>1.052355858765943</v>
      </c>
      <c r="BU41" s="2">
        <v>1.0301004861517951</v>
      </c>
      <c r="BV41" s="2">
        <v>1</v>
      </c>
      <c r="BW41" s="2">
        <v>1.00433704</v>
      </c>
      <c r="BX41" s="2">
        <v>1.0002468109824381</v>
      </c>
      <c r="BY41" s="2">
        <v>1.00912884</v>
      </c>
      <c r="BZ41" s="2">
        <v>1.0005195013117054</v>
      </c>
      <c r="CA41" s="2">
        <v>1.0080100000000001</v>
      </c>
      <c r="CB41" s="2">
        <v>1.0004558306977405</v>
      </c>
      <c r="CC41" s="2">
        <v>1.0171204</v>
      </c>
      <c r="CD41" s="2">
        <v>1.0240704508</v>
      </c>
      <c r="CE41" s="36">
        <v>2019</v>
      </c>
    </row>
    <row r="42" spans="1:83" s="12" customFormat="1">
      <c r="A42" s="95">
        <v>2004</v>
      </c>
      <c r="B42" s="12">
        <v>1.0203013195350632</v>
      </c>
      <c r="C42" s="12">
        <v>1.0403954202061403</v>
      </c>
      <c r="D42" s="12">
        <v>1.0169470463699202</v>
      </c>
      <c r="E42" s="12">
        <v>1.0368883347640698</v>
      </c>
      <c r="F42" s="12">
        <v>1.0408915072065188</v>
      </c>
      <c r="G42" s="12">
        <v>1.0309704779620341</v>
      </c>
      <c r="H42" s="12">
        <v>1.0618547610451674</v>
      </c>
      <c r="I42" s="12">
        <v>1.1036835124679141</v>
      </c>
      <c r="J42" s="12">
        <v>1</v>
      </c>
      <c r="K42" s="12">
        <v>1.048773728172762</v>
      </c>
      <c r="L42" s="12">
        <v>1.0022314345284844</v>
      </c>
      <c r="M42" s="12">
        <v>1</v>
      </c>
      <c r="N42" s="12">
        <v>1.0300574301535739</v>
      </c>
      <c r="O42" s="12">
        <v>1.0098726259295083</v>
      </c>
      <c r="P42" s="12">
        <v>1.0160585058260552</v>
      </c>
      <c r="Q42" s="12">
        <v>1.0351455529252793</v>
      </c>
      <c r="R42" s="12">
        <v>1.0002280851090533</v>
      </c>
      <c r="S42" s="12">
        <v>1.0021780572719901</v>
      </c>
      <c r="T42" s="12">
        <v>1.0057248585600138</v>
      </c>
      <c r="U42" s="12">
        <v>1.0587866635648926</v>
      </c>
      <c r="V42" s="12">
        <v>1.0405252345539229</v>
      </c>
      <c r="W42" s="12">
        <v>1.014218670001547</v>
      </c>
      <c r="X42" s="12">
        <v>1.0639613403079973</v>
      </c>
      <c r="Y42" s="12">
        <v>1.0102356294088977</v>
      </c>
      <c r="Z42" s="12">
        <v>1.0110990954010453</v>
      </c>
      <c r="AA42" s="12">
        <v>1</v>
      </c>
      <c r="AB42" s="12">
        <v>1</v>
      </c>
      <c r="AC42" s="12">
        <v>1.0451964609750783</v>
      </c>
      <c r="AD42" s="12">
        <v>1.01524737466107</v>
      </c>
      <c r="AE42" s="12">
        <v>1.0335077938373223</v>
      </c>
      <c r="AF42" s="12">
        <v>1.0002428398949605</v>
      </c>
      <c r="AG42" s="12">
        <v>1.0118182689446753</v>
      </c>
      <c r="AH42" s="12">
        <v>1.0362346737332835</v>
      </c>
      <c r="AI42" s="12">
        <v>1.0000397889367223</v>
      </c>
      <c r="AJ42" s="12">
        <v>1.0132318148868589</v>
      </c>
      <c r="AK42" s="12">
        <v>1.0113980329378374</v>
      </c>
      <c r="AL42" s="12">
        <v>1.0150835372403053</v>
      </c>
      <c r="AM42" s="12">
        <v>1.0362346737332835</v>
      </c>
      <c r="AN42" s="12">
        <v>1.017692655873474</v>
      </c>
      <c r="AO42" s="12">
        <v>1.0370627661649039</v>
      </c>
      <c r="AP42" s="12">
        <v>1.0181711730944603</v>
      </c>
      <c r="AQ42" s="12">
        <v>1.0471134210092823</v>
      </c>
      <c r="AR42" s="421">
        <v>1.0201518159684162</v>
      </c>
      <c r="AS42" s="132">
        <v>1.0098726259295083</v>
      </c>
      <c r="AT42" s="12">
        <v>1.0102356294088977</v>
      </c>
      <c r="AU42" s="12">
        <v>1.0002280851090533</v>
      </c>
      <c r="AV42" s="12">
        <v>1.0021780572719901</v>
      </c>
      <c r="AW42" s="12">
        <v>1.0110990954010453</v>
      </c>
      <c r="AX42" s="12">
        <v>1.0122280562013304</v>
      </c>
      <c r="AY42" s="12">
        <v>1.0201518159684162</v>
      </c>
      <c r="AZ42" s="12">
        <v>1.0335077938373223</v>
      </c>
      <c r="BA42" s="12">
        <v>1.0002428398949605</v>
      </c>
      <c r="BB42" s="12">
        <v>1.0000397889367223</v>
      </c>
      <c r="BC42" s="12">
        <v>1.0132318148868589</v>
      </c>
      <c r="BD42" s="12">
        <v>1.0150835372403053</v>
      </c>
      <c r="BE42" s="2">
        <v>1.0252348362325248</v>
      </c>
      <c r="BF42" s="2">
        <v>1.0359205713235968</v>
      </c>
      <c r="BG42" s="2">
        <v>1.0380883407166159</v>
      </c>
      <c r="BH42" s="2">
        <v>1.0397267037308939</v>
      </c>
      <c r="BI42" s="2">
        <v>1.040544223523465</v>
      </c>
      <c r="BJ42" s="2">
        <v>1.0333483513651329</v>
      </c>
      <c r="BK42" s="2">
        <v>1</v>
      </c>
      <c r="BL42" s="2">
        <v>1.015499205792</v>
      </c>
      <c r="BM42" s="2">
        <v>1</v>
      </c>
      <c r="BN42" s="2">
        <v>1.0159049553920003</v>
      </c>
      <c r="BO42" s="2">
        <v>1.013477539408</v>
      </c>
      <c r="BP42" s="2">
        <v>1.0180163149529602</v>
      </c>
      <c r="BQ42" s="2">
        <v>1.0620830566054376</v>
      </c>
      <c r="BR42" s="2">
        <v>1.0618360567329284</v>
      </c>
      <c r="BS42" s="2">
        <v>1.0540595328644815</v>
      </c>
      <c r="BT42" s="2">
        <v>1.0523558587659432</v>
      </c>
      <c r="BU42" s="2">
        <v>1.0301004861517955</v>
      </c>
      <c r="BV42" s="2">
        <v>1</v>
      </c>
      <c r="BW42" s="2">
        <v>1.00433704</v>
      </c>
      <c r="BX42" s="2">
        <v>1.0002470393951348</v>
      </c>
      <c r="BY42" s="2">
        <v>1.00912884</v>
      </c>
      <c r="BZ42" s="2">
        <v>1.000519982087295</v>
      </c>
      <c r="CA42" s="2">
        <v>1.0080100000000001</v>
      </c>
      <c r="CB42" s="2">
        <v>1.0004562525489802</v>
      </c>
      <c r="CC42" s="2">
        <v>1.0171204</v>
      </c>
      <c r="CD42" s="2">
        <v>1.0240704508</v>
      </c>
      <c r="CE42" s="34">
        <v>2020</v>
      </c>
    </row>
    <row r="43" spans="1:83" s="12" customFormat="1">
      <c r="A43" s="94">
        <v>2005</v>
      </c>
      <c r="B43" s="12">
        <v>1.0186335830824487</v>
      </c>
      <c r="C43" s="12">
        <v>1.0407815152842246</v>
      </c>
      <c r="D43" s="12">
        <v>1.016670164482681</v>
      </c>
      <c r="E43" s="12">
        <v>1.0370536117853948</v>
      </c>
      <c r="F43" s="12">
        <v>1.0405091101544888</v>
      </c>
      <c r="G43" s="12">
        <v>1.0311256672157136</v>
      </c>
      <c r="H43" s="12">
        <v>1.0583316521624779</v>
      </c>
      <c r="I43" s="12">
        <v>1.1050851995298447</v>
      </c>
      <c r="J43" s="12">
        <v>1</v>
      </c>
      <c r="K43" s="12">
        <v>1.0505731909573388</v>
      </c>
      <c r="L43" s="12">
        <v>1.0026291894431802</v>
      </c>
      <c r="M43" s="12">
        <v>1</v>
      </c>
      <c r="N43" s="12">
        <v>1.0290568426939071</v>
      </c>
      <c r="O43" s="12">
        <v>1.0101844359161904</v>
      </c>
      <c r="P43" s="12">
        <v>1.0251747310829102</v>
      </c>
      <c r="Q43" s="12">
        <v>1.0357326402174067</v>
      </c>
      <c r="R43" s="12">
        <v>1.0003318189160759</v>
      </c>
      <c r="S43" s="12">
        <v>1.0022704798893902</v>
      </c>
      <c r="T43" s="12">
        <v>1.0035482681871801</v>
      </c>
      <c r="U43" s="12">
        <v>1.0560131568109465</v>
      </c>
      <c r="V43" s="12">
        <v>1.0412095651522644</v>
      </c>
      <c r="W43" s="12">
        <v>1.0151076375663046</v>
      </c>
      <c r="X43" s="12">
        <v>1.0615220587473915</v>
      </c>
      <c r="Y43" s="12">
        <v>1.010525306627134</v>
      </c>
      <c r="Z43" s="12">
        <v>1.0119741261855497</v>
      </c>
      <c r="AA43" s="12">
        <v>1</v>
      </c>
      <c r="AB43" s="12">
        <v>1</v>
      </c>
      <c r="AC43" s="12">
        <v>1.0455296482462098</v>
      </c>
      <c r="AD43" s="12">
        <v>1.0154696401617769</v>
      </c>
      <c r="AE43" s="12">
        <v>1.0343946654322682</v>
      </c>
      <c r="AF43" s="12">
        <v>1.0005596201923666</v>
      </c>
      <c r="AG43" s="12">
        <v>1.0107847525010472</v>
      </c>
      <c r="AH43" s="12">
        <v>1.0364073844228427</v>
      </c>
      <c r="AI43" s="12">
        <v>1.0006306330558472</v>
      </c>
      <c r="AJ43" s="12">
        <v>1.0194699310050173</v>
      </c>
      <c r="AK43" s="12">
        <v>1.0027892408326697</v>
      </c>
      <c r="AL43" s="12">
        <v>1.0199084609618416</v>
      </c>
      <c r="AM43" s="12">
        <v>1.0364073844228427</v>
      </c>
      <c r="AN43" s="12">
        <v>1.0179825539577216</v>
      </c>
      <c r="AO43" s="12">
        <v>1.0374396329664302</v>
      </c>
      <c r="AP43" s="12">
        <v>1.0190166736978987</v>
      </c>
      <c r="AQ43" s="12">
        <v>1.0465106963235995</v>
      </c>
      <c r="AR43" s="563">
        <v>1.0185093791635325</v>
      </c>
      <c r="AS43" s="12">
        <v>1.0101844359161904</v>
      </c>
      <c r="AT43" s="12">
        <v>1.010525306627134</v>
      </c>
      <c r="AU43" s="12">
        <v>1.0003318189160759</v>
      </c>
      <c r="AV43" s="12">
        <v>1.0022704798893902</v>
      </c>
      <c r="AW43" s="12">
        <v>1.0119741261855497</v>
      </c>
      <c r="AX43" s="12">
        <v>1.012992568307022</v>
      </c>
      <c r="AY43" s="12">
        <v>1.0185093791635325</v>
      </c>
      <c r="AZ43" s="12">
        <v>1.0343946654322682</v>
      </c>
      <c r="BA43" s="12">
        <v>1.0005596201923666</v>
      </c>
      <c r="BB43" s="12">
        <v>1.0006306330558472</v>
      </c>
      <c r="BC43" s="12">
        <v>1.0194699310050173</v>
      </c>
      <c r="BD43" s="12">
        <v>1.0199084609618416</v>
      </c>
      <c r="BE43" s="2">
        <v>1.025234836232525</v>
      </c>
      <c r="BF43" s="2">
        <v>1.0359205713235968</v>
      </c>
      <c r="BG43" s="2">
        <v>1.0380883407166159</v>
      </c>
      <c r="BH43" s="2">
        <v>1.0397267037308942</v>
      </c>
      <c r="BI43" s="2">
        <v>1.0405442235234648</v>
      </c>
      <c r="BJ43" s="2">
        <v>1.0333483513651329</v>
      </c>
      <c r="BK43" s="2">
        <v>1</v>
      </c>
      <c r="BL43" s="2">
        <v>1.015499205792</v>
      </c>
      <c r="BM43" s="2">
        <v>1</v>
      </c>
      <c r="BN43" s="2">
        <v>1.0159049553920003</v>
      </c>
      <c r="BO43" s="2">
        <v>1.0134775394080002</v>
      </c>
      <c r="BP43" s="2">
        <v>1.01801631495296</v>
      </c>
      <c r="BQ43" s="2">
        <v>1.0620830566054378</v>
      </c>
      <c r="BR43" s="2">
        <v>1.0618360567329284</v>
      </c>
      <c r="BS43" s="2">
        <v>1.0540595328644817</v>
      </c>
      <c r="BT43" s="2">
        <v>1.052355858765943</v>
      </c>
      <c r="BU43" s="2">
        <v>1.0301004861517957</v>
      </c>
      <c r="BV43" s="2">
        <v>1</v>
      </c>
      <c r="BW43" s="2">
        <v>1.00433704</v>
      </c>
      <c r="BX43" s="2">
        <v>1.0002469252479314</v>
      </c>
      <c r="BY43" s="2">
        <v>1.00912884</v>
      </c>
      <c r="BZ43" s="2">
        <v>1.0005197418239919</v>
      </c>
      <c r="CA43" s="2">
        <v>1.0080100000000001</v>
      </c>
      <c r="CB43" s="2">
        <v>1.0004560417325941</v>
      </c>
      <c r="CC43" s="2">
        <v>1.0171204</v>
      </c>
      <c r="CD43" s="2">
        <v>1.0240704508</v>
      </c>
      <c r="CE43" s="35">
        <v>2021</v>
      </c>
    </row>
    <row r="44" spans="1:83" s="12" customFormat="1">
      <c r="A44" s="94">
        <v>2006</v>
      </c>
      <c r="B44" s="12">
        <v>1.0187914436104786</v>
      </c>
      <c r="C44" s="12">
        <v>1.036868127900114</v>
      </c>
      <c r="D44" s="12">
        <v>1.0137291516399425</v>
      </c>
      <c r="E44" s="12">
        <v>1.0337666190330905</v>
      </c>
      <c r="F44" s="12">
        <v>1.0345645454023467</v>
      </c>
      <c r="G44" s="12">
        <v>1.0332608998145434</v>
      </c>
      <c r="H44" s="12">
        <v>1.0452527810352727</v>
      </c>
      <c r="I44" s="12">
        <v>1.0906179920028298</v>
      </c>
      <c r="J44" s="12">
        <v>1</v>
      </c>
      <c r="K44" s="12">
        <v>1.0480106458972758</v>
      </c>
      <c r="L44" s="12">
        <v>1.0020870939677351</v>
      </c>
      <c r="M44" s="12">
        <v>1</v>
      </c>
      <c r="N44" s="12">
        <v>1.0246614834270817</v>
      </c>
      <c r="O44" s="12">
        <v>1.0069556900791126</v>
      </c>
      <c r="P44" s="12">
        <v>1.0178338824757844</v>
      </c>
      <c r="Q44" s="12">
        <v>1.0363514118062593</v>
      </c>
      <c r="R44" s="12">
        <v>1.000144364310567</v>
      </c>
      <c r="S44" s="12">
        <v>1.0005945589846055</v>
      </c>
      <c r="T44" s="12">
        <v>1.0038355105797772</v>
      </c>
      <c r="U44" s="12">
        <v>1.0217396862986101</v>
      </c>
      <c r="V44" s="12">
        <v>1.035523834069592</v>
      </c>
      <c r="W44" s="12">
        <v>1.0127264149533866</v>
      </c>
      <c r="X44" s="12">
        <v>1.0487336979915765</v>
      </c>
      <c r="Y44" s="12">
        <v>1.0075652716961883</v>
      </c>
      <c r="Z44" s="12">
        <v>1.0109385377261382</v>
      </c>
      <c r="AA44" s="12">
        <v>1</v>
      </c>
      <c r="AB44" s="12">
        <v>1</v>
      </c>
      <c r="AC44" s="12">
        <v>1.0392618113314696</v>
      </c>
      <c r="AD44" s="12">
        <v>1.0144830627993957</v>
      </c>
      <c r="AE44" s="12">
        <v>1.0313874677294981</v>
      </c>
      <c r="AF44" s="12">
        <v>1.0001671169461377</v>
      </c>
      <c r="AG44" s="12">
        <v>1.008384604714923</v>
      </c>
      <c r="AH44" s="12">
        <v>1.0312673842609632</v>
      </c>
      <c r="AI44" s="12">
        <v>0.99990149635412384</v>
      </c>
      <c r="AJ44" s="12">
        <v>1.0107737182103325</v>
      </c>
      <c r="AK44" s="12">
        <v>1.0030196801104592</v>
      </c>
      <c r="AL44" s="12">
        <v>1.0145906752450291</v>
      </c>
      <c r="AM44" s="12">
        <v>1.0312673842609632</v>
      </c>
      <c r="AN44" s="12">
        <v>1.0151160149687515</v>
      </c>
      <c r="AO44" s="12">
        <v>1.03254108266647</v>
      </c>
      <c r="AP44" s="12">
        <v>1.0184319295626225</v>
      </c>
      <c r="AQ44" s="12">
        <v>1.0417178553176163</v>
      </c>
      <c r="AR44" s="563">
        <v>1.0186716919289813</v>
      </c>
      <c r="AS44" s="12">
        <v>1.0069556900791126</v>
      </c>
      <c r="AT44" s="12">
        <v>1.0075652716961883</v>
      </c>
      <c r="AU44" s="12">
        <v>1.000144364310567</v>
      </c>
      <c r="AV44" s="12">
        <v>1.0005945589846055</v>
      </c>
      <c r="AW44" s="12">
        <v>1.0109385377261382</v>
      </c>
      <c r="AX44" s="12">
        <v>1.0109447168599124</v>
      </c>
      <c r="AY44" s="12">
        <v>1.0186716919289813</v>
      </c>
      <c r="AZ44" s="12">
        <v>1.0313874677294981</v>
      </c>
      <c r="BA44" s="12">
        <v>1.0001671169461377</v>
      </c>
      <c r="BB44" s="12">
        <v>0.99990149635412384</v>
      </c>
      <c r="BC44" s="12">
        <v>1.0107737182103325</v>
      </c>
      <c r="BD44" s="12">
        <v>1.0145906752450291</v>
      </c>
      <c r="BE44" s="2">
        <v>1.0252348362325248</v>
      </c>
      <c r="BF44" s="2">
        <v>1.0359205713235968</v>
      </c>
      <c r="BG44" s="2">
        <v>1.0380883407166155</v>
      </c>
      <c r="BH44" s="2">
        <v>1.0397267037308937</v>
      </c>
      <c r="BI44" s="2">
        <v>1.0405442235234652</v>
      </c>
      <c r="BJ44" s="2">
        <v>1.0333483513651329</v>
      </c>
      <c r="BK44" s="2">
        <v>1</v>
      </c>
      <c r="BL44" s="2">
        <v>1.015499205792</v>
      </c>
      <c r="BM44" s="2">
        <v>1</v>
      </c>
      <c r="BN44" s="2">
        <v>1.0159049553920001</v>
      </c>
      <c r="BO44" s="2">
        <v>1.013477539408</v>
      </c>
      <c r="BP44" s="2">
        <v>1.01801631495296</v>
      </c>
      <c r="BQ44" s="2">
        <v>1.0620830566054376</v>
      </c>
      <c r="BR44" s="2">
        <v>1.0618360567329281</v>
      </c>
      <c r="BS44" s="2">
        <v>1.0540595328644813</v>
      </c>
      <c r="BT44" s="2">
        <v>1.0523558587659427</v>
      </c>
      <c r="BU44" s="2">
        <v>1.0301004861517955</v>
      </c>
      <c r="BV44" s="2">
        <v>1</v>
      </c>
      <c r="BW44" s="2">
        <v>1.00433704</v>
      </c>
      <c r="BX44" s="2">
        <v>1.000246697158039</v>
      </c>
      <c r="BY44" s="2">
        <v>1.0091288399999998</v>
      </c>
      <c r="BZ44" s="2">
        <v>1.0005192617278591</v>
      </c>
      <c r="CA44" s="2">
        <v>1.0080099999999999</v>
      </c>
      <c r="CB44" s="2">
        <v>1.0004556204775361</v>
      </c>
      <c r="CC44" s="2">
        <v>1.0171203999999998</v>
      </c>
      <c r="CD44" s="2">
        <v>1.0240704508</v>
      </c>
      <c r="CE44" s="35">
        <v>2022</v>
      </c>
    </row>
    <row r="45" spans="1:83" s="12" customFormat="1">
      <c r="A45" s="94">
        <v>2007</v>
      </c>
      <c r="B45" s="12">
        <v>1.0163044767284015</v>
      </c>
      <c r="C45" s="12">
        <v>1.0301403882009343</v>
      </c>
      <c r="D45" s="12">
        <v>1.0125547774117867</v>
      </c>
      <c r="E45" s="12">
        <v>1.0300578373731704</v>
      </c>
      <c r="F45" s="12">
        <v>1.0292976828403344</v>
      </c>
      <c r="G45" s="12">
        <v>1.0279973355523346</v>
      </c>
      <c r="H45" s="12">
        <v>1.040502593836498</v>
      </c>
      <c r="I45" s="12">
        <v>1.0864119086754864</v>
      </c>
      <c r="J45" s="12">
        <v>1</v>
      </c>
      <c r="K45" s="12">
        <v>1.0429827395283982</v>
      </c>
      <c r="L45" s="12">
        <v>1.0018049259955744</v>
      </c>
      <c r="M45" s="12">
        <v>1</v>
      </c>
      <c r="N45" s="12">
        <v>1.0207172895261676</v>
      </c>
      <c r="O45" s="12">
        <v>1.0077017895052853</v>
      </c>
      <c r="P45" s="12">
        <v>1.0149400704282987</v>
      </c>
      <c r="Q45" s="12">
        <v>1.0286782651708382</v>
      </c>
      <c r="R45" s="12">
        <v>1.0000421353708333</v>
      </c>
      <c r="S45" s="12">
        <v>1.0007451169264283</v>
      </c>
      <c r="T45" s="12">
        <v>1.0033606131911115</v>
      </c>
      <c r="U45" s="12">
        <v>1.0187318217080148</v>
      </c>
      <c r="V45" s="12">
        <v>1.0316555379060317</v>
      </c>
      <c r="W45" s="12">
        <v>1.0110379079255392</v>
      </c>
      <c r="X45" s="12">
        <v>1.0407121675924194</v>
      </c>
      <c r="Y45" s="12">
        <v>1.0080065949793644</v>
      </c>
      <c r="Z45" s="12">
        <v>1.009468882617492</v>
      </c>
      <c r="AA45" s="12">
        <v>1</v>
      </c>
      <c r="AB45" s="12">
        <v>1</v>
      </c>
      <c r="AC45" s="12">
        <v>1.0317663486239566</v>
      </c>
      <c r="AD45" s="12">
        <v>1.0135725313257518</v>
      </c>
      <c r="AE45" s="12">
        <v>1.0257720268444244</v>
      </c>
      <c r="AF45" s="12">
        <v>1.0002165146960351</v>
      </c>
      <c r="AG45" s="12">
        <v>1.0071620042683398</v>
      </c>
      <c r="AH45" s="12">
        <v>1.0257993188228789</v>
      </c>
      <c r="AI45" s="12">
        <v>1.0005156546330034</v>
      </c>
      <c r="AJ45" s="12">
        <v>1.0113160032545905</v>
      </c>
      <c r="AK45" s="12">
        <v>1.0042390917040809</v>
      </c>
      <c r="AL45" s="12">
        <v>1.0124002257326778</v>
      </c>
      <c r="AM45" s="12">
        <v>1.0257993188228789</v>
      </c>
      <c r="AN45" s="12">
        <v>1.013800598800441</v>
      </c>
      <c r="AO45" s="12">
        <v>1.0262386982484863</v>
      </c>
      <c r="AP45" s="12">
        <v>1.0163036436578878</v>
      </c>
      <c r="AQ45" s="12">
        <v>1.0337696359892685</v>
      </c>
      <c r="AR45" s="563">
        <v>1.0162007736293377</v>
      </c>
      <c r="AS45" s="12">
        <v>1.0077017895052853</v>
      </c>
      <c r="AT45" s="12">
        <v>1.0080065949793644</v>
      </c>
      <c r="AU45" s="12">
        <v>1.0000421353708333</v>
      </c>
      <c r="AV45" s="12">
        <v>1.0007451169264283</v>
      </c>
      <c r="AW45" s="12">
        <v>1.009468882617492</v>
      </c>
      <c r="AX45" s="12">
        <v>1.0094926008159637</v>
      </c>
      <c r="AY45" s="12">
        <v>1.0162007736293377</v>
      </c>
      <c r="AZ45" s="12">
        <v>1.0257720268444244</v>
      </c>
      <c r="BA45" s="12">
        <v>1.0002165146960351</v>
      </c>
      <c r="BB45" s="12">
        <v>1.0005156546330034</v>
      </c>
      <c r="BC45" s="12">
        <v>1.0113160032545905</v>
      </c>
      <c r="BD45" s="12">
        <v>1.0124002257326778</v>
      </c>
      <c r="BE45" s="2">
        <v>1.0252348362325248</v>
      </c>
      <c r="BF45" s="2">
        <v>1.0359205713235968</v>
      </c>
      <c r="BG45" s="2">
        <v>1.0380883407166157</v>
      </c>
      <c r="BH45" s="2">
        <v>1.0397267037308939</v>
      </c>
      <c r="BI45" s="2">
        <v>1.0405442235234645</v>
      </c>
      <c r="BJ45" s="2">
        <v>1.0333483513651329</v>
      </c>
      <c r="BK45" s="2">
        <v>1</v>
      </c>
      <c r="BL45" s="2">
        <v>1.0154992057919998</v>
      </c>
      <c r="BM45" s="2">
        <v>1</v>
      </c>
      <c r="BN45" s="2">
        <v>1.0159049553920001</v>
      </c>
      <c r="BO45" s="2">
        <v>1.013477539408</v>
      </c>
      <c r="BP45" s="2">
        <v>1.01801631495296</v>
      </c>
      <c r="BQ45" s="2">
        <v>1.0620830566054378</v>
      </c>
      <c r="BR45" s="2">
        <v>1.0618360567329286</v>
      </c>
      <c r="BS45" s="2">
        <v>1.0540595328644811</v>
      </c>
      <c r="BT45" s="2">
        <v>1.052355858765943</v>
      </c>
      <c r="BU45" s="2">
        <v>1.0301004861517953</v>
      </c>
      <c r="BV45" s="2">
        <v>1</v>
      </c>
      <c r="BW45" s="2">
        <v>1.0043370400000002</v>
      </c>
      <c r="BX45" s="2">
        <v>1.0002464692661421</v>
      </c>
      <c r="BY45" s="2">
        <v>1.0091288399999998</v>
      </c>
      <c r="BZ45" s="2">
        <v>1.0005187820484776</v>
      </c>
      <c r="CA45" s="2">
        <v>1.0080100000000001</v>
      </c>
      <c r="CB45" s="2">
        <v>1.0004551995881521</v>
      </c>
      <c r="CC45" s="2">
        <v>1.0171204</v>
      </c>
      <c r="CD45" s="2">
        <v>1.0240704508</v>
      </c>
      <c r="CE45" s="35">
        <v>2023</v>
      </c>
    </row>
    <row r="46" spans="1:83" s="2" customFormat="1">
      <c r="A46" s="37">
        <v>2008</v>
      </c>
      <c r="B46" s="12">
        <v>1.0105890976231111</v>
      </c>
      <c r="C46" s="12">
        <v>1.0231415793412373</v>
      </c>
      <c r="D46" s="12">
        <v>1.0085964174169968</v>
      </c>
      <c r="E46" s="12">
        <v>1.0210040132311395</v>
      </c>
      <c r="F46" s="12">
        <v>1.0210788692491248</v>
      </c>
      <c r="G46" s="12">
        <v>1.0202180014713276</v>
      </c>
      <c r="H46" s="12">
        <v>1.0324625704167676</v>
      </c>
      <c r="I46" s="12">
        <v>1.0719612004716526</v>
      </c>
      <c r="J46" s="12">
        <v>1</v>
      </c>
      <c r="K46" s="12">
        <v>1.0351011270008335</v>
      </c>
      <c r="L46" s="12">
        <v>1.001337285200566</v>
      </c>
      <c r="M46" s="12">
        <v>1</v>
      </c>
      <c r="N46" s="12">
        <v>1.0161444000858804</v>
      </c>
      <c r="O46" s="12">
        <v>1.0042108573819466</v>
      </c>
      <c r="P46" s="12">
        <v>1.0138146608968304</v>
      </c>
      <c r="Q46" s="12">
        <v>1.0208163940213375</v>
      </c>
      <c r="R46" s="12">
        <v>1.000032297272093</v>
      </c>
      <c r="S46" s="12">
        <v>1.0004131491963173</v>
      </c>
      <c r="T46" s="12">
        <v>1.002480820607331</v>
      </c>
      <c r="U46" s="12">
        <v>1.0132445990995549</v>
      </c>
      <c r="V46" s="12">
        <v>1.0225311780629764</v>
      </c>
      <c r="W46" s="12">
        <v>1.0076041440071162</v>
      </c>
      <c r="X46" s="12">
        <v>1.031766110745054</v>
      </c>
      <c r="Y46" s="12">
        <v>1.0046266108891548</v>
      </c>
      <c r="Z46" s="12">
        <v>1.0045001602384072</v>
      </c>
      <c r="AA46" s="12">
        <v>1</v>
      </c>
      <c r="AB46" s="12">
        <v>1</v>
      </c>
      <c r="AC46" s="12">
        <v>1.0230446870089138</v>
      </c>
      <c r="AD46" s="12">
        <v>1.0067673491307578</v>
      </c>
      <c r="AE46" s="12">
        <v>1.0188832715222875</v>
      </c>
      <c r="AF46" s="12">
        <v>1.0001194806719558</v>
      </c>
      <c r="AG46" s="12">
        <v>1.0045961864401745</v>
      </c>
      <c r="AH46" s="12">
        <v>1.0176469538277126</v>
      </c>
      <c r="AI46" s="12">
        <v>1.0002138807142014</v>
      </c>
      <c r="AJ46" s="12">
        <v>1.0105513981027126</v>
      </c>
      <c r="AK46" s="12">
        <v>1.0023274703772809</v>
      </c>
      <c r="AL46" s="12">
        <v>1.0119955120770441</v>
      </c>
      <c r="AM46" s="12">
        <v>1.0176469538277126</v>
      </c>
      <c r="AN46" s="12">
        <v>1.0103028951251549</v>
      </c>
      <c r="AO46" s="12">
        <v>1.0177543740609087</v>
      </c>
      <c r="AP46" s="12">
        <v>1.0111788088552942</v>
      </c>
      <c r="AQ46" s="12">
        <v>1.0255098566398597</v>
      </c>
      <c r="AR46" s="563">
        <v>1.0105204905175742</v>
      </c>
      <c r="AS46" s="12">
        <v>1.0042108573819466</v>
      </c>
      <c r="AT46" s="12">
        <v>1.0046266108891548</v>
      </c>
      <c r="AU46" s="12">
        <v>1.000032297272093</v>
      </c>
      <c r="AV46" s="12">
        <v>1.0004131491963173</v>
      </c>
      <c r="AW46" s="12">
        <v>1.0045001602384072</v>
      </c>
      <c r="AX46" s="12">
        <v>1.0065395638461199</v>
      </c>
      <c r="AY46" s="12">
        <v>1.0105204905175742</v>
      </c>
      <c r="AZ46" s="12">
        <v>1.0188832715222875</v>
      </c>
      <c r="BA46" s="12">
        <v>1.0001194806719558</v>
      </c>
      <c r="BB46" s="12">
        <v>1.0002138807142014</v>
      </c>
      <c r="BC46" s="12">
        <v>1.0105513981027126</v>
      </c>
      <c r="BD46" s="12">
        <v>1.0119955120770441</v>
      </c>
      <c r="BE46" s="2">
        <v>1.0252348362325248</v>
      </c>
      <c r="BF46" s="2">
        <v>1.0359205713235968</v>
      </c>
      <c r="BG46" s="2">
        <v>1.0380883407166159</v>
      </c>
      <c r="BH46" s="2">
        <v>1.0397267037308942</v>
      </c>
      <c r="BI46" s="2">
        <v>1.040544223523465</v>
      </c>
      <c r="BJ46" s="2">
        <v>1.0333483513651329</v>
      </c>
      <c r="BK46" s="2">
        <v>1</v>
      </c>
      <c r="BL46" s="2">
        <v>1.0154992057920003</v>
      </c>
      <c r="BM46" s="2">
        <v>1</v>
      </c>
      <c r="BN46" s="2">
        <v>1.0159049553920001</v>
      </c>
      <c r="BO46" s="2">
        <v>1.0134775394080002</v>
      </c>
      <c r="BP46" s="2">
        <v>1.01801631495296</v>
      </c>
      <c r="BQ46" s="2">
        <v>1.0620830566054378</v>
      </c>
      <c r="BR46" s="2">
        <v>1.0618360567329284</v>
      </c>
      <c r="BS46" s="2">
        <v>1.0540595328644815</v>
      </c>
      <c r="BT46" s="2">
        <v>1.0523558587659427</v>
      </c>
      <c r="BU46" s="2">
        <v>1.0301004861517955</v>
      </c>
      <c r="BV46" s="2">
        <v>1</v>
      </c>
      <c r="BW46" s="2">
        <v>1.0043370400000002</v>
      </c>
      <c r="BX46" s="2">
        <v>1.0002462415720919</v>
      </c>
      <c r="BY46" s="2">
        <v>1.0091288399999998</v>
      </c>
      <c r="BZ46" s="2">
        <v>1.0005183027855347</v>
      </c>
      <c r="CA46" s="2">
        <v>1.0080100000000001</v>
      </c>
      <c r="CB46" s="2">
        <v>1.0004547790641671</v>
      </c>
      <c r="CC46" s="2">
        <v>1.0171204</v>
      </c>
      <c r="CD46" s="2">
        <v>1.0240704508</v>
      </c>
      <c r="CE46" s="36">
        <v>2024</v>
      </c>
    </row>
    <row r="47" spans="1:83" s="2" customFormat="1">
      <c r="A47" s="36">
        <v>2009</v>
      </c>
      <c r="B47" s="12">
        <v>1.0084390059890891</v>
      </c>
      <c r="C47" s="12">
        <v>1.0218325473948247</v>
      </c>
      <c r="D47" s="12">
        <v>1.0068336383869492</v>
      </c>
      <c r="E47" s="12">
        <v>1.0199276658095642</v>
      </c>
      <c r="F47" s="12">
        <v>1.0204421128049195</v>
      </c>
      <c r="G47" s="12">
        <v>1.0183913103536955</v>
      </c>
      <c r="H47" s="12">
        <v>1.0319583613175316</v>
      </c>
      <c r="I47" s="12">
        <v>1.0704826483326229</v>
      </c>
      <c r="J47" s="12">
        <v>1</v>
      </c>
      <c r="K47" s="12">
        <v>1.0338523933754538</v>
      </c>
      <c r="L47" s="12">
        <v>1.0012598953295435</v>
      </c>
      <c r="M47" s="12">
        <v>1</v>
      </c>
      <c r="N47" s="12">
        <v>1.0149464502471897</v>
      </c>
      <c r="O47" s="12">
        <v>1.0037588480033921</v>
      </c>
      <c r="P47" s="12">
        <v>1.0103883403333982</v>
      </c>
      <c r="Q47" s="12">
        <v>1.0193726560432705</v>
      </c>
      <c r="R47" s="12">
        <v>1.0000483814777923</v>
      </c>
      <c r="S47" s="12">
        <v>1.0004716382554668</v>
      </c>
      <c r="T47" s="12">
        <v>1.0021158117453868</v>
      </c>
      <c r="U47" s="12">
        <v>1.0103413533339374</v>
      </c>
      <c r="V47" s="12">
        <v>1.0217062844439748</v>
      </c>
      <c r="W47" s="12">
        <v>1.0064021118641264</v>
      </c>
      <c r="X47" s="12">
        <v>1.032436783053321</v>
      </c>
      <c r="Y47" s="12">
        <v>1.0039829805106375</v>
      </c>
      <c r="Z47" s="12">
        <v>1.0034978749691921</v>
      </c>
      <c r="AA47" s="12">
        <v>1</v>
      </c>
      <c r="AB47" s="12">
        <v>1</v>
      </c>
      <c r="AC47" s="12">
        <v>1.0219183985141709</v>
      </c>
      <c r="AD47" s="12">
        <v>1.0048048138211603</v>
      </c>
      <c r="AE47" s="12">
        <v>1.0169668367196771</v>
      </c>
      <c r="AF47" s="12">
        <v>1.0000994215122447</v>
      </c>
      <c r="AG47" s="12">
        <v>1.0044320810272973</v>
      </c>
      <c r="AH47" s="12">
        <v>1.0097978914758763</v>
      </c>
      <c r="AI47" s="12">
        <v>1.0002454470756525</v>
      </c>
      <c r="AJ47" s="12">
        <v>1.0079329880984371</v>
      </c>
      <c r="AK47" s="12">
        <v>1.0026384400905588</v>
      </c>
      <c r="AL47" s="12">
        <v>1.0088517751869903</v>
      </c>
      <c r="AM47" s="12">
        <v>1.0097978914758763</v>
      </c>
      <c r="AN47" s="12">
        <v>1.007640261737963</v>
      </c>
      <c r="AO47" s="12">
        <v>1.0161406054632902</v>
      </c>
      <c r="AP47" s="12">
        <v>1.0086661715871883</v>
      </c>
      <c r="AQ47" s="12">
        <v>1.0300331752323129</v>
      </c>
      <c r="AR47" s="563">
        <v>1.0083910098848297</v>
      </c>
      <c r="AS47" s="12">
        <v>1.0037588480033921</v>
      </c>
      <c r="AT47" s="12">
        <v>1.0039829805106375</v>
      </c>
      <c r="AU47" s="12">
        <v>1.0000483814777923</v>
      </c>
      <c r="AV47" s="12">
        <v>1.0004716382554668</v>
      </c>
      <c r="AW47" s="12">
        <v>1.0034978749691921</v>
      </c>
      <c r="AX47" s="12">
        <v>1.0055058162031487</v>
      </c>
      <c r="AY47" s="12">
        <v>1.0083910098848297</v>
      </c>
      <c r="AZ47" s="12">
        <v>1.0169668367196771</v>
      </c>
      <c r="BA47" s="12">
        <v>1.0000994215122447</v>
      </c>
      <c r="BB47" s="12">
        <v>1.0002454470756525</v>
      </c>
      <c r="BC47" s="12">
        <v>1.0079329880984371</v>
      </c>
      <c r="BD47" s="12">
        <v>1.0088517751869903</v>
      </c>
      <c r="BE47" s="684">
        <v>1.0252348362325248</v>
      </c>
      <c r="BF47" s="684">
        <v>1.0359205713235968</v>
      </c>
      <c r="BG47" s="684">
        <v>1.0380883407166155</v>
      </c>
      <c r="BH47" s="684">
        <v>1.0397267037308937</v>
      </c>
      <c r="BI47" s="684">
        <v>1.0405442235234652</v>
      </c>
      <c r="BJ47" s="684">
        <v>1.0333483513651329</v>
      </c>
      <c r="BK47" s="684">
        <v>1</v>
      </c>
      <c r="BL47" s="684">
        <v>1.015499205792</v>
      </c>
      <c r="BM47" s="684">
        <v>1</v>
      </c>
      <c r="BN47" s="684">
        <v>1.0159049553920001</v>
      </c>
      <c r="BO47" s="684">
        <v>1.013477539408</v>
      </c>
      <c r="BP47" s="684">
        <v>1.01801631495296</v>
      </c>
      <c r="BQ47" s="684">
        <v>1.0620830566054376</v>
      </c>
      <c r="BR47" s="684">
        <v>1.0618360567329281</v>
      </c>
      <c r="BS47" s="684">
        <v>1.0540595328644813</v>
      </c>
      <c r="BT47" s="684">
        <v>1.0523558587659427</v>
      </c>
      <c r="BU47" s="684">
        <v>1.0301004861517955</v>
      </c>
      <c r="BV47" s="684">
        <v>1</v>
      </c>
      <c r="BW47" s="684">
        <v>1.00433704</v>
      </c>
      <c r="BX47" s="684">
        <v>1.0002471537599857</v>
      </c>
      <c r="BY47" s="684">
        <v>1.0091288399999998</v>
      </c>
      <c r="BZ47" s="684">
        <v>1.0005202228087151</v>
      </c>
      <c r="CA47" s="684">
        <v>1.0080099999999999</v>
      </c>
      <c r="CB47" s="684">
        <v>1.0004564637673359</v>
      </c>
      <c r="CC47" s="684">
        <v>1.0171203999999998</v>
      </c>
      <c r="CD47" s="684">
        <v>1.0240704508</v>
      </c>
    </row>
    <row r="48" spans="1:83" s="2" customFormat="1">
      <c r="A48" s="34">
        <v>2010</v>
      </c>
      <c r="B48" s="422">
        <v>1.0154415137634993</v>
      </c>
      <c r="C48" s="422">
        <v>1.039093649524889</v>
      </c>
      <c r="D48" s="422">
        <v>1.0114304047530087</v>
      </c>
      <c r="E48" s="422">
        <v>1.0329906007291205</v>
      </c>
      <c r="F48" s="422">
        <v>1.0296310446619248</v>
      </c>
      <c r="G48" s="422">
        <v>1.0298357810310343</v>
      </c>
      <c r="H48" s="422">
        <v>1.0424778903432736</v>
      </c>
      <c r="I48" s="422">
        <v>1.0764692088891568</v>
      </c>
      <c r="J48" s="422">
        <v>1</v>
      </c>
      <c r="K48" s="422">
        <v>1.0343222005126329</v>
      </c>
      <c r="L48" s="422">
        <v>1.0027362349942477</v>
      </c>
      <c r="M48" s="422">
        <v>1</v>
      </c>
      <c r="N48" s="422">
        <v>1.0189897707471089</v>
      </c>
      <c r="O48" s="422">
        <v>1.0064610958808002</v>
      </c>
      <c r="P48" s="422">
        <v>1.0173091102495366</v>
      </c>
      <c r="Q48" s="422">
        <v>1.0344947227458321</v>
      </c>
      <c r="R48" s="422">
        <v>1.0001268330769038</v>
      </c>
      <c r="S48" s="422">
        <v>1.0011332220644047</v>
      </c>
      <c r="T48" s="422">
        <v>1.0041013162093788</v>
      </c>
      <c r="U48" s="422">
        <v>1.0166794386380917</v>
      </c>
      <c r="V48" s="422">
        <v>1.0339346667900422</v>
      </c>
      <c r="W48" s="422">
        <v>1.0102180264346878</v>
      </c>
      <c r="X48" s="422">
        <v>1.0405537855508207</v>
      </c>
      <c r="Y48" s="422">
        <v>1.006895787654823</v>
      </c>
      <c r="Z48" s="422">
        <v>1.0067966345485841</v>
      </c>
      <c r="AA48" s="422">
        <v>1</v>
      </c>
      <c r="AB48" s="422">
        <v>1</v>
      </c>
      <c r="AC48" s="422">
        <v>1.0398553244210318</v>
      </c>
      <c r="AD48" s="422">
        <v>1.0096648630592939</v>
      </c>
      <c r="AE48" s="422">
        <v>1.039093649524889</v>
      </c>
      <c r="AF48" s="422">
        <v>1.0002136480227277</v>
      </c>
      <c r="AG48" s="422">
        <v>1.0070747010144008</v>
      </c>
      <c r="AH48" s="422">
        <v>1.016274043744978</v>
      </c>
      <c r="AI48" s="422">
        <v>1.0004474802577314</v>
      </c>
      <c r="AJ48" s="422">
        <v>1.0131098400850718</v>
      </c>
      <c r="AK48" s="422">
        <v>1.0057127849018812</v>
      </c>
      <c r="AL48" s="422">
        <v>1.0147518818255974</v>
      </c>
      <c r="AM48" s="422">
        <v>1.016274043744978</v>
      </c>
      <c r="AN48" s="422">
        <v>1.012610820347071</v>
      </c>
      <c r="AO48" s="422">
        <v>1.025623973787213</v>
      </c>
      <c r="AP48" s="422">
        <v>1.0149195384809879</v>
      </c>
      <c r="AQ48" s="422">
        <v>1.0435271077366282</v>
      </c>
      <c r="AR48" s="563">
        <v>1.0153465867515501</v>
      </c>
      <c r="AS48" s="422">
        <v>1.0064610958808002</v>
      </c>
      <c r="AT48" s="422">
        <v>1.006895787654823</v>
      </c>
      <c r="AU48" s="422">
        <v>1.0001268330769038</v>
      </c>
      <c r="AV48" s="422">
        <v>1.0011332220644047</v>
      </c>
      <c r="AW48" s="422">
        <v>1.0067966345485841</v>
      </c>
      <c r="AX48" s="422">
        <v>1.0087875027338316</v>
      </c>
      <c r="AY48" s="422">
        <v>1.0153465867515501</v>
      </c>
      <c r="AZ48" s="422">
        <v>1.039093649524889</v>
      </c>
      <c r="BA48" s="422">
        <v>1.0002136480227277</v>
      </c>
      <c r="BB48" s="422">
        <v>1.0004474802577314</v>
      </c>
      <c r="BC48" s="422">
        <v>1.0131098400850718</v>
      </c>
      <c r="BD48" s="422">
        <v>1.0147518818255974</v>
      </c>
      <c r="BE48" s="684">
        <v>1.0252348362325248</v>
      </c>
      <c r="BF48" s="684">
        <v>1.0359205713235968</v>
      </c>
      <c r="BG48" s="684">
        <v>1.0380883407166155</v>
      </c>
      <c r="BH48" s="684">
        <v>1.0397267037308937</v>
      </c>
      <c r="BI48" s="684">
        <v>1.0405442235234652</v>
      </c>
      <c r="BJ48" s="684">
        <v>1.0333483513651329</v>
      </c>
      <c r="BK48" s="684">
        <v>1</v>
      </c>
      <c r="BL48" s="684">
        <v>1.015499205792</v>
      </c>
      <c r="BM48" s="684">
        <v>1</v>
      </c>
      <c r="BN48" s="684">
        <v>1.0159049553920001</v>
      </c>
      <c r="BO48" s="684">
        <v>1.013477539408</v>
      </c>
      <c r="BP48" s="684">
        <v>1.01801631495296</v>
      </c>
      <c r="BQ48" s="684">
        <v>1.0620830566054376</v>
      </c>
      <c r="BR48" s="684">
        <v>1.0618360567329281</v>
      </c>
      <c r="BS48" s="684">
        <v>1.0540595328644813</v>
      </c>
      <c r="BT48" s="684">
        <v>1.0523558587659427</v>
      </c>
      <c r="BU48" s="684">
        <v>1.0301004861517955</v>
      </c>
      <c r="BV48" s="684">
        <v>1</v>
      </c>
      <c r="BW48" s="684">
        <v>1.00433704</v>
      </c>
      <c r="BX48" s="684">
        <v>1.0002471537599857</v>
      </c>
      <c r="BY48" s="684">
        <v>1.0091288399999998</v>
      </c>
      <c r="BZ48" s="684">
        <v>1.0005202228087151</v>
      </c>
      <c r="CA48" s="684">
        <v>1.0080099999999999</v>
      </c>
      <c r="CB48" s="684">
        <v>1.0004564637673359</v>
      </c>
      <c r="CC48" s="684">
        <v>1.0171203999999998</v>
      </c>
      <c r="CD48" s="684">
        <v>1.0240704508</v>
      </c>
    </row>
    <row r="49" spans="1:82" s="2" customFormat="1">
      <c r="A49" s="35">
        <v>2011</v>
      </c>
      <c r="B49" s="422">
        <v>1.0193014007725119</v>
      </c>
      <c r="C49" s="422">
        <v>1.0416772999936819</v>
      </c>
      <c r="D49" s="422">
        <v>1.0141883400741902</v>
      </c>
      <c r="E49" s="422">
        <v>1.0328498130656711</v>
      </c>
      <c r="F49" s="422">
        <v>1.0287680333175035</v>
      </c>
      <c r="G49" s="422">
        <v>1.0244108799321281</v>
      </c>
      <c r="H49" s="422">
        <v>1.0430821729708804</v>
      </c>
      <c r="I49" s="422">
        <v>1.0695278113045819</v>
      </c>
      <c r="J49" s="422">
        <v>1</v>
      </c>
      <c r="K49" s="422">
        <v>1.0356009320205153</v>
      </c>
      <c r="L49" s="422">
        <v>1.0031181405145819</v>
      </c>
      <c r="M49" s="422">
        <v>1</v>
      </c>
      <c r="N49" s="422">
        <v>1.0218218653359761</v>
      </c>
      <c r="O49" s="422">
        <v>1.0076004036261208</v>
      </c>
      <c r="P49" s="422">
        <v>1.0163011204758541</v>
      </c>
      <c r="Q49" s="422">
        <v>1.0266646181263035</v>
      </c>
      <c r="R49" s="422">
        <v>1.0007233410991019</v>
      </c>
      <c r="S49" s="422">
        <v>1.0012560247062106</v>
      </c>
      <c r="T49" s="422">
        <v>1.003000725943944</v>
      </c>
      <c r="U49" s="422">
        <v>1.0209364866058557</v>
      </c>
      <c r="V49" s="422">
        <v>1.032748542157562</v>
      </c>
      <c r="W49" s="422">
        <v>1.0092494425165324</v>
      </c>
      <c r="X49" s="422">
        <v>1.044434844818739</v>
      </c>
      <c r="Y49" s="422">
        <v>1.0082230803184018</v>
      </c>
      <c r="Z49" s="422">
        <v>1.0054898653378548</v>
      </c>
      <c r="AA49" s="422">
        <v>1</v>
      </c>
      <c r="AB49" s="422">
        <v>1</v>
      </c>
      <c r="AC49" s="422">
        <v>1.0414204427571794</v>
      </c>
      <c r="AD49" s="422">
        <v>1.0086301656283152</v>
      </c>
      <c r="AE49" s="422">
        <v>1.0416772999936819</v>
      </c>
      <c r="AF49" s="422">
        <v>1.0006544434738196</v>
      </c>
      <c r="AG49" s="422">
        <v>1.0039693278494386</v>
      </c>
      <c r="AH49" s="422">
        <v>1.0144329103354708</v>
      </c>
      <c r="AI49" s="422">
        <v>1.0002759933433369</v>
      </c>
      <c r="AJ49" s="422">
        <v>1.0128004429501896</v>
      </c>
      <c r="AK49" s="422">
        <v>1.0030238508824738</v>
      </c>
      <c r="AL49" s="422">
        <v>1.0130741989954659</v>
      </c>
      <c r="AM49" s="422">
        <v>1.0144329103354708</v>
      </c>
      <c r="AN49" s="422">
        <v>1.0158940999701722</v>
      </c>
      <c r="AO49" s="422">
        <v>1.0218399050132954</v>
      </c>
      <c r="AP49" s="422">
        <v>1.0142087605008148</v>
      </c>
      <c r="AQ49" s="422">
        <v>1.0432184832927949</v>
      </c>
      <c r="AR49" s="563">
        <v>1.0191547037567767</v>
      </c>
      <c r="AS49" s="422">
        <v>1.0076004036261208</v>
      </c>
      <c r="AT49" s="422">
        <v>1.0082230803184018</v>
      </c>
      <c r="AU49" s="422">
        <v>1.0007233410991019</v>
      </c>
      <c r="AV49" s="422">
        <v>1.0012560247062106</v>
      </c>
      <c r="AW49" s="422">
        <v>1.0054898653378548</v>
      </c>
      <c r="AX49" s="422">
        <v>1.0079545205642177</v>
      </c>
      <c r="AY49" s="422">
        <v>1.0191547037567767</v>
      </c>
      <c r="AZ49" s="422">
        <v>1.0416772999936819</v>
      </c>
      <c r="BA49" s="422">
        <v>1.0006544434738196</v>
      </c>
      <c r="BB49" s="422">
        <v>1.0002759933433369</v>
      </c>
      <c r="BC49" s="422">
        <v>1.0128004429501896</v>
      </c>
      <c r="BD49" s="422">
        <v>1.0130741989954659</v>
      </c>
      <c r="BE49" s="684">
        <v>1.0252348362325248</v>
      </c>
      <c r="BF49" s="684">
        <v>1.0359205713235968</v>
      </c>
      <c r="BG49" s="684">
        <v>1.0380883407166155</v>
      </c>
      <c r="BH49" s="684">
        <v>1.0397267037308937</v>
      </c>
      <c r="BI49" s="684">
        <v>1.0405442235234652</v>
      </c>
      <c r="BJ49" s="684">
        <v>1.0333483513651329</v>
      </c>
      <c r="BK49" s="684">
        <v>1</v>
      </c>
      <c r="BL49" s="684">
        <v>1.015499205792</v>
      </c>
      <c r="BM49" s="684">
        <v>1</v>
      </c>
      <c r="BN49" s="684">
        <v>1.0159049553920001</v>
      </c>
      <c r="BO49" s="684">
        <v>1.013477539408</v>
      </c>
      <c r="BP49" s="684">
        <v>1.01801631495296</v>
      </c>
      <c r="BQ49" s="684">
        <v>1.0620830566054376</v>
      </c>
      <c r="BR49" s="684">
        <v>1.0618360567329281</v>
      </c>
      <c r="BS49" s="684">
        <v>1.0540595328644813</v>
      </c>
      <c r="BT49" s="684">
        <v>1.0523558587659427</v>
      </c>
      <c r="BU49" s="684">
        <v>1.0301004861517955</v>
      </c>
      <c r="BV49" s="684">
        <v>1</v>
      </c>
      <c r="BW49" s="684">
        <v>1.00433704</v>
      </c>
      <c r="BX49" s="684">
        <v>1.0002471537599857</v>
      </c>
      <c r="BY49" s="684">
        <v>1.0091288399999998</v>
      </c>
      <c r="BZ49" s="684">
        <v>1.0005202228087151</v>
      </c>
      <c r="CA49" s="684">
        <v>1.0080099999999999</v>
      </c>
      <c r="CB49" s="684">
        <v>1.0004564637673359</v>
      </c>
      <c r="CC49" s="684">
        <v>1.0171203999999998</v>
      </c>
      <c r="CD49" s="684">
        <v>1.0240704508</v>
      </c>
    </row>
    <row r="50" spans="1:82" s="2" customFormat="1">
      <c r="A50" s="35">
        <v>2012</v>
      </c>
      <c r="B50" s="422">
        <v>1.017891061045221</v>
      </c>
      <c r="C50" s="422">
        <v>1.0383437564035916</v>
      </c>
      <c r="D50" s="422">
        <v>1.0092528526628242</v>
      </c>
      <c r="E50" s="422">
        <v>1.0291811737986956</v>
      </c>
      <c r="F50" s="422">
        <v>1.0257998880067398</v>
      </c>
      <c r="G50" s="422">
        <v>1.0223086858360397</v>
      </c>
      <c r="H50" s="422">
        <v>1.0399705982650476</v>
      </c>
      <c r="I50" s="422">
        <v>1.0614702793301432</v>
      </c>
      <c r="J50" s="422">
        <v>1</v>
      </c>
      <c r="K50" s="422">
        <v>1.0314598353797639</v>
      </c>
      <c r="L50" s="422">
        <v>1.0035668644962268</v>
      </c>
      <c r="M50" s="422">
        <v>1</v>
      </c>
      <c r="N50" s="422">
        <v>1.0198428630051495</v>
      </c>
      <c r="O50" s="422">
        <v>1.0039795004673888</v>
      </c>
      <c r="P50" s="422">
        <v>1.015844301709693</v>
      </c>
      <c r="Q50" s="422">
        <v>1.0245587898463668</v>
      </c>
      <c r="R50" s="422">
        <v>1.0008355238015769</v>
      </c>
      <c r="S50" s="422">
        <v>1.0009443008963612</v>
      </c>
      <c r="T50" s="422">
        <v>1.0024770566088423</v>
      </c>
      <c r="U50" s="422">
        <v>1.0187903133382425</v>
      </c>
      <c r="V50" s="422">
        <v>1.0290854777820779</v>
      </c>
      <c r="W50" s="422">
        <v>1.0081378939159145</v>
      </c>
      <c r="X50" s="422">
        <v>1.0411769312310077</v>
      </c>
      <c r="Y50" s="422">
        <v>1.0043772245399856</v>
      </c>
      <c r="Z50" s="422">
        <v>1.0044984306785327</v>
      </c>
      <c r="AA50" s="422">
        <v>1</v>
      </c>
      <c r="AB50" s="422">
        <v>1</v>
      </c>
      <c r="AC50" s="422">
        <v>1.0383157090468809</v>
      </c>
      <c r="AD50" s="422">
        <v>1.007364170655215</v>
      </c>
      <c r="AE50" s="422">
        <v>1.0383437564035916</v>
      </c>
      <c r="AF50" s="422">
        <v>1.0005245614701461</v>
      </c>
      <c r="AG50" s="422">
        <v>1.0031027004216491</v>
      </c>
      <c r="AH50" s="422">
        <v>1.0124603860887977</v>
      </c>
      <c r="AI50" s="422">
        <v>1.0006755081697354</v>
      </c>
      <c r="AJ50" s="422">
        <v>1.0124417263476417</v>
      </c>
      <c r="AK50" s="422">
        <v>1.0029138847745813</v>
      </c>
      <c r="AL50" s="422">
        <v>1.0127078107178933</v>
      </c>
      <c r="AM50" s="422">
        <v>1.0124603860887977</v>
      </c>
      <c r="AN50" s="422">
        <v>1.0103629165761521</v>
      </c>
      <c r="AO50" s="422">
        <v>1.0209183123661574</v>
      </c>
      <c r="AP50" s="422">
        <v>1.0129713974622307</v>
      </c>
      <c r="AQ50" s="422">
        <v>1.0392655942373239</v>
      </c>
      <c r="AR50" s="563">
        <v>1.0177700270905925</v>
      </c>
      <c r="AS50" s="422">
        <v>1.0039795004673888</v>
      </c>
      <c r="AT50" s="422">
        <v>1.0043772245399856</v>
      </c>
      <c r="AU50" s="422">
        <v>1.0008355238015769</v>
      </c>
      <c r="AV50" s="422">
        <v>1.0009443008963612</v>
      </c>
      <c r="AW50" s="422">
        <v>1.0044984306785327</v>
      </c>
      <c r="AX50" s="422">
        <v>1.0069985887676864</v>
      </c>
      <c r="AY50" s="422">
        <v>1.0177700270905925</v>
      </c>
      <c r="AZ50" s="422">
        <v>1.0383437564035916</v>
      </c>
      <c r="BA50" s="422">
        <v>1.0005245614701461</v>
      </c>
      <c r="BB50" s="422">
        <v>1.0006755081697354</v>
      </c>
      <c r="BC50" s="422">
        <v>1.0124417263476417</v>
      </c>
      <c r="BD50" s="422">
        <v>1.0127078107178933</v>
      </c>
      <c r="BE50" s="684">
        <v>1.0252348362325248</v>
      </c>
      <c r="BF50" s="684">
        <v>1.0359205713235968</v>
      </c>
      <c r="BG50" s="684">
        <v>1.0380883407166155</v>
      </c>
      <c r="BH50" s="684">
        <v>1.0397267037308937</v>
      </c>
      <c r="BI50" s="684">
        <v>1.0405442235234652</v>
      </c>
      <c r="BJ50" s="684">
        <v>1.0333483513651329</v>
      </c>
      <c r="BK50" s="684">
        <v>1</v>
      </c>
      <c r="BL50" s="684">
        <v>1.015499205792</v>
      </c>
      <c r="BM50" s="684">
        <v>1</v>
      </c>
      <c r="BN50" s="684">
        <v>1.0159049553920001</v>
      </c>
      <c r="BO50" s="684">
        <v>1.013477539408</v>
      </c>
      <c r="BP50" s="684">
        <v>1.01801631495296</v>
      </c>
      <c r="BQ50" s="684">
        <v>1.0620830566054376</v>
      </c>
      <c r="BR50" s="684">
        <v>1.0618360567329281</v>
      </c>
      <c r="BS50" s="684">
        <v>1.0540595328644813</v>
      </c>
      <c r="BT50" s="684">
        <v>1.0523558587659427</v>
      </c>
      <c r="BU50" s="684">
        <v>1.0301004861517955</v>
      </c>
      <c r="BV50" s="684">
        <v>1</v>
      </c>
      <c r="BW50" s="684">
        <v>1.00433704</v>
      </c>
      <c r="BX50" s="684">
        <v>1.0002471537599857</v>
      </c>
      <c r="BY50" s="684">
        <v>1.0091288399999998</v>
      </c>
      <c r="BZ50" s="684">
        <v>1.0005202228087151</v>
      </c>
      <c r="CA50" s="684">
        <v>1.0080099999999999</v>
      </c>
      <c r="CB50" s="684">
        <v>1.0004564637673359</v>
      </c>
      <c r="CC50" s="684">
        <v>1.0171203999999998</v>
      </c>
      <c r="CD50" s="684">
        <v>1.0240704508</v>
      </c>
    </row>
    <row r="51" spans="1:82" s="2" customFormat="1">
      <c r="A51" s="35">
        <v>2013</v>
      </c>
      <c r="B51" s="422">
        <v>1.0133735709359017</v>
      </c>
      <c r="C51" s="422">
        <v>1.0372584004213354</v>
      </c>
      <c r="D51" s="422">
        <v>1.0097533570619175</v>
      </c>
      <c r="E51" s="422">
        <v>1.0249120585715588</v>
      </c>
      <c r="F51" s="422">
        <v>1.0250822044330035</v>
      </c>
      <c r="G51" s="422">
        <v>1.0210763299312289</v>
      </c>
      <c r="H51" s="422">
        <v>1.0396166675239289</v>
      </c>
      <c r="I51" s="422">
        <v>1.0548684034285518</v>
      </c>
      <c r="J51" s="422">
        <v>1</v>
      </c>
      <c r="K51" s="422">
        <v>1.0283954000090401</v>
      </c>
      <c r="L51" s="422">
        <v>1.0025177966802172</v>
      </c>
      <c r="M51" s="422">
        <v>1</v>
      </c>
      <c r="N51" s="422">
        <v>1.0195399538382492</v>
      </c>
      <c r="O51" s="422">
        <v>1.0041439149330511</v>
      </c>
      <c r="P51" s="422">
        <v>1.0115260705018907</v>
      </c>
      <c r="Q51" s="422">
        <v>1.0225839476863783</v>
      </c>
      <c r="R51" s="422">
        <v>1.0005614753558931</v>
      </c>
      <c r="S51" s="422">
        <v>1.0011450101857067</v>
      </c>
      <c r="T51" s="422">
        <v>1.0027489151294064</v>
      </c>
      <c r="U51" s="422">
        <v>1.0185357579290311</v>
      </c>
      <c r="V51" s="422">
        <v>1.0285746648025744</v>
      </c>
      <c r="W51" s="422">
        <v>1.0091811028069935</v>
      </c>
      <c r="X51" s="422">
        <v>1.0404465745949167</v>
      </c>
      <c r="Y51" s="422">
        <v>1.0045044196287154</v>
      </c>
      <c r="Z51" s="422">
        <v>1.0045078315727647</v>
      </c>
      <c r="AA51" s="422">
        <v>1</v>
      </c>
      <c r="AB51" s="422">
        <v>1</v>
      </c>
      <c r="AC51" s="422">
        <v>1.0311306154894799</v>
      </c>
      <c r="AD51" s="422">
        <v>1.0078434442643653</v>
      </c>
      <c r="AE51" s="422">
        <v>1.0372584004213354</v>
      </c>
      <c r="AF51" s="422">
        <v>1.0005671352530352</v>
      </c>
      <c r="AG51" s="422">
        <v>1.0035951447747793</v>
      </c>
      <c r="AH51" s="422">
        <v>1.0117245396767678</v>
      </c>
      <c r="AI51" s="422">
        <v>1.0005691651939275</v>
      </c>
      <c r="AJ51" s="422">
        <v>1.0090508384449925</v>
      </c>
      <c r="AK51" s="422">
        <v>1.0031220320188645</v>
      </c>
      <c r="AL51" s="422">
        <v>1.0092444037574413</v>
      </c>
      <c r="AM51" s="422">
        <v>1.0117245396767678</v>
      </c>
      <c r="AN51" s="422">
        <v>1.0091834761516285</v>
      </c>
      <c r="AO51" s="422">
        <v>1.0180563590993936</v>
      </c>
      <c r="AP51" s="422">
        <v>1.0118094240936586</v>
      </c>
      <c r="AQ51" s="422">
        <v>1.038707298995744</v>
      </c>
      <c r="AR51" s="563">
        <v>1.0132582976457467</v>
      </c>
      <c r="AS51" s="422">
        <v>1.0041439149330511</v>
      </c>
      <c r="AT51" s="422">
        <v>1.0045044196287154</v>
      </c>
      <c r="AU51" s="422">
        <v>1.0005614753558931</v>
      </c>
      <c r="AV51" s="422">
        <v>1.0011450101857067</v>
      </c>
      <c r="AW51" s="422">
        <v>1.0045078315727647</v>
      </c>
      <c r="AX51" s="422">
        <v>1.0078957484140143</v>
      </c>
      <c r="AY51" s="422">
        <v>1.0132582976457467</v>
      </c>
      <c r="AZ51" s="422">
        <v>1.0372584004213354</v>
      </c>
      <c r="BA51" s="422">
        <v>1.0005671352530352</v>
      </c>
      <c r="BB51" s="422">
        <v>1.0005691651939275</v>
      </c>
      <c r="BC51" s="422">
        <v>1.0090508384449925</v>
      </c>
      <c r="BD51" s="422">
        <v>1.0092444037574413</v>
      </c>
      <c r="BE51" s="684">
        <v>1.0252348362325248</v>
      </c>
      <c r="BF51" s="684">
        <v>1.0359205713235968</v>
      </c>
      <c r="BG51" s="684">
        <v>1.0380883407166155</v>
      </c>
      <c r="BH51" s="684">
        <v>1.0397267037308937</v>
      </c>
      <c r="BI51" s="684">
        <v>1.0405442235234652</v>
      </c>
      <c r="BJ51" s="684">
        <v>1.0333483513651329</v>
      </c>
      <c r="BK51" s="684">
        <v>1</v>
      </c>
      <c r="BL51" s="684">
        <v>1.015499205792</v>
      </c>
      <c r="BM51" s="684">
        <v>1</v>
      </c>
      <c r="BN51" s="684">
        <v>1.0159049553920001</v>
      </c>
      <c r="BO51" s="684">
        <v>1.013477539408</v>
      </c>
      <c r="BP51" s="684">
        <v>1.01801631495296</v>
      </c>
      <c r="BQ51" s="684">
        <v>1.0620830566054376</v>
      </c>
      <c r="BR51" s="684">
        <v>1.0618360567329281</v>
      </c>
      <c r="BS51" s="684">
        <v>1.0540595328644813</v>
      </c>
      <c r="BT51" s="684">
        <v>1.0523558587659427</v>
      </c>
      <c r="BU51" s="684">
        <v>1.0301004861517955</v>
      </c>
      <c r="BV51" s="684">
        <v>1</v>
      </c>
      <c r="BW51" s="684">
        <v>1.00433704</v>
      </c>
      <c r="BX51" s="684">
        <v>1.0002471537599857</v>
      </c>
      <c r="BY51" s="684">
        <v>1.0091288399999998</v>
      </c>
      <c r="BZ51" s="684">
        <v>1.0005202228087151</v>
      </c>
      <c r="CA51" s="684">
        <v>1.0080099999999999</v>
      </c>
      <c r="CB51" s="684">
        <v>1.0004564637673359</v>
      </c>
      <c r="CC51" s="684">
        <v>1.0171203999999998</v>
      </c>
      <c r="CD51" s="684">
        <v>1.0240704508</v>
      </c>
    </row>
    <row r="52" spans="1:82" s="2" customFormat="1">
      <c r="A52" s="36">
        <v>2014</v>
      </c>
      <c r="B52" s="422">
        <v>1.0126970603118155</v>
      </c>
      <c r="C52" s="422">
        <v>1.0366593498881356</v>
      </c>
      <c r="D52" s="422">
        <v>1.0076918364425775</v>
      </c>
      <c r="E52" s="422">
        <v>1.0229784491330287</v>
      </c>
      <c r="F52" s="422">
        <v>1.0240236182718889</v>
      </c>
      <c r="G52" s="422">
        <v>1.0193762643228925</v>
      </c>
      <c r="H52" s="422">
        <v>1.0400109411041447</v>
      </c>
      <c r="I52" s="422">
        <v>1.0471341686329316</v>
      </c>
      <c r="J52" s="422">
        <v>1</v>
      </c>
      <c r="K52" s="422">
        <v>1.0231859336248557</v>
      </c>
      <c r="L52" s="422">
        <v>1.0019249353998083</v>
      </c>
      <c r="M52" s="422">
        <v>1</v>
      </c>
      <c r="N52" s="422">
        <v>1.0188997307182126</v>
      </c>
      <c r="O52" s="422">
        <v>1.0032516890576473</v>
      </c>
      <c r="P52" s="422">
        <v>1.0098349736399443</v>
      </c>
      <c r="Q52" s="422">
        <v>1.0207057934451853</v>
      </c>
      <c r="R52" s="422">
        <v>1.0004288727830941</v>
      </c>
      <c r="S52" s="422">
        <v>1.0008921695890607</v>
      </c>
      <c r="T52" s="422">
        <v>1.0024975476635518</v>
      </c>
      <c r="U52" s="422">
        <v>1.0168141613026174</v>
      </c>
      <c r="V52" s="422">
        <v>1.0275007936941114</v>
      </c>
      <c r="W52" s="422">
        <v>1.0078937876993703</v>
      </c>
      <c r="X52" s="422">
        <v>1.0406637400292362</v>
      </c>
      <c r="Y52" s="422">
        <v>1.0035608088592518</v>
      </c>
      <c r="Z52" s="422">
        <v>1.0033740964164788</v>
      </c>
      <c r="AA52" s="422">
        <v>1</v>
      </c>
      <c r="AB52" s="422">
        <v>1</v>
      </c>
      <c r="AC52" s="422">
        <v>1.0295832643704605</v>
      </c>
      <c r="AD52" s="422">
        <v>1.0057767805191429</v>
      </c>
      <c r="AE52" s="422">
        <v>1.0366593498881356</v>
      </c>
      <c r="AF52" s="422">
        <v>1.0004943294753601</v>
      </c>
      <c r="AG52" s="422">
        <v>1.002674990092262</v>
      </c>
      <c r="AH52" s="422">
        <v>1.0098337881052792</v>
      </c>
      <c r="AI52" s="422">
        <v>1.0004573383674307</v>
      </c>
      <c r="AJ52" s="422">
        <v>1.0072226201111694</v>
      </c>
      <c r="AK52" s="422">
        <v>1.0021731594633942</v>
      </c>
      <c r="AL52" s="422">
        <v>1.0089857415932073</v>
      </c>
      <c r="AM52" s="422">
        <v>1.0098337881052792</v>
      </c>
      <c r="AN52" s="422">
        <v>1.0083477917564034</v>
      </c>
      <c r="AO52" s="422">
        <v>1.0156125379570915</v>
      </c>
      <c r="AP52" s="422">
        <v>1.0098986159971355</v>
      </c>
      <c r="AQ52" s="422">
        <v>1.0431655713744798</v>
      </c>
      <c r="AR52" s="563">
        <v>1.0125608910190167</v>
      </c>
      <c r="AS52" s="422">
        <v>1.0032516890576473</v>
      </c>
      <c r="AT52" s="422">
        <v>1.0035608088592518</v>
      </c>
      <c r="AU52" s="422">
        <v>1.0004288727830941</v>
      </c>
      <c r="AV52" s="422">
        <v>1.0008921695890607</v>
      </c>
      <c r="AW52" s="422">
        <v>1.0033740964164788</v>
      </c>
      <c r="AX52" s="422">
        <v>1.0067886574214584</v>
      </c>
      <c r="AY52" s="422">
        <v>1.0125608910190167</v>
      </c>
      <c r="AZ52" s="422">
        <v>1.0366593498881356</v>
      </c>
      <c r="BA52" s="422">
        <v>1.0004943294753601</v>
      </c>
      <c r="BB52" s="422">
        <v>1.0004573383674307</v>
      </c>
      <c r="BC52" s="422">
        <v>1.0072226201111694</v>
      </c>
      <c r="BD52" s="422">
        <v>1.0089857415932073</v>
      </c>
      <c r="BE52" s="684">
        <v>1.0252348362325248</v>
      </c>
      <c r="BF52" s="684">
        <v>1.0359205713235968</v>
      </c>
      <c r="BG52" s="684">
        <v>1.0380883407166155</v>
      </c>
      <c r="BH52" s="684">
        <v>1.0397267037308937</v>
      </c>
      <c r="BI52" s="684">
        <v>1.0405442235234652</v>
      </c>
      <c r="BJ52" s="684">
        <v>1.0333483513651329</v>
      </c>
      <c r="BK52" s="684">
        <v>1</v>
      </c>
      <c r="BL52" s="684">
        <v>1.015499205792</v>
      </c>
      <c r="BM52" s="684">
        <v>1</v>
      </c>
      <c r="BN52" s="684">
        <v>1.0159049553920001</v>
      </c>
      <c r="BO52" s="684">
        <v>1.013477539408</v>
      </c>
      <c r="BP52" s="684">
        <v>1.01801631495296</v>
      </c>
      <c r="BQ52" s="684">
        <v>1.0620830566054376</v>
      </c>
      <c r="BR52" s="684">
        <v>1.0618360567329281</v>
      </c>
      <c r="BS52" s="684">
        <v>1.0540595328644813</v>
      </c>
      <c r="BT52" s="684">
        <v>1.0523558587659427</v>
      </c>
      <c r="BU52" s="684">
        <v>1.0301004861517955</v>
      </c>
      <c r="BV52" s="684">
        <v>1</v>
      </c>
      <c r="BW52" s="684">
        <v>1.00433704</v>
      </c>
      <c r="BX52" s="684">
        <v>1.0002471537599857</v>
      </c>
      <c r="BY52" s="684">
        <v>1.0091288399999998</v>
      </c>
      <c r="BZ52" s="684">
        <v>1.0005202228087151</v>
      </c>
      <c r="CA52" s="684">
        <v>1.0080099999999999</v>
      </c>
      <c r="CB52" s="684">
        <v>1.0004564637673359</v>
      </c>
      <c r="CC52" s="684">
        <v>1.0171203999999998</v>
      </c>
      <c r="CD52" s="684">
        <v>1.0240704508</v>
      </c>
    </row>
    <row r="53" spans="1:82" s="2" customFormat="1">
      <c r="A53" s="34">
        <v>2015</v>
      </c>
      <c r="B53" s="422">
        <v>1.0141523416116773</v>
      </c>
      <c r="C53" s="422">
        <v>1.0527931827069554</v>
      </c>
      <c r="D53" s="422">
        <v>1.0085013615302547</v>
      </c>
      <c r="E53" s="422">
        <v>1.0272550543394354</v>
      </c>
      <c r="F53" s="422">
        <v>1.0291386504550157</v>
      </c>
      <c r="G53" s="422">
        <v>1.0224993585729056</v>
      </c>
      <c r="H53" s="422">
        <v>1.0475586638697352</v>
      </c>
      <c r="I53" s="422">
        <v>1.0500974060650108</v>
      </c>
      <c r="J53" s="422">
        <v>1</v>
      </c>
      <c r="K53" s="422">
        <v>1.0234777060908788</v>
      </c>
      <c r="L53" s="422">
        <v>1.0020799845945949</v>
      </c>
      <c r="M53" s="422">
        <v>1</v>
      </c>
      <c r="N53" s="422">
        <v>1.0219270598358785</v>
      </c>
      <c r="O53" s="422">
        <v>1.0032657407001468</v>
      </c>
      <c r="P53" s="422">
        <v>1.0103550384036322</v>
      </c>
      <c r="Q53" s="422">
        <v>1.0246011778775344</v>
      </c>
      <c r="R53" s="422">
        <v>1.0004730391691596</v>
      </c>
      <c r="S53" s="422">
        <v>1.0008528508236929</v>
      </c>
      <c r="T53" s="422">
        <v>1.0026446259554134</v>
      </c>
      <c r="U53" s="422">
        <v>1.019183804433907</v>
      </c>
      <c r="V53" s="422">
        <v>1.0345287375783232</v>
      </c>
      <c r="W53" s="422">
        <v>1.0092019546525077</v>
      </c>
      <c r="X53" s="422">
        <v>1.047355682456611</v>
      </c>
      <c r="Y53" s="422">
        <v>1.0035721923974017</v>
      </c>
      <c r="Z53" s="422">
        <v>1.0036257406340603</v>
      </c>
      <c r="AA53" s="422">
        <v>1</v>
      </c>
      <c r="AB53" s="422">
        <v>1</v>
      </c>
      <c r="AC53" s="422">
        <v>1.0411838139830714</v>
      </c>
      <c r="AD53" s="422">
        <v>1.0062233373171832</v>
      </c>
      <c r="AE53" s="422">
        <v>1.0527931827069554</v>
      </c>
      <c r="AF53" s="422">
        <v>1.000526054518458</v>
      </c>
      <c r="AG53" s="422">
        <v>1.0024403280555312</v>
      </c>
      <c r="AH53" s="422">
        <v>1.0116958871548731</v>
      </c>
      <c r="AI53" s="422">
        <v>1.0005225653236476</v>
      </c>
      <c r="AJ53" s="422">
        <v>1.0069829196023425</v>
      </c>
      <c r="AK53" s="422">
        <v>1.0025904877543281</v>
      </c>
      <c r="AL53" s="422">
        <v>1.0092521958271348</v>
      </c>
      <c r="AM53" s="422">
        <v>1.0116958871548731</v>
      </c>
      <c r="AN53" s="422">
        <v>1.0096372905830575</v>
      </c>
      <c r="AO53" s="422">
        <v>1.019748510346089</v>
      </c>
      <c r="AP53" s="422">
        <v>1.0108812039785184</v>
      </c>
      <c r="AQ53" s="422">
        <v>1.0577406485247975</v>
      </c>
      <c r="AR53" s="563">
        <v>1.0140226430045118</v>
      </c>
      <c r="AS53" s="422">
        <v>1.0032657407001468</v>
      </c>
      <c r="AT53" s="422">
        <v>1.0035721923974017</v>
      </c>
      <c r="AU53" s="422">
        <v>1.0004730391691596</v>
      </c>
      <c r="AV53" s="422">
        <v>1.0008528508236929</v>
      </c>
      <c r="AW53" s="422">
        <v>1.0036257406340603</v>
      </c>
      <c r="AX53" s="422">
        <v>1.0079136810011566</v>
      </c>
      <c r="AY53" s="422">
        <v>1.0140226430045118</v>
      </c>
      <c r="AZ53" s="422">
        <v>1.0527931827069554</v>
      </c>
      <c r="BA53" s="422">
        <v>1.000526054518458</v>
      </c>
      <c r="BB53" s="422">
        <v>1.0005225653236476</v>
      </c>
      <c r="BC53" s="422">
        <v>1.0069829196023425</v>
      </c>
      <c r="BD53" s="422">
        <v>1.0092521958271348</v>
      </c>
      <c r="BE53" s="684">
        <v>1.0252348362325248</v>
      </c>
      <c r="BF53" s="684">
        <v>1.0359205713235968</v>
      </c>
      <c r="BG53" s="684">
        <v>1.0380883407166155</v>
      </c>
      <c r="BH53" s="684">
        <v>1.0397267037308937</v>
      </c>
      <c r="BI53" s="684">
        <v>1.0405442235234652</v>
      </c>
      <c r="BJ53" s="684">
        <v>1.0333483513651329</v>
      </c>
      <c r="BK53" s="684">
        <v>1</v>
      </c>
      <c r="BL53" s="684">
        <v>1.015499205792</v>
      </c>
      <c r="BM53" s="684">
        <v>1</v>
      </c>
      <c r="BN53" s="684">
        <v>1.0159049553920001</v>
      </c>
      <c r="BO53" s="684">
        <v>1.013477539408</v>
      </c>
      <c r="BP53" s="684">
        <v>1.01801631495296</v>
      </c>
      <c r="BQ53" s="684">
        <v>1.0620830566054376</v>
      </c>
      <c r="BR53" s="684">
        <v>1.0618360567329281</v>
      </c>
      <c r="BS53" s="684">
        <v>1.0540595328644813</v>
      </c>
      <c r="BT53" s="684">
        <v>1.0523558587659427</v>
      </c>
      <c r="BU53" s="684">
        <v>1.0301004861517955</v>
      </c>
      <c r="BV53" s="684">
        <v>1</v>
      </c>
      <c r="BW53" s="684">
        <v>1.00433704</v>
      </c>
      <c r="BX53" s="684">
        <v>1.0002471537599857</v>
      </c>
      <c r="BY53" s="684">
        <v>1.0091288399999998</v>
      </c>
      <c r="BZ53" s="684">
        <v>1.0005202228087151</v>
      </c>
      <c r="CA53" s="684">
        <v>1.0080099999999999</v>
      </c>
      <c r="CB53" s="684">
        <v>1.0004564637673359</v>
      </c>
      <c r="CC53" s="684">
        <v>1.0171203999999998</v>
      </c>
      <c r="CD53" s="684">
        <v>1.0240704508</v>
      </c>
    </row>
    <row r="54" spans="1:82" s="2" customFormat="1">
      <c r="A54" s="35">
        <v>2016</v>
      </c>
      <c r="B54" s="422">
        <v>1.0186188763989021</v>
      </c>
      <c r="C54" s="422">
        <v>1.0606139625848652</v>
      </c>
      <c r="D54" s="422">
        <v>1.0114092714304603</v>
      </c>
      <c r="E54" s="422">
        <v>1.0332684806266852</v>
      </c>
      <c r="F54" s="422">
        <v>1.0352177767021993</v>
      </c>
      <c r="G54" s="422">
        <v>1.0279803973094006</v>
      </c>
      <c r="H54" s="422">
        <v>1.054844625737495</v>
      </c>
      <c r="I54" s="422">
        <v>1.0548446257374953</v>
      </c>
      <c r="J54" s="422">
        <v>1</v>
      </c>
      <c r="K54" s="422">
        <v>1.0261805829773869</v>
      </c>
      <c r="L54" s="422">
        <v>1.0029496355080347</v>
      </c>
      <c r="M54" s="422">
        <v>1</v>
      </c>
      <c r="N54" s="422">
        <v>1.0261805829773867</v>
      </c>
      <c r="O54" s="422">
        <v>1.0044424582552702</v>
      </c>
      <c r="P54" s="422">
        <v>1.0141481836909532</v>
      </c>
      <c r="Q54" s="422">
        <v>1.0307543445887513</v>
      </c>
      <c r="R54" s="422">
        <v>1.0006320192254075</v>
      </c>
      <c r="S54" s="422">
        <v>1.0012361813093456</v>
      </c>
      <c r="T54" s="422">
        <v>1.0037659260549201</v>
      </c>
      <c r="U54" s="422">
        <v>1.0239062327404742</v>
      </c>
      <c r="V54" s="422">
        <v>1.0414268378789546</v>
      </c>
      <c r="W54" s="422">
        <v>1.0120770522113856</v>
      </c>
      <c r="X54" s="422">
        <v>1.0547894853800448</v>
      </c>
      <c r="Y54" s="422">
        <v>1.0047165697354197</v>
      </c>
      <c r="Z54" s="422">
        <v>1.004956422057425</v>
      </c>
      <c r="AA54" s="422">
        <v>1</v>
      </c>
      <c r="AB54" s="422">
        <v>1</v>
      </c>
      <c r="AC54" s="422">
        <v>1.0486695800511174</v>
      </c>
      <c r="AD54" s="422">
        <v>1.008591505884187</v>
      </c>
      <c r="AE54" s="422">
        <v>1.0606139625848652</v>
      </c>
      <c r="AF54" s="422">
        <v>1.0007712305511907</v>
      </c>
      <c r="AG54" s="422">
        <v>1.0036432842757492</v>
      </c>
      <c r="AH54" s="422">
        <v>1.0156464804049607</v>
      </c>
      <c r="AI54" s="422">
        <v>1.0008254190057335</v>
      </c>
      <c r="AJ54" s="422">
        <v>1.00939369529245</v>
      </c>
      <c r="AK54" s="422">
        <v>1.0038677505808726</v>
      </c>
      <c r="AL54" s="422">
        <v>1.0126703512305237</v>
      </c>
      <c r="AM54" s="422">
        <v>1.0156464804049607</v>
      </c>
      <c r="AN54" s="422">
        <v>1.012964867582052</v>
      </c>
      <c r="AO54" s="422">
        <v>1.0251595781817124</v>
      </c>
      <c r="AP54" s="422">
        <v>1.0145234061550825</v>
      </c>
      <c r="AQ54" s="422">
        <v>1.0655512862070513</v>
      </c>
      <c r="AR54" s="563">
        <v>1.0184657498347387</v>
      </c>
      <c r="AS54" s="422">
        <v>1.0044424582552702</v>
      </c>
      <c r="AT54" s="422">
        <v>1.0047165697354197</v>
      </c>
      <c r="AU54" s="422">
        <v>1.0006320192254075</v>
      </c>
      <c r="AV54" s="422">
        <v>1.0012361813093456</v>
      </c>
      <c r="AW54" s="422">
        <v>1.004956422057425</v>
      </c>
      <c r="AX54" s="422">
        <v>1.0103862649017916</v>
      </c>
      <c r="AY54" s="422">
        <v>1.0184657498347387</v>
      </c>
      <c r="AZ54" s="422">
        <v>1.0606139625848652</v>
      </c>
      <c r="BA54" s="422">
        <v>1.0007712305511907</v>
      </c>
      <c r="BB54" s="422">
        <v>1.0008254190057335</v>
      </c>
      <c r="BC54" s="422">
        <v>1.00939369529245</v>
      </c>
      <c r="BD54" s="422">
        <v>1.0126703512305237</v>
      </c>
      <c r="BE54" s="684">
        <v>1.0252348362325248</v>
      </c>
      <c r="BF54" s="684">
        <v>1.0359205713235968</v>
      </c>
      <c r="BG54" s="684">
        <v>1.0380883407166155</v>
      </c>
      <c r="BH54" s="684">
        <v>1.0397267037308937</v>
      </c>
      <c r="BI54" s="684">
        <v>1.0405442235234652</v>
      </c>
      <c r="BJ54" s="684">
        <v>1.0333483513651329</v>
      </c>
      <c r="BK54" s="684">
        <v>1</v>
      </c>
      <c r="BL54" s="684">
        <v>1.015499205792</v>
      </c>
      <c r="BM54" s="684">
        <v>1</v>
      </c>
      <c r="BN54" s="684">
        <v>1.0159049553920001</v>
      </c>
      <c r="BO54" s="684">
        <v>1.013477539408</v>
      </c>
      <c r="BP54" s="684">
        <v>1.01801631495296</v>
      </c>
      <c r="BQ54" s="684">
        <v>1.0620830566054376</v>
      </c>
      <c r="BR54" s="684">
        <v>1.0618360567329281</v>
      </c>
      <c r="BS54" s="684">
        <v>1.0540595328644813</v>
      </c>
      <c r="BT54" s="684">
        <v>1.0523558587659427</v>
      </c>
      <c r="BU54" s="684">
        <v>1.0301004861517955</v>
      </c>
      <c r="BV54" s="684">
        <v>1</v>
      </c>
      <c r="BW54" s="684">
        <v>1.00433704</v>
      </c>
      <c r="BX54" s="684">
        <v>1.0002471537599857</v>
      </c>
      <c r="BY54" s="684">
        <v>1.0091288399999998</v>
      </c>
      <c r="BZ54" s="684">
        <v>1.0005202228087151</v>
      </c>
      <c r="CA54" s="684">
        <v>1.0080099999999999</v>
      </c>
      <c r="CB54" s="684">
        <v>1.0004564637673359</v>
      </c>
      <c r="CC54" s="684">
        <v>1.0171203999999998</v>
      </c>
      <c r="CD54" s="684">
        <v>1.0240704508</v>
      </c>
    </row>
    <row r="55" spans="1:82" s="2" customFormat="1">
      <c r="A55" s="35">
        <v>2017</v>
      </c>
      <c r="B55" s="422">
        <v>1.0199964955322474</v>
      </c>
      <c r="C55" s="422">
        <v>1.0626533980700463</v>
      </c>
      <c r="D55" s="422">
        <v>1.0123078960446343</v>
      </c>
      <c r="E55" s="422">
        <v>1.0349308190088407</v>
      </c>
      <c r="F55" s="422">
        <v>1.0368930970330088</v>
      </c>
      <c r="G55" s="422">
        <v>1.0295633491753218</v>
      </c>
      <c r="H55" s="422">
        <v>1.0567987468924864</v>
      </c>
      <c r="I55" s="422">
        <v>1.0567987468924867</v>
      </c>
      <c r="J55" s="422">
        <v>1</v>
      </c>
      <c r="K55" s="422">
        <v>1.0273681556332326</v>
      </c>
      <c r="L55" s="422">
        <v>1.0032231968345511</v>
      </c>
      <c r="M55" s="422">
        <v>1</v>
      </c>
      <c r="N55" s="422">
        <v>1.0273681556332324</v>
      </c>
      <c r="O55" s="422">
        <v>1.0030427616123871</v>
      </c>
      <c r="P55" s="422">
        <v>1.0153225305644245</v>
      </c>
      <c r="Q55" s="422">
        <v>1.0325075868796338</v>
      </c>
      <c r="R55" s="422">
        <v>1.0007063417360742</v>
      </c>
      <c r="S55" s="422">
        <v>1.0013649440908174</v>
      </c>
      <c r="T55" s="422">
        <v>1.0041203679736328</v>
      </c>
      <c r="U55" s="422">
        <v>1.0253197006686494</v>
      </c>
      <c r="V55" s="422">
        <v>1.0432956905291044</v>
      </c>
      <c r="W55" s="422">
        <v>1.0129481893606331</v>
      </c>
      <c r="X55" s="422">
        <v>1.0567303730032285</v>
      </c>
      <c r="Y55" s="422">
        <v>1.0032699759963273</v>
      </c>
      <c r="Z55" s="422">
        <v>1.0052872269072546</v>
      </c>
      <c r="AA55" s="422">
        <v>1</v>
      </c>
      <c r="AB55" s="422">
        <v>1</v>
      </c>
      <c r="AC55" s="422">
        <v>1.0506865409937045</v>
      </c>
      <c r="AD55" s="422">
        <v>1.0093446018330425</v>
      </c>
      <c r="AE55" s="422">
        <v>1.0626533980700463</v>
      </c>
      <c r="AF55" s="422">
        <v>1.0008419474354566</v>
      </c>
      <c r="AG55" s="422">
        <v>1.0040417602623894</v>
      </c>
      <c r="AH55" s="422">
        <v>1.0168302730281766</v>
      </c>
      <c r="AI55" s="422">
        <v>1.000875443720977</v>
      </c>
      <c r="AJ55" s="422">
        <v>1.0089061339313306</v>
      </c>
      <c r="AK55" s="422">
        <v>1.00429088202339</v>
      </c>
      <c r="AL55" s="422">
        <v>1.0136836195943359</v>
      </c>
      <c r="AM55" s="422">
        <v>1.0168302730281766</v>
      </c>
      <c r="AN55" s="422">
        <v>1.0139821295209486</v>
      </c>
      <c r="AO55" s="422">
        <v>1.0267187107233515</v>
      </c>
      <c r="AP55" s="422">
        <v>1.0156550028332485</v>
      </c>
      <c r="AQ55" s="422">
        <v>1.067588834379579</v>
      </c>
      <c r="AR55" s="563">
        <v>1.019824702236775</v>
      </c>
      <c r="AS55" s="422">
        <v>1.0030427616123871</v>
      </c>
      <c r="AT55" s="422">
        <v>1.0032699759963273</v>
      </c>
      <c r="AU55" s="422">
        <v>1.0007063417360742</v>
      </c>
      <c r="AV55" s="422">
        <v>1.0013649440908174</v>
      </c>
      <c r="AW55" s="422">
        <v>1.0052872269072546</v>
      </c>
      <c r="AX55" s="422">
        <v>1.0111354428501445</v>
      </c>
      <c r="AY55" s="422">
        <v>1.019824702236775</v>
      </c>
      <c r="AZ55" s="422">
        <v>1.0626533980700463</v>
      </c>
      <c r="BA55" s="422">
        <v>1.0008419474354566</v>
      </c>
      <c r="BB55" s="422">
        <v>1.000875443720977</v>
      </c>
      <c r="BC55" s="422">
        <v>1.0089061339313306</v>
      </c>
      <c r="BD55" s="422">
        <v>1.0136836195943359</v>
      </c>
      <c r="BE55" s="684">
        <v>1.0252348362325248</v>
      </c>
      <c r="BF55" s="684">
        <v>1.0359205713235968</v>
      </c>
      <c r="BG55" s="684">
        <v>1.0380883407166155</v>
      </c>
      <c r="BH55" s="684">
        <v>1.0397267037308937</v>
      </c>
      <c r="BI55" s="684">
        <v>1.0405442235234652</v>
      </c>
      <c r="BJ55" s="684">
        <v>1.0333483513651329</v>
      </c>
      <c r="BK55" s="684">
        <v>1</v>
      </c>
      <c r="BL55" s="684">
        <v>1.015499205792</v>
      </c>
      <c r="BM55" s="684">
        <v>1</v>
      </c>
      <c r="BN55" s="684">
        <v>1.0159049553920001</v>
      </c>
      <c r="BO55" s="684">
        <v>1.013477539408</v>
      </c>
      <c r="BP55" s="684">
        <v>1.01801631495296</v>
      </c>
      <c r="BQ55" s="684">
        <v>1.0620830566054376</v>
      </c>
      <c r="BR55" s="684">
        <v>1.0618360567329281</v>
      </c>
      <c r="BS55" s="684">
        <v>1.0540595328644813</v>
      </c>
      <c r="BT55" s="684">
        <v>1.0523558587659427</v>
      </c>
      <c r="BU55" s="684">
        <v>1.0301004861517955</v>
      </c>
      <c r="BV55" s="684">
        <v>1</v>
      </c>
      <c r="BW55" s="684">
        <v>1.00433704</v>
      </c>
      <c r="BX55" s="684">
        <v>1.0002471537599857</v>
      </c>
      <c r="BY55" s="684">
        <v>1.0091288399999998</v>
      </c>
      <c r="BZ55" s="684">
        <v>1.0005202228087151</v>
      </c>
      <c r="CA55" s="684">
        <v>1.0080099999999999</v>
      </c>
      <c r="CB55" s="684">
        <v>1.0004564637673359</v>
      </c>
      <c r="CC55" s="684">
        <v>1.0171203999999998</v>
      </c>
      <c r="CD55" s="684">
        <v>1.0240704508</v>
      </c>
    </row>
    <row r="56" spans="1:82" s="2" customFormat="1">
      <c r="A56" s="35">
        <v>2018</v>
      </c>
      <c r="B56" s="422">
        <v>1.0199964955322474</v>
      </c>
      <c r="C56" s="422">
        <v>1.0626533980700466</v>
      </c>
      <c r="D56" s="422">
        <v>1.0123078960446343</v>
      </c>
      <c r="E56" s="422">
        <v>1.0349308190088409</v>
      </c>
      <c r="F56" s="422">
        <v>1.0368930970330088</v>
      </c>
      <c r="G56" s="422">
        <v>1.0295633491753216</v>
      </c>
      <c r="H56" s="422">
        <v>1.0567987468924867</v>
      </c>
      <c r="I56" s="422">
        <v>1.0567987468924867</v>
      </c>
      <c r="J56" s="422">
        <v>1</v>
      </c>
      <c r="K56" s="422">
        <v>1.0273681556332324</v>
      </c>
      <c r="L56" s="422">
        <v>1.0032231968345511</v>
      </c>
      <c r="M56" s="422">
        <v>1</v>
      </c>
      <c r="N56" s="422">
        <v>1.0273681556332324</v>
      </c>
      <c r="O56" s="422">
        <v>1.0034807627132363</v>
      </c>
      <c r="P56" s="422">
        <v>1.0153225305644245</v>
      </c>
      <c r="Q56" s="422">
        <v>1.0325075868796338</v>
      </c>
      <c r="R56" s="422">
        <v>1.000738196934893</v>
      </c>
      <c r="S56" s="422">
        <v>1.0013446842244216</v>
      </c>
      <c r="T56" s="422">
        <v>1.004120367973633</v>
      </c>
      <c r="U56" s="422">
        <v>1.0253197006686492</v>
      </c>
      <c r="V56" s="422">
        <v>1.0432956905291044</v>
      </c>
      <c r="W56" s="422">
        <v>1.0129481893606331</v>
      </c>
      <c r="X56" s="422">
        <v>1.0567303730032287</v>
      </c>
      <c r="Y56" s="422">
        <v>1.0037406842766969</v>
      </c>
      <c r="Z56" s="422">
        <v>1.0052206199047553</v>
      </c>
      <c r="AA56" s="422">
        <v>1</v>
      </c>
      <c r="AB56" s="422">
        <v>1</v>
      </c>
      <c r="AC56" s="422">
        <v>1.0506865409937047</v>
      </c>
      <c r="AD56" s="422">
        <v>1.0093446018330428</v>
      </c>
      <c r="AE56" s="422">
        <v>1.0626533980700466</v>
      </c>
      <c r="AF56" s="422">
        <v>1.0009374973052669</v>
      </c>
      <c r="AG56" s="422">
        <v>1.0040417602623899</v>
      </c>
      <c r="AH56" s="422">
        <v>1.0168302730281766</v>
      </c>
      <c r="AI56" s="422">
        <v>1.0009034482107415</v>
      </c>
      <c r="AJ56" s="422">
        <v>1.009593884388277</v>
      </c>
      <c r="AK56" s="422">
        <v>1.0042908820233902</v>
      </c>
      <c r="AL56" s="422">
        <v>1.0137881682003744</v>
      </c>
      <c r="AM56" s="422">
        <v>1.0168302730281766</v>
      </c>
      <c r="AN56" s="422">
        <v>1.0139821295209486</v>
      </c>
      <c r="AO56" s="422">
        <v>1.0267187107233517</v>
      </c>
      <c r="AP56" s="422">
        <v>1.0156550028332487</v>
      </c>
      <c r="AQ56" s="422">
        <v>1.0675888343795792</v>
      </c>
      <c r="AR56" s="563">
        <v>1.019810714880298</v>
      </c>
      <c r="AS56" s="422">
        <v>1.0034807627132363</v>
      </c>
      <c r="AT56" s="422">
        <v>1.0037406842766969</v>
      </c>
      <c r="AU56" s="422">
        <v>1.000738196934893</v>
      </c>
      <c r="AV56" s="422">
        <v>1.0013446842244216</v>
      </c>
      <c r="AW56" s="422">
        <v>1.0052206199047553</v>
      </c>
      <c r="AX56" s="422">
        <v>1.0111354428501445</v>
      </c>
      <c r="AY56" s="422">
        <v>1.019810714880298</v>
      </c>
      <c r="AZ56" s="422">
        <v>1.0626533980700466</v>
      </c>
      <c r="BA56" s="422">
        <v>1.0009374973052669</v>
      </c>
      <c r="BB56" s="422">
        <v>1.0009034482107415</v>
      </c>
      <c r="BC56" s="422">
        <v>1.009593884388277</v>
      </c>
      <c r="BD56" s="422">
        <v>1.0137881682003744</v>
      </c>
      <c r="BE56" s="684">
        <v>1.0252348362325248</v>
      </c>
      <c r="BF56" s="684">
        <v>1.0359205713235968</v>
      </c>
      <c r="BG56" s="684">
        <v>1.0380883407166155</v>
      </c>
      <c r="BH56" s="684">
        <v>1.0397267037308937</v>
      </c>
      <c r="BI56" s="684">
        <v>1.0405442235234652</v>
      </c>
      <c r="BJ56" s="684">
        <v>1.0333483513651329</v>
      </c>
      <c r="BK56" s="684">
        <v>1</v>
      </c>
      <c r="BL56" s="684">
        <v>1.015499205792</v>
      </c>
      <c r="BM56" s="684">
        <v>1</v>
      </c>
      <c r="BN56" s="684">
        <v>1.0159049553920001</v>
      </c>
      <c r="BO56" s="684">
        <v>1.013477539408</v>
      </c>
      <c r="BP56" s="684">
        <v>1.01801631495296</v>
      </c>
      <c r="BQ56" s="684">
        <v>1.0620830566054376</v>
      </c>
      <c r="BR56" s="684">
        <v>1.0618360567329281</v>
      </c>
      <c r="BS56" s="684">
        <v>1.0540595328644813</v>
      </c>
      <c r="BT56" s="684">
        <v>1.0523558587659427</v>
      </c>
      <c r="BU56" s="684">
        <v>1.0301004861517955</v>
      </c>
      <c r="BV56" s="684">
        <v>1</v>
      </c>
      <c r="BW56" s="684">
        <v>1.00433704</v>
      </c>
      <c r="BX56" s="684">
        <v>1.0002471537599857</v>
      </c>
      <c r="BY56" s="684">
        <v>1.0091288399999998</v>
      </c>
      <c r="BZ56" s="684">
        <v>1.0005202228087151</v>
      </c>
      <c r="CA56" s="684">
        <v>1.0080099999999999</v>
      </c>
      <c r="CB56" s="684">
        <v>1.0004564637673359</v>
      </c>
      <c r="CC56" s="684">
        <v>1.0171203999999998</v>
      </c>
      <c r="CD56" s="684">
        <v>1.0240704508</v>
      </c>
    </row>
    <row r="57" spans="1:82" s="2" customFormat="1">
      <c r="A57" s="36">
        <v>2019</v>
      </c>
      <c r="B57" s="422">
        <v>1.0199964955322478</v>
      </c>
      <c r="C57" s="422">
        <v>1.0626533980700463</v>
      </c>
      <c r="D57" s="422">
        <v>1.0123078960446346</v>
      </c>
      <c r="E57" s="422">
        <v>1.0349308190088409</v>
      </c>
      <c r="F57" s="422">
        <v>1.0368930970330088</v>
      </c>
      <c r="G57" s="422">
        <v>1.029563349175322</v>
      </c>
      <c r="H57" s="422">
        <v>1.0567987468924867</v>
      </c>
      <c r="I57" s="422">
        <v>1.0567987468924867</v>
      </c>
      <c r="J57" s="422">
        <v>1</v>
      </c>
      <c r="K57" s="422">
        <v>1.0273681556332326</v>
      </c>
      <c r="L57" s="422">
        <v>1.0032231968345511</v>
      </c>
      <c r="M57" s="422">
        <v>1</v>
      </c>
      <c r="N57" s="422">
        <v>1.0273681556332324</v>
      </c>
      <c r="O57" s="422">
        <v>1.0034471130484692</v>
      </c>
      <c r="P57" s="422">
        <v>1.0153225305644247</v>
      </c>
      <c r="Q57" s="422">
        <v>1.0325075868796336</v>
      </c>
      <c r="R57" s="422">
        <v>1.0007400691784885</v>
      </c>
      <c r="S57" s="422">
        <v>1.0013625653138245</v>
      </c>
      <c r="T57" s="422">
        <v>1.0041203679736332</v>
      </c>
      <c r="U57" s="422">
        <v>1.0253197006686499</v>
      </c>
      <c r="V57" s="422">
        <v>1.0432956905291044</v>
      </c>
      <c r="W57" s="422">
        <v>1.0129481893606336</v>
      </c>
      <c r="X57" s="422">
        <v>1.0567303730032287</v>
      </c>
      <c r="Y57" s="422">
        <v>1.0037045218656737</v>
      </c>
      <c r="Z57" s="422">
        <v>1.0052154005455276</v>
      </c>
      <c r="AA57" s="422">
        <v>1</v>
      </c>
      <c r="AB57" s="422">
        <v>1</v>
      </c>
      <c r="AC57" s="422">
        <v>1.0506865409937047</v>
      </c>
      <c r="AD57" s="422">
        <v>1.009344601833043</v>
      </c>
      <c r="AE57" s="422">
        <v>1.0626533980700463</v>
      </c>
      <c r="AF57" s="422">
        <v>1.0009989404705719</v>
      </c>
      <c r="AG57" s="422">
        <v>1.0040417602623897</v>
      </c>
      <c r="AH57" s="422">
        <v>1.0168302730281769</v>
      </c>
      <c r="AI57" s="422">
        <v>1.0009871462172628</v>
      </c>
      <c r="AJ57" s="422">
        <v>1.0095060913565432</v>
      </c>
      <c r="AK57" s="422">
        <v>1.00429088202339</v>
      </c>
      <c r="AL57" s="422">
        <v>1.0137246934278561</v>
      </c>
      <c r="AM57" s="422">
        <v>1.0168302730281769</v>
      </c>
      <c r="AN57" s="422">
        <v>1.0139821295209486</v>
      </c>
      <c r="AO57" s="422">
        <v>1.026718710723352</v>
      </c>
      <c r="AP57" s="422">
        <v>1.0156550028332483</v>
      </c>
      <c r="AQ57" s="422">
        <v>1.067588834379579</v>
      </c>
      <c r="AR57" s="563">
        <v>1.0197924400345411</v>
      </c>
      <c r="AS57" s="422">
        <v>1.0034471130484692</v>
      </c>
      <c r="AT57" s="422">
        <v>1.0037045218656737</v>
      </c>
      <c r="AU57" s="422">
        <v>1.0007400691784885</v>
      </c>
      <c r="AV57" s="422">
        <v>1.0013625653138245</v>
      </c>
      <c r="AW57" s="422">
        <v>1.0052154005455276</v>
      </c>
      <c r="AX57" s="422">
        <v>1.0111354428501449</v>
      </c>
      <c r="AY57" s="422">
        <v>1.0197924400345411</v>
      </c>
      <c r="AZ57" s="422">
        <v>1.0626533980700463</v>
      </c>
      <c r="BA57" s="422">
        <v>1.0009989404705719</v>
      </c>
      <c r="BB57" s="422">
        <v>1.0009871462172628</v>
      </c>
      <c r="BC57" s="422">
        <v>1.0095060913565432</v>
      </c>
      <c r="BD57" s="422">
        <v>1.0137246934278561</v>
      </c>
      <c r="BE57" s="684">
        <v>1.0252348362325248</v>
      </c>
      <c r="BF57" s="684">
        <v>1.0359205713235968</v>
      </c>
      <c r="BG57" s="684">
        <v>1.0380883407166155</v>
      </c>
      <c r="BH57" s="684">
        <v>1.0397267037308937</v>
      </c>
      <c r="BI57" s="684">
        <v>1.0405442235234652</v>
      </c>
      <c r="BJ57" s="684">
        <v>1.0333483513651329</v>
      </c>
      <c r="BK57" s="684">
        <v>1</v>
      </c>
      <c r="BL57" s="684">
        <v>1.015499205792</v>
      </c>
      <c r="BM57" s="684">
        <v>1</v>
      </c>
      <c r="BN57" s="684">
        <v>1.0159049553920001</v>
      </c>
      <c r="BO57" s="684">
        <v>1.013477539408</v>
      </c>
      <c r="BP57" s="684">
        <v>1.01801631495296</v>
      </c>
      <c r="BQ57" s="684">
        <v>1.0620830566054376</v>
      </c>
      <c r="BR57" s="684">
        <v>1.0618360567329281</v>
      </c>
      <c r="BS57" s="684">
        <v>1.0540595328644813</v>
      </c>
      <c r="BT57" s="684">
        <v>1.0523558587659427</v>
      </c>
      <c r="BU57" s="684">
        <v>1.0301004861517955</v>
      </c>
      <c r="BV57" s="684">
        <v>1</v>
      </c>
      <c r="BW57" s="684">
        <v>1.00433704</v>
      </c>
      <c r="BX57" s="684">
        <v>1.0002471537599857</v>
      </c>
      <c r="BY57" s="684">
        <v>1.0091288399999998</v>
      </c>
      <c r="BZ57" s="684">
        <v>1.0005202228087151</v>
      </c>
      <c r="CA57" s="684">
        <v>1.0080099999999999</v>
      </c>
      <c r="CB57" s="684">
        <v>1.0004564637673359</v>
      </c>
      <c r="CC57" s="684">
        <v>1.0171203999999998</v>
      </c>
      <c r="CD57" s="684">
        <v>1.0240704508</v>
      </c>
    </row>
    <row r="58" spans="1:82" s="2" customFormat="1">
      <c r="A58" s="34">
        <v>2020</v>
      </c>
      <c r="B58" s="2">
        <v>1.0199964955322474</v>
      </c>
      <c r="C58" s="2">
        <v>1.0626533980700466</v>
      </c>
      <c r="D58" s="2">
        <v>1.0123078960446346</v>
      </c>
      <c r="E58" s="12">
        <v>1.0349308190088411</v>
      </c>
      <c r="F58" s="2">
        <v>1.0368930970330088</v>
      </c>
      <c r="G58" s="2">
        <v>1.0295633491753218</v>
      </c>
      <c r="H58" s="2">
        <v>1.0567987468924869</v>
      </c>
      <c r="I58" s="2">
        <v>1.0567987468924869</v>
      </c>
      <c r="J58" s="2">
        <v>1</v>
      </c>
      <c r="K58" s="2">
        <v>1.0273681556332326</v>
      </c>
      <c r="L58" s="2">
        <v>1.0032231968345511</v>
      </c>
      <c r="M58" s="2">
        <v>1</v>
      </c>
      <c r="N58" s="2">
        <v>1.0273681556332324</v>
      </c>
      <c r="O58" s="2">
        <v>1.0035729656632777</v>
      </c>
      <c r="P58" s="2">
        <v>1.0153225305644245</v>
      </c>
      <c r="Q58" s="2">
        <v>1.0325075868796338</v>
      </c>
      <c r="R58" s="2">
        <v>1.0007632890924871</v>
      </c>
      <c r="S58" s="2">
        <v>1.0013705190031401</v>
      </c>
      <c r="T58" s="2">
        <v>1.004120367973633</v>
      </c>
      <c r="U58" s="2">
        <v>1.0253197006686494</v>
      </c>
      <c r="V58" s="2">
        <v>1.0432956905291042</v>
      </c>
      <c r="W58" s="2">
        <v>1.0129481893606334</v>
      </c>
      <c r="X58" s="2">
        <v>1.0567303730032287</v>
      </c>
      <c r="Y58" s="2">
        <v>1.0038397723656876</v>
      </c>
      <c r="Z58" s="2">
        <v>1.0052735500061749</v>
      </c>
      <c r="AA58" s="2">
        <v>1</v>
      </c>
      <c r="AB58" s="2">
        <v>1</v>
      </c>
      <c r="AC58" s="2">
        <v>1.0506865409937045</v>
      </c>
      <c r="AD58" s="2">
        <v>1.0093446018330428</v>
      </c>
      <c r="AE58" s="2">
        <v>1.0626533980700466</v>
      </c>
      <c r="AF58" s="2">
        <v>1.0010654852765739</v>
      </c>
      <c r="AG58" s="2">
        <v>1.0040417602623897</v>
      </c>
      <c r="AH58" s="2">
        <v>1.0168302730281764</v>
      </c>
      <c r="AI58" s="2">
        <v>1.001052870554936</v>
      </c>
      <c r="AJ58" s="2">
        <v>1.0095528764258486</v>
      </c>
      <c r="AK58" s="2">
        <v>1.00429088202339</v>
      </c>
      <c r="AL58" s="2">
        <v>1.0137518126367311</v>
      </c>
      <c r="AM58" s="2">
        <v>1.0168302730281764</v>
      </c>
      <c r="AN58" s="2">
        <v>1.0139821295209486</v>
      </c>
      <c r="AO58" s="2">
        <v>1.026718710723352</v>
      </c>
      <c r="AP58" s="2">
        <v>1.0156550028332483</v>
      </c>
      <c r="AQ58" s="2">
        <v>1.067588834379579</v>
      </c>
      <c r="AR58" s="98">
        <v>1.0197675762807119</v>
      </c>
      <c r="AS58" s="2">
        <v>1.0035729656632777</v>
      </c>
      <c r="AT58" s="2">
        <v>1.0038397723656876</v>
      </c>
      <c r="AU58" s="2">
        <v>1.0007632890924871</v>
      </c>
      <c r="AV58" s="2">
        <v>1.0013705190031401</v>
      </c>
      <c r="AW58" s="2">
        <v>1.0052735500061749</v>
      </c>
      <c r="AX58" s="2">
        <v>1.0111354428501447</v>
      </c>
      <c r="AY58" s="2">
        <v>1.0197675762807119</v>
      </c>
      <c r="AZ58" s="2">
        <v>1.0626533980700466</v>
      </c>
      <c r="BA58" s="2">
        <v>1.0010654852765739</v>
      </c>
      <c r="BB58" s="2">
        <v>1.001052870554936</v>
      </c>
      <c r="BC58" s="2">
        <v>1.0095528764258486</v>
      </c>
      <c r="BD58" s="2">
        <v>1.0137518126367311</v>
      </c>
      <c r="BE58" s="684">
        <v>1.0252348362325248</v>
      </c>
      <c r="BF58" s="684">
        <v>1.0359205713235968</v>
      </c>
      <c r="BG58" s="684">
        <v>1.0380883407166155</v>
      </c>
      <c r="BH58" s="684">
        <v>1.0397267037308937</v>
      </c>
      <c r="BI58" s="684">
        <v>1.0405442235234652</v>
      </c>
      <c r="BJ58" s="684">
        <v>1.0333483513651329</v>
      </c>
      <c r="BK58" s="684">
        <v>1</v>
      </c>
      <c r="BL58" s="684">
        <v>1.015499205792</v>
      </c>
      <c r="BM58" s="684">
        <v>1</v>
      </c>
      <c r="BN58" s="684">
        <v>1.0159049553920001</v>
      </c>
      <c r="BO58" s="684">
        <v>1.013477539408</v>
      </c>
      <c r="BP58" s="684">
        <v>1.01801631495296</v>
      </c>
      <c r="BQ58" s="684">
        <v>1.0620830566054376</v>
      </c>
      <c r="BR58" s="684">
        <v>1.0618360567329281</v>
      </c>
      <c r="BS58" s="684">
        <v>1.0540595328644813</v>
      </c>
      <c r="BT58" s="684">
        <v>1.0523558587659427</v>
      </c>
      <c r="BU58" s="684">
        <v>1.0301004861517955</v>
      </c>
      <c r="BV58" s="684">
        <v>1</v>
      </c>
      <c r="BW58" s="684">
        <v>1.00433704</v>
      </c>
      <c r="BX58" s="684">
        <v>1.0002471537599857</v>
      </c>
      <c r="BY58" s="684">
        <v>1.0091288399999998</v>
      </c>
      <c r="BZ58" s="684">
        <v>1.0005202228087151</v>
      </c>
      <c r="CA58" s="684">
        <v>1.0080099999999999</v>
      </c>
      <c r="CB58" s="684">
        <v>1.0004564637673359</v>
      </c>
      <c r="CC58" s="684">
        <v>1.0171203999999998</v>
      </c>
      <c r="CD58" s="684">
        <v>1.0240704508</v>
      </c>
    </row>
    <row r="59" spans="1:82" s="2" customFormat="1">
      <c r="A59" s="35">
        <v>2021</v>
      </c>
      <c r="B59" s="2">
        <v>1.0199964955322476</v>
      </c>
      <c r="C59" s="2">
        <v>1.062653398070047</v>
      </c>
      <c r="D59" s="2">
        <v>1.0123078960446341</v>
      </c>
      <c r="E59" s="12">
        <v>1.0349308190088411</v>
      </c>
      <c r="F59" s="2">
        <v>1.036893097033009</v>
      </c>
      <c r="G59" s="2">
        <v>1.029563349175322</v>
      </c>
      <c r="H59" s="2">
        <v>1.0567987468924871</v>
      </c>
      <c r="I59" s="2">
        <v>1.0567987468924869</v>
      </c>
      <c r="J59" s="2">
        <v>1</v>
      </c>
      <c r="K59" s="2">
        <v>1.0273681556332324</v>
      </c>
      <c r="L59" s="2">
        <v>1.0032231968345511</v>
      </c>
      <c r="M59" s="2">
        <v>1</v>
      </c>
      <c r="N59" s="2">
        <v>1.0273681556332324</v>
      </c>
      <c r="O59" s="2">
        <v>1.0036260962320283</v>
      </c>
      <c r="P59" s="2">
        <v>1.0153225305644245</v>
      </c>
      <c r="Q59" s="2">
        <v>1.0325075868796341</v>
      </c>
      <c r="R59" s="2">
        <v>1.0007780737647327</v>
      </c>
      <c r="S59" s="2">
        <v>1.0013727902974749</v>
      </c>
      <c r="T59" s="2">
        <v>1.004120367973633</v>
      </c>
      <c r="U59" s="2">
        <v>1.0253197006686494</v>
      </c>
      <c r="V59" s="2">
        <v>1.0432956905291044</v>
      </c>
      <c r="W59" s="2">
        <v>1.0129481893606334</v>
      </c>
      <c r="X59" s="2">
        <v>1.0567303730032289</v>
      </c>
      <c r="Y59" s="2">
        <v>1.0038968703926177</v>
      </c>
      <c r="Z59" s="2">
        <v>1.0051924681627888</v>
      </c>
      <c r="AA59" s="2">
        <v>1</v>
      </c>
      <c r="AB59" s="2">
        <v>1</v>
      </c>
      <c r="AC59" s="2">
        <v>1.0506865409937047</v>
      </c>
      <c r="AD59" s="2">
        <v>1.0093446018330428</v>
      </c>
      <c r="AE59" s="2">
        <v>1.062653398070047</v>
      </c>
      <c r="AF59" s="2">
        <v>1.0011291908824962</v>
      </c>
      <c r="AG59" s="2">
        <v>1.0040417602623897</v>
      </c>
      <c r="AH59" s="2">
        <v>1.0168302730281769</v>
      </c>
      <c r="AI59" s="2">
        <v>1.0010979637597031</v>
      </c>
      <c r="AJ59" s="2">
        <v>1.0096249452968911</v>
      </c>
      <c r="AK59" s="2">
        <v>1.0042908820233902</v>
      </c>
      <c r="AL59" s="2">
        <v>1.0137917937739453</v>
      </c>
      <c r="AM59" s="2">
        <v>1.0168302730281769</v>
      </c>
      <c r="AN59" s="2">
        <v>1.0139821295209486</v>
      </c>
      <c r="AO59" s="2">
        <v>1.026718710723352</v>
      </c>
      <c r="AP59" s="2">
        <v>1.0156550028332483</v>
      </c>
      <c r="AQ59" s="2">
        <v>1.067588834379579</v>
      </c>
      <c r="AR59" s="98">
        <v>1.0197482873838324</v>
      </c>
      <c r="AS59" s="2">
        <v>1.0036260962320283</v>
      </c>
      <c r="AT59" s="2">
        <v>1.0038968703926177</v>
      </c>
      <c r="AU59" s="2">
        <v>1.0007780737647327</v>
      </c>
      <c r="AV59" s="2">
        <v>1.0013727902974749</v>
      </c>
      <c r="AW59" s="2">
        <v>1.0051924681627888</v>
      </c>
      <c r="AX59" s="2">
        <v>1.0111354428501447</v>
      </c>
      <c r="AY59" s="2">
        <v>1.0197482873838324</v>
      </c>
      <c r="AZ59" s="2">
        <v>1.062653398070047</v>
      </c>
      <c r="BA59" s="2">
        <v>1.0011291908824962</v>
      </c>
      <c r="BB59" s="2">
        <v>1.0010979637597031</v>
      </c>
      <c r="BC59" s="2">
        <v>1.0096249452968911</v>
      </c>
      <c r="BD59" s="2">
        <v>1.0137917937739453</v>
      </c>
      <c r="BE59" s="684">
        <v>1.0252348362325248</v>
      </c>
      <c r="BF59" s="684">
        <v>1.0359205713235968</v>
      </c>
      <c r="BG59" s="684">
        <v>1.0380883407166155</v>
      </c>
      <c r="BH59" s="684">
        <v>1.0397267037308937</v>
      </c>
      <c r="BI59" s="684">
        <v>1.0405442235234652</v>
      </c>
      <c r="BJ59" s="684">
        <v>1.0333483513651329</v>
      </c>
      <c r="BK59" s="684">
        <v>1</v>
      </c>
      <c r="BL59" s="684">
        <v>1.015499205792</v>
      </c>
      <c r="BM59" s="684">
        <v>1</v>
      </c>
      <c r="BN59" s="684">
        <v>1.0159049553920001</v>
      </c>
      <c r="BO59" s="684">
        <v>1.013477539408</v>
      </c>
      <c r="BP59" s="684">
        <v>1.01801631495296</v>
      </c>
      <c r="BQ59" s="684">
        <v>1.0620830566054376</v>
      </c>
      <c r="BR59" s="684">
        <v>1.0618360567329281</v>
      </c>
      <c r="BS59" s="684">
        <v>1.0540595328644813</v>
      </c>
      <c r="BT59" s="684">
        <v>1.0523558587659427</v>
      </c>
      <c r="BU59" s="684">
        <v>1.0301004861517955</v>
      </c>
      <c r="BV59" s="684">
        <v>1</v>
      </c>
      <c r="BW59" s="684">
        <v>1.00433704</v>
      </c>
      <c r="BX59" s="684">
        <v>1.0002471537599857</v>
      </c>
      <c r="BY59" s="684">
        <v>1.0091288399999998</v>
      </c>
      <c r="BZ59" s="684">
        <v>1.0005202228087151</v>
      </c>
      <c r="CA59" s="684">
        <v>1.0080099999999999</v>
      </c>
      <c r="CB59" s="684">
        <v>1.0004564637673359</v>
      </c>
      <c r="CC59" s="684">
        <v>1.0171203999999998</v>
      </c>
      <c r="CD59" s="684">
        <v>1.0240704508</v>
      </c>
    </row>
    <row r="60" spans="1:82" s="2" customFormat="1">
      <c r="A60" s="35">
        <v>2022</v>
      </c>
      <c r="B60" s="2">
        <v>1.0199964955322478</v>
      </c>
      <c r="C60" s="2">
        <v>1.0626533980700466</v>
      </c>
      <c r="D60" s="2">
        <v>1.0123078960446343</v>
      </c>
      <c r="E60" s="12">
        <v>1.0349308190088411</v>
      </c>
      <c r="F60" s="2">
        <v>1.036893097033009</v>
      </c>
      <c r="G60" s="2">
        <v>1.029563349175322</v>
      </c>
      <c r="H60" s="2">
        <v>1.0567987468924867</v>
      </c>
      <c r="I60" s="2">
        <v>1.0567987468924867</v>
      </c>
      <c r="J60" s="2">
        <v>1</v>
      </c>
      <c r="K60" s="2">
        <v>1.0273681556332326</v>
      </c>
      <c r="L60" s="2">
        <v>1.0032231968345511</v>
      </c>
      <c r="M60" s="2">
        <v>1</v>
      </c>
      <c r="N60" s="2">
        <v>1.0273681556332326</v>
      </c>
      <c r="O60" s="2">
        <v>1.0035864049122074</v>
      </c>
      <c r="P60" s="2">
        <v>1.0153225305644247</v>
      </c>
      <c r="Q60" s="2">
        <v>1.0325075868796341</v>
      </c>
      <c r="R60" s="2">
        <v>1.0007922655910539</v>
      </c>
      <c r="S60" s="2">
        <v>1.0013753403205805</v>
      </c>
      <c r="T60" s="2">
        <v>1.0041203679736332</v>
      </c>
      <c r="U60" s="2">
        <v>1.0253197006686496</v>
      </c>
      <c r="V60" s="2">
        <v>1.0432956905291044</v>
      </c>
      <c r="W60" s="2">
        <v>1.0129481893606336</v>
      </c>
      <c r="X60" s="2">
        <v>1.0567303730032287</v>
      </c>
      <c r="Y60" s="2">
        <v>1.003854215173573</v>
      </c>
      <c r="Z60" s="2">
        <v>1.0051898765055545</v>
      </c>
      <c r="AA60" s="2">
        <v>1</v>
      </c>
      <c r="AB60" s="2">
        <v>1</v>
      </c>
      <c r="AC60" s="2">
        <v>1.0506865409937047</v>
      </c>
      <c r="AD60" s="2">
        <v>1.009344601833043</v>
      </c>
      <c r="AE60" s="2">
        <v>1.0626533980700466</v>
      </c>
      <c r="AF60" s="2">
        <v>1.001203413069077</v>
      </c>
      <c r="AG60" s="2">
        <v>1.0040417602623894</v>
      </c>
      <c r="AH60" s="2">
        <v>1.0168302730281766</v>
      </c>
      <c r="AI60" s="2">
        <v>1.001160576546883</v>
      </c>
      <c r="AJ60" s="2">
        <v>1.0097363310509828</v>
      </c>
      <c r="AK60" s="2">
        <v>1.00429088202339</v>
      </c>
      <c r="AL60" s="2">
        <v>1.0138218167460764</v>
      </c>
      <c r="AM60" s="2">
        <v>1.0168302730281766</v>
      </c>
      <c r="AN60" s="2">
        <v>1.0139821295209483</v>
      </c>
      <c r="AO60" s="2">
        <v>1.0267187107233517</v>
      </c>
      <c r="AP60" s="2">
        <v>1.0156550028332487</v>
      </c>
      <c r="AQ60" s="2">
        <v>1.0675888343795794</v>
      </c>
      <c r="AR60" s="98">
        <v>1.0197475010589698</v>
      </c>
      <c r="AS60" s="2">
        <v>1.0035864049122074</v>
      </c>
      <c r="AT60" s="2">
        <v>1.003854215173573</v>
      </c>
      <c r="AU60" s="2">
        <v>1.0007922655910539</v>
      </c>
      <c r="AV60" s="2">
        <v>1.0013753403205805</v>
      </c>
      <c r="AW60" s="2">
        <v>1.0051898765055545</v>
      </c>
      <c r="AX60" s="2">
        <v>1.0111354428501449</v>
      </c>
      <c r="AY60" s="2">
        <v>1.0197475010589698</v>
      </c>
      <c r="AZ60" s="2">
        <v>1.0626533980700466</v>
      </c>
      <c r="BA60" s="2">
        <v>1.001203413069077</v>
      </c>
      <c r="BB60" s="2">
        <v>1.001160576546883</v>
      </c>
      <c r="BC60" s="2">
        <v>1.0097363310509828</v>
      </c>
      <c r="BD60" s="2">
        <v>1.0138218167460764</v>
      </c>
      <c r="BE60" s="684">
        <v>1.0252348362325248</v>
      </c>
      <c r="BF60" s="684">
        <v>1.0359205713235968</v>
      </c>
      <c r="BG60" s="684">
        <v>1.0380883407166155</v>
      </c>
      <c r="BH60" s="684">
        <v>1.0397267037308937</v>
      </c>
      <c r="BI60" s="684">
        <v>1.0405442235234652</v>
      </c>
      <c r="BJ60" s="684">
        <v>1.0333483513651329</v>
      </c>
      <c r="BK60" s="684">
        <v>1</v>
      </c>
      <c r="BL60" s="684">
        <v>1.015499205792</v>
      </c>
      <c r="BM60" s="684">
        <v>1</v>
      </c>
      <c r="BN60" s="684">
        <v>1.0159049553920001</v>
      </c>
      <c r="BO60" s="684">
        <v>1.013477539408</v>
      </c>
      <c r="BP60" s="684">
        <v>1.01801631495296</v>
      </c>
      <c r="BQ60" s="684">
        <v>1.0620830566054376</v>
      </c>
      <c r="BR60" s="684">
        <v>1.0618360567329281</v>
      </c>
      <c r="BS60" s="684">
        <v>1.0540595328644813</v>
      </c>
      <c r="BT60" s="684">
        <v>1.0523558587659427</v>
      </c>
      <c r="BU60" s="684">
        <v>1.0301004861517955</v>
      </c>
      <c r="BV60" s="684">
        <v>1</v>
      </c>
      <c r="BW60" s="684">
        <v>1.00433704</v>
      </c>
      <c r="BX60" s="684">
        <v>1.0002471537599857</v>
      </c>
      <c r="BY60" s="684">
        <v>1.0091288399999998</v>
      </c>
      <c r="BZ60" s="684">
        <v>1.0005202228087151</v>
      </c>
      <c r="CA60" s="684">
        <v>1.0080099999999999</v>
      </c>
      <c r="CB60" s="684">
        <v>1.0004564637673359</v>
      </c>
      <c r="CC60" s="684">
        <v>1.0171203999999998</v>
      </c>
      <c r="CD60" s="684">
        <v>1.0240704508</v>
      </c>
    </row>
    <row r="61" spans="1:82" s="2" customFormat="1">
      <c r="A61" s="35">
        <v>2023</v>
      </c>
      <c r="B61" s="2">
        <v>1.0199964955322478</v>
      </c>
      <c r="C61" s="2">
        <v>1.0626533980700466</v>
      </c>
      <c r="D61" s="2">
        <v>1.0123078960446343</v>
      </c>
      <c r="E61" s="12">
        <v>1.0349308190088411</v>
      </c>
      <c r="F61" s="2">
        <v>1.036893097033009</v>
      </c>
      <c r="G61" s="2">
        <v>1.029563349175322</v>
      </c>
      <c r="H61" s="2">
        <v>1.0567987468924867</v>
      </c>
      <c r="I61" s="2">
        <v>1.0567987468924867</v>
      </c>
      <c r="J61" s="2">
        <v>1</v>
      </c>
      <c r="K61" s="2">
        <v>1.0273681556332326</v>
      </c>
      <c r="L61" s="2">
        <v>1.0032231968345511</v>
      </c>
      <c r="M61" s="2">
        <v>1</v>
      </c>
      <c r="N61" s="2">
        <v>1.0273681556332326</v>
      </c>
      <c r="O61" s="2">
        <v>1.0035864049122074</v>
      </c>
      <c r="P61" s="2">
        <v>1.0153225305644247</v>
      </c>
      <c r="Q61" s="2">
        <v>1.0325075868796341</v>
      </c>
      <c r="R61" s="2">
        <v>1.0007922655910539</v>
      </c>
      <c r="S61" s="2">
        <v>1.0013753403205805</v>
      </c>
      <c r="T61" s="2">
        <v>1.0041203679736332</v>
      </c>
      <c r="U61" s="2">
        <v>1.0253197006686496</v>
      </c>
      <c r="V61" s="2">
        <v>1.0432956905291044</v>
      </c>
      <c r="W61" s="2">
        <v>1.0129481893606336</v>
      </c>
      <c r="X61" s="2">
        <v>1.0567303730032287</v>
      </c>
      <c r="Y61" s="2">
        <v>1.003854215173573</v>
      </c>
      <c r="Z61" s="2">
        <v>1.0051898765055545</v>
      </c>
      <c r="AA61" s="2">
        <v>1</v>
      </c>
      <c r="AB61" s="2">
        <v>1</v>
      </c>
      <c r="AC61" s="2">
        <v>1.0506865409937047</v>
      </c>
      <c r="AD61" s="2">
        <v>1.009344601833043</v>
      </c>
      <c r="AE61" s="2">
        <v>1.0626533980700466</v>
      </c>
      <c r="AF61" s="2">
        <v>1.001203413069077</v>
      </c>
      <c r="AG61" s="2">
        <v>1.0040417602623894</v>
      </c>
      <c r="AH61" s="2">
        <v>1.0168302730281766</v>
      </c>
      <c r="AI61" s="2">
        <v>1.001160576546883</v>
      </c>
      <c r="AJ61" s="2">
        <v>1.0107058743361088</v>
      </c>
      <c r="AK61" s="2">
        <v>1.00429088202339</v>
      </c>
      <c r="AL61" s="2">
        <v>1.0137079219478058</v>
      </c>
      <c r="AM61" s="2">
        <v>1.0168302730281766</v>
      </c>
      <c r="AN61" s="2">
        <v>1.0139821295209483</v>
      </c>
      <c r="AO61" s="2">
        <v>1.0267187107233517</v>
      </c>
      <c r="AP61" s="2">
        <v>1.0156550028332487</v>
      </c>
      <c r="AQ61" s="2">
        <v>1.0675888343795794</v>
      </c>
      <c r="AR61" s="98">
        <v>1.0197475010589698</v>
      </c>
      <c r="AS61" s="2">
        <v>1.0035864049122074</v>
      </c>
      <c r="AT61" s="2">
        <v>1.003854215173573</v>
      </c>
      <c r="AU61" s="2">
        <v>1.0007922655910539</v>
      </c>
      <c r="AV61" s="2">
        <v>1.0013753403205805</v>
      </c>
      <c r="AW61" s="2">
        <v>1.0051898765055545</v>
      </c>
      <c r="AX61" s="2">
        <v>1.0111354428501449</v>
      </c>
      <c r="AY61" s="2">
        <v>1.0197475010589698</v>
      </c>
      <c r="AZ61" s="2">
        <v>1.0626533980700466</v>
      </c>
      <c r="BA61" s="2">
        <v>1.001203413069077</v>
      </c>
      <c r="BB61" s="2">
        <v>1.001160576546883</v>
      </c>
      <c r="BC61" s="2">
        <v>1.0107058743361088</v>
      </c>
      <c r="BD61" s="2">
        <v>1.0137079219478058</v>
      </c>
      <c r="BE61" s="684">
        <v>1.0252348362325248</v>
      </c>
      <c r="BF61" s="684">
        <v>1.0359205713235968</v>
      </c>
      <c r="BG61" s="684">
        <v>1.0380883407166155</v>
      </c>
      <c r="BH61" s="684">
        <v>1.0397267037308937</v>
      </c>
      <c r="BI61" s="684">
        <v>1.0405442235234652</v>
      </c>
      <c r="BJ61" s="684">
        <v>1.0333483513651329</v>
      </c>
      <c r="BK61" s="684">
        <v>1</v>
      </c>
      <c r="BL61" s="684">
        <v>1.015499205792</v>
      </c>
      <c r="BM61" s="684">
        <v>1</v>
      </c>
      <c r="BN61" s="684">
        <v>1.0159049553920001</v>
      </c>
      <c r="BO61" s="684">
        <v>1.013477539408</v>
      </c>
      <c r="BP61" s="684">
        <v>1.01801631495296</v>
      </c>
      <c r="BQ61" s="684">
        <v>1.0620830566054376</v>
      </c>
      <c r="BR61" s="684">
        <v>1.0618360567329281</v>
      </c>
      <c r="BS61" s="684">
        <v>1.0540595328644813</v>
      </c>
      <c r="BT61" s="684">
        <v>1.0523558587659427</v>
      </c>
      <c r="BU61" s="684">
        <v>1.0301004861517955</v>
      </c>
      <c r="BV61" s="684">
        <v>1</v>
      </c>
      <c r="BW61" s="684">
        <v>1.00433704</v>
      </c>
      <c r="BX61" s="684">
        <v>1.0002471537599857</v>
      </c>
      <c r="BY61" s="684">
        <v>1.0091288399999998</v>
      </c>
      <c r="BZ61" s="684">
        <v>1.0005202228087151</v>
      </c>
      <c r="CA61" s="684">
        <v>1.0080099999999999</v>
      </c>
      <c r="CB61" s="684">
        <v>1.0004564637673359</v>
      </c>
      <c r="CC61" s="684">
        <v>1.0171203999999998</v>
      </c>
      <c r="CD61" s="684">
        <v>1.0240704508</v>
      </c>
    </row>
    <row r="62" spans="1:82" s="2" customFormat="1">
      <c r="A62" s="36">
        <v>2024</v>
      </c>
      <c r="B62" s="2">
        <v>1.0199964955322478</v>
      </c>
      <c r="C62" s="2">
        <v>1.0626533980700466</v>
      </c>
      <c r="D62" s="2">
        <v>1.0123078960446343</v>
      </c>
      <c r="E62" s="12">
        <v>1.0349308190088411</v>
      </c>
      <c r="F62" s="2">
        <v>1.036893097033009</v>
      </c>
      <c r="G62" s="2">
        <v>1.029563349175322</v>
      </c>
      <c r="H62" s="2">
        <v>1.0567987468924867</v>
      </c>
      <c r="I62" s="2">
        <v>1.0567987468924867</v>
      </c>
      <c r="J62" s="2">
        <v>1</v>
      </c>
      <c r="K62" s="2">
        <v>1.0273681556332326</v>
      </c>
      <c r="L62" s="2">
        <v>1.0032231968345511</v>
      </c>
      <c r="M62" s="2">
        <v>1</v>
      </c>
      <c r="N62" s="2">
        <v>1.0273681556332326</v>
      </c>
      <c r="O62" s="2">
        <v>1.0035864049122074</v>
      </c>
      <c r="P62" s="2">
        <v>1.0153225305644247</v>
      </c>
      <c r="Q62" s="2">
        <v>1.0325075868796341</v>
      </c>
      <c r="R62" s="2">
        <v>1.0007922655910539</v>
      </c>
      <c r="S62" s="2">
        <v>1.0013753403205805</v>
      </c>
      <c r="T62" s="2">
        <v>1.0041203679736332</v>
      </c>
      <c r="U62" s="2">
        <v>1.0253197006686496</v>
      </c>
      <c r="V62" s="2">
        <v>1.0432956905291044</v>
      </c>
      <c r="W62" s="2">
        <v>1.0129481893606336</v>
      </c>
      <c r="X62" s="2">
        <v>1.0567303730032287</v>
      </c>
      <c r="Y62" s="2">
        <v>1.003854215173573</v>
      </c>
      <c r="Z62" s="2">
        <v>1.0051898765055545</v>
      </c>
      <c r="AA62" s="2">
        <v>1</v>
      </c>
      <c r="AB62" s="2">
        <v>1</v>
      </c>
      <c r="AC62" s="2">
        <v>1.0506865409937047</v>
      </c>
      <c r="AD62" s="2">
        <v>1.009344601833043</v>
      </c>
      <c r="AE62" s="2">
        <v>1.0626533980700466</v>
      </c>
      <c r="AF62" s="2">
        <v>1.001203413069077</v>
      </c>
      <c r="AG62" s="2">
        <v>1.0040417602623894</v>
      </c>
      <c r="AH62" s="2">
        <v>1.0168302730281766</v>
      </c>
      <c r="AI62" s="2">
        <v>1.001160576546883</v>
      </c>
      <c r="AJ62" s="2">
        <v>1.0107066031618412</v>
      </c>
      <c r="AK62" s="2">
        <v>1.00429088202339</v>
      </c>
      <c r="AL62" s="2">
        <v>1.0137140916877987</v>
      </c>
      <c r="AM62" s="2">
        <v>1.0168302730281766</v>
      </c>
      <c r="AN62" s="2">
        <v>1.0139821295209483</v>
      </c>
      <c r="AO62" s="2">
        <v>1.0267187107233517</v>
      </c>
      <c r="AP62" s="2">
        <v>1.0156550028332487</v>
      </c>
      <c r="AQ62" s="2">
        <v>1.0675888343795794</v>
      </c>
      <c r="AR62" s="98">
        <v>1.0197475010589698</v>
      </c>
      <c r="AS62" s="2">
        <v>1.0035864049122074</v>
      </c>
      <c r="AT62" s="2">
        <v>1.003854215173573</v>
      </c>
      <c r="AU62" s="2">
        <v>1.0007922655910539</v>
      </c>
      <c r="AV62" s="2">
        <v>1.0013753403205805</v>
      </c>
      <c r="AW62" s="2">
        <v>1.0051898765055545</v>
      </c>
      <c r="AX62" s="2">
        <v>1.0111354428501449</v>
      </c>
      <c r="AY62" s="2">
        <v>1.0197475010589698</v>
      </c>
      <c r="AZ62" s="2">
        <v>1.0626533980700466</v>
      </c>
      <c r="BA62" s="2">
        <v>1.001203413069077</v>
      </c>
      <c r="BB62" s="2">
        <v>1.001160576546883</v>
      </c>
      <c r="BC62" s="2">
        <v>1.0107066031618412</v>
      </c>
      <c r="BD62" s="2">
        <v>1.0137140916877987</v>
      </c>
      <c r="BE62" s="684">
        <v>1.0252348362325248</v>
      </c>
      <c r="BF62" s="684">
        <v>1.0359205713235968</v>
      </c>
      <c r="BG62" s="684">
        <v>1.0380883407166155</v>
      </c>
      <c r="BH62" s="684">
        <v>1.0397267037308937</v>
      </c>
      <c r="BI62" s="684">
        <v>1.0405442235234652</v>
      </c>
      <c r="BJ62" s="684">
        <v>1.0333483513651329</v>
      </c>
      <c r="BK62" s="684">
        <v>1</v>
      </c>
      <c r="BL62" s="684">
        <v>1.015499205792</v>
      </c>
      <c r="BM62" s="684">
        <v>1</v>
      </c>
      <c r="BN62" s="684">
        <v>1.0159049553920001</v>
      </c>
      <c r="BO62" s="684">
        <v>1.013477539408</v>
      </c>
      <c r="BP62" s="684">
        <v>1.01801631495296</v>
      </c>
      <c r="BQ62" s="684">
        <v>1.0620830566054376</v>
      </c>
      <c r="BR62" s="684">
        <v>1.0618360567329281</v>
      </c>
      <c r="BS62" s="684">
        <v>1.0540595328644813</v>
      </c>
      <c r="BT62" s="684">
        <v>1.0523558587659427</v>
      </c>
      <c r="BU62" s="684">
        <v>1.0301004861517955</v>
      </c>
      <c r="BV62" s="684">
        <v>1</v>
      </c>
      <c r="BW62" s="684">
        <v>1.00433704</v>
      </c>
      <c r="BX62" s="684">
        <v>1.0002471537599857</v>
      </c>
      <c r="BY62" s="684">
        <v>1.0091288399999998</v>
      </c>
      <c r="BZ62" s="684">
        <v>1.0005202228087151</v>
      </c>
      <c r="CA62" s="684">
        <v>1.0080099999999999</v>
      </c>
      <c r="CB62" s="684">
        <v>1.0004564637673359</v>
      </c>
      <c r="CC62" s="684">
        <v>1.0171203999999998</v>
      </c>
      <c r="CD62" s="684">
        <v>1.0240704508</v>
      </c>
    </row>
    <row r="63" spans="1:82" s="22" customFormat="1" ht="64.5" customHeight="1">
      <c r="A63" s="20"/>
      <c r="B63" s="22" t="s">
        <v>89</v>
      </c>
      <c r="C63" s="22" t="s">
        <v>3</v>
      </c>
      <c r="D63" s="22" t="s">
        <v>90</v>
      </c>
      <c r="E63" s="22" t="s">
        <v>4</v>
      </c>
      <c r="F63" s="22" t="s">
        <v>5</v>
      </c>
      <c r="G63" s="22" t="s">
        <v>6</v>
      </c>
      <c r="H63" s="22" t="s">
        <v>7</v>
      </c>
      <c r="I63" s="22" t="s">
        <v>8</v>
      </c>
      <c r="J63" s="22" t="s">
        <v>9</v>
      </c>
      <c r="K63" s="22" t="s">
        <v>10</v>
      </c>
      <c r="L63" s="22" t="s">
        <v>145</v>
      </c>
      <c r="M63" s="22" t="s">
        <v>200</v>
      </c>
      <c r="N63" s="22" t="s">
        <v>196</v>
      </c>
      <c r="O63" s="22" t="s">
        <v>11</v>
      </c>
      <c r="P63" s="22" t="s">
        <v>93</v>
      </c>
      <c r="Q63" s="22" t="s">
        <v>14</v>
      </c>
      <c r="R63" s="22" t="s">
        <v>16</v>
      </c>
      <c r="S63" s="22" t="s">
        <v>18</v>
      </c>
      <c r="T63" s="22" t="s">
        <v>147</v>
      </c>
      <c r="U63" s="22" t="s">
        <v>148</v>
      </c>
      <c r="V63" s="22" t="s">
        <v>13</v>
      </c>
      <c r="W63" s="22" t="s">
        <v>15</v>
      </c>
      <c r="X63" s="22" t="s">
        <v>17</v>
      </c>
      <c r="Y63" s="22" t="s">
        <v>19</v>
      </c>
      <c r="Z63" s="22" t="s">
        <v>20</v>
      </c>
      <c r="AA63" s="22" t="s">
        <v>21</v>
      </c>
      <c r="AB63" s="22" t="s">
        <v>201</v>
      </c>
      <c r="AC63" s="22" t="s">
        <v>22</v>
      </c>
      <c r="AD63" s="22" t="s">
        <v>91</v>
      </c>
      <c r="AE63" s="22" t="s">
        <v>25</v>
      </c>
      <c r="AF63" s="22" t="s">
        <v>26</v>
      </c>
      <c r="AG63" s="22" t="s">
        <v>149</v>
      </c>
      <c r="AH63" s="22" t="s">
        <v>241</v>
      </c>
      <c r="AI63" s="22" t="s">
        <v>23</v>
      </c>
      <c r="AJ63" s="22" t="s">
        <v>24</v>
      </c>
      <c r="AK63" s="22" t="s">
        <v>150</v>
      </c>
      <c r="AL63" s="22" t="s">
        <v>242</v>
      </c>
      <c r="AM63" s="22" t="s">
        <v>243</v>
      </c>
      <c r="AN63" s="22" t="s">
        <v>244</v>
      </c>
      <c r="AO63" s="22" t="s">
        <v>245</v>
      </c>
      <c r="AP63" s="193" t="s">
        <v>314</v>
      </c>
      <c r="AQ63" s="193" t="s">
        <v>315</v>
      </c>
      <c r="AR63" s="99" t="s">
        <v>109</v>
      </c>
      <c r="AS63" s="15" t="s">
        <v>118</v>
      </c>
      <c r="AT63" s="15" t="s">
        <v>119</v>
      </c>
      <c r="AU63" s="15" t="s">
        <v>110</v>
      </c>
      <c r="AV63" s="15" t="s">
        <v>111</v>
      </c>
      <c r="AW63" s="15" t="s">
        <v>112</v>
      </c>
      <c r="AX63" s="15" t="s">
        <v>101</v>
      </c>
      <c r="AY63" s="15" t="s">
        <v>102</v>
      </c>
      <c r="AZ63" s="15" t="s">
        <v>113</v>
      </c>
      <c r="BA63" s="15" t="s">
        <v>114</v>
      </c>
      <c r="BB63" s="15" t="s">
        <v>115</v>
      </c>
      <c r="BC63" s="15" t="s">
        <v>116</v>
      </c>
      <c r="BD63" s="15" t="s">
        <v>117</v>
      </c>
      <c r="BE63" s="203" t="s">
        <v>316</v>
      </c>
      <c r="BF63" s="203" t="s">
        <v>318</v>
      </c>
      <c r="BG63" s="203" t="s">
        <v>320</v>
      </c>
      <c r="BH63" s="203" t="s">
        <v>322</v>
      </c>
      <c r="BI63" s="203" t="s">
        <v>324</v>
      </c>
      <c r="BJ63" s="203" t="s">
        <v>325</v>
      </c>
      <c r="BK63" s="203" t="s">
        <v>327</v>
      </c>
      <c r="BL63" s="203" t="s">
        <v>328</v>
      </c>
      <c r="BM63" s="203" t="s">
        <v>330</v>
      </c>
      <c r="BN63" s="203" t="s">
        <v>331</v>
      </c>
      <c r="BO63" s="203" t="s">
        <v>333</v>
      </c>
      <c r="BP63" s="203" t="s">
        <v>335</v>
      </c>
      <c r="BQ63" s="203" t="s">
        <v>337</v>
      </c>
      <c r="BR63" s="203" t="s">
        <v>339</v>
      </c>
      <c r="BS63" s="203" t="s">
        <v>341</v>
      </c>
      <c r="BT63" s="203" t="s">
        <v>343</v>
      </c>
      <c r="BU63" s="203" t="s">
        <v>345</v>
      </c>
      <c r="BV63" s="203" t="s">
        <v>347</v>
      </c>
      <c r="BW63" s="203" t="s">
        <v>348</v>
      </c>
      <c r="BX63" s="204" t="s">
        <v>349</v>
      </c>
      <c r="BY63" s="203" t="s">
        <v>350</v>
      </c>
      <c r="BZ63" s="203" t="s">
        <v>351</v>
      </c>
      <c r="CA63" s="203" t="s">
        <v>352</v>
      </c>
      <c r="CB63" s="203" t="s">
        <v>353</v>
      </c>
      <c r="CC63" s="203" t="s">
        <v>354</v>
      </c>
      <c r="CD63" s="203" t="s">
        <v>356</v>
      </c>
    </row>
    <row r="67" spans="1:44" ht="38.25">
      <c r="A67" s="127"/>
      <c r="B67" s="119" t="s">
        <v>67</v>
      </c>
      <c r="C67" s="119" t="s">
        <v>126</v>
      </c>
      <c r="D67" s="119" t="s">
        <v>127</v>
      </c>
      <c r="E67" s="119" t="s">
        <v>747</v>
      </c>
      <c r="F67" s="119" t="s">
        <v>385</v>
      </c>
      <c r="G67" s="119" t="s">
        <v>246</v>
      </c>
      <c r="H67" s="119" t="s">
        <v>247</v>
      </c>
      <c r="I67" s="119" t="s">
        <v>248</v>
      </c>
      <c r="J67" s="119" t="s">
        <v>748</v>
      </c>
      <c r="K67" s="119" t="s">
        <v>749</v>
      </c>
      <c r="L67" s="119" t="s">
        <v>221</v>
      </c>
      <c r="M67" s="119" t="s">
        <v>312</v>
      </c>
      <c r="N67" s="119" t="s">
        <v>231</v>
      </c>
      <c r="O67" s="119" t="s">
        <v>222</v>
      </c>
      <c r="P67" s="119" t="s">
        <v>223</v>
      </c>
      <c r="Q67" s="119" t="s">
        <v>249</v>
      </c>
      <c r="R67" s="119" t="s">
        <v>224</v>
      </c>
      <c r="S67" s="119" t="s">
        <v>250</v>
      </c>
      <c r="T67" s="119" t="s">
        <v>195</v>
      </c>
      <c r="U67" s="119" t="s">
        <v>383</v>
      </c>
      <c r="V67" s="119" t="s">
        <v>235</v>
      </c>
      <c r="W67" s="119" t="s">
        <v>389</v>
      </c>
      <c r="X67" s="119" t="s">
        <v>388</v>
      </c>
      <c r="Y67" s="119" t="s">
        <v>387</v>
      </c>
      <c r="Z67" s="119" t="s">
        <v>225</v>
      </c>
      <c r="AA67" s="119" t="s">
        <v>124</v>
      </c>
      <c r="AB67" s="119" t="s">
        <v>226</v>
      </c>
      <c r="AC67" s="119" t="s">
        <v>227</v>
      </c>
      <c r="AD67" s="119" t="s">
        <v>125</v>
      </c>
      <c r="AE67" s="119" t="s">
        <v>70</v>
      </c>
      <c r="AF67" s="119" t="s">
        <v>384</v>
      </c>
      <c r="AG67" s="119" t="s">
        <v>71</v>
      </c>
      <c r="AH67" s="119" t="s">
        <v>237</v>
      </c>
      <c r="AI67" s="119" t="s">
        <v>228</v>
      </c>
      <c r="AJ67" s="119" t="s">
        <v>310</v>
      </c>
      <c r="AK67" s="119" t="s">
        <v>106</v>
      </c>
      <c r="AL67" s="119" t="s">
        <v>229</v>
      </c>
      <c r="AM67" s="119" t="s">
        <v>251</v>
      </c>
      <c r="AN67" s="119" t="s">
        <v>230</v>
      </c>
      <c r="AO67" s="119" t="s">
        <v>252</v>
      </c>
      <c r="AP67" s="119" t="s">
        <v>69</v>
      </c>
      <c r="AQ67" s="210" t="s">
        <v>103</v>
      </c>
      <c r="AR67" s="119" t="s">
        <v>68</v>
      </c>
    </row>
    <row r="68" spans="1:44">
      <c r="A68" s="126" t="b">
        <f>B68=E7</f>
        <v>1</v>
      </c>
      <c r="B68" s="120">
        <v>1.0571215841233979</v>
      </c>
      <c r="C68" s="120">
        <v>1.1573757754540852</v>
      </c>
      <c r="D68" s="120">
        <v>1.0249728836958854</v>
      </c>
      <c r="E68" s="120">
        <v>1</v>
      </c>
      <c r="F68" s="120">
        <v>1.1573757754540852</v>
      </c>
      <c r="G68" s="120">
        <v>1.0883073686216955</v>
      </c>
      <c r="H68" s="120">
        <v>1.0205366690644104</v>
      </c>
      <c r="I68" s="120">
        <v>1.0176615353953928</v>
      </c>
      <c r="J68" s="120">
        <v>1</v>
      </c>
      <c r="K68" s="120">
        <v>1</v>
      </c>
      <c r="L68" s="120">
        <v>1.1460708809908955</v>
      </c>
      <c r="M68" s="120">
        <v>1.0240642854420736</v>
      </c>
      <c r="N68" s="120">
        <v>1.1573757754540852</v>
      </c>
      <c r="O68" s="120">
        <v>1.1573757754540852</v>
      </c>
      <c r="P68" s="120">
        <v>1.0000793629609031</v>
      </c>
      <c r="Q68" s="120">
        <v>1.0012024691045918</v>
      </c>
      <c r="R68" s="120">
        <v>1.0000929057941899</v>
      </c>
      <c r="S68" s="120">
        <v>1.0005193169043585</v>
      </c>
      <c r="T68" s="120">
        <v>1.0199005812118678</v>
      </c>
      <c r="U68" s="120">
        <v>1.1652026064033398</v>
      </c>
      <c r="V68" s="120">
        <v>1.0108601638410164</v>
      </c>
      <c r="W68" s="120">
        <v>1.0057936603446134</v>
      </c>
      <c r="X68" s="120">
        <v>1.0080467504786299</v>
      </c>
      <c r="Y68" s="120">
        <v>1.0071213741735874</v>
      </c>
      <c r="Z68" s="120">
        <v>1.0033587136497801</v>
      </c>
      <c r="AA68" s="120">
        <v>1.0080467504786299</v>
      </c>
      <c r="AB68" s="120">
        <v>1.0040491248408465</v>
      </c>
      <c r="AC68" s="120">
        <v>1.0109075312091758</v>
      </c>
      <c r="AD68" s="120">
        <v>1.0149858735863422</v>
      </c>
      <c r="AE68" s="120">
        <v>1.0617723417217002</v>
      </c>
      <c r="AF68" s="120">
        <v>1.099290126033144</v>
      </c>
      <c r="AG68" s="120">
        <v>1.0617723417217002</v>
      </c>
      <c r="AH68" s="120">
        <v>1.0240642854420736</v>
      </c>
      <c r="AI68" s="120">
        <v>1.0274129471216349</v>
      </c>
      <c r="AJ68" s="120">
        <v>1.0240642854420736</v>
      </c>
      <c r="AK68" s="120">
        <v>1.0309575913287803</v>
      </c>
      <c r="AL68" s="120">
        <v>1.0002561259192781</v>
      </c>
      <c r="AM68" s="120">
        <v>1.0012024691045918</v>
      </c>
      <c r="AN68" s="120">
        <v>1.0000788692774678</v>
      </c>
      <c r="AO68" s="120">
        <v>1.0005193169043585</v>
      </c>
      <c r="AP68" s="120">
        <v>1.2575070699691739</v>
      </c>
      <c r="AQ68" s="683">
        <v>1.1652026064033398</v>
      </c>
      <c r="AR68" s="120">
        <v>1.0619279378574713</v>
      </c>
    </row>
    <row r="69" spans="1:44">
      <c r="A69" s="126" t="b">
        <f t="shared" ref="A69:A123" si="0">B69=E8</f>
        <v>0</v>
      </c>
      <c r="B69" s="120">
        <v>1.1019398758513346</v>
      </c>
      <c r="C69" s="120">
        <v>1.2290672963667579</v>
      </c>
      <c r="D69" s="120">
        <v>1.1140430272890578</v>
      </c>
      <c r="E69" s="120">
        <v>1.0886</v>
      </c>
      <c r="F69" s="120">
        <v>1.2290672963667579</v>
      </c>
      <c r="G69" s="120">
        <v>1.1500614634732755</v>
      </c>
      <c r="H69" s="120">
        <v>1.0599255410014339</v>
      </c>
      <c r="I69" s="120">
        <v>1.0640512711588621</v>
      </c>
      <c r="J69" s="120">
        <v>1.0455796879779751</v>
      </c>
      <c r="K69" s="120">
        <v>1.0831999999999999</v>
      </c>
      <c r="L69" s="120">
        <v>1.2189918272554037</v>
      </c>
      <c r="M69" s="120">
        <v>1.0706592104296881</v>
      </c>
      <c r="N69" s="120">
        <v>1.2290672963667579</v>
      </c>
      <c r="O69" s="120">
        <v>1.2290672963667579</v>
      </c>
      <c r="P69" s="120">
        <v>1.0803595049388306</v>
      </c>
      <c r="Q69" s="120">
        <v>1.0401333331670009</v>
      </c>
      <c r="R69" s="120">
        <v>1.0753954455782828</v>
      </c>
      <c r="S69" s="120">
        <v>1.0395689208551953</v>
      </c>
      <c r="T69" s="120">
        <v>1.0663060576570078</v>
      </c>
      <c r="U69" s="120">
        <v>1.2526530560183684</v>
      </c>
      <c r="V69" s="120">
        <v>1.0513956564110412</v>
      </c>
      <c r="W69" s="120">
        <v>1.0584238683404805</v>
      </c>
      <c r="X69" s="120">
        <v>1.0479677262443248</v>
      </c>
      <c r="Y69" s="120">
        <v>1.0514911285152722</v>
      </c>
      <c r="Z69" s="120">
        <v>1.0643711816732344</v>
      </c>
      <c r="AA69" s="120">
        <v>1.0479677262443248</v>
      </c>
      <c r="AB69" s="120">
        <v>1.0682455543671372</v>
      </c>
      <c r="AC69" s="120">
        <v>1.0561566056046501</v>
      </c>
      <c r="AD69" s="120">
        <v>1.0550946555718983</v>
      </c>
      <c r="AE69" s="120">
        <v>1.110288313029056</v>
      </c>
      <c r="AF69" s="120">
        <v>1.201051377183233</v>
      </c>
      <c r="AG69" s="120">
        <v>1.110288313029056</v>
      </c>
      <c r="AH69" s="120">
        <v>1.0706592104296881</v>
      </c>
      <c r="AI69" s="120">
        <v>1.0797973377210497</v>
      </c>
      <c r="AJ69" s="120">
        <v>1.0706592104296881</v>
      </c>
      <c r="AK69" s="120">
        <v>1.0785491195798371</v>
      </c>
      <c r="AL69" s="120">
        <v>1.074031980170939</v>
      </c>
      <c r="AM69" s="120">
        <v>1.0401333331670011</v>
      </c>
      <c r="AN69" s="120">
        <v>1.0765746128658531</v>
      </c>
      <c r="AO69" s="120">
        <v>1.0395689208551953</v>
      </c>
      <c r="AP69" s="120">
        <v>1.397116877980255</v>
      </c>
      <c r="AQ69" s="683">
        <v>1.2526530560183684</v>
      </c>
      <c r="AR69" s="120">
        <v>1.1092438142538912</v>
      </c>
    </row>
    <row r="70" spans="1:44">
      <c r="A70" s="126" t="b">
        <f t="shared" si="0"/>
        <v>0</v>
      </c>
      <c r="B70" s="120">
        <v>1.1545582822463181</v>
      </c>
      <c r="C70" s="120">
        <v>1.3170999101942686</v>
      </c>
      <c r="D70" s="120">
        <v>1.1802171831100277</v>
      </c>
      <c r="E70" s="120">
        <v>1.18091328</v>
      </c>
      <c r="F70" s="120">
        <v>1.3170999101942686</v>
      </c>
      <c r="G70" s="120">
        <v>1.2426176855307958</v>
      </c>
      <c r="H70" s="120">
        <v>1.1067069661347761</v>
      </c>
      <c r="I70" s="120">
        <v>1.1170976246960327</v>
      </c>
      <c r="J70" s="120">
        <v>1.0856531049250537</v>
      </c>
      <c r="K70" s="120">
        <v>1.26387776</v>
      </c>
      <c r="L70" s="120">
        <v>1.3075963177068863</v>
      </c>
      <c r="M70" s="120">
        <v>1.111665458189145</v>
      </c>
      <c r="N70" s="120">
        <v>1.3170999101942686</v>
      </c>
      <c r="O70" s="120">
        <v>1.3406863349220148</v>
      </c>
      <c r="P70" s="120">
        <v>1.250934939922564</v>
      </c>
      <c r="Q70" s="120">
        <v>1.0730040715283107</v>
      </c>
      <c r="R70" s="120">
        <v>1.2287592853244882</v>
      </c>
      <c r="S70" s="120">
        <v>1.0722805523728176</v>
      </c>
      <c r="T70" s="120">
        <v>1.1071455796652712</v>
      </c>
      <c r="U70" s="120">
        <v>1.3759208377631853</v>
      </c>
      <c r="V70" s="120">
        <v>1.0943977387582526</v>
      </c>
      <c r="W70" s="120">
        <v>1.1145989943983245</v>
      </c>
      <c r="X70" s="120">
        <v>1.0921964537978899</v>
      </c>
      <c r="Y70" s="120">
        <v>1.0996858091275388</v>
      </c>
      <c r="Z70" s="120">
        <v>1.1272845467976413</v>
      </c>
      <c r="AA70" s="120">
        <v>1.0921964537978899</v>
      </c>
      <c r="AB70" s="120">
        <v>1.1359531963969474</v>
      </c>
      <c r="AC70" s="120">
        <v>1.1020198061168738</v>
      </c>
      <c r="AD70" s="120">
        <v>1.0972952733541523</v>
      </c>
      <c r="AE70" s="120">
        <v>1.1406371403091138</v>
      </c>
      <c r="AF70" s="120">
        <v>1.3161743819774498</v>
      </c>
      <c r="AG70" s="120">
        <v>1.1406371403091138</v>
      </c>
      <c r="AH70" s="120">
        <v>1.111665458189145</v>
      </c>
      <c r="AI70" s="120">
        <v>1.1335449953546048</v>
      </c>
      <c r="AJ70" s="120">
        <v>1.111665458189145</v>
      </c>
      <c r="AK70" s="120">
        <v>1.1273565972950927</v>
      </c>
      <c r="AL70" s="120">
        <v>1.2222827757616634</v>
      </c>
      <c r="AM70" s="120">
        <v>1.0730040715283107</v>
      </c>
      <c r="AN70" s="120">
        <v>1.2340416065431812</v>
      </c>
      <c r="AO70" s="120">
        <v>1.0722805523728176</v>
      </c>
      <c r="AP70" s="120">
        <v>1.575062961669397</v>
      </c>
      <c r="AQ70" s="683">
        <v>1.3759208377631853</v>
      </c>
      <c r="AR70" s="120">
        <v>1.1645598011622966</v>
      </c>
    </row>
    <row r="71" spans="1:44">
      <c r="A71" s="126" t="b">
        <f t="shared" si="0"/>
        <v>0</v>
      </c>
      <c r="B71" s="120">
        <v>1.2734669552869013</v>
      </c>
      <c r="C71" s="120">
        <v>1.4386763555647153</v>
      </c>
      <c r="D71" s="120">
        <v>1.2457192367726344</v>
      </c>
      <c r="E71" s="120">
        <v>1.251413802816</v>
      </c>
      <c r="F71" s="120">
        <v>1.4386763555647153</v>
      </c>
      <c r="G71" s="120">
        <v>1.4000103360420104</v>
      </c>
      <c r="H71" s="120">
        <v>1.1831619077654867</v>
      </c>
      <c r="I71" s="120">
        <v>1.1931499733483744</v>
      </c>
      <c r="J71" s="120">
        <v>1.1306209850107067</v>
      </c>
      <c r="K71" s="120">
        <v>1.4212305411200001</v>
      </c>
      <c r="L71" s="120">
        <v>1.4256529465549415</v>
      </c>
      <c r="M71" s="120">
        <v>1.1579107412498135</v>
      </c>
      <c r="N71" s="120">
        <v>1.4386763555647153</v>
      </c>
      <c r="O71" s="120">
        <v>1.462383175291569</v>
      </c>
      <c r="P71" s="120">
        <v>1.4012909875902739</v>
      </c>
      <c r="Q71" s="120">
        <v>1.1366106489910772</v>
      </c>
      <c r="R71" s="120">
        <v>1.3676158489432704</v>
      </c>
      <c r="S71" s="120">
        <v>1.1368397865422835</v>
      </c>
      <c r="T71" s="120">
        <v>1.1532028357793465</v>
      </c>
      <c r="U71" s="120">
        <v>1.5492844934902739</v>
      </c>
      <c r="V71" s="120">
        <v>1.1204444049406992</v>
      </c>
      <c r="W71" s="120">
        <v>1.1696579741748729</v>
      </c>
      <c r="X71" s="120">
        <v>1.1421263590441912</v>
      </c>
      <c r="Y71" s="120">
        <v>1.1512730045190238</v>
      </c>
      <c r="Z71" s="120">
        <v>1.1847227440105583</v>
      </c>
      <c r="AA71" s="120">
        <v>1.1421263590441912</v>
      </c>
      <c r="AB71" s="120">
        <v>1.1960495577307844</v>
      </c>
      <c r="AC71" s="120">
        <v>1.1627047917318949</v>
      </c>
      <c r="AD71" s="120">
        <v>1.1606476318496246</v>
      </c>
      <c r="AE71" s="120">
        <v>1.220360825163872</v>
      </c>
      <c r="AF71" s="120">
        <v>1.4633420449115526</v>
      </c>
      <c r="AG71" s="120">
        <v>1.2203608251638722</v>
      </c>
      <c r="AH71" s="120">
        <v>1.1579107412498135</v>
      </c>
      <c r="AI71" s="120">
        <v>1.200286174212186</v>
      </c>
      <c r="AJ71" s="120">
        <v>1.1579107412498135</v>
      </c>
      <c r="AK71" s="120">
        <v>1.1935350988007101</v>
      </c>
      <c r="AL71" s="120">
        <v>1.3574753572662208</v>
      </c>
      <c r="AM71" s="120">
        <v>1.1366106489910772</v>
      </c>
      <c r="AN71" s="120">
        <v>1.3756384281563339</v>
      </c>
      <c r="AO71" s="120">
        <v>1.1368397865422835</v>
      </c>
      <c r="AP71" s="120">
        <v>1.8318798686898761</v>
      </c>
      <c r="AQ71" s="683">
        <v>1.5492844934902739</v>
      </c>
      <c r="AR71" s="120">
        <v>1.2298031799589308</v>
      </c>
    </row>
    <row r="72" spans="1:44">
      <c r="A72" s="126" t="b">
        <f t="shared" si="0"/>
        <v>0</v>
      </c>
      <c r="B72" s="120">
        <v>1.3346013106995391</v>
      </c>
      <c r="C72" s="120">
        <v>1.6114514336158126</v>
      </c>
      <c r="D72" s="120">
        <v>1.3922158190170963</v>
      </c>
      <c r="E72" s="120">
        <v>1.3652924588722559</v>
      </c>
      <c r="F72" s="120">
        <v>1.6114514336158126</v>
      </c>
      <c r="G72" s="120">
        <v>1.5706830434990164</v>
      </c>
      <c r="H72" s="120">
        <v>1.3520377181748844</v>
      </c>
      <c r="I72" s="120">
        <v>1.354891183549469</v>
      </c>
      <c r="J72" s="120">
        <v>1.1973080452737841</v>
      </c>
      <c r="K72" s="120">
        <v>1.5177320948620483</v>
      </c>
      <c r="L72" s="120">
        <v>1.5939160740121756</v>
      </c>
      <c r="M72" s="120">
        <v>1.2247221910199277</v>
      </c>
      <c r="N72" s="120">
        <v>1.6114514336158126</v>
      </c>
      <c r="O72" s="120">
        <v>1.6353185646203292</v>
      </c>
      <c r="P72" s="120">
        <v>1.4980300619845002</v>
      </c>
      <c r="Q72" s="120">
        <v>1.2333518594359369</v>
      </c>
      <c r="R72" s="120">
        <v>1.464704004078597</v>
      </c>
      <c r="S72" s="120">
        <v>1.2336793687039269</v>
      </c>
      <c r="T72" s="120">
        <v>1.2197426394038149</v>
      </c>
      <c r="U72" s="120">
        <v>1.7090786132360247</v>
      </c>
      <c r="V72" s="120">
        <v>1.2610601777607569</v>
      </c>
      <c r="W72" s="120">
        <v>1.3219610044401464</v>
      </c>
      <c r="X72" s="120">
        <v>1.3094523019600817</v>
      </c>
      <c r="Y72" s="120">
        <v>1.3115609434343924</v>
      </c>
      <c r="Z72" s="120">
        <v>1.3134538048749844</v>
      </c>
      <c r="AA72" s="120">
        <v>1.3094523019600817</v>
      </c>
      <c r="AB72" s="120">
        <v>1.3382879961793266</v>
      </c>
      <c r="AC72" s="120">
        <v>1.306129176979824</v>
      </c>
      <c r="AD72" s="120">
        <v>1.3275146124890653</v>
      </c>
      <c r="AE72" s="120">
        <v>1.3438778738213046</v>
      </c>
      <c r="AF72" s="120">
        <v>1.6673245068652645</v>
      </c>
      <c r="AG72" s="120">
        <v>1.343877873821304</v>
      </c>
      <c r="AH72" s="120">
        <v>1.2247221910199277</v>
      </c>
      <c r="AI72" s="120">
        <v>1.3056083977551309</v>
      </c>
      <c r="AJ72" s="120">
        <v>1.2247221910199277</v>
      </c>
      <c r="AK72" s="120">
        <v>1.297712122596733</v>
      </c>
      <c r="AL72" s="120">
        <v>1.4546235746528342</v>
      </c>
      <c r="AM72" s="120">
        <v>1.2333518594359367</v>
      </c>
      <c r="AN72" s="120">
        <v>1.47265368716165</v>
      </c>
      <c r="AO72" s="120">
        <v>1.2336793687039269</v>
      </c>
      <c r="AP72" s="120">
        <v>2.0638732053424631</v>
      </c>
      <c r="AQ72" s="683">
        <v>1.7090786132360247</v>
      </c>
      <c r="AR72" s="120">
        <v>1.330038980044133</v>
      </c>
    </row>
    <row r="73" spans="1:44">
      <c r="A73" s="126" t="b">
        <f t="shared" si="0"/>
        <v>0</v>
      </c>
      <c r="B73" s="120">
        <v>1.4080183547676068</v>
      </c>
      <c r="C73" s="120">
        <v>1.7346282902380836</v>
      </c>
      <c r="D73" s="120">
        <v>1.6166410090426522</v>
      </c>
      <c r="E73" s="120">
        <v>1.4777925574833299</v>
      </c>
      <c r="F73" s="120">
        <v>1.7346282902380836</v>
      </c>
      <c r="G73" s="120">
        <v>1.6684740500553736</v>
      </c>
      <c r="H73" s="120">
        <v>1.554028671204128</v>
      </c>
      <c r="I73" s="120">
        <v>1.5448753446609942</v>
      </c>
      <c r="J73" s="120">
        <v>1.3777913735087182</v>
      </c>
      <c r="K73" s="120">
        <v>1.618205959541916</v>
      </c>
      <c r="L73" s="120">
        <v>1.7156221266044134</v>
      </c>
      <c r="M73" s="120">
        <v>1.3326202160487837</v>
      </c>
      <c r="N73" s="120">
        <v>1.7346282902380836</v>
      </c>
      <c r="O73" s="120">
        <v>1.7244216893978881</v>
      </c>
      <c r="P73" s="120">
        <v>1.596301198891322</v>
      </c>
      <c r="Q73" s="120">
        <v>1.3038149150719727</v>
      </c>
      <c r="R73" s="120">
        <v>1.5592344192094258</v>
      </c>
      <c r="S73" s="120">
        <v>1.3039168356838977</v>
      </c>
      <c r="T73" s="120">
        <v>1.3272019659352912</v>
      </c>
      <c r="U73" s="120">
        <v>1.888747761627243</v>
      </c>
      <c r="V73" s="120">
        <v>1.5252522850016355</v>
      </c>
      <c r="W73" s="120">
        <v>1.5181880195459418</v>
      </c>
      <c r="X73" s="120">
        <v>1.5338385407000834</v>
      </c>
      <c r="Y73" s="120">
        <v>1.5255737258487079</v>
      </c>
      <c r="Z73" s="120">
        <v>1.4862740582551006</v>
      </c>
      <c r="AA73" s="120">
        <v>1.5338385407000834</v>
      </c>
      <c r="AB73" s="120">
        <v>1.5092252463043803</v>
      </c>
      <c r="AC73" s="120">
        <v>1.5069467718823106</v>
      </c>
      <c r="AD73" s="120">
        <v>1.543440858526514</v>
      </c>
      <c r="AE73" s="120">
        <v>1.431053081655477</v>
      </c>
      <c r="AF73" s="120">
        <v>1.8741666803047481</v>
      </c>
      <c r="AG73" s="120">
        <v>1.431313768263426</v>
      </c>
      <c r="AH73" s="120">
        <v>1.3326202160487837</v>
      </c>
      <c r="AI73" s="120">
        <v>1.4196714825275367</v>
      </c>
      <c r="AJ73" s="120">
        <v>1.3326202160487837</v>
      </c>
      <c r="AK73" s="120">
        <v>1.4119844956340895</v>
      </c>
      <c r="AL73" s="120">
        <v>1.5481050255399904</v>
      </c>
      <c r="AM73" s="120">
        <v>1.3038149150719724</v>
      </c>
      <c r="AN73" s="120">
        <v>1.5680666106251728</v>
      </c>
      <c r="AO73" s="120">
        <v>1.3039168356838977</v>
      </c>
      <c r="AP73" s="120">
        <v>2.3121315783621639</v>
      </c>
      <c r="AQ73" s="683">
        <v>1.888747761627243</v>
      </c>
      <c r="AR73" s="120">
        <v>1.4130033464213985</v>
      </c>
    </row>
    <row r="74" spans="1:44">
      <c r="A74" s="126" t="b">
        <f t="shared" si="0"/>
        <v>0</v>
      </c>
      <c r="B74" s="120">
        <v>1.502175274948208</v>
      </c>
      <c r="C74" s="120">
        <v>1.811864473780044</v>
      </c>
      <c r="D74" s="120">
        <v>1.6654635675157403</v>
      </c>
      <c r="E74" s="120">
        <v>1.5997104434757048</v>
      </c>
      <c r="F74" s="120">
        <v>1.811864473780044</v>
      </c>
      <c r="G74" s="120">
        <v>1.7498601900765036</v>
      </c>
      <c r="H74" s="120">
        <v>1.6378372010587894</v>
      </c>
      <c r="I74" s="120">
        <v>1.6342596331158992</v>
      </c>
      <c r="J74" s="120">
        <v>1.4808810033649433</v>
      </c>
      <c r="K74" s="120">
        <v>1.7007344634785537</v>
      </c>
      <c r="L74" s="120">
        <v>1.7969253192163723</v>
      </c>
      <c r="M74" s="120">
        <v>1.4204398882863987</v>
      </c>
      <c r="N74" s="120">
        <v>1.811864473780044</v>
      </c>
      <c r="O74" s="120">
        <v>1.8061951665162086</v>
      </c>
      <c r="P74" s="120">
        <v>1.678369853560379</v>
      </c>
      <c r="Q74" s="120">
        <v>1.3784417996426739</v>
      </c>
      <c r="R74" s="120">
        <v>1.6404751488425888</v>
      </c>
      <c r="S74" s="120">
        <v>1.3784534293241724</v>
      </c>
      <c r="T74" s="120">
        <v>1.414664575490427</v>
      </c>
      <c r="U74" s="120">
        <v>2.0374788064262219</v>
      </c>
      <c r="V74" s="120">
        <v>1.6283593394677462</v>
      </c>
      <c r="W74" s="120">
        <v>1.6244702124944914</v>
      </c>
      <c r="X74" s="120">
        <v>1.6341679409559247</v>
      </c>
      <c r="Y74" s="120">
        <v>1.6280300441337188</v>
      </c>
      <c r="Z74" s="120">
        <v>1.5963218861634585</v>
      </c>
      <c r="AA74" s="120">
        <v>1.6341679409559247</v>
      </c>
      <c r="AB74" s="120">
        <v>1.6207327880102993</v>
      </c>
      <c r="AC74" s="120">
        <v>1.599832273161083</v>
      </c>
      <c r="AD74" s="120">
        <v>1.6297604290878971</v>
      </c>
      <c r="AE74" s="120">
        <v>1.5431301376398023</v>
      </c>
      <c r="AF74" s="120">
        <v>2.0551558184019654</v>
      </c>
      <c r="AG74" s="120">
        <v>1.5446567247541994</v>
      </c>
      <c r="AH74" s="120">
        <v>1.4204398882863987</v>
      </c>
      <c r="AI74" s="120">
        <v>1.5066737501254182</v>
      </c>
      <c r="AJ74" s="120">
        <v>1.4204398882863987</v>
      </c>
      <c r="AK74" s="120">
        <v>1.4946929452403996</v>
      </c>
      <c r="AL74" s="120">
        <v>1.6291155252647473</v>
      </c>
      <c r="AM74" s="120">
        <v>1.3784417996426739</v>
      </c>
      <c r="AN74" s="120">
        <v>1.6495062353192553</v>
      </c>
      <c r="AO74" s="120">
        <v>1.3784534293241724</v>
      </c>
      <c r="AP74" s="120">
        <v>2.5135897533021674</v>
      </c>
      <c r="AQ74" s="683">
        <v>2.0374788064262219</v>
      </c>
      <c r="AR74" s="120">
        <v>1.5215564672333297</v>
      </c>
    </row>
    <row r="75" spans="1:44">
      <c r="A75" s="126" t="b">
        <f t="shared" si="0"/>
        <v>0</v>
      </c>
      <c r="B75" s="120">
        <v>1.589150064756252</v>
      </c>
      <c r="C75" s="120">
        <v>1.9221485174115889</v>
      </c>
      <c r="D75" s="120">
        <v>1.6914447991689858</v>
      </c>
      <c r="E75" s="120">
        <v>1.6467419305138906</v>
      </c>
      <c r="F75" s="120">
        <v>1.9221485174115889</v>
      </c>
      <c r="G75" s="120">
        <v>1.862432884466269</v>
      </c>
      <c r="H75" s="120">
        <v>1.7010233520353137</v>
      </c>
      <c r="I75" s="120">
        <v>1.6952400027336134</v>
      </c>
      <c r="J75" s="120">
        <v>1.4808810033649433</v>
      </c>
      <c r="K75" s="120">
        <v>1.7218235708256877</v>
      </c>
      <c r="L75" s="120">
        <v>1.9028763054744222</v>
      </c>
      <c r="M75" s="120">
        <v>1.4710075483093945</v>
      </c>
      <c r="N75" s="120">
        <v>1.9221485174115889</v>
      </c>
      <c r="O75" s="120">
        <v>1.9414996566994236</v>
      </c>
      <c r="P75" s="120">
        <v>1.7039280013224889</v>
      </c>
      <c r="Q75" s="120">
        <v>1.4546165489273377</v>
      </c>
      <c r="R75" s="120">
        <v>1.6735393542629406</v>
      </c>
      <c r="S75" s="120">
        <v>1.4553419224100159</v>
      </c>
      <c r="T75" s="120">
        <v>1.4650266343778862</v>
      </c>
      <c r="U75" s="120">
        <v>2.2479866789983469</v>
      </c>
      <c r="V75" s="120">
        <v>1.6754189243783639</v>
      </c>
      <c r="W75" s="120">
        <v>1.6948572396767196</v>
      </c>
      <c r="X75" s="120">
        <v>1.7152440942788649</v>
      </c>
      <c r="Y75" s="120">
        <v>1.7037331199171688</v>
      </c>
      <c r="Z75" s="120">
        <v>1.6487717142364848</v>
      </c>
      <c r="AA75" s="120">
        <v>1.7152440942788649</v>
      </c>
      <c r="AB75" s="120">
        <v>1.6849918218623781</v>
      </c>
      <c r="AC75" s="120">
        <v>1.6454933568430763</v>
      </c>
      <c r="AD75" s="120">
        <v>1.6881859430247794</v>
      </c>
      <c r="AE75" s="120">
        <v>1.6492420203127194</v>
      </c>
      <c r="AF75" s="120">
        <v>2.1640158569808174</v>
      </c>
      <c r="AG75" s="120">
        <v>1.6545774118534216</v>
      </c>
      <c r="AH75" s="120">
        <v>1.4710075483093945</v>
      </c>
      <c r="AI75" s="120">
        <v>1.5662493098199182</v>
      </c>
      <c r="AJ75" s="120">
        <v>1.4710075483093945</v>
      </c>
      <c r="AK75" s="120">
        <v>1.5557134497763698</v>
      </c>
      <c r="AL75" s="120">
        <v>1.6641855806974077</v>
      </c>
      <c r="AM75" s="120">
        <v>1.4546165489273373</v>
      </c>
      <c r="AN75" s="120">
        <v>1.6805810534248369</v>
      </c>
      <c r="AO75" s="120">
        <v>1.4539833023666195</v>
      </c>
      <c r="AP75" s="120">
        <v>2.8016981642951828</v>
      </c>
      <c r="AQ75" s="683">
        <v>2.2479866789983469</v>
      </c>
      <c r="AR75" s="120">
        <v>1.5935617643804838</v>
      </c>
    </row>
    <row r="76" spans="1:44">
      <c r="A76" s="126" t="b">
        <f t="shared" si="0"/>
        <v>0</v>
      </c>
      <c r="B76" s="120">
        <v>1.6654227629200407</v>
      </c>
      <c r="C76" s="120">
        <v>1.9295684701040119</v>
      </c>
      <c r="D76" s="120">
        <v>1.7388052535457175</v>
      </c>
      <c r="E76" s="120">
        <v>1.742088288290645</v>
      </c>
      <c r="F76" s="120">
        <v>1.9295684701040119</v>
      </c>
      <c r="G76" s="120">
        <v>2.0155353599181502</v>
      </c>
      <c r="H76" s="120">
        <v>1.8004419467074739</v>
      </c>
      <c r="I76" s="120">
        <v>1.7942744676026627</v>
      </c>
      <c r="J76" s="120">
        <v>1.6023248699908228</v>
      </c>
      <c r="K76" s="120">
        <v>1.7975838079420181</v>
      </c>
      <c r="L76" s="120">
        <v>1.9170809025294182</v>
      </c>
      <c r="M76" s="120">
        <v>1.5266116336354896</v>
      </c>
      <c r="N76" s="120">
        <v>1.9295684701040119</v>
      </c>
      <c r="O76" s="120">
        <v>1.9295684701040119</v>
      </c>
      <c r="P76" s="120">
        <v>1.7737927487267819</v>
      </c>
      <c r="Q76" s="120">
        <v>1.4524827554609259</v>
      </c>
      <c r="R76" s="120">
        <v>1.7333617942225394</v>
      </c>
      <c r="S76" s="120">
        <v>1.4522118244747872</v>
      </c>
      <c r="T76" s="120">
        <v>1.5204046411573704</v>
      </c>
      <c r="U76" s="120">
        <v>2.2604404627915735</v>
      </c>
      <c r="V76" s="120">
        <v>1.7543311557165848</v>
      </c>
      <c r="W76" s="120">
        <v>1.7675400291005239</v>
      </c>
      <c r="X76" s="120">
        <v>1.7777020905970427</v>
      </c>
      <c r="Y76" s="120">
        <v>1.7710151074273852</v>
      </c>
      <c r="Z76" s="120">
        <v>1.7360038509708358</v>
      </c>
      <c r="AA76" s="120">
        <v>1.7777020905970427</v>
      </c>
      <c r="AB76" s="120">
        <v>1.7641331220212124</v>
      </c>
      <c r="AC76" s="120">
        <v>1.7455541141189752</v>
      </c>
      <c r="AD76" s="120">
        <v>1.7819646863536163</v>
      </c>
      <c r="AE76" s="120">
        <v>1.6990004347480419</v>
      </c>
      <c r="AF76" s="120">
        <v>2.3371346476127322</v>
      </c>
      <c r="AG76" s="120">
        <v>1.6981680015795468</v>
      </c>
      <c r="AH76" s="120">
        <v>1.5266116336354896</v>
      </c>
      <c r="AI76" s="120">
        <v>1.6155031261065196</v>
      </c>
      <c r="AJ76" s="120">
        <v>1.5266116336354896</v>
      </c>
      <c r="AK76" s="120">
        <v>1.5992900678054915</v>
      </c>
      <c r="AL76" s="120">
        <v>1.7213065387542106</v>
      </c>
      <c r="AM76" s="120">
        <v>1.4524827554609259</v>
      </c>
      <c r="AN76" s="120">
        <v>1.7429983414781494</v>
      </c>
      <c r="AO76" s="120">
        <v>1.4522118244747872</v>
      </c>
      <c r="AP76" s="120">
        <v>2.8372915483032322</v>
      </c>
      <c r="AQ76" s="683">
        <v>2.2604404627915735</v>
      </c>
      <c r="AR76" s="120">
        <v>1.6878771004004935</v>
      </c>
    </row>
    <row r="77" spans="1:44">
      <c r="A77" s="126" t="b">
        <f t="shared" si="0"/>
        <v>0</v>
      </c>
      <c r="B77" s="120">
        <v>1.8266317844355224</v>
      </c>
      <c r="C77" s="120">
        <v>2.1279979318867466</v>
      </c>
      <c r="D77" s="120">
        <v>1.8723454970180284</v>
      </c>
      <c r="E77" s="120">
        <v>1.8769259218043408</v>
      </c>
      <c r="F77" s="120">
        <v>2.1279979318867466</v>
      </c>
      <c r="G77" s="120">
        <v>2.2045829617462003</v>
      </c>
      <c r="H77" s="120">
        <v>1.9448589827393454</v>
      </c>
      <c r="I77" s="120">
        <v>1.9375734479508451</v>
      </c>
      <c r="J77" s="120">
        <v>1.7161211379626795</v>
      </c>
      <c r="K77" s="120">
        <v>1.923055157736371</v>
      </c>
      <c r="L77" s="120">
        <v>2.1111308098470234</v>
      </c>
      <c r="M77" s="120">
        <v>1.630421224722703</v>
      </c>
      <c r="N77" s="120">
        <v>2.1279979318867466</v>
      </c>
      <c r="O77" s="120">
        <v>2.1279979318867466</v>
      </c>
      <c r="P77" s="120">
        <v>1.8959709662404765</v>
      </c>
      <c r="Q77" s="120">
        <v>1.5336235610798645</v>
      </c>
      <c r="R77" s="120">
        <v>1.8501689475461947</v>
      </c>
      <c r="S77" s="120">
        <v>1.533996949186879</v>
      </c>
      <c r="T77" s="120">
        <v>1.6237921567560716</v>
      </c>
      <c r="U77" s="120">
        <v>2.4685259614804731</v>
      </c>
      <c r="V77" s="120">
        <v>1.8790641008880338</v>
      </c>
      <c r="W77" s="120">
        <v>1.9079697686401684</v>
      </c>
      <c r="X77" s="120">
        <v>1.9205828221895866</v>
      </c>
      <c r="Y77" s="120">
        <v>1.9124903756912077</v>
      </c>
      <c r="Z77" s="120">
        <v>1.8707475602904957</v>
      </c>
      <c r="AA77" s="120">
        <v>1.9205828221895866</v>
      </c>
      <c r="AB77" s="120">
        <v>1.9034395663798342</v>
      </c>
      <c r="AC77" s="120">
        <v>1.8792995927666984</v>
      </c>
      <c r="AD77" s="120">
        <v>1.920832573351835</v>
      </c>
      <c r="AE77" s="120">
        <v>1.8419943661939679</v>
      </c>
      <c r="AF77" s="120">
        <v>2.5656239382756603</v>
      </c>
      <c r="AG77" s="120">
        <v>1.8914293674561891</v>
      </c>
      <c r="AH77" s="120">
        <v>1.630421224722703</v>
      </c>
      <c r="AI77" s="120">
        <v>1.7398833177648034</v>
      </c>
      <c r="AJ77" s="120">
        <v>1.630421224722703</v>
      </c>
      <c r="AK77" s="120">
        <v>1.7222694109150951</v>
      </c>
      <c r="AL77" s="120">
        <v>1.836341533824706</v>
      </c>
      <c r="AM77" s="120">
        <v>1.5336235610798645</v>
      </c>
      <c r="AN77" s="120">
        <v>1.8610901281516987</v>
      </c>
      <c r="AO77" s="120">
        <v>1.533996949186879</v>
      </c>
      <c r="AP77" s="120">
        <v>3.1904559528063796</v>
      </c>
      <c r="AQ77" s="683">
        <v>2.4685259614804731</v>
      </c>
      <c r="AR77" s="120">
        <v>1.8872261565987181</v>
      </c>
    </row>
    <row r="78" spans="1:44">
      <c r="A78" s="126" t="b">
        <f t="shared" si="0"/>
        <v>0</v>
      </c>
      <c r="B78" s="120">
        <v>2.0432904760708737</v>
      </c>
      <c r="C78" s="120">
        <v>2.173112492317316</v>
      </c>
      <c r="D78" s="120">
        <v>2.0466608627904068</v>
      </c>
      <c r="E78" s="120">
        <v>1.9902922474813229</v>
      </c>
      <c r="F78" s="120">
        <v>2.173112492317316</v>
      </c>
      <c r="G78" s="120">
        <v>2.41434665475045</v>
      </c>
      <c r="H78" s="120">
        <v>2.1329543334744039</v>
      </c>
      <c r="I78" s="120">
        <v>2.1151352815332198</v>
      </c>
      <c r="J78" s="120">
        <v>1.9837870908534714</v>
      </c>
      <c r="K78" s="120">
        <v>2.0374769396216852</v>
      </c>
      <c r="L78" s="120">
        <v>2.1606907578698324</v>
      </c>
      <c r="M78" s="120">
        <v>1.7725939555185228</v>
      </c>
      <c r="N78" s="120">
        <v>2.173112492317316</v>
      </c>
      <c r="O78" s="120">
        <v>2.1669564025240389</v>
      </c>
      <c r="P78" s="120">
        <v>2.0113307014345199</v>
      </c>
      <c r="Q78" s="120">
        <v>1.6561396544831388</v>
      </c>
      <c r="R78" s="120">
        <v>1.9669337904878146</v>
      </c>
      <c r="S78" s="120">
        <v>1.6562400315727723</v>
      </c>
      <c r="T78" s="120">
        <v>1.7653868328252011</v>
      </c>
      <c r="U78" s="120">
        <v>2.5199933486083044</v>
      </c>
      <c r="V78" s="120">
        <v>2.0500589340688449</v>
      </c>
      <c r="W78" s="120">
        <v>2.0790340385676211</v>
      </c>
      <c r="X78" s="120">
        <v>2.1087242738103003</v>
      </c>
      <c r="Y78" s="120">
        <v>2.0966202346460934</v>
      </c>
      <c r="Z78" s="120">
        <v>2.0436495227484595</v>
      </c>
      <c r="AA78" s="120">
        <v>2.1087242738103003</v>
      </c>
      <c r="AB78" s="120">
        <v>2.0543970043833029</v>
      </c>
      <c r="AC78" s="120">
        <v>2.0749073073928495</v>
      </c>
      <c r="AD78" s="120">
        <v>2.1044358257991864</v>
      </c>
      <c r="AE78" s="120">
        <v>2.0365897905868584</v>
      </c>
      <c r="AF78" s="120">
        <v>2.8445711624929633</v>
      </c>
      <c r="AG78" s="120">
        <v>2.0979204955288306</v>
      </c>
      <c r="AH78" s="120">
        <v>1.7725939555185228</v>
      </c>
      <c r="AI78" s="120">
        <v>1.9127580558185964</v>
      </c>
      <c r="AJ78" s="120">
        <v>1.7725939555185228</v>
      </c>
      <c r="AK78" s="120">
        <v>1.9019934373575074</v>
      </c>
      <c r="AL78" s="120">
        <v>1.9535736872830587</v>
      </c>
      <c r="AM78" s="120">
        <v>1.6561396544831393</v>
      </c>
      <c r="AN78" s="120">
        <v>1.9775289710880137</v>
      </c>
      <c r="AO78" s="120">
        <v>1.6562400315727723</v>
      </c>
      <c r="AP78" s="120">
        <v>3.2903272691926673</v>
      </c>
      <c r="AQ78" s="683">
        <v>2.5199933486083044</v>
      </c>
      <c r="AR78" s="120">
        <v>2.0798349315556877</v>
      </c>
    </row>
    <row r="79" spans="1:44">
      <c r="A79" s="126" t="b">
        <f t="shared" si="0"/>
        <v>0</v>
      </c>
      <c r="B79" s="120">
        <v>2.2795585304606458</v>
      </c>
      <c r="C79" s="120">
        <v>2.5087463026326553</v>
      </c>
      <c r="D79" s="120">
        <v>2.2634022481599114</v>
      </c>
      <c r="E79" s="120">
        <v>2.1262292079842973</v>
      </c>
      <c r="F79" s="120">
        <v>2.5087463026326553</v>
      </c>
      <c r="G79" s="120">
        <v>2.6130588197980935</v>
      </c>
      <c r="H79" s="120">
        <v>2.3526828669494773</v>
      </c>
      <c r="I79" s="120">
        <v>2.3227368524309915</v>
      </c>
      <c r="J79" s="120">
        <v>3.6999082288161507</v>
      </c>
      <c r="K79" s="120">
        <v>2.1831565408046356</v>
      </c>
      <c r="L79" s="120">
        <v>2.4813665077045655</v>
      </c>
      <c r="M79" s="120">
        <v>1.9604889148034863</v>
      </c>
      <c r="N79" s="120">
        <v>2.5087463026326553</v>
      </c>
      <c r="O79" s="120">
        <v>2.5087463026326553</v>
      </c>
      <c r="P79" s="120">
        <v>2.1556450163322958</v>
      </c>
      <c r="Q79" s="120">
        <v>1.7808453024368271</v>
      </c>
      <c r="R79" s="120">
        <v>2.1093167593911843</v>
      </c>
      <c r="S79" s="120">
        <v>1.7828874513661845</v>
      </c>
      <c r="T79" s="120">
        <v>1.9525178371046727</v>
      </c>
      <c r="U79" s="120">
        <v>2.7376250352540583</v>
      </c>
      <c r="V79" s="120">
        <v>2.2671601751867358</v>
      </c>
      <c r="W79" s="120">
        <v>2.3498899192684481</v>
      </c>
      <c r="X79" s="120">
        <v>2.3797462229891981</v>
      </c>
      <c r="Y79" s="120">
        <v>2.3981914093214516</v>
      </c>
      <c r="Z79" s="120">
        <v>2.5147063798619067</v>
      </c>
      <c r="AA79" s="120">
        <v>2.3797462229891981</v>
      </c>
      <c r="AB79" s="120">
        <v>2.257020893556815</v>
      </c>
      <c r="AC79" s="120">
        <v>2.5828369898150956</v>
      </c>
      <c r="AD79" s="120">
        <v>2.3245732691055276</v>
      </c>
      <c r="AE79" s="120">
        <v>2.2035071216142073</v>
      </c>
      <c r="AF79" s="120">
        <v>3.1696523509646068</v>
      </c>
      <c r="AG79" s="120">
        <v>2.3415591583742295</v>
      </c>
      <c r="AH79" s="120">
        <v>1.9604889148034863</v>
      </c>
      <c r="AI79" s="120">
        <v>2.1066377840830413</v>
      </c>
      <c r="AJ79" s="120">
        <v>1.9604889148034863</v>
      </c>
      <c r="AK79" s="120">
        <v>2.1029145097035822</v>
      </c>
      <c r="AL79" s="120">
        <v>2.0948346441761565</v>
      </c>
      <c r="AM79" s="120">
        <v>1.7808453024368271</v>
      </c>
      <c r="AN79" s="120">
        <v>2.1204134964441348</v>
      </c>
      <c r="AO79" s="120">
        <v>1.7828874513661845</v>
      </c>
      <c r="AP79" s="120">
        <v>3.7281856808564173</v>
      </c>
      <c r="AQ79" s="683">
        <v>2.7376250352540583</v>
      </c>
      <c r="AR79" s="120">
        <v>2.2912539730085784</v>
      </c>
    </row>
    <row r="80" spans="1:44">
      <c r="A80" s="126" t="b">
        <f t="shared" si="0"/>
        <v>0</v>
      </c>
      <c r="B80" s="120">
        <v>2.5377331646448043</v>
      </c>
      <c r="C80" s="120">
        <v>2.6573136975215235</v>
      </c>
      <c r="D80" s="120">
        <v>2.5035492266896782</v>
      </c>
      <c r="E80" s="120">
        <v>2.3112111490789311</v>
      </c>
      <c r="F80" s="120">
        <v>2.6573136975215235</v>
      </c>
      <c r="G80" s="120">
        <v>2.7692986858885673</v>
      </c>
      <c r="H80" s="120">
        <v>2.5680458560313304</v>
      </c>
      <c r="I80" s="120">
        <v>2.5337618401578395</v>
      </c>
      <c r="J80" s="120">
        <v>4.284796573875802</v>
      </c>
      <c r="K80" s="120">
        <v>2.5294051681762508</v>
      </c>
      <c r="L80" s="120">
        <v>2.6324622310897454</v>
      </c>
      <c r="M80" s="120">
        <v>2.1683007397726564</v>
      </c>
      <c r="N80" s="120">
        <v>2.6573136975215235</v>
      </c>
      <c r="O80" s="120">
        <v>2.6573136975215235</v>
      </c>
      <c r="P80" s="120">
        <v>2.508756332446743</v>
      </c>
      <c r="Q80" s="120">
        <v>2.2034456407191483</v>
      </c>
      <c r="R80" s="120">
        <v>2.4731120051245719</v>
      </c>
      <c r="S80" s="120">
        <v>2.2034456407191483</v>
      </c>
      <c r="T80" s="120">
        <v>2.1594847278377682</v>
      </c>
      <c r="U80" s="120">
        <v>2.8268555701901361</v>
      </c>
      <c r="V80" s="120">
        <v>2.5077058697740489</v>
      </c>
      <c r="W80" s="120">
        <v>2.5579176135311852</v>
      </c>
      <c r="X80" s="120">
        <v>2.5870124725535728</v>
      </c>
      <c r="Y80" s="120">
        <v>2.6114489555565839</v>
      </c>
      <c r="Z80" s="120">
        <v>2.7633529578141363</v>
      </c>
      <c r="AA80" s="120">
        <v>2.5870124725535728</v>
      </c>
      <c r="AB80" s="120">
        <v>2.4530460877592972</v>
      </c>
      <c r="AC80" s="120">
        <v>2.8575207898858253</v>
      </c>
      <c r="AD80" s="120">
        <v>2.5462419845682209</v>
      </c>
      <c r="AE80" s="120">
        <v>2.3439278177524536</v>
      </c>
      <c r="AF80" s="120">
        <v>3.5023448620176825</v>
      </c>
      <c r="AG80" s="120">
        <v>2.5841863316105784</v>
      </c>
      <c r="AH80" s="120">
        <v>2.1683007397726564</v>
      </c>
      <c r="AI80" s="120">
        <v>2.2971154229070621</v>
      </c>
      <c r="AJ80" s="120">
        <v>2.1683007397726564</v>
      </c>
      <c r="AK80" s="120">
        <v>2.2941357516785392</v>
      </c>
      <c r="AL80" s="120">
        <v>2.4622686101603417</v>
      </c>
      <c r="AM80" s="120">
        <v>2.2034456407191483</v>
      </c>
      <c r="AN80" s="120">
        <v>2.4816816394377148</v>
      </c>
      <c r="AO80" s="120">
        <v>2.2034456407191483</v>
      </c>
      <c r="AP80" s="120">
        <v>3.9372961846515127</v>
      </c>
      <c r="AQ80" s="683">
        <v>2.8268555701901361</v>
      </c>
      <c r="AR80" s="120">
        <v>2.5559113759184702</v>
      </c>
    </row>
    <row r="81" spans="1:44">
      <c r="A81" s="126" t="b">
        <f t="shared" si="0"/>
        <v>0</v>
      </c>
      <c r="B81" s="120">
        <v>2.756697483750159</v>
      </c>
      <c r="C81" s="120">
        <v>2.8047923703809303</v>
      </c>
      <c r="D81" s="120">
        <v>2.6938189679180939</v>
      </c>
      <c r="E81" s="120">
        <v>2.4380966411633644</v>
      </c>
      <c r="F81" s="120">
        <v>2.8047923703809303</v>
      </c>
      <c r="G81" s="120">
        <v>2.8880622577876647</v>
      </c>
      <c r="H81" s="120">
        <v>2.732610845085933</v>
      </c>
      <c r="I81" s="120">
        <v>2.6928202950529965</v>
      </c>
      <c r="J81" s="120">
        <v>4.7678189048638719</v>
      </c>
      <c r="K81" s="120">
        <v>2.8761866167332149</v>
      </c>
      <c r="L81" s="120">
        <v>2.7782268360588729</v>
      </c>
      <c r="M81" s="120">
        <v>2.333091595995378</v>
      </c>
      <c r="N81" s="120">
        <v>2.8047923703809303</v>
      </c>
      <c r="O81" s="120">
        <v>2.8047923703809303</v>
      </c>
      <c r="P81" s="120">
        <v>2.8425900148389669</v>
      </c>
      <c r="Q81" s="120">
        <v>2.3709075094138039</v>
      </c>
      <c r="R81" s="120">
        <v>2.7896758073580483</v>
      </c>
      <c r="S81" s="120">
        <v>2.3709075094138039</v>
      </c>
      <c r="T81" s="120">
        <v>2.3236055671534386</v>
      </c>
      <c r="U81" s="120">
        <v>2.9116092117148211</v>
      </c>
      <c r="V81" s="120">
        <v>2.6982915158768765</v>
      </c>
      <c r="W81" s="120">
        <v>2.7055497095766139</v>
      </c>
      <c r="X81" s="120">
        <v>2.7347358669751123</v>
      </c>
      <c r="Y81" s="120">
        <v>2.763871426484394</v>
      </c>
      <c r="Z81" s="120">
        <v>2.9432897015088675</v>
      </c>
      <c r="AA81" s="120">
        <v>2.7347358669751123</v>
      </c>
      <c r="AB81" s="120">
        <v>2.5927255317965492</v>
      </c>
      <c r="AC81" s="120">
        <v>3.0701029089167657</v>
      </c>
      <c r="AD81" s="120">
        <v>2.716367280121557</v>
      </c>
      <c r="AE81" s="120">
        <v>2.4452357171402541</v>
      </c>
      <c r="AF81" s="120">
        <v>3.8304318589964708</v>
      </c>
      <c r="AG81" s="120">
        <v>2.8461104295550181</v>
      </c>
      <c r="AH81" s="120">
        <v>2.333091595995378</v>
      </c>
      <c r="AI81" s="120">
        <v>2.4194731266816296</v>
      </c>
      <c r="AJ81" s="120">
        <v>2.333091595995378</v>
      </c>
      <c r="AK81" s="120">
        <v>2.4150278371176293</v>
      </c>
      <c r="AL81" s="120">
        <v>2.7678009342401149</v>
      </c>
      <c r="AM81" s="120">
        <v>2.3709075094138039</v>
      </c>
      <c r="AN81" s="120">
        <v>2.7988918496845185</v>
      </c>
      <c r="AO81" s="120">
        <v>2.3709075094138039</v>
      </c>
      <c r="AP81" s="120">
        <v>4.1301778481153768</v>
      </c>
      <c r="AQ81" s="683">
        <v>2.9116092117148211</v>
      </c>
      <c r="AR81" s="120">
        <v>2.7750295114938734</v>
      </c>
    </row>
    <row r="82" spans="1:44">
      <c r="A82" s="126" t="b">
        <f t="shared" si="0"/>
        <v>0</v>
      </c>
      <c r="B82" s="120">
        <v>2.9324802847097891</v>
      </c>
      <c r="C82" s="120">
        <v>2.9046023469098876</v>
      </c>
      <c r="D82" s="120">
        <v>2.8258160973460797</v>
      </c>
      <c r="E82" s="120">
        <v>2.5429347967333888</v>
      </c>
      <c r="F82" s="120">
        <v>2.9046023469098876</v>
      </c>
      <c r="G82" s="120">
        <v>2.9892920886725771</v>
      </c>
      <c r="H82" s="120">
        <v>2.8532837932631976</v>
      </c>
      <c r="I82" s="120">
        <v>2.8112711816065699</v>
      </c>
      <c r="J82" s="120">
        <v>4.296420923829916</v>
      </c>
      <c r="K82" s="120">
        <v>2.9912340814025438</v>
      </c>
      <c r="L82" s="120">
        <v>2.8784282835734727</v>
      </c>
      <c r="M82" s="120">
        <v>2.4474130841991517</v>
      </c>
      <c r="N82" s="120">
        <v>2.9046023469098876</v>
      </c>
      <c r="O82" s="120">
        <v>2.8770938166497113</v>
      </c>
      <c r="P82" s="120">
        <v>2.9587559872868812</v>
      </c>
      <c r="Q82" s="120">
        <v>2.4969406973742423</v>
      </c>
      <c r="R82" s="120">
        <v>2.9067564210643164</v>
      </c>
      <c r="S82" s="120">
        <v>2.4944580497510911</v>
      </c>
      <c r="T82" s="120">
        <v>2.4374622399439572</v>
      </c>
      <c r="U82" s="120">
        <v>2.9592643478876273</v>
      </c>
      <c r="V82" s="120">
        <v>2.8305078001548436</v>
      </c>
      <c r="W82" s="120">
        <v>2.8116357898947069</v>
      </c>
      <c r="X82" s="120">
        <v>2.8503667696041934</v>
      </c>
      <c r="Y82" s="120">
        <v>2.8702450407975739</v>
      </c>
      <c r="Z82" s="120">
        <v>3.0102217010524295</v>
      </c>
      <c r="AA82" s="120">
        <v>2.8528204681370748</v>
      </c>
      <c r="AB82" s="120">
        <v>2.7041045320202617</v>
      </c>
      <c r="AC82" s="120">
        <v>3.1252305062186361</v>
      </c>
      <c r="AD82" s="120">
        <v>2.8392886637228547</v>
      </c>
      <c r="AE82" s="120">
        <v>2.5376191698265904</v>
      </c>
      <c r="AF82" s="120">
        <v>4.0435110808826069</v>
      </c>
      <c r="AG82" s="120">
        <v>2.9561489039379358</v>
      </c>
      <c r="AH82" s="120">
        <v>2.4474130841991517</v>
      </c>
      <c r="AI82" s="120">
        <v>2.5338578351515362</v>
      </c>
      <c r="AJ82" s="120">
        <v>2.4474130841991517</v>
      </c>
      <c r="AK82" s="120">
        <v>2.5235370383643043</v>
      </c>
      <c r="AL82" s="120">
        <v>2.8893809846737732</v>
      </c>
      <c r="AM82" s="120">
        <v>2.5096028043331593</v>
      </c>
      <c r="AN82" s="120">
        <v>2.9177157075118991</v>
      </c>
      <c r="AO82" s="120">
        <v>2.5041766885878771</v>
      </c>
      <c r="AP82" s="120">
        <v>4.2279135781712824</v>
      </c>
      <c r="AQ82" s="683">
        <v>2.9592643478876273</v>
      </c>
      <c r="AR82" s="120">
        <v>2.9346868768343275</v>
      </c>
    </row>
    <row r="83" spans="1:44">
      <c r="A83" s="126" t="b">
        <f t="shared" si="0"/>
        <v>0</v>
      </c>
      <c r="B83" s="120">
        <v>3.0504055433351267</v>
      </c>
      <c r="C83" s="120">
        <v>3.0038148883725628</v>
      </c>
      <c r="D83" s="120">
        <v>2.9331971090452313</v>
      </c>
      <c r="E83" s="120">
        <v>2.6192228406353908</v>
      </c>
      <c r="F83" s="120">
        <v>3.0038148883725628</v>
      </c>
      <c r="G83" s="120">
        <v>3.0600524347204834</v>
      </c>
      <c r="H83" s="120">
        <v>2.954900968640048</v>
      </c>
      <c r="I83" s="120">
        <v>2.9091736710904543</v>
      </c>
      <c r="J83" s="120">
        <v>3.7029672682777597</v>
      </c>
      <c r="K83" s="120">
        <v>3.0809711038446204</v>
      </c>
      <c r="L83" s="120">
        <v>2.9758553388867393</v>
      </c>
      <c r="M83" s="120">
        <v>2.5404147813987197</v>
      </c>
      <c r="N83" s="120">
        <v>3.0038148883725628</v>
      </c>
      <c r="O83" s="120">
        <v>2.9721900396849121</v>
      </c>
      <c r="P83" s="120">
        <v>3.0491805673287304</v>
      </c>
      <c r="Q83" s="120">
        <v>2.5931034843212113</v>
      </c>
      <c r="R83" s="120">
        <v>2.9972847898712121</v>
      </c>
      <c r="S83" s="120">
        <v>2.5871632516656815</v>
      </c>
      <c r="T83" s="120">
        <v>2.5300858050618276</v>
      </c>
      <c r="U83" s="120">
        <v>3.017542039830984</v>
      </c>
      <c r="V83" s="120">
        <v>2.9380670965607276</v>
      </c>
      <c r="W83" s="120">
        <v>2.8986013786797282</v>
      </c>
      <c r="X83" s="120">
        <v>2.954866830902541</v>
      </c>
      <c r="Y83" s="120">
        <v>2.9600637987943439</v>
      </c>
      <c r="Z83" s="120">
        <v>3.062530729082201</v>
      </c>
      <c r="AA83" s="120">
        <v>2.9607152860209269</v>
      </c>
      <c r="AB83" s="120">
        <v>2.7988577331369644</v>
      </c>
      <c r="AC83" s="120">
        <v>3.1403687563272644</v>
      </c>
      <c r="AD83" s="120">
        <v>2.9500535436117157</v>
      </c>
      <c r="AE83" s="120">
        <v>2.6128790880021051</v>
      </c>
      <c r="AF83" s="120">
        <v>4.1668444511605687</v>
      </c>
      <c r="AG83" s="120">
        <v>3.0641107071694602</v>
      </c>
      <c r="AH83" s="120">
        <v>2.5404147813987197</v>
      </c>
      <c r="AI83" s="120">
        <v>2.6253086577797977</v>
      </c>
      <c r="AJ83" s="120">
        <v>2.5404147813987197</v>
      </c>
      <c r="AK83" s="120">
        <v>2.6146688311091792</v>
      </c>
      <c r="AL83" s="120">
        <v>2.9786462636800941</v>
      </c>
      <c r="AM83" s="120">
        <v>2.595436749328095</v>
      </c>
      <c r="AN83" s="120">
        <v>3.0080307262207255</v>
      </c>
      <c r="AO83" s="120">
        <v>2.5950293520861005</v>
      </c>
      <c r="AP83" s="120">
        <v>4.3557355589647804</v>
      </c>
      <c r="AQ83" s="683">
        <v>3.017542039830984</v>
      </c>
      <c r="AR83" s="120">
        <v>3.0535248019955987</v>
      </c>
    </row>
    <row r="84" spans="1:44">
      <c r="A84" s="126" t="b">
        <f t="shared" si="0"/>
        <v>0</v>
      </c>
      <c r="B84" s="120">
        <v>3.1387276767174521</v>
      </c>
      <c r="C84" s="120">
        <v>3.0943151580105579</v>
      </c>
      <c r="D84" s="120">
        <v>3.0329258107527695</v>
      </c>
      <c r="E84" s="120">
        <v>2.7140387074663921</v>
      </c>
      <c r="F84" s="120">
        <v>3.0943151580105579</v>
      </c>
      <c r="G84" s="120">
        <v>3.1491559585385653</v>
      </c>
      <c r="H84" s="120">
        <v>3.0479346206793947</v>
      </c>
      <c r="I84" s="120">
        <v>3.002671816551068</v>
      </c>
      <c r="J84" s="120">
        <v>3.4346895074946455</v>
      </c>
      <c r="K84" s="120">
        <v>3.2042099479984052</v>
      </c>
      <c r="L84" s="120">
        <v>3.0667730298078779</v>
      </c>
      <c r="M84" s="120">
        <v>2.6267888839662761</v>
      </c>
      <c r="N84" s="120">
        <v>3.0943151580105579</v>
      </c>
      <c r="O84" s="120">
        <v>3.0592923250881823</v>
      </c>
      <c r="P84" s="120">
        <v>3.1697132704136273</v>
      </c>
      <c r="Q84" s="120">
        <v>2.6783713189199738</v>
      </c>
      <c r="R84" s="120">
        <v>3.1144143634505435</v>
      </c>
      <c r="S84" s="120">
        <v>2.674135973099244</v>
      </c>
      <c r="T84" s="120">
        <v>2.6161087224339297</v>
      </c>
      <c r="U84" s="120">
        <v>3.0779535259535589</v>
      </c>
      <c r="V84" s="120">
        <v>3.0379613778437924</v>
      </c>
      <c r="W84" s="120">
        <v>2.9860948896054564</v>
      </c>
      <c r="X84" s="120">
        <v>3.0474239992803187</v>
      </c>
      <c r="Y84" s="120">
        <v>3.0456368979397297</v>
      </c>
      <c r="Z84" s="120">
        <v>3.1354340610559279</v>
      </c>
      <c r="AA84" s="120">
        <v>3.0523066569837995</v>
      </c>
      <c r="AB84" s="120">
        <v>2.8929920861048748</v>
      </c>
      <c r="AC84" s="120">
        <v>3.1789538811088671</v>
      </c>
      <c r="AD84" s="120">
        <v>3.0428218339305237</v>
      </c>
      <c r="AE84" s="120">
        <v>2.6899540583653834</v>
      </c>
      <c r="AF84" s="120">
        <v>4.2974663624683105</v>
      </c>
      <c r="AG84" s="120">
        <v>3.1518642307834157</v>
      </c>
      <c r="AH84" s="120">
        <v>2.6267888839662761</v>
      </c>
      <c r="AI84" s="120">
        <v>2.7071640075959729</v>
      </c>
      <c r="AJ84" s="120">
        <v>2.6267888839662761</v>
      </c>
      <c r="AK84" s="120">
        <v>2.6960275771491951</v>
      </c>
      <c r="AL84" s="120">
        <v>3.0931250270191999</v>
      </c>
      <c r="AM84" s="120">
        <v>2.6801926475311242</v>
      </c>
      <c r="AN84" s="120">
        <v>3.1251953484337407</v>
      </c>
      <c r="AO84" s="120">
        <v>2.6809213819321291</v>
      </c>
      <c r="AP84" s="120">
        <v>4.4984248464691738</v>
      </c>
      <c r="AQ84" s="683">
        <v>3.0779535259535589</v>
      </c>
      <c r="AR84" s="120">
        <v>3.1429064677673706</v>
      </c>
    </row>
    <row r="85" spans="1:44">
      <c r="A85" s="126" t="b">
        <f t="shared" si="0"/>
        <v>0</v>
      </c>
      <c r="B85" s="120">
        <v>3.2344279210844773</v>
      </c>
      <c r="C85" s="120">
        <v>3.1860001165029121</v>
      </c>
      <c r="D85" s="120">
        <v>3.1178477334538472</v>
      </c>
      <c r="E85" s="120">
        <v>2.7140387074663921</v>
      </c>
      <c r="F85" s="120">
        <v>3.1860001165029121</v>
      </c>
      <c r="G85" s="120">
        <v>3.2478736432419537</v>
      </c>
      <c r="H85" s="120">
        <v>3.1224261503076831</v>
      </c>
      <c r="I85" s="120">
        <v>3.0658002755056617</v>
      </c>
      <c r="J85" s="120">
        <v>2.9761394921994482</v>
      </c>
      <c r="K85" s="120">
        <v>3.3003362464383574</v>
      </c>
      <c r="L85" s="120">
        <v>3.1511199690056784</v>
      </c>
      <c r="M85" s="120">
        <v>2.7003389727173319</v>
      </c>
      <c r="N85" s="120">
        <v>3.1860001165029121</v>
      </c>
      <c r="O85" s="120">
        <v>3.167133500722028</v>
      </c>
      <c r="P85" s="120">
        <v>3.2640627058502414</v>
      </c>
      <c r="Q85" s="120">
        <v>2.7492345089034553</v>
      </c>
      <c r="R85" s="120">
        <v>3.2092880944655247</v>
      </c>
      <c r="S85" s="120">
        <v>2.7638789725640911</v>
      </c>
      <c r="T85" s="120">
        <v>2.6893597666620797</v>
      </c>
      <c r="U85" s="120">
        <v>3.1497187278251397</v>
      </c>
      <c r="V85" s="120">
        <v>3.1230242964234187</v>
      </c>
      <c r="W85" s="120">
        <v>3.0389823954874737</v>
      </c>
      <c r="X85" s="120">
        <v>3.1333901339218446</v>
      </c>
      <c r="Y85" s="120">
        <v>3.109490792810425</v>
      </c>
      <c r="Z85" s="120">
        <v>3.1524455152256055</v>
      </c>
      <c r="AA85" s="120">
        <v>3.150989727621369</v>
      </c>
      <c r="AB85" s="120">
        <v>2.9439411958063442</v>
      </c>
      <c r="AC85" s="120">
        <v>3.1906484934466084</v>
      </c>
      <c r="AD85" s="120">
        <v>3.1352049050349544</v>
      </c>
      <c r="AE85" s="120">
        <v>2.7837364451862907</v>
      </c>
      <c r="AF85" s="120">
        <v>4.4281010079938774</v>
      </c>
      <c r="AG85" s="120">
        <v>3.2491177832924047</v>
      </c>
      <c r="AH85" s="120">
        <v>2.7003389727173319</v>
      </c>
      <c r="AI85" s="120">
        <v>2.7845045316202857</v>
      </c>
      <c r="AJ85" s="120">
        <v>2.7003389727173319</v>
      </c>
      <c r="AK85" s="120">
        <v>2.7738271471764859</v>
      </c>
      <c r="AL85" s="120">
        <v>3.1868157671477406</v>
      </c>
      <c r="AM85" s="120">
        <v>2.7637354780626557</v>
      </c>
      <c r="AN85" s="120">
        <v>3.2187003955691242</v>
      </c>
      <c r="AO85" s="120">
        <v>2.7581903545987774</v>
      </c>
      <c r="AP85" s="120">
        <v>4.6644578019176661</v>
      </c>
      <c r="AQ85" s="683">
        <v>3.1497187278251397</v>
      </c>
      <c r="AR85" s="120">
        <v>3.2517386180032704</v>
      </c>
    </row>
    <row r="86" spans="1:44">
      <c r="A86" s="126" t="b">
        <f t="shared" si="0"/>
        <v>0</v>
      </c>
      <c r="B86" s="120">
        <v>3.3479310225617391</v>
      </c>
      <c r="C86" s="120">
        <v>3.2946375287868199</v>
      </c>
      <c r="D86" s="120">
        <v>3.2020296222571005</v>
      </c>
      <c r="E86" s="120">
        <v>2.775104578384386</v>
      </c>
      <c r="F86" s="120">
        <v>3.2946375287868199</v>
      </c>
      <c r="G86" s="120">
        <v>3.3707204893616352</v>
      </c>
      <c r="H86" s="120">
        <v>3.2129662034475408</v>
      </c>
      <c r="I86" s="120">
        <v>3.1519144593498223</v>
      </c>
      <c r="J86" s="120">
        <v>2.7326399510553672</v>
      </c>
      <c r="K86" s="120">
        <v>3.3745938119832202</v>
      </c>
      <c r="L86" s="120">
        <v>3.2535590225857791</v>
      </c>
      <c r="M86" s="120">
        <v>2.7732481249806993</v>
      </c>
      <c r="N86" s="120">
        <v>3.2946375287868199</v>
      </c>
      <c r="O86" s="120">
        <v>3.2680306424909236</v>
      </c>
      <c r="P86" s="120">
        <v>3.3397369013029428</v>
      </c>
      <c r="Q86" s="120">
        <v>2.8388837139209642</v>
      </c>
      <c r="R86" s="120">
        <v>3.2836948739928902</v>
      </c>
      <c r="S86" s="120">
        <v>2.8478435369259936</v>
      </c>
      <c r="T86" s="120">
        <v>2.7619724803619556</v>
      </c>
      <c r="U86" s="120">
        <v>3.2204433724748904</v>
      </c>
      <c r="V86" s="120">
        <v>3.2073459524268508</v>
      </c>
      <c r="W86" s="120">
        <v>3.1173851065621832</v>
      </c>
      <c r="X86" s="120">
        <v>3.2241891214484917</v>
      </c>
      <c r="Y86" s="120">
        <v>3.1879360916179054</v>
      </c>
      <c r="Z86" s="120">
        <v>3.2144902890489964</v>
      </c>
      <c r="AA86" s="120">
        <v>3.24550418639198</v>
      </c>
      <c r="AB86" s="120">
        <v>3.0214441713737079</v>
      </c>
      <c r="AC86" s="120">
        <v>3.227936811613997</v>
      </c>
      <c r="AD86" s="120">
        <v>3.2260917093230859</v>
      </c>
      <c r="AE86" s="120">
        <v>2.884166482039074</v>
      </c>
      <c r="AF86" s="120">
        <v>4.5711036869769002</v>
      </c>
      <c r="AG86" s="120">
        <v>3.3632949347505607</v>
      </c>
      <c r="AH86" s="120">
        <v>2.7732481249806993</v>
      </c>
      <c r="AI86" s="120">
        <v>2.8666828113814544</v>
      </c>
      <c r="AJ86" s="120">
        <v>2.7732481249806993</v>
      </c>
      <c r="AK86" s="120">
        <v>2.8559171875894394</v>
      </c>
      <c r="AL86" s="120">
        <v>3.2602204819591845</v>
      </c>
      <c r="AM86" s="120">
        <v>2.8323966452759732</v>
      </c>
      <c r="AN86" s="120">
        <v>3.2957504921400189</v>
      </c>
      <c r="AO86" s="120">
        <v>2.8415428315167635</v>
      </c>
      <c r="AP86" s="120">
        <v>4.839052426479018</v>
      </c>
      <c r="AQ86" s="683">
        <v>3.2204433724748904</v>
      </c>
      <c r="AR86" s="120">
        <v>3.3692141494757473</v>
      </c>
    </row>
    <row r="87" spans="1:44">
      <c r="A87" s="126" t="b">
        <f t="shared" si="0"/>
        <v>0</v>
      </c>
      <c r="B87" s="120">
        <v>3.4935735584458421</v>
      </c>
      <c r="C87" s="120">
        <v>3.4144202157755736</v>
      </c>
      <c r="D87" s="120">
        <v>3.2980905109248138</v>
      </c>
      <c r="E87" s="120">
        <v>2.8372669209401962</v>
      </c>
      <c r="F87" s="120">
        <v>3.4144202157755736</v>
      </c>
      <c r="G87" s="120">
        <v>3.5043900595814166</v>
      </c>
      <c r="H87" s="120">
        <v>3.3224137532833744</v>
      </c>
      <c r="I87" s="120">
        <v>3.2541430978043251</v>
      </c>
      <c r="J87" s="120">
        <v>2.290608748852859</v>
      </c>
      <c r="K87" s="120">
        <v>3.4501847133716441</v>
      </c>
      <c r="L87" s="120">
        <v>3.3654805342281811</v>
      </c>
      <c r="M87" s="120">
        <v>2.8564455687301202</v>
      </c>
      <c r="N87" s="120">
        <v>3.4144202157755736</v>
      </c>
      <c r="O87" s="120">
        <v>3.3963965899615594</v>
      </c>
      <c r="P87" s="120">
        <v>3.416494600166637</v>
      </c>
      <c r="Q87" s="120">
        <v>2.9363372061969364</v>
      </c>
      <c r="R87" s="120">
        <v>3.3562204327823748</v>
      </c>
      <c r="S87" s="120">
        <v>2.9335465029114229</v>
      </c>
      <c r="T87" s="120">
        <v>2.8448316547728143</v>
      </c>
      <c r="U87" s="120">
        <v>3.3154732117828201</v>
      </c>
      <c r="V87" s="120">
        <v>3.3035663309996566</v>
      </c>
      <c r="W87" s="120">
        <v>3.2065860873066563</v>
      </c>
      <c r="X87" s="120">
        <v>3.338453422417869</v>
      </c>
      <c r="Y87" s="120">
        <v>3.2857762037459217</v>
      </c>
      <c r="Z87" s="120">
        <v>3.2784094914217214</v>
      </c>
      <c r="AA87" s="120">
        <v>3.3441422259611109</v>
      </c>
      <c r="AB87" s="120">
        <v>3.107745284250532</v>
      </c>
      <c r="AC87" s="120">
        <v>3.2566400285384853</v>
      </c>
      <c r="AD87" s="120">
        <v>3.3404703355984804</v>
      </c>
      <c r="AE87" s="120">
        <v>3.0172868797950643</v>
      </c>
      <c r="AF87" s="120">
        <v>4.7350105562410709</v>
      </c>
      <c r="AG87" s="120">
        <v>3.4912131517114071</v>
      </c>
      <c r="AH87" s="120">
        <v>2.8564455687301202</v>
      </c>
      <c r="AI87" s="120">
        <v>2.9622932915043516</v>
      </c>
      <c r="AJ87" s="120">
        <v>2.8564455687301202</v>
      </c>
      <c r="AK87" s="120">
        <v>2.9514705078532582</v>
      </c>
      <c r="AL87" s="120">
        <v>3.3361377991921448</v>
      </c>
      <c r="AM87" s="120">
        <v>2.9258819515398526</v>
      </c>
      <c r="AN87" s="120">
        <v>3.3705858065937591</v>
      </c>
      <c r="AO87" s="120">
        <v>2.9354752689585886</v>
      </c>
      <c r="AP87" s="120">
        <v>5.0459195281497022</v>
      </c>
      <c r="AQ87" s="683">
        <v>3.3154732117828201</v>
      </c>
      <c r="AR87" s="120">
        <v>3.5013900474153266</v>
      </c>
    </row>
    <row r="88" spans="1:44">
      <c r="A88" s="126" t="b">
        <f t="shared" si="0"/>
        <v>0</v>
      </c>
      <c r="B88" s="120">
        <v>3.6334099977056198</v>
      </c>
      <c r="C88" s="120">
        <v>3.5511265180241502</v>
      </c>
      <c r="D88" s="120">
        <v>3.4366103123836558</v>
      </c>
      <c r="E88" s="120">
        <v>2.9388410767098554</v>
      </c>
      <c r="F88" s="120">
        <v>3.5511265180241502</v>
      </c>
      <c r="G88" s="120">
        <v>3.64052180226457</v>
      </c>
      <c r="H88" s="120">
        <v>3.4601387475326306</v>
      </c>
      <c r="I88" s="120">
        <v>3.386460286698628</v>
      </c>
      <c r="J88" s="120">
        <v>2.2924441725298248</v>
      </c>
      <c r="K88" s="120">
        <v>3.5737013261103492</v>
      </c>
      <c r="L88" s="120">
        <v>3.4999560872355766</v>
      </c>
      <c r="M88" s="120">
        <v>2.9764162826167855</v>
      </c>
      <c r="N88" s="120">
        <v>3.5511265180241502</v>
      </c>
      <c r="O88" s="120">
        <v>3.5295832058926462</v>
      </c>
      <c r="P88" s="120">
        <v>3.5411244047228667</v>
      </c>
      <c r="Q88" s="120">
        <v>3.0610077277307508</v>
      </c>
      <c r="R88" s="120">
        <v>3.4767354679397107</v>
      </c>
      <c r="S88" s="120">
        <v>3.0451911393889985</v>
      </c>
      <c r="T88" s="120">
        <v>2.9643145842732723</v>
      </c>
      <c r="U88" s="120">
        <v>3.4160138882473787</v>
      </c>
      <c r="V88" s="120">
        <v>3.4423161169016421</v>
      </c>
      <c r="W88" s="120">
        <v>3.3316679797462019</v>
      </c>
      <c r="X88" s="120">
        <v>3.4760947629569885</v>
      </c>
      <c r="Y88" s="120">
        <v>3.4186565356541547</v>
      </c>
      <c r="Z88" s="120">
        <v>3.4037964855431251</v>
      </c>
      <c r="AA88" s="120">
        <v>3.491814463863788</v>
      </c>
      <c r="AB88" s="120">
        <v>3.2322554344431862</v>
      </c>
      <c r="AC88" s="120">
        <v>3.3725960918744602</v>
      </c>
      <c r="AD88" s="120">
        <v>3.4782902935992728</v>
      </c>
      <c r="AE88" s="120">
        <v>3.1321333466251797</v>
      </c>
      <c r="AF88" s="120">
        <v>4.9202649412774173</v>
      </c>
      <c r="AG88" s="120">
        <v>3.623238184794483</v>
      </c>
      <c r="AH88" s="120">
        <v>2.9764162826167855</v>
      </c>
      <c r="AI88" s="120">
        <v>3.0869146472291598</v>
      </c>
      <c r="AJ88" s="120">
        <v>2.9764162826167855</v>
      </c>
      <c r="AK88" s="120">
        <v>3.0759134825002681</v>
      </c>
      <c r="AL88" s="120">
        <v>3.4592492211829513</v>
      </c>
      <c r="AM88" s="120">
        <v>3.0496855278081765</v>
      </c>
      <c r="AN88" s="120">
        <v>3.493270753033102</v>
      </c>
      <c r="AO88" s="120">
        <v>3.057360302278989</v>
      </c>
      <c r="AP88" s="120">
        <v>5.2367172990889967</v>
      </c>
      <c r="AQ88" s="683">
        <v>3.4160138882473787</v>
      </c>
      <c r="AR88" s="120">
        <v>3.6388266696108773</v>
      </c>
    </row>
    <row r="89" spans="1:44">
      <c r="A89" s="126" t="b">
        <f t="shared" si="0"/>
        <v>0</v>
      </c>
      <c r="B89" s="120">
        <v>3.7586147747022531</v>
      </c>
      <c r="C89" s="120">
        <v>3.6559913723551474</v>
      </c>
      <c r="D89" s="120">
        <v>3.5740747248790026</v>
      </c>
      <c r="E89" s="120">
        <v>3.0481659647634616</v>
      </c>
      <c r="F89" s="120">
        <v>3.6559913723551474</v>
      </c>
      <c r="G89" s="120">
        <v>3.7732421254478044</v>
      </c>
      <c r="H89" s="120">
        <v>3.5994289777865989</v>
      </c>
      <c r="I89" s="120">
        <v>3.521337203762791</v>
      </c>
      <c r="J89" s="120">
        <v>2.0452737840318131</v>
      </c>
      <c r="K89" s="120">
        <v>3.7066430154416539</v>
      </c>
      <c r="L89" s="120">
        <v>3.598773590431374</v>
      </c>
      <c r="M89" s="120">
        <v>3.0954729339214566</v>
      </c>
      <c r="N89" s="120">
        <v>3.6559913723551474</v>
      </c>
      <c r="O89" s="120">
        <v>3.6615386208209482</v>
      </c>
      <c r="P89" s="120">
        <v>3.674193544593523</v>
      </c>
      <c r="Q89" s="120">
        <v>3.1882500001199952</v>
      </c>
      <c r="R89" s="120">
        <v>3.6070028380786945</v>
      </c>
      <c r="S89" s="120">
        <v>3.1760765549627124</v>
      </c>
      <c r="T89" s="120">
        <v>3.0828871676442033</v>
      </c>
      <c r="U89" s="120">
        <v>3.5146475694897985</v>
      </c>
      <c r="V89" s="120">
        <v>3.5800087615777079</v>
      </c>
      <c r="W89" s="120">
        <v>3.4596495667230136</v>
      </c>
      <c r="X89" s="120">
        <v>3.6140209067272413</v>
      </c>
      <c r="Y89" s="120">
        <v>3.5431071709742556</v>
      </c>
      <c r="Z89" s="120">
        <v>3.5161304395884967</v>
      </c>
      <c r="AA89" s="120">
        <v>3.6334629173321522</v>
      </c>
      <c r="AB89" s="120">
        <v>3.3577831804747209</v>
      </c>
      <c r="AC89" s="120">
        <v>3.4350790688164556</v>
      </c>
      <c r="AD89" s="120">
        <v>3.6043679555738906</v>
      </c>
      <c r="AE89" s="120">
        <v>3.2332137734538762</v>
      </c>
      <c r="AF89" s="120">
        <v>5.0978039046090569</v>
      </c>
      <c r="AG89" s="120">
        <v>3.772918233610576</v>
      </c>
      <c r="AH89" s="120">
        <v>3.0954729339214566</v>
      </c>
      <c r="AI89" s="120">
        <v>3.2128649746654014</v>
      </c>
      <c r="AJ89" s="120">
        <v>3.0954729339214566</v>
      </c>
      <c r="AK89" s="120">
        <v>3.2015879047454505</v>
      </c>
      <c r="AL89" s="120">
        <v>3.5933104578555555</v>
      </c>
      <c r="AM89" s="120">
        <v>3.1806227833653908</v>
      </c>
      <c r="AN89" s="120">
        <v>3.6268274015963295</v>
      </c>
      <c r="AO89" s="120">
        <v>3.1973983880190948</v>
      </c>
      <c r="AP89" s="120">
        <v>5.3793815754114309</v>
      </c>
      <c r="AQ89" s="683">
        <v>3.5146475694897985</v>
      </c>
      <c r="AR89" s="120">
        <v>3.7645701489422372</v>
      </c>
    </row>
    <row r="90" spans="1:44">
      <c r="A90" s="126" t="b">
        <f t="shared" si="0"/>
        <v>0</v>
      </c>
      <c r="B90" s="120">
        <v>3.8666084279341573</v>
      </c>
      <c r="C90" s="120">
        <v>3.7875823261464086</v>
      </c>
      <c r="D90" s="120">
        <v>3.7277599380487993</v>
      </c>
      <c r="E90" s="120">
        <v>3.1694829701610474</v>
      </c>
      <c r="F90" s="120">
        <v>3.7875823261464086</v>
      </c>
      <c r="G90" s="120">
        <v>3.8797417032803199</v>
      </c>
      <c r="H90" s="120">
        <v>3.7419007280340151</v>
      </c>
      <c r="I90" s="120">
        <v>3.6608066300395836</v>
      </c>
      <c r="J90" s="120">
        <v>3.8289996940960522</v>
      </c>
      <c r="K90" s="120">
        <v>3.8541674074562318</v>
      </c>
      <c r="L90" s="120">
        <v>3.7311202234737593</v>
      </c>
      <c r="M90" s="120">
        <v>3.2285782700800794</v>
      </c>
      <c r="N90" s="120">
        <v>3.7875823261464086</v>
      </c>
      <c r="O90" s="120">
        <v>3.7858541222884727</v>
      </c>
      <c r="P90" s="120">
        <v>3.8324631443929547</v>
      </c>
      <c r="Q90" s="120">
        <v>3.3232231592274828</v>
      </c>
      <c r="R90" s="120">
        <v>3.7502368867919467</v>
      </c>
      <c r="S90" s="120">
        <v>3.303067506174469</v>
      </c>
      <c r="T90" s="120">
        <v>3.2154513158529041</v>
      </c>
      <c r="U90" s="120">
        <v>3.6127821943803275</v>
      </c>
      <c r="V90" s="120">
        <v>3.7339491383255492</v>
      </c>
      <c r="W90" s="120">
        <v>3.6347762321915749</v>
      </c>
      <c r="X90" s="120">
        <v>3.7506203123317121</v>
      </c>
      <c r="Y90" s="120">
        <v>3.7356028342390357</v>
      </c>
      <c r="Z90" s="120">
        <v>3.7968160880810977</v>
      </c>
      <c r="AA90" s="120">
        <v>3.7628457834651252</v>
      </c>
      <c r="AB90" s="120">
        <v>3.4809486756293335</v>
      </c>
      <c r="AC90" s="120">
        <v>3.9268044886166904</v>
      </c>
      <c r="AD90" s="120">
        <v>3.748036366117331</v>
      </c>
      <c r="AE90" s="120">
        <v>3.2920472244967618</v>
      </c>
      <c r="AF90" s="120">
        <v>5.2644916190841515</v>
      </c>
      <c r="AG90" s="120">
        <v>3.8769017880246865</v>
      </c>
      <c r="AH90" s="120">
        <v>3.2285782700800794</v>
      </c>
      <c r="AI90" s="120">
        <v>3.3281046795988241</v>
      </c>
      <c r="AJ90" s="120">
        <v>3.2285782700800794</v>
      </c>
      <c r="AK90" s="120">
        <v>3.3164307396753907</v>
      </c>
      <c r="AL90" s="120">
        <v>3.7451100095550145</v>
      </c>
      <c r="AM90" s="120">
        <v>3.3471713622558461</v>
      </c>
      <c r="AN90" s="120">
        <v>3.7723678810889236</v>
      </c>
      <c r="AO90" s="120">
        <v>3.3346787515401775</v>
      </c>
      <c r="AP90" s="120">
        <v>5.5054885179306803</v>
      </c>
      <c r="AQ90" s="683">
        <v>3.6127821943803275</v>
      </c>
      <c r="AR90" s="120">
        <v>3.8596943955294285</v>
      </c>
    </row>
    <row r="91" spans="1:44">
      <c r="A91" s="126" t="b">
        <f t="shared" si="0"/>
        <v>0</v>
      </c>
      <c r="B91" s="120">
        <v>3.9534955755806731</v>
      </c>
      <c r="C91" s="120">
        <v>3.8793589182871022</v>
      </c>
      <c r="D91" s="120">
        <v>3.832137216314166</v>
      </c>
      <c r="E91" s="120">
        <v>3.3019673583137794</v>
      </c>
      <c r="F91" s="120">
        <v>3.8793589182871022</v>
      </c>
      <c r="G91" s="120">
        <v>3.9564449070600074</v>
      </c>
      <c r="H91" s="120">
        <v>3.8430025308438678</v>
      </c>
      <c r="I91" s="120">
        <v>3.7672815211727722</v>
      </c>
      <c r="J91" s="120">
        <v>2.5539920464973984</v>
      </c>
      <c r="K91" s="120">
        <v>4.0152716050879027</v>
      </c>
      <c r="L91" s="120">
        <v>3.8255504981170341</v>
      </c>
      <c r="M91" s="120">
        <v>3.3189784616423217</v>
      </c>
      <c r="N91" s="120">
        <v>3.8793589182871022</v>
      </c>
      <c r="O91" s="120">
        <v>3.8317034650915613</v>
      </c>
      <c r="P91" s="120">
        <v>3.9786092907240267</v>
      </c>
      <c r="Q91" s="120">
        <v>3.4093286132874638</v>
      </c>
      <c r="R91" s="120">
        <v>3.9048475097531359</v>
      </c>
      <c r="S91" s="120">
        <v>3.3902884109495672</v>
      </c>
      <c r="T91" s="120">
        <v>3.3054839526967852</v>
      </c>
      <c r="U91" s="120">
        <v>3.706106747164128</v>
      </c>
      <c r="V91" s="120">
        <v>3.8384997141986648</v>
      </c>
      <c r="W91" s="120">
        <v>3.7299980992407757</v>
      </c>
      <c r="X91" s="120">
        <v>3.846970097114331</v>
      </c>
      <c r="Y91" s="120">
        <v>3.8146231371782604</v>
      </c>
      <c r="Z91" s="120">
        <v>3.8486196094354646</v>
      </c>
      <c r="AA91" s="120">
        <v>3.8513458231193698</v>
      </c>
      <c r="AB91" s="120">
        <v>3.5922095999496948</v>
      </c>
      <c r="AC91" s="120">
        <v>3.8794178268034423</v>
      </c>
      <c r="AD91" s="120">
        <v>3.8652728001110095</v>
      </c>
      <c r="AE91" s="120">
        <v>3.3939548103395838</v>
      </c>
      <c r="AF91" s="120">
        <v>5.3954474037364371</v>
      </c>
      <c r="AG91" s="120">
        <v>3.9462221083398576</v>
      </c>
      <c r="AH91" s="120">
        <v>3.3189784616423217</v>
      </c>
      <c r="AI91" s="120">
        <v>3.4256084714409885</v>
      </c>
      <c r="AJ91" s="120">
        <v>3.3189784616423217</v>
      </c>
      <c r="AK91" s="120">
        <v>3.4130107476752993</v>
      </c>
      <c r="AL91" s="120">
        <v>3.8887784088340451</v>
      </c>
      <c r="AM91" s="120">
        <v>3.4272894149692661</v>
      </c>
      <c r="AN91" s="120">
        <v>3.9230311016888697</v>
      </c>
      <c r="AO91" s="120">
        <v>3.4168262274521521</v>
      </c>
      <c r="AP91" s="120">
        <v>5.6133253203207989</v>
      </c>
      <c r="AQ91" s="683">
        <v>3.706106747164128</v>
      </c>
      <c r="AR91" s="120">
        <v>3.957339322404871</v>
      </c>
    </row>
    <row r="92" spans="1:44">
      <c r="A92" s="126" t="b">
        <f t="shared" si="0"/>
        <v>0</v>
      </c>
      <c r="B92" s="120">
        <v>4.0272117904727693</v>
      </c>
      <c r="C92" s="120">
        <v>3.9215886349448073</v>
      </c>
      <c r="D92" s="120">
        <v>3.9356049211546478</v>
      </c>
      <c r="E92" s="120">
        <v>3.4281025114013657</v>
      </c>
      <c r="F92" s="120">
        <v>3.9350853526795375</v>
      </c>
      <c r="G92" s="120">
        <v>4.092522283261296</v>
      </c>
      <c r="H92" s="120">
        <v>3.9366982544687104</v>
      </c>
      <c r="I92" s="120">
        <v>3.866392440452735</v>
      </c>
      <c r="J92" s="120">
        <v>2.5894769042520633</v>
      </c>
      <c r="K92" s="120">
        <v>4.1686549804022608</v>
      </c>
      <c r="L92" s="120">
        <v>3.8914450402990481</v>
      </c>
      <c r="M92" s="120">
        <v>3.4362807922548289</v>
      </c>
      <c r="N92" s="120">
        <v>3.9563576829889717</v>
      </c>
      <c r="O92" s="120">
        <v>4.0417207666583259</v>
      </c>
      <c r="P92" s="120">
        <v>4.1261495524820093</v>
      </c>
      <c r="Q92" s="120">
        <v>3.4813942425776823</v>
      </c>
      <c r="R92" s="120">
        <v>4.0523329964119004</v>
      </c>
      <c r="S92" s="120">
        <v>3.483098138078863</v>
      </c>
      <c r="T92" s="120">
        <v>3.3947320194195982</v>
      </c>
      <c r="U92" s="120">
        <v>3.5927422231300663</v>
      </c>
      <c r="V92" s="120">
        <v>3.9421392064820284</v>
      </c>
      <c r="W92" s="120">
        <v>3.8330185042845599</v>
      </c>
      <c r="X92" s="120">
        <v>3.9403595512408041</v>
      </c>
      <c r="Y92" s="120">
        <v>3.9112962163032643</v>
      </c>
      <c r="Z92" s="120">
        <v>3.9576690432293082</v>
      </c>
      <c r="AA92" s="120">
        <v>3.9350815811193431</v>
      </c>
      <c r="AB92" s="120">
        <v>3.6974341353879647</v>
      </c>
      <c r="AC92" s="120">
        <v>3.9581303775875791</v>
      </c>
      <c r="AD92" s="120">
        <v>3.9398736119805622</v>
      </c>
      <c r="AE92" s="120">
        <v>3.4326605195820994</v>
      </c>
      <c r="AF92" s="120">
        <v>5.5164215396669132</v>
      </c>
      <c r="AG92" s="120">
        <v>4.0472981100592111</v>
      </c>
      <c r="AH92" s="120">
        <v>3.4085908801066638</v>
      </c>
      <c r="AI92" s="120">
        <v>3.5056305823928837</v>
      </c>
      <c r="AJ92" s="120">
        <v>3.3710325378903043</v>
      </c>
      <c r="AK92" s="120">
        <v>3.4919684506694764</v>
      </c>
      <c r="AL92" s="120">
        <v>4.0199495496356699</v>
      </c>
      <c r="AM92" s="120">
        <v>3.4884634709108715</v>
      </c>
      <c r="AN92" s="120">
        <v>4.0660803009050941</v>
      </c>
      <c r="AO92" s="120">
        <v>3.4925325748191325</v>
      </c>
      <c r="AP92" s="120">
        <v>5.6484680602055723</v>
      </c>
      <c r="AQ92" s="683">
        <v>3.7435287388217278</v>
      </c>
      <c r="AR92" s="120">
        <v>4.0298741109226031</v>
      </c>
    </row>
    <row r="93" spans="1:44">
      <c r="A93" s="126" t="b">
        <f t="shared" si="0"/>
        <v>0</v>
      </c>
      <c r="B93" s="120">
        <v>4.1018826629453615</v>
      </c>
      <c r="C93" s="120">
        <v>3.9949097898914263</v>
      </c>
      <c r="D93" s="120">
        <v>4.0097055057949795</v>
      </c>
      <c r="E93" s="120">
        <v>3.4589554340039776</v>
      </c>
      <c r="F93" s="120">
        <v>4.0090940468866227</v>
      </c>
      <c r="G93" s="120">
        <v>4.1200331542231021</v>
      </c>
      <c r="H93" s="120">
        <v>4.0141170526519421</v>
      </c>
      <c r="I93" s="120">
        <v>3.936655420033758</v>
      </c>
      <c r="J93" s="120">
        <v>2.9547262159681842</v>
      </c>
      <c r="K93" s="120">
        <v>4.2753725479005587</v>
      </c>
      <c r="L93" s="120">
        <v>3.9996349179962936</v>
      </c>
      <c r="M93" s="120">
        <v>3.4989787820359952</v>
      </c>
      <c r="N93" s="120">
        <v>4.050979428732119</v>
      </c>
      <c r="O93" s="120">
        <v>4.0927139809492887</v>
      </c>
      <c r="P93" s="120">
        <v>4.230455315440075</v>
      </c>
      <c r="Q93" s="120">
        <v>3.5535248612956822</v>
      </c>
      <c r="R93" s="120">
        <v>4.1548814597324126</v>
      </c>
      <c r="S93" s="120">
        <v>3.5480363924785898</v>
      </c>
      <c r="T93" s="120">
        <v>3.4571950311606816</v>
      </c>
      <c r="U93" s="120">
        <v>3.7123498170391875</v>
      </c>
      <c r="V93" s="120">
        <v>4.0193646489871879</v>
      </c>
      <c r="W93" s="120">
        <v>3.9030199328817705</v>
      </c>
      <c r="X93" s="120">
        <v>4.0196755324353353</v>
      </c>
      <c r="Y93" s="120">
        <v>3.9975574215696605</v>
      </c>
      <c r="Z93" s="120">
        <v>4.0467883175010746</v>
      </c>
      <c r="AA93" s="120">
        <v>4.0135994386078675</v>
      </c>
      <c r="AB93" s="120">
        <v>3.752609039130463</v>
      </c>
      <c r="AC93" s="120">
        <v>4.107343942959603</v>
      </c>
      <c r="AD93" s="120">
        <v>4.0168369036674809</v>
      </c>
      <c r="AE93" s="120">
        <v>3.4812247574841773</v>
      </c>
      <c r="AF93" s="120">
        <v>5.6199257383167343</v>
      </c>
      <c r="AG93" s="120">
        <v>4.1003826986183238</v>
      </c>
      <c r="AH93" s="120">
        <v>3.473585033073276</v>
      </c>
      <c r="AI93" s="120">
        <v>3.5708476393672806</v>
      </c>
      <c r="AJ93" s="120">
        <v>3.4364324718289976</v>
      </c>
      <c r="AK93" s="120">
        <v>3.5574073585579713</v>
      </c>
      <c r="AL93" s="120">
        <v>4.1177357653372297</v>
      </c>
      <c r="AM93" s="120">
        <v>3.5584147704508808</v>
      </c>
      <c r="AN93" s="120">
        <v>4.1669707094721771</v>
      </c>
      <c r="AO93" s="120">
        <v>3.5584147704508808</v>
      </c>
      <c r="AP93" s="120">
        <v>5.7742951052471003</v>
      </c>
      <c r="AQ93" s="683">
        <v>3.8336351724526225</v>
      </c>
      <c r="AR93" s="120">
        <v>4.1088003202976129</v>
      </c>
    </row>
    <row r="94" spans="1:44">
      <c r="A94" s="126" t="b">
        <f t="shared" si="0"/>
        <v>0</v>
      </c>
      <c r="B94" s="120">
        <v>4.1678209292496877</v>
      </c>
      <c r="C94" s="120">
        <v>4.0665174592896989</v>
      </c>
      <c r="D94" s="120">
        <v>4.0823382170410563</v>
      </c>
      <c r="E94" s="120">
        <v>3.5108397655140369</v>
      </c>
      <c r="F94" s="120">
        <v>4.0812444867407356</v>
      </c>
      <c r="G94" s="120">
        <v>4.180195937995272</v>
      </c>
      <c r="H94" s="120">
        <v>4.0954623557671255</v>
      </c>
      <c r="I94" s="120">
        <v>4.0135324534378736</v>
      </c>
      <c r="J94" s="120">
        <v>2.5882532884674196</v>
      </c>
      <c r="K94" s="120">
        <v>4.3822568615980719</v>
      </c>
      <c r="L94" s="120">
        <v>4.0452614446423718</v>
      </c>
      <c r="M94" s="120">
        <v>3.5586230982669429</v>
      </c>
      <c r="N94" s="120">
        <v>4.1181870067434891</v>
      </c>
      <c r="O94" s="120">
        <v>4.1260306742809867</v>
      </c>
      <c r="P94" s="120">
        <v>4.3345077833077044</v>
      </c>
      <c r="Q94" s="120">
        <v>3.6195550278016904</v>
      </c>
      <c r="R94" s="120">
        <v>4.2578288218591833</v>
      </c>
      <c r="S94" s="120">
        <v>3.6178089721081248</v>
      </c>
      <c r="T94" s="120">
        <v>3.5192272938915066</v>
      </c>
      <c r="U94" s="120">
        <v>3.8073997282513998</v>
      </c>
      <c r="V94" s="120">
        <v>4.0952249565365291</v>
      </c>
      <c r="W94" s="120">
        <v>3.9694178309160835</v>
      </c>
      <c r="X94" s="120">
        <v>4.0943102223731094</v>
      </c>
      <c r="Y94" s="120">
        <v>4.060704770146935</v>
      </c>
      <c r="Z94" s="120">
        <v>4.089781170859017</v>
      </c>
      <c r="AA94" s="120">
        <v>4.0882358783878061</v>
      </c>
      <c r="AB94" s="120">
        <v>3.8169143229252533</v>
      </c>
      <c r="AC94" s="120">
        <v>4.1165274112186445</v>
      </c>
      <c r="AD94" s="120">
        <v>4.0953980568678015</v>
      </c>
      <c r="AE94" s="120">
        <v>3.5415026017577484</v>
      </c>
      <c r="AF94" s="120">
        <v>5.7161103002788174</v>
      </c>
      <c r="AG94" s="120">
        <v>4.1798647376063274</v>
      </c>
      <c r="AH94" s="120">
        <v>3.5358118439309894</v>
      </c>
      <c r="AI94" s="120">
        <v>3.6394897864100644</v>
      </c>
      <c r="AJ94" s="120">
        <v>3.5019224283378967</v>
      </c>
      <c r="AK94" s="120">
        <v>3.6259641812766357</v>
      </c>
      <c r="AL94" s="120">
        <v>4.2179148776467592</v>
      </c>
      <c r="AM94" s="120">
        <v>3.6348473247028097</v>
      </c>
      <c r="AN94" s="120">
        <v>4.268153833211799</v>
      </c>
      <c r="AO94" s="120">
        <v>3.6267343871157003</v>
      </c>
      <c r="AP94" s="120">
        <v>5.8527991795924716</v>
      </c>
      <c r="AQ94" s="683">
        <v>3.8766998842525471</v>
      </c>
      <c r="AR94" s="120">
        <v>4.174227210827901</v>
      </c>
    </row>
    <row r="95" spans="1:44">
      <c r="A95" s="126" t="b">
        <f t="shared" si="0"/>
        <v>0</v>
      </c>
      <c r="B95" s="120">
        <v>4.2263773154846014</v>
      </c>
      <c r="C95" s="120">
        <v>4.133811313431603</v>
      </c>
      <c r="D95" s="120">
        <v>4.144946816935116</v>
      </c>
      <c r="E95" s="120">
        <v>3.5810565608243179</v>
      </c>
      <c r="F95" s="120">
        <v>4.1435228692189421</v>
      </c>
      <c r="G95" s="120">
        <v>4.2368999550279876</v>
      </c>
      <c r="H95" s="120">
        <v>4.1759997277487058</v>
      </c>
      <c r="I95" s="120">
        <v>4.0926452256575301</v>
      </c>
      <c r="J95" s="120">
        <v>2.7332517589476888</v>
      </c>
      <c r="K95" s="120">
        <v>4.4896221547072246</v>
      </c>
      <c r="L95" s="120">
        <v>4.1144594520744553</v>
      </c>
      <c r="M95" s="120">
        <v>3.6090147248846383</v>
      </c>
      <c r="N95" s="120">
        <v>4.1731180174140023</v>
      </c>
      <c r="O95" s="120">
        <v>4.1718389641374838</v>
      </c>
      <c r="P95" s="120">
        <v>4.4400382555035076</v>
      </c>
      <c r="Q95" s="120">
        <v>3.6991698011979914</v>
      </c>
      <c r="R95" s="120">
        <v>4.3612570605370129</v>
      </c>
      <c r="S95" s="120">
        <v>3.6868511839076374</v>
      </c>
      <c r="T95" s="120">
        <v>3.5808550624078941</v>
      </c>
      <c r="U95" s="120">
        <v>3.8530926422431397</v>
      </c>
      <c r="V95" s="120">
        <v>4.1699157109787937</v>
      </c>
      <c r="W95" s="120">
        <v>4.0481995483535878</v>
      </c>
      <c r="X95" s="120">
        <v>4.1730801727172855</v>
      </c>
      <c r="Y95" s="120">
        <v>4.1421374853057191</v>
      </c>
      <c r="Z95" s="120">
        <v>4.1758163615502379</v>
      </c>
      <c r="AA95" s="120">
        <v>4.1651930390855547</v>
      </c>
      <c r="AB95" s="120">
        <v>3.890390850567421</v>
      </c>
      <c r="AC95" s="120">
        <v>4.2114458499141341</v>
      </c>
      <c r="AD95" s="120">
        <v>4.1669342609694624</v>
      </c>
      <c r="AE95" s="120">
        <v>3.5860624617297572</v>
      </c>
      <c r="AF95" s="120">
        <v>5.8229312997707785</v>
      </c>
      <c r="AG95" s="120">
        <v>4.2395751974209901</v>
      </c>
      <c r="AH95" s="120">
        <v>3.589165461903026</v>
      </c>
      <c r="AI95" s="120">
        <v>3.70110571761799</v>
      </c>
      <c r="AJ95" s="120">
        <v>3.5652831336665836</v>
      </c>
      <c r="AK95" s="120">
        <v>3.6872102454172819</v>
      </c>
      <c r="AL95" s="120">
        <v>4.3157351911290007</v>
      </c>
      <c r="AM95" s="120">
        <v>3.6973812150694885</v>
      </c>
      <c r="AN95" s="120">
        <v>4.3704849058551254</v>
      </c>
      <c r="AO95" s="120">
        <v>3.6995825796905635</v>
      </c>
      <c r="AP95" s="120">
        <v>5.9283127761388092</v>
      </c>
      <c r="AQ95" s="683">
        <v>3.9183665786552906</v>
      </c>
      <c r="AR95" s="120">
        <v>4.2261154142432797</v>
      </c>
    </row>
    <row r="96" spans="1:44">
      <c r="A96" s="126" t="b">
        <f t="shared" si="0"/>
        <v>0</v>
      </c>
      <c r="B96" s="120">
        <v>4.2626402476315279</v>
      </c>
      <c r="C96" s="120">
        <v>4.18451582085555</v>
      </c>
      <c r="D96" s="120">
        <v>4.1881149149469952</v>
      </c>
      <c r="E96" s="120">
        <v>3.6795356162469868</v>
      </c>
      <c r="F96" s="120">
        <v>4.1874738043091329</v>
      </c>
      <c r="G96" s="120">
        <v>4.2862503167544546</v>
      </c>
      <c r="H96" s="120">
        <v>4.2306348942420247</v>
      </c>
      <c r="I96" s="120">
        <v>4.1544034962012431</v>
      </c>
      <c r="J96" s="120">
        <v>2.7687366167023542</v>
      </c>
      <c r="K96" s="120">
        <v>4.6175763861163803</v>
      </c>
      <c r="L96" s="120">
        <v>4.1670479518406918</v>
      </c>
      <c r="M96" s="120">
        <v>3.6444542699548035</v>
      </c>
      <c r="N96" s="120">
        <v>4.1989643210410277</v>
      </c>
      <c r="O96" s="120">
        <v>4.2096498102701396</v>
      </c>
      <c r="P96" s="120">
        <v>4.56138187734659</v>
      </c>
      <c r="Q96" s="120">
        <v>3.7455578480567553</v>
      </c>
      <c r="R96" s="120">
        <v>4.4834278505150564</v>
      </c>
      <c r="S96" s="120">
        <v>3.742590913600381</v>
      </c>
      <c r="T96" s="120">
        <v>3.627590858474004</v>
      </c>
      <c r="U96" s="120">
        <v>3.8884204325276155</v>
      </c>
      <c r="V96" s="120">
        <v>4.226514595795777</v>
      </c>
      <c r="W96" s="120">
        <v>4.1131668881759529</v>
      </c>
      <c r="X96" s="120">
        <v>4.2260485834709574</v>
      </c>
      <c r="Y96" s="120">
        <v>4.1982679543645709</v>
      </c>
      <c r="Z96" s="120">
        <v>4.2604208021569043</v>
      </c>
      <c r="AA96" s="120">
        <v>4.2255937086614157</v>
      </c>
      <c r="AB96" s="120">
        <v>3.9705644951536039</v>
      </c>
      <c r="AC96" s="120">
        <v>4.2842656667492136</v>
      </c>
      <c r="AD96" s="120">
        <v>4.2276251149622999</v>
      </c>
      <c r="AE96" s="120">
        <v>3.6270181097564795</v>
      </c>
      <c r="AF96" s="120">
        <v>5.9070759232416403</v>
      </c>
      <c r="AG96" s="120">
        <v>4.2638495387975439</v>
      </c>
      <c r="AH96" s="120">
        <v>3.6282016171318028</v>
      </c>
      <c r="AI96" s="120">
        <v>3.747185675459523</v>
      </c>
      <c r="AJ96" s="120">
        <v>3.611057299146327</v>
      </c>
      <c r="AK96" s="120">
        <v>3.7324273083145347</v>
      </c>
      <c r="AL96" s="120">
        <v>4.4276372723991217</v>
      </c>
      <c r="AM96" s="120">
        <v>3.7461200832758221</v>
      </c>
      <c r="AN96" s="120">
        <v>4.4874761388801545</v>
      </c>
      <c r="AO96" s="120">
        <v>3.7475495755207988</v>
      </c>
      <c r="AP96" s="120">
        <v>5.9999727613813514</v>
      </c>
      <c r="AQ96" s="683">
        <v>3.9782256664591125</v>
      </c>
      <c r="AR96" s="120">
        <v>4.2684289281345604</v>
      </c>
    </row>
    <row r="97" spans="1:44">
      <c r="A97" s="126" t="b">
        <f t="shared" si="0"/>
        <v>0</v>
      </c>
      <c r="B97" s="120">
        <v>4.3121414797094726</v>
      </c>
      <c r="C97" s="120">
        <v>4.222597259178638</v>
      </c>
      <c r="D97" s="120">
        <v>4.2287746687547347</v>
      </c>
      <c r="E97" s="120">
        <v>3.7844023813100258</v>
      </c>
      <c r="F97" s="120">
        <v>4.2279657648423479</v>
      </c>
      <c r="G97" s="120">
        <v>4.3363216344311999</v>
      </c>
      <c r="H97" s="120">
        <v>4.2645478885492567</v>
      </c>
      <c r="I97" s="120">
        <v>4.1996326945936504</v>
      </c>
      <c r="J97" s="120">
        <v>3.314163352707248</v>
      </c>
      <c r="K97" s="120">
        <v>4.7491773131206969</v>
      </c>
      <c r="L97" s="120">
        <v>4.2253091891761949</v>
      </c>
      <c r="M97" s="120">
        <v>3.6829557315810257</v>
      </c>
      <c r="N97" s="120">
        <v>4.2371159338335707</v>
      </c>
      <c r="O97" s="120">
        <v>4.2645448198164351</v>
      </c>
      <c r="P97" s="120">
        <v>4.6852081829848871</v>
      </c>
      <c r="Q97" s="120">
        <v>3.773597688228838</v>
      </c>
      <c r="R97" s="120">
        <v>4.6071922973676172</v>
      </c>
      <c r="S97" s="120">
        <v>3.7705963309836052</v>
      </c>
      <c r="T97" s="120">
        <v>3.6586454768870933</v>
      </c>
      <c r="U97" s="120">
        <v>3.9127170644635592</v>
      </c>
      <c r="V97" s="120">
        <v>4.2606645452894574</v>
      </c>
      <c r="W97" s="120">
        <v>4.17787254114522</v>
      </c>
      <c r="X97" s="120">
        <v>4.2662631497620795</v>
      </c>
      <c r="Y97" s="120">
        <v>4.256485536351807</v>
      </c>
      <c r="Z97" s="120">
        <v>4.3790152601432251</v>
      </c>
      <c r="AA97" s="120">
        <v>4.2642076450586366</v>
      </c>
      <c r="AB97" s="120">
        <v>4.0438120627809031</v>
      </c>
      <c r="AC97" s="120">
        <v>4.4410645869536625</v>
      </c>
      <c r="AD97" s="120">
        <v>4.2606487802861102</v>
      </c>
      <c r="AE97" s="120">
        <v>3.6577939497787071</v>
      </c>
      <c r="AF97" s="120">
        <v>5.9748829121675726</v>
      </c>
      <c r="AG97" s="120">
        <v>4.3001499297094359</v>
      </c>
      <c r="AH97" s="120">
        <v>3.6641449840134359</v>
      </c>
      <c r="AI97" s="120">
        <v>3.778913524582717</v>
      </c>
      <c r="AJ97" s="120">
        <v>3.6403692209365035</v>
      </c>
      <c r="AK97" s="120">
        <v>3.7629993879285233</v>
      </c>
      <c r="AL97" s="120">
        <v>4.5380569680287373</v>
      </c>
      <c r="AM97" s="120">
        <v>3.7770782934201073</v>
      </c>
      <c r="AN97" s="120">
        <v>4.6045510332151736</v>
      </c>
      <c r="AO97" s="120">
        <v>3.777196706082345</v>
      </c>
      <c r="AP97" s="120">
        <v>6.0892811879173951</v>
      </c>
      <c r="AQ97" s="683">
        <v>4.067755380731553</v>
      </c>
      <c r="AR97" s="120">
        <v>4.3184540374166547</v>
      </c>
    </row>
    <row r="98" spans="1:44">
      <c r="A98" s="126" t="b">
        <f t="shared" si="0"/>
        <v>0</v>
      </c>
      <c r="B98" s="120">
        <v>4.3675155409659228</v>
      </c>
      <c r="C98" s="120">
        <v>4.2727096950793122</v>
      </c>
      <c r="D98" s="120">
        <v>4.2844640160236365</v>
      </c>
      <c r="E98" s="120">
        <v>3.9130720622745669</v>
      </c>
      <c r="F98" s="120">
        <v>4.2828361872653469</v>
      </c>
      <c r="G98" s="120">
        <v>4.4070780233421196</v>
      </c>
      <c r="H98" s="120">
        <v>4.3062712040567197</v>
      </c>
      <c r="I98" s="120">
        <v>4.2549876372309949</v>
      </c>
      <c r="J98" s="120">
        <v>3.022636892015905</v>
      </c>
      <c r="K98" s="120">
        <v>4.9106493417668009</v>
      </c>
      <c r="L98" s="120">
        <v>4.312417096348808</v>
      </c>
      <c r="M98" s="120">
        <v>3.7329674814997729</v>
      </c>
      <c r="N98" s="120">
        <v>4.3041977427034999</v>
      </c>
      <c r="O98" s="120">
        <v>4.3159859396777405</v>
      </c>
      <c r="P98" s="120">
        <v>4.8374778404311858</v>
      </c>
      <c r="Q98" s="120">
        <v>3.8071874751443882</v>
      </c>
      <c r="R98" s="120">
        <v>4.7591866344050402</v>
      </c>
      <c r="S98" s="120">
        <v>3.8075480308314518</v>
      </c>
      <c r="T98" s="120">
        <v>3.7001982690015769</v>
      </c>
      <c r="U98" s="120">
        <v>3.9554696405034102</v>
      </c>
      <c r="V98" s="120">
        <v>4.3056386232370327</v>
      </c>
      <c r="W98" s="120">
        <v>4.2425984641839145</v>
      </c>
      <c r="X98" s="120">
        <v>4.3116712378478192</v>
      </c>
      <c r="Y98" s="120">
        <v>4.3001456680347792</v>
      </c>
      <c r="Z98" s="120">
        <v>4.4479707708856679</v>
      </c>
      <c r="AA98" s="120">
        <v>4.3048296815656935</v>
      </c>
      <c r="AB98" s="120">
        <v>4.1272571212667106</v>
      </c>
      <c r="AC98" s="120">
        <v>4.4642578276753362</v>
      </c>
      <c r="AD98" s="120">
        <v>4.3099432376418658</v>
      </c>
      <c r="AE98" s="120">
        <v>3.7039057540279496</v>
      </c>
      <c r="AF98" s="120">
        <v>6.0543180503361871</v>
      </c>
      <c r="AG98" s="120">
        <v>4.3546500473196463</v>
      </c>
      <c r="AH98" s="120">
        <v>3.7109836125942586</v>
      </c>
      <c r="AI98" s="120">
        <v>3.8246486721166755</v>
      </c>
      <c r="AJ98" s="120">
        <v>3.6811616236586207</v>
      </c>
      <c r="AK98" s="120">
        <v>3.8073038756456512</v>
      </c>
      <c r="AL98" s="120">
        <v>4.6706394677387459</v>
      </c>
      <c r="AM98" s="120">
        <v>3.8071874751443882</v>
      </c>
      <c r="AN98" s="120">
        <v>4.7460904769547634</v>
      </c>
      <c r="AO98" s="120">
        <v>3.8075480308314518</v>
      </c>
      <c r="AP98" s="120">
        <v>6.1538551479419414</v>
      </c>
      <c r="AQ98" s="683">
        <v>4.1324565632406918</v>
      </c>
      <c r="AR98" s="120">
        <v>4.3724325951406886</v>
      </c>
    </row>
    <row r="99" spans="1:44">
      <c r="A99" s="126" t="b">
        <f t="shared" si="0"/>
        <v>0</v>
      </c>
      <c r="B99" s="120">
        <v>4.425484734292672</v>
      </c>
      <c r="C99" s="120">
        <v>4.3367362387807908</v>
      </c>
      <c r="D99" s="120">
        <v>4.3474079930381828</v>
      </c>
      <c r="E99" s="120">
        <v>4.0894689310136743</v>
      </c>
      <c r="F99" s="120">
        <v>4.3451258207328385</v>
      </c>
      <c r="G99" s="120">
        <v>4.4719350136491007</v>
      </c>
      <c r="H99" s="120">
        <v>4.3689637567345274</v>
      </c>
      <c r="I99" s="120">
        <v>4.3351255976535574</v>
      </c>
      <c r="J99" s="120">
        <v>2.2579097583358809</v>
      </c>
      <c r="K99" s="120">
        <v>5.1320158674984819</v>
      </c>
      <c r="L99" s="120">
        <v>4.4052054068342548</v>
      </c>
      <c r="M99" s="120">
        <v>3.7876133331173572</v>
      </c>
      <c r="N99" s="120">
        <v>4.3597304298301047</v>
      </c>
      <c r="O99" s="120">
        <v>4.3804709615924438</v>
      </c>
      <c r="P99" s="120">
        <v>5.0468260294851861</v>
      </c>
      <c r="Q99" s="120">
        <v>3.8608181465519196</v>
      </c>
      <c r="R99" s="120">
        <v>4.967603178581915</v>
      </c>
      <c r="S99" s="120">
        <v>3.8563647952016842</v>
      </c>
      <c r="T99" s="120">
        <v>3.7581267605360327</v>
      </c>
      <c r="U99" s="120">
        <v>4.0588762079616991</v>
      </c>
      <c r="V99" s="120">
        <v>4.3698862561683294</v>
      </c>
      <c r="W99" s="120">
        <v>4.3293949758643286</v>
      </c>
      <c r="X99" s="120">
        <v>4.3763264946270271</v>
      </c>
      <c r="Y99" s="120">
        <v>4.3597673880091037</v>
      </c>
      <c r="Z99" s="120">
        <v>4.5313429201617081</v>
      </c>
      <c r="AA99" s="120">
        <v>4.3662995205039499</v>
      </c>
      <c r="AB99" s="120">
        <v>4.2434015040863455</v>
      </c>
      <c r="AC99" s="120">
        <v>4.3221335012524493</v>
      </c>
      <c r="AD99" s="120">
        <v>4.3733626713044007</v>
      </c>
      <c r="AE99" s="120">
        <v>3.7553982264395187</v>
      </c>
      <c r="AF99" s="120">
        <v>6.1316541055786313</v>
      </c>
      <c r="AG99" s="120">
        <v>4.4129134411466957</v>
      </c>
      <c r="AH99" s="120">
        <v>3.7633911243231752</v>
      </c>
      <c r="AI99" s="120">
        <v>3.8819922552948878</v>
      </c>
      <c r="AJ99" s="120">
        <v>3.7378248693280209</v>
      </c>
      <c r="AK99" s="120">
        <v>3.8630296225469096</v>
      </c>
      <c r="AL99" s="120">
        <v>4.8561449634652094</v>
      </c>
      <c r="AM99" s="120">
        <v>3.8680470649102454</v>
      </c>
      <c r="AN99" s="120">
        <v>4.9424179471654819</v>
      </c>
      <c r="AO99" s="120">
        <v>3.8726200828939654</v>
      </c>
      <c r="AP99" s="120">
        <v>6.2465181259604803</v>
      </c>
      <c r="AQ99" s="683">
        <v>4.2374577803087394</v>
      </c>
      <c r="AR99" s="120">
        <v>4.4310101475256074</v>
      </c>
    </row>
    <row r="100" spans="1:44">
      <c r="A100" s="126" t="b">
        <f t="shared" si="0"/>
        <v>0</v>
      </c>
      <c r="B100" s="120">
        <v>4.4782239420800369</v>
      </c>
      <c r="C100" s="120">
        <v>4.3988978530897809</v>
      </c>
      <c r="D100" s="120">
        <v>4.4011598804966301</v>
      </c>
      <c r="E100" s="120">
        <v>4.2516345320019981</v>
      </c>
      <c r="F100" s="120">
        <v>4.3986483002658572</v>
      </c>
      <c r="G100" s="120">
        <v>4.5186671361926782</v>
      </c>
      <c r="H100" s="120">
        <v>4.4352615868186982</v>
      </c>
      <c r="I100" s="120">
        <v>4.4157232243104554</v>
      </c>
      <c r="J100" s="120">
        <v>3.6781349963291499</v>
      </c>
      <c r="K100" s="120">
        <v>5.3355230835878373</v>
      </c>
      <c r="L100" s="120">
        <v>4.4801967200147166</v>
      </c>
      <c r="M100" s="120">
        <v>3.8354868895382688</v>
      </c>
      <c r="N100" s="120">
        <v>4.4090295714103185</v>
      </c>
      <c r="O100" s="120">
        <v>4.3980170170669712</v>
      </c>
      <c r="P100" s="120">
        <v>5.2419468466716976</v>
      </c>
      <c r="Q100" s="120">
        <v>3.9210707923372694</v>
      </c>
      <c r="R100" s="120">
        <v>5.1601165602229049</v>
      </c>
      <c r="S100" s="120">
        <v>3.9196301041137489</v>
      </c>
      <c r="T100" s="120">
        <v>3.8163254418740364</v>
      </c>
      <c r="U100" s="120">
        <v>4.1386520830089237</v>
      </c>
      <c r="V100" s="120">
        <v>4.4320697391463151</v>
      </c>
      <c r="W100" s="120">
        <v>4.4295251166395841</v>
      </c>
      <c r="X100" s="120">
        <v>4.4327411231215077</v>
      </c>
      <c r="Y100" s="120">
        <v>4.4461541507211662</v>
      </c>
      <c r="Z100" s="120">
        <v>4.7849271492854006</v>
      </c>
      <c r="AA100" s="120">
        <v>4.4306295228315582</v>
      </c>
      <c r="AB100" s="120">
        <v>4.3529128595120685</v>
      </c>
      <c r="AC100" s="120">
        <v>4.6935491532707001</v>
      </c>
      <c r="AD100" s="120">
        <v>4.4291271631825335</v>
      </c>
      <c r="AE100" s="120">
        <v>3.8057059152187378</v>
      </c>
      <c r="AF100" s="120">
        <v>6.208793576163953</v>
      </c>
      <c r="AG100" s="120">
        <v>4.4628797017138977</v>
      </c>
      <c r="AH100" s="120">
        <v>3.8104168020264688</v>
      </c>
      <c r="AI100" s="120">
        <v>3.9362965677367265</v>
      </c>
      <c r="AJ100" s="120">
        <v>3.789169280763621</v>
      </c>
      <c r="AK100" s="120">
        <v>3.9160319305111999</v>
      </c>
      <c r="AL100" s="120">
        <v>5.0438035566864396</v>
      </c>
      <c r="AM100" s="120">
        <v>3.9210707923372694</v>
      </c>
      <c r="AN100" s="120">
        <v>5.1199890354416233</v>
      </c>
      <c r="AO100" s="120">
        <v>3.9196301041137489</v>
      </c>
      <c r="AP100" s="120">
        <v>6.366277030318197</v>
      </c>
      <c r="AQ100" s="683">
        <v>4.383216892590684</v>
      </c>
      <c r="AR100" s="120">
        <v>4.4878062925830982</v>
      </c>
    </row>
    <row r="101" spans="1:44">
      <c r="A101" s="126" t="b">
        <f t="shared" si="0"/>
        <v>0</v>
      </c>
      <c r="B101" s="120">
        <v>4.5348715133531803</v>
      </c>
      <c r="C101" s="120">
        <v>4.455559508709606</v>
      </c>
      <c r="D101" s="120">
        <v>4.4613012677286594</v>
      </c>
      <c r="E101" s="120">
        <v>4.4379018365558167</v>
      </c>
      <c r="F101" s="120">
        <v>4.4591124868885554</v>
      </c>
      <c r="G101" s="120">
        <v>4.6082135553874446</v>
      </c>
      <c r="H101" s="120">
        <v>4.4779947494029448</v>
      </c>
      <c r="I101" s="120">
        <v>4.4794315685466577</v>
      </c>
      <c r="J101" s="120">
        <v>3.6413536463658582</v>
      </c>
      <c r="K101" s="120">
        <v>5.6621424958215103</v>
      </c>
      <c r="L101" s="120">
        <v>4.5679562064836494</v>
      </c>
      <c r="M101" s="120">
        <v>3.8963734484554799</v>
      </c>
      <c r="N101" s="120">
        <v>4.4719000845853643</v>
      </c>
      <c r="O101" s="120">
        <v>4.4731395783586718</v>
      </c>
      <c r="P101" s="120">
        <v>5.5512865522648669</v>
      </c>
      <c r="Q101" s="120">
        <v>3.9519641321891643</v>
      </c>
      <c r="R101" s="120">
        <v>5.4665087661055303</v>
      </c>
      <c r="S101" s="120">
        <v>3.9510610297700968</v>
      </c>
      <c r="T101" s="120">
        <v>3.8397354099942471</v>
      </c>
      <c r="U101" s="120">
        <v>4.2042901365001857</v>
      </c>
      <c r="V101" s="120">
        <v>4.476276201971733</v>
      </c>
      <c r="W101" s="120">
        <v>4.5068019863813209</v>
      </c>
      <c r="X101" s="120">
        <v>4.4759987215634043</v>
      </c>
      <c r="Y101" s="120">
        <v>4.4976713466831324</v>
      </c>
      <c r="Z101" s="120">
        <v>4.8955631928934418</v>
      </c>
      <c r="AA101" s="120">
        <v>4.4818161086959831</v>
      </c>
      <c r="AB101" s="120">
        <v>4.4604091786417301</v>
      </c>
      <c r="AC101" s="120">
        <v>4.7548650926680081</v>
      </c>
      <c r="AD101" s="120">
        <v>4.4712405743116044</v>
      </c>
      <c r="AE101" s="120">
        <v>3.856441498577023</v>
      </c>
      <c r="AF101" s="120">
        <v>6.2732215913738925</v>
      </c>
      <c r="AG101" s="120">
        <v>4.4976493631830774</v>
      </c>
      <c r="AH101" s="120">
        <v>3.862775213223113</v>
      </c>
      <c r="AI101" s="120">
        <v>3.9772791157776117</v>
      </c>
      <c r="AJ101" s="120">
        <v>3.8276162525152633</v>
      </c>
      <c r="AK101" s="120">
        <v>3.9556148759035987</v>
      </c>
      <c r="AL101" s="120">
        <v>5.3498504358553296</v>
      </c>
      <c r="AM101" s="120">
        <v>3.9610688311649116</v>
      </c>
      <c r="AN101" s="120">
        <v>5.3979992833249533</v>
      </c>
      <c r="AO101" s="120">
        <v>3.9674464573095429</v>
      </c>
      <c r="AP101" s="120">
        <v>6.3805461675382906</v>
      </c>
      <c r="AQ101" s="683">
        <v>4.4081705346465396</v>
      </c>
      <c r="AR101" s="120">
        <v>4.5351651050944648</v>
      </c>
    </row>
    <row r="102" spans="1:44">
      <c r="A102" s="126" t="b">
        <f t="shared" si="0"/>
        <v>0</v>
      </c>
      <c r="B102" s="120">
        <v>4.6254127358408565</v>
      </c>
      <c r="C102" s="120">
        <v>4.5171203141542087</v>
      </c>
      <c r="D102" s="120">
        <v>4.5521283882590335</v>
      </c>
      <c r="E102" s="120">
        <v>4.6252181872008533</v>
      </c>
      <c r="F102" s="120">
        <v>4.5521283882590335</v>
      </c>
      <c r="G102" s="120">
        <v>4.7197770079461021</v>
      </c>
      <c r="H102" s="120">
        <v>4.5455905485770218</v>
      </c>
      <c r="I102" s="120">
        <v>4.5641601161884102</v>
      </c>
      <c r="J102" s="120">
        <v>3.058737062947321</v>
      </c>
      <c r="K102" s="120">
        <v>5.95787268561575</v>
      </c>
      <c r="L102" s="120">
        <v>4.6852041146398395</v>
      </c>
      <c r="M102" s="120">
        <v>3.9844984389630778</v>
      </c>
      <c r="N102" s="120">
        <v>4.5714275330473395</v>
      </c>
      <c r="O102" s="120">
        <v>4.568109221148819</v>
      </c>
      <c r="P102" s="120">
        <v>5.8327997913475764</v>
      </c>
      <c r="Q102" s="120">
        <v>3.9988952399367061</v>
      </c>
      <c r="R102" s="120">
        <v>5.7212939748524638</v>
      </c>
      <c r="S102" s="120">
        <v>3.9920896890610731</v>
      </c>
      <c r="T102" s="120">
        <v>3.9018618475859621</v>
      </c>
      <c r="U102" s="120">
        <v>4.3527204411214218</v>
      </c>
      <c r="V102" s="120">
        <v>4.5374175735353477</v>
      </c>
      <c r="W102" s="120">
        <v>4.5783357107339171</v>
      </c>
      <c r="X102" s="120">
        <v>4.5478889172294981</v>
      </c>
      <c r="Y102" s="120">
        <v>4.5545398404905137</v>
      </c>
      <c r="Z102" s="120">
        <v>4.9825082131842997</v>
      </c>
      <c r="AA102" s="120">
        <v>4.5377248181601963</v>
      </c>
      <c r="AB102" s="120">
        <v>4.5670318887020995</v>
      </c>
      <c r="AC102" s="120">
        <v>4.7820818864390437</v>
      </c>
      <c r="AD102" s="120">
        <v>4.5347184566833123</v>
      </c>
      <c r="AE102" s="120">
        <v>3.9326844062037845</v>
      </c>
      <c r="AF102" s="120">
        <v>6.415813747790299</v>
      </c>
      <c r="AG102" s="120">
        <v>4.5997820827813021</v>
      </c>
      <c r="AH102" s="120">
        <v>3.9410809485067491</v>
      </c>
      <c r="AI102" s="120">
        <v>4.0364544851119595</v>
      </c>
      <c r="AJ102" s="120">
        <v>3.8870852531592539</v>
      </c>
      <c r="AK102" s="120">
        <v>4.013602641879884</v>
      </c>
      <c r="AL102" s="120">
        <v>5.627588395969723</v>
      </c>
      <c r="AM102" s="120">
        <v>4.0061737463797913</v>
      </c>
      <c r="AN102" s="120">
        <v>5.6403161810380364</v>
      </c>
      <c r="AO102" s="120">
        <v>4.0169239327143407</v>
      </c>
      <c r="AP102" s="120">
        <v>6.5839859169105477</v>
      </c>
      <c r="AQ102" s="683">
        <v>4.6632048850431103</v>
      </c>
      <c r="AR102" s="120">
        <v>4.6284027000922983</v>
      </c>
    </row>
    <row r="103" spans="1:44">
      <c r="A103" s="126" t="b">
        <f t="shared" si="0"/>
        <v>0</v>
      </c>
      <c r="B103" s="120">
        <v>4.7475208405594733</v>
      </c>
      <c r="C103" s="120">
        <v>4.7740581005787517</v>
      </c>
      <c r="D103" s="120">
        <v>4.6723714119900794</v>
      </c>
      <c r="E103" s="120">
        <v>4.8148521328760872</v>
      </c>
      <c r="F103" s="120">
        <v>4.6723714119900794</v>
      </c>
      <c r="G103" s="120">
        <v>4.872443825303268</v>
      </c>
      <c r="H103" s="120">
        <v>4.6446457300091293</v>
      </c>
      <c r="I103" s="120">
        <v>4.6759262785529065</v>
      </c>
      <c r="J103" s="120">
        <v>3.3126122391719486</v>
      </c>
      <c r="K103" s="120">
        <v>6.2130375389369243</v>
      </c>
      <c r="L103" s="120">
        <v>4.815516082900472</v>
      </c>
      <c r="M103" s="120">
        <v>4.0928092310583457</v>
      </c>
      <c r="N103" s="120">
        <v>4.6911321747449826</v>
      </c>
      <c r="O103" s="120">
        <v>4.7127800178496413</v>
      </c>
      <c r="P103" s="120">
        <v>6.0778020452930841</v>
      </c>
      <c r="Q103" s="120">
        <v>4.0908824856396864</v>
      </c>
      <c r="R103" s="120">
        <v>5.9534707556624111</v>
      </c>
      <c r="S103" s="120">
        <v>4.0766726477661761</v>
      </c>
      <c r="T103" s="120">
        <v>4.0261431799711529</v>
      </c>
      <c r="U103" s="120">
        <v>4.591950051412323</v>
      </c>
      <c r="V103" s="120">
        <v>4.6605549556262575</v>
      </c>
      <c r="W103" s="120">
        <v>4.703048443369882</v>
      </c>
      <c r="X103" s="120">
        <v>4.6530713150027552</v>
      </c>
      <c r="Y103" s="120">
        <v>4.6670295679619782</v>
      </c>
      <c r="Z103" s="120">
        <v>5.1508006288574277</v>
      </c>
      <c r="AA103" s="120">
        <v>4.6571404138717361</v>
      </c>
      <c r="AB103" s="120">
        <v>4.7130475039639608</v>
      </c>
      <c r="AC103" s="120">
        <v>4.940469302543911</v>
      </c>
      <c r="AD103" s="120">
        <v>4.6493567147756458</v>
      </c>
      <c r="AE103" s="120">
        <v>4.0297119724475801</v>
      </c>
      <c r="AF103" s="120">
        <v>6.5873793360465021</v>
      </c>
      <c r="AG103" s="120">
        <v>4.7395412994432267</v>
      </c>
      <c r="AH103" s="120">
        <v>4.0535246491783772</v>
      </c>
      <c r="AI103" s="120">
        <v>4.1495361308592438</v>
      </c>
      <c r="AJ103" s="120">
        <v>3.9796838550898213</v>
      </c>
      <c r="AK103" s="120">
        <v>4.1256387441043856</v>
      </c>
      <c r="AL103" s="120">
        <v>5.8681924449881295</v>
      </c>
      <c r="AM103" s="120">
        <v>4.1139586674628621</v>
      </c>
      <c r="AN103" s="120">
        <v>5.862729050654286</v>
      </c>
      <c r="AO103" s="120">
        <v>4.115668017794194</v>
      </c>
      <c r="AP103" s="120">
        <v>6.7224127570440384</v>
      </c>
      <c r="AQ103" s="683">
        <v>4.8323670069900162</v>
      </c>
      <c r="AR103" s="120">
        <v>4.7658498582190312</v>
      </c>
    </row>
    <row r="104" spans="1:44">
      <c r="A104" s="126" t="b">
        <f t="shared" si="0"/>
        <v>0</v>
      </c>
      <c r="B104" s="120">
        <v>4.8812293540293972</v>
      </c>
      <c r="C104" s="120">
        <v>4.8948758541951038</v>
      </c>
      <c r="D104" s="120">
        <v>4.8039983672562219</v>
      </c>
      <c r="E104" s="120">
        <v>4.9903787760562812</v>
      </c>
      <c r="F104" s="120">
        <v>4.8039983672562219</v>
      </c>
      <c r="G104" s="120">
        <v>4.99738870572462</v>
      </c>
      <c r="H104" s="120">
        <v>4.7788808543976176</v>
      </c>
      <c r="I104" s="120">
        <v>4.8160219558370727</v>
      </c>
      <c r="J104" s="120">
        <v>4.4057742780986917</v>
      </c>
      <c r="K104" s="120">
        <v>6.4402852806098974</v>
      </c>
      <c r="L104" s="120">
        <v>4.96098064145664</v>
      </c>
      <c r="M104" s="120">
        <v>4.2049860806323291</v>
      </c>
      <c r="N104" s="120">
        <v>4.8242735195101263</v>
      </c>
      <c r="O104" s="120">
        <v>4.8462822617670085</v>
      </c>
      <c r="P104" s="120">
        <v>6.2938754405460546</v>
      </c>
      <c r="Q104" s="120">
        <v>4.1963258070508598</v>
      </c>
      <c r="R104" s="120">
        <v>6.1644808508943569</v>
      </c>
      <c r="S104" s="120">
        <v>4.1924826896100562</v>
      </c>
      <c r="T104" s="120">
        <v>4.1348547271506293</v>
      </c>
      <c r="U104" s="120">
        <v>4.7976214569935891</v>
      </c>
      <c r="V104" s="120">
        <v>4.7924152643384934</v>
      </c>
      <c r="W104" s="120">
        <v>4.8882543998417951</v>
      </c>
      <c r="X104" s="120">
        <v>4.826274291985456</v>
      </c>
      <c r="Y104" s="120">
        <v>4.843987551397265</v>
      </c>
      <c r="Z104" s="120">
        <v>5.3625895160561292</v>
      </c>
      <c r="AA104" s="120">
        <v>4.7862368526078702</v>
      </c>
      <c r="AB104" s="120">
        <v>4.8610955881231055</v>
      </c>
      <c r="AC104" s="120">
        <v>5.1938280103063521</v>
      </c>
      <c r="AD104" s="120">
        <v>4.7805850749243115</v>
      </c>
      <c r="AE104" s="120">
        <v>4.1431674738316024</v>
      </c>
      <c r="AF104" s="120">
        <v>6.7762796386885489</v>
      </c>
      <c r="AG104" s="120">
        <v>4.8750117726814075</v>
      </c>
      <c r="AH104" s="120">
        <v>4.1685376283733797</v>
      </c>
      <c r="AI104" s="120">
        <v>4.2590888484667557</v>
      </c>
      <c r="AJ104" s="120">
        <v>4.094512310179903</v>
      </c>
      <c r="AK104" s="120">
        <v>4.2342242341889493</v>
      </c>
      <c r="AL104" s="120">
        <v>6.0750359911724967</v>
      </c>
      <c r="AM104" s="120">
        <v>4.1931519426967885</v>
      </c>
      <c r="AN104" s="120">
        <v>6.0671384315617845</v>
      </c>
      <c r="AO104" s="120">
        <v>4.2265850848965121</v>
      </c>
      <c r="AP104" s="120">
        <v>6.8877116245848713</v>
      </c>
      <c r="AQ104" s="683">
        <v>5.0465598310567561</v>
      </c>
      <c r="AR104" s="120">
        <v>4.8974937784336321</v>
      </c>
    </row>
    <row r="105" spans="1:44">
      <c r="A105" s="126" t="b">
        <f t="shared" si="0"/>
        <v>0</v>
      </c>
      <c r="B105" s="120">
        <v>5.016596555727415</v>
      </c>
      <c r="C105" s="120">
        <v>4.88282635778834</v>
      </c>
      <c r="D105" s="120">
        <v>4.9283585959537737</v>
      </c>
      <c r="E105" s="120">
        <v>5.1499432501735205</v>
      </c>
      <c r="F105" s="120">
        <v>4.9283585959537737</v>
      </c>
      <c r="G105" s="120">
        <v>5.0902369114206873</v>
      </c>
      <c r="H105" s="120">
        <v>4.9154684248621123</v>
      </c>
      <c r="I105" s="120">
        <v>4.9559364872773601</v>
      </c>
      <c r="J105" s="120">
        <v>7.0360215221236109</v>
      </c>
      <c r="K105" s="120">
        <v>6.6462096763483762</v>
      </c>
      <c r="L105" s="120">
        <v>5.100617877248224</v>
      </c>
      <c r="M105" s="120">
        <v>4.3154855262831529</v>
      </c>
      <c r="N105" s="120">
        <v>4.9551241792341205</v>
      </c>
      <c r="O105" s="120">
        <v>4.9665634339753799</v>
      </c>
      <c r="P105" s="120">
        <v>6.492303426080472</v>
      </c>
      <c r="Q105" s="120">
        <v>4.3276502420324281</v>
      </c>
      <c r="R105" s="120">
        <v>6.3599297833763906</v>
      </c>
      <c r="S105" s="120">
        <v>4.3201126170983324</v>
      </c>
      <c r="T105" s="120">
        <v>4.2448267335507754</v>
      </c>
      <c r="U105" s="120">
        <v>5.0204291971719153</v>
      </c>
      <c r="V105" s="120">
        <v>4.9270668222675127</v>
      </c>
      <c r="W105" s="120">
        <v>5.1831808895180789</v>
      </c>
      <c r="X105" s="120">
        <v>4.9402585310217413</v>
      </c>
      <c r="Y105" s="120">
        <v>5.004170632338047</v>
      </c>
      <c r="Z105" s="120">
        <v>5.7570942446559572</v>
      </c>
      <c r="AA105" s="120">
        <v>4.9203354061597642</v>
      </c>
      <c r="AB105" s="120">
        <v>4.9992293949005155</v>
      </c>
      <c r="AC105" s="120">
        <v>5.7097166944623785</v>
      </c>
      <c r="AD105" s="120">
        <v>4.9239946634327305</v>
      </c>
      <c r="AE105" s="120">
        <v>4.2804512136008537</v>
      </c>
      <c r="AF105" s="120">
        <v>6.9481939904789183</v>
      </c>
      <c r="AG105" s="120">
        <v>5.0291398728402044</v>
      </c>
      <c r="AH105" s="120">
        <v>4.2774692540729218</v>
      </c>
      <c r="AI105" s="120">
        <v>4.391846836897928</v>
      </c>
      <c r="AJ105" s="120">
        <v>4.2190197941765062</v>
      </c>
      <c r="AK105" s="120">
        <v>4.366161717037718</v>
      </c>
      <c r="AL105" s="120">
        <v>6.2649064311071809</v>
      </c>
      <c r="AM105" s="120">
        <v>4.324133103127906</v>
      </c>
      <c r="AN105" s="120">
        <v>6.2502437617084485</v>
      </c>
      <c r="AO105" s="120">
        <v>4.3472619096089433</v>
      </c>
      <c r="AP105" s="120">
        <v>7.0134736186406093</v>
      </c>
      <c r="AQ105" s="683">
        <v>5.2245370134805853</v>
      </c>
      <c r="AR105" s="120">
        <v>5.0204686817972997</v>
      </c>
    </row>
    <row r="106" spans="1:44">
      <c r="A106" s="126" t="b">
        <f t="shared" si="0"/>
        <v>0</v>
      </c>
      <c r="B106" s="120">
        <v>5.133560985270984</v>
      </c>
      <c r="C106" s="120">
        <v>4.999900175166097</v>
      </c>
      <c r="D106" s="120">
        <v>5.0345872039891972</v>
      </c>
      <c r="E106" s="120">
        <v>5.274566088960885</v>
      </c>
      <c r="F106" s="120">
        <v>5.0345872039891972</v>
      </c>
      <c r="G106" s="120">
        <v>5.1876879996161245</v>
      </c>
      <c r="H106" s="120">
        <v>5.0397692901351991</v>
      </c>
      <c r="I106" s="120">
        <v>5.0804951698428393</v>
      </c>
      <c r="J106" s="120">
        <v>7.1345258234333411</v>
      </c>
      <c r="K106" s="120">
        <v>6.8070404810401905</v>
      </c>
      <c r="L106" s="120">
        <v>5.2077547220743554</v>
      </c>
      <c r="M106" s="120">
        <v>4.3981878217586745</v>
      </c>
      <c r="N106" s="120">
        <v>5.0558930207716326</v>
      </c>
      <c r="O106" s="120">
        <v>5.0638731776987536</v>
      </c>
      <c r="P106" s="120">
        <v>6.6509099969637981</v>
      </c>
      <c r="Q106" s="120">
        <v>4.4423941832470373</v>
      </c>
      <c r="R106" s="120">
        <v>6.5139086767437302</v>
      </c>
      <c r="S106" s="120">
        <v>4.4355063548256819</v>
      </c>
      <c r="T106" s="120">
        <v>4.3426564255357141</v>
      </c>
      <c r="U106" s="120">
        <v>5.246160493771705</v>
      </c>
      <c r="V106" s="120">
        <v>5.0535406082235932</v>
      </c>
      <c r="W106" s="120">
        <v>5.320394354398867</v>
      </c>
      <c r="X106" s="120">
        <v>5.0592205872550817</v>
      </c>
      <c r="Y106" s="120">
        <v>5.1253535792502136</v>
      </c>
      <c r="Z106" s="120">
        <v>5.9084415532835841</v>
      </c>
      <c r="AA106" s="120">
        <v>5.0473305024240824</v>
      </c>
      <c r="AB106" s="120">
        <v>5.131382206587503</v>
      </c>
      <c r="AC106" s="120">
        <v>5.841411534820848</v>
      </c>
      <c r="AD106" s="120">
        <v>5.0524037493125595</v>
      </c>
      <c r="AE106" s="120">
        <v>4.3736294863216303</v>
      </c>
      <c r="AF106" s="120">
        <v>7.1091387975370992</v>
      </c>
      <c r="AG106" s="120">
        <v>5.126685528595349</v>
      </c>
      <c r="AH106" s="120">
        <v>4.3661473385554368</v>
      </c>
      <c r="AI106" s="120">
        <v>4.4994080288266831</v>
      </c>
      <c r="AJ106" s="120">
        <v>4.323878505550816</v>
      </c>
      <c r="AK106" s="120">
        <v>4.473102095235987</v>
      </c>
      <c r="AL106" s="120">
        <v>6.4225872591460575</v>
      </c>
      <c r="AM106" s="120">
        <v>4.4462836600560882</v>
      </c>
      <c r="AN106" s="120">
        <v>6.404277591055263</v>
      </c>
      <c r="AO106" s="120">
        <v>4.4592248993302777</v>
      </c>
      <c r="AP106" s="120">
        <v>7.1701038641201933</v>
      </c>
      <c r="AQ106" s="683">
        <v>5.464607437160053</v>
      </c>
      <c r="AR106" s="120">
        <v>5.1297725575624042</v>
      </c>
    </row>
    <row r="107" spans="1:44">
      <c r="A107" s="126" t="b">
        <f t="shared" si="0"/>
        <v>0</v>
      </c>
      <c r="B107" s="120">
        <v>5.2105614327937335</v>
      </c>
      <c r="C107" s="120">
        <v>5.0923203362694442</v>
      </c>
      <c r="D107" s="120">
        <v>5.1144454978835228</v>
      </c>
      <c r="E107" s="120">
        <v>5.4423118196454725</v>
      </c>
      <c r="F107" s="120">
        <v>5.1144454978835228</v>
      </c>
      <c r="G107" s="120">
        <v>5.2665284195814248</v>
      </c>
      <c r="H107" s="120">
        <v>5.1431965101756765</v>
      </c>
      <c r="I107" s="120">
        <v>5.192742182727927</v>
      </c>
      <c r="J107" s="120">
        <v>9.6387443874584431</v>
      </c>
      <c r="K107" s="120">
        <v>7.0235231186701235</v>
      </c>
      <c r="L107" s="120">
        <v>5.3043549073564114</v>
      </c>
      <c r="M107" s="120">
        <v>4.4677595867368529</v>
      </c>
      <c r="N107" s="120">
        <v>5.1420601461802633</v>
      </c>
      <c r="O107" s="120">
        <v>5.1415731889393781</v>
      </c>
      <c r="P107" s="120">
        <v>6.8592623784446749</v>
      </c>
      <c r="Q107" s="120">
        <v>4.5450228616906081</v>
      </c>
      <c r="R107" s="120">
        <v>6.7197752798509436</v>
      </c>
      <c r="S107" s="120">
        <v>4.539838329019199</v>
      </c>
      <c r="T107" s="120">
        <v>4.4269578255131155</v>
      </c>
      <c r="U107" s="120">
        <v>5.4564290879838149</v>
      </c>
      <c r="V107" s="120">
        <v>5.1569719669507252</v>
      </c>
      <c r="W107" s="120">
        <v>5.4799775696753406</v>
      </c>
      <c r="X107" s="120">
        <v>5.1748973611334108</v>
      </c>
      <c r="Y107" s="120">
        <v>5.2765730048495083</v>
      </c>
      <c r="Z107" s="120">
        <v>6.2216102832612954</v>
      </c>
      <c r="AA107" s="120">
        <v>5.1482614527617026</v>
      </c>
      <c r="AB107" s="120">
        <v>5.255344086747451</v>
      </c>
      <c r="AC107" s="120">
        <v>6.3489307425456278</v>
      </c>
      <c r="AD107" s="120">
        <v>5.1389251894259393</v>
      </c>
      <c r="AE107" s="120">
        <v>4.4447049700427739</v>
      </c>
      <c r="AF107" s="120">
        <v>7.21537313747125</v>
      </c>
      <c r="AG107" s="120">
        <v>5.2096039425136</v>
      </c>
      <c r="AH107" s="120">
        <v>4.4339718747831034</v>
      </c>
      <c r="AI107" s="120">
        <v>4.581865948944718</v>
      </c>
      <c r="AJ107" s="120">
        <v>4.4053246177183523</v>
      </c>
      <c r="AK107" s="120">
        <v>4.5546974878451172</v>
      </c>
      <c r="AL107" s="120">
        <v>6.6202406691483686</v>
      </c>
      <c r="AM107" s="120">
        <v>4.5443276061933497</v>
      </c>
      <c r="AN107" s="120">
        <v>6.6012688841459397</v>
      </c>
      <c r="AO107" s="120">
        <v>4.5546134552196573</v>
      </c>
      <c r="AP107" s="120">
        <v>7.285452860363395</v>
      </c>
      <c r="AQ107" s="683">
        <v>5.6507331727007815</v>
      </c>
      <c r="AR107" s="120">
        <v>5.2109434507635672</v>
      </c>
    </row>
    <row r="108" spans="1:44">
      <c r="A108" s="126" t="b">
        <f t="shared" si="0"/>
        <v>0</v>
      </c>
      <c r="B108" s="120">
        <v>5.2831444599631627</v>
      </c>
      <c r="C108" s="120">
        <v>5.1538952707959629</v>
      </c>
      <c r="D108" s="120">
        <v>5.1511229943857408</v>
      </c>
      <c r="E108" s="120">
        <v>5.6492588753062662</v>
      </c>
      <c r="F108" s="120">
        <v>5.1511229943857408</v>
      </c>
      <c r="G108" s="120">
        <v>5.3490010640849741</v>
      </c>
      <c r="H108" s="120">
        <v>5.2141167920598548</v>
      </c>
      <c r="I108" s="120">
        <v>5.2819422433741714</v>
      </c>
      <c r="J108" s="120">
        <v>6.6314561385714086</v>
      </c>
      <c r="K108" s="120">
        <v>7.290596648806253</v>
      </c>
      <c r="L108" s="120">
        <v>5.4009621301493755</v>
      </c>
      <c r="M108" s="120">
        <v>4.5547779691804973</v>
      </c>
      <c r="N108" s="120">
        <v>5.2125134898075629</v>
      </c>
      <c r="O108" s="120">
        <v>5.2129514286057042</v>
      </c>
      <c r="P108" s="120">
        <v>7.1125256483493455</v>
      </c>
      <c r="Q108" s="120">
        <v>4.6115185134019541</v>
      </c>
      <c r="R108" s="120">
        <v>6.9694690259633312</v>
      </c>
      <c r="S108" s="120">
        <v>4.6075797726383385</v>
      </c>
      <c r="T108" s="120">
        <v>4.4880648921246777</v>
      </c>
      <c r="U108" s="120">
        <v>5.6242416057107434</v>
      </c>
      <c r="V108" s="120">
        <v>5.2205315819059326</v>
      </c>
      <c r="W108" s="120">
        <v>5.5528635170182383</v>
      </c>
      <c r="X108" s="120">
        <v>5.234769233617353</v>
      </c>
      <c r="Y108" s="120">
        <v>5.3431700676063425</v>
      </c>
      <c r="Z108" s="120">
        <v>6.2540301185125031</v>
      </c>
      <c r="AA108" s="120">
        <v>5.2163525084423465</v>
      </c>
      <c r="AB108" s="120">
        <v>5.3812027934854392</v>
      </c>
      <c r="AC108" s="120">
        <v>6.1743673457961794</v>
      </c>
      <c r="AD108" s="120">
        <v>5.2058412743025162</v>
      </c>
      <c r="AE108" s="120">
        <v>4.5032979674248805</v>
      </c>
      <c r="AF108" s="120">
        <v>7.317695656502722</v>
      </c>
      <c r="AG108" s="120">
        <v>5.280269553368985</v>
      </c>
      <c r="AH108" s="120">
        <v>4.493345413180565</v>
      </c>
      <c r="AI108" s="120">
        <v>4.6413924500418009</v>
      </c>
      <c r="AJ108" s="120">
        <v>4.4602936750719477</v>
      </c>
      <c r="AK108" s="120">
        <v>4.6131821897711989</v>
      </c>
      <c r="AL108" s="120">
        <v>6.8580149689340919</v>
      </c>
      <c r="AM108" s="120">
        <v>4.6139235351181487</v>
      </c>
      <c r="AN108" s="120">
        <v>6.8365108108566144</v>
      </c>
      <c r="AO108" s="120">
        <v>4.6221774797113975</v>
      </c>
      <c r="AP108" s="120">
        <v>7.3911233916062464</v>
      </c>
      <c r="AQ108" s="683">
        <v>5.8235131896215471</v>
      </c>
      <c r="AR108" s="120">
        <v>5.2858092546192603</v>
      </c>
    </row>
    <row r="109" spans="1:44">
      <c r="A109" s="126" t="b">
        <f t="shared" si="0"/>
        <v>0</v>
      </c>
      <c r="B109" s="120">
        <v>5.3936159027758919</v>
      </c>
      <c r="C109" s="120">
        <v>5.2277165614266652</v>
      </c>
      <c r="D109" s="120">
        <v>5.2256320404694128</v>
      </c>
      <c r="E109" s="120">
        <v>5.7883154442699629</v>
      </c>
      <c r="F109" s="120">
        <v>5.2256320404694128</v>
      </c>
      <c r="G109" s="120">
        <v>5.4341832688349925</v>
      </c>
      <c r="H109" s="120">
        <v>5.2757579409707214</v>
      </c>
      <c r="I109" s="120">
        <v>5.3539008897392026</v>
      </c>
      <c r="J109" s="120">
        <v>8.3092145416299754</v>
      </c>
      <c r="K109" s="120">
        <v>7.5473311936084473</v>
      </c>
      <c r="L109" s="120">
        <v>5.5626221919054224</v>
      </c>
      <c r="M109" s="120">
        <v>4.651363344413987</v>
      </c>
      <c r="N109" s="120">
        <v>5.3429693510583549</v>
      </c>
      <c r="O109" s="120">
        <v>5.3468858465806033</v>
      </c>
      <c r="P109" s="120">
        <v>7.3537461044998631</v>
      </c>
      <c r="Q109" s="120">
        <v>4.6576206151000825</v>
      </c>
      <c r="R109" s="120">
        <v>7.2066687120891357</v>
      </c>
      <c r="S109" s="120">
        <v>4.6512885544740863</v>
      </c>
      <c r="T109" s="120">
        <v>4.5419918973318589</v>
      </c>
      <c r="U109" s="120">
        <v>5.7899745194290428</v>
      </c>
      <c r="V109" s="120">
        <v>5.2882540568130745</v>
      </c>
      <c r="W109" s="120">
        <v>5.6643044767340953</v>
      </c>
      <c r="X109" s="120">
        <v>5.3127903842328061</v>
      </c>
      <c r="Y109" s="120">
        <v>5.4431275576233711</v>
      </c>
      <c r="Z109" s="120">
        <v>6.4566102243976387</v>
      </c>
      <c r="AA109" s="120">
        <v>5.2820894598834416</v>
      </c>
      <c r="AB109" s="120">
        <v>5.4755622647092865</v>
      </c>
      <c r="AC109" s="120">
        <v>6.5134586505968119</v>
      </c>
      <c r="AD109" s="120">
        <v>5.2728691031218382</v>
      </c>
      <c r="AE109" s="120">
        <v>4.5903363383087772</v>
      </c>
      <c r="AF109" s="120">
        <v>7.4645203716151745</v>
      </c>
      <c r="AG109" s="120">
        <v>5.4014694654543174</v>
      </c>
      <c r="AH109" s="120">
        <v>4.5715628482073658</v>
      </c>
      <c r="AI109" s="120">
        <v>4.71127198045735</v>
      </c>
      <c r="AJ109" s="120">
        <v>4.5238494561575706</v>
      </c>
      <c r="AK109" s="120">
        <v>4.6823774285338926</v>
      </c>
      <c r="AL109" s="120">
        <v>7.0863281819825978</v>
      </c>
      <c r="AM109" s="120">
        <v>4.6650955677583683</v>
      </c>
      <c r="AN109" s="120">
        <v>7.0521135172648792</v>
      </c>
      <c r="AO109" s="120">
        <v>4.6714129467512118</v>
      </c>
      <c r="AP109" s="120">
        <v>7.5261984140492695</v>
      </c>
      <c r="AQ109" s="683">
        <v>6.0259069053425316</v>
      </c>
      <c r="AR109" s="120">
        <v>5.376074450784456</v>
      </c>
    </row>
    <row r="110" spans="1:44">
      <c r="A110" s="126" t="b">
        <f t="shared" si="0"/>
        <v>0</v>
      </c>
      <c r="B110" s="120">
        <v>5.5007384156816261</v>
      </c>
      <c r="C110" s="120">
        <v>5.3545982183632432</v>
      </c>
      <c r="D110" s="120">
        <v>5.3204883218444436</v>
      </c>
      <c r="E110" s="120">
        <v>5.8168293134535585</v>
      </c>
      <c r="F110" s="120">
        <v>5.3204883218444436</v>
      </c>
      <c r="G110" s="120">
        <v>5.5635407286705467</v>
      </c>
      <c r="H110" s="120">
        <v>5.3761136050600182</v>
      </c>
      <c r="I110" s="120">
        <v>5.4451803872024165</v>
      </c>
      <c r="J110" s="120">
        <v>10.320044460704429</v>
      </c>
      <c r="K110" s="120">
        <v>7.6897921296539655</v>
      </c>
      <c r="L110" s="120">
        <v>5.687982419839039</v>
      </c>
      <c r="M110" s="120">
        <v>4.7429874518607109</v>
      </c>
      <c r="N110" s="120">
        <v>5.4633794441014647</v>
      </c>
      <c r="O110" s="120">
        <v>5.4620322816491536</v>
      </c>
      <c r="P110" s="120">
        <v>7.4976589820725783</v>
      </c>
      <c r="Q110" s="120">
        <v>4.7455657296295968</v>
      </c>
      <c r="R110" s="120">
        <v>7.348959604394274</v>
      </c>
      <c r="S110" s="120">
        <v>4.7461212611941965</v>
      </c>
      <c r="T110" s="120">
        <v>4.6457078387147401</v>
      </c>
      <c r="U110" s="120">
        <v>6.0232208328770129</v>
      </c>
      <c r="V110" s="120">
        <v>5.4115086539276245</v>
      </c>
      <c r="W110" s="120">
        <v>5.7740567848642099</v>
      </c>
      <c r="X110" s="120">
        <v>5.4136767883708581</v>
      </c>
      <c r="Y110" s="120">
        <v>5.5470069322471689</v>
      </c>
      <c r="Z110" s="120">
        <v>6.663995727374104</v>
      </c>
      <c r="AA110" s="120">
        <v>5.4024223382979732</v>
      </c>
      <c r="AB110" s="120">
        <v>5.5576882342611809</v>
      </c>
      <c r="AC110" s="120">
        <v>6.8792186532735613</v>
      </c>
      <c r="AD110" s="120">
        <v>5.3728148141330276</v>
      </c>
      <c r="AE110" s="120">
        <v>4.6574787802182627</v>
      </c>
      <c r="AF110" s="120">
        <v>7.6050762537412426</v>
      </c>
      <c r="AG110" s="120">
        <v>5.4677973830348048</v>
      </c>
      <c r="AH110" s="120">
        <v>4.6457898560145976</v>
      </c>
      <c r="AI110" s="120">
        <v>4.8229789418071567</v>
      </c>
      <c r="AJ110" s="120">
        <v>4.6110948968610863</v>
      </c>
      <c r="AK110" s="120">
        <v>4.7941795596324415</v>
      </c>
      <c r="AL110" s="120">
        <v>7.2195768545487748</v>
      </c>
      <c r="AM110" s="120">
        <v>4.7456751422281602</v>
      </c>
      <c r="AN110" s="120">
        <v>7.1886175238633188</v>
      </c>
      <c r="AO110" s="120">
        <v>4.7501485418743661</v>
      </c>
      <c r="AP110" s="120">
        <v>7.6811722704435414</v>
      </c>
      <c r="AQ110" s="683">
        <v>6.22054499489722</v>
      </c>
      <c r="AR110" s="120">
        <v>5.4789997249435665</v>
      </c>
    </row>
    <row r="111" spans="1:44">
      <c r="A111" s="126" t="b">
        <f t="shared" si="0"/>
        <v>0</v>
      </c>
      <c r="B111" s="120">
        <v>5.579861623689669</v>
      </c>
      <c r="C111" s="120">
        <v>5.4395221445063315</v>
      </c>
      <c r="D111" s="120">
        <v>5.4057254161750157</v>
      </c>
      <c r="E111" s="120">
        <v>5.8168293134535585</v>
      </c>
      <c r="F111" s="120">
        <v>5.4057254161750157</v>
      </c>
      <c r="G111" s="120">
        <v>5.6460176875917378</v>
      </c>
      <c r="H111" s="120">
        <v>5.4668560259503574</v>
      </c>
      <c r="I111" s="120">
        <v>5.5242276958759637</v>
      </c>
      <c r="J111" s="120">
        <v>10.639965838986265</v>
      </c>
      <c r="K111" s="120">
        <v>7.8090238595771897</v>
      </c>
      <c r="L111" s="120">
        <v>5.7718359522558895</v>
      </c>
      <c r="M111" s="120">
        <v>4.8100659440836964</v>
      </c>
      <c r="N111" s="120">
        <v>5.5439218282909151</v>
      </c>
      <c r="O111" s="120">
        <v>5.5437720779292121</v>
      </c>
      <c r="P111" s="120">
        <v>7.6168840350809734</v>
      </c>
      <c r="Q111" s="120">
        <v>4.8284636422247482</v>
      </c>
      <c r="R111" s="120">
        <v>7.4680384622433769</v>
      </c>
      <c r="S111" s="120">
        <v>4.8337127376794076</v>
      </c>
      <c r="T111" s="120">
        <v>4.7201711004951008</v>
      </c>
      <c r="U111" s="120">
        <v>6.179109618327943</v>
      </c>
      <c r="V111" s="120">
        <v>5.4789217151893048</v>
      </c>
      <c r="W111" s="120">
        <v>5.855803538873027</v>
      </c>
      <c r="X111" s="120">
        <v>5.5086457673538911</v>
      </c>
      <c r="Y111" s="120">
        <v>5.627776170209505</v>
      </c>
      <c r="Z111" s="120">
        <v>6.7101552259198405</v>
      </c>
      <c r="AA111" s="120">
        <v>5.4729021422416055</v>
      </c>
      <c r="AB111" s="120">
        <v>5.5836328910289987</v>
      </c>
      <c r="AC111" s="120">
        <v>6.9917863462723959</v>
      </c>
      <c r="AD111" s="120">
        <v>5.4626603363569997</v>
      </c>
      <c r="AE111" s="120">
        <v>4.7315837465874733</v>
      </c>
      <c r="AF111" s="120">
        <v>7.7145075770803047</v>
      </c>
      <c r="AG111" s="120">
        <v>5.5548006689402163</v>
      </c>
      <c r="AH111" s="120">
        <v>4.7251486369156792</v>
      </c>
      <c r="AI111" s="120">
        <v>4.9025353621353007</v>
      </c>
      <c r="AJ111" s="120">
        <v>4.6883676783696977</v>
      </c>
      <c r="AK111" s="120">
        <v>4.8737220025096493</v>
      </c>
      <c r="AL111" s="120">
        <v>7.3386231952419214</v>
      </c>
      <c r="AM111" s="120">
        <v>4.8305676394207593</v>
      </c>
      <c r="AN111" s="120">
        <v>7.3032622285322057</v>
      </c>
      <c r="AO111" s="120">
        <v>4.831477076181371</v>
      </c>
      <c r="AP111" s="120">
        <v>7.796107547399858</v>
      </c>
      <c r="AQ111" s="683">
        <v>6.3588915317902401</v>
      </c>
      <c r="AR111" s="120">
        <v>5.5615294706056568</v>
      </c>
    </row>
    <row r="112" spans="1:44">
      <c r="A112" s="126" t="b">
        <f t="shared" si="0"/>
        <v>0</v>
      </c>
      <c r="B112" s="120">
        <v>5.6400667083760627</v>
      </c>
      <c r="C112" s="120">
        <v>5.5197354683847415</v>
      </c>
      <c r="D112" s="120">
        <v>5.4828235360571318</v>
      </c>
      <c r="E112" s="120">
        <v>5.8168293134535585</v>
      </c>
      <c r="F112" s="120">
        <v>5.4828235360571318</v>
      </c>
      <c r="G112" s="120">
        <v>5.7266880207909479</v>
      </c>
      <c r="H112" s="120">
        <v>5.5546007583363739</v>
      </c>
      <c r="I112" s="120">
        <v>5.6004753921138599</v>
      </c>
      <c r="J112" s="120">
        <v>11.533722969461113</v>
      </c>
      <c r="K112" s="120">
        <v>7.9398481585053249</v>
      </c>
      <c r="L112" s="120">
        <v>5.8522898315375764</v>
      </c>
      <c r="M112" s="120">
        <v>4.8795941980198991</v>
      </c>
      <c r="N112" s="120">
        <v>5.6211988024131774</v>
      </c>
      <c r="O112" s="120">
        <v>5.587990589969297</v>
      </c>
      <c r="P112" s="120">
        <v>7.7420641352986888</v>
      </c>
      <c r="Q112" s="120">
        <v>4.9022196535765001</v>
      </c>
      <c r="R112" s="120">
        <v>7.5881525167800401</v>
      </c>
      <c r="S112" s="120">
        <v>4.9010897661372566</v>
      </c>
      <c r="T112" s="120">
        <v>4.7895506734269917</v>
      </c>
      <c r="U112" s="120">
        <v>6.3209312176835768</v>
      </c>
      <c r="V112" s="120">
        <v>5.5546138213850904</v>
      </c>
      <c r="W112" s="120">
        <v>5.9109820059139428</v>
      </c>
      <c r="X112" s="120">
        <v>5.5675076184629866</v>
      </c>
      <c r="Y112" s="120">
        <v>5.6834679119330636</v>
      </c>
      <c r="Z112" s="120">
        <v>6.7991438620916478</v>
      </c>
      <c r="AA112" s="120">
        <v>5.5577504842968795</v>
      </c>
      <c r="AB112" s="120">
        <v>5.623025472309549</v>
      </c>
      <c r="AC112" s="120">
        <v>7.1853027737186945</v>
      </c>
      <c r="AD112" s="120">
        <v>5.5472381956262611</v>
      </c>
      <c r="AE112" s="120">
        <v>4.7967681945482239</v>
      </c>
      <c r="AF112" s="120">
        <v>7.8263384575678661</v>
      </c>
      <c r="AG112" s="120">
        <v>5.6272551694863608</v>
      </c>
      <c r="AH112" s="120">
        <v>4.7825811062669912</v>
      </c>
      <c r="AI112" s="120">
        <v>4.9533836295928415</v>
      </c>
      <c r="AJ112" s="120">
        <v>4.7532345253400416</v>
      </c>
      <c r="AK112" s="120">
        <v>4.9248733752765022</v>
      </c>
      <c r="AL112" s="120">
        <v>7.4584289407682105</v>
      </c>
      <c r="AM112" s="120">
        <v>4.9040437402655854</v>
      </c>
      <c r="AN112" s="120">
        <v>7.4230242901436325</v>
      </c>
      <c r="AO112" s="120">
        <v>4.9063566848276885</v>
      </c>
      <c r="AP112" s="120">
        <v>7.910356131251568</v>
      </c>
      <c r="AQ112" s="683">
        <v>6.4836449304624999</v>
      </c>
      <c r="AR112" s="120">
        <v>5.641003017009254</v>
      </c>
    </row>
    <row r="113" spans="1:44">
      <c r="A113" s="126" t="b">
        <f t="shared" si="0"/>
        <v>0</v>
      </c>
      <c r="B113" s="120">
        <v>5.7138674930983004</v>
      </c>
      <c r="C113" s="120">
        <v>5.5930617304437753</v>
      </c>
      <c r="D113" s="120">
        <v>5.5546656698064689</v>
      </c>
      <c r="E113" s="120">
        <v>5.8604555333044601</v>
      </c>
      <c r="F113" s="120">
        <v>5.5546656698064689</v>
      </c>
      <c r="G113" s="120">
        <v>5.8138015636770772</v>
      </c>
      <c r="H113" s="120">
        <v>5.6307280186224125</v>
      </c>
      <c r="I113" s="120">
        <v>5.6723645442524626</v>
      </c>
      <c r="J113" s="120">
        <v>11.199245003346741</v>
      </c>
      <c r="K113" s="120">
        <v>8.0329664468318089</v>
      </c>
      <c r="L113" s="120">
        <v>5.9366435925697516</v>
      </c>
      <c r="M113" s="120">
        <v>4.9740461482200375</v>
      </c>
      <c r="N113" s="120">
        <v>5.7022216625486823</v>
      </c>
      <c r="O113" s="120">
        <v>5.6632991291925832</v>
      </c>
      <c r="P113" s="120">
        <v>7.837306414682164</v>
      </c>
      <c r="Q113" s="120">
        <v>4.9745056347301579</v>
      </c>
      <c r="R113" s="120">
        <v>7.681659750872698</v>
      </c>
      <c r="S113" s="120">
        <v>4.971664268245874</v>
      </c>
      <c r="T113" s="120">
        <v>4.858341206874444</v>
      </c>
      <c r="U113" s="120">
        <v>6.4511656677449398</v>
      </c>
      <c r="V113" s="120">
        <v>5.6332643705631664</v>
      </c>
      <c r="W113" s="120">
        <v>5.972759659084339</v>
      </c>
      <c r="X113" s="120">
        <v>5.641572703050814</v>
      </c>
      <c r="Y113" s="120">
        <v>5.7617081649092228</v>
      </c>
      <c r="Z113" s="120">
        <v>6.8440641403100964</v>
      </c>
      <c r="AA113" s="120">
        <v>5.6295997920037975</v>
      </c>
      <c r="AB113" s="120">
        <v>5.6793812051754085</v>
      </c>
      <c r="AC113" s="120">
        <v>7.2028331980758935</v>
      </c>
      <c r="AD113" s="120">
        <v>5.6189010862702045</v>
      </c>
      <c r="AE113" s="120">
        <v>4.8606134254041757</v>
      </c>
      <c r="AF113" s="120">
        <v>7.9354399741990864</v>
      </c>
      <c r="AG113" s="120">
        <v>5.7011735272881907</v>
      </c>
      <c r="AH113" s="120">
        <v>4.8426671384996913</v>
      </c>
      <c r="AI113" s="120">
        <v>5.0238257794170238</v>
      </c>
      <c r="AJ113" s="120">
        <v>4.8154218839628671</v>
      </c>
      <c r="AK113" s="120">
        <v>4.9954093994364648</v>
      </c>
      <c r="AL113" s="120">
        <v>7.5501930644745725</v>
      </c>
      <c r="AM113" s="120">
        <v>4.9728959839801039</v>
      </c>
      <c r="AN113" s="120">
        <v>7.5162832766726648</v>
      </c>
      <c r="AO113" s="120">
        <v>4.9753861240276294</v>
      </c>
      <c r="AP113" s="120">
        <v>8.0320564677823079</v>
      </c>
      <c r="AQ113" s="683">
        <v>6.6021587828866419</v>
      </c>
      <c r="AR113" s="120">
        <v>5.7197053071523349</v>
      </c>
    </row>
    <row r="114" spans="1:44">
      <c r="A114" s="126" t="b">
        <f t="shared" si="0"/>
        <v>0</v>
      </c>
      <c r="B114" s="120">
        <v>5.8008698609667064</v>
      </c>
      <c r="C114" s="120">
        <v>5.6677631856995303</v>
      </c>
      <c r="D114" s="120">
        <v>5.626122274897142</v>
      </c>
      <c r="E114" s="120">
        <v>5.9190600886375044</v>
      </c>
      <c r="F114" s="120">
        <v>5.626122274897142</v>
      </c>
      <c r="G114" s="120">
        <v>5.9155500155772547</v>
      </c>
      <c r="H114" s="120">
        <v>5.7000546600963871</v>
      </c>
      <c r="I114" s="120">
        <v>5.7403737733293596</v>
      </c>
      <c r="J114" s="120">
        <v>10.538489548149283</v>
      </c>
      <c r="K114" s="120">
        <v>8.1132961113001265</v>
      </c>
      <c r="L114" s="120">
        <v>6.0953567244889246</v>
      </c>
      <c r="M114" s="120">
        <v>5.0990223444459986</v>
      </c>
      <c r="N114" s="120">
        <v>5.8546676439940173</v>
      </c>
      <c r="O114" s="120">
        <v>5.7901070099099732</v>
      </c>
      <c r="P114" s="120">
        <v>7.9174894835486205</v>
      </c>
      <c r="Q114" s="120">
        <v>5.02996304375535</v>
      </c>
      <c r="R114" s="120">
        <v>7.7605659390394246</v>
      </c>
      <c r="S114" s="120">
        <v>5.0271304098346459</v>
      </c>
      <c r="T114" s="120">
        <v>4.9263767254898925</v>
      </c>
      <c r="U114" s="120">
        <v>6.5607704752636851</v>
      </c>
      <c r="V114" s="120">
        <v>5.7025134728129085</v>
      </c>
      <c r="W114" s="120">
        <v>6.0290341428182295</v>
      </c>
      <c r="X114" s="120">
        <v>5.7065673708365692</v>
      </c>
      <c r="Y114" s="120">
        <v>5.8184412643037708</v>
      </c>
      <c r="Z114" s="120">
        <v>6.8747175475201425</v>
      </c>
      <c r="AA114" s="120">
        <v>5.6960976532030498</v>
      </c>
      <c r="AB114" s="120">
        <v>5.7386265333018969</v>
      </c>
      <c r="AC114" s="120">
        <v>7.1816864672891079</v>
      </c>
      <c r="AD114" s="120">
        <v>5.6832311873072303</v>
      </c>
      <c r="AE114" s="120">
        <v>4.9291355908619181</v>
      </c>
      <c r="AF114" s="120">
        <v>8.0776040245012144</v>
      </c>
      <c r="AG114" s="120">
        <v>5.7858835224546317</v>
      </c>
      <c r="AH114" s="120">
        <v>4.9158746496337642</v>
      </c>
      <c r="AI114" s="120">
        <v>5.0863740228233487</v>
      </c>
      <c r="AJ114" s="120">
        <v>4.8731282605578121</v>
      </c>
      <c r="AK114" s="120">
        <v>5.0576164462328466</v>
      </c>
      <c r="AL114" s="120">
        <v>7.6277153282256167</v>
      </c>
      <c r="AM114" s="120">
        <v>5.0296914488715148</v>
      </c>
      <c r="AN114" s="120">
        <v>7.593774592025528</v>
      </c>
      <c r="AO114" s="120">
        <v>5.0289381433472471</v>
      </c>
      <c r="AP114" s="120">
        <v>8.1793417348492508</v>
      </c>
      <c r="AQ114" s="683">
        <v>6.7314099924816153</v>
      </c>
      <c r="AR114" s="120">
        <v>5.8115064559300968</v>
      </c>
    </row>
    <row r="115" spans="1:44">
      <c r="A115" s="126" t="b">
        <f t="shared" si="0"/>
        <v>0</v>
      </c>
      <c r="B115" s="120">
        <v>5.9048453777678231</v>
      </c>
      <c r="C115" s="120">
        <v>5.762353289567038</v>
      </c>
      <c r="D115" s="120">
        <v>5.7158689441068429</v>
      </c>
      <c r="E115" s="120">
        <v>5.9916016215848504</v>
      </c>
      <c r="F115" s="120">
        <v>5.7158689441068429</v>
      </c>
      <c r="G115" s="120">
        <v>6.0290271795152925</v>
      </c>
      <c r="H115" s="120">
        <v>5.7848889661121756</v>
      </c>
      <c r="I115" s="120">
        <v>5.8237152622523816</v>
      </c>
      <c r="J115" s="120">
        <v>7.2926347673193028</v>
      </c>
      <c r="K115" s="120">
        <v>8.2127292862224852</v>
      </c>
      <c r="L115" s="120">
        <v>6.2143243343329271</v>
      </c>
      <c r="M115" s="120">
        <v>5.1983149773073105</v>
      </c>
      <c r="N115" s="120">
        <v>5.9689375460718797</v>
      </c>
      <c r="O115" s="120">
        <v>5.901716789146735</v>
      </c>
      <c r="P115" s="120">
        <v>8.0160723565196079</v>
      </c>
      <c r="Q115" s="120">
        <v>5.0960153243926856</v>
      </c>
      <c r="R115" s="120">
        <v>7.8564994392180152</v>
      </c>
      <c r="S115" s="120">
        <v>5.0918711020913436</v>
      </c>
      <c r="T115" s="120">
        <v>5.0062441507641768</v>
      </c>
      <c r="U115" s="120">
        <v>6.6741368623795374</v>
      </c>
      <c r="V115" s="120">
        <v>5.7899635929209659</v>
      </c>
      <c r="W115" s="120">
        <v>6.0972843379656947</v>
      </c>
      <c r="X115" s="120">
        <v>5.7967272600615729</v>
      </c>
      <c r="Y115" s="120">
        <v>5.8790751205663847</v>
      </c>
      <c r="Z115" s="120">
        <v>6.8383446715580654</v>
      </c>
      <c r="AA115" s="120">
        <v>5.7810720258279202</v>
      </c>
      <c r="AB115" s="120">
        <v>5.8149737035489455</v>
      </c>
      <c r="AC115" s="120">
        <v>6.8676669654454718</v>
      </c>
      <c r="AD115" s="120">
        <v>5.7649660773903868</v>
      </c>
      <c r="AE115" s="120">
        <v>5.0150245838785548</v>
      </c>
      <c r="AF115" s="120">
        <v>8.2290419889206685</v>
      </c>
      <c r="AG115" s="120">
        <v>5.8904777813095732</v>
      </c>
      <c r="AH115" s="120">
        <v>5.001263156803625</v>
      </c>
      <c r="AI115" s="120">
        <v>5.1699754743716415</v>
      </c>
      <c r="AJ115" s="120">
        <v>4.9493743617142218</v>
      </c>
      <c r="AK115" s="120">
        <v>5.1408499204503526</v>
      </c>
      <c r="AL115" s="120">
        <v>7.7231184260531753</v>
      </c>
      <c r="AM115" s="120">
        <v>5.0965322769323009</v>
      </c>
      <c r="AN115" s="120">
        <v>7.6891260298810415</v>
      </c>
      <c r="AO115" s="120">
        <v>5.0953926848212054</v>
      </c>
      <c r="AP115" s="120">
        <v>8.3350653173680502</v>
      </c>
      <c r="AQ115" s="683">
        <v>6.8605638398370505</v>
      </c>
      <c r="AR115" s="120">
        <v>5.9159850690844689</v>
      </c>
    </row>
    <row r="116" spans="1:44">
      <c r="A116" s="126" t="b">
        <f t="shared" si="0"/>
        <v>0</v>
      </c>
      <c r="B116" s="120">
        <v>6.0208033980611519</v>
      </c>
      <c r="C116" s="120">
        <v>5.8741735678353741</v>
      </c>
      <c r="D116" s="120">
        <v>5.825536668125757</v>
      </c>
      <c r="E116" s="120">
        <v>6.1055577604728226</v>
      </c>
      <c r="F116" s="120">
        <v>5.825536668125757</v>
      </c>
      <c r="G116" s="120">
        <v>6.1488431963687677</v>
      </c>
      <c r="H116" s="120">
        <v>5.8940858912978005</v>
      </c>
      <c r="I116" s="120">
        <v>5.9337696948511924</v>
      </c>
      <c r="J116" s="120">
        <v>7.730192853358461</v>
      </c>
      <c r="K116" s="120">
        <v>8.368929744513725</v>
      </c>
      <c r="L116" s="120">
        <v>6.3383466741047618</v>
      </c>
      <c r="M116" s="120">
        <v>5.3020037937020872</v>
      </c>
      <c r="N116" s="120">
        <v>6.0880625805226689</v>
      </c>
      <c r="O116" s="120">
        <v>6.0195030907537035</v>
      </c>
      <c r="P116" s="120">
        <v>8.1674400054731091</v>
      </c>
      <c r="Q116" s="120">
        <v>5.1895754553961178</v>
      </c>
      <c r="R116" s="120">
        <v>8.0047642177142873</v>
      </c>
      <c r="S116" s="120">
        <v>5.1849386235269828</v>
      </c>
      <c r="T116" s="120">
        <v>5.1022544291236063</v>
      </c>
      <c r="U116" s="120">
        <v>6.8021341630841317</v>
      </c>
      <c r="V116" s="120">
        <v>5.90010212408776</v>
      </c>
      <c r="W116" s="120">
        <v>6.2081538562535572</v>
      </c>
      <c r="X116" s="120">
        <v>5.9079015742097036</v>
      </c>
      <c r="Y116" s="120">
        <v>5.9953719858824757</v>
      </c>
      <c r="Z116" s="120">
        <v>6.9764192964252807</v>
      </c>
      <c r="AA116" s="120">
        <v>5.8903601886016901</v>
      </c>
      <c r="AB116" s="120">
        <v>5.9154663511749312</v>
      </c>
      <c r="AC116" s="120">
        <v>7.0423246621077045</v>
      </c>
      <c r="AD116" s="120">
        <v>5.8731175390883603</v>
      </c>
      <c r="AE116" s="120">
        <v>5.1131564956432811</v>
      </c>
      <c r="AF116" s="120">
        <v>8.3921976649077408</v>
      </c>
      <c r="AG116" s="120">
        <v>6.0067060265558831</v>
      </c>
      <c r="AH116" s="120">
        <v>5.0990290681371455</v>
      </c>
      <c r="AI116" s="120">
        <v>5.2701029048865209</v>
      </c>
      <c r="AJ116" s="120">
        <v>5.0440829884136464</v>
      </c>
      <c r="AK116" s="120">
        <v>5.2404630493796764</v>
      </c>
      <c r="AL116" s="120">
        <v>7.8687939801665117</v>
      </c>
      <c r="AM116" s="120">
        <v>5.1904567197899532</v>
      </c>
      <c r="AN116" s="120">
        <v>7.833728388591461</v>
      </c>
      <c r="AO116" s="120">
        <v>5.1891691887154643</v>
      </c>
      <c r="AP116" s="120">
        <v>8.5008153071644834</v>
      </c>
      <c r="AQ116" s="683">
        <v>6.9969920912247474</v>
      </c>
      <c r="AR116" s="120">
        <v>6.0322191274788608</v>
      </c>
    </row>
    <row r="117" spans="1:44">
      <c r="A117" s="126" t="b">
        <f t="shared" si="0"/>
        <v>0</v>
      </c>
      <c r="B117" s="120">
        <v>6.1412194660223758</v>
      </c>
      <c r="C117" s="120">
        <v>5.9916570391920807</v>
      </c>
      <c r="D117" s="120">
        <v>5.9420474014882716</v>
      </c>
      <c r="E117" s="120">
        <v>6.2245688010724196</v>
      </c>
      <c r="F117" s="120">
        <v>5.9420474014882716</v>
      </c>
      <c r="G117" s="120">
        <v>6.271820060296144</v>
      </c>
      <c r="H117" s="120">
        <v>6.0119676091237562</v>
      </c>
      <c r="I117" s="120">
        <v>6.0520232843270332</v>
      </c>
      <c r="J117" s="120">
        <v>7.6992720819450273</v>
      </c>
      <c r="K117" s="120">
        <v>8.5446772691485116</v>
      </c>
      <c r="L117" s="120">
        <v>6.4651136075868587</v>
      </c>
      <c r="M117" s="120">
        <v>5.4080438695761304</v>
      </c>
      <c r="N117" s="120">
        <v>6.2098238321331243</v>
      </c>
      <c r="O117" s="120">
        <v>6.1398931525687797</v>
      </c>
      <c r="P117" s="120">
        <v>8.337893866308141</v>
      </c>
      <c r="Q117" s="120">
        <v>5.2933669645040418</v>
      </c>
      <c r="R117" s="120">
        <v>8.1712910706244912</v>
      </c>
      <c r="S117" s="120">
        <v>5.2886373959975224</v>
      </c>
      <c r="T117" s="120">
        <v>5.2042995177060787</v>
      </c>
      <c r="U117" s="120">
        <v>6.9381768463458133</v>
      </c>
      <c r="V117" s="120">
        <v>6.0181041665695147</v>
      </c>
      <c r="W117" s="120">
        <v>6.3346636978014859</v>
      </c>
      <c r="X117" s="120">
        <v>6.0260596056938986</v>
      </c>
      <c r="Y117" s="120">
        <v>6.1135036318488263</v>
      </c>
      <c r="Z117" s="120">
        <v>7.105120404068197</v>
      </c>
      <c r="AA117" s="120">
        <v>6.008167392373724</v>
      </c>
      <c r="AB117" s="120">
        <v>6.0345148627205996</v>
      </c>
      <c r="AC117" s="120">
        <v>7.154265287322727</v>
      </c>
      <c r="AD117" s="120">
        <v>5.990579889870129</v>
      </c>
      <c r="AE117" s="120">
        <v>5.2154196255561454</v>
      </c>
      <c r="AF117" s="120">
        <v>8.5600416182058954</v>
      </c>
      <c r="AG117" s="120">
        <v>6.1268401470870009</v>
      </c>
      <c r="AH117" s="120">
        <v>5.2010096494998903</v>
      </c>
      <c r="AI117" s="120">
        <v>5.3754063748750278</v>
      </c>
      <c r="AJ117" s="120">
        <v>5.1449646481819205</v>
      </c>
      <c r="AK117" s="120">
        <v>5.3452723103672701</v>
      </c>
      <c r="AL117" s="120">
        <v>8.0326066196781358</v>
      </c>
      <c r="AM117" s="120">
        <v>5.2942658541857535</v>
      </c>
      <c r="AN117" s="120">
        <v>7.9954686519672471</v>
      </c>
      <c r="AO117" s="120">
        <v>5.2929525724897761</v>
      </c>
      <c r="AP117" s="120">
        <v>8.6708316133077741</v>
      </c>
      <c r="AQ117" s="683">
        <v>7.1369319330492429</v>
      </c>
      <c r="AR117" s="120">
        <v>6.1528635100284372</v>
      </c>
    </row>
    <row r="118" spans="1:44">
      <c r="A118" s="126" t="b">
        <f t="shared" si="0"/>
        <v>0</v>
      </c>
      <c r="B118" s="120">
        <v>6.2640438553428242</v>
      </c>
      <c r="C118" s="120">
        <v>6.1114901799759265</v>
      </c>
      <c r="D118" s="120">
        <v>6.0608883495180388</v>
      </c>
      <c r="E118" s="120">
        <v>6.3428356082927948</v>
      </c>
      <c r="F118" s="120">
        <v>6.0608883495180388</v>
      </c>
      <c r="G118" s="120">
        <v>6.3972564615020673</v>
      </c>
      <c r="H118" s="120">
        <v>6.1322069613062347</v>
      </c>
      <c r="I118" s="120">
        <v>6.1722164667537704</v>
      </c>
      <c r="J118" s="120">
        <v>7.7300691702728077</v>
      </c>
      <c r="K118" s="120">
        <v>8.7112322299372753</v>
      </c>
      <c r="L118" s="120">
        <v>6.5944158797385946</v>
      </c>
      <c r="M118" s="120">
        <v>5.5162047469676523</v>
      </c>
      <c r="N118" s="120">
        <v>6.3340203087757851</v>
      </c>
      <c r="O118" s="120">
        <v>6.2626910156201552</v>
      </c>
      <c r="P118" s="120">
        <v>8.5019664102342212</v>
      </c>
      <c r="Q118" s="120">
        <v>5.3992343037941239</v>
      </c>
      <c r="R118" s="120">
        <v>8.3315361219751836</v>
      </c>
      <c r="S118" s="120">
        <v>5.3944101439174723</v>
      </c>
      <c r="T118" s="120">
        <v>5.3083855080602005</v>
      </c>
      <c r="U118" s="120">
        <v>7.0769403832727313</v>
      </c>
      <c r="V118" s="120">
        <v>6.1384662499009055</v>
      </c>
      <c r="W118" s="120">
        <v>6.4578681349180354</v>
      </c>
      <c r="X118" s="120">
        <v>6.1465807978077773</v>
      </c>
      <c r="Y118" s="120">
        <v>6.2333210687950205</v>
      </c>
      <c r="Z118" s="120">
        <v>7.2344595527022335</v>
      </c>
      <c r="AA118" s="120">
        <v>6.1283307402211999</v>
      </c>
      <c r="AB118" s="120">
        <v>6.1507653526045214</v>
      </c>
      <c r="AC118" s="120">
        <v>7.2767325768949771</v>
      </c>
      <c r="AD118" s="120">
        <v>6.1103914876675329</v>
      </c>
      <c r="AE118" s="120">
        <v>5.3197280180672708</v>
      </c>
      <c r="AF118" s="120">
        <v>8.7312424505700132</v>
      </c>
      <c r="AG118" s="120">
        <v>6.2493769500287399</v>
      </c>
      <c r="AH118" s="120">
        <v>5.3050298424898887</v>
      </c>
      <c r="AI118" s="120">
        <v>5.4827613967271498</v>
      </c>
      <c r="AJ118" s="120">
        <v>5.2478639411455568</v>
      </c>
      <c r="AK118" s="120">
        <v>5.4521777565746179</v>
      </c>
      <c r="AL118" s="120">
        <v>8.1908033552055617</v>
      </c>
      <c r="AM118" s="120">
        <v>5.4001511712694681</v>
      </c>
      <c r="AN118" s="120">
        <v>8.1528325065541871</v>
      </c>
      <c r="AO118" s="120">
        <v>5.3988116239395705</v>
      </c>
      <c r="AP118" s="120">
        <v>8.8442482455739295</v>
      </c>
      <c r="AQ118" s="683">
        <v>7.2796705717102279</v>
      </c>
      <c r="AR118" s="120">
        <v>6.275920780229006</v>
      </c>
    </row>
    <row r="119" spans="1:44">
      <c r="A119" s="126" t="b">
        <f t="shared" si="0"/>
        <v>0</v>
      </c>
      <c r="B119" s="120">
        <v>6.3893247324496825</v>
      </c>
      <c r="C119" s="120">
        <v>6.2337199835754422</v>
      </c>
      <c r="D119" s="120">
        <v>6.1821061165083977</v>
      </c>
      <c r="E119" s="120">
        <v>6.4633494848503572</v>
      </c>
      <c r="F119" s="120">
        <v>6.1821061165083977</v>
      </c>
      <c r="G119" s="120">
        <v>6.5252015907321086</v>
      </c>
      <c r="H119" s="120">
        <v>6.2548511005323579</v>
      </c>
      <c r="I119" s="120">
        <v>6.2947966857834992</v>
      </c>
      <c r="J119" s="120">
        <v>7.7919097236349906</v>
      </c>
      <c r="K119" s="120">
        <v>8.8767456423060835</v>
      </c>
      <c r="L119" s="120">
        <v>6.7263041973333673</v>
      </c>
      <c r="M119" s="120">
        <v>5.6265288419070059</v>
      </c>
      <c r="N119" s="120">
        <v>6.4607007149513027</v>
      </c>
      <c r="O119" s="120">
        <v>6.387944835932557</v>
      </c>
      <c r="P119" s="120">
        <v>8.6662783761306734</v>
      </c>
      <c r="Q119" s="120">
        <v>5.5072189898700046</v>
      </c>
      <c r="R119" s="120">
        <v>8.4920053425541528</v>
      </c>
      <c r="S119" s="120">
        <v>5.502298346795822</v>
      </c>
      <c r="T119" s="120">
        <v>5.4145532182214042</v>
      </c>
      <c r="U119" s="120">
        <v>7.2184791909381856</v>
      </c>
      <c r="V119" s="120">
        <v>6.2612355748989241</v>
      </c>
      <c r="W119" s="120">
        <v>6.5845114126949236</v>
      </c>
      <c r="X119" s="120">
        <v>6.2695124137639322</v>
      </c>
      <c r="Y119" s="120">
        <v>6.3564712924635787</v>
      </c>
      <c r="Z119" s="120">
        <v>7.3694090423731708</v>
      </c>
      <c r="AA119" s="120">
        <v>6.2508973550256242</v>
      </c>
      <c r="AB119" s="120">
        <v>6.270393617486679</v>
      </c>
      <c r="AC119" s="120">
        <v>7.4065329632823751</v>
      </c>
      <c r="AD119" s="120">
        <v>6.232599317420882</v>
      </c>
      <c r="AE119" s="120">
        <v>5.4261225784286156</v>
      </c>
      <c r="AF119" s="120">
        <v>8.905867299581411</v>
      </c>
      <c r="AG119" s="120">
        <v>6.3743644890293165</v>
      </c>
      <c r="AH119" s="120">
        <v>5.4111304393396864</v>
      </c>
      <c r="AI119" s="120">
        <v>5.5922175099365843</v>
      </c>
      <c r="AJ119" s="120">
        <v>5.3528212199684679</v>
      </c>
      <c r="AK119" s="120">
        <v>5.5612213117061078</v>
      </c>
      <c r="AL119" s="120">
        <v>8.3489865829834322</v>
      </c>
      <c r="AM119" s="120">
        <v>5.5081541946948569</v>
      </c>
      <c r="AN119" s="120">
        <v>8.3105668743595356</v>
      </c>
      <c r="AO119" s="120">
        <v>5.5067878564183612</v>
      </c>
      <c r="AP119" s="120">
        <v>9.0211332104854112</v>
      </c>
      <c r="AQ119" s="683">
        <v>7.4252639831444336</v>
      </c>
      <c r="AR119" s="120">
        <v>6.4014391958335874</v>
      </c>
    </row>
    <row r="120" spans="1:44">
      <c r="A120" s="126" t="b">
        <f t="shared" si="0"/>
        <v>0</v>
      </c>
      <c r="B120" s="120">
        <v>6.5171112270986757</v>
      </c>
      <c r="C120" s="120">
        <v>6.3583943832469512</v>
      </c>
      <c r="D120" s="120">
        <v>6.3057482388385679</v>
      </c>
      <c r="E120" s="120">
        <v>6.5958935536428367</v>
      </c>
      <c r="F120" s="120">
        <v>6.3057482388385679</v>
      </c>
      <c r="G120" s="120">
        <v>6.6557056225467521</v>
      </c>
      <c r="H120" s="120">
        <v>6.3799481225430048</v>
      </c>
      <c r="I120" s="120">
        <v>6.4211394461073938</v>
      </c>
      <c r="J120" s="120">
        <v>7.8854126403186102</v>
      </c>
      <c r="K120" s="120">
        <v>9.0587812861815902</v>
      </c>
      <c r="L120" s="120">
        <v>6.8608302812800384</v>
      </c>
      <c r="M120" s="120">
        <v>5.7390594187451462</v>
      </c>
      <c r="N120" s="120">
        <v>6.5899147292503315</v>
      </c>
      <c r="O120" s="120">
        <v>6.5157037326512093</v>
      </c>
      <c r="P120" s="120">
        <v>8.8433565133046077</v>
      </c>
      <c r="Q120" s="120">
        <v>5.6173633696674052</v>
      </c>
      <c r="R120" s="120">
        <v>8.6652397427300603</v>
      </c>
      <c r="S120" s="120">
        <v>5.6123443137317386</v>
      </c>
      <c r="T120" s="120">
        <v>5.522844282585833</v>
      </c>
      <c r="U120" s="120">
        <v>7.362848774756948</v>
      </c>
      <c r="V120" s="120">
        <v>6.3864602863969022</v>
      </c>
      <c r="W120" s="120">
        <v>6.717620794039723</v>
      </c>
      <c r="X120" s="120">
        <v>6.3949026620392111</v>
      </c>
      <c r="Y120" s="120">
        <v>6.4833734795996421</v>
      </c>
      <c r="Z120" s="120">
        <v>7.5154745950038899</v>
      </c>
      <c r="AA120" s="120">
        <v>6.3759153021261339</v>
      </c>
      <c r="AB120" s="120">
        <v>6.3983380514673636</v>
      </c>
      <c r="AC120" s="120">
        <v>7.5454963818308443</v>
      </c>
      <c r="AD120" s="120">
        <v>6.3572513037693001</v>
      </c>
      <c r="AE120" s="120">
        <v>5.534645029997189</v>
      </c>
      <c r="AF120" s="120">
        <v>9.0839846455730413</v>
      </c>
      <c r="AG120" s="120">
        <v>6.5018517788099048</v>
      </c>
      <c r="AH120" s="120">
        <v>5.5193530481264812</v>
      </c>
      <c r="AI120" s="120">
        <v>5.703989161733114</v>
      </c>
      <c r="AJ120" s="120">
        <v>5.4598776443678378</v>
      </c>
      <c r="AK120" s="120">
        <v>5.6724457379402313</v>
      </c>
      <c r="AL120" s="120">
        <v>8.5195000193124582</v>
      </c>
      <c r="AM120" s="120">
        <v>5.6183172785887558</v>
      </c>
      <c r="AN120" s="120">
        <v>8.4795799315875797</v>
      </c>
      <c r="AO120" s="120">
        <v>5.6169236135467289</v>
      </c>
      <c r="AP120" s="120">
        <v>9.2015558746951207</v>
      </c>
      <c r="AQ120" s="683">
        <v>7.573769262807323</v>
      </c>
      <c r="AR120" s="120">
        <v>6.5294679797502599</v>
      </c>
    </row>
    <row r="121" spans="1:44">
      <c r="A121" s="126" t="b">
        <f t="shared" si="0"/>
        <v>0</v>
      </c>
      <c r="B121" s="120">
        <v>6.6474534516406498</v>
      </c>
      <c r="C121" s="120">
        <v>6.4855622709118919</v>
      </c>
      <c r="D121" s="120">
        <v>6.4318632036153378</v>
      </c>
      <c r="E121" s="120">
        <v>6.7344073182693354</v>
      </c>
      <c r="F121" s="120">
        <v>6.4318632036153378</v>
      </c>
      <c r="G121" s="120">
        <v>6.788819734997686</v>
      </c>
      <c r="H121" s="120">
        <v>6.5075470849938668</v>
      </c>
      <c r="I121" s="120">
        <v>6.5504611945519988</v>
      </c>
      <c r="J121" s="120">
        <v>8.0746625436862569</v>
      </c>
      <c r="K121" s="120">
        <v>9.2490156931914029</v>
      </c>
      <c r="L121" s="120">
        <v>6.9980468869056356</v>
      </c>
      <c r="M121" s="120">
        <v>5.8538406071200511</v>
      </c>
      <c r="N121" s="120">
        <v>6.7217130238353349</v>
      </c>
      <c r="O121" s="120">
        <v>6.6460178073042337</v>
      </c>
      <c r="P121" s="120">
        <v>9.0271533796191505</v>
      </c>
      <c r="Q121" s="120">
        <v>5.7297106370607542</v>
      </c>
      <c r="R121" s="120">
        <v>8.8452052814012525</v>
      </c>
      <c r="S121" s="120">
        <v>5.7245912000063734</v>
      </c>
      <c r="T121" s="120">
        <v>5.6333011682375504</v>
      </c>
      <c r="U121" s="120">
        <v>7.5101057502520892</v>
      </c>
      <c r="V121" s="120">
        <v>6.5141894921248387</v>
      </c>
      <c r="W121" s="120">
        <v>6.8552849463925183</v>
      </c>
      <c r="X121" s="120">
        <v>6.5228007152799963</v>
      </c>
      <c r="Y121" s="120">
        <v>6.6141556452159165</v>
      </c>
      <c r="Z121" s="120">
        <v>7.6723728236393498</v>
      </c>
      <c r="AA121" s="120">
        <v>6.5034336081686579</v>
      </c>
      <c r="AB121" s="120">
        <v>6.5304220251858665</v>
      </c>
      <c r="AC121" s="120">
        <v>7.703415559324192</v>
      </c>
      <c r="AD121" s="120">
        <v>6.4843963298446869</v>
      </c>
      <c r="AE121" s="120">
        <v>5.6453379305971332</v>
      </c>
      <c r="AF121" s="120">
        <v>9.2656643384845037</v>
      </c>
      <c r="AG121" s="120">
        <v>6.6318888143861026</v>
      </c>
      <c r="AH121" s="120">
        <v>5.6297401090890089</v>
      </c>
      <c r="AI121" s="120">
        <v>5.8181354841515791</v>
      </c>
      <c r="AJ121" s="120">
        <v>5.5690751972551968</v>
      </c>
      <c r="AK121" s="120">
        <v>5.7858946526990369</v>
      </c>
      <c r="AL121" s="120">
        <v>8.6966490977033502</v>
      </c>
      <c r="AM121" s="120">
        <v>5.7306836241605295</v>
      </c>
      <c r="AN121" s="120">
        <v>8.6547876970179747</v>
      </c>
      <c r="AO121" s="120">
        <v>5.7292620858176626</v>
      </c>
      <c r="AP121" s="120">
        <v>9.3855869921890207</v>
      </c>
      <c r="AQ121" s="683">
        <v>7.7252446480634678</v>
      </c>
      <c r="AR121" s="120">
        <v>6.6600573393452658</v>
      </c>
    </row>
    <row r="122" spans="1:44">
      <c r="A122" s="126" t="b">
        <f t="shared" si="0"/>
        <v>0</v>
      </c>
      <c r="B122" s="120">
        <v>6.7804025206734631</v>
      </c>
      <c r="C122" s="120">
        <v>6.6152735163301299</v>
      </c>
      <c r="D122" s="120">
        <v>6.5605004676876444</v>
      </c>
      <c r="E122" s="120">
        <v>6.8758298719529911</v>
      </c>
      <c r="F122" s="120">
        <v>6.5605004676876444</v>
      </c>
      <c r="G122" s="120">
        <v>6.9245961296976404</v>
      </c>
      <c r="H122" s="120">
        <v>6.6376980266937444</v>
      </c>
      <c r="I122" s="120">
        <v>6.6823874830102765</v>
      </c>
      <c r="J122" s="120">
        <v>8.276529107278412</v>
      </c>
      <c r="K122" s="120">
        <v>9.443245022748421</v>
      </c>
      <c r="L122" s="120">
        <v>7.1380078246437479</v>
      </c>
      <c r="M122" s="120">
        <v>5.9709174192624515</v>
      </c>
      <c r="N122" s="120">
        <v>6.8561472843120415</v>
      </c>
      <c r="O122" s="120">
        <v>6.7789381634503183</v>
      </c>
      <c r="P122" s="120">
        <v>9.2140870898661102</v>
      </c>
      <c r="Q122" s="120">
        <v>5.8443048498019694</v>
      </c>
      <c r="R122" s="120">
        <v>9.0287804303993902</v>
      </c>
      <c r="S122" s="120">
        <v>5.8390830240065013</v>
      </c>
      <c r="T122" s="120">
        <v>5.7459671916023005</v>
      </c>
      <c r="U122" s="120">
        <v>7.6603078652571313</v>
      </c>
      <c r="V122" s="120">
        <v>6.6444732819673362</v>
      </c>
      <c r="W122" s="120">
        <v>7.0017223793972514</v>
      </c>
      <c r="X122" s="120">
        <v>6.6532567295855962</v>
      </c>
      <c r="Y122" s="120">
        <v>6.7468867220849082</v>
      </c>
      <c r="Z122" s="120">
        <v>7.8333894560612416</v>
      </c>
      <c r="AA122" s="120">
        <v>6.6335022803320314</v>
      </c>
      <c r="AB122" s="120">
        <v>6.6655158873696223</v>
      </c>
      <c r="AC122" s="120">
        <v>7.8659104902028121</v>
      </c>
      <c r="AD122" s="120">
        <v>6.6140842564415818</v>
      </c>
      <c r="AE122" s="120">
        <v>5.7582446892090751</v>
      </c>
      <c r="AF122" s="120">
        <v>9.4509776252541933</v>
      </c>
      <c r="AG122" s="120">
        <v>6.7645265906738246</v>
      </c>
      <c r="AH122" s="120">
        <v>5.7423349112707891</v>
      </c>
      <c r="AI122" s="120">
        <v>5.9345706407080145</v>
      </c>
      <c r="AJ122" s="120">
        <v>5.6804567012003</v>
      </c>
      <c r="AK122" s="120">
        <v>5.901612545753018</v>
      </c>
      <c r="AL122" s="120">
        <v>8.8769265021210053</v>
      </c>
      <c r="AM122" s="120">
        <v>5.8452972966437402</v>
      </c>
      <c r="AN122" s="120">
        <v>8.8335931657878355</v>
      </c>
      <c r="AO122" s="120">
        <v>5.8438473275340161</v>
      </c>
      <c r="AP122" s="120">
        <v>9.5732987320328018</v>
      </c>
      <c r="AQ122" s="683">
        <v>7.8797495410247382</v>
      </c>
      <c r="AR122" s="120">
        <v>6.7932584861321708</v>
      </c>
    </row>
    <row r="123" spans="1:44">
      <c r="A123" s="126" t="b">
        <f t="shared" si="0"/>
        <v>0</v>
      </c>
      <c r="B123" s="120">
        <v>6.9160105710869324</v>
      </c>
      <c r="C123" s="120">
        <v>6.7475789866567322</v>
      </c>
      <c r="D123" s="120">
        <v>6.6917104770413971</v>
      </c>
      <c r="E123" s="120">
        <v>7.0202222992640033</v>
      </c>
      <c r="F123" s="120">
        <v>6.6917104770413971</v>
      </c>
      <c r="G123" s="120">
        <v>7.0630880522915929</v>
      </c>
      <c r="H123" s="120">
        <v>6.7704519872276192</v>
      </c>
      <c r="I123" s="120">
        <v>6.8169707669181037</v>
      </c>
      <c r="J123" s="120">
        <v>8.4834423349603707</v>
      </c>
      <c r="K123" s="120">
        <v>9.6415531682261371</v>
      </c>
      <c r="L123" s="120">
        <v>7.2807679811366226</v>
      </c>
      <c r="M123" s="120">
        <v>6.0903357676477015</v>
      </c>
      <c r="N123" s="120">
        <v>6.9932702299982825</v>
      </c>
      <c r="O123" s="120">
        <v>6.9145169267193243</v>
      </c>
      <c r="P123" s="120">
        <v>9.4048918113341262</v>
      </c>
      <c r="Q123" s="120">
        <v>5.9611909467980091</v>
      </c>
      <c r="R123" s="120">
        <v>9.2161655345379199</v>
      </c>
      <c r="S123" s="120">
        <v>5.955864684486631</v>
      </c>
      <c r="T123" s="120">
        <v>5.8608865354343473</v>
      </c>
      <c r="U123" s="120">
        <v>7.8135140225622743</v>
      </c>
      <c r="V123" s="120">
        <v>6.7773627476066824</v>
      </c>
      <c r="W123" s="120">
        <v>7.144432588319459</v>
      </c>
      <c r="X123" s="120">
        <v>6.7863218641773084</v>
      </c>
      <c r="Y123" s="120">
        <v>6.8830918579210225</v>
      </c>
      <c r="Z123" s="120">
        <v>7.9977852720176736</v>
      </c>
      <c r="AA123" s="120">
        <v>6.7661723259386726</v>
      </c>
      <c r="AB123" s="120">
        <v>6.8034044160434348</v>
      </c>
      <c r="AC123" s="120">
        <v>8.0318330698117784</v>
      </c>
      <c r="AD123" s="120">
        <v>6.7463659415704127</v>
      </c>
      <c r="AE123" s="120">
        <v>5.8734095829932569</v>
      </c>
      <c r="AF123" s="120">
        <v>9.6399971777592768</v>
      </c>
      <c r="AG123" s="120">
        <v>6.8998171224873017</v>
      </c>
      <c r="AH123" s="120">
        <v>5.8571816094962053</v>
      </c>
      <c r="AI123" s="120">
        <v>6.053335950235148</v>
      </c>
      <c r="AJ123" s="120">
        <v>5.7940658352243064</v>
      </c>
      <c r="AK123" s="120">
        <v>6.0196447966680786</v>
      </c>
      <c r="AL123" s="120">
        <v>9.0609409714907407</v>
      </c>
      <c r="AM123" s="120">
        <v>5.9622032425766145</v>
      </c>
      <c r="AN123" s="120">
        <v>9.0160927050284272</v>
      </c>
      <c r="AO123" s="120">
        <v>5.9607242740846962</v>
      </c>
      <c r="AP123" s="120">
        <v>9.7647647066734571</v>
      </c>
      <c r="AQ123" s="683">
        <v>8.0373445318452337</v>
      </c>
      <c r="AR123" s="120">
        <v>6.9291236558548146</v>
      </c>
    </row>
  </sheetData>
  <mergeCells count="1">
    <mergeCell ref="B2:O2"/>
  </mergeCells>
  <phoneticPr fontId="0" type="noConversion"/>
  <conditionalFormatting sqref="A68:A123">
    <cfRule type="cellIs" dxfId="1" priority="1" stopIfTrue="1" operator="equal">
      <formula>$E$4</formula>
    </cfRule>
  </conditionalFormatting>
  <conditionalFormatting sqref="B68:AR123">
    <cfRule type="cellIs" dxfId="0" priority="2" stopIfTrue="1" operator="equal">
      <formula>1</formula>
    </cfRule>
  </conditionalFormatting>
  <pageMargins left="0" right="0" top="0" bottom="0" header="0.5" footer="0.5"/>
  <pageSetup scale="24"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BL77"/>
  <sheetViews>
    <sheetView zoomScale="75" workbookViewId="0">
      <pane xSplit="1" ySplit="6" topLeftCell="B7" activePane="bottomRight" state="frozen"/>
      <selection pane="topRight" activeCell="B1" sqref="B1"/>
      <selection pane="bottomLeft" activeCell="A7" sqref="A7"/>
      <selection pane="bottomRight" activeCell="Q7" sqref="Q7"/>
    </sheetView>
  </sheetViews>
  <sheetFormatPr defaultColWidth="9.140625" defaultRowHeight="12.75"/>
  <cols>
    <col min="1" max="1" width="7.42578125" style="566" customWidth="1"/>
    <col min="2" max="2" width="8.85546875" style="564" customWidth="1"/>
    <col min="3" max="3" width="9.5703125" style="564" customWidth="1"/>
    <col min="4" max="4" width="7.7109375" style="564" customWidth="1"/>
    <col min="5" max="5" width="9.42578125" style="564" customWidth="1"/>
    <col min="6" max="6" width="10" style="564" customWidth="1"/>
    <col min="7" max="8" width="7.85546875" style="564" customWidth="1"/>
    <col min="9" max="9" width="8" style="564" customWidth="1"/>
    <col min="10" max="10" width="8.42578125" style="564" customWidth="1"/>
    <col min="11" max="11" width="9.5703125" style="564" customWidth="1"/>
    <col min="12" max="12" width="9.7109375" style="564" customWidth="1"/>
    <col min="13" max="13" width="8" style="564" customWidth="1"/>
    <col min="14" max="14" width="7.7109375" style="564" customWidth="1"/>
    <col min="15" max="15" width="9.42578125" style="565" customWidth="1"/>
    <col min="16" max="16" width="8.42578125" style="564" customWidth="1"/>
    <col min="17" max="17" width="8" style="564" customWidth="1"/>
    <col min="18" max="18" width="9" style="565" customWidth="1"/>
    <col min="19" max="19" width="8.28515625" style="564" customWidth="1"/>
    <col min="20" max="20" width="8.85546875" style="564" customWidth="1"/>
    <col min="21" max="21" width="8.28515625" style="564" customWidth="1"/>
    <col min="22" max="22" width="8.5703125" style="565" customWidth="1"/>
    <col min="23" max="23" width="8.85546875" style="564" customWidth="1"/>
    <col min="24" max="24" width="8.28515625" style="564" customWidth="1"/>
    <col min="25" max="25" width="9.140625" style="565" customWidth="1"/>
    <col min="26" max="26" width="9.140625" style="564" customWidth="1"/>
    <col min="27" max="27" width="9" style="564" customWidth="1"/>
    <col min="28" max="28" width="8.42578125" style="565" customWidth="1"/>
    <col min="29" max="29" width="10.140625" style="564" customWidth="1"/>
    <col min="30" max="30" width="8" style="564" customWidth="1"/>
    <col min="31" max="31" width="7.85546875" style="564" customWidth="1"/>
    <col min="32" max="32" width="8" style="565" customWidth="1"/>
    <col min="33" max="33" width="7.85546875" style="564" customWidth="1"/>
    <col min="34" max="34" width="9" style="564" customWidth="1"/>
    <col min="35" max="35" width="7.7109375" style="565" bestFit="1" customWidth="1"/>
    <col min="36" max="36" width="8.28515625" style="564" customWidth="1"/>
    <col min="37" max="37" width="9.42578125" style="564" customWidth="1"/>
    <col min="38" max="38" width="8.42578125" style="564" customWidth="1"/>
    <col min="39" max="39" width="8" style="564" customWidth="1"/>
    <col min="40" max="40" width="8.85546875" style="565" customWidth="1"/>
    <col min="41" max="41" width="8.85546875" style="564" customWidth="1"/>
    <col min="42" max="43" width="8" style="564" customWidth="1"/>
    <col min="44" max="44" width="9" style="564" customWidth="1"/>
    <col min="45" max="45" width="9.140625" style="565" customWidth="1"/>
    <col min="46" max="46" width="8.28515625" style="564" customWidth="1"/>
    <col min="47" max="47" width="7.42578125" style="564" customWidth="1"/>
    <col min="48" max="48" width="9.140625" style="564" customWidth="1"/>
    <col min="49" max="49" width="8.140625" style="565" customWidth="1"/>
    <col min="50" max="50" width="8.5703125" style="564" customWidth="1"/>
    <col min="51" max="51" width="6.85546875" style="564" customWidth="1"/>
    <col min="52" max="52" width="7.85546875" style="564" customWidth="1"/>
    <col min="53" max="53" width="8.42578125" style="565" customWidth="1"/>
    <col min="54" max="54" width="9.140625" style="564"/>
    <col min="55" max="55" width="14.85546875" style="564" customWidth="1"/>
    <col min="56" max="16384" width="9.140625" style="564"/>
  </cols>
  <sheetData>
    <row r="1" spans="1:53" ht="19.5" customHeight="1">
      <c r="A1" s="610" t="s">
        <v>742</v>
      </c>
      <c r="L1" s="609" t="s">
        <v>268</v>
      </c>
    </row>
    <row r="2" spans="1:53" ht="54" customHeight="1">
      <c r="B2" s="779" t="s">
        <v>278</v>
      </c>
      <c r="C2" s="779"/>
      <c r="D2" s="779"/>
      <c r="E2" s="779"/>
      <c r="F2" s="779"/>
      <c r="G2" s="779"/>
      <c r="H2" s="779"/>
      <c r="I2" s="779"/>
      <c r="J2" s="779"/>
      <c r="K2" s="779"/>
      <c r="L2" s="779"/>
      <c r="M2" s="779"/>
      <c r="N2" s="779"/>
      <c r="O2" s="779"/>
      <c r="P2" s="779"/>
      <c r="Q2" s="779"/>
      <c r="R2" s="779"/>
      <c r="S2" s="779"/>
      <c r="T2" s="779"/>
      <c r="U2" s="779" t="s">
        <v>743</v>
      </c>
      <c r="V2" s="779"/>
      <c r="W2" s="779"/>
      <c r="X2" s="779"/>
      <c r="Y2" s="780"/>
    </row>
    <row r="3" spans="1:53">
      <c r="A3" s="566" t="s">
        <v>2</v>
      </c>
    </row>
    <row r="4" spans="1:53" ht="8.25" customHeight="1"/>
    <row r="5" spans="1:53">
      <c r="B5" s="607" t="s">
        <v>33</v>
      </c>
      <c r="C5" s="606"/>
      <c r="D5" s="606"/>
      <c r="E5" s="606"/>
      <c r="F5" s="608"/>
      <c r="G5" s="607" t="s">
        <v>34</v>
      </c>
      <c r="H5" s="606"/>
      <c r="I5" s="606"/>
      <c r="J5" s="606"/>
      <c r="K5" s="608"/>
      <c r="L5" s="607" t="s">
        <v>35</v>
      </c>
      <c r="M5" s="606"/>
      <c r="N5" s="606"/>
      <c r="O5" s="605"/>
      <c r="P5" s="607" t="s">
        <v>36</v>
      </c>
      <c r="Q5" s="606"/>
      <c r="R5" s="605"/>
      <c r="S5" s="607" t="s">
        <v>37</v>
      </c>
      <c r="T5" s="606"/>
      <c r="U5" s="606"/>
      <c r="V5" s="605"/>
      <c r="W5" s="607" t="s">
        <v>38</v>
      </c>
      <c r="X5" s="606"/>
      <c r="Y5" s="605"/>
      <c r="Z5" s="607" t="s">
        <v>39</v>
      </c>
      <c r="AA5" s="606"/>
      <c r="AB5" s="605"/>
      <c r="AC5" s="607" t="s">
        <v>263</v>
      </c>
      <c r="AD5" s="606"/>
      <c r="AE5" s="606"/>
      <c r="AF5" s="605"/>
      <c r="AG5" s="607" t="s">
        <v>40</v>
      </c>
      <c r="AH5" s="606"/>
      <c r="AI5" s="605"/>
      <c r="AJ5" s="607" t="s">
        <v>41</v>
      </c>
      <c r="AK5" s="606"/>
      <c r="AL5" s="606"/>
      <c r="AM5" s="606"/>
      <c r="AN5" s="605"/>
      <c r="AO5" s="607" t="s">
        <v>42</v>
      </c>
      <c r="AP5" s="606"/>
      <c r="AQ5" s="606"/>
      <c r="AR5" s="606"/>
      <c r="AS5" s="605"/>
      <c r="AT5" s="607" t="s">
        <v>43</v>
      </c>
      <c r="AU5" s="606"/>
      <c r="AV5" s="606"/>
      <c r="AW5" s="605"/>
      <c r="AX5" s="607" t="s">
        <v>44</v>
      </c>
      <c r="AY5" s="606"/>
      <c r="AZ5" s="606"/>
      <c r="BA5" s="605"/>
    </row>
    <row r="6" spans="1:53" s="599" customFormat="1" ht="25.5" customHeight="1">
      <c r="A6" s="604" t="s">
        <v>29</v>
      </c>
      <c r="B6" s="602" t="s">
        <v>45</v>
      </c>
      <c r="C6" s="601" t="s">
        <v>46</v>
      </c>
      <c r="D6" s="601" t="s">
        <v>47</v>
      </c>
      <c r="E6" s="601" t="s">
        <v>48</v>
      </c>
      <c r="F6" s="603" t="s">
        <v>49</v>
      </c>
      <c r="G6" s="602" t="s">
        <v>45</v>
      </c>
      <c r="H6" s="601" t="s">
        <v>46</v>
      </c>
      <c r="I6" s="601" t="s">
        <v>47</v>
      </c>
      <c r="J6" s="601" t="s">
        <v>48</v>
      </c>
      <c r="K6" s="603" t="s">
        <v>49</v>
      </c>
      <c r="L6" s="602" t="s">
        <v>50</v>
      </c>
      <c r="M6" s="601" t="s">
        <v>52</v>
      </c>
      <c r="N6" s="601" t="s">
        <v>51</v>
      </c>
      <c r="O6" s="600" t="s">
        <v>49</v>
      </c>
      <c r="P6" s="602" t="s">
        <v>50</v>
      </c>
      <c r="Q6" s="601" t="s">
        <v>51</v>
      </c>
      <c r="R6" s="600" t="s">
        <v>49</v>
      </c>
      <c r="S6" s="602" t="s">
        <v>50</v>
      </c>
      <c r="T6" s="601" t="s">
        <v>52</v>
      </c>
      <c r="U6" s="601" t="s">
        <v>51</v>
      </c>
      <c r="V6" s="600" t="s">
        <v>49</v>
      </c>
      <c r="W6" s="602" t="s">
        <v>50</v>
      </c>
      <c r="X6" s="601" t="s">
        <v>51</v>
      </c>
      <c r="Y6" s="600" t="s">
        <v>49</v>
      </c>
      <c r="Z6" s="602" t="s">
        <v>50</v>
      </c>
      <c r="AA6" s="601" t="s">
        <v>51</v>
      </c>
      <c r="AB6" s="600" t="s">
        <v>49</v>
      </c>
      <c r="AC6" s="602" t="s">
        <v>53</v>
      </c>
      <c r="AD6" s="601" t="s">
        <v>54</v>
      </c>
      <c r="AE6" s="601" t="s">
        <v>55</v>
      </c>
      <c r="AF6" s="600" t="s">
        <v>49</v>
      </c>
      <c r="AG6" s="602" t="s">
        <v>50</v>
      </c>
      <c r="AH6" s="601" t="s">
        <v>51</v>
      </c>
      <c r="AI6" s="600" t="s">
        <v>49</v>
      </c>
      <c r="AJ6" s="602" t="s">
        <v>45</v>
      </c>
      <c r="AK6" s="601" t="s">
        <v>46</v>
      </c>
      <c r="AL6" s="601" t="s">
        <v>47</v>
      </c>
      <c r="AM6" s="601" t="s">
        <v>48</v>
      </c>
      <c r="AN6" s="600" t="s">
        <v>49</v>
      </c>
      <c r="AO6" s="602" t="s">
        <v>45</v>
      </c>
      <c r="AP6" s="601" t="s">
        <v>46</v>
      </c>
      <c r="AQ6" s="601" t="s">
        <v>47</v>
      </c>
      <c r="AR6" s="601" t="s">
        <v>48</v>
      </c>
      <c r="AS6" s="600" t="s">
        <v>49</v>
      </c>
      <c r="AT6" s="602" t="s">
        <v>50</v>
      </c>
      <c r="AU6" s="601" t="s">
        <v>52</v>
      </c>
      <c r="AV6" s="601" t="s">
        <v>51</v>
      </c>
      <c r="AW6" s="600" t="s">
        <v>49</v>
      </c>
      <c r="AX6" s="602" t="s">
        <v>50</v>
      </c>
      <c r="AY6" s="601" t="s">
        <v>52</v>
      </c>
      <c r="AZ6" s="601" t="s">
        <v>51</v>
      </c>
      <c r="BA6" s="600" t="s">
        <v>49</v>
      </c>
    </row>
    <row r="7" spans="1:53">
      <c r="A7" s="566">
        <v>1970</v>
      </c>
      <c r="B7" s="564">
        <v>0.82110000000000005</v>
      </c>
      <c r="C7" s="564">
        <v>0</v>
      </c>
      <c r="D7" s="564">
        <v>0</v>
      </c>
      <c r="E7" s="564">
        <v>0.1789</v>
      </c>
      <c r="F7" s="597">
        <v>1</v>
      </c>
      <c r="G7" s="596">
        <v>0.59538729329852047</v>
      </c>
      <c r="H7" s="569">
        <v>0.25274151436031328</v>
      </c>
      <c r="I7" s="569">
        <v>0</v>
      </c>
      <c r="J7" s="569">
        <v>0.15187119234116622</v>
      </c>
      <c r="K7" s="597">
        <v>1</v>
      </c>
      <c r="L7" s="596">
        <v>0.41210000000000002</v>
      </c>
      <c r="M7" s="569">
        <v>0.17050000000000001</v>
      </c>
      <c r="N7" s="569">
        <v>0.41739999999999999</v>
      </c>
      <c r="O7" s="595">
        <v>1</v>
      </c>
      <c r="P7" s="596">
        <v>0.49680000000000002</v>
      </c>
      <c r="Q7" s="564">
        <v>0.50319999999999998</v>
      </c>
      <c r="R7" s="595">
        <v>1</v>
      </c>
      <c r="S7" s="596">
        <v>8.3635047067342497E-2</v>
      </c>
      <c r="T7" s="569">
        <v>0.1885107410089307</v>
      </c>
      <c r="U7" s="569">
        <v>0.7278542119237269</v>
      </c>
      <c r="V7" s="595">
        <v>1</v>
      </c>
      <c r="W7" s="596">
        <v>0.1145</v>
      </c>
      <c r="X7" s="569">
        <v>0.88549999999999995</v>
      </c>
      <c r="Y7" s="595">
        <v>1</v>
      </c>
      <c r="Z7" s="596">
        <v>0.14000000000000001</v>
      </c>
      <c r="AA7" s="569">
        <v>0.86</v>
      </c>
      <c r="AB7" s="595">
        <v>1</v>
      </c>
      <c r="AC7" s="596">
        <v>0.81541802388707929</v>
      </c>
      <c r="AD7" s="569">
        <v>0.18147975802698929</v>
      </c>
      <c r="AE7" s="569">
        <v>3.1022180859314407E-3</v>
      </c>
      <c r="AF7" s="595">
        <v>1</v>
      </c>
      <c r="AG7" s="596">
        <v>7.1833764952521889E-2</v>
      </c>
      <c r="AH7" s="569">
        <v>0.92816623504747808</v>
      </c>
      <c r="AI7" s="595">
        <v>1</v>
      </c>
      <c r="AJ7" s="596">
        <v>0.68300000000000005</v>
      </c>
      <c r="AK7" s="569">
        <v>0.251</v>
      </c>
      <c r="AL7" s="569">
        <v>0</v>
      </c>
      <c r="AM7" s="569">
        <v>6.6000000000000003E-2</v>
      </c>
      <c r="AN7" s="595">
        <v>1</v>
      </c>
      <c r="AO7" s="596">
        <v>0.55600000000000005</v>
      </c>
      <c r="AP7" s="569">
        <v>0.23100000000000001</v>
      </c>
      <c r="AQ7" s="569">
        <v>0</v>
      </c>
      <c r="AR7" s="569">
        <v>0.21299999999999999</v>
      </c>
      <c r="AS7" s="595">
        <v>1</v>
      </c>
      <c r="AT7" s="596">
        <v>0.25700000000000001</v>
      </c>
      <c r="AU7" s="569">
        <v>2.3E-2</v>
      </c>
      <c r="AV7" s="569">
        <v>0.72</v>
      </c>
      <c r="AW7" s="595">
        <v>1</v>
      </c>
      <c r="AX7" s="596">
        <v>8.7599999999999997E-2</v>
      </c>
      <c r="AY7" s="569">
        <v>2.7400000000000001E-2</v>
      </c>
      <c r="AZ7" s="569">
        <v>0.88500000000000001</v>
      </c>
      <c r="BA7" s="595">
        <v>1</v>
      </c>
    </row>
    <row r="8" spans="1:53">
      <c r="A8" s="566">
        <v>1971</v>
      </c>
      <c r="B8" s="564">
        <v>0.82110000000000005</v>
      </c>
      <c r="C8" s="564">
        <v>0</v>
      </c>
      <c r="D8" s="564">
        <v>0</v>
      </c>
      <c r="E8" s="564">
        <v>0.1789</v>
      </c>
      <c r="F8" s="597">
        <v>1</v>
      </c>
      <c r="G8" s="596">
        <v>0.59538729329852047</v>
      </c>
      <c r="H8" s="569">
        <v>0.25274151436031328</v>
      </c>
      <c r="I8" s="569">
        <v>0</v>
      </c>
      <c r="J8" s="569">
        <v>0.15187119234116622</v>
      </c>
      <c r="K8" s="597">
        <v>1</v>
      </c>
      <c r="L8" s="596">
        <v>0.41210000000000002</v>
      </c>
      <c r="M8" s="569">
        <v>0.17050000000000001</v>
      </c>
      <c r="N8" s="569">
        <v>0.41739999999999999</v>
      </c>
      <c r="O8" s="595">
        <v>1</v>
      </c>
      <c r="P8" s="596">
        <v>0.49680000000000002</v>
      </c>
      <c r="Q8" s="564">
        <v>0.50319999999999998</v>
      </c>
      <c r="R8" s="595">
        <v>1</v>
      </c>
      <c r="S8" s="596">
        <v>8.3635047067342497E-2</v>
      </c>
      <c r="T8" s="569">
        <v>0.1885107410089307</v>
      </c>
      <c r="U8" s="569">
        <v>0.7278542119237269</v>
      </c>
      <c r="V8" s="595">
        <v>1</v>
      </c>
      <c r="W8" s="596">
        <v>0.1145</v>
      </c>
      <c r="X8" s="569">
        <v>0.88549999999999995</v>
      </c>
      <c r="Y8" s="595">
        <v>1</v>
      </c>
      <c r="Z8" s="596">
        <v>0.14000000000000001</v>
      </c>
      <c r="AA8" s="569">
        <v>0.86</v>
      </c>
      <c r="AB8" s="595">
        <v>1</v>
      </c>
      <c r="AC8" s="596">
        <v>0.81541802388707929</v>
      </c>
      <c r="AD8" s="569">
        <v>0.18147975802698929</v>
      </c>
      <c r="AE8" s="569">
        <v>3.1022180859314407E-3</v>
      </c>
      <c r="AF8" s="595">
        <v>1</v>
      </c>
      <c r="AG8" s="596">
        <v>7.1833764952521889E-2</v>
      </c>
      <c r="AH8" s="569">
        <v>0.92816623504747808</v>
      </c>
      <c r="AI8" s="595">
        <v>1</v>
      </c>
      <c r="AJ8" s="596">
        <v>0.68300000000000005</v>
      </c>
      <c r="AK8" s="569">
        <v>0.251</v>
      </c>
      <c r="AL8" s="569">
        <v>0</v>
      </c>
      <c r="AM8" s="569">
        <v>6.6000000000000003E-2</v>
      </c>
      <c r="AN8" s="595">
        <v>1</v>
      </c>
      <c r="AO8" s="596">
        <v>0.55600000000000005</v>
      </c>
      <c r="AP8" s="569">
        <v>0.23100000000000001</v>
      </c>
      <c r="AQ8" s="569">
        <v>0</v>
      </c>
      <c r="AR8" s="569">
        <v>0.21299999999999999</v>
      </c>
      <c r="AS8" s="595">
        <v>1</v>
      </c>
      <c r="AT8" s="596">
        <v>0.25700000000000001</v>
      </c>
      <c r="AU8" s="569">
        <v>2.3E-2</v>
      </c>
      <c r="AV8" s="569">
        <v>0.72</v>
      </c>
      <c r="AW8" s="595">
        <v>1</v>
      </c>
      <c r="AX8" s="596">
        <v>8.7599999999999997E-2</v>
      </c>
      <c r="AY8" s="569">
        <v>2.7400000000000001E-2</v>
      </c>
      <c r="AZ8" s="569">
        <v>0.88500000000000001</v>
      </c>
      <c r="BA8" s="595">
        <v>1</v>
      </c>
    </row>
    <row r="9" spans="1:53">
      <c r="A9" s="566">
        <v>1972</v>
      </c>
      <c r="B9" s="564">
        <v>0.82110000000000005</v>
      </c>
      <c r="C9" s="564">
        <v>0</v>
      </c>
      <c r="D9" s="564">
        <v>0</v>
      </c>
      <c r="E9" s="564">
        <v>0.1789</v>
      </c>
      <c r="F9" s="597">
        <v>1</v>
      </c>
      <c r="G9" s="596">
        <v>0.59538729329852047</v>
      </c>
      <c r="H9" s="569">
        <v>0.25274151436031328</v>
      </c>
      <c r="I9" s="569">
        <v>0</v>
      </c>
      <c r="J9" s="569">
        <v>0.15187119234116622</v>
      </c>
      <c r="K9" s="597">
        <v>1</v>
      </c>
      <c r="L9" s="596">
        <v>0.41210000000000002</v>
      </c>
      <c r="M9" s="569">
        <v>0.17050000000000001</v>
      </c>
      <c r="N9" s="569">
        <v>0.41739999999999999</v>
      </c>
      <c r="O9" s="595">
        <v>1</v>
      </c>
      <c r="P9" s="596">
        <v>0.49680000000000002</v>
      </c>
      <c r="Q9" s="564">
        <v>0.50319999999999998</v>
      </c>
      <c r="R9" s="595">
        <v>1</v>
      </c>
      <c r="S9" s="596">
        <v>8.3635047067342497E-2</v>
      </c>
      <c r="T9" s="569">
        <v>0.1885107410089307</v>
      </c>
      <c r="U9" s="569">
        <v>0.7278542119237269</v>
      </c>
      <c r="V9" s="595">
        <v>1</v>
      </c>
      <c r="W9" s="596">
        <v>0.1145</v>
      </c>
      <c r="X9" s="569">
        <v>0.88549999999999995</v>
      </c>
      <c r="Y9" s="595">
        <v>1</v>
      </c>
      <c r="Z9" s="596">
        <v>0.14000000000000001</v>
      </c>
      <c r="AA9" s="569">
        <v>0.86</v>
      </c>
      <c r="AB9" s="595">
        <v>1</v>
      </c>
      <c r="AC9" s="596">
        <v>0.81541802388707929</v>
      </c>
      <c r="AD9" s="569">
        <v>0.18147975802698929</v>
      </c>
      <c r="AE9" s="569">
        <v>3.1022180859314407E-3</v>
      </c>
      <c r="AF9" s="595">
        <v>1</v>
      </c>
      <c r="AG9" s="596">
        <v>7.1833764952521889E-2</v>
      </c>
      <c r="AH9" s="569">
        <v>0.92816623504747808</v>
      </c>
      <c r="AI9" s="595">
        <v>1</v>
      </c>
      <c r="AJ9" s="596">
        <v>0.68300000000000005</v>
      </c>
      <c r="AK9" s="569">
        <v>0.251</v>
      </c>
      <c r="AL9" s="569">
        <v>0</v>
      </c>
      <c r="AM9" s="569">
        <v>6.6000000000000003E-2</v>
      </c>
      <c r="AN9" s="595">
        <v>1</v>
      </c>
      <c r="AO9" s="596">
        <v>0.55600000000000005</v>
      </c>
      <c r="AP9" s="569">
        <v>0.23100000000000001</v>
      </c>
      <c r="AQ9" s="569">
        <v>0</v>
      </c>
      <c r="AR9" s="569">
        <v>0.21299999999999999</v>
      </c>
      <c r="AS9" s="595">
        <v>1</v>
      </c>
      <c r="AT9" s="596">
        <v>0.25700000000000001</v>
      </c>
      <c r="AU9" s="569">
        <v>2.3E-2</v>
      </c>
      <c r="AV9" s="569">
        <v>0.72</v>
      </c>
      <c r="AW9" s="595">
        <v>1</v>
      </c>
      <c r="AX9" s="596">
        <v>8.7599999999999997E-2</v>
      </c>
      <c r="AY9" s="569">
        <v>2.7400000000000001E-2</v>
      </c>
      <c r="AZ9" s="569">
        <v>0.88500000000000001</v>
      </c>
      <c r="BA9" s="595">
        <v>1</v>
      </c>
    </row>
    <row r="10" spans="1:53">
      <c r="A10" s="566">
        <v>1973</v>
      </c>
      <c r="B10" s="564">
        <v>0.82110000000000005</v>
      </c>
      <c r="C10" s="564">
        <v>0</v>
      </c>
      <c r="D10" s="564">
        <v>0</v>
      </c>
      <c r="E10" s="564">
        <v>0.1789</v>
      </c>
      <c r="F10" s="597">
        <v>1</v>
      </c>
      <c r="G10" s="596">
        <v>0.59538729329852047</v>
      </c>
      <c r="H10" s="569">
        <v>0.25274151436031328</v>
      </c>
      <c r="I10" s="569">
        <v>0</v>
      </c>
      <c r="J10" s="569">
        <v>0.15187119234116622</v>
      </c>
      <c r="K10" s="597">
        <v>1</v>
      </c>
      <c r="L10" s="596">
        <v>0.41210000000000002</v>
      </c>
      <c r="M10" s="569">
        <v>0.17050000000000001</v>
      </c>
      <c r="N10" s="569">
        <v>0.41739999999999999</v>
      </c>
      <c r="O10" s="595">
        <v>1</v>
      </c>
      <c r="P10" s="596">
        <v>0.49680000000000002</v>
      </c>
      <c r="Q10" s="564">
        <v>0.50319999999999998</v>
      </c>
      <c r="R10" s="595">
        <v>1</v>
      </c>
      <c r="S10" s="596">
        <v>8.3635047067342497E-2</v>
      </c>
      <c r="T10" s="569">
        <v>0.1885107410089307</v>
      </c>
      <c r="U10" s="569">
        <v>0.7278542119237269</v>
      </c>
      <c r="V10" s="595">
        <v>1</v>
      </c>
      <c r="W10" s="596">
        <v>0.1145</v>
      </c>
      <c r="X10" s="569">
        <v>0.88549999999999995</v>
      </c>
      <c r="Y10" s="595">
        <v>1</v>
      </c>
      <c r="Z10" s="596">
        <v>0.14000000000000001</v>
      </c>
      <c r="AA10" s="569">
        <v>0.86</v>
      </c>
      <c r="AB10" s="595">
        <v>1</v>
      </c>
      <c r="AC10" s="596">
        <v>0.81541802388707929</v>
      </c>
      <c r="AD10" s="569">
        <v>0.18147975802698929</v>
      </c>
      <c r="AE10" s="569">
        <v>3.1022180859314407E-3</v>
      </c>
      <c r="AF10" s="595">
        <v>1</v>
      </c>
      <c r="AG10" s="596">
        <v>7.1833764952521889E-2</v>
      </c>
      <c r="AH10" s="569">
        <v>0.92816623504747808</v>
      </c>
      <c r="AI10" s="595">
        <v>1</v>
      </c>
      <c r="AJ10" s="596">
        <v>0.68300000000000005</v>
      </c>
      <c r="AK10" s="569">
        <v>0.251</v>
      </c>
      <c r="AL10" s="569">
        <v>0</v>
      </c>
      <c r="AM10" s="569">
        <v>6.6000000000000003E-2</v>
      </c>
      <c r="AN10" s="595">
        <v>1</v>
      </c>
      <c r="AO10" s="596">
        <v>0.55600000000000005</v>
      </c>
      <c r="AP10" s="569">
        <v>0.23100000000000001</v>
      </c>
      <c r="AQ10" s="569">
        <v>0</v>
      </c>
      <c r="AR10" s="569">
        <v>0.21299999999999999</v>
      </c>
      <c r="AS10" s="595">
        <v>1</v>
      </c>
      <c r="AT10" s="596">
        <v>0.25700000000000001</v>
      </c>
      <c r="AU10" s="569">
        <v>2.3E-2</v>
      </c>
      <c r="AV10" s="569">
        <v>0.72</v>
      </c>
      <c r="AW10" s="595">
        <v>1</v>
      </c>
      <c r="AX10" s="596">
        <v>8.7599999999999997E-2</v>
      </c>
      <c r="AY10" s="569">
        <v>2.7400000000000001E-2</v>
      </c>
      <c r="AZ10" s="569">
        <v>0.88500000000000001</v>
      </c>
      <c r="BA10" s="595">
        <v>1</v>
      </c>
    </row>
    <row r="11" spans="1:53">
      <c r="A11" s="566">
        <v>1974</v>
      </c>
      <c r="B11" s="564">
        <v>0.82110000000000005</v>
      </c>
      <c r="C11" s="564">
        <v>0</v>
      </c>
      <c r="D11" s="564">
        <v>0</v>
      </c>
      <c r="E11" s="564">
        <v>0.1789</v>
      </c>
      <c r="F11" s="597">
        <v>1</v>
      </c>
      <c r="G11" s="596">
        <v>0.59538729329852047</v>
      </c>
      <c r="H11" s="569">
        <v>0.25274151436031328</v>
      </c>
      <c r="I11" s="569">
        <v>0</v>
      </c>
      <c r="J11" s="569">
        <v>0.15187119234116622</v>
      </c>
      <c r="K11" s="597">
        <v>1</v>
      </c>
      <c r="L11" s="596">
        <v>0.41210000000000002</v>
      </c>
      <c r="M11" s="569">
        <v>0.17050000000000001</v>
      </c>
      <c r="N11" s="569">
        <v>0.41739999999999999</v>
      </c>
      <c r="O11" s="595">
        <v>1</v>
      </c>
      <c r="P11" s="596">
        <v>0.49680000000000002</v>
      </c>
      <c r="Q11" s="564">
        <v>0.50319999999999998</v>
      </c>
      <c r="R11" s="595">
        <v>1</v>
      </c>
      <c r="S11" s="596">
        <v>8.3635047067342497E-2</v>
      </c>
      <c r="T11" s="569">
        <v>0.1885107410089307</v>
      </c>
      <c r="U11" s="569">
        <v>0.7278542119237269</v>
      </c>
      <c r="V11" s="595">
        <v>1</v>
      </c>
      <c r="W11" s="596">
        <v>0.1145</v>
      </c>
      <c r="X11" s="569">
        <v>0.88549999999999995</v>
      </c>
      <c r="Y11" s="595">
        <v>1</v>
      </c>
      <c r="Z11" s="596">
        <v>0.14000000000000001</v>
      </c>
      <c r="AA11" s="569">
        <v>0.86</v>
      </c>
      <c r="AB11" s="595">
        <v>1</v>
      </c>
      <c r="AC11" s="596">
        <v>0.81541802388707929</v>
      </c>
      <c r="AD11" s="569">
        <v>0.18147975802698929</v>
      </c>
      <c r="AE11" s="569">
        <v>3.1022180859314407E-3</v>
      </c>
      <c r="AF11" s="595">
        <v>1</v>
      </c>
      <c r="AG11" s="596">
        <v>7.1833764952521889E-2</v>
      </c>
      <c r="AH11" s="569">
        <v>0.92816623504747808</v>
      </c>
      <c r="AI11" s="595">
        <v>1</v>
      </c>
      <c r="AJ11" s="596">
        <v>0.68300000000000005</v>
      </c>
      <c r="AK11" s="569">
        <v>0.251</v>
      </c>
      <c r="AL11" s="569">
        <v>0</v>
      </c>
      <c r="AM11" s="569">
        <v>6.6000000000000003E-2</v>
      </c>
      <c r="AN11" s="595">
        <v>1</v>
      </c>
      <c r="AO11" s="596">
        <v>0.55600000000000005</v>
      </c>
      <c r="AP11" s="569">
        <v>0.23100000000000001</v>
      </c>
      <c r="AQ11" s="569">
        <v>0</v>
      </c>
      <c r="AR11" s="569">
        <v>0.21299999999999999</v>
      </c>
      <c r="AS11" s="595">
        <v>1</v>
      </c>
      <c r="AT11" s="596">
        <v>0.25700000000000001</v>
      </c>
      <c r="AU11" s="569">
        <v>2.3E-2</v>
      </c>
      <c r="AV11" s="569">
        <v>0.72</v>
      </c>
      <c r="AW11" s="595">
        <v>1</v>
      </c>
      <c r="AX11" s="596">
        <v>8.7599999999999997E-2</v>
      </c>
      <c r="AY11" s="569">
        <v>2.7400000000000001E-2</v>
      </c>
      <c r="AZ11" s="569">
        <v>0.88500000000000001</v>
      </c>
      <c r="BA11" s="595">
        <v>1</v>
      </c>
    </row>
    <row r="12" spans="1:53">
      <c r="A12" s="566">
        <v>1975</v>
      </c>
      <c r="B12" s="564">
        <v>0.82110000000000005</v>
      </c>
      <c r="C12" s="564">
        <v>0</v>
      </c>
      <c r="D12" s="564">
        <v>0</v>
      </c>
      <c r="E12" s="564">
        <v>0.1789</v>
      </c>
      <c r="F12" s="597">
        <v>1</v>
      </c>
      <c r="G12" s="596">
        <v>0.59538729329852047</v>
      </c>
      <c r="H12" s="569">
        <v>0.25274151436031328</v>
      </c>
      <c r="I12" s="569">
        <v>0</v>
      </c>
      <c r="J12" s="569">
        <v>0.15187119234116622</v>
      </c>
      <c r="K12" s="597">
        <v>1</v>
      </c>
      <c r="L12" s="596">
        <v>0.41210000000000002</v>
      </c>
      <c r="M12" s="569">
        <v>0.17050000000000001</v>
      </c>
      <c r="N12" s="569">
        <v>0.41739999999999999</v>
      </c>
      <c r="O12" s="595">
        <v>1</v>
      </c>
      <c r="P12" s="596">
        <v>0.49680000000000002</v>
      </c>
      <c r="Q12" s="564">
        <v>0.50319999999999998</v>
      </c>
      <c r="R12" s="595">
        <v>1</v>
      </c>
      <c r="S12" s="596">
        <v>8.3635047067342497E-2</v>
      </c>
      <c r="T12" s="569">
        <v>0.1885107410089307</v>
      </c>
      <c r="U12" s="569">
        <v>0.7278542119237269</v>
      </c>
      <c r="V12" s="595">
        <v>1</v>
      </c>
      <c r="W12" s="596">
        <v>0.1145</v>
      </c>
      <c r="X12" s="569">
        <v>0.88549999999999995</v>
      </c>
      <c r="Y12" s="595">
        <v>1</v>
      </c>
      <c r="Z12" s="596">
        <v>0.14000000000000001</v>
      </c>
      <c r="AA12" s="569">
        <v>0.86</v>
      </c>
      <c r="AB12" s="595">
        <v>1</v>
      </c>
      <c r="AC12" s="596">
        <v>0.81541802388707929</v>
      </c>
      <c r="AD12" s="569">
        <v>0.18147975802698929</v>
      </c>
      <c r="AE12" s="569">
        <v>3.1022180859314407E-3</v>
      </c>
      <c r="AF12" s="595">
        <v>1</v>
      </c>
      <c r="AG12" s="596">
        <v>7.1833764952521889E-2</v>
      </c>
      <c r="AH12" s="569">
        <v>0.92816623504747808</v>
      </c>
      <c r="AI12" s="595">
        <v>1</v>
      </c>
      <c r="AJ12" s="596">
        <v>0.68300000000000005</v>
      </c>
      <c r="AK12" s="569">
        <v>0.251</v>
      </c>
      <c r="AL12" s="569">
        <v>0</v>
      </c>
      <c r="AM12" s="569">
        <v>6.6000000000000003E-2</v>
      </c>
      <c r="AN12" s="595">
        <v>1</v>
      </c>
      <c r="AO12" s="596">
        <v>0.55600000000000005</v>
      </c>
      <c r="AP12" s="569">
        <v>0.23100000000000001</v>
      </c>
      <c r="AQ12" s="569">
        <v>0</v>
      </c>
      <c r="AR12" s="569">
        <v>0.21299999999999999</v>
      </c>
      <c r="AS12" s="595">
        <v>1</v>
      </c>
      <c r="AT12" s="596">
        <v>0.25700000000000001</v>
      </c>
      <c r="AU12" s="569">
        <v>2.3E-2</v>
      </c>
      <c r="AV12" s="569">
        <v>0.72</v>
      </c>
      <c r="AW12" s="595">
        <v>1</v>
      </c>
      <c r="AX12" s="596">
        <v>8.7599999999999997E-2</v>
      </c>
      <c r="AY12" s="569">
        <v>2.7400000000000001E-2</v>
      </c>
      <c r="AZ12" s="569">
        <v>0.88500000000000001</v>
      </c>
      <c r="BA12" s="595">
        <v>1</v>
      </c>
    </row>
    <row r="13" spans="1:53">
      <c r="A13" s="566">
        <v>1976</v>
      </c>
      <c r="B13" s="564">
        <v>0.82110000000000005</v>
      </c>
      <c r="C13" s="564">
        <v>0</v>
      </c>
      <c r="D13" s="564">
        <v>0</v>
      </c>
      <c r="E13" s="564">
        <v>0.1789</v>
      </c>
      <c r="F13" s="597">
        <v>1</v>
      </c>
      <c r="G13" s="596">
        <v>0.59538729329852047</v>
      </c>
      <c r="H13" s="569">
        <v>0.25274151436031328</v>
      </c>
      <c r="I13" s="569">
        <v>0</v>
      </c>
      <c r="J13" s="569">
        <v>0.15187119234116622</v>
      </c>
      <c r="K13" s="597">
        <v>1</v>
      </c>
      <c r="L13" s="596">
        <v>0.41210000000000002</v>
      </c>
      <c r="M13" s="569">
        <v>0.17050000000000001</v>
      </c>
      <c r="N13" s="569">
        <v>0.41739999999999999</v>
      </c>
      <c r="O13" s="595">
        <v>1</v>
      </c>
      <c r="P13" s="596">
        <v>0.49680000000000002</v>
      </c>
      <c r="Q13" s="564">
        <v>0.50319999999999998</v>
      </c>
      <c r="R13" s="595">
        <v>1</v>
      </c>
      <c r="S13" s="596">
        <v>8.3635047067342497E-2</v>
      </c>
      <c r="T13" s="569">
        <v>0.1885107410089307</v>
      </c>
      <c r="U13" s="569">
        <v>0.7278542119237269</v>
      </c>
      <c r="V13" s="595">
        <v>1</v>
      </c>
      <c r="W13" s="596">
        <v>0.1145</v>
      </c>
      <c r="X13" s="569">
        <v>0.88549999999999995</v>
      </c>
      <c r="Y13" s="595">
        <v>1</v>
      </c>
      <c r="Z13" s="596">
        <v>0.14000000000000001</v>
      </c>
      <c r="AA13" s="569">
        <v>0.86</v>
      </c>
      <c r="AB13" s="595">
        <v>1</v>
      </c>
      <c r="AC13" s="596">
        <v>0.81541802388707929</v>
      </c>
      <c r="AD13" s="569">
        <v>0.18147975802698929</v>
      </c>
      <c r="AE13" s="569">
        <v>3.1022180859314407E-3</v>
      </c>
      <c r="AF13" s="595">
        <v>1</v>
      </c>
      <c r="AG13" s="596">
        <v>7.1833764952521889E-2</v>
      </c>
      <c r="AH13" s="569">
        <v>0.92816623504747808</v>
      </c>
      <c r="AI13" s="595">
        <v>1</v>
      </c>
      <c r="AJ13" s="596">
        <v>0.68300000000000005</v>
      </c>
      <c r="AK13" s="569">
        <v>0.251</v>
      </c>
      <c r="AL13" s="569">
        <v>0</v>
      </c>
      <c r="AM13" s="569">
        <v>6.6000000000000003E-2</v>
      </c>
      <c r="AN13" s="595">
        <v>1</v>
      </c>
      <c r="AO13" s="596">
        <v>0.55600000000000005</v>
      </c>
      <c r="AP13" s="569">
        <v>0.23100000000000001</v>
      </c>
      <c r="AQ13" s="569">
        <v>0</v>
      </c>
      <c r="AR13" s="569">
        <v>0.21299999999999999</v>
      </c>
      <c r="AS13" s="595">
        <v>1</v>
      </c>
      <c r="AT13" s="596">
        <v>0.25700000000000001</v>
      </c>
      <c r="AU13" s="569">
        <v>2.3E-2</v>
      </c>
      <c r="AV13" s="569">
        <v>0.72</v>
      </c>
      <c r="AW13" s="595">
        <v>1</v>
      </c>
      <c r="AX13" s="596">
        <v>8.7599999999999997E-2</v>
      </c>
      <c r="AY13" s="569">
        <v>2.7400000000000001E-2</v>
      </c>
      <c r="AZ13" s="569">
        <v>0.88500000000000001</v>
      </c>
      <c r="BA13" s="595">
        <v>1</v>
      </c>
    </row>
    <row r="14" spans="1:53">
      <c r="A14" s="598" t="s">
        <v>1</v>
      </c>
      <c r="B14" s="564">
        <v>0.82110000000000005</v>
      </c>
      <c r="C14" s="564">
        <v>0</v>
      </c>
      <c r="D14" s="564">
        <v>0</v>
      </c>
      <c r="E14" s="564">
        <v>0.1789</v>
      </c>
      <c r="F14" s="597">
        <v>1</v>
      </c>
      <c r="G14" s="596">
        <v>0.59538729329852047</v>
      </c>
      <c r="H14" s="569">
        <v>0.25274151436031328</v>
      </c>
      <c r="I14" s="569">
        <v>0</v>
      </c>
      <c r="J14" s="569">
        <v>0.15187119234116622</v>
      </c>
      <c r="K14" s="597">
        <v>1</v>
      </c>
      <c r="L14" s="596">
        <v>0.41210000000000002</v>
      </c>
      <c r="M14" s="569">
        <v>0.17050000000000001</v>
      </c>
      <c r="N14" s="569">
        <v>0.41739999999999999</v>
      </c>
      <c r="O14" s="595">
        <v>1</v>
      </c>
      <c r="P14" s="596">
        <v>0.49680000000000002</v>
      </c>
      <c r="Q14" s="564">
        <v>0.50319999999999998</v>
      </c>
      <c r="R14" s="595">
        <v>1</v>
      </c>
      <c r="S14" s="596">
        <v>8.3635047067342497E-2</v>
      </c>
      <c r="T14" s="569">
        <v>0.1885107410089307</v>
      </c>
      <c r="U14" s="569">
        <v>0.7278542119237269</v>
      </c>
      <c r="V14" s="595">
        <v>1</v>
      </c>
      <c r="W14" s="596">
        <v>0.1145</v>
      </c>
      <c r="X14" s="569">
        <v>0.88549999999999995</v>
      </c>
      <c r="Y14" s="595">
        <v>1</v>
      </c>
      <c r="Z14" s="596">
        <v>0.14000000000000001</v>
      </c>
      <c r="AA14" s="569">
        <v>0.86</v>
      </c>
      <c r="AB14" s="595">
        <v>1</v>
      </c>
      <c r="AC14" s="596">
        <v>0.81541802388707929</v>
      </c>
      <c r="AD14" s="569">
        <v>0.18147975802698929</v>
      </c>
      <c r="AE14" s="569">
        <v>3.1022180859314407E-3</v>
      </c>
      <c r="AF14" s="595">
        <v>1</v>
      </c>
      <c r="AG14" s="596">
        <v>7.1833764952521889E-2</v>
      </c>
      <c r="AH14" s="569">
        <v>0.92816623504747808</v>
      </c>
      <c r="AI14" s="595">
        <v>1</v>
      </c>
      <c r="AJ14" s="596">
        <v>0.68300000000000005</v>
      </c>
      <c r="AK14" s="569">
        <v>0.251</v>
      </c>
      <c r="AL14" s="569">
        <v>0</v>
      </c>
      <c r="AM14" s="569">
        <v>6.6000000000000003E-2</v>
      </c>
      <c r="AN14" s="595">
        <v>1</v>
      </c>
      <c r="AO14" s="596">
        <v>0.55600000000000005</v>
      </c>
      <c r="AP14" s="569">
        <v>0.23100000000000001</v>
      </c>
      <c r="AQ14" s="569">
        <v>0</v>
      </c>
      <c r="AR14" s="569">
        <v>0.21299999999999999</v>
      </c>
      <c r="AS14" s="595">
        <v>1</v>
      </c>
      <c r="AT14" s="596">
        <v>0.25700000000000001</v>
      </c>
      <c r="AU14" s="569">
        <v>2.3E-2</v>
      </c>
      <c r="AV14" s="569">
        <v>0.72</v>
      </c>
      <c r="AW14" s="595">
        <v>1</v>
      </c>
      <c r="AX14" s="596">
        <v>8.7599999999999997E-2</v>
      </c>
      <c r="AY14" s="569">
        <v>2.7400000000000001E-2</v>
      </c>
      <c r="AZ14" s="569">
        <v>0.88500000000000001</v>
      </c>
      <c r="BA14" s="595">
        <v>1</v>
      </c>
    </row>
    <row r="15" spans="1:53">
      <c r="A15" s="566">
        <v>1977</v>
      </c>
      <c r="B15" s="564">
        <v>0.82110000000000005</v>
      </c>
      <c r="C15" s="564">
        <v>0</v>
      </c>
      <c r="D15" s="564">
        <v>0</v>
      </c>
      <c r="E15" s="564">
        <v>0.1789</v>
      </c>
      <c r="F15" s="597">
        <v>1</v>
      </c>
      <c r="G15" s="596">
        <v>0.59538729329852047</v>
      </c>
      <c r="H15" s="569">
        <v>0.25274151436031328</v>
      </c>
      <c r="I15" s="569">
        <v>0</v>
      </c>
      <c r="J15" s="569">
        <v>0.15187119234116622</v>
      </c>
      <c r="K15" s="597">
        <v>1</v>
      </c>
      <c r="L15" s="596">
        <v>0.41210000000000002</v>
      </c>
      <c r="M15" s="569">
        <v>0.17050000000000001</v>
      </c>
      <c r="N15" s="569">
        <v>0.41739999999999999</v>
      </c>
      <c r="O15" s="595">
        <v>1</v>
      </c>
      <c r="P15" s="596">
        <v>0.49680000000000002</v>
      </c>
      <c r="Q15" s="564">
        <v>0.50319999999999998</v>
      </c>
      <c r="R15" s="595">
        <v>1</v>
      </c>
      <c r="S15" s="596">
        <v>8.3635047067342497E-2</v>
      </c>
      <c r="T15" s="569">
        <v>0.1885107410089307</v>
      </c>
      <c r="U15" s="569">
        <v>0.7278542119237269</v>
      </c>
      <c r="V15" s="595">
        <v>1</v>
      </c>
      <c r="W15" s="596">
        <v>0.1145</v>
      </c>
      <c r="X15" s="569">
        <v>0.88549999999999995</v>
      </c>
      <c r="Y15" s="595">
        <v>1</v>
      </c>
      <c r="Z15" s="596">
        <v>0.14000000000000001</v>
      </c>
      <c r="AA15" s="569">
        <v>0.86</v>
      </c>
      <c r="AB15" s="595">
        <v>1</v>
      </c>
      <c r="AC15" s="596">
        <v>0.81541802388707929</v>
      </c>
      <c r="AD15" s="569">
        <v>0.18147975802698929</v>
      </c>
      <c r="AE15" s="569">
        <v>3.1022180859314407E-3</v>
      </c>
      <c r="AF15" s="595">
        <v>1</v>
      </c>
      <c r="AG15" s="596">
        <v>7.1833764952521889E-2</v>
      </c>
      <c r="AH15" s="569">
        <v>0.92816623504747808</v>
      </c>
      <c r="AI15" s="595">
        <v>1</v>
      </c>
      <c r="AJ15" s="596">
        <v>0.68300000000000005</v>
      </c>
      <c r="AK15" s="569">
        <v>0.251</v>
      </c>
      <c r="AL15" s="569">
        <v>0</v>
      </c>
      <c r="AM15" s="569">
        <v>6.6000000000000003E-2</v>
      </c>
      <c r="AN15" s="595">
        <v>1</v>
      </c>
      <c r="AO15" s="596">
        <v>0.55600000000000005</v>
      </c>
      <c r="AP15" s="569">
        <v>0.23100000000000001</v>
      </c>
      <c r="AQ15" s="569">
        <v>0</v>
      </c>
      <c r="AR15" s="569">
        <v>0.21299999999999999</v>
      </c>
      <c r="AS15" s="595">
        <v>1</v>
      </c>
      <c r="AT15" s="596">
        <v>0.25700000000000001</v>
      </c>
      <c r="AU15" s="569">
        <v>2.3E-2</v>
      </c>
      <c r="AV15" s="569">
        <v>0.72</v>
      </c>
      <c r="AW15" s="595">
        <v>1</v>
      </c>
      <c r="AX15" s="596">
        <v>8.7599999999999997E-2</v>
      </c>
      <c r="AY15" s="569">
        <v>2.7400000000000001E-2</v>
      </c>
      <c r="AZ15" s="569">
        <v>0.88500000000000001</v>
      </c>
      <c r="BA15" s="595">
        <v>1</v>
      </c>
    </row>
    <row r="16" spans="1:53">
      <c r="A16" s="566">
        <v>1978</v>
      </c>
      <c r="B16" s="564">
        <v>0.82110000000000005</v>
      </c>
      <c r="C16" s="564">
        <v>0</v>
      </c>
      <c r="D16" s="564">
        <v>0</v>
      </c>
      <c r="E16" s="564">
        <v>0.1789</v>
      </c>
      <c r="F16" s="597">
        <v>1</v>
      </c>
      <c r="G16" s="596">
        <v>0.59538729329852047</v>
      </c>
      <c r="H16" s="569">
        <v>0.25274151436031328</v>
      </c>
      <c r="I16" s="569">
        <v>0</v>
      </c>
      <c r="J16" s="569">
        <v>0.15187119234116622</v>
      </c>
      <c r="K16" s="597">
        <v>1</v>
      </c>
      <c r="L16" s="596">
        <v>0.41210000000000002</v>
      </c>
      <c r="M16" s="569">
        <v>0.17050000000000001</v>
      </c>
      <c r="N16" s="569">
        <v>0.41739999999999999</v>
      </c>
      <c r="O16" s="595">
        <v>1</v>
      </c>
      <c r="P16" s="596">
        <v>0.49680000000000002</v>
      </c>
      <c r="Q16" s="564">
        <v>0.50319999999999998</v>
      </c>
      <c r="R16" s="595">
        <v>1</v>
      </c>
      <c r="S16" s="596">
        <v>8.3635047067342497E-2</v>
      </c>
      <c r="T16" s="569">
        <v>0.1885107410089307</v>
      </c>
      <c r="U16" s="569">
        <v>0.7278542119237269</v>
      </c>
      <c r="V16" s="595">
        <v>1</v>
      </c>
      <c r="W16" s="596">
        <v>0.1145</v>
      </c>
      <c r="X16" s="569">
        <v>0.88549999999999995</v>
      </c>
      <c r="Y16" s="595">
        <v>1</v>
      </c>
      <c r="Z16" s="596">
        <v>0.14000000000000001</v>
      </c>
      <c r="AA16" s="569">
        <v>0.86</v>
      </c>
      <c r="AB16" s="595">
        <v>1</v>
      </c>
      <c r="AC16" s="596">
        <v>0.81541802388707929</v>
      </c>
      <c r="AD16" s="569">
        <v>0.18147975802698929</v>
      </c>
      <c r="AE16" s="569">
        <v>3.1022180859314407E-3</v>
      </c>
      <c r="AF16" s="595">
        <v>1</v>
      </c>
      <c r="AG16" s="596">
        <v>7.1833764952521889E-2</v>
      </c>
      <c r="AH16" s="569">
        <v>0.92816623504747808</v>
      </c>
      <c r="AI16" s="595">
        <v>1</v>
      </c>
      <c r="AJ16" s="596">
        <v>0.68300000000000005</v>
      </c>
      <c r="AK16" s="569">
        <v>0.251</v>
      </c>
      <c r="AL16" s="569">
        <v>0</v>
      </c>
      <c r="AM16" s="569">
        <v>6.6000000000000003E-2</v>
      </c>
      <c r="AN16" s="595">
        <v>1</v>
      </c>
      <c r="AO16" s="596">
        <v>0.55600000000000005</v>
      </c>
      <c r="AP16" s="569">
        <v>0.23100000000000001</v>
      </c>
      <c r="AQ16" s="569">
        <v>0</v>
      </c>
      <c r="AR16" s="569">
        <v>0.21299999999999999</v>
      </c>
      <c r="AS16" s="595">
        <v>1</v>
      </c>
      <c r="AT16" s="596">
        <v>0.25700000000000001</v>
      </c>
      <c r="AU16" s="569">
        <v>2.3E-2</v>
      </c>
      <c r="AV16" s="569">
        <v>0.72</v>
      </c>
      <c r="AW16" s="595">
        <v>1</v>
      </c>
      <c r="AX16" s="596">
        <v>8.7599999999999997E-2</v>
      </c>
      <c r="AY16" s="569">
        <v>2.7400000000000001E-2</v>
      </c>
      <c r="AZ16" s="569">
        <v>0.88500000000000001</v>
      </c>
      <c r="BA16" s="595">
        <v>1</v>
      </c>
    </row>
    <row r="17" spans="1:53">
      <c r="A17" s="566">
        <v>1979</v>
      </c>
      <c r="B17" s="564">
        <v>0.82110000000000005</v>
      </c>
      <c r="C17" s="564">
        <v>0</v>
      </c>
      <c r="D17" s="564">
        <v>0</v>
      </c>
      <c r="E17" s="564">
        <v>0.1789</v>
      </c>
      <c r="F17" s="597">
        <v>1</v>
      </c>
      <c r="G17" s="596">
        <v>0.59538729329852047</v>
      </c>
      <c r="H17" s="569">
        <v>0.25274151436031328</v>
      </c>
      <c r="I17" s="569">
        <v>0</v>
      </c>
      <c r="J17" s="569">
        <v>0.15187119234116622</v>
      </c>
      <c r="K17" s="597">
        <v>1</v>
      </c>
      <c r="L17" s="596">
        <v>0.41210000000000002</v>
      </c>
      <c r="M17" s="569">
        <v>0.17050000000000001</v>
      </c>
      <c r="N17" s="569">
        <v>0.41739999999999999</v>
      </c>
      <c r="O17" s="595">
        <v>1</v>
      </c>
      <c r="P17" s="596">
        <v>0.49680000000000002</v>
      </c>
      <c r="Q17" s="564">
        <v>0.50319999999999998</v>
      </c>
      <c r="R17" s="595">
        <v>1</v>
      </c>
      <c r="S17" s="596">
        <v>8.3635047067342497E-2</v>
      </c>
      <c r="T17" s="569">
        <v>0.1885107410089307</v>
      </c>
      <c r="U17" s="569">
        <v>0.7278542119237269</v>
      </c>
      <c r="V17" s="595">
        <v>1</v>
      </c>
      <c r="W17" s="596">
        <v>0.1145</v>
      </c>
      <c r="X17" s="569">
        <v>0.88549999999999995</v>
      </c>
      <c r="Y17" s="595">
        <v>1</v>
      </c>
      <c r="Z17" s="596">
        <v>0.14000000000000001</v>
      </c>
      <c r="AA17" s="569">
        <v>0.86</v>
      </c>
      <c r="AB17" s="595">
        <v>1</v>
      </c>
      <c r="AC17" s="596">
        <v>0.81541802388707929</v>
      </c>
      <c r="AD17" s="569">
        <v>0.18147975802698929</v>
      </c>
      <c r="AE17" s="569">
        <v>3.1022180859314407E-3</v>
      </c>
      <c r="AF17" s="595">
        <v>1</v>
      </c>
      <c r="AG17" s="596">
        <v>7.1833764952521889E-2</v>
      </c>
      <c r="AH17" s="569">
        <v>0.92816623504747808</v>
      </c>
      <c r="AI17" s="595">
        <v>1</v>
      </c>
      <c r="AJ17" s="596">
        <v>0.68300000000000005</v>
      </c>
      <c r="AK17" s="569">
        <v>0.251</v>
      </c>
      <c r="AL17" s="569">
        <v>0</v>
      </c>
      <c r="AM17" s="569">
        <v>6.6000000000000003E-2</v>
      </c>
      <c r="AN17" s="595">
        <v>1</v>
      </c>
      <c r="AO17" s="596">
        <v>0.55600000000000005</v>
      </c>
      <c r="AP17" s="569">
        <v>0.23100000000000001</v>
      </c>
      <c r="AQ17" s="569">
        <v>0</v>
      </c>
      <c r="AR17" s="569">
        <v>0.21299999999999999</v>
      </c>
      <c r="AS17" s="595">
        <v>1</v>
      </c>
      <c r="AT17" s="596">
        <v>0.25700000000000001</v>
      </c>
      <c r="AU17" s="569">
        <v>2.3E-2</v>
      </c>
      <c r="AV17" s="569">
        <v>0.72</v>
      </c>
      <c r="AW17" s="595">
        <v>1</v>
      </c>
      <c r="AX17" s="596">
        <v>8.7599999999999997E-2</v>
      </c>
      <c r="AY17" s="569">
        <v>2.7400000000000001E-2</v>
      </c>
      <c r="AZ17" s="569">
        <v>0.88500000000000001</v>
      </c>
      <c r="BA17" s="595">
        <v>1</v>
      </c>
    </row>
    <row r="18" spans="1:53">
      <c r="A18" s="566">
        <v>1980</v>
      </c>
      <c r="B18" s="564">
        <v>0.82110000000000005</v>
      </c>
      <c r="C18" s="564">
        <v>0</v>
      </c>
      <c r="D18" s="564">
        <v>0</v>
      </c>
      <c r="E18" s="564">
        <v>0.1789</v>
      </c>
      <c r="F18" s="597">
        <v>1</v>
      </c>
      <c r="G18" s="596">
        <v>0.59538729329852047</v>
      </c>
      <c r="H18" s="569">
        <v>0.25274151436031328</v>
      </c>
      <c r="I18" s="569">
        <v>0</v>
      </c>
      <c r="J18" s="569">
        <v>0.15187119234116622</v>
      </c>
      <c r="K18" s="597">
        <v>1</v>
      </c>
      <c r="L18" s="596">
        <v>0.41210000000000002</v>
      </c>
      <c r="M18" s="569">
        <v>0.17050000000000001</v>
      </c>
      <c r="N18" s="569">
        <v>0.41739999999999999</v>
      </c>
      <c r="O18" s="595">
        <v>1</v>
      </c>
      <c r="P18" s="596">
        <v>0.49680000000000002</v>
      </c>
      <c r="Q18" s="564">
        <v>0.50319999999999998</v>
      </c>
      <c r="R18" s="595">
        <v>1</v>
      </c>
      <c r="S18" s="596">
        <v>8.3635047067342497E-2</v>
      </c>
      <c r="T18" s="569">
        <v>0.1885107410089307</v>
      </c>
      <c r="U18" s="569">
        <v>0.7278542119237269</v>
      </c>
      <c r="V18" s="595">
        <v>1</v>
      </c>
      <c r="W18" s="596">
        <v>0.1145</v>
      </c>
      <c r="X18" s="569">
        <v>0.88549999999999995</v>
      </c>
      <c r="Y18" s="595">
        <v>1</v>
      </c>
      <c r="Z18" s="596">
        <v>0.14000000000000001</v>
      </c>
      <c r="AA18" s="569">
        <v>0.86</v>
      </c>
      <c r="AB18" s="595">
        <v>1</v>
      </c>
      <c r="AC18" s="596">
        <v>0.81541802388707929</v>
      </c>
      <c r="AD18" s="569">
        <v>0.18147975802698929</v>
      </c>
      <c r="AE18" s="569">
        <v>3.1022180859314407E-3</v>
      </c>
      <c r="AF18" s="595">
        <v>1</v>
      </c>
      <c r="AG18" s="596">
        <v>7.1833764952521889E-2</v>
      </c>
      <c r="AH18" s="569">
        <v>0.92816623504747808</v>
      </c>
      <c r="AI18" s="595">
        <v>1</v>
      </c>
      <c r="AJ18" s="596">
        <v>0.68300000000000005</v>
      </c>
      <c r="AK18" s="569">
        <v>0.251</v>
      </c>
      <c r="AL18" s="569">
        <v>0</v>
      </c>
      <c r="AM18" s="569">
        <v>6.6000000000000003E-2</v>
      </c>
      <c r="AN18" s="595">
        <v>1</v>
      </c>
      <c r="AO18" s="596">
        <v>0.55600000000000005</v>
      </c>
      <c r="AP18" s="569">
        <v>0.23100000000000001</v>
      </c>
      <c r="AQ18" s="569">
        <v>0</v>
      </c>
      <c r="AR18" s="569">
        <v>0.21299999999999999</v>
      </c>
      <c r="AS18" s="595">
        <v>1</v>
      </c>
      <c r="AT18" s="596">
        <v>0.25700000000000001</v>
      </c>
      <c r="AU18" s="569">
        <v>2.3E-2</v>
      </c>
      <c r="AV18" s="569">
        <v>0.72</v>
      </c>
      <c r="AW18" s="595">
        <v>1</v>
      </c>
      <c r="AX18" s="596">
        <v>8.7599999999999997E-2</v>
      </c>
      <c r="AY18" s="569">
        <v>2.7400000000000001E-2</v>
      </c>
      <c r="AZ18" s="569">
        <v>0.88500000000000001</v>
      </c>
      <c r="BA18" s="595">
        <v>1</v>
      </c>
    </row>
    <row r="19" spans="1:53">
      <c r="A19" s="566">
        <v>1981</v>
      </c>
      <c r="B19" s="564">
        <v>0.82110000000000005</v>
      </c>
      <c r="C19" s="564">
        <v>0</v>
      </c>
      <c r="D19" s="564">
        <v>0</v>
      </c>
      <c r="E19" s="564">
        <v>0.1789</v>
      </c>
      <c r="F19" s="597">
        <v>1</v>
      </c>
      <c r="G19" s="596">
        <v>0.59538729329852047</v>
      </c>
      <c r="H19" s="569">
        <v>0.25274151436031328</v>
      </c>
      <c r="I19" s="569">
        <v>0</v>
      </c>
      <c r="J19" s="569">
        <v>0.15187119234116622</v>
      </c>
      <c r="K19" s="597">
        <v>1</v>
      </c>
      <c r="L19" s="596">
        <v>0.41210000000000002</v>
      </c>
      <c r="M19" s="569">
        <v>0.17050000000000001</v>
      </c>
      <c r="N19" s="569">
        <v>0.41739999999999999</v>
      </c>
      <c r="O19" s="595">
        <v>1</v>
      </c>
      <c r="P19" s="596">
        <v>0.49680000000000002</v>
      </c>
      <c r="Q19" s="564">
        <v>0.50319999999999998</v>
      </c>
      <c r="R19" s="595">
        <v>1</v>
      </c>
      <c r="S19" s="596">
        <v>8.3635047067342497E-2</v>
      </c>
      <c r="T19" s="569">
        <v>0.1885107410089307</v>
      </c>
      <c r="U19" s="569">
        <v>0.7278542119237269</v>
      </c>
      <c r="V19" s="595">
        <v>1</v>
      </c>
      <c r="W19" s="596">
        <v>0.1145</v>
      </c>
      <c r="X19" s="569">
        <v>0.88549999999999995</v>
      </c>
      <c r="Y19" s="595">
        <v>1</v>
      </c>
      <c r="Z19" s="596">
        <v>0.14000000000000001</v>
      </c>
      <c r="AA19" s="569">
        <v>0.86</v>
      </c>
      <c r="AB19" s="595">
        <v>1</v>
      </c>
      <c r="AC19" s="596">
        <v>0.81541802388707929</v>
      </c>
      <c r="AD19" s="569">
        <v>0.18147975802698929</v>
      </c>
      <c r="AE19" s="569">
        <v>3.1022180859314407E-3</v>
      </c>
      <c r="AF19" s="595">
        <v>1</v>
      </c>
      <c r="AG19" s="596">
        <v>7.1833764952521889E-2</v>
      </c>
      <c r="AH19" s="569">
        <v>0.92816623504747808</v>
      </c>
      <c r="AI19" s="595">
        <v>1</v>
      </c>
      <c r="AJ19" s="596">
        <v>0.68300000000000005</v>
      </c>
      <c r="AK19" s="569">
        <v>0.251</v>
      </c>
      <c r="AL19" s="569">
        <v>0</v>
      </c>
      <c r="AM19" s="569">
        <v>6.6000000000000003E-2</v>
      </c>
      <c r="AN19" s="595">
        <v>1</v>
      </c>
      <c r="AO19" s="596">
        <v>0.55600000000000005</v>
      </c>
      <c r="AP19" s="569">
        <v>0.23100000000000001</v>
      </c>
      <c r="AQ19" s="569">
        <v>0</v>
      </c>
      <c r="AR19" s="569">
        <v>0.21299999999999999</v>
      </c>
      <c r="AS19" s="595">
        <v>1</v>
      </c>
      <c r="AT19" s="596">
        <v>0.25700000000000001</v>
      </c>
      <c r="AU19" s="569">
        <v>2.3E-2</v>
      </c>
      <c r="AV19" s="569">
        <v>0.72</v>
      </c>
      <c r="AW19" s="595">
        <v>1</v>
      </c>
      <c r="AX19" s="596">
        <v>8.7599999999999997E-2</v>
      </c>
      <c r="AY19" s="569">
        <v>2.7400000000000001E-2</v>
      </c>
      <c r="AZ19" s="569">
        <v>0.88500000000000001</v>
      </c>
      <c r="BA19" s="595">
        <v>1</v>
      </c>
    </row>
    <row r="20" spans="1:53">
      <c r="A20" s="566">
        <v>1982</v>
      </c>
      <c r="B20" s="564">
        <v>0.85109999999999997</v>
      </c>
      <c r="C20" s="564">
        <v>0</v>
      </c>
      <c r="D20" s="564">
        <v>0</v>
      </c>
      <c r="E20" s="564">
        <v>0.1489</v>
      </c>
      <c r="F20" s="597">
        <v>1</v>
      </c>
      <c r="G20" s="596">
        <v>0.59538729329852047</v>
      </c>
      <c r="H20" s="569">
        <v>0.25274151436031328</v>
      </c>
      <c r="I20" s="569">
        <v>0</v>
      </c>
      <c r="J20" s="569">
        <v>0.15187119234116622</v>
      </c>
      <c r="K20" s="597">
        <v>1</v>
      </c>
      <c r="L20" s="596">
        <v>0.41170000000000001</v>
      </c>
      <c r="M20" s="569">
        <v>0.13220000000000001</v>
      </c>
      <c r="N20" s="569">
        <v>0.45610000000000001</v>
      </c>
      <c r="O20" s="595">
        <v>1</v>
      </c>
      <c r="P20" s="596">
        <v>0.47449999999999998</v>
      </c>
      <c r="Q20" s="564">
        <v>0.52549999999999997</v>
      </c>
      <c r="R20" s="595">
        <v>1</v>
      </c>
      <c r="S20" s="596">
        <v>8.3635047067342497E-2</v>
      </c>
      <c r="T20" s="569">
        <v>0.1885107410089307</v>
      </c>
      <c r="U20" s="569">
        <v>0.7278542119237269</v>
      </c>
      <c r="V20" s="595">
        <v>1</v>
      </c>
      <c r="W20" s="596">
        <v>0.10630000000000001</v>
      </c>
      <c r="X20" s="569">
        <v>0.89370000000000005</v>
      </c>
      <c r="Y20" s="595">
        <v>1</v>
      </c>
      <c r="Z20" s="596">
        <v>0.14000000000000001</v>
      </c>
      <c r="AA20" s="569">
        <v>0.86</v>
      </c>
      <c r="AB20" s="595">
        <v>1</v>
      </c>
      <c r="AC20" s="596">
        <v>0.81541802388707929</v>
      </c>
      <c r="AD20" s="569">
        <v>0.18147975802698929</v>
      </c>
      <c r="AE20" s="569">
        <v>3.1022180859314407E-3</v>
      </c>
      <c r="AF20" s="595">
        <v>1</v>
      </c>
      <c r="AG20" s="596">
        <v>7.1833764952521889E-2</v>
      </c>
      <c r="AH20" s="569">
        <v>0.92816623504747808</v>
      </c>
      <c r="AI20" s="595">
        <v>1</v>
      </c>
      <c r="AJ20" s="596">
        <v>0.68300000000000005</v>
      </c>
      <c r="AK20" s="569">
        <v>0.251</v>
      </c>
      <c r="AL20" s="569">
        <v>0</v>
      </c>
      <c r="AM20" s="569">
        <v>6.6000000000000003E-2</v>
      </c>
      <c r="AN20" s="595">
        <v>1</v>
      </c>
      <c r="AO20" s="596">
        <v>0.55600000000000005</v>
      </c>
      <c r="AP20" s="569">
        <v>0.23100000000000001</v>
      </c>
      <c r="AQ20" s="569">
        <v>0</v>
      </c>
      <c r="AR20" s="569">
        <v>0.21299999999999999</v>
      </c>
      <c r="AS20" s="595">
        <v>1</v>
      </c>
      <c r="AT20" s="596">
        <v>0.25700000000000001</v>
      </c>
      <c r="AU20" s="569">
        <v>2.3E-2</v>
      </c>
      <c r="AV20" s="569">
        <v>0.72</v>
      </c>
      <c r="AW20" s="595">
        <v>1</v>
      </c>
      <c r="AX20" s="596">
        <v>8.7599999999999997E-2</v>
      </c>
      <c r="AY20" s="569">
        <v>2.7400000000000001E-2</v>
      </c>
      <c r="AZ20" s="569">
        <v>0.88500000000000001</v>
      </c>
      <c r="BA20" s="595">
        <v>1</v>
      </c>
    </row>
    <row r="21" spans="1:53">
      <c r="A21" s="566">
        <v>1983</v>
      </c>
      <c r="B21" s="564">
        <v>0.83709999999999996</v>
      </c>
      <c r="C21" s="564">
        <v>0</v>
      </c>
      <c r="D21" s="564">
        <v>0</v>
      </c>
      <c r="E21" s="564">
        <v>0.16289999999999999</v>
      </c>
      <c r="F21" s="597">
        <v>1</v>
      </c>
      <c r="G21" s="596">
        <v>0.59538729329852047</v>
      </c>
      <c r="H21" s="569">
        <v>0.25274151436031328</v>
      </c>
      <c r="I21" s="569">
        <v>0</v>
      </c>
      <c r="J21" s="569">
        <v>0.15187119234116622</v>
      </c>
      <c r="K21" s="597">
        <v>1</v>
      </c>
      <c r="L21" s="596">
        <v>0.41070000000000001</v>
      </c>
      <c r="M21" s="569">
        <v>0.14199999999999999</v>
      </c>
      <c r="N21" s="569">
        <v>0.44729999999999998</v>
      </c>
      <c r="O21" s="595">
        <v>1</v>
      </c>
      <c r="P21" s="596">
        <v>0.4788</v>
      </c>
      <c r="Q21" s="564">
        <v>0.5212</v>
      </c>
      <c r="R21" s="595">
        <v>1</v>
      </c>
      <c r="S21" s="596">
        <v>8.3635047067342497E-2</v>
      </c>
      <c r="T21" s="569">
        <v>0.1885107410089307</v>
      </c>
      <c r="U21" s="569">
        <v>0.7278542119237269</v>
      </c>
      <c r="V21" s="595">
        <v>1</v>
      </c>
      <c r="W21" s="596">
        <v>1.23E-2</v>
      </c>
      <c r="X21" s="569">
        <v>0.98770000000000002</v>
      </c>
      <c r="Y21" s="595">
        <v>1</v>
      </c>
      <c r="Z21" s="596">
        <v>0.14000000000000001</v>
      </c>
      <c r="AA21" s="569">
        <v>0.86</v>
      </c>
      <c r="AB21" s="595">
        <v>1</v>
      </c>
      <c r="AC21" s="596">
        <v>0.81541802388707929</v>
      </c>
      <c r="AD21" s="569">
        <v>0.18147975802698929</v>
      </c>
      <c r="AE21" s="569">
        <v>3.1022180859314407E-3</v>
      </c>
      <c r="AF21" s="595">
        <v>1</v>
      </c>
      <c r="AG21" s="596">
        <v>7.1833764952521889E-2</v>
      </c>
      <c r="AH21" s="569">
        <v>0.92816623504747808</v>
      </c>
      <c r="AI21" s="595">
        <v>1</v>
      </c>
      <c r="AJ21" s="596">
        <v>0.68300000000000005</v>
      </c>
      <c r="AK21" s="569">
        <v>0.251</v>
      </c>
      <c r="AL21" s="569">
        <v>0</v>
      </c>
      <c r="AM21" s="569">
        <v>6.6000000000000003E-2</v>
      </c>
      <c r="AN21" s="595">
        <v>1</v>
      </c>
      <c r="AO21" s="596">
        <v>0.55600000000000005</v>
      </c>
      <c r="AP21" s="569">
        <v>0.23100000000000001</v>
      </c>
      <c r="AQ21" s="569">
        <v>0</v>
      </c>
      <c r="AR21" s="569">
        <v>0.21299999999999999</v>
      </c>
      <c r="AS21" s="595">
        <v>1</v>
      </c>
      <c r="AT21" s="596">
        <v>0.25700000000000001</v>
      </c>
      <c r="AU21" s="569">
        <v>2.3E-2</v>
      </c>
      <c r="AV21" s="569">
        <v>0.72</v>
      </c>
      <c r="AW21" s="595">
        <v>1</v>
      </c>
      <c r="AX21" s="596">
        <v>8.7599999999999997E-2</v>
      </c>
      <c r="AY21" s="569">
        <v>2.7400000000000001E-2</v>
      </c>
      <c r="AZ21" s="569">
        <v>0.88500000000000001</v>
      </c>
      <c r="BA21" s="595">
        <v>1</v>
      </c>
    </row>
    <row r="22" spans="1:53">
      <c r="A22" s="566">
        <v>1984</v>
      </c>
      <c r="B22" s="564">
        <v>0.83940000000000003</v>
      </c>
      <c r="C22" s="564">
        <v>0</v>
      </c>
      <c r="D22" s="564">
        <v>0</v>
      </c>
      <c r="E22" s="564">
        <v>0.16059999999999999</v>
      </c>
      <c r="F22" s="597">
        <v>1</v>
      </c>
      <c r="G22" s="596">
        <v>0.59538729329852047</v>
      </c>
      <c r="H22" s="569">
        <v>0.25274151436031328</v>
      </c>
      <c r="I22" s="569">
        <v>0</v>
      </c>
      <c r="J22" s="569">
        <v>0.15187119234116622</v>
      </c>
      <c r="K22" s="597">
        <v>1</v>
      </c>
      <c r="L22" s="596">
        <v>0.39710000000000001</v>
      </c>
      <c r="M22" s="569">
        <v>0.1041</v>
      </c>
      <c r="N22" s="569">
        <v>0.49880000000000002</v>
      </c>
      <c r="O22" s="595">
        <v>1</v>
      </c>
      <c r="P22" s="596">
        <v>0.44319999999999998</v>
      </c>
      <c r="Q22" s="564">
        <v>0.55679999999999996</v>
      </c>
      <c r="R22" s="595">
        <v>1</v>
      </c>
      <c r="S22" s="596">
        <v>8.3635047067342497E-2</v>
      </c>
      <c r="T22" s="569">
        <v>0.1885107410089307</v>
      </c>
      <c r="U22" s="569">
        <v>0.7278542119237269</v>
      </c>
      <c r="V22" s="595">
        <v>1</v>
      </c>
      <c r="W22" s="596">
        <v>1.03E-2</v>
      </c>
      <c r="X22" s="569">
        <v>0.98970000000000002</v>
      </c>
      <c r="Y22" s="595">
        <v>1</v>
      </c>
      <c r="Z22" s="596">
        <v>0.14000000000000001</v>
      </c>
      <c r="AA22" s="569">
        <v>0.86</v>
      </c>
      <c r="AB22" s="595">
        <v>1</v>
      </c>
      <c r="AC22" s="596">
        <v>0.81541802388707929</v>
      </c>
      <c r="AD22" s="569">
        <v>0.18147975802698929</v>
      </c>
      <c r="AE22" s="569">
        <v>3.1022180859314407E-3</v>
      </c>
      <c r="AF22" s="595">
        <v>1</v>
      </c>
      <c r="AG22" s="596">
        <v>7.1833764952521889E-2</v>
      </c>
      <c r="AH22" s="569">
        <v>0.92816623504747808</v>
      </c>
      <c r="AI22" s="595">
        <v>1</v>
      </c>
      <c r="AJ22" s="596">
        <v>0.68300000000000005</v>
      </c>
      <c r="AK22" s="569">
        <v>0.251</v>
      </c>
      <c r="AL22" s="569">
        <v>0</v>
      </c>
      <c r="AM22" s="569">
        <v>6.6000000000000003E-2</v>
      </c>
      <c r="AN22" s="595">
        <v>1</v>
      </c>
      <c r="AO22" s="596">
        <v>0.55600000000000005</v>
      </c>
      <c r="AP22" s="569">
        <v>0.23100000000000001</v>
      </c>
      <c r="AQ22" s="569">
        <v>0</v>
      </c>
      <c r="AR22" s="569">
        <v>0.21299999999999999</v>
      </c>
      <c r="AS22" s="595">
        <v>1</v>
      </c>
      <c r="AT22" s="596">
        <v>0.25700000000000001</v>
      </c>
      <c r="AU22" s="569">
        <v>2.3E-2</v>
      </c>
      <c r="AV22" s="569">
        <v>0.72</v>
      </c>
      <c r="AW22" s="595">
        <v>1</v>
      </c>
      <c r="AX22" s="596">
        <v>8.7599999999999997E-2</v>
      </c>
      <c r="AY22" s="569">
        <v>2.7400000000000001E-2</v>
      </c>
      <c r="AZ22" s="569">
        <v>0.88500000000000001</v>
      </c>
      <c r="BA22" s="595">
        <v>1</v>
      </c>
    </row>
    <row r="23" spans="1:53">
      <c r="A23" s="566">
        <v>1985</v>
      </c>
      <c r="B23" s="564">
        <v>0.62367448210511878</v>
      </c>
      <c r="C23" s="564">
        <v>0.24084683527732237</v>
      </c>
      <c r="D23" s="564">
        <v>0</v>
      </c>
      <c r="E23" s="564">
        <v>0.13547868261755891</v>
      </c>
      <c r="F23" s="597">
        <v>1</v>
      </c>
      <c r="G23" s="596">
        <v>0.59538729329852047</v>
      </c>
      <c r="H23" s="569">
        <v>0.25274151436031328</v>
      </c>
      <c r="I23" s="569">
        <v>0</v>
      </c>
      <c r="J23" s="569">
        <v>0.15187119234116622</v>
      </c>
      <c r="K23" s="597">
        <v>1</v>
      </c>
      <c r="L23" s="596">
        <v>0.37671784664960661</v>
      </c>
      <c r="M23" s="569">
        <v>9.3774681704735713E-2</v>
      </c>
      <c r="N23" s="569">
        <v>0.5295074716456577</v>
      </c>
      <c r="O23" s="595">
        <v>1</v>
      </c>
      <c r="P23" s="596">
        <v>0.41569997995450536</v>
      </c>
      <c r="Q23" s="564">
        <v>0.58430002004549464</v>
      </c>
      <c r="R23" s="595">
        <v>1</v>
      </c>
      <c r="S23" s="596">
        <v>8.3635047067342497E-2</v>
      </c>
      <c r="T23" s="569">
        <v>0.1885107410089307</v>
      </c>
      <c r="U23" s="569">
        <v>0.7278542119237269</v>
      </c>
      <c r="V23" s="595">
        <v>1</v>
      </c>
      <c r="W23" s="596">
        <v>9.4955555065399117E-3</v>
      </c>
      <c r="X23" s="569">
        <v>0.99050444449346009</v>
      </c>
      <c r="Y23" s="595">
        <v>1</v>
      </c>
      <c r="Z23" s="596">
        <v>0.14000000000000001</v>
      </c>
      <c r="AA23" s="569">
        <v>0.86</v>
      </c>
      <c r="AB23" s="595">
        <v>1</v>
      </c>
      <c r="AC23" s="596">
        <v>0.81541802388707929</v>
      </c>
      <c r="AD23" s="569">
        <v>0.18147975802698929</v>
      </c>
      <c r="AE23" s="569">
        <v>3.1022180859314407E-3</v>
      </c>
      <c r="AF23" s="595">
        <v>1</v>
      </c>
      <c r="AG23" s="596">
        <v>7.1833764952521889E-2</v>
      </c>
      <c r="AH23" s="569">
        <v>0.92816623504747808</v>
      </c>
      <c r="AI23" s="595">
        <v>1</v>
      </c>
      <c r="AJ23" s="596">
        <v>0.68300000000000005</v>
      </c>
      <c r="AK23" s="569">
        <v>0.251</v>
      </c>
      <c r="AL23" s="569">
        <v>0</v>
      </c>
      <c r="AM23" s="569">
        <v>6.6000000000000003E-2</v>
      </c>
      <c r="AN23" s="595">
        <v>1</v>
      </c>
      <c r="AO23" s="596">
        <v>0.55600000000000005</v>
      </c>
      <c r="AP23" s="569">
        <v>0.23100000000000001</v>
      </c>
      <c r="AQ23" s="569">
        <v>0</v>
      </c>
      <c r="AR23" s="569">
        <v>0.21299999999999999</v>
      </c>
      <c r="AS23" s="595">
        <v>1</v>
      </c>
      <c r="AT23" s="596">
        <v>0.25700000000000001</v>
      </c>
      <c r="AU23" s="569">
        <v>2.3E-2</v>
      </c>
      <c r="AV23" s="569">
        <v>0.72</v>
      </c>
      <c r="AW23" s="595">
        <v>1</v>
      </c>
      <c r="AX23" s="596">
        <v>8.7599999999999997E-2</v>
      </c>
      <c r="AY23" s="569">
        <v>2.7400000000000001E-2</v>
      </c>
      <c r="AZ23" s="569">
        <v>0.88500000000000001</v>
      </c>
      <c r="BA23" s="595">
        <v>1</v>
      </c>
    </row>
    <row r="24" spans="1:53">
      <c r="A24" s="566">
        <v>1986</v>
      </c>
      <c r="B24" s="564">
        <v>0.63282332443345002</v>
      </c>
      <c r="C24" s="564">
        <v>0.23574185184964946</v>
      </c>
      <c r="D24" s="564">
        <v>0</v>
      </c>
      <c r="E24" s="564">
        <v>0.13143482371690052</v>
      </c>
      <c r="F24" s="597">
        <v>1</v>
      </c>
      <c r="G24" s="596">
        <v>0.58203565786504186</v>
      </c>
      <c r="H24" s="569">
        <v>0.23621454901075756</v>
      </c>
      <c r="I24" s="569">
        <v>0</v>
      </c>
      <c r="J24" s="569">
        <v>0.18174979312420064</v>
      </c>
      <c r="K24" s="597">
        <v>1</v>
      </c>
      <c r="L24" s="596">
        <v>0.40611839834311358</v>
      </c>
      <c r="M24" s="569">
        <v>8.1256472212633768E-2</v>
      </c>
      <c r="N24" s="569">
        <v>0.51262512944425265</v>
      </c>
      <c r="O24" s="595">
        <v>1</v>
      </c>
      <c r="P24" s="596">
        <v>0.44203674481514882</v>
      </c>
      <c r="Q24" s="564">
        <v>0.55796325518485113</v>
      </c>
      <c r="R24" s="595">
        <v>1</v>
      </c>
      <c r="S24" s="596">
        <v>8.5034424447397033E-2</v>
      </c>
      <c r="T24" s="569">
        <v>0.14965575552602972</v>
      </c>
      <c r="U24" s="569">
        <v>0.76530982002657333</v>
      </c>
      <c r="V24" s="595">
        <v>1</v>
      </c>
      <c r="W24" s="596">
        <v>9.8099969540694689E-3</v>
      </c>
      <c r="X24" s="569">
        <v>0.99019000304593052</v>
      </c>
      <c r="Y24" s="595">
        <v>1</v>
      </c>
      <c r="Z24" s="596">
        <v>0.14000000000000001</v>
      </c>
      <c r="AA24" s="569">
        <v>0.86</v>
      </c>
      <c r="AB24" s="595">
        <v>1</v>
      </c>
      <c r="AC24" s="596">
        <v>0.78656692662740735</v>
      </c>
      <c r="AD24" s="569">
        <v>0.21168231736431642</v>
      </c>
      <c r="AE24" s="569">
        <v>1.7507560082763013E-3</v>
      </c>
      <c r="AF24" s="595">
        <v>1</v>
      </c>
      <c r="AG24" s="596">
        <v>7.1833764952521889E-2</v>
      </c>
      <c r="AH24" s="569">
        <v>0.92816623504747808</v>
      </c>
      <c r="AI24" s="595">
        <v>1</v>
      </c>
      <c r="AJ24" s="596">
        <v>0.68600000000000005</v>
      </c>
      <c r="AK24" s="569">
        <v>0.251</v>
      </c>
      <c r="AL24" s="569">
        <v>0</v>
      </c>
      <c r="AM24" s="569">
        <v>6.3E-2</v>
      </c>
      <c r="AN24" s="595">
        <v>1</v>
      </c>
      <c r="AO24" s="596">
        <v>0.54200000000000004</v>
      </c>
      <c r="AP24" s="569">
        <v>0.23800000000000002</v>
      </c>
      <c r="AQ24" s="569">
        <v>0</v>
      </c>
      <c r="AR24" s="569">
        <v>0.22</v>
      </c>
      <c r="AS24" s="595">
        <v>1</v>
      </c>
      <c r="AT24" s="596">
        <v>0.25</v>
      </c>
      <c r="AU24" s="569">
        <v>2.2000000000000002E-2</v>
      </c>
      <c r="AV24" s="569">
        <v>0.72799999999999998</v>
      </c>
      <c r="AW24" s="595">
        <v>1</v>
      </c>
      <c r="AX24" s="596">
        <v>8.8999999999999996E-2</v>
      </c>
      <c r="AY24" s="569">
        <v>2.9000000000000001E-2</v>
      </c>
      <c r="AZ24" s="569">
        <v>0.88200000000000001</v>
      </c>
      <c r="BA24" s="595">
        <v>1</v>
      </c>
    </row>
    <row r="25" spans="1:53">
      <c r="A25" s="566">
        <v>1987</v>
      </c>
      <c r="B25" s="564">
        <v>0.64579477863234802</v>
      </c>
      <c r="C25" s="564">
        <v>0.24583892199641191</v>
      </c>
      <c r="D25" s="564">
        <v>0</v>
      </c>
      <c r="E25" s="564">
        <v>0.10836629937124009</v>
      </c>
      <c r="F25" s="597">
        <v>1</v>
      </c>
      <c r="G25" s="596">
        <v>0.616857962697274</v>
      </c>
      <c r="H25" s="569">
        <v>0.19870875179340028</v>
      </c>
      <c r="I25" s="569">
        <v>0</v>
      </c>
      <c r="J25" s="569">
        <v>0.1844332855093257</v>
      </c>
      <c r="K25" s="597">
        <v>1</v>
      </c>
      <c r="L25" s="596">
        <v>0.4264910974785458</v>
      </c>
      <c r="M25" s="569">
        <v>6.3241698537779029E-2</v>
      </c>
      <c r="N25" s="569">
        <v>0.5102672039836752</v>
      </c>
      <c r="O25" s="595">
        <v>1</v>
      </c>
      <c r="P25" s="596">
        <v>0.45528403304547171</v>
      </c>
      <c r="Q25" s="564">
        <v>0.54471596695452829</v>
      </c>
      <c r="R25" s="595">
        <v>1</v>
      </c>
      <c r="S25" s="596">
        <v>8.7316907005790853E-2</v>
      </c>
      <c r="T25" s="569">
        <v>0.15044850686953559</v>
      </c>
      <c r="U25" s="569">
        <v>0.76223458612467354</v>
      </c>
      <c r="V25" s="595">
        <v>1</v>
      </c>
      <c r="W25" s="596">
        <v>1.0328398298852046E-2</v>
      </c>
      <c r="X25" s="569">
        <v>0.98967160170114798</v>
      </c>
      <c r="Y25" s="595">
        <v>1</v>
      </c>
      <c r="Z25" s="596">
        <v>0.14000000000000001</v>
      </c>
      <c r="AA25" s="569">
        <v>0.86</v>
      </c>
      <c r="AB25" s="595">
        <v>1</v>
      </c>
      <c r="AC25" s="596">
        <v>0.77391304347826084</v>
      </c>
      <c r="AD25" s="569">
        <v>0.22536231884057972</v>
      </c>
      <c r="AE25" s="569">
        <v>7.246376811594203E-4</v>
      </c>
      <c r="AF25" s="595">
        <v>1</v>
      </c>
      <c r="AG25" s="596">
        <v>8.5155684286748731E-2</v>
      </c>
      <c r="AH25" s="569">
        <v>0.91484431571325131</v>
      </c>
      <c r="AI25" s="595">
        <v>1</v>
      </c>
      <c r="AJ25" s="596">
        <v>0.68500000000000005</v>
      </c>
      <c r="AK25" s="569">
        <v>0.248</v>
      </c>
      <c r="AL25" s="569">
        <v>0</v>
      </c>
      <c r="AM25" s="569">
        <v>6.7000000000000004E-2</v>
      </c>
      <c r="AN25" s="595">
        <v>1</v>
      </c>
      <c r="AO25" s="596">
        <v>0.61499999999999999</v>
      </c>
      <c r="AP25" s="569">
        <v>0.16300000000000001</v>
      </c>
      <c r="AQ25" s="569">
        <v>0</v>
      </c>
      <c r="AR25" s="569">
        <v>0.222</v>
      </c>
      <c r="AS25" s="595">
        <v>1</v>
      </c>
      <c r="AT25" s="596">
        <v>0.23800000000000002</v>
      </c>
      <c r="AU25" s="569">
        <v>1.7000000000000001E-2</v>
      </c>
      <c r="AV25" s="569">
        <v>0.745</v>
      </c>
      <c r="AW25" s="595">
        <v>1</v>
      </c>
      <c r="AX25" s="596">
        <v>0.111</v>
      </c>
      <c r="AY25" s="569">
        <v>2.5000000000000001E-2</v>
      </c>
      <c r="AZ25" s="569">
        <v>0.86399999999999999</v>
      </c>
      <c r="BA25" s="595">
        <v>1</v>
      </c>
    </row>
    <row r="26" spans="1:53">
      <c r="A26" s="566">
        <v>1988</v>
      </c>
      <c r="B26" s="564">
        <v>0.64309332280511278</v>
      </c>
      <c r="C26" s="564">
        <v>0.24065209166132029</v>
      </c>
      <c r="D26" s="564">
        <v>7.0100401936753917E-2</v>
      </c>
      <c r="E26" s="564">
        <v>4.615418359681308E-2</v>
      </c>
      <c r="F26" s="597">
        <v>1</v>
      </c>
      <c r="G26" s="596">
        <v>0.65021203286509399</v>
      </c>
      <c r="H26" s="569">
        <v>0.19533527696793004</v>
      </c>
      <c r="I26" s="569">
        <v>5.6785051683010866E-2</v>
      </c>
      <c r="J26" s="569">
        <v>9.7667638483965077E-2</v>
      </c>
      <c r="K26" s="597">
        <v>1</v>
      </c>
      <c r="L26" s="596">
        <v>0.37883005005133469</v>
      </c>
      <c r="M26" s="569">
        <v>4.6630358059548252E-2</v>
      </c>
      <c r="N26" s="569">
        <v>0.57453959188911707</v>
      </c>
      <c r="O26" s="595">
        <v>1</v>
      </c>
      <c r="P26" s="596">
        <v>0.39735904457821691</v>
      </c>
      <c r="Q26" s="564">
        <v>0.60264095542178309</v>
      </c>
      <c r="R26" s="595">
        <v>1</v>
      </c>
      <c r="S26" s="596">
        <v>8.5136304630030302E-2</v>
      </c>
      <c r="T26" s="569">
        <v>0.13046300302899178</v>
      </c>
      <c r="U26" s="569">
        <v>0.78440069234097787</v>
      </c>
      <c r="V26" s="595">
        <v>1</v>
      </c>
      <c r="W26" s="596">
        <v>1.0064883684127236E-2</v>
      </c>
      <c r="X26" s="569">
        <v>0.98993511631587283</v>
      </c>
      <c r="Y26" s="595">
        <v>1</v>
      </c>
      <c r="Z26" s="596">
        <v>0.14000000000000001</v>
      </c>
      <c r="AA26" s="569">
        <v>0.86</v>
      </c>
      <c r="AB26" s="595">
        <v>1</v>
      </c>
      <c r="AC26" s="596">
        <v>0.69797120418848169</v>
      </c>
      <c r="AD26" s="569">
        <v>0.30170157068062825</v>
      </c>
      <c r="AE26" s="569">
        <v>3.2722513089005238E-4</v>
      </c>
      <c r="AF26" s="595">
        <v>0.99999999999999989</v>
      </c>
      <c r="AG26" s="596">
        <v>9.6859198062816051E-2</v>
      </c>
      <c r="AH26" s="569">
        <v>0.90314080193718393</v>
      </c>
      <c r="AI26" s="595">
        <v>1</v>
      </c>
      <c r="AJ26" s="596">
        <v>0.64308111304223181</v>
      </c>
      <c r="AK26" s="569">
        <v>0.24837397645625414</v>
      </c>
      <c r="AL26" s="569">
        <v>5.2659869918116491E-2</v>
      </c>
      <c r="AM26" s="569">
        <v>5.5885040583397633E-2</v>
      </c>
      <c r="AN26" s="595">
        <v>1</v>
      </c>
      <c r="AO26" s="596">
        <v>0.66598847066802314</v>
      </c>
      <c r="AP26" s="569">
        <v>0.16547982366904035</v>
      </c>
      <c r="AQ26" s="569">
        <v>3.9674465920651068E-2</v>
      </c>
      <c r="AR26" s="569">
        <v>0.12885723974228552</v>
      </c>
      <c r="AS26" s="595">
        <v>1</v>
      </c>
      <c r="AT26" s="596">
        <v>0.26500000000000001</v>
      </c>
      <c r="AU26" s="569">
        <v>1.4999999999999999E-2</v>
      </c>
      <c r="AV26" s="569">
        <v>0.72</v>
      </c>
      <c r="AW26" s="595">
        <v>1</v>
      </c>
      <c r="AX26" s="596">
        <v>0.128</v>
      </c>
      <c r="AY26" s="569">
        <v>1.4999999999999999E-2</v>
      </c>
      <c r="AZ26" s="569">
        <v>0.85699999999999998</v>
      </c>
      <c r="BA26" s="595">
        <v>1</v>
      </c>
    </row>
    <row r="27" spans="1:53">
      <c r="A27" s="566">
        <v>1989</v>
      </c>
      <c r="B27" s="564">
        <v>0.63547909691098214</v>
      </c>
      <c r="C27" s="564">
        <v>0.23571735958771112</v>
      </c>
      <c r="D27" s="564">
        <v>8.2305585003096371E-2</v>
      </c>
      <c r="E27" s="564">
        <v>4.6497958498210375E-2</v>
      </c>
      <c r="F27" s="597">
        <v>1</v>
      </c>
      <c r="G27" s="596">
        <v>0.64618484009065724</v>
      </c>
      <c r="H27" s="569">
        <v>0.18993956182321831</v>
      </c>
      <c r="I27" s="569">
        <v>6.3900780659783427E-2</v>
      </c>
      <c r="J27" s="569">
        <v>9.997481742634097E-2</v>
      </c>
      <c r="K27" s="597">
        <v>1</v>
      </c>
      <c r="L27" s="596">
        <v>0.40204475385380406</v>
      </c>
      <c r="M27" s="569">
        <v>4.6380905022376934E-2</v>
      </c>
      <c r="N27" s="569">
        <v>0.55157434112381898</v>
      </c>
      <c r="O27" s="595">
        <v>1</v>
      </c>
      <c r="P27" s="596">
        <v>0.42159889202222633</v>
      </c>
      <c r="Q27" s="564">
        <v>0.57840110797777367</v>
      </c>
      <c r="R27" s="595">
        <v>1</v>
      </c>
      <c r="S27" s="596">
        <v>8.5896631094371206E-2</v>
      </c>
      <c r="T27" s="569">
        <v>0.12868801004394226</v>
      </c>
      <c r="U27" s="569">
        <v>0.78541535886168656</v>
      </c>
      <c r="V27" s="595">
        <v>1</v>
      </c>
      <c r="W27" s="596">
        <v>1.1070985824394976E-2</v>
      </c>
      <c r="X27" s="569">
        <v>0.98892901417560497</v>
      </c>
      <c r="Y27" s="595">
        <v>1</v>
      </c>
      <c r="Z27" s="596">
        <v>0.14000000000000001</v>
      </c>
      <c r="AA27" s="569">
        <v>0.86</v>
      </c>
      <c r="AB27" s="595">
        <v>1</v>
      </c>
      <c r="AC27" s="596">
        <v>0.7015156201670274</v>
      </c>
      <c r="AD27" s="569">
        <v>0.29817506959480355</v>
      </c>
      <c r="AE27" s="569">
        <v>3.0931023816888336E-4</v>
      </c>
      <c r="AF27" s="595">
        <v>0.99999999999999989</v>
      </c>
      <c r="AG27" s="596">
        <v>9.1610414657666339E-2</v>
      </c>
      <c r="AH27" s="569">
        <v>0.90838958534233361</v>
      </c>
      <c r="AI27" s="595">
        <v>1</v>
      </c>
      <c r="AJ27" s="596">
        <v>0.67582320831132237</v>
      </c>
      <c r="AK27" s="569">
        <v>0.24613998943475962</v>
      </c>
      <c r="AL27" s="569">
        <v>5.7052297939778123E-3</v>
      </c>
      <c r="AM27" s="569">
        <v>7.2331572459940249E-2</v>
      </c>
      <c r="AN27" s="595">
        <v>1</v>
      </c>
      <c r="AO27" s="596">
        <v>0.66126984126984134</v>
      </c>
      <c r="AP27" s="569">
        <v>0.16761904761904761</v>
      </c>
      <c r="AQ27" s="569">
        <v>2.4444444444444446E-2</v>
      </c>
      <c r="AR27" s="569">
        <v>0.14666666666666664</v>
      </c>
      <c r="AS27" s="595">
        <v>1.0000000000000002</v>
      </c>
      <c r="AT27" s="596">
        <v>0.2727</v>
      </c>
      <c r="AU27" s="569">
        <v>1.4400000000000001E-2</v>
      </c>
      <c r="AV27" s="569">
        <v>0.71289999999999998</v>
      </c>
      <c r="AW27" s="595">
        <v>1</v>
      </c>
      <c r="AX27" s="596">
        <v>0.10970000000000001</v>
      </c>
      <c r="AY27" s="569">
        <v>1.4800000000000001E-2</v>
      </c>
      <c r="AZ27" s="569">
        <v>0.87550000000000006</v>
      </c>
      <c r="BA27" s="595">
        <v>1</v>
      </c>
    </row>
    <row r="28" spans="1:53">
      <c r="A28" s="566">
        <v>1990</v>
      </c>
      <c r="B28" s="564">
        <v>0.65235331105695027</v>
      </c>
      <c r="C28" s="564">
        <v>0.21132250001299169</v>
      </c>
      <c r="D28" s="564">
        <v>8.9907551278120473E-2</v>
      </c>
      <c r="E28" s="564">
        <v>4.6416637651937549E-2</v>
      </c>
      <c r="F28" s="597">
        <v>1</v>
      </c>
      <c r="G28" s="596">
        <v>0.68248314463808679</v>
      </c>
      <c r="H28" s="569">
        <v>0.14839078997583005</v>
      </c>
      <c r="I28" s="569">
        <v>6.0679302887673328E-2</v>
      </c>
      <c r="J28" s="569">
        <v>0.10844676249840988</v>
      </c>
      <c r="K28" s="597">
        <v>1</v>
      </c>
      <c r="L28" s="596">
        <v>0.41482896195647778</v>
      </c>
      <c r="M28" s="569">
        <v>4.0386342852980928E-2</v>
      </c>
      <c r="N28" s="569">
        <v>0.5447846951905414</v>
      </c>
      <c r="O28" s="595">
        <v>1</v>
      </c>
      <c r="P28" s="596">
        <v>0.43228747201221129</v>
      </c>
      <c r="Q28" s="564">
        <v>0.56771252798778871</v>
      </c>
      <c r="R28" s="595">
        <v>1</v>
      </c>
      <c r="S28" s="596">
        <v>9.3171806167400881E-2</v>
      </c>
      <c r="T28" s="569">
        <v>0.12356828193832599</v>
      </c>
      <c r="U28" s="569">
        <v>0.78325991189427302</v>
      </c>
      <c r="V28" s="595">
        <v>0.99999999999999989</v>
      </c>
      <c r="W28" s="596">
        <v>1.1659815167222148E-2</v>
      </c>
      <c r="X28" s="569">
        <v>0.98834018483277786</v>
      </c>
      <c r="Y28" s="595">
        <v>1</v>
      </c>
      <c r="Z28" s="596">
        <v>0.14000000000000001</v>
      </c>
      <c r="AA28" s="569">
        <v>0.86</v>
      </c>
      <c r="AB28" s="595">
        <v>1</v>
      </c>
      <c r="AC28" s="596">
        <v>0.86367999999999989</v>
      </c>
      <c r="AD28" s="569">
        <v>0.13616</v>
      </c>
      <c r="AE28" s="569">
        <v>1.6000000000000001E-4</v>
      </c>
      <c r="AF28" s="595">
        <v>0.99999999999999989</v>
      </c>
      <c r="AG28" s="596">
        <v>0.13019797700354455</v>
      </c>
      <c r="AH28" s="569">
        <v>0.86980202299645537</v>
      </c>
      <c r="AI28" s="595">
        <v>0.99999999999999989</v>
      </c>
      <c r="AJ28" s="596">
        <v>0.6944367800234531</v>
      </c>
      <c r="AK28" s="569">
        <v>0.21985134855487343</v>
      </c>
      <c r="AL28" s="569">
        <v>9.7433951852107323E-3</v>
      </c>
      <c r="AM28" s="569">
        <v>7.596847623646269E-2</v>
      </c>
      <c r="AN28" s="595">
        <v>1</v>
      </c>
      <c r="AO28" s="596">
        <v>0.66543356351965599</v>
      </c>
      <c r="AP28" s="569">
        <v>0.11602408527178633</v>
      </c>
      <c r="AQ28" s="569">
        <v>2.2224484148315911E-2</v>
      </c>
      <c r="AR28" s="569">
        <v>0.19631786706024179</v>
      </c>
      <c r="AS28" s="595">
        <v>1</v>
      </c>
      <c r="AT28" s="596">
        <v>0.25419999999999998</v>
      </c>
      <c r="AU28" s="569">
        <v>7.9000000000000008E-3</v>
      </c>
      <c r="AV28" s="569">
        <v>0.7379</v>
      </c>
      <c r="AW28" s="595">
        <v>1</v>
      </c>
      <c r="AX28" s="596">
        <v>0.12870000000000001</v>
      </c>
      <c r="AY28" s="569">
        <v>1.7000000000000001E-2</v>
      </c>
      <c r="AZ28" s="569">
        <v>0.85430000000000006</v>
      </c>
      <c r="BA28" s="595">
        <v>1</v>
      </c>
    </row>
    <row r="29" spans="1:53">
      <c r="A29" s="566">
        <v>1991</v>
      </c>
      <c r="B29" s="564">
        <v>0.67322002388793667</v>
      </c>
      <c r="C29" s="564">
        <v>0.20896947041743921</v>
      </c>
      <c r="D29" s="564">
        <v>8.0949120694049512E-2</v>
      </c>
      <c r="E29" s="564">
        <v>3.6861385000574606E-2</v>
      </c>
      <c r="F29" s="597">
        <v>0.99999999999999989</v>
      </c>
      <c r="G29" s="596">
        <v>0.6855114874540813</v>
      </c>
      <c r="H29" s="569">
        <v>0.14999066060643798</v>
      </c>
      <c r="I29" s="569">
        <v>5.6596724985990915E-2</v>
      </c>
      <c r="J29" s="569">
        <v>0.10790112695348977</v>
      </c>
      <c r="K29" s="597">
        <v>0.99999999999999989</v>
      </c>
      <c r="L29" s="596">
        <v>0.43940167150494008</v>
      </c>
      <c r="M29" s="569">
        <v>5.2098583654722967E-2</v>
      </c>
      <c r="N29" s="569">
        <v>0.50849974484033689</v>
      </c>
      <c r="O29" s="595">
        <v>1</v>
      </c>
      <c r="P29" s="596">
        <v>0.46355207823097738</v>
      </c>
      <c r="Q29" s="564">
        <v>0.53644792176902267</v>
      </c>
      <c r="R29" s="595">
        <v>1</v>
      </c>
      <c r="S29" s="596">
        <v>8.7202943223625332E-2</v>
      </c>
      <c r="T29" s="569">
        <v>0.12429153823207716</v>
      </c>
      <c r="U29" s="569">
        <v>0.78850551854429751</v>
      </c>
      <c r="V29" s="595">
        <v>1</v>
      </c>
      <c r="W29" s="596">
        <v>1.3948137851699179E-2</v>
      </c>
      <c r="X29" s="569">
        <v>0.98605186214830087</v>
      </c>
      <c r="Y29" s="595">
        <v>1</v>
      </c>
      <c r="Z29" s="596">
        <v>0.14000000000000001</v>
      </c>
      <c r="AA29" s="569">
        <v>0.86</v>
      </c>
      <c r="AB29" s="595">
        <v>1</v>
      </c>
      <c r="AC29" s="596">
        <v>0.78426292104186546</v>
      </c>
      <c r="AD29" s="569">
        <v>0.21560070912314194</v>
      </c>
      <c r="AE29" s="569">
        <v>1.3636983499249966E-4</v>
      </c>
      <c r="AF29" s="595">
        <v>1</v>
      </c>
      <c r="AG29" s="596">
        <v>0.12300250496674441</v>
      </c>
      <c r="AH29" s="569">
        <v>0.87699749503325564</v>
      </c>
      <c r="AI29" s="595">
        <v>1</v>
      </c>
      <c r="AJ29" s="596">
        <v>0.7055111983219432</v>
      </c>
      <c r="AK29" s="569">
        <v>2.3011029163001556E-2</v>
      </c>
      <c r="AL29" s="569">
        <v>9.8112186210163061E-3</v>
      </c>
      <c r="AM29" s="569">
        <v>0.26166655389403887</v>
      </c>
      <c r="AN29" s="595">
        <v>1</v>
      </c>
      <c r="AO29" s="596">
        <v>0.66709839952578553</v>
      </c>
      <c r="AP29" s="569">
        <v>0.11623592175459398</v>
      </c>
      <c r="AQ29" s="569">
        <v>2.1721991701244815E-2</v>
      </c>
      <c r="AR29" s="569">
        <v>0.19494368701837567</v>
      </c>
      <c r="AS29" s="595">
        <v>1</v>
      </c>
      <c r="AT29" s="596">
        <v>0.24510000000000001</v>
      </c>
      <c r="AU29" s="569">
        <v>1.4800000000000001E-2</v>
      </c>
      <c r="AV29" s="569">
        <v>0.74009999999999998</v>
      </c>
      <c r="AW29" s="595">
        <v>1</v>
      </c>
      <c r="AX29" s="596">
        <v>0.10879999999999999</v>
      </c>
      <c r="AY29" s="569">
        <v>1.9200000000000002E-2</v>
      </c>
      <c r="AZ29" s="569">
        <v>0.872</v>
      </c>
      <c r="BA29" s="595">
        <v>1</v>
      </c>
    </row>
    <row r="30" spans="1:53">
      <c r="A30" s="566">
        <v>1992</v>
      </c>
      <c r="B30" s="564">
        <v>0.67292743518852427</v>
      </c>
      <c r="C30" s="564">
        <v>0.20512281123532478</v>
      </c>
      <c r="D30" s="564">
        <v>8.4550426733982456E-2</v>
      </c>
      <c r="E30" s="564">
        <v>3.7399326842168477E-2</v>
      </c>
      <c r="F30" s="597">
        <v>1</v>
      </c>
      <c r="G30" s="596">
        <v>0.68911795712779655</v>
      </c>
      <c r="H30" s="569">
        <v>0.14923275155206747</v>
      </c>
      <c r="I30" s="569">
        <v>5.6108703291554408E-2</v>
      </c>
      <c r="J30" s="569">
        <v>0.10554058802858156</v>
      </c>
      <c r="K30" s="597">
        <v>1</v>
      </c>
      <c r="L30" s="596">
        <v>0.43431824133179359</v>
      </c>
      <c r="M30" s="569">
        <v>5.0350076626214324E-2</v>
      </c>
      <c r="N30" s="569">
        <v>0.51533168204199198</v>
      </c>
      <c r="O30" s="595">
        <v>0.99999999999999989</v>
      </c>
      <c r="P30" s="596">
        <v>0.45734562878582408</v>
      </c>
      <c r="Q30" s="564">
        <v>0.54265437121417592</v>
      </c>
      <c r="R30" s="595">
        <v>1</v>
      </c>
      <c r="S30" s="596">
        <v>0.1111493461803166</v>
      </c>
      <c r="T30" s="569">
        <v>0.12112869924294563</v>
      </c>
      <c r="U30" s="569">
        <v>0.76772195457673775</v>
      </c>
      <c r="V30" s="595">
        <v>1</v>
      </c>
      <c r="W30" s="596">
        <v>1.4381746867370905E-2</v>
      </c>
      <c r="X30" s="569">
        <v>0.98561825313262919</v>
      </c>
      <c r="Y30" s="595">
        <v>1</v>
      </c>
      <c r="Z30" s="596">
        <v>0.14000000000000001</v>
      </c>
      <c r="AA30" s="569">
        <v>0.86</v>
      </c>
      <c r="AB30" s="595">
        <v>1</v>
      </c>
      <c r="AC30" s="596">
        <v>0.6917967839664414</v>
      </c>
      <c r="AD30" s="569">
        <v>0.30808669307853642</v>
      </c>
      <c r="AE30" s="569">
        <v>1.1652295502213937E-4</v>
      </c>
      <c r="AF30" s="595">
        <v>1</v>
      </c>
      <c r="AG30" s="596">
        <v>0.1679203539823009</v>
      </c>
      <c r="AH30" s="569">
        <v>0.83207964601769913</v>
      </c>
      <c r="AI30" s="595">
        <v>1</v>
      </c>
      <c r="AJ30" s="596">
        <v>0.71028667236504706</v>
      </c>
      <c r="AK30" s="569">
        <v>0.21726132553093561</v>
      </c>
      <c r="AL30" s="569">
        <v>7.8078769149845483E-3</v>
      </c>
      <c r="AM30" s="569">
        <v>6.4644125189032842E-2</v>
      </c>
      <c r="AN30" s="595">
        <v>1</v>
      </c>
      <c r="AO30" s="596">
        <v>0.66203783319002585</v>
      </c>
      <c r="AP30" s="569">
        <v>0.11585554600171968</v>
      </c>
      <c r="AQ30" s="569">
        <v>4.8179994267698485E-3</v>
      </c>
      <c r="AR30" s="569">
        <v>0.21728862138148455</v>
      </c>
      <c r="AS30" s="595">
        <v>0.99999999999999989</v>
      </c>
      <c r="AT30" s="596">
        <v>0.25159999999999999</v>
      </c>
      <c r="AU30" s="569">
        <v>9.7999999999999997E-3</v>
      </c>
      <c r="AV30" s="569">
        <v>0.73860000000000003</v>
      </c>
      <c r="AW30" s="595">
        <v>1</v>
      </c>
      <c r="AX30" s="596">
        <v>9.74E-2</v>
      </c>
      <c r="AY30" s="569">
        <v>1.7600000000000001E-2</v>
      </c>
      <c r="AZ30" s="569">
        <v>0.88500000000000001</v>
      </c>
      <c r="BA30" s="595">
        <v>1</v>
      </c>
    </row>
    <row r="31" spans="1:53">
      <c r="A31" s="566">
        <v>1993</v>
      </c>
      <c r="B31" s="564">
        <v>0.68969999999999998</v>
      </c>
      <c r="C31" s="564">
        <v>0.17929999999999999</v>
      </c>
      <c r="D31" s="564">
        <v>8.8900000000000007E-2</v>
      </c>
      <c r="E31" s="564">
        <v>4.2099999999999999E-2</v>
      </c>
      <c r="F31" s="597">
        <v>1</v>
      </c>
      <c r="G31" s="596">
        <v>0.70082264698766017</v>
      </c>
      <c r="H31" s="569">
        <v>0.12956690055649647</v>
      </c>
      <c r="I31" s="569">
        <v>5.1899346721509795E-2</v>
      </c>
      <c r="J31" s="569">
        <v>0.11771110573433349</v>
      </c>
      <c r="K31" s="597">
        <v>0.99999999999999989</v>
      </c>
      <c r="L31" s="596">
        <v>0.45862601649712897</v>
      </c>
      <c r="M31" s="569">
        <v>5.8259737483847766E-2</v>
      </c>
      <c r="N31" s="569">
        <v>0.48311424601902325</v>
      </c>
      <c r="O31" s="595">
        <v>1</v>
      </c>
      <c r="P31" s="596">
        <v>0.48699841639112557</v>
      </c>
      <c r="Q31" s="564">
        <v>0.51300158360887449</v>
      </c>
      <c r="R31" s="595">
        <v>1</v>
      </c>
      <c r="S31" s="596">
        <v>0.11516691694582419</v>
      </c>
      <c r="T31" s="569">
        <v>0.13977128335451081</v>
      </c>
      <c r="U31" s="569">
        <v>0.74506179969966502</v>
      </c>
      <c r="V31" s="595">
        <v>1</v>
      </c>
      <c r="W31" s="596">
        <v>1.0969944590585997E-2</v>
      </c>
      <c r="X31" s="569">
        <v>0.98903005540941402</v>
      </c>
      <c r="Y31" s="595">
        <v>1</v>
      </c>
      <c r="Z31" s="596">
        <v>0.14000000000000001</v>
      </c>
      <c r="AA31" s="569">
        <v>0.86</v>
      </c>
      <c r="AB31" s="595">
        <v>1</v>
      </c>
      <c r="AC31" s="596">
        <v>0.66553221452881117</v>
      </c>
      <c r="AD31" s="569">
        <v>0.33435042835347961</v>
      </c>
      <c r="AE31" s="569">
        <v>1.1735711770918907E-4</v>
      </c>
      <c r="AF31" s="595">
        <v>1</v>
      </c>
      <c r="AG31" s="596">
        <v>0.46153846153846151</v>
      </c>
      <c r="AH31" s="569">
        <v>0.53846153846153855</v>
      </c>
      <c r="AI31" s="595">
        <v>1</v>
      </c>
      <c r="AJ31" s="596">
        <v>0.73696727937770368</v>
      </c>
      <c r="AK31" s="569">
        <v>0.18762822446473248</v>
      </c>
      <c r="AL31" s="569">
        <v>9.7659343006339383E-3</v>
      </c>
      <c r="AM31" s="569">
        <v>6.5638561856930011E-2</v>
      </c>
      <c r="AN31" s="595">
        <v>1</v>
      </c>
      <c r="AO31" s="596">
        <v>0.68058755760368672</v>
      </c>
      <c r="AP31" s="569">
        <v>9.8446463838991832E-2</v>
      </c>
      <c r="AQ31" s="569">
        <v>2.3629267375152828E-3</v>
      </c>
      <c r="AR31" s="569">
        <v>0.21860305181980619</v>
      </c>
      <c r="AS31" s="595">
        <v>1</v>
      </c>
      <c r="AT31" s="596">
        <v>0.26349686831669572</v>
      </c>
      <c r="AU31" s="569">
        <v>1.2029675233649954E-2</v>
      </c>
      <c r="AV31" s="569">
        <v>0.72447345644965433</v>
      </c>
      <c r="AW31" s="595">
        <v>1</v>
      </c>
      <c r="AX31" s="596">
        <v>8.5813492063492064E-2</v>
      </c>
      <c r="AY31" s="569">
        <v>2.1583740333740335E-2</v>
      </c>
      <c r="AZ31" s="569">
        <v>0.89260276760276758</v>
      </c>
      <c r="BA31" s="595">
        <v>1</v>
      </c>
    </row>
    <row r="32" spans="1:53">
      <c r="A32" s="566">
        <v>1994</v>
      </c>
      <c r="B32" s="564">
        <v>0.6583</v>
      </c>
      <c r="C32" s="564">
        <v>0.17780000000000001</v>
      </c>
      <c r="D32" s="564">
        <v>0.12139999999999999</v>
      </c>
      <c r="E32" s="564">
        <v>4.2500000000000003E-2</v>
      </c>
      <c r="F32" s="597">
        <v>1</v>
      </c>
      <c r="G32" s="564">
        <v>0.69020000000000004</v>
      </c>
      <c r="H32" s="564">
        <v>0.12640000000000001</v>
      </c>
      <c r="I32" s="564">
        <v>6.1499999999999999E-2</v>
      </c>
      <c r="J32" s="564">
        <v>0.12189999999999999</v>
      </c>
      <c r="K32" s="597">
        <v>1</v>
      </c>
      <c r="L32" s="564">
        <v>0.44350000000000001</v>
      </c>
      <c r="M32" s="564">
        <v>6.0299999999999999E-2</v>
      </c>
      <c r="N32" s="564">
        <v>0.49619999999999997</v>
      </c>
      <c r="O32" s="595">
        <v>1</v>
      </c>
      <c r="P32" s="564">
        <v>0.47189999999999999</v>
      </c>
      <c r="Q32" s="564">
        <v>0.52810000000000001</v>
      </c>
      <c r="R32" s="595">
        <v>1</v>
      </c>
      <c r="S32" s="564">
        <v>0.13880000000000001</v>
      </c>
      <c r="T32" s="564">
        <v>0.16589999999999999</v>
      </c>
      <c r="U32" s="564">
        <v>0.69530000000000003</v>
      </c>
      <c r="V32" s="595">
        <v>1</v>
      </c>
      <c r="W32" s="564">
        <v>1.2200000000000001E-2</v>
      </c>
      <c r="X32" s="564">
        <v>0.98780000000000001</v>
      </c>
      <c r="Y32" s="595">
        <v>1</v>
      </c>
      <c r="Z32" s="596">
        <v>0.14000000000000001</v>
      </c>
      <c r="AA32" s="569">
        <v>0.86</v>
      </c>
      <c r="AB32" s="595">
        <v>1</v>
      </c>
      <c r="AC32" s="564">
        <v>0.67510000000000003</v>
      </c>
      <c r="AD32" s="564">
        <v>0.32479999999999998</v>
      </c>
      <c r="AE32" s="564">
        <v>1E-4</v>
      </c>
      <c r="AF32" s="595">
        <v>1</v>
      </c>
      <c r="AG32" s="564">
        <v>0.22470000000000001</v>
      </c>
      <c r="AH32" s="564">
        <v>0.77529999999999999</v>
      </c>
      <c r="AI32" s="595">
        <v>1</v>
      </c>
      <c r="AJ32" s="564">
        <v>0.74039999999999995</v>
      </c>
      <c r="AK32" s="564">
        <v>0.189</v>
      </c>
      <c r="AL32" s="564">
        <v>7.7000000000000002E-3</v>
      </c>
      <c r="AM32" s="564">
        <v>6.2899999999999998E-2</v>
      </c>
      <c r="AN32" s="595">
        <v>1</v>
      </c>
      <c r="AO32" s="564">
        <v>0.71360000000000001</v>
      </c>
      <c r="AP32" s="564">
        <v>0.10249999999999999</v>
      </c>
      <c r="AQ32" s="564">
        <v>1.2999999999999999E-3</v>
      </c>
      <c r="AR32" s="564">
        <v>0.18260000000000001</v>
      </c>
      <c r="AS32" s="595">
        <v>1</v>
      </c>
      <c r="AT32" s="564">
        <v>0.27110000000000001</v>
      </c>
      <c r="AU32" s="564">
        <v>0.01</v>
      </c>
      <c r="AV32" s="564">
        <v>0.71889999999999998</v>
      </c>
      <c r="AW32" s="595">
        <v>1</v>
      </c>
      <c r="AX32" s="564">
        <v>7.6999999999999999E-2</v>
      </c>
      <c r="AY32" s="564">
        <v>2.23E-2</v>
      </c>
      <c r="AZ32" s="564">
        <v>0.90069999999999995</v>
      </c>
      <c r="BA32" s="595">
        <v>1</v>
      </c>
    </row>
    <row r="33" spans="1:64">
      <c r="A33" s="566">
        <v>1995</v>
      </c>
      <c r="B33" s="564">
        <v>0.69699999999999995</v>
      </c>
      <c r="C33" s="564">
        <v>0.17530000000000001</v>
      </c>
      <c r="D33" s="564">
        <v>8.9099999999999999E-2</v>
      </c>
      <c r="E33" s="564">
        <v>3.8600000000000002E-2</v>
      </c>
      <c r="F33" s="597">
        <v>0.99999999999999989</v>
      </c>
      <c r="G33" s="564">
        <v>0.69030000000000002</v>
      </c>
      <c r="H33" s="564">
        <v>0.12640000000000001</v>
      </c>
      <c r="I33" s="564">
        <v>6.8599999999999994E-2</v>
      </c>
      <c r="J33" s="564">
        <v>0.1147</v>
      </c>
      <c r="K33" s="597">
        <v>1</v>
      </c>
      <c r="L33" s="564">
        <v>0.43209999999999998</v>
      </c>
      <c r="M33" s="564">
        <v>4.6600000000000003E-2</v>
      </c>
      <c r="N33" s="564">
        <v>0.52129999999999999</v>
      </c>
      <c r="O33" s="595">
        <v>1</v>
      </c>
      <c r="P33" s="564">
        <v>0.45319999999999999</v>
      </c>
      <c r="Q33" s="564">
        <v>0.54679999999999995</v>
      </c>
      <c r="R33" s="595">
        <v>1</v>
      </c>
      <c r="S33" s="564">
        <v>0.22509999999999999</v>
      </c>
      <c r="T33" s="564">
        <v>0.1113</v>
      </c>
      <c r="U33" s="564">
        <v>0.66359999999999997</v>
      </c>
      <c r="V33" s="595">
        <v>1</v>
      </c>
      <c r="W33" s="564">
        <v>1.2E-2</v>
      </c>
      <c r="X33" s="564">
        <v>0.98799999999999999</v>
      </c>
      <c r="Y33" s="595">
        <v>1</v>
      </c>
      <c r="Z33" s="596">
        <v>0.14000000000000001</v>
      </c>
      <c r="AA33" s="569">
        <v>0.86</v>
      </c>
      <c r="AB33" s="595">
        <v>1</v>
      </c>
      <c r="AC33" s="564">
        <v>0.77500000000000002</v>
      </c>
      <c r="AD33" s="564">
        <v>0.22489999999999999</v>
      </c>
      <c r="AE33" s="564">
        <v>1E-4</v>
      </c>
      <c r="AF33" s="595">
        <v>1</v>
      </c>
      <c r="AG33" s="564">
        <v>0.3599</v>
      </c>
      <c r="AH33" s="564">
        <v>0.6401</v>
      </c>
      <c r="AI33" s="595">
        <v>1</v>
      </c>
      <c r="AJ33" s="564">
        <v>0.74070000000000003</v>
      </c>
      <c r="AK33" s="564">
        <v>0.18870000000000001</v>
      </c>
      <c r="AL33" s="564">
        <v>7.7999999999999996E-3</v>
      </c>
      <c r="AM33" s="564">
        <v>6.2799999999999995E-2</v>
      </c>
      <c r="AN33" s="595">
        <v>1</v>
      </c>
      <c r="AO33" s="564">
        <v>0.72240000000000004</v>
      </c>
      <c r="AP33" s="564">
        <v>9.8699999999999996E-2</v>
      </c>
      <c r="AQ33" s="564">
        <v>5.0000000000000001E-3</v>
      </c>
      <c r="AR33" s="564">
        <v>0.1739</v>
      </c>
      <c r="AS33" s="595">
        <v>1</v>
      </c>
      <c r="AT33" s="564">
        <v>0.2369</v>
      </c>
      <c r="AU33" s="564">
        <v>7.7000000000000002E-3</v>
      </c>
      <c r="AV33" s="564">
        <v>0.75539999999999996</v>
      </c>
      <c r="AW33" s="595">
        <v>1</v>
      </c>
      <c r="AX33" s="564">
        <v>6.88E-2</v>
      </c>
      <c r="AY33" s="564">
        <v>1.8599999999999998E-2</v>
      </c>
      <c r="AZ33" s="564">
        <v>0.91259999999999997</v>
      </c>
      <c r="BA33" s="595">
        <v>1</v>
      </c>
    </row>
    <row r="34" spans="1:64">
      <c r="A34" s="566">
        <v>1996</v>
      </c>
      <c r="B34" s="564">
        <v>0.70620000000000005</v>
      </c>
      <c r="C34" s="564">
        <v>0.16389999999999999</v>
      </c>
      <c r="D34" s="564">
        <v>9.2899999999999996E-2</v>
      </c>
      <c r="E34" s="564">
        <v>3.6999999999999998E-2</v>
      </c>
      <c r="F34" s="597">
        <v>1</v>
      </c>
      <c r="G34" s="564">
        <v>0.70220000000000005</v>
      </c>
      <c r="H34" s="564">
        <v>0.1182</v>
      </c>
      <c r="I34" s="564">
        <v>7.0800000000000002E-2</v>
      </c>
      <c r="J34" s="564">
        <v>0.10879999999999999</v>
      </c>
      <c r="K34" s="597">
        <v>1</v>
      </c>
      <c r="L34" s="564">
        <v>0.44409999999999999</v>
      </c>
      <c r="M34" s="564">
        <v>4.8899999999999999E-2</v>
      </c>
      <c r="N34" s="564">
        <v>0.50700000000000001</v>
      </c>
      <c r="O34" s="595">
        <v>1</v>
      </c>
      <c r="P34" s="564">
        <v>0.46700000000000003</v>
      </c>
      <c r="Q34" s="564">
        <v>0.53300000000000003</v>
      </c>
      <c r="R34" s="595">
        <v>1</v>
      </c>
      <c r="S34" s="564">
        <v>0.2243</v>
      </c>
      <c r="T34" s="564">
        <v>0.1376</v>
      </c>
      <c r="U34" s="564">
        <v>0.6381</v>
      </c>
      <c r="V34" s="595">
        <v>1</v>
      </c>
      <c r="W34" s="564">
        <v>1.18E-2</v>
      </c>
      <c r="X34" s="564">
        <v>0.98819999999999997</v>
      </c>
      <c r="Y34" s="595">
        <v>1</v>
      </c>
      <c r="Z34" s="596">
        <v>0.14000000000000001</v>
      </c>
      <c r="AA34" s="569">
        <v>0.86</v>
      </c>
      <c r="AB34" s="595">
        <v>1</v>
      </c>
      <c r="AC34" s="564">
        <v>0.66500000000000004</v>
      </c>
      <c r="AD34" s="564">
        <v>0.33489999999999998</v>
      </c>
      <c r="AE34" s="564">
        <v>1E-4</v>
      </c>
      <c r="AF34" s="595">
        <v>1</v>
      </c>
      <c r="AG34" s="564">
        <v>0.30349999999999999</v>
      </c>
      <c r="AH34" s="564">
        <v>0.69650000000000001</v>
      </c>
      <c r="AI34" s="595">
        <v>1</v>
      </c>
      <c r="AJ34" s="564">
        <v>0.74960000000000004</v>
      </c>
      <c r="AK34" s="564">
        <v>0.1784</v>
      </c>
      <c r="AL34" s="564">
        <v>8.3000000000000001E-3</v>
      </c>
      <c r="AM34" s="564">
        <v>6.3700000000000007E-2</v>
      </c>
      <c r="AN34" s="595">
        <v>1</v>
      </c>
      <c r="AO34" s="564">
        <v>0.74260000000000004</v>
      </c>
      <c r="AP34" s="564">
        <v>8.8599999999999998E-2</v>
      </c>
      <c r="AQ34" s="564">
        <v>8.5000000000000006E-3</v>
      </c>
      <c r="AR34" s="564">
        <v>0.1603</v>
      </c>
      <c r="AS34" s="595">
        <v>1</v>
      </c>
      <c r="AT34" s="564">
        <v>0.21920000000000001</v>
      </c>
      <c r="AU34" s="564">
        <v>6.8999999999999999E-3</v>
      </c>
      <c r="AV34" s="564">
        <v>0.77390000000000003</v>
      </c>
      <c r="AW34" s="595">
        <v>1</v>
      </c>
      <c r="AX34" s="564">
        <v>5.5899999999999998E-2</v>
      </c>
      <c r="AY34" s="564">
        <v>1.7000000000000001E-2</v>
      </c>
      <c r="AZ34" s="564">
        <v>0.92710000000000004</v>
      </c>
      <c r="BA34" s="595">
        <v>1</v>
      </c>
    </row>
    <row r="35" spans="1:64">
      <c r="A35" s="566">
        <v>1997</v>
      </c>
      <c r="B35" s="564">
        <v>0.69669999999999999</v>
      </c>
      <c r="C35" s="564">
        <v>0.16070000000000001</v>
      </c>
      <c r="D35" s="564">
        <v>0.1066</v>
      </c>
      <c r="E35" s="564">
        <v>3.5999999999999997E-2</v>
      </c>
      <c r="F35" s="597">
        <v>1</v>
      </c>
      <c r="G35" s="564">
        <v>0.71089999999999998</v>
      </c>
      <c r="H35" s="564">
        <v>0.115</v>
      </c>
      <c r="I35" s="564">
        <v>6.1199999999999997E-2</v>
      </c>
      <c r="J35" s="564">
        <v>0.1129</v>
      </c>
      <c r="K35" s="597">
        <v>1</v>
      </c>
      <c r="L35" s="564">
        <v>0.4541</v>
      </c>
      <c r="M35" s="564">
        <v>4.6699999999999998E-2</v>
      </c>
      <c r="N35" s="564">
        <v>0.49919999999999998</v>
      </c>
      <c r="O35" s="595">
        <v>1</v>
      </c>
      <c r="P35" s="564">
        <v>0.47639999999999999</v>
      </c>
      <c r="Q35" s="564">
        <v>0.52359999999999995</v>
      </c>
      <c r="R35" s="595">
        <v>1</v>
      </c>
      <c r="S35" s="564">
        <v>0.20050000000000001</v>
      </c>
      <c r="T35" s="564">
        <v>0.1198</v>
      </c>
      <c r="U35" s="564">
        <v>0.67969999999999997</v>
      </c>
      <c r="V35" s="595">
        <v>1</v>
      </c>
      <c r="W35" s="564">
        <v>1.35E-2</v>
      </c>
      <c r="X35" s="564">
        <v>0.98650000000000004</v>
      </c>
      <c r="Y35" s="595">
        <v>1</v>
      </c>
      <c r="Z35" s="596">
        <v>0.14000000000000001</v>
      </c>
      <c r="AA35" s="569">
        <v>0.86</v>
      </c>
      <c r="AB35" s="595">
        <v>1</v>
      </c>
      <c r="AC35" s="564">
        <v>0.67110000000000003</v>
      </c>
      <c r="AD35" s="564">
        <v>0.32879999999999998</v>
      </c>
      <c r="AE35" s="564">
        <v>1E-4</v>
      </c>
      <c r="AF35" s="595">
        <v>1</v>
      </c>
      <c r="AG35" s="564">
        <v>0.25019999999999998</v>
      </c>
      <c r="AH35" s="564">
        <v>0.74980000000000002</v>
      </c>
      <c r="AI35" s="595">
        <v>1</v>
      </c>
      <c r="AJ35" s="564">
        <v>0.85699999999999998</v>
      </c>
      <c r="AK35" s="564">
        <v>5.3199999999999997E-2</v>
      </c>
      <c r="AL35" s="564">
        <v>8.6999999999999994E-3</v>
      </c>
      <c r="AM35" s="564">
        <v>8.1100000000000005E-2</v>
      </c>
      <c r="AN35" s="595">
        <v>1</v>
      </c>
      <c r="AO35" s="564">
        <v>0.73150000000000004</v>
      </c>
      <c r="AP35" s="564">
        <v>9.3200000000000005E-2</v>
      </c>
      <c r="AQ35" s="564">
        <v>2.5000000000000001E-3</v>
      </c>
      <c r="AR35" s="564">
        <v>0.17280000000000001</v>
      </c>
      <c r="AS35" s="595">
        <v>1</v>
      </c>
      <c r="AT35" s="564">
        <v>0.24349999999999999</v>
      </c>
      <c r="AU35" s="564">
        <v>7.4000000000000003E-3</v>
      </c>
      <c r="AV35" s="564">
        <v>0.74909999999999999</v>
      </c>
      <c r="AW35" s="595">
        <v>1</v>
      </c>
      <c r="AX35" s="564">
        <v>6.0699999999999997E-2</v>
      </c>
      <c r="AY35" s="564">
        <v>1.6400000000000001E-2</v>
      </c>
      <c r="AZ35" s="564">
        <v>0.92290000000000005</v>
      </c>
      <c r="BA35" s="595">
        <v>1</v>
      </c>
    </row>
    <row r="36" spans="1:64">
      <c r="A36" s="566">
        <v>1998</v>
      </c>
      <c r="B36" s="564">
        <v>0.70350000000000001</v>
      </c>
      <c r="C36" s="564">
        <v>0.1515</v>
      </c>
      <c r="D36" s="564">
        <v>0.10199999999999999</v>
      </c>
      <c r="E36" s="564">
        <v>4.2999999999999997E-2</v>
      </c>
      <c r="F36" s="597">
        <v>1</v>
      </c>
      <c r="G36" s="564">
        <v>0.70069999999999999</v>
      </c>
      <c r="H36" s="564">
        <v>0.1085</v>
      </c>
      <c r="I36" s="564">
        <v>7.2999999999999995E-2</v>
      </c>
      <c r="J36" s="564">
        <v>0.1178</v>
      </c>
      <c r="K36" s="597">
        <v>1</v>
      </c>
      <c r="L36" s="564">
        <v>0.45579999999999998</v>
      </c>
      <c r="M36" s="564">
        <v>5.2600000000000001E-2</v>
      </c>
      <c r="N36" s="564">
        <v>0.49159999999999998</v>
      </c>
      <c r="O36" s="595">
        <v>1</v>
      </c>
      <c r="P36" s="564">
        <v>0.48110000000000003</v>
      </c>
      <c r="Q36" s="564">
        <v>0.51890000000000003</v>
      </c>
      <c r="R36" s="595">
        <v>1</v>
      </c>
      <c r="S36" s="564">
        <v>0.17879999999999999</v>
      </c>
      <c r="T36" s="564">
        <v>0.1323</v>
      </c>
      <c r="U36" s="564">
        <v>0.68889999999999996</v>
      </c>
      <c r="V36" s="595">
        <v>1</v>
      </c>
      <c r="W36" s="564">
        <v>1.3599999999999999E-2</v>
      </c>
      <c r="X36" s="564">
        <v>0.98640000000000005</v>
      </c>
      <c r="Y36" s="595">
        <v>1</v>
      </c>
      <c r="Z36" s="596">
        <v>0.14000000000000001</v>
      </c>
      <c r="AA36" s="569">
        <v>0.86</v>
      </c>
      <c r="AB36" s="595">
        <v>1</v>
      </c>
      <c r="AC36" s="564">
        <v>0.71499999999999997</v>
      </c>
      <c r="AD36" s="564">
        <v>0.28489999999999999</v>
      </c>
      <c r="AE36" s="564">
        <v>1E-4</v>
      </c>
      <c r="AF36" s="595">
        <v>1</v>
      </c>
      <c r="AG36" s="564">
        <v>0.25419999999999998</v>
      </c>
      <c r="AH36" s="564">
        <v>0.74580000000000002</v>
      </c>
      <c r="AI36" s="595">
        <v>1</v>
      </c>
      <c r="AJ36" s="564">
        <v>0.76190000000000002</v>
      </c>
      <c r="AK36" s="564">
        <v>0.16569999999999999</v>
      </c>
      <c r="AL36" s="564">
        <v>9.7000000000000003E-3</v>
      </c>
      <c r="AM36" s="564">
        <v>6.2700000000000006E-2</v>
      </c>
      <c r="AN36" s="595">
        <v>1</v>
      </c>
      <c r="AO36" s="564">
        <v>0.73519999999999996</v>
      </c>
      <c r="AP36" s="564">
        <v>8.5999999999999993E-2</v>
      </c>
      <c r="AQ36" s="564">
        <v>2.2000000000000001E-3</v>
      </c>
      <c r="AR36" s="564">
        <v>0.17660000000000001</v>
      </c>
      <c r="AS36" s="595">
        <v>0.99999999999999989</v>
      </c>
      <c r="AT36" s="564">
        <v>0.24399999999999999</v>
      </c>
      <c r="AU36" s="564">
        <v>8.3999999999999995E-3</v>
      </c>
      <c r="AV36" s="564">
        <v>0.74760000000000004</v>
      </c>
      <c r="AW36" s="595">
        <v>1</v>
      </c>
      <c r="AX36" s="564">
        <v>6.0900000000000003E-2</v>
      </c>
      <c r="AY36" s="564">
        <v>1.7000000000000001E-2</v>
      </c>
      <c r="AZ36" s="564">
        <v>0.92210000000000003</v>
      </c>
      <c r="BA36" s="595">
        <v>1</v>
      </c>
    </row>
    <row r="37" spans="1:64">
      <c r="A37" s="566">
        <v>1999</v>
      </c>
      <c r="B37" s="564">
        <v>0.69740000000000002</v>
      </c>
      <c r="C37" s="564">
        <v>0.15210000000000001</v>
      </c>
      <c r="D37" s="564">
        <v>0.10879999999999999</v>
      </c>
      <c r="E37" s="564">
        <v>4.1700000000000001E-2</v>
      </c>
      <c r="F37" s="597">
        <v>1</v>
      </c>
      <c r="G37" s="596">
        <v>0.68020000000000003</v>
      </c>
      <c r="H37" s="569">
        <v>0.10440000000000001</v>
      </c>
      <c r="I37" s="569">
        <v>8.8599999999999998E-2</v>
      </c>
      <c r="J37" s="569">
        <v>0.1268</v>
      </c>
      <c r="K37" s="597">
        <v>1</v>
      </c>
      <c r="L37" s="564">
        <v>0.42399999999999999</v>
      </c>
      <c r="M37" s="564">
        <v>4.5199999999999997E-2</v>
      </c>
      <c r="N37" s="564">
        <v>0.53080000000000005</v>
      </c>
      <c r="O37" s="595">
        <v>1</v>
      </c>
      <c r="P37" s="564">
        <v>0.44400000000000001</v>
      </c>
      <c r="Q37" s="564">
        <v>0.55600000000000005</v>
      </c>
      <c r="R37" s="595">
        <v>1</v>
      </c>
      <c r="S37" s="564">
        <v>0.188</v>
      </c>
      <c r="T37" s="564">
        <v>0.1069</v>
      </c>
      <c r="U37" s="564">
        <v>0.70509999999999995</v>
      </c>
      <c r="V37" s="595">
        <v>1</v>
      </c>
      <c r="W37" s="564">
        <v>1.5100000000000001E-2</v>
      </c>
      <c r="X37" s="564">
        <v>0.9849</v>
      </c>
      <c r="Y37" s="595">
        <v>1</v>
      </c>
      <c r="Z37" s="596">
        <v>0.14000000000000001</v>
      </c>
      <c r="AA37" s="569">
        <v>0.86</v>
      </c>
      <c r="AB37" s="595">
        <v>1</v>
      </c>
      <c r="AC37" s="596">
        <v>0.75519999999999998</v>
      </c>
      <c r="AD37" s="569">
        <v>0.2447</v>
      </c>
      <c r="AE37" s="569">
        <v>1E-4</v>
      </c>
      <c r="AF37" s="595">
        <v>1</v>
      </c>
      <c r="AG37" s="596">
        <v>0.29139999999999999</v>
      </c>
      <c r="AH37" s="569">
        <v>0.70860000000000001</v>
      </c>
      <c r="AI37" s="595">
        <v>1</v>
      </c>
      <c r="AJ37" s="596">
        <v>0.76539999999999997</v>
      </c>
      <c r="AK37" s="569">
        <v>0.16420000000000001</v>
      </c>
      <c r="AL37" s="569">
        <v>1.09E-2</v>
      </c>
      <c r="AM37" s="569">
        <v>5.9499999999999997E-2</v>
      </c>
      <c r="AN37" s="595">
        <v>1</v>
      </c>
      <c r="AO37" s="596">
        <v>0.73309999999999997</v>
      </c>
      <c r="AP37" s="569">
        <v>7.9699999999999993E-2</v>
      </c>
      <c r="AQ37" s="569">
        <v>2.3E-3</v>
      </c>
      <c r="AR37" s="569">
        <v>0.18490000000000001</v>
      </c>
      <c r="AS37" s="595">
        <v>1</v>
      </c>
      <c r="AT37" s="596">
        <v>0.23430000000000001</v>
      </c>
      <c r="AU37" s="569">
        <v>7.1999999999999998E-3</v>
      </c>
      <c r="AV37" s="569">
        <v>0.75849999999999995</v>
      </c>
      <c r="AW37" s="595">
        <v>1</v>
      </c>
      <c r="AX37" s="596">
        <v>5.6099999999999997E-2</v>
      </c>
      <c r="AY37" s="569">
        <v>1.7500000000000002E-2</v>
      </c>
      <c r="AZ37" s="569">
        <v>0.9264</v>
      </c>
      <c r="BA37" s="595">
        <v>1</v>
      </c>
    </row>
    <row r="38" spans="1:64">
      <c r="A38" s="566">
        <v>2000</v>
      </c>
      <c r="B38" s="564">
        <v>0.7016</v>
      </c>
      <c r="C38" s="564">
        <v>0.15859999999999999</v>
      </c>
      <c r="D38" s="564">
        <v>0.1002</v>
      </c>
      <c r="E38" s="564">
        <v>3.9600000000000003E-2</v>
      </c>
      <c r="F38" s="597">
        <v>0.99999999999999989</v>
      </c>
      <c r="G38" s="596">
        <v>0.69799999999999995</v>
      </c>
      <c r="H38" s="569">
        <v>0.1106</v>
      </c>
      <c r="I38" s="569">
        <v>5.74E-2</v>
      </c>
      <c r="J38" s="569">
        <v>0.13400000000000001</v>
      </c>
      <c r="K38" s="597">
        <v>1</v>
      </c>
      <c r="L38" s="596">
        <v>0.43680000000000002</v>
      </c>
      <c r="M38" s="569">
        <v>3.3599999999999998E-2</v>
      </c>
      <c r="N38" s="569">
        <v>0.52959999999999996</v>
      </c>
      <c r="O38" s="595">
        <v>1</v>
      </c>
      <c r="P38" s="596">
        <v>0.45200000000000001</v>
      </c>
      <c r="Q38" s="564">
        <v>0.54800000000000004</v>
      </c>
      <c r="R38" s="595">
        <v>1</v>
      </c>
      <c r="S38" s="596">
        <v>0.1928</v>
      </c>
      <c r="T38" s="569">
        <v>0.1928</v>
      </c>
      <c r="U38" s="569">
        <v>0.61439999999999995</v>
      </c>
      <c r="V38" s="595">
        <v>1</v>
      </c>
      <c r="W38" s="596">
        <v>1.0200000000000001E-2</v>
      </c>
      <c r="X38" s="569">
        <v>0.98980000000000001</v>
      </c>
      <c r="Y38" s="595">
        <v>1</v>
      </c>
      <c r="Z38" s="596">
        <v>0.14000000000000001</v>
      </c>
      <c r="AA38" s="569">
        <v>0.86</v>
      </c>
      <c r="AB38" s="595">
        <v>1</v>
      </c>
      <c r="AC38" s="596">
        <v>0.72099999999999997</v>
      </c>
      <c r="AD38" s="569">
        <v>0.27889999999999998</v>
      </c>
      <c r="AE38" s="569">
        <v>1E-4</v>
      </c>
      <c r="AF38" s="595">
        <v>1</v>
      </c>
      <c r="AG38" s="596">
        <v>0.20649999999999999</v>
      </c>
      <c r="AH38" s="569">
        <v>0.79349999999999998</v>
      </c>
      <c r="AI38" s="595">
        <v>1</v>
      </c>
      <c r="AJ38" s="596">
        <v>0.75880000000000003</v>
      </c>
      <c r="AK38" s="569">
        <v>0.1716</v>
      </c>
      <c r="AL38" s="569">
        <v>1.1599999999999999E-2</v>
      </c>
      <c r="AM38" s="569">
        <v>5.8000000000000003E-2</v>
      </c>
      <c r="AN38" s="595">
        <v>1</v>
      </c>
      <c r="AO38" s="596">
        <v>0.72499999999999998</v>
      </c>
      <c r="AP38" s="569">
        <v>8.8099999999999998E-2</v>
      </c>
      <c r="AQ38" s="569">
        <v>2.3E-3</v>
      </c>
      <c r="AR38" s="569">
        <v>0.18459999999999999</v>
      </c>
      <c r="AS38" s="595">
        <v>0.99999999999999989</v>
      </c>
      <c r="AT38" s="596">
        <v>0.22919999999999999</v>
      </c>
      <c r="AU38" s="569">
        <v>5.5999999999999999E-3</v>
      </c>
      <c r="AV38" s="569">
        <v>0.76519999999999999</v>
      </c>
      <c r="AW38" s="595">
        <v>1</v>
      </c>
      <c r="AX38" s="596">
        <v>5.6800000000000003E-2</v>
      </c>
      <c r="AY38" s="569">
        <v>1.0800000000000001E-2</v>
      </c>
      <c r="AZ38" s="569">
        <v>0.93240000000000001</v>
      </c>
      <c r="BA38" s="595">
        <v>1</v>
      </c>
    </row>
    <row r="39" spans="1:64" s="589" customFormat="1">
      <c r="A39" s="593">
        <v>2001</v>
      </c>
      <c r="B39" s="589">
        <v>0.70450982129955519</v>
      </c>
      <c r="C39" s="589">
        <v>0.14705469095942261</v>
      </c>
      <c r="D39" s="589">
        <v>0.10985764856493743</v>
      </c>
      <c r="E39" s="589">
        <v>3.8577839176084788E-2</v>
      </c>
      <c r="F39" s="592">
        <v>1</v>
      </c>
      <c r="G39" s="590">
        <v>0.69497925345338085</v>
      </c>
      <c r="H39" s="571">
        <v>0.1129710687398237</v>
      </c>
      <c r="I39" s="571">
        <v>5.7072778391951212E-2</v>
      </c>
      <c r="J39" s="571">
        <v>0.1349768994148442</v>
      </c>
      <c r="K39" s="592">
        <v>1</v>
      </c>
      <c r="L39" s="590">
        <v>0.41991013656411907</v>
      </c>
      <c r="M39" s="571">
        <v>5.0200011006895036E-2</v>
      </c>
      <c r="N39" s="571">
        <v>0.5298898524289859</v>
      </c>
      <c r="O39" s="588">
        <v>1</v>
      </c>
      <c r="P39" s="590">
        <v>0.44210374966341193</v>
      </c>
      <c r="Q39" s="589">
        <v>0.55789625033658807</v>
      </c>
      <c r="R39" s="588">
        <v>1</v>
      </c>
      <c r="S39" s="590">
        <v>0.18407761252831678</v>
      </c>
      <c r="T39" s="571">
        <v>0.1096208017334778</v>
      </c>
      <c r="U39" s="571">
        <v>0.70630158573820545</v>
      </c>
      <c r="V39" s="588">
        <v>1</v>
      </c>
      <c r="W39" s="590">
        <v>1.0528125716429419E-2</v>
      </c>
      <c r="X39" s="571">
        <v>0.98947187428357053</v>
      </c>
      <c r="Y39" s="588">
        <v>1</v>
      </c>
      <c r="Z39" s="590">
        <v>0.14000000000000001</v>
      </c>
      <c r="AA39" s="571">
        <v>0.86</v>
      </c>
      <c r="AB39" s="588">
        <v>1</v>
      </c>
      <c r="AC39" s="590">
        <v>0.68708320947900181</v>
      </c>
      <c r="AD39" s="571">
        <v>0.3129152622413291</v>
      </c>
      <c r="AE39" s="571">
        <v>1.5282796690663204E-6</v>
      </c>
      <c r="AF39" s="588">
        <v>1</v>
      </c>
      <c r="AG39" s="590">
        <v>0.19149740508955831</v>
      </c>
      <c r="AH39" s="571">
        <v>0.80850259491044163</v>
      </c>
      <c r="AI39" s="588">
        <v>1</v>
      </c>
      <c r="AJ39" s="590">
        <v>0.73669101069802678</v>
      </c>
      <c r="AK39" s="571">
        <v>0.15994841038407859</v>
      </c>
      <c r="AL39" s="571">
        <v>6.5075454891003151E-2</v>
      </c>
      <c r="AM39" s="571">
        <v>3.8285124026891597E-2</v>
      </c>
      <c r="AN39" s="588">
        <v>1.0000000000000002</v>
      </c>
      <c r="AO39" s="590">
        <v>0.89715519611233785</v>
      </c>
      <c r="AP39" s="571">
        <v>0.10284480388766218</v>
      </c>
      <c r="AQ39" s="571">
        <v>0</v>
      </c>
      <c r="AR39" s="571">
        <v>0</v>
      </c>
      <c r="AS39" s="588">
        <v>1</v>
      </c>
      <c r="AT39" s="590">
        <v>0.22375863418961134</v>
      </c>
      <c r="AU39" s="571">
        <v>6.8977695523499503E-3</v>
      </c>
      <c r="AV39" s="571">
        <v>0.76934359625803872</v>
      </c>
      <c r="AW39" s="588">
        <v>1</v>
      </c>
      <c r="AX39" s="590">
        <v>5.3494321088713805E-2</v>
      </c>
      <c r="AY39" s="571">
        <v>8.8816126061598277E-3</v>
      </c>
      <c r="AZ39" s="571">
        <v>0.93762406630512629</v>
      </c>
      <c r="BA39" s="588">
        <v>0.99999999999999989</v>
      </c>
    </row>
    <row r="40" spans="1:64" s="589" customFormat="1">
      <c r="A40" s="593">
        <v>2002</v>
      </c>
      <c r="B40" s="589">
        <v>0.71033588888835753</v>
      </c>
      <c r="C40" s="589">
        <v>0.14959845797923907</v>
      </c>
      <c r="D40" s="589">
        <v>0.10554916739389153</v>
      </c>
      <c r="E40" s="589">
        <v>3.4516485738511876E-2</v>
      </c>
      <c r="F40" s="592">
        <v>1</v>
      </c>
      <c r="G40" s="589">
        <v>0.58906318297909233</v>
      </c>
      <c r="H40" s="589">
        <v>0.19717843462847742</v>
      </c>
      <c r="I40" s="589">
        <v>7.1988329373685211E-2</v>
      </c>
      <c r="J40" s="589">
        <v>0.14177005301874501</v>
      </c>
      <c r="K40" s="592">
        <v>0.99999999999999989</v>
      </c>
      <c r="L40" s="589">
        <v>0.38188068298027567</v>
      </c>
      <c r="M40" s="589">
        <v>4.5616999943255278E-2</v>
      </c>
      <c r="N40" s="589">
        <v>0.57250231707646904</v>
      </c>
      <c r="O40" s="588">
        <v>1</v>
      </c>
      <c r="P40" s="589">
        <v>0.40013357630801283</v>
      </c>
      <c r="Q40" s="589">
        <v>0.59986642369198717</v>
      </c>
      <c r="R40" s="588">
        <v>1</v>
      </c>
      <c r="S40" s="589">
        <v>0.1660769324207019</v>
      </c>
      <c r="T40" s="589">
        <v>0.11326748982572638</v>
      </c>
      <c r="U40" s="589">
        <v>0.72065557775357181</v>
      </c>
      <c r="V40" s="588">
        <v>1</v>
      </c>
      <c r="W40" s="589">
        <v>8.6681279636367133E-3</v>
      </c>
      <c r="X40" s="589">
        <v>0.99133187203636319</v>
      </c>
      <c r="Y40" s="588">
        <v>0.99999999999999989</v>
      </c>
      <c r="Z40" s="590">
        <v>0.14000000000000001</v>
      </c>
      <c r="AA40" s="571">
        <v>0.86</v>
      </c>
      <c r="AB40" s="588">
        <v>1</v>
      </c>
      <c r="AC40" s="589">
        <v>0.76603398421670776</v>
      </c>
      <c r="AD40" s="589">
        <v>0.23396429871494606</v>
      </c>
      <c r="AE40" s="589">
        <v>1.7170683461884517E-6</v>
      </c>
      <c r="AF40" s="588">
        <v>1</v>
      </c>
      <c r="AG40" s="589">
        <v>0.16483941786615289</v>
      </c>
      <c r="AH40" s="589">
        <v>0.83516058213384714</v>
      </c>
      <c r="AI40" s="588">
        <v>1</v>
      </c>
      <c r="AJ40" s="589">
        <v>0.53750301706987436</v>
      </c>
      <c r="AK40" s="589">
        <v>0.16260924752468733</v>
      </c>
      <c r="AL40" s="589">
        <v>0.2585139903256462</v>
      </c>
      <c r="AM40" s="589">
        <v>4.1373745079792044E-2</v>
      </c>
      <c r="AN40" s="588">
        <v>0.99999999999999989</v>
      </c>
      <c r="AO40" s="589">
        <v>0.56442386329090077</v>
      </c>
      <c r="AP40" s="589">
        <v>0.10643467910099466</v>
      </c>
      <c r="AQ40" s="589">
        <v>0.31833421110097754</v>
      </c>
      <c r="AR40" s="589">
        <v>1.0807246507127045E-2</v>
      </c>
      <c r="AS40" s="588">
        <v>1</v>
      </c>
      <c r="AT40" s="589">
        <v>0.23008009886967057</v>
      </c>
      <c r="AU40" s="589">
        <v>6.5234014377792632E-3</v>
      </c>
      <c r="AV40" s="589">
        <v>0.76339649969255008</v>
      </c>
      <c r="AW40" s="588">
        <v>0.99999999999999989</v>
      </c>
      <c r="AX40" s="589">
        <v>6.0812405673535672E-2</v>
      </c>
      <c r="AY40" s="589">
        <v>1.0199775404665002E-2</v>
      </c>
      <c r="AZ40" s="589">
        <v>0.92898781892179938</v>
      </c>
      <c r="BA40" s="588">
        <v>1</v>
      </c>
    </row>
    <row r="41" spans="1:64" s="589" customFormat="1">
      <c r="A41" s="593">
        <v>2003</v>
      </c>
      <c r="B41" s="589">
        <v>0.63647249338755496</v>
      </c>
      <c r="C41" s="589">
        <v>0.12444393917843635</v>
      </c>
      <c r="D41" s="589">
        <v>0.10296858519789644</v>
      </c>
      <c r="E41" s="589">
        <v>0.13611498223611226</v>
      </c>
      <c r="F41" s="592">
        <v>1</v>
      </c>
      <c r="G41" s="589">
        <v>0.64896514556309415</v>
      </c>
      <c r="H41" s="589">
        <v>9.5765207677465214E-2</v>
      </c>
      <c r="I41" s="589">
        <v>6.3931055197430739E-2</v>
      </c>
      <c r="J41" s="589">
        <v>0.19133859156200991</v>
      </c>
      <c r="K41" s="592">
        <v>1</v>
      </c>
      <c r="L41" s="589">
        <v>0.36443981391012059</v>
      </c>
      <c r="M41" s="589">
        <v>3.3680443406286752E-2</v>
      </c>
      <c r="N41" s="589">
        <v>0.60187974268359279</v>
      </c>
      <c r="O41" s="588">
        <v>1</v>
      </c>
      <c r="P41" s="589">
        <v>0.37714212800864216</v>
      </c>
      <c r="Q41" s="589">
        <v>0.62285787199135789</v>
      </c>
      <c r="R41" s="588">
        <v>1</v>
      </c>
      <c r="S41" s="589">
        <v>0.15723675450594946</v>
      </c>
      <c r="T41" s="589">
        <v>7.5375546221538983E-2</v>
      </c>
      <c r="U41" s="589">
        <v>0.7673876992725116</v>
      </c>
      <c r="V41" s="588">
        <v>1</v>
      </c>
      <c r="W41" s="589">
        <v>7.5797102803356296E-3</v>
      </c>
      <c r="X41" s="589">
        <v>0.99242028971966434</v>
      </c>
      <c r="Y41" s="588">
        <v>1</v>
      </c>
      <c r="Z41" s="590">
        <v>0.14000000000000001</v>
      </c>
      <c r="AA41" s="571">
        <v>0.86</v>
      </c>
      <c r="AB41" s="588">
        <v>1</v>
      </c>
      <c r="AC41" s="589">
        <v>0.74516414023993305</v>
      </c>
      <c r="AD41" s="589">
        <v>0.25483413758778778</v>
      </c>
      <c r="AE41" s="589">
        <v>1.7221722792261249E-6</v>
      </c>
      <c r="AF41" s="588">
        <v>1</v>
      </c>
      <c r="AG41" s="589">
        <v>0.14279913798024776</v>
      </c>
      <c r="AH41" s="589">
        <v>0.85720086201975221</v>
      </c>
      <c r="AI41" s="588">
        <v>1</v>
      </c>
      <c r="AJ41" s="589">
        <v>0.46864736893009284</v>
      </c>
      <c r="AK41" s="589">
        <v>0.12831335470198857</v>
      </c>
      <c r="AL41" s="589">
        <v>0.36543934733422789</v>
      </c>
      <c r="AM41" s="589">
        <v>3.759992903369077E-2</v>
      </c>
      <c r="AN41" s="588">
        <v>1</v>
      </c>
      <c r="AO41" s="589">
        <v>0.43567314054411704</v>
      </c>
      <c r="AP41" s="589">
        <v>8.2991476277585338E-2</v>
      </c>
      <c r="AQ41" s="589">
        <v>0.47390923597867124</v>
      </c>
      <c r="AR41" s="589">
        <v>7.4261471996263572E-3</v>
      </c>
      <c r="AS41" s="588">
        <v>0.99999999999999989</v>
      </c>
      <c r="AT41" s="589">
        <v>0.13184729917680837</v>
      </c>
      <c r="AU41" s="589">
        <v>2.3895088992832249E-2</v>
      </c>
      <c r="AV41" s="589">
        <v>0.8442576118303593</v>
      </c>
      <c r="AW41" s="588">
        <v>0.99999999999999989</v>
      </c>
      <c r="AX41" s="589">
        <v>4.1291938917847444E-2</v>
      </c>
      <c r="AY41" s="589">
        <v>2.5622201013141471E-2</v>
      </c>
      <c r="AZ41" s="589">
        <v>0.93308586006901106</v>
      </c>
      <c r="BA41" s="588">
        <v>1</v>
      </c>
    </row>
    <row r="42" spans="1:64" s="589" customFormat="1">
      <c r="A42" s="593">
        <v>2004</v>
      </c>
      <c r="B42" s="589">
        <v>0.6763603874526114</v>
      </c>
      <c r="C42" s="589">
        <v>0.12382131716147678</v>
      </c>
      <c r="D42" s="589">
        <v>9.7603730655635615E-2</v>
      </c>
      <c r="E42" s="589">
        <v>0.10221456473027621</v>
      </c>
      <c r="F42" s="592">
        <v>1</v>
      </c>
      <c r="G42" s="589">
        <v>0.65137242293133046</v>
      </c>
      <c r="H42" s="589">
        <v>0.10177068469870003</v>
      </c>
      <c r="I42" s="589">
        <v>6.2561097259347942E-2</v>
      </c>
      <c r="J42" s="589">
        <v>0.18429579511062155</v>
      </c>
      <c r="K42" s="592">
        <v>0.99999999999999989</v>
      </c>
      <c r="L42" s="589">
        <v>0.38197798373715852</v>
      </c>
      <c r="M42" s="589">
        <v>3.5464695417155238E-2</v>
      </c>
      <c r="N42" s="589">
        <v>0.58255732084568623</v>
      </c>
      <c r="O42" s="588">
        <v>1</v>
      </c>
      <c r="P42" s="589">
        <v>0.3960228121482412</v>
      </c>
      <c r="Q42" s="589">
        <v>0.6039771878517588</v>
      </c>
      <c r="R42" s="588">
        <v>1</v>
      </c>
      <c r="S42" s="589">
        <v>0.17866846784538254</v>
      </c>
      <c r="T42" s="589">
        <v>9.3396681220326974E-2</v>
      </c>
      <c r="U42" s="589">
        <v>0.72793485093429044</v>
      </c>
      <c r="V42" s="588">
        <v>1</v>
      </c>
      <c r="W42" s="589">
        <v>7.3642290289916814E-3</v>
      </c>
      <c r="X42" s="589">
        <v>0.9926357709710083</v>
      </c>
      <c r="Y42" s="588">
        <v>1</v>
      </c>
      <c r="Z42" s="590">
        <v>0.14000000000000001</v>
      </c>
      <c r="AA42" s="571">
        <v>0.86</v>
      </c>
      <c r="AB42" s="588">
        <v>1</v>
      </c>
      <c r="AC42" s="589">
        <v>0.82488641059451118</v>
      </c>
      <c r="AD42" s="589">
        <v>0.17511161693914648</v>
      </c>
      <c r="AE42" s="589">
        <v>1.9724663423274513E-6</v>
      </c>
      <c r="AF42" s="588">
        <v>1</v>
      </c>
      <c r="AG42" s="589">
        <v>0.17050512988031546</v>
      </c>
      <c r="AH42" s="589">
        <v>0.82949487011968448</v>
      </c>
      <c r="AI42" s="588">
        <v>1</v>
      </c>
      <c r="AJ42" s="589">
        <v>0.47580125998200601</v>
      </c>
      <c r="AK42" s="589">
        <v>0.12873085023322192</v>
      </c>
      <c r="AL42" s="589">
        <v>0.35304939290579845</v>
      </c>
      <c r="AM42" s="589">
        <v>4.2418496878973602E-2</v>
      </c>
      <c r="AN42" s="588">
        <v>1</v>
      </c>
      <c r="AO42" s="589">
        <v>0.45793540568511476</v>
      </c>
      <c r="AP42" s="589">
        <v>8.9318111539499617E-2</v>
      </c>
      <c r="AQ42" s="589">
        <v>0.44925562282268111</v>
      </c>
      <c r="AR42" s="589">
        <v>3.490859952704478E-3</v>
      </c>
      <c r="AS42" s="588">
        <v>0.99999999999999989</v>
      </c>
      <c r="AT42" s="589">
        <v>0.14710041436594723</v>
      </c>
      <c r="AU42" s="589">
        <v>2.8924115550767019E-2</v>
      </c>
      <c r="AV42" s="589">
        <v>0.82397547008328564</v>
      </c>
      <c r="AW42" s="588">
        <v>0.99999999999999989</v>
      </c>
      <c r="AX42" s="589">
        <v>5.1257928118393241E-2</v>
      </c>
      <c r="AY42" s="589">
        <v>9.4556025369978858E-3</v>
      </c>
      <c r="AZ42" s="589">
        <v>0.93928646934460891</v>
      </c>
      <c r="BA42" s="588">
        <v>1</v>
      </c>
    </row>
    <row r="43" spans="1:64" s="589" customFormat="1">
      <c r="A43" s="593">
        <v>2005</v>
      </c>
      <c r="B43" s="589">
        <v>0.63540557209445758</v>
      </c>
      <c r="C43" s="589">
        <v>0.12094659186602302</v>
      </c>
      <c r="D43" s="589">
        <v>9.9199999999999997E-2</v>
      </c>
      <c r="E43" s="589">
        <v>0.1444</v>
      </c>
      <c r="F43" s="592">
        <v>0.99995216396048059</v>
      </c>
      <c r="G43" s="589">
        <v>0.62833769474501111</v>
      </c>
      <c r="H43" s="589">
        <v>9.2488605782217168E-2</v>
      </c>
      <c r="I43" s="589">
        <v>6.8646857139590428E-2</v>
      </c>
      <c r="J43" s="589">
        <v>0.21052684233318125</v>
      </c>
      <c r="K43" s="592">
        <v>1</v>
      </c>
      <c r="L43" s="589">
        <v>0.35667623955667965</v>
      </c>
      <c r="M43" s="589">
        <v>3.2385822382104128E-2</v>
      </c>
      <c r="N43" s="589">
        <v>0.61093793806121632</v>
      </c>
      <c r="O43" s="588">
        <v>1</v>
      </c>
      <c r="P43" s="589">
        <v>0.36861411067245503</v>
      </c>
      <c r="Q43" s="589">
        <v>0.63138588932754502</v>
      </c>
      <c r="R43" s="588">
        <v>1</v>
      </c>
      <c r="S43" s="589">
        <v>0.15625048108255118</v>
      </c>
      <c r="T43" s="589">
        <v>6.9709136573196745E-2</v>
      </c>
      <c r="U43" s="589">
        <v>0.7740403823442521</v>
      </c>
      <c r="V43" s="588">
        <v>1</v>
      </c>
      <c r="W43" s="589">
        <v>6.6655950370078229E-3</v>
      </c>
      <c r="X43" s="589">
        <v>0.99333440496299208</v>
      </c>
      <c r="Y43" s="588">
        <v>0.99999999999999989</v>
      </c>
      <c r="Z43" s="590">
        <v>0.14000000000000001</v>
      </c>
      <c r="AA43" s="571">
        <v>0.86</v>
      </c>
      <c r="AB43" s="588">
        <v>1</v>
      </c>
      <c r="AC43" s="589">
        <v>0.98275535447636453</v>
      </c>
      <c r="AD43" s="589">
        <v>1.7241859635828746E-2</v>
      </c>
      <c r="AE43" s="589">
        <v>2.7858878067262476E-6</v>
      </c>
      <c r="AF43" s="588">
        <v>1</v>
      </c>
      <c r="AG43" s="589">
        <v>0.156611391397388</v>
      </c>
      <c r="AH43" s="589">
        <v>0.843388608602612</v>
      </c>
      <c r="AI43" s="588">
        <v>1</v>
      </c>
      <c r="AJ43" s="589">
        <v>0.64157307432345911</v>
      </c>
      <c r="AK43" s="589">
        <v>0.12717868395650828</v>
      </c>
      <c r="AL43" s="589">
        <v>7.3531811381293652E-2</v>
      </c>
      <c r="AM43" s="589">
        <v>0.15771643033873897</v>
      </c>
      <c r="AN43" s="588">
        <v>1</v>
      </c>
      <c r="AO43" s="589">
        <v>0.65739157598446074</v>
      </c>
      <c r="AP43" s="589">
        <v>8.6219129417590107E-2</v>
      </c>
      <c r="AQ43" s="589">
        <v>3.0294420157287723E-2</v>
      </c>
      <c r="AR43" s="589">
        <v>0.22609487444066145</v>
      </c>
      <c r="AS43" s="588">
        <v>1</v>
      </c>
      <c r="AT43" s="589">
        <v>0.21603396523321597</v>
      </c>
      <c r="AU43" s="589">
        <v>1.0574218151341764E-2</v>
      </c>
      <c r="AV43" s="589">
        <v>0.77339181661544232</v>
      </c>
      <c r="AW43" s="588">
        <v>1</v>
      </c>
      <c r="AX43" s="589">
        <v>0.19815886401810234</v>
      </c>
      <c r="AY43" s="589">
        <v>1.1029869864481626E-2</v>
      </c>
      <c r="AZ43" s="589">
        <v>0.79081126611741603</v>
      </c>
      <c r="BA43" s="588">
        <v>1</v>
      </c>
    </row>
    <row r="44" spans="1:64" s="589" customFormat="1">
      <c r="A44" s="593">
        <v>2006</v>
      </c>
      <c r="B44" s="589">
        <v>0.6924773446890139</v>
      </c>
      <c r="C44" s="589">
        <v>0.13442526808915051</v>
      </c>
      <c r="D44" s="589">
        <v>9.6236353379288375E-2</v>
      </c>
      <c r="E44" s="589">
        <v>7.6845015385053519E-2</v>
      </c>
      <c r="F44" s="592">
        <v>0.99998398154250634</v>
      </c>
      <c r="G44" s="589">
        <v>0.69616470450418788</v>
      </c>
      <c r="H44" s="589">
        <v>0.11660106601066011</v>
      </c>
      <c r="I44" s="589">
        <v>0.11632343466291806</v>
      </c>
      <c r="J44" s="589">
        <v>7.0910794822233988E-2</v>
      </c>
      <c r="K44" s="592">
        <v>1</v>
      </c>
      <c r="L44" s="589">
        <v>0.41278714376546283</v>
      </c>
      <c r="M44" s="589">
        <v>8.0576302022675628E-2</v>
      </c>
      <c r="N44" s="589">
        <v>0.50663655421186149</v>
      </c>
      <c r="O44" s="588">
        <v>1</v>
      </c>
      <c r="P44" s="589">
        <v>0.44896291521914128</v>
      </c>
      <c r="Q44" s="589">
        <v>0.55103708478085878</v>
      </c>
      <c r="R44" s="588">
        <v>1</v>
      </c>
      <c r="S44" s="590">
        <v>0.12223715274123721</v>
      </c>
      <c r="T44" s="571">
        <v>0.12249872407934492</v>
      </c>
      <c r="U44" s="571">
        <v>0.75526412317941782</v>
      </c>
      <c r="V44" s="588">
        <v>1</v>
      </c>
      <c r="W44" s="571">
        <v>6.3726706675391745E-3</v>
      </c>
      <c r="X44" s="571">
        <v>0.9936273293324609</v>
      </c>
      <c r="Y44" s="588">
        <v>1</v>
      </c>
      <c r="Z44" s="590">
        <v>0.14000000000000001</v>
      </c>
      <c r="AA44" s="571">
        <v>0.86</v>
      </c>
      <c r="AB44" s="588">
        <v>1</v>
      </c>
      <c r="AC44" s="589">
        <v>0.69743293116548322</v>
      </c>
      <c r="AD44" s="589">
        <v>0.30251177029428777</v>
      </c>
      <c r="AE44" s="589">
        <v>5.5298540229135032E-5</v>
      </c>
      <c r="AF44" s="588">
        <v>1.0000000000000002</v>
      </c>
      <c r="AG44" s="589">
        <v>0.14865577621582396</v>
      </c>
      <c r="AH44" s="589">
        <v>0.85134422378417596</v>
      </c>
      <c r="AI44" s="588">
        <v>1</v>
      </c>
      <c r="AJ44" s="589">
        <v>0.73837558451309482</v>
      </c>
      <c r="AK44" s="589">
        <v>0.14428058839372815</v>
      </c>
      <c r="AL44" s="589">
        <v>7.3772849341504021E-2</v>
      </c>
      <c r="AM44" s="589">
        <v>4.3570977751672985E-2</v>
      </c>
      <c r="AN44" s="588">
        <v>0.99999999999999989</v>
      </c>
      <c r="AO44" s="590">
        <v>0.85768104301148995</v>
      </c>
      <c r="AP44" s="571">
        <v>0.12272037144060575</v>
      </c>
      <c r="AQ44" s="571">
        <v>5.2219142121090426E-2</v>
      </c>
      <c r="AR44" s="571">
        <v>-3.2620556573186119E-2</v>
      </c>
      <c r="AS44" s="588">
        <v>1</v>
      </c>
      <c r="AT44" s="589">
        <v>0.3285064213498497</v>
      </c>
      <c r="AU44" s="589">
        <v>6.7378449767738408E-2</v>
      </c>
      <c r="AV44" s="589">
        <v>0.60411512888241192</v>
      </c>
      <c r="AW44" s="588">
        <v>1</v>
      </c>
      <c r="AX44" s="589">
        <v>0.16892634361961417</v>
      </c>
      <c r="AY44" s="589">
        <v>1.293014417317305E-2</v>
      </c>
      <c r="AZ44" s="589">
        <v>0.81814351220721282</v>
      </c>
      <c r="BA44" s="588">
        <v>1</v>
      </c>
    </row>
    <row r="45" spans="1:64" s="589" customFormat="1">
      <c r="A45" s="593">
        <v>2007</v>
      </c>
      <c r="B45" s="589">
        <v>0.73053285701483495</v>
      </c>
      <c r="C45" s="589">
        <v>0.12578234923401957</v>
      </c>
      <c r="D45" s="589">
        <v>0.10173244089717405</v>
      </c>
      <c r="E45" s="589">
        <v>4.1918827842727401E-2</v>
      </c>
      <c r="F45" s="592">
        <v>0.9999664749887559</v>
      </c>
      <c r="G45" s="589">
        <v>0.65318539323119085</v>
      </c>
      <c r="H45" s="589">
        <v>0.11405296303059587</v>
      </c>
      <c r="I45" s="589">
        <v>0.12872415667300682</v>
      </c>
      <c r="J45" s="589">
        <v>0.10403748706520645</v>
      </c>
      <c r="K45" s="592">
        <v>1</v>
      </c>
      <c r="L45" s="589">
        <v>0.34847581625713742</v>
      </c>
      <c r="M45" s="589">
        <v>3.8069300978100608E-2</v>
      </c>
      <c r="N45" s="589">
        <v>0.61345488276476201</v>
      </c>
      <c r="O45" s="588">
        <v>1</v>
      </c>
      <c r="P45" s="589">
        <v>0.36226707039443806</v>
      </c>
      <c r="Q45" s="589">
        <v>0.63773292960556194</v>
      </c>
      <c r="R45" s="588">
        <v>1</v>
      </c>
      <c r="S45" s="590">
        <v>0.14560749774164408</v>
      </c>
      <c r="T45" s="571">
        <v>0.15674205001543687</v>
      </c>
      <c r="U45" s="571">
        <v>0.69765045224291911</v>
      </c>
      <c r="V45" s="588">
        <v>1</v>
      </c>
      <c r="W45" s="571">
        <v>6.3604064571448331E-3</v>
      </c>
      <c r="X45" s="571">
        <v>0.99363959354285514</v>
      </c>
      <c r="Y45" s="588">
        <v>1</v>
      </c>
      <c r="Z45" s="590">
        <v>0.14000000000000001</v>
      </c>
      <c r="AA45" s="571">
        <v>0.86</v>
      </c>
      <c r="AB45" s="588">
        <v>1</v>
      </c>
      <c r="AC45" s="589">
        <v>0.79251345489597558</v>
      </c>
      <c r="AD45" s="589">
        <v>0.20748654510402442</v>
      </c>
      <c r="AE45" s="589">
        <v>0</v>
      </c>
      <c r="AF45" s="588">
        <v>1</v>
      </c>
      <c r="AG45" s="589">
        <v>0.14493381197972238</v>
      </c>
      <c r="AH45" s="589">
        <v>0.85506618802027767</v>
      </c>
      <c r="AI45" s="588">
        <v>1</v>
      </c>
      <c r="AJ45" s="589">
        <v>0.70940364254474486</v>
      </c>
      <c r="AK45" s="589">
        <v>0.12843201336142887</v>
      </c>
      <c r="AL45" s="589">
        <v>9.7737204246919798E-2</v>
      </c>
      <c r="AM45" s="589">
        <v>6.4427139846906428E-2</v>
      </c>
      <c r="AN45" s="588">
        <v>0.99999999999999989</v>
      </c>
      <c r="AO45" s="590">
        <v>0.67879251119543904</v>
      </c>
      <c r="AP45" s="571">
        <v>8.7439526644245813E-2</v>
      </c>
      <c r="AQ45" s="571">
        <v>0.11212524504073522</v>
      </c>
      <c r="AR45" s="571">
        <v>0.12164271711957989</v>
      </c>
      <c r="AS45" s="588">
        <v>0.99999999999999989</v>
      </c>
      <c r="AT45" s="589">
        <v>0.20353953676610387</v>
      </c>
      <c r="AU45" s="589">
        <v>3.9034097079943965E-2</v>
      </c>
      <c r="AV45" s="589">
        <v>0.7574263661539522</v>
      </c>
      <c r="AW45" s="588">
        <v>1</v>
      </c>
      <c r="AX45" s="589">
        <v>0.16104063881680794</v>
      </c>
      <c r="AY45" s="589">
        <v>8.9615514546743744E-3</v>
      </c>
      <c r="AZ45" s="589">
        <v>0.82999780972851778</v>
      </c>
      <c r="BA45" s="588">
        <v>1</v>
      </c>
    </row>
    <row r="46" spans="1:64" s="589" customFormat="1">
      <c r="A46" s="593">
        <v>2008</v>
      </c>
      <c r="B46" s="589">
        <v>0.74174410496159815</v>
      </c>
      <c r="C46" s="589">
        <v>0.13480644011686574</v>
      </c>
      <c r="D46" s="589">
        <v>9.9298083112999161E-2</v>
      </c>
      <c r="E46" s="589">
        <v>2.415137180853694E-2</v>
      </c>
      <c r="F46" s="592">
        <v>1</v>
      </c>
      <c r="G46" s="589">
        <v>0.66975751219929802</v>
      </c>
      <c r="H46" s="589">
        <v>0.11631656108209913</v>
      </c>
      <c r="I46" s="589">
        <v>0.1240363624689667</v>
      </c>
      <c r="J46" s="589">
        <v>8.9889564249636206E-2</v>
      </c>
      <c r="K46" s="592">
        <v>1</v>
      </c>
      <c r="L46" s="589">
        <v>0.42030001254322569</v>
      </c>
      <c r="M46" s="589">
        <v>8.9861351466282685E-2</v>
      </c>
      <c r="N46" s="589">
        <v>0.4898386359904916</v>
      </c>
      <c r="O46" s="588">
        <v>1</v>
      </c>
      <c r="P46" s="589">
        <v>0.46179778566743845</v>
      </c>
      <c r="Q46" s="589">
        <v>0.53820221433256155</v>
      </c>
      <c r="R46" s="588">
        <v>1</v>
      </c>
      <c r="S46" s="590">
        <v>0.12936180985477896</v>
      </c>
      <c r="T46" s="571">
        <v>0.20565694690570988</v>
      </c>
      <c r="U46" s="571">
        <v>0.66498124323951124</v>
      </c>
      <c r="V46" s="588">
        <v>1</v>
      </c>
      <c r="W46" s="571">
        <v>6.4790323008579037E-3</v>
      </c>
      <c r="X46" s="571">
        <v>0.99352096769914222</v>
      </c>
      <c r="Y46" s="588">
        <v>1.0000000000000002</v>
      </c>
      <c r="Z46" s="590">
        <v>0.14000000000000001</v>
      </c>
      <c r="AA46" s="571">
        <v>0.86</v>
      </c>
      <c r="AB46" s="588">
        <v>1</v>
      </c>
      <c r="AC46" s="589">
        <v>0.79578536230896746</v>
      </c>
      <c r="AD46" s="589">
        <v>0.20421463769103254</v>
      </c>
      <c r="AE46" s="589">
        <v>0</v>
      </c>
      <c r="AF46" s="588">
        <v>1</v>
      </c>
      <c r="AG46" s="589">
        <v>0.18401111506515336</v>
      </c>
      <c r="AH46" s="589">
        <v>0.81598888493484667</v>
      </c>
      <c r="AI46" s="588">
        <v>1</v>
      </c>
      <c r="AJ46" s="589">
        <v>0.72365804116247801</v>
      </c>
      <c r="AK46" s="589">
        <v>0.13680256489812803</v>
      </c>
      <c r="AL46" s="589">
        <v>9.1377639880028963E-2</v>
      </c>
      <c r="AM46" s="589">
        <v>4.8161754059364986E-2</v>
      </c>
      <c r="AN46" s="588">
        <v>1</v>
      </c>
      <c r="AO46" s="590">
        <v>0.68803624972779198</v>
      </c>
      <c r="AP46" s="571">
        <v>0.10457811950349263</v>
      </c>
      <c r="AQ46" s="571">
        <v>0.11549156574032195</v>
      </c>
      <c r="AR46" s="571">
        <v>9.1894065028393396E-2</v>
      </c>
      <c r="AS46" s="588">
        <v>0.99999999999999989</v>
      </c>
      <c r="AT46" s="589">
        <v>0.22076988896019292</v>
      </c>
      <c r="AU46" s="589">
        <v>1.5447475945696587E-2</v>
      </c>
      <c r="AV46" s="589">
        <v>0.76378263509411048</v>
      </c>
      <c r="AW46" s="588">
        <v>1</v>
      </c>
      <c r="AX46" s="589">
        <v>0.11636773894931728</v>
      </c>
      <c r="AY46" s="589">
        <v>1.5314741957880119E-2</v>
      </c>
      <c r="AZ46" s="589">
        <v>0.86831751909280264</v>
      </c>
      <c r="BA46" s="588">
        <v>1</v>
      </c>
      <c r="BD46" s="594"/>
      <c r="BG46" s="594"/>
      <c r="BL46" s="594"/>
    </row>
    <row r="47" spans="1:64" s="577" customFormat="1">
      <c r="A47" s="593">
        <v>2009</v>
      </c>
      <c r="B47" s="589">
        <v>0.73223653450351445</v>
      </c>
      <c r="C47" s="589">
        <v>0.13300520368141042</v>
      </c>
      <c r="D47" s="589">
        <v>9.6357073511708288E-2</v>
      </c>
      <c r="E47" s="589">
        <v>3.8401188303366848E-2</v>
      </c>
      <c r="F47" s="592">
        <v>1</v>
      </c>
      <c r="G47" s="589">
        <v>0.68349893597456846</v>
      </c>
      <c r="H47" s="589">
        <v>0.12069621417124241</v>
      </c>
      <c r="I47" s="589">
        <v>8.9390221474923148E-2</v>
      </c>
      <c r="J47" s="589">
        <v>0.10641462837926605</v>
      </c>
      <c r="K47" s="592">
        <v>1</v>
      </c>
      <c r="L47" s="591">
        <v>0.39367667842470666</v>
      </c>
      <c r="M47" s="591">
        <v>5.6272559367776261E-2</v>
      </c>
      <c r="N47" s="591">
        <v>0.55005076220751714</v>
      </c>
      <c r="O47" s="582">
        <v>1</v>
      </c>
      <c r="P47" s="591">
        <v>0.41715082286997401</v>
      </c>
      <c r="Q47" s="591">
        <v>0.58284917713002604</v>
      </c>
      <c r="R47" s="582">
        <v>1</v>
      </c>
      <c r="S47" s="589">
        <v>0.13548269470357654</v>
      </c>
      <c r="T47" s="589">
        <v>0.13652344343492662</v>
      </c>
      <c r="U47" s="589">
        <v>0.72799386186149684</v>
      </c>
      <c r="V47" s="588">
        <v>1</v>
      </c>
      <c r="W47" s="591">
        <v>5.6874120389768046E-3</v>
      </c>
      <c r="X47" s="591">
        <v>0.99431258796102318</v>
      </c>
      <c r="Y47" s="582">
        <v>1</v>
      </c>
      <c r="Z47" s="590">
        <v>0.14000000000000001</v>
      </c>
      <c r="AA47" s="571">
        <v>0.86</v>
      </c>
      <c r="AB47" s="588">
        <v>1</v>
      </c>
      <c r="AC47" s="589">
        <v>0.7351745171128431</v>
      </c>
      <c r="AD47" s="589">
        <v>0.2648254828871569</v>
      </c>
      <c r="AE47" s="589">
        <v>0</v>
      </c>
      <c r="AF47" s="588">
        <v>1</v>
      </c>
      <c r="AG47" s="591">
        <v>0.22286500000000001</v>
      </c>
      <c r="AH47" s="591">
        <v>0.77713500000000002</v>
      </c>
      <c r="AI47" s="588">
        <v>1</v>
      </c>
      <c r="AJ47" s="589">
        <v>0.70187136324529376</v>
      </c>
      <c r="AK47" s="589">
        <v>0.13667915390300392</v>
      </c>
      <c r="AL47" s="589">
        <v>0.11445971050477838</v>
      </c>
      <c r="AM47" s="589">
        <v>4.6989772346924016E-2</v>
      </c>
      <c r="AN47" s="588">
        <v>1</v>
      </c>
      <c r="AO47" s="590">
        <v>0.68937676398463887</v>
      </c>
      <c r="AP47" s="571">
        <v>0.11290118601458998</v>
      </c>
      <c r="AQ47" s="571">
        <v>0.10469470534709048</v>
      </c>
      <c r="AR47" s="571">
        <v>9.3027344653680608E-2</v>
      </c>
      <c r="AS47" s="588">
        <v>0.99999999999999989</v>
      </c>
      <c r="AT47" s="589">
        <v>0.22347325016834912</v>
      </c>
      <c r="AU47" s="589">
        <v>1.288329535868871E-2</v>
      </c>
      <c r="AV47" s="589">
        <v>0.76364345447296222</v>
      </c>
      <c r="AW47" s="588">
        <v>1</v>
      </c>
      <c r="AX47" s="589">
        <v>0.14040155350579098</v>
      </c>
      <c r="AY47" s="589">
        <v>7.5109230875927595E-3</v>
      </c>
      <c r="AZ47" s="589">
        <v>0.85208752340661631</v>
      </c>
      <c r="BA47" s="588">
        <v>1</v>
      </c>
    </row>
    <row r="48" spans="1:64" s="577" customFormat="1">
      <c r="A48" s="586">
        <v>2010</v>
      </c>
      <c r="B48" s="583">
        <v>0.71715181210479295</v>
      </c>
      <c r="C48" s="583">
        <v>0.14262201201359248</v>
      </c>
      <c r="D48" s="583">
        <v>9.3873038387774568E-2</v>
      </c>
      <c r="E48" s="583">
        <v>4.6353137493839951E-2</v>
      </c>
      <c r="F48" s="585">
        <v>1</v>
      </c>
      <c r="G48" s="583">
        <v>0.67932160674792985</v>
      </c>
      <c r="H48" s="583">
        <v>8.0249447101784707E-2</v>
      </c>
      <c r="I48" s="583">
        <v>8.0249447101784707E-2</v>
      </c>
      <c r="J48" s="583">
        <v>0.16017949904850071</v>
      </c>
      <c r="K48" s="585">
        <v>1</v>
      </c>
      <c r="L48" s="583">
        <v>0.3717074952092011</v>
      </c>
      <c r="M48" s="583">
        <v>6.3037291137978485E-2</v>
      </c>
      <c r="N48" s="583">
        <v>0.56525521365282061</v>
      </c>
      <c r="O48" s="582">
        <v>1.0000000000000002</v>
      </c>
      <c r="P48" s="583">
        <v>0.39671535664493479</v>
      </c>
      <c r="Q48" s="583">
        <v>0.60328464335506526</v>
      </c>
      <c r="R48" s="582">
        <v>1</v>
      </c>
      <c r="S48" s="587">
        <v>0.12805376351700648</v>
      </c>
      <c r="T48" s="587">
        <v>0.16871490181359811</v>
      </c>
      <c r="U48" s="587">
        <v>0.70323133466939536</v>
      </c>
      <c r="V48" s="582">
        <v>1</v>
      </c>
      <c r="W48" s="587">
        <v>6.1475198224215811E-3</v>
      </c>
      <c r="X48" s="587">
        <v>0.99385248017757832</v>
      </c>
      <c r="Y48" s="582">
        <v>0.99999999999999989</v>
      </c>
      <c r="Z48" s="583">
        <v>0.14000000000000001</v>
      </c>
      <c r="AA48" s="583">
        <v>0.86</v>
      </c>
      <c r="AB48" s="582">
        <v>1</v>
      </c>
      <c r="AC48" s="587">
        <v>0.71160513582504659</v>
      </c>
      <c r="AD48" s="587">
        <v>0.28839486417495325</v>
      </c>
      <c r="AE48" s="587">
        <v>0</v>
      </c>
      <c r="AF48" s="582">
        <v>0.99999999999999978</v>
      </c>
      <c r="AG48" s="583">
        <v>0</v>
      </c>
      <c r="AH48" s="583">
        <v>1</v>
      </c>
      <c r="AI48" s="584">
        <v>1</v>
      </c>
      <c r="AJ48" s="583">
        <v>0.71143132652081709</v>
      </c>
      <c r="AK48" s="583">
        <v>0.14834923017403623</v>
      </c>
      <c r="AL48" s="583">
        <v>8.8126892567608847E-2</v>
      </c>
      <c r="AM48" s="583">
        <v>5.2092550737537817E-2</v>
      </c>
      <c r="AN48" s="582">
        <v>1</v>
      </c>
      <c r="AO48" s="583">
        <v>0.68370808911461178</v>
      </c>
      <c r="AP48" s="583">
        <v>0.14943232988351321</v>
      </c>
      <c r="AQ48" s="583">
        <v>8.8529963238008047E-2</v>
      </c>
      <c r="AR48" s="583">
        <v>7.8329617763867002E-2</v>
      </c>
      <c r="AS48" s="582">
        <v>1</v>
      </c>
      <c r="AT48" s="587">
        <v>0.23023162811685111</v>
      </c>
      <c r="AU48" s="587">
        <v>1.2372994762441018E-2</v>
      </c>
      <c r="AV48" s="587">
        <v>0.75739537712070792</v>
      </c>
      <c r="AW48" s="582">
        <v>1</v>
      </c>
      <c r="AX48" s="583">
        <v>0.1375379546482331</v>
      </c>
      <c r="AY48" s="583">
        <v>1.0200917371923251E-2</v>
      </c>
      <c r="AZ48" s="583">
        <v>0.85226112797984355</v>
      </c>
      <c r="BA48" s="582">
        <v>0.99999999999999989</v>
      </c>
    </row>
    <row r="49" spans="1:55" s="577" customFormat="1">
      <c r="A49" s="586">
        <v>2011</v>
      </c>
      <c r="B49" s="583">
        <v>0.51304008716217542</v>
      </c>
      <c r="C49" s="583">
        <v>0.14451094158048536</v>
      </c>
      <c r="D49" s="583">
        <v>0.11047061886457264</v>
      </c>
      <c r="E49" s="583">
        <v>0.23197835239276651</v>
      </c>
      <c r="F49" s="585">
        <v>1</v>
      </c>
      <c r="G49" s="583">
        <v>0.55987165546076922</v>
      </c>
      <c r="H49" s="583">
        <v>6.1847875474144755E-2</v>
      </c>
      <c r="I49" s="583">
        <v>6.1847875474144755E-2</v>
      </c>
      <c r="J49" s="583">
        <v>0.31643259359094128</v>
      </c>
      <c r="K49" s="585">
        <v>1</v>
      </c>
      <c r="L49" s="583">
        <v>0.3885974036316111</v>
      </c>
      <c r="M49" s="583">
        <v>7.5723046373211617E-2</v>
      </c>
      <c r="N49" s="583">
        <v>0.53567954999517731</v>
      </c>
      <c r="O49" s="582">
        <v>1</v>
      </c>
      <c r="P49" s="583">
        <v>0.42043394256103239</v>
      </c>
      <c r="Q49" s="583">
        <v>0.57956605743896761</v>
      </c>
      <c r="R49" s="582">
        <v>1</v>
      </c>
      <c r="S49" s="583">
        <v>0.1824456717826316</v>
      </c>
      <c r="T49" s="583">
        <v>0.18142918597874053</v>
      </c>
      <c r="U49" s="583">
        <v>0.63612514223862782</v>
      </c>
      <c r="V49" s="582">
        <v>1</v>
      </c>
      <c r="W49" s="583">
        <v>7.6003300208110133E-3</v>
      </c>
      <c r="X49" s="583">
        <v>0.99239966997918905</v>
      </c>
      <c r="Y49" s="582">
        <v>1</v>
      </c>
      <c r="Z49" s="583">
        <v>0.14000000000000001</v>
      </c>
      <c r="AA49" s="583">
        <v>0.86</v>
      </c>
      <c r="AB49" s="582">
        <v>1</v>
      </c>
      <c r="AC49" s="583">
        <v>0.6539875789510724</v>
      </c>
      <c r="AD49" s="583">
        <v>0.34601242104892765</v>
      </c>
      <c r="AE49" s="583">
        <v>0</v>
      </c>
      <c r="AF49" s="582">
        <v>1</v>
      </c>
      <c r="AG49" s="583">
        <v>0</v>
      </c>
      <c r="AH49" s="583">
        <v>1</v>
      </c>
      <c r="AI49" s="584">
        <v>1</v>
      </c>
      <c r="AJ49" s="583">
        <v>0.55117684147901869</v>
      </c>
      <c r="AK49" s="583">
        <v>0.15142983001732135</v>
      </c>
      <c r="AL49" s="583">
        <v>7.9298278823969781E-2</v>
      </c>
      <c r="AM49" s="583">
        <v>0.21809504967969023</v>
      </c>
      <c r="AN49" s="582">
        <v>1</v>
      </c>
      <c r="AO49" s="583">
        <v>0.68762955882792198</v>
      </c>
      <c r="AP49" s="583">
        <v>0.14336748409450698</v>
      </c>
      <c r="AQ49" s="583">
        <v>7.7730816332626407E-2</v>
      </c>
      <c r="AR49" s="583">
        <v>9.1272140744944663E-2</v>
      </c>
      <c r="AS49" s="582">
        <v>1</v>
      </c>
      <c r="AT49" s="583">
        <v>0.20241421105966978</v>
      </c>
      <c r="AU49" s="583">
        <v>1.2336519164663103E-2</v>
      </c>
      <c r="AV49" s="583">
        <v>0.78524926977566711</v>
      </c>
      <c r="AW49" s="582">
        <v>1</v>
      </c>
      <c r="AX49" s="583">
        <v>0.18211336645063655</v>
      </c>
      <c r="AY49" s="583">
        <v>1.5843668783103594E-2</v>
      </c>
      <c r="AZ49" s="583">
        <v>0.8020429647662598</v>
      </c>
      <c r="BA49" s="582">
        <v>1</v>
      </c>
    </row>
    <row r="50" spans="1:55" s="577" customFormat="1">
      <c r="A50" s="580">
        <v>2012</v>
      </c>
      <c r="B50" s="577">
        <v>0.5220555904039843</v>
      </c>
      <c r="C50" s="577">
        <v>0.14605250903612085</v>
      </c>
      <c r="D50" s="577">
        <v>9.7645883515836668E-2</v>
      </c>
      <c r="E50" s="577">
        <v>0.23424601704405815</v>
      </c>
      <c r="F50" s="579">
        <v>1</v>
      </c>
      <c r="G50" s="577">
        <v>0.57772261431780136</v>
      </c>
      <c r="H50" s="577">
        <v>6.222433849152547E-2</v>
      </c>
      <c r="I50" s="577">
        <v>5.5704973566699179E-2</v>
      </c>
      <c r="J50" s="577">
        <v>0.30434807362397404</v>
      </c>
      <c r="K50" s="579">
        <v>1</v>
      </c>
      <c r="L50" s="577">
        <v>0.47905421021204114</v>
      </c>
      <c r="M50" s="577">
        <v>9.0862159106420357E-2</v>
      </c>
      <c r="N50" s="577">
        <v>0.43008363068153854</v>
      </c>
      <c r="O50" s="576">
        <v>1</v>
      </c>
      <c r="P50" s="577">
        <v>0.52693242835562215</v>
      </c>
      <c r="Q50" s="577">
        <v>0.4730675716443779</v>
      </c>
      <c r="R50" s="576">
        <v>1</v>
      </c>
      <c r="S50" s="577">
        <v>0.18362307319633042</v>
      </c>
      <c r="T50" s="577">
        <v>0.20552325581395348</v>
      </c>
      <c r="U50" s="577">
        <v>0.6108536709897161</v>
      </c>
      <c r="V50" s="576">
        <v>1</v>
      </c>
      <c r="W50" s="577">
        <v>6.7650517944486442E-3</v>
      </c>
      <c r="X50" s="577">
        <v>0.99323494820555136</v>
      </c>
      <c r="Y50" s="576">
        <v>1</v>
      </c>
      <c r="Z50" s="577">
        <v>0.14000000000000001</v>
      </c>
      <c r="AA50" s="577">
        <v>0.86</v>
      </c>
      <c r="AB50" s="576">
        <v>1</v>
      </c>
      <c r="AC50" s="577">
        <v>0.73881729440808097</v>
      </c>
      <c r="AD50" s="577">
        <v>0.26118270559191903</v>
      </c>
      <c r="AE50" s="577">
        <v>0</v>
      </c>
      <c r="AF50" s="576">
        <v>1</v>
      </c>
      <c r="AG50" s="581">
        <v>0</v>
      </c>
      <c r="AH50" s="581">
        <v>1</v>
      </c>
      <c r="AI50" s="578">
        <v>1</v>
      </c>
      <c r="AJ50" s="577">
        <v>0.55284660292928256</v>
      </c>
      <c r="AK50" s="577">
        <v>0.15933036896811131</v>
      </c>
      <c r="AL50" s="577">
        <v>7.6054969079010104E-2</v>
      </c>
      <c r="AM50" s="577">
        <v>0.21176805902359599</v>
      </c>
      <c r="AN50" s="576">
        <v>0.99999999999999989</v>
      </c>
      <c r="AO50" s="577">
        <v>0.55088939861159647</v>
      </c>
      <c r="AP50" s="577">
        <v>0.14169919946529752</v>
      </c>
      <c r="AQ50" s="577">
        <v>7.5587489176831585E-2</v>
      </c>
      <c r="AR50" s="577">
        <v>0.23182391274627451</v>
      </c>
      <c r="AS50" s="576">
        <v>1</v>
      </c>
      <c r="AT50" s="577">
        <v>0.20241421105966978</v>
      </c>
      <c r="AU50" s="577">
        <v>1.2336519164663103E-2</v>
      </c>
      <c r="AV50" s="577">
        <v>0.78524926977566711</v>
      </c>
      <c r="AW50" s="576">
        <v>1</v>
      </c>
      <c r="AX50" s="577">
        <v>0.18211336645063655</v>
      </c>
      <c r="AY50" s="577">
        <v>1.5843668783103594E-2</v>
      </c>
      <c r="AZ50" s="577">
        <v>0.8020429647662598</v>
      </c>
      <c r="BA50" s="576">
        <v>1</v>
      </c>
    </row>
    <row r="51" spans="1:55" s="577" customFormat="1">
      <c r="A51" s="580">
        <v>2013</v>
      </c>
      <c r="B51" s="577">
        <v>0.53597724505035815</v>
      </c>
      <c r="C51" s="577">
        <v>0.14884921498583223</v>
      </c>
      <c r="D51" s="577">
        <v>9.2170880414454009E-2</v>
      </c>
      <c r="E51" s="577">
        <v>0.22300265954935564</v>
      </c>
      <c r="F51" s="579">
        <v>1</v>
      </c>
      <c r="G51" s="577">
        <v>0.56472451191901163</v>
      </c>
      <c r="H51" s="577">
        <v>5.9303752536958021E-2</v>
      </c>
      <c r="I51" s="577">
        <v>5.7483814351249093E-2</v>
      </c>
      <c r="J51" s="577">
        <v>0.31848792119278135</v>
      </c>
      <c r="K51" s="579">
        <v>1</v>
      </c>
      <c r="L51" s="577">
        <v>0.49509582224930399</v>
      </c>
      <c r="M51" s="577">
        <v>8.0033550463701558E-2</v>
      </c>
      <c r="N51" s="577">
        <v>0.42487062728699454</v>
      </c>
      <c r="O51" s="576">
        <v>1</v>
      </c>
      <c r="P51" s="577">
        <v>0.53816725870693749</v>
      </c>
      <c r="Q51" s="577">
        <v>0.46183274129306245</v>
      </c>
      <c r="R51" s="576">
        <v>1</v>
      </c>
      <c r="S51" s="577">
        <v>0.19852192174514091</v>
      </c>
      <c r="T51" s="577">
        <v>0.22675204963438955</v>
      </c>
      <c r="U51" s="577">
        <v>0.57472602862046951</v>
      </c>
      <c r="V51" s="576">
        <v>1</v>
      </c>
      <c r="W51" s="577">
        <v>8.6194847066282613E-3</v>
      </c>
      <c r="X51" s="577">
        <v>0.99138051529337168</v>
      </c>
      <c r="Y51" s="576">
        <v>0.99999999999999989</v>
      </c>
      <c r="Z51" s="577">
        <v>0.14000000000000001</v>
      </c>
      <c r="AA51" s="577">
        <v>0.86</v>
      </c>
      <c r="AB51" s="576">
        <v>1</v>
      </c>
      <c r="AC51" s="577">
        <v>0.72382784852845361</v>
      </c>
      <c r="AD51" s="577">
        <v>0.27617215147154633</v>
      </c>
      <c r="AE51" s="577">
        <v>0</v>
      </c>
      <c r="AF51" s="576">
        <v>1</v>
      </c>
      <c r="AG51" s="577">
        <v>0</v>
      </c>
      <c r="AH51" s="577">
        <v>1</v>
      </c>
      <c r="AI51" s="578">
        <v>1</v>
      </c>
      <c r="AJ51" s="577">
        <v>0.55755569885210732</v>
      </c>
      <c r="AK51" s="577">
        <v>0.15299018337753534</v>
      </c>
      <c r="AL51" s="577">
        <v>8.314172675902988E-2</v>
      </c>
      <c r="AM51" s="577">
        <v>0.20631239101132751</v>
      </c>
      <c r="AN51" s="576">
        <v>1</v>
      </c>
      <c r="AO51" s="577">
        <v>0.56719354645815478</v>
      </c>
      <c r="AP51" s="577">
        <v>0.13942856654716718</v>
      </c>
      <c r="AQ51" s="577">
        <v>0.11107187908436245</v>
      </c>
      <c r="AR51" s="577">
        <v>0.18230600791031562</v>
      </c>
      <c r="AS51" s="576">
        <v>1</v>
      </c>
      <c r="AT51" s="577">
        <v>0.20241421105966978</v>
      </c>
      <c r="AU51" s="577">
        <v>1.2336519164663103E-2</v>
      </c>
      <c r="AV51" s="577">
        <v>0.78524926977566711</v>
      </c>
      <c r="AW51" s="576">
        <v>1</v>
      </c>
      <c r="AX51" s="577">
        <v>0.18211336645063655</v>
      </c>
      <c r="AY51" s="577">
        <v>1.5843668783103594E-2</v>
      </c>
      <c r="AZ51" s="577">
        <v>0.8020429647662598</v>
      </c>
      <c r="BA51" s="576">
        <v>1</v>
      </c>
    </row>
    <row r="52" spans="1:55" s="577" customFormat="1">
      <c r="A52" s="580">
        <v>2014</v>
      </c>
      <c r="B52" s="577">
        <v>0.53813809334116114</v>
      </c>
      <c r="C52" s="577">
        <v>0.14867935211073441</v>
      </c>
      <c r="D52" s="577">
        <v>9.0384021601593478E-2</v>
      </c>
      <c r="E52" s="577">
        <v>0.22279853294651095</v>
      </c>
      <c r="F52" s="579">
        <v>1</v>
      </c>
      <c r="G52" s="577">
        <v>0.55290293980750549</v>
      </c>
      <c r="H52" s="577">
        <v>5.6610768554532294E-2</v>
      </c>
      <c r="I52" s="577">
        <v>5.6963714623001045E-2</v>
      </c>
      <c r="J52" s="577">
        <v>0.33352257701496113</v>
      </c>
      <c r="K52" s="579">
        <v>1</v>
      </c>
      <c r="L52" s="577">
        <v>0.49044284340922994</v>
      </c>
      <c r="M52" s="577">
        <v>8.6811680666738347E-2</v>
      </c>
      <c r="N52" s="577">
        <v>0.42274547592403183</v>
      </c>
      <c r="O52" s="576">
        <v>1.0000000000000002</v>
      </c>
      <c r="P52" s="577">
        <v>0.53706648784920141</v>
      </c>
      <c r="Q52" s="577">
        <v>0.46293351215079853</v>
      </c>
      <c r="R52" s="576">
        <v>1</v>
      </c>
      <c r="S52" s="577">
        <v>0.18830035880705376</v>
      </c>
      <c r="T52" s="577">
        <v>0.22762060178721025</v>
      </c>
      <c r="U52" s="577">
        <v>0.58407903940573591</v>
      </c>
      <c r="V52" s="576">
        <v>0.99999999999999989</v>
      </c>
      <c r="W52" s="577">
        <v>1.0724473969142605E-2</v>
      </c>
      <c r="X52" s="577">
        <v>0.98927552603085744</v>
      </c>
      <c r="Y52" s="576">
        <v>1</v>
      </c>
      <c r="Z52" s="577">
        <v>0.14000000000000001</v>
      </c>
      <c r="AA52" s="577">
        <v>0.86</v>
      </c>
      <c r="AB52" s="576">
        <v>1</v>
      </c>
      <c r="AC52" s="577">
        <v>0.81793875590090659</v>
      </c>
      <c r="AD52" s="577">
        <v>0.18206124409909347</v>
      </c>
      <c r="AE52" s="577">
        <v>0</v>
      </c>
      <c r="AF52" s="576">
        <v>1</v>
      </c>
      <c r="AG52" s="577">
        <v>0</v>
      </c>
      <c r="AH52" s="577">
        <v>1</v>
      </c>
      <c r="AI52" s="578">
        <v>1</v>
      </c>
      <c r="AJ52" s="577">
        <v>0.56901963993768234</v>
      </c>
      <c r="AK52" s="577">
        <v>0.15547557591042294</v>
      </c>
      <c r="AL52" s="577">
        <v>7.7578841606707832E-2</v>
      </c>
      <c r="AM52" s="577">
        <v>0.19792594254518689</v>
      </c>
      <c r="AN52" s="576">
        <v>1</v>
      </c>
      <c r="AO52" s="577">
        <v>0.59792652245273492</v>
      </c>
      <c r="AP52" s="577">
        <v>0.13939749319915268</v>
      </c>
      <c r="AQ52" s="577">
        <v>5.2227383988050949E-2</v>
      </c>
      <c r="AR52" s="577">
        <v>0.21044860036006152</v>
      </c>
      <c r="AS52" s="576">
        <v>1</v>
      </c>
      <c r="AT52" s="577">
        <v>0.24582573604352484</v>
      </c>
      <c r="AU52" s="577">
        <v>1.9793026589961096E-2</v>
      </c>
      <c r="AV52" s="577">
        <v>0.73438123736651406</v>
      </c>
      <c r="AW52" s="576">
        <v>1</v>
      </c>
      <c r="AX52" s="577">
        <v>7.7410820366884833E-2</v>
      </c>
      <c r="AY52" s="577">
        <v>8.937356845100785E-3</v>
      </c>
      <c r="AZ52" s="577">
        <v>0.91365182278801438</v>
      </c>
      <c r="BA52" s="576">
        <v>1</v>
      </c>
    </row>
    <row r="53" spans="1:55" s="577" customFormat="1">
      <c r="A53" s="580">
        <v>2015</v>
      </c>
      <c r="B53" s="577">
        <v>0.53652669452492496</v>
      </c>
      <c r="C53" s="577">
        <v>0.14758185170393609</v>
      </c>
      <c r="D53" s="577">
        <v>8.8467091884486482E-2</v>
      </c>
      <c r="E53" s="577">
        <v>0.22742436188665241</v>
      </c>
      <c r="F53" s="579">
        <v>0.99999999999999989</v>
      </c>
      <c r="G53" s="577">
        <v>0.53686031735156936</v>
      </c>
      <c r="H53" s="577">
        <v>5.3593987586187254E-2</v>
      </c>
      <c r="I53" s="577">
        <v>6.0063656465119679E-2</v>
      </c>
      <c r="J53" s="577">
        <v>0.34948203859712368</v>
      </c>
      <c r="K53" s="579">
        <v>1</v>
      </c>
      <c r="L53" s="577">
        <v>0.53006861621035173</v>
      </c>
      <c r="M53" s="577">
        <v>8.5788127615364029E-2</v>
      </c>
      <c r="N53" s="577">
        <v>0.3841432561742843</v>
      </c>
      <c r="O53" s="576">
        <v>1</v>
      </c>
      <c r="P53" s="577">
        <v>0.57980937704048563</v>
      </c>
      <c r="Q53" s="577">
        <v>0.42019062295951443</v>
      </c>
      <c r="R53" s="576">
        <v>1</v>
      </c>
      <c r="S53" s="577">
        <v>0.21785270826631778</v>
      </c>
      <c r="T53" s="577">
        <v>0.19954338497623728</v>
      </c>
      <c r="U53" s="577">
        <v>0.582603906757445</v>
      </c>
      <c r="V53" s="576">
        <v>1</v>
      </c>
      <c r="W53" s="577">
        <v>9.1644627245752366E-3</v>
      </c>
      <c r="X53" s="577">
        <v>0.99083553727542484</v>
      </c>
      <c r="Y53" s="576">
        <v>1</v>
      </c>
      <c r="Z53" s="577">
        <v>0.14000000000000001</v>
      </c>
      <c r="AA53" s="577">
        <v>0.86</v>
      </c>
      <c r="AB53" s="576">
        <v>1</v>
      </c>
      <c r="AC53" s="577">
        <v>1</v>
      </c>
      <c r="AD53" s="577">
        <v>0</v>
      </c>
      <c r="AE53" s="577">
        <v>0</v>
      </c>
      <c r="AF53" s="576">
        <v>1</v>
      </c>
      <c r="AG53" s="577">
        <v>0</v>
      </c>
      <c r="AH53" s="577">
        <v>1</v>
      </c>
      <c r="AI53" s="578">
        <v>1</v>
      </c>
      <c r="AJ53" s="577">
        <v>0.56523964796632087</v>
      </c>
      <c r="AK53" s="577">
        <v>0.15553963751212119</v>
      </c>
      <c r="AL53" s="577">
        <v>8.0306188487688113E-2</v>
      </c>
      <c r="AM53" s="577">
        <v>0.1989145260338698</v>
      </c>
      <c r="AN53" s="576">
        <v>1</v>
      </c>
      <c r="AO53" s="577">
        <v>0.61197201347499353</v>
      </c>
      <c r="AP53" s="577">
        <v>0.13397253174397514</v>
      </c>
      <c r="AQ53" s="577">
        <v>5.2330770781146528E-2</v>
      </c>
      <c r="AR53" s="577">
        <v>0.2017246839998848</v>
      </c>
      <c r="AS53" s="576">
        <v>1</v>
      </c>
      <c r="AT53" s="577">
        <v>0.31098030637749102</v>
      </c>
      <c r="AU53" s="577">
        <v>1.4669746268073913E-2</v>
      </c>
      <c r="AV53" s="577">
        <v>0.67434994735443499</v>
      </c>
      <c r="AW53" s="576">
        <v>1</v>
      </c>
      <c r="AX53" s="577">
        <v>8.7466299546836462E-2</v>
      </c>
      <c r="AY53" s="577">
        <v>1.9036692862196218E-2</v>
      </c>
      <c r="AZ53" s="577">
        <v>0.89349700759096728</v>
      </c>
      <c r="BA53" s="576">
        <v>1</v>
      </c>
    </row>
    <row r="54" spans="1:55" s="577" customFormat="1">
      <c r="A54" s="580">
        <v>2016</v>
      </c>
      <c r="B54" s="577">
        <v>0.54444363291377218</v>
      </c>
      <c r="C54" s="577">
        <v>0.1489537028920026</v>
      </c>
      <c r="D54" s="577">
        <v>9.2332384464435951E-2</v>
      </c>
      <c r="E54" s="577">
        <v>0.21427027972978926</v>
      </c>
      <c r="F54" s="579">
        <v>1</v>
      </c>
      <c r="G54" s="577">
        <v>0.54650421457896781</v>
      </c>
      <c r="H54" s="577">
        <v>5.3192805775854446E-2</v>
      </c>
      <c r="I54" s="577">
        <v>6.099887494655596E-2</v>
      </c>
      <c r="J54" s="577">
        <v>0.33930410469862177</v>
      </c>
      <c r="K54" s="579">
        <v>1</v>
      </c>
      <c r="L54" s="577">
        <v>0.55251064716170828</v>
      </c>
      <c r="M54" s="577">
        <v>5.8116702503223094E-2</v>
      </c>
      <c r="N54" s="577">
        <v>0.38937265033506852</v>
      </c>
      <c r="O54" s="576">
        <v>0.99999999999999989</v>
      </c>
      <c r="P54" s="577">
        <v>0.58660202238441228</v>
      </c>
      <c r="Q54" s="577">
        <v>0.41339797761558772</v>
      </c>
      <c r="R54" s="576">
        <v>1</v>
      </c>
      <c r="S54" s="577">
        <v>0.2448088500415368</v>
      </c>
      <c r="T54" s="577">
        <v>0.17829320863862994</v>
      </c>
      <c r="U54" s="577">
        <v>0.57689794131983341</v>
      </c>
      <c r="V54" s="576">
        <v>1</v>
      </c>
      <c r="W54" s="577">
        <v>8.2242644981822023E-3</v>
      </c>
      <c r="X54" s="577">
        <v>0.99177573550181775</v>
      </c>
      <c r="Y54" s="576">
        <v>1</v>
      </c>
      <c r="Z54" s="577">
        <v>0.14000000000000001</v>
      </c>
      <c r="AA54" s="577">
        <v>0.86</v>
      </c>
      <c r="AB54" s="576">
        <v>1</v>
      </c>
      <c r="AC54" s="577">
        <v>0.97111775125695565</v>
      </c>
      <c r="AD54" s="577">
        <v>2.8882248743044243E-2</v>
      </c>
      <c r="AE54" s="577">
        <v>0</v>
      </c>
      <c r="AF54" s="576">
        <v>0.99999999999999989</v>
      </c>
      <c r="AG54" s="577">
        <v>0</v>
      </c>
      <c r="AH54" s="577">
        <v>1</v>
      </c>
      <c r="AI54" s="578">
        <v>1</v>
      </c>
      <c r="AJ54" s="577">
        <v>0.56592304020448703</v>
      </c>
      <c r="AK54" s="577">
        <v>0.15297160586976272</v>
      </c>
      <c r="AL54" s="577">
        <v>7.6313613476433173E-2</v>
      </c>
      <c r="AM54" s="577">
        <v>0.20479174044931714</v>
      </c>
      <c r="AN54" s="576">
        <v>1</v>
      </c>
      <c r="AO54" s="577">
        <v>0.60287955074135047</v>
      </c>
      <c r="AP54" s="577">
        <v>0.13351816329826569</v>
      </c>
      <c r="AQ54" s="577">
        <v>5.0191677268181009E-2</v>
      </c>
      <c r="AR54" s="577">
        <v>0.21341060869220282</v>
      </c>
      <c r="AS54" s="576">
        <v>1</v>
      </c>
      <c r="AT54" s="577">
        <v>0.3261166537354645</v>
      </c>
      <c r="AU54" s="577">
        <v>9.9327291647015089E-3</v>
      </c>
      <c r="AV54" s="577">
        <v>0.66395061709983394</v>
      </c>
      <c r="AW54" s="576">
        <v>1</v>
      </c>
      <c r="AX54" s="577">
        <v>8.879049905124084E-2</v>
      </c>
      <c r="AY54" s="577">
        <v>1.5663365325308494E-2</v>
      </c>
      <c r="AZ54" s="577">
        <v>0.89554613562345065</v>
      </c>
      <c r="BA54" s="576">
        <v>1</v>
      </c>
    </row>
    <row r="55" spans="1:55" s="577" customFormat="1">
      <c r="A55" s="580">
        <v>2017</v>
      </c>
      <c r="B55" s="577">
        <v>0.54523705560694824</v>
      </c>
      <c r="C55" s="577">
        <v>0.14817444917959668</v>
      </c>
      <c r="D55" s="577">
        <v>8.7445274265074632E-2</v>
      </c>
      <c r="E55" s="577">
        <v>0.21914322094838046</v>
      </c>
      <c r="F55" s="579">
        <v>1</v>
      </c>
      <c r="G55" s="577">
        <v>0.55139125130412459</v>
      </c>
      <c r="H55" s="577">
        <v>5.232676305292313E-2</v>
      </c>
      <c r="I55" s="577">
        <v>5.8571680675393256E-2</v>
      </c>
      <c r="J55" s="577">
        <v>0.33771030496755911</v>
      </c>
      <c r="K55" s="579">
        <v>1.0000000000000002</v>
      </c>
      <c r="L55" s="577">
        <v>0.68329468024334206</v>
      </c>
      <c r="M55" s="577">
        <v>6.9485031142530809E-2</v>
      </c>
      <c r="N55" s="577">
        <v>0.24722028861412707</v>
      </c>
      <c r="O55" s="576">
        <v>0.99999999999999989</v>
      </c>
      <c r="P55" s="577">
        <v>0.73431884828497063</v>
      </c>
      <c r="Q55" s="577">
        <v>0.26568115171502937</v>
      </c>
      <c r="R55" s="576">
        <v>1</v>
      </c>
      <c r="S55" s="577">
        <v>0.27187736527904571</v>
      </c>
      <c r="T55" s="577">
        <v>0.16231715667918384</v>
      </c>
      <c r="U55" s="577">
        <v>0.5658054780417705</v>
      </c>
      <c r="V55" s="576">
        <v>1</v>
      </c>
      <c r="W55" s="577">
        <v>8.5911701475511072E-3</v>
      </c>
      <c r="X55" s="577">
        <v>0.99140882985244883</v>
      </c>
      <c r="Y55" s="576">
        <v>0.99999999999999989</v>
      </c>
      <c r="Z55" s="577">
        <v>0.14000000000000001</v>
      </c>
      <c r="AA55" s="577">
        <v>0.86</v>
      </c>
      <c r="AB55" s="576">
        <v>1</v>
      </c>
      <c r="AC55" s="577">
        <v>0.72985956282897002</v>
      </c>
      <c r="AD55" s="577">
        <v>0.27014043717102998</v>
      </c>
      <c r="AE55" s="577">
        <v>0</v>
      </c>
      <c r="AF55" s="576">
        <v>1</v>
      </c>
      <c r="AG55" s="581">
        <v>0</v>
      </c>
      <c r="AH55" s="581">
        <v>1</v>
      </c>
      <c r="AI55" s="578">
        <v>1</v>
      </c>
      <c r="AJ55" s="577">
        <v>0.57728464518271949</v>
      </c>
      <c r="AK55" s="577">
        <v>0.14644350778699694</v>
      </c>
      <c r="AL55" s="577">
        <v>7.1933923610666695E-2</v>
      </c>
      <c r="AM55" s="577">
        <v>0.20433792341961685</v>
      </c>
      <c r="AN55" s="576">
        <v>0.99999999999999989</v>
      </c>
      <c r="AO55" s="577">
        <v>0.60024027006892666</v>
      </c>
      <c r="AP55" s="577">
        <v>0.13429217645756011</v>
      </c>
      <c r="AQ55" s="577">
        <v>6.1443365391714036E-2</v>
      </c>
      <c r="AR55" s="577">
        <v>0.20402418808179923</v>
      </c>
      <c r="AS55" s="576">
        <v>1</v>
      </c>
      <c r="AT55" s="577">
        <v>0.41268871827597869</v>
      </c>
      <c r="AU55" s="577">
        <v>6.0669569772465095E-3</v>
      </c>
      <c r="AV55" s="577">
        <v>0.58124432474677479</v>
      </c>
      <c r="AW55" s="576">
        <v>1</v>
      </c>
      <c r="AX55" s="577">
        <v>9.1024086435618434E-2</v>
      </c>
      <c r="AY55" s="577">
        <v>1.5936768574432686E-2</v>
      </c>
      <c r="AZ55" s="577">
        <v>0.89303914498994896</v>
      </c>
      <c r="BA55" s="576">
        <v>1</v>
      </c>
    </row>
    <row r="56" spans="1:55">
      <c r="A56" s="580">
        <v>2018</v>
      </c>
      <c r="B56" s="577">
        <v>0.53914248915671503</v>
      </c>
      <c r="C56" s="577">
        <v>0.14549268148108119</v>
      </c>
      <c r="D56" s="577">
        <v>8.6338501531450146E-2</v>
      </c>
      <c r="E56" s="577">
        <v>0.22902632783075361</v>
      </c>
      <c r="F56" s="579">
        <v>1</v>
      </c>
      <c r="G56" s="577">
        <v>0.5567709766022414</v>
      </c>
      <c r="H56" s="577">
        <v>5.1516363972117958E-2</v>
      </c>
      <c r="I56" s="577">
        <v>5.901498882545253E-2</v>
      </c>
      <c r="J56" s="577">
        <v>0.33269767060018812</v>
      </c>
      <c r="K56" s="579">
        <v>1</v>
      </c>
      <c r="L56" s="577">
        <v>0.64770767989326594</v>
      </c>
      <c r="M56" s="577">
        <v>6.9485031142530809E-2</v>
      </c>
      <c r="N56" s="577">
        <v>0.28280728896420332</v>
      </c>
      <c r="O56" s="576">
        <v>1</v>
      </c>
      <c r="P56" s="577">
        <v>0.69607443358869592</v>
      </c>
      <c r="Q56" s="577">
        <v>0.30392556641130414</v>
      </c>
      <c r="R56" s="576">
        <v>1</v>
      </c>
      <c r="S56" s="577">
        <v>0.27900522408883005</v>
      </c>
      <c r="T56" s="577">
        <v>0.16231715667918387</v>
      </c>
      <c r="U56" s="577">
        <v>0.55867761923198611</v>
      </c>
      <c r="V56" s="576">
        <v>1</v>
      </c>
      <c r="W56" s="577">
        <v>9.2906605384927114E-3</v>
      </c>
      <c r="X56" s="577">
        <v>0.9907093394615073</v>
      </c>
      <c r="Y56" s="576">
        <v>1</v>
      </c>
      <c r="Z56" s="577">
        <v>0.14000000000000001</v>
      </c>
      <c r="AA56" s="577">
        <v>0.86</v>
      </c>
      <c r="AB56" s="576">
        <v>1</v>
      </c>
      <c r="AC56" s="577">
        <v>0.75462192472118705</v>
      </c>
      <c r="AD56" s="577">
        <v>0.24537807527881303</v>
      </c>
      <c r="AE56" s="577">
        <v>0</v>
      </c>
      <c r="AF56" s="576">
        <v>1</v>
      </c>
      <c r="AG56" s="577">
        <v>0</v>
      </c>
      <c r="AH56" s="577">
        <v>1</v>
      </c>
      <c r="AI56" s="578">
        <v>1</v>
      </c>
      <c r="AJ56" s="577">
        <v>0.56045963080513805</v>
      </c>
      <c r="AK56" s="577">
        <v>0.14217539820781386</v>
      </c>
      <c r="AL56" s="577">
        <v>6.9837402753781225E-2</v>
      </c>
      <c r="AM56" s="577">
        <v>0.22752756823326675</v>
      </c>
      <c r="AN56" s="576">
        <v>1</v>
      </c>
      <c r="AO56" s="577">
        <v>0.59531866967359559</v>
      </c>
      <c r="AP56" s="577">
        <v>0.13319106335052466</v>
      </c>
      <c r="AQ56" s="577">
        <v>6.0939567651906265E-2</v>
      </c>
      <c r="AR56" s="577">
        <v>0.21055069932397352</v>
      </c>
      <c r="AS56" s="576">
        <v>1</v>
      </c>
      <c r="AT56" s="577">
        <v>0.36845410018722075</v>
      </c>
      <c r="AU56" s="577">
        <v>5.4166616990752332E-3</v>
      </c>
      <c r="AV56" s="577">
        <v>0.62612923811370413</v>
      </c>
      <c r="AW56" s="576">
        <v>1</v>
      </c>
      <c r="AX56" s="577">
        <v>8.5217522487695416E-2</v>
      </c>
      <c r="AY56" s="577">
        <v>1.4920138037677498E-2</v>
      </c>
      <c r="AZ56" s="577">
        <v>0.89986233947462713</v>
      </c>
      <c r="BA56" s="576">
        <v>1</v>
      </c>
    </row>
    <row r="57" spans="1:55">
      <c r="A57" s="580">
        <v>2019</v>
      </c>
      <c r="B57" s="577">
        <v>0.53953879567837193</v>
      </c>
      <c r="C57" s="577">
        <v>0.14458055851470919</v>
      </c>
      <c r="D57" s="577">
        <v>8.6273452552355925E-2</v>
      </c>
      <c r="E57" s="577">
        <v>0.22960719325456302</v>
      </c>
      <c r="F57" s="579">
        <v>1</v>
      </c>
      <c r="G57" s="577">
        <v>0.55425319752910951</v>
      </c>
      <c r="H57" s="577">
        <v>5.0001316322371363E-2</v>
      </c>
      <c r="I57" s="577">
        <v>5.8623730931180167E-2</v>
      </c>
      <c r="J57" s="577">
        <v>0.33712175521733906</v>
      </c>
      <c r="K57" s="579">
        <v>1</v>
      </c>
      <c r="L57" s="577">
        <v>0.65044166989814067</v>
      </c>
      <c r="M57" s="577">
        <v>6.9485031142530809E-2</v>
      </c>
      <c r="N57" s="577">
        <v>0.28007329895932848</v>
      </c>
      <c r="O57" s="576">
        <v>1</v>
      </c>
      <c r="P57" s="577">
        <v>0.69901258084733886</v>
      </c>
      <c r="Q57" s="577">
        <v>0.30098741915266108</v>
      </c>
      <c r="R57" s="576">
        <v>1</v>
      </c>
      <c r="S57" s="577">
        <v>0.27956376679841916</v>
      </c>
      <c r="T57" s="577">
        <v>0.16231715667918387</v>
      </c>
      <c r="U57" s="577">
        <v>0.55811907652239701</v>
      </c>
      <c r="V57" s="576">
        <v>1</v>
      </c>
      <c r="W57" s="577">
        <v>1.0204562963438128E-2</v>
      </c>
      <c r="X57" s="577">
        <v>0.98979543703656192</v>
      </c>
      <c r="Y57" s="576">
        <v>1</v>
      </c>
      <c r="Z57" s="577">
        <v>0.14000000000000001</v>
      </c>
      <c r="AA57" s="577">
        <v>0.86</v>
      </c>
      <c r="AB57" s="576">
        <v>1</v>
      </c>
      <c r="AC57" s="577">
        <v>0.75456293357565551</v>
      </c>
      <c r="AD57" s="577">
        <v>0.24543706642434449</v>
      </c>
      <c r="AE57" s="577">
        <v>0</v>
      </c>
      <c r="AF57" s="576">
        <v>1</v>
      </c>
      <c r="AG57" s="577">
        <v>0</v>
      </c>
      <c r="AH57" s="577">
        <v>1</v>
      </c>
      <c r="AI57" s="578">
        <v>1</v>
      </c>
      <c r="AJ57" s="577">
        <v>0.54964033673689427</v>
      </c>
      <c r="AK57" s="577">
        <v>0.13943079831527525</v>
      </c>
      <c r="AL57" s="577">
        <v>6.8489238932829322E-2</v>
      </c>
      <c r="AM57" s="577">
        <v>0.24243962601500113</v>
      </c>
      <c r="AN57" s="576">
        <v>1</v>
      </c>
      <c r="AO57" s="577">
        <v>0.58060930894435614</v>
      </c>
      <c r="AP57" s="577">
        <v>0.12990012776167773</v>
      </c>
      <c r="AQ57" s="577">
        <v>5.9433849573608387E-2</v>
      </c>
      <c r="AR57" s="577">
        <v>0.23005671372035771</v>
      </c>
      <c r="AS57" s="576">
        <v>1</v>
      </c>
      <c r="AT57" s="577">
        <v>0.37410075762000078</v>
      </c>
      <c r="AU57" s="577">
        <v>5.4996734854236458E-3</v>
      </c>
      <c r="AV57" s="577">
        <v>0.6203995688945757</v>
      </c>
      <c r="AW57" s="576">
        <v>1</v>
      </c>
      <c r="AX57" s="577">
        <v>8.8742871506449023E-2</v>
      </c>
      <c r="AY57" s="577">
        <v>1.5537366659858923E-2</v>
      </c>
      <c r="AZ57" s="577">
        <v>0.89571976183369206</v>
      </c>
      <c r="BA57" s="576">
        <v>1</v>
      </c>
    </row>
    <row r="58" spans="1:55">
      <c r="A58" s="580">
        <v>2020</v>
      </c>
      <c r="B58" s="577">
        <v>0.53535867201535947</v>
      </c>
      <c r="C58" s="577">
        <v>0.142363430497746</v>
      </c>
      <c r="D58" s="577">
        <v>8.5466702990462828E-2</v>
      </c>
      <c r="E58" s="577">
        <v>0.23681119449643165</v>
      </c>
      <c r="F58" s="575">
        <v>0.99999999999999989</v>
      </c>
      <c r="G58" s="577">
        <v>0.55375335384899071</v>
      </c>
      <c r="H58" s="577">
        <v>4.8707317910782373E-2</v>
      </c>
      <c r="I58" s="577">
        <v>5.8449695464821774E-2</v>
      </c>
      <c r="J58" s="577">
        <v>0.33908963277540516</v>
      </c>
      <c r="K58" s="575">
        <v>1</v>
      </c>
      <c r="L58" s="577">
        <v>0.64021631421168612</v>
      </c>
      <c r="M58" s="577">
        <v>6.9485031142530795E-2</v>
      </c>
      <c r="N58" s="577">
        <v>0.29029865464578314</v>
      </c>
      <c r="O58" s="572">
        <v>1</v>
      </c>
      <c r="P58" s="577">
        <v>0.68802365962771594</v>
      </c>
      <c r="Q58" s="577">
        <v>0.31197634037228406</v>
      </c>
      <c r="R58" s="572">
        <v>1</v>
      </c>
      <c r="S58" s="577">
        <v>0.27334098045753441</v>
      </c>
      <c r="T58" s="577">
        <v>0.16231715667918387</v>
      </c>
      <c r="U58" s="577">
        <v>0.5643418628632817</v>
      </c>
      <c r="V58" s="572">
        <v>1</v>
      </c>
      <c r="W58" s="577">
        <v>1.14479685285989E-2</v>
      </c>
      <c r="X58" s="577">
        <v>0.98855203147140114</v>
      </c>
      <c r="Y58" s="572">
        <v>1</v>
      </c>
      <c r="Z58" s="577">
        <v>0.14000000000000001</v>
      </c>
      <c r="AA58" s="577">
        <v>0.86</v>
      </c>
      <c r="AB58" s="572">
        <v>1</v>
      </c>
      <c r="AC58" s="577">
        <v>0.75705224958179629</v>
      </c>
      <c r="AD58" s="577">
        <v>0.24294775041820371</v>
      </c>
      <c r="AE58" s="577">
        <v>0</v>
      </c>
      <c r="AF58" s="572">
        <v>1</v>
      </c>
      <c r="AG58" s="577">
        <v>0</v>
      </c>
      <c r="AH58" s="577">
        <v>1</v>
      </c>
      <c r="AI58" s="574">
        <v>1</v>
      </c>
      <c r="AJ58" s="577">
        <v>0.53792271409684511</v>
      </c>
      <c r="AK58" s="577">
        <v>0.13645831363782468</v>
      </c>
      <c r="AL58" s="577">
        <v>6.7029136747673995E-2</v>
      </c>
      <c r="AM58" s="577">
        <v>0.25858983551765613</v>
      </c>
      <c r="AN58" s="573">
        <v>0.99999999999999989</v>
      </c>
      <c r="AO58" s="577">
        <v>0.56905869941729437</v>
      </c>
      <c r="AP58" s="577">
        <v>0.12731590179392913</v>
      </c>
      <c r="AQ58" s="577">
        <v>5.8251475852520371E-2</v>
      </c>
      <c r="AR58" s="577">
        <v>0.24537392293625618</v>
      </c>
      <c r="AS58" s="573">
        <v>1</v>
      </c>
      <c r="AT58" s="577">
        <v>0.37109164340991213</v>
      </c>
      <c r="AU58" s="577">
        <v>5.4554363506444476E-3</v>
      </c>
      <c r="AV58" s="577">
        <v>0.62345292023944354</v>
      </c>
      <c r="AW58" s="572">
        <v>1</v>
      </c>
      <c r="AX58" s="577">
        <v>8.7236687669878923E-2</v>
      </c>
      <c r="AY58" s="577">
        <v>1.5273659500864839E-2</v>
      </c>
      <c r="AZ58" s="577">
        <v>0.8974896528292563</v>
      </c>
      <c r="BA58" s="572">
        <v>1</v>
      </c>
    </row>
    <row r="59" spans="1:55">
      <c r="A59" s="580">
        <v>2021</v>
      </c>
      <c r="B59" s="577">
        <v>0.5331294130634463</v>
      </c>
      <c r="C59" s="577">
        <v>0.14051940694889553</v>
      </c>
      <c r="D59" s="577">
        <v>8.495302633096169E-2</v>
      </c>
      <c r="E59" s="577">
        <v>0.24139815365669653</v>
      </c>
      <c r="F59" s="573">
        <v>1</v>
      </c>
      <c r="G59" s="577">
        <v>0.55440305999262662</v>
      </c>
      <c r="H59" s="577">
        <v>4.7545353465447214E-2</v>
      </c>
      <c r="I59" s="577">
        <v>5.839999704775134E-2</v>
      </c>
      <c r="J59" s="577">
        <v>0.33965158949417479</v>
      </c>
      <c r="K59" s="573">
        <v>1</v>
      </c>
      <c r="L59" s="577">
        <v>0.63589952695915963</v>
      </c>
      <c r="M59" s="577">
        <v>6.9485031142530795E-2</v>
      </c>
      <c r="N59" s="577">
        <v>0.29461544189830952</v>
      </c>
      <c r="O59" s="573">
        <v>1</v>
      </c>
      <c r="P59" s="577">
        <v>0.68338452173418285</v>
      </c>
      <c r="Q59" s="577">
        <v>0.3166154782658171</v>
      </c>
      <c r="R59" s="573">
        <v>1</v>
      </c>
      <c r="S59" s="577">
        <v>0.28201784490129056</v>
      </c>
      <c r="T59" s="577">
        <v>0.16231715667918387</v>
      </c>
      <c r="U59" s="577">
        <v>0.55566499841952555</v>
      </c>
      <c r="V59" s="573">
        <v>1</v>
      </c>
      <c r="W59" s="577">
        <v>1.2412582395490829E-2</v>
      </c>
      <c r="X59" s="577">
        <v>0.98758741760450908</v>
      </c>
      <c r="Y59" s="573">
        <v>0.99999999999999989</v>
      </c>
      <c r="Z59" s="577">
        <v>0.14000000000000001</v>
      </c>
      <c r="AA59" s="577">
        <v>0.86</v>
      </c>
      <c r="AB59" s="573">
        <v>1</v>
      </c>
      <c r="AC59" s="577">
        <v>0.75614475041240381</v>
      </c>
      <c r="AD59" s="577">
        <v>0.24385524958759616</v>
      </c>
      <c r="AE59" s="577">
        <v>0</v>
      </c>
      <c r="AF59" s="573">
        <v>1</v>
      </c>
      <c r="AG59" s="577">
        <v>0</v>
      </c>
      <c r="AH59" s="577">
        <v>1</v>
      </c>
      <c r="AI59" s="573">
        <v>1</v>
      </c>
      <c r="AJ59" s="577">
        <v>0.52670503543641445</v>
      </c>
      <c r="AK59" s="577">
        <v>0.13361265296423988</v>
      </c>
      <c r="AL59" s="577">
        <v>6.5631331268900125E-2</v>
      </c>
      <c r="AM59" s="577">
        <v>0.27405098033044556</v>
      </c>
      <c r="AN59" s="573">
        <v>1</v>
      </c>
      <c r="AO59" s="577">
        <v>0.56113387249581204</v>
      </c>
      <c r="AP59" s="577">
        <v>0.12554287471060277</v>
      </c>
      <c r="AQ59" s="577">
        <v>5.7440253979408093E-2</v>
      </c>
      <c r="AR59" s="577">
        <v>0.25588299881417714</v>
      </c>
      <c r="AS59" s="573">
        <v>1</v>
      </c>
      <c r="AT59" s="564">
        <v>0.36645632989692439</v>
      </c>
      <c r="AU59" s="564">
        <v>5.3872923805916018E-3</v>
      </c>
      <c r="AV59" s="564">
        <v>0.62815637772248412</v>
      </c>
      <c r="AW59" s="572">
        <v>1</v>
      </c>
      <c r="AX59" s="564">
        <v>8.5016160407565849E-2</v>
      </c>
      <c r="AY59" s="564">
        <v>1.4884882964033215E-2</v>
      </c>
      <c r="AZ59" s="564">
        <v>0.900098956628401</v>
      </c>
      <c r="BA59" s="572">
        <v>1</v>
      </c>
    </row>
    <row r="60" spans="1:55">
      <c r="A60" s="566">
        <v>2022</v>
      </c>
      <c r="B60" s="564">
        <v>0.53104767943086117</v>
      </c>
      <c r="C60" s="564">
        <v>0.13869119135518487</v>
      </c>
      <c r="D60" s="564">
        <v>8.4459947430343782E-2</v>
      </c>
      <c r="E60" s="564">
        <v>0.24580118178361018</v>
      </c>
      <c r="F60" s="575">
        <v>1</v>
      </c>
      <c r="G60" s="564">
        <v>0.55496923145580834</v>
      </c>
      <c r="H60" s="564">
        <v>4.640406037000553E-2</v>
      </c>
      <c r="I60" s="564">
        <v>5.8344199738754182E-2</v>
      </c>
      <c r="J60" s="564">
        <v>0.34028250843543201</v>
      </c>
      <c r="K60" s="575">
        <v>1</v>
      </c>
      <c r="L60" s="564">
        <v>0.63912439331138771</v>
      </c>
      <c r="M60" s="564">
        <v>6.9485031142530795E-2</v>
      </c>
      <c r="N60" s="564">
        <v>0.29139057554608161</v>
      </c>
      <c r="O60" s="572">
        <v>1</v>
      </c>
      <c r="P60" s="564">
        <v>0.68685020091201232</v>
      </c>
      <c r="Q60" s="564">
        <v>0.31314979908798762</v>
      </c>
      <c r="R60" s="572">
        <v>1</v>
      </c>
      <c r="S60" s="564">
        <v>0.2822951876153651</v>
      </c>
      <c r="T60" s="564">
        <v>0.16231715667918389</v>
      </c>
      <c r="U60" s="564">
        <v>0.55538765570545101</v>
      </c>
      <c r="V60" s="572">
        <v>1</v>
      </c>
      <c r="W60" s="564">
        <v>1.2451905528962104E-2</v>
      </c>
      <c r="X60" s="564">
        <v>0.98754809447103786</v>
      </c>
      <c r="Y60" s="572">
        <v>1</v>
      </c>
      <c r="Z60" s="564">
        <v>0.14000000000000001</v>
      </c>
      <c r="AA60" s="564">
        <v>0.86</v>
      </c>
      <c r="AB60" s="572">
        <v>1</v>
      </c>
      <c r="AC60" s="564">
        <v>0.75614446247220723</v>
      </c>
      <c r="AD60" s="564">
        <v>0.24385553752779282</v>
      </c>
      <c r="AE60" s="564">
        <v>0</v>
      </c>
      <c r="AF60" s="572">
        <v>1</v>
      </c>
      <c r="AG60" s="564">
        <v>0</v>
      </c>
      <c r="AH60" s="564">
        <v>1</v>
      </c>
      <c r="AI60" s="574">
        <v>1</v>
      </c>
      <c r="AJ60" s="564">
        <v>0.51363553195264156</v>
      </c>
      <c r="AK60" s="564">
        <v>0.13029722798079471</v>
      </c>
      <c r="AL60" s="564">
        <v>6.4002774762025622E-2</v>
      </c>
      <c r="AM60" s="564">
        <v>0.29206446530453811</v>
      </c>
      <c r="AN60" s="573">
        <v>1</v>
      </c>
      <c r="AO60" s="564">
        <v>0.55013009700377058</v>
      </c>
      <c r="AP60" s="564">
        <v>0.12308099230490062</v>
      </c>
      <c r="AQ60" s="564">
        <v>5.631385671491225E-2</v>
      </c>
      <c r="AR60" s="564">
        <v>0.27047505397641652</v>
      </c>
      <c r="AS60" s="573">
        <v>1</v>
      </c>
      <c r="AT60" s="564">
        <v>0.35929223972001895</v>
      </c>
      <c r="AU60" s="564">
        <v>5.281972741455419E-3</v>
      </c>
      <c r="AV60" s="564">
        <v>0.63542578753852574</v>
      </c>
      <c r="AW60" s="572">
        <v>1</v>
      </c>
      <c r="AX60" s="564">
        <v>8.3348703382640457E-2</v>
      </c>
      <c r="AY60" s="564">
        <v>1.4592939614150284E-2</v>
      </c>
      <c r="AZ60" s="564">
        <v>0.90205835700320935</v>
      </c>
      <c r="BA60" s="572">
        <v>1</v>
      </c>
    </row>
    <row r="61" spans="1:55">
      <c r="A61" s="566">
        <v>2023</v>
      </c>
      <c r="B61" s="564">
        <v>0.53104767943086117</v>
      </c>
      <c r="C61" s="564">
        <v>0.13869119135518487</v>
      </c>
      <c r="D61" s="564">
        <v>8.4459947430343782E-2</v>
      </c>
      <c r="E61" s="564">
        <v>0.24580118178361018</v>
      </c>
      <c r="F61" s="575">
        <v>1</v>
      </c>
      <c r="G61" s="564">
        <v>0.55496923145580834</v>
      </c>
      <c r="H61" s="564">
        <v>4.640406037000553E-2</v>
      </c>
      <c r="I61" s="564">
        <v>5.8344199738754182E-2</v>
      </c>
      <c r="J61" s="564">
        <v>0.34028250843543201</v>
      </c>
      <c r="K61" s="575">
        <v>1</v>
      </c>
      <c r="L61" s="564">
        <v>0.63912439331138771</v>
      </c>
      <c r="M61" s="564">
        <v>6.9485031142530795E-2</v>
      </c>
      <c r="N61" s="564">
        <v>0.29139057554608161</v>
      </c>
      <c r="O61" s="572">
        <v>1</v>
      </c>
      <c r="P61" s="564">
        <v>0.68685020091201232</v>
      </c>
      <c r="Q61" s="564">
        <v>0.31314979908798762</v>
      </c>
      <c r="R61" s="572">
        <v>1</v>
      </c>
      <c r="S61" s="564">
        <v>0.2822951876153651</v>
      </c>
      <c r="T61" s="564">
        <v>0.16231715667918389</v>
      </c>
      <c r="U61" s="564">
        <v>0.55538765570545101</v>
      </c>
      <c r="V61" s="572">
        <v>1</v>
      </c>
      <c r="W61" s="564">
        <v>1.2451905528962104E-2</v>
      </c>
      <c r="X61" s="564">
        <v>0.98754809447103786</v>
      </c>
      <c r="Y61" s="572">
        <v>1</v>
      </c>
      <c r="Z61" s="564">
        <v>0.14000000000000001</v>
      </c>
      <c r="AA61" s="564">
        <v>0.86</v>
      </c>
      <c r="AB61" s="572">
        <v>1</v>
      </c>
      <c r="AC61" s="564">
        <v>0.75614446247220723</v>
      </c>
      <c r="AD61" s="564">
        <v>0.24385553752779282</v>
      </c>
      <c r="AE61" s="564">
        <v>0</v>
      </c>
      <c r="AF61" s="572">
        <v>1</v>
      </c>
      <c r="AG61" s="564">
        <v>0</v>
      </c>
      <c r="AH61" s="564">
        <v>1</v>
      </c>
      <c r="AI61" s="574">
        <v>1</v>
      </c>
      <c r="AJ61" s="564">
        <v>0.51363553195264156</v>
      </c>
      <c r="AK61" s="564">
        <v>0.13029722798079471</v>
      </c>
      <c r="AL61" s="564">
        <v>6.4002774762025622E-2</v>
      </c>
      <c r="AM61" s="564">
        <v>0.29206446530453811</v>
      </c>
      <c r="AN61" s="573">
        <v>1</v>
      </c>
      <c r="AO61" s="564">
        <v>0.55013009700377058</v>
      </c>
      <c r="AP61" s="564">
        <v>0.12308099230490062</v>
      </c>
      <c r="AQ61" s="564">
        <v>5.631385671491225E-2</v>
      </c>
      <c r="AR61" s="564">
        <v>0.27047505397641652</v>
      </c>
      <c r="AS61" s="573">
        <v>1</v>
      </c>
      <c r="AT61" s="564">
        <v>0.28125268419244331</v>
      </c>
      <c r="AU61" s="564">
        <v>2.0045864954172939E-2</v>
      </c>
      <c r="AV61" s="564">
        <v>0.69870145085338375</v>
      </c>
      <c r="AW61" s="572">
        <v>1</v>
      </c>
      <c r="AX61" s="564">
        <v>8.6134147557710455E-2</v>
      </c>
      <c r="AY61" s="564">
        <v>1.9240653936739065E-2</v>
      </c>
      <c r="AZ61" s="564">
        <v>0.89462519850555056</v>
      </c>
      <c r="BA61" s="572">
        <v>1</v>
      </c>
    </row>
    <row r="62" spans="1:55">
      <c r="A62" s="566">
        <v>2024</v>
      </c>
      <c r="B62" s="564">
        <v>0.53104767943086117</v>
      </c>
      <c r="C62" s="564">
        <v>0.13869119135518487</v>
      </c>
      <c r="D62" s="564">
        <v>8.4459947430343782E-2</v>
      </c>
      <c r="E62" s="564">
        <v>0.24580118178361018</v>
      </c>
      <c r="F62" s="575">
        <v>1</v>
      </c>
      <c r="G62" s="564">
        <v>0.55496923145580834</v>
      </c>
      <c r="H62" s="564">
        <v>4.640406037000553E-2</v>
      </c>
      <c r="I62" s="564">
        <v>5.8344199738754182E-2</v>
      </c>
      <c r="J62" s="564">
        <v>0.34028250843543201</v>
      </c>
      <c r="K62" s="575">
        <v>1</v>
      </c>
      <c r="L62" s="564">
        <v>0.63912439331138771</v>
      </c>
      <c r="M62" s="564">
        <v>6.9485031142530795E-2</v>
      </c>
      <c r="N62" s="564">
        <v>0.29139057554608161</v>
      </c>
      <c r="O62" s="572">
        <v>1</v>
      </c>
      <c r="P62" s="564">
        <v>0.68685020091201232</v>
      </c>
      <c r="Q62" s="564">
        <v>0.31314979908798762</v>
      </c>
      <c r="R62" s="572">
        <v>1</v>
      </c>
      <c r="S62" s="564">
        <v>0.2822951876153651</v>
      </c>
      <c r="T62" s="564">
        <v>0.16231715667918389</v>
      </c>
      <c r="U62" s="564">
        <v>0.55538765570545101</v>
      </c>
      <c r="V62" s="572">
        <v>1</v>
      </c>
      <c r="W62" s="564">
        <v>1.2451905528962104E-2</v>
      </c>
      <c r="X62" s="564">
        <v>0.98754809447103786</v>
      </c>
      <c r="Y62" s="572">
        <v>1</v>
      </c>
      <c r="Z62" s="564">
        <v>0.14000000000000001</v>
      </c>
      <c r="AA62" s="564">
        <v>0.86</v>
      </c>
      <c r="AB62" s="572">
        <v>1</v>
      </c>
      <c r="AC62" s="564">
        <v>0.75614446247220723</v>
      </c>
      <c r="AD62" s="564">
        <v>0.24385553752779282</v>
      </c>
      <c r="AE62" s="564">
        <v>0</v>
      </c>
      <c r="AF62" s="572">
        <v>1</v>
      </c>
      <c r="AG62" s="564">
        <v>0</v>
      </c>
      <c r="AH62" s="564">
        <v>1</v>
      </c>
      <c r="AI62" s="574">
        <v>1</v>
      </c>
      <c r="AJ62" s="564">
        <v>0.51363553195264156</v>
      </c>
      <c r="AK62" s="564">
        <v>0.13029722798079471</v>
      </c>
      <c r="AL62" s="564">
        <v>6.4002774762025622E-2</v>
      </c>
      <c r="AM62" s="564">
        <v>0.29206446530453811</v>
      </c>
      <c r="AN62" s="573">
        <v>1</v>
      </c>
      <c r="AO62" s="564">
        <v>0.55013009700377058</v>
      </c>
      <c r="AP62" s="564">
        <v>0.12308099230490062</v>
      </c>
      <c r="AQ62" s="564">
        <v>5.631385671491225E-2</v>
      </c>
      <c r="AR62" s="564">
        <v>0.27047505397641652</v>
      </c>
      <c r="AS62" s="573">
        <v>1</v>
      </c>
      <c r="AT62" s="564">
        <v>0.28120828318369478</v>
      </c>
      <c r="AU62" s="564">
        <v>2.0042700338596887E-2</v>
      </c>
      <c r="AV62" s="564">
        <v>0.69874901647770826</v>
      </c>
      <c r="AW62" s="572">
        <v>1</v>
      </c>
      <c r="AX62" s="564">
        <v>8.5805011883927279E-2</v>
      </c>
      <c r="AY62" s="564">
        <v>1.9167131579148487E-2</v>
      </c>
      <c r="AZ62" s="564">
        <v>0.89502785653692429</v>
      </c>
      <c r="BA62" s="572">
        <v>1</v>
      </c>
    </row>
    <row r="63" spans="1:55">
      <c r="F63" s="569"/>
      <c r="G63" s="571"/>
      <c r="H63" s="571"/>
      <c r="I63" s="571"/>
      <c r="J63" s="571"/>
      <c r="K63" s="569"/>
      <c r="L63" s="569"/>
      <c r="M63" s="569"/>
      <c r="N63" s="569"/>
      <c r="O63" s="568"/>
      <c r="P63" s="569"/>
      <c r="R63" s="568"/>
      <c r="S63" s="569"/>
      <c r="T63" s="569"/>
      <c r="U63" s="569"/>
      <c r="V63" s="568"/>
      <c r="W63" s="570"/>
      <c r="X63" s="569"/>
      <c r="Y63" s="568"/>
      <c r="Z63" s="569"/>
      <c r="AA63" s="569"/>
      <c r="AB63" s="568"/>
      <c r="AC63" s="569"/>
      <c r="AD63" s="569"/>
      <c r="AE63" s="569"/>
      <c r="AF63" s="568"/>
      <c r="AG63" s="569"/>
      <c r="AH63" s="569"/>
      <c r="AI63" s="568"/>
      <c r="AJ63" s="569"/>
      <c r="AK63" s="569"/>
      <c r="AL63" s="569"/>
      <c r="AM63" s="569"/>
      <c r="AN63" s="568"/>
      <c r="AO63" s="569"/>
      <c r="AP63" s="569"/>
      <c r="AQ63" s="569"/>
      <c r="AR63" s="569"/>
      <c r="AS63" s="568"/>
      <c r="AT63" s="569"/>
      <c r="AU63" s="569"/>
      <c r="AV63" s="569"/>
      <c r="AW63" s="568"/>
      <c r="AX63" s="569"/>
      <c r="AY63" s="569"/>
      <c r="AZ63" s="569"/>
      <c r="BA63" s="568"/>
    </row>
    <row r="64" spans="1:55">
      <c r="BC64" s="567"/>
    </row>
    <row r="65" spans="45:56" s="564" customFormat="1">
      <c r="BD65" s="567"/>
    </row>
    <row r="66" spans="45:56" s="564" customFormat="1">
      <c r="BD66" s="567"/>
    </row>
    <row r="67" spans="45:56" s="564" customFormat="1">
      <c r="AS67" s="676"/>
      <c r="AW67" s="565"/>
      <c r="BA67" s="565"/>
      <c r="BD67" s="567"/>
    </row>
    <row r="68" spans="45:56" s="564" customFormat="1">
      <c r="AS68" s="676"/>
      <c r="AW68" s="565"/>
      <c r="BA68" s="565"/>
      <c r="BD68" s="567"/>
    </row>
    <row r="69" spans="45:56">
      <c r="AS69" s="676"/>
      <c r="AT69" s="565"/>
      <c r="AX69" s="565"/>
      <c r="BB69" s="565"/>
    </row>
    <row r="70" spans="45:56">
      <c r="AS70" s="676"/>
      <c r="AT70" s="565"/>
      <c r="AX70" s="565"/>
      <c r="BB70" s="565"/>
    </row>
    <row r="71" spans="45:56">
      <c r="AS71" s="676"/>
      <c r="AT71" s="565"/>
      <c r="AX71" s="565"/>
      <c r="BB71" s="565"/>
    </row>
    <row r="72" spans="45:56">
      <c r="AS72" s="676"/>
      <c r="AT72" s="565"/>
      <c r="AX72" s="565"/>
      <c r="BB72" s="565"/>
    </row>
    <row r="73" spans="45:56">
      <c r="AS73" s="676"/>
      <c r="AT73" s="565"/>
      <c r="AX73" s="565"/>
      <c r="BB73" s="565"/>
    </row>
    <row r="74" spans="45:56">
      <c r="AS74" s="676"/>
      <c r="AT74" s="565"/>
      <c r="AX74" s="565"/>
      <c r="BB74" s="565"/>
    </row>
    <row r="75" spans="45:56">
      <c r="AS75" s="676"/>
      <c r="AT75" s="565"/>
      <c r="AX75" s="565"/>
      <c r="BB75" s="565"/>
    </row>
    <row r="76" spans="45:56">
      <c r="AS76" s="676"/>
      <c r="AT76" s="565"/>
      <c r="AX76" s="565"/>
      <c r="BB76" s="565"/>
    </row>
    <row r="77" spans="45:56">
      <c r="AS77" s="676"/>
      <c r="AT77" s="565"/>
      <c r="AX77" s="565"/>
      <c r="BB77" s="565"/>
    </row>
  </sheetData>
  <mergeCells count="2">
    <mergeCell ref="B2:T2"/>
    <mergeCell ref="U2:Y2"/>
  </mergeCells>
  <printOptions headings="1"/>
  <pageMargins left="0" right="0" top="0.2" bottom="0" header="0.5" footer="0.5"/>
  <pageSetup fitToWidth="2"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2:M15"/>
  <sheetViews>
    <sheetView showGridLines="0" showRowColHeaders="0" workbookViewId="0">
      <selection activeCell="L2" sqref="L2:M2"/>
    </sheetView>
  </sheetViews>
  <sheetFormatPr defaultRowHeight="12.75"/>
  <cols>
    <col min="1" max="1" width="6.28515625" customWidth="1"/>
  </cols>
  <sheetData>
    <row r="2" spans="1:13" ht="15.75">
      <c r="A2" s="395" t="s">
        <v>458</v>
      </c>
      <c r="L2" s="783" t="s">
        <v>459</v>
      </c>
      <c r="M2" s="783"/>
    </row>
    <row r="5" spans="1:13" ht="15.75">
      <c r="A5" s="393" t="s">
        <v>455</v>
      </c>
    </row>
    <row r="6" spans="1:13" ht="15.75">
      <c r="A6" s="393" t="s">
        <v>456</v>
      </c>
    </row>
    <row r="11" spans="1:13" ht="15.75">
      <c r="A11" s="393" t="s">
        <v>493</v>
      </c>
      <c r="B11" s="392"/>
      <c r="C11" s="392"/>
      <c r="D11" s="392"/>
      <c r="E11" s="392"/>
      <c r="F11" s="392"/>
      <c r="G11" s="392"/>
      <c r="H11" s="392"/>
      <c r="I11" s="392"/>
      <c r="J11" s="392"/>
    </row>
    <row r="12" spans="1:13" ht="14.25" customHeight="1">
      <c r="A12" s="393" t="s">
        <v>457</v>
      </c>
      <c r="B12" s="392"/>
      <c r="C12" s="392"/>
      <c r="D12" s="392"/>
      <c r="E12" s="392"/>
      <c r="F12" s="392"/>
      <c r="G12" s="392"/>
      <c r="H12" s="392"/>
      <c r="I12" s="392"/>
      <c r="J12" s="392"/>
    </row>
    <row r="13" spans="1:13" ht="16.5" customHeight="1">
      <c r="A13" s="781" t="s">
        <v>460</v>
      </c>
      <c r="B13" s="782"/>
      <c r="C13" s="782"/>
      <c r="D13" s="782"/>
      <c r="E13" s="782"/>
      <c r="F13" s="782"/>
      <c r="G13" s="782"/>
      <c r="H13" s="782"/>
      <c r="I13" s="782"/>
      <c r="J13" s="782"/>
      <c r="K13" s="724"/>
    </row>
    <row r="14" spans="1:13" ht="13.5" customHeight="1">
      <c r="A14" s="782"/>
      <c r="B14" s="782"/>
      <c r="C14" s="782"/>
      <c r="D14" s="782"/>
      <c r="E14" s="782"/>
      <c r="F14" s="782"/>
      <c r="G14" s="782"/>
      <c r="H14" s="782"/>
      <c r="I14" s="782"/>
      <c r="J14" s="782"/>
      <c r="K14" s="724"/>
    </row>
    <row r="15" spans="1:13" ht="13.5" customHeight="1">
      <c r="A15" s="394"/>
      <c r="B15" s="394"/>
      <c r="C15" s="394"/>
      <c r="D15" s="394"/>
      <c r="E15" s="394"/>
      <c r="F15" s="394"/>
      <c r="G15" s="394"/>
      <c r="H15" s="394"/>
      <c r="I15" s="394"/>
      <c r="J15" s="394"/>
    </row>
  </sheetData>
  <mergeCells count="2">
    <mergeCell ref="A13:K14"/>
    <mergeCell ref="L2:M2"/>
  </mergeCells>
  <hyperlinks>
    <hyperlink ref="L2:M2" location="Main!A1" display="Return to Main"/>
  </hyperlinks>
  <pageMargins left="0.7" right="0.7" top="0.75" bottom="0.75" header="0.3" footer="0.3"/>
  <pageSetup scale="7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34</vt:i4>
      </vt:variant>
    </vt:vector>
  </HeadingPairs>
  <TitlesOfParts>
    <vt:vector size="52" baseType="lpstr">
      <vt:lpstr>Main</vt:lpstr>
      <vt:lpstr>Query</vt:lpstr>
      <vt:lpstr>Inflation Table</vt:lpstr>
      <vt:lpstr>Examples_notes</vt:lpstr>
      <vt:lpstr>Army Multi Appn</vt:lpstr>
      <vt:lpstr>SAR Calc</vt:lpstr>
      <vt:lpstr>SAR</vt:lpstr>
      <vt:lpstr>Army Notes</vt:lpstr>
      <vt:lpstr>Titles</vt:lpstr>
      <vt:lpstr>Glossary</vt:lpstr>
      <vt:lpstr>Instructions</vt:lpstr>
      <vt:lpstr>Inflation_Escalation</vt:lpstr>
      <vt:lpstr>Multi Appn</vt:lpstr>
      <vt:lpstr>1970=1 Infl Index</vt:lpstr>
      <vt:lpstr>Inflation</vt:lpstr>
      <vt:lpstr>CombOutFac(COF)</vt:lpstr>
      <vt:lpstr>Composite</vt:lpstr>
      <vt:lpstr>Excel07 Enable Macro</vt:lpstr>
      <vt:lpstr>comboutfac</vt:lpstr>
      <vt:lpstr>Query!Criteria</vt:lpstr>
      <vt:lpstr>Titles!Criteria</vt:lpstr>
      <vt:lpstr>Escalation_Indicies</vt:lpstr>
      <vt:lpstr>Query!Extract</vt:lpstr>
      <vt:lpstr>Titles!Extract</vt:lpstr>
      <vt:lpstr>index1970</vt:lpstr>
      <vt:lpstr>marange2</vt:lpstr>
      <vt:lpstr>'Army Multi Appn'!Print_Area</vt:lpstr>
      <vt:lpstr>Composite!Print_Area</vt:lpstr>
      <vt:lpstr>Glossary!Print_Area</vt:lpstr>
      <vt:lpstr>'Inflation Table'!Print_Area</vt:lpstr>
      <vt:lpstr>Instructions!Print_Area</vt:lpstr>
      <vt:lpstr>Main!Print_Area</vt:lpstr>
      <vt:lpstr>'Multi Appn'!Print_Area</vt:lpstr>
      <vt:lpstr>Query!Print_Area</vt:lpstr>
      <vt:lpstr>SAR!Print_Area</vt:lpstr>
      <vt:lpstr>Titles!Print_Area</vt:lpstr>
      <vt:lpstr>'1970=1 Infl Index'!Print_Titles</vt:lpstr>
      <vt:lpstr>'CombOutFac(COF)'!Print_Titles</vt:lpstr>
      <vt:lpstr>Composite!Print_Titles</vt:lpstr>
      <vt:lpstr>Inflation!Print_Titles</vt:lpstr>
      <vt:lpstr>'Inflation Table'!Print_Titles</vt:lpstr>
      <vt:lpstr>Instructions!Print_Titles</vt:lpstr>
      <vt:lpstr>'Multi Appn'!Print_Titles</vt:lpstr>
      <vt:lpstr>'SAR Calc'!Print_Titles</vt:lpstr>
      <vt:lpstr>printq</vt:lpstr>
      <vt:lpstr>quicklookprt</vt:lpstr>
      <vt:lpstr>rawindx</vt:lpstr>
      <vt:lpstr>rawindx2</vt:lpstr>
      <vt:lpstr>rawindx3</vt:lpstr>
      <vt:lpstr>shorttitle</vt:lpstr>
      <vt:lpstr>titlesA1</vt:lpstr>
      <vt:lpstr>titlesdelete</vt:lpstr>
    </vt:vector>
  </TitlesOfParts>
  <Company>DNHN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HiramaR</dc:creator>
  <cp:lastModifiedBy>Joy, Kevin CIV OASN(FM&amp;C), NCCA</cp:lastModifiedBy>
  <cp:lastPrinted>2017-02-21T19:41:36Z</cp:lastPrinted>
  <dcterms:created xsi:type="dcterms:W3CDTF">2002-04-09T18:15:15Z</dcterms:created>
  <dcterms:modified xsi:type="dcterms:W3CDTF">2017-09-29T18:17:52Z</dcterms:modified>
</cp:coreProperties>
</file>